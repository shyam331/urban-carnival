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ZIPs" sheetId="2" state="visible" r:id="rId4"/>
    <sheet name="By County" sheetId="3" state="visible" r:id="rId5"/>
    <sheet name="Neighborhoods" sheetId="4" state="visible" r:id="rId6"/>
    <sheet name="Valpak" sheetId="5" state="visible" r:id="rId7"/>
    <sheet name="Source Inventory" sheetId="6" state="visible" r:id="rId8"/>
    <sheet name="Assumptions" sheetId="7" state="visible" r:id="rId9"/>
  </sheets>
  <definedNames>
    <definedName function="false" hidden="true" localSheetId="1" name="_xlnm._FilterDatabase" vbProcedure="false">'All ZIPs'!$A$1:$AK$1878</definedName>
    <definedName function="false" hidden="true" localSheetId="3" name="_xlnm._FilterDatabase" vbProcedure="false">Neighborhoods!$A$1:$G$3291</definedName>
    <definedName function="false" hidden="true" localSheetId="5" name="_xlnm._FilterDatabase" vbProcedure="false">'Source Inventory'!$A$1:$J$67</definedName>
    <definedName function="false" hidden="true" localSheetId="4" name="_xlnm._FilterDatabase" vbProcedure="false">Valpak!$A$1:$I$737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Probed by adu_campaign.util.probe at build time. UNREACHABLE means the host was blocked or did not answer from the build environment; it does not mean the source is offline.</t>
        </r>
      </text>
    </comment>
  </commentList>
</comments>
</file>

<file path=xl/sharedStrings.xml><?xml version="1.0" encoding="utf-8"?>
<sst xmlns="http://schemas.openxmlformats.org/spreadsheetml/2006/main" count="60879" uniqueCount="7464">
  <si>
    <t xml:space="preserve">California ADU direct-mail targeting: top 100 ZIPs</t>
  </si>
  <si>
    <t xml:space="preserve">INTERIM RANKING: no county parcel data could be downloaded in this run (assessor hosts unreachable). Rank = Redfin SFR homes sold (12 mo) x tier weight, a market-size proxy, NOT a count of qualifying lots. Parcel columns read 'no data'.</t>
  </si>
  <si>
    <t xml:space="preserve">ZIP-level results are estimates of the share of qualifying lots, not a verified list of homes. Redfin data: 2026-05-31, 2026-02-28, 2025-11-30, 2025-08-31 windows (file updated 2026-06-02 14:33:24.470 Z).</t>
  </si>
  <si>
    <t xml:space="preserve">Tier</t>
  </si>
  <si>
    <t xml:space="preserve">Mailable ZIPs (live count)</t>
  </si>
  <si>
    <t xml:space="preserve">Cumulative ZIPs</t>
  </si>
  <si>
    <t xml:space="preserve">SFR homes sold 12 mo in tier</t>
  </si>
  <si>
    <t xml:space="preserve">PO-box / unique ZIPs in tier (excluded)</t>
  </si>
  <si>
    <t xml:space="preserve">Tier 1 (&gt;= $700/sf)</t>
  </si>
  <si>
    <t xml:space="preserve">Tier 2 ($600-699/sf)</t>
  </si>
  <si>
    <t xml:space="preserve">Tier 3 ($500-599/sf)</t>
  </si>
  <si>
    <t xml:space="preserve">Total (any tier)</t>
  </si>
  <si>
    <t xml:space="preserve">Snapshot sorted by the script at config.py defaults.</t>
  </si>
  <si>
    <t xml:space="preserve">Rank</t>
  </si>
  <si>
    <t xml:space="preserve">ZIP</t>
  </si>
  <si>
    <t xml:space="preserve">City</t>
  </si>
  <si>
    <t xml:space="preserve">County</t>
  </si>
  <si>
    <t xml:space="preserve">Focus region</t>
  </si>
  <si>
    <t xml:space="preserve">Neighborhoods</t>
  </si>
  <si>
    <t xml:space="preserve">Median $/sq ft (12 mo)</t>
  </si>
  <si>
    <t xml:space="preserve">Median sale price (12 mo)</t>
  </si>
  <si>
    <t xml:space="preserve">SFR homes sold (12 mo)</t>
  </si>
  <si>
    <t xml:space="preserve">Est. buildable &gt;= 750 (parcels)</t>
  </si>
  <si>
    <t xml:space="preserve">Score</t>
  </si>
  <si>
    <t xml:space="preserve">Rank basis</t>
  </si>
  <si>
    <t xml:space="preserve">92677</t>
  </si>
  <si>
    <t xml:space="preserve">Laguna Niguel</t>
  </si>
  <si>
    <t xml:space="preserve">Orange</t>
  </si>
  <si>
    <t xml:space="preserve">Orange County</t>
  </si>
  <si>
    <t xml:space="preserve">El Niguel Heights; Niguel Summit</t>
  </si>
  <si>
    <t xml:space="preserve">no data</t>
  </si>
  <si>
    <t xml:space="preserve">INTERIM: Redfin SFR sales (12 mo) x tier weight</t>
  </si>
  <si>
    <t xml:space="preserve">94550</t>
  </si>
  <si>
    <t xml:space="preserve">Livermore</t>
  </si>
  <si>
    <t xml:space="preserve">Alameda</t>
  </si>
  <si>
    <t xml:space="preserve">Berkeley / Oakland / Alameda County</t>
  </si>
  <si>
    <t xml:space="preserve">Sandhurst; The Grove; Village II; Vinsanto II; Livermorium Plaza / Mills Square Park; Lizzie Fountain Plaza</t>
  </si>
  <si>
    <t xml:space="preserve">95125</t>
  </si>
  <si>
    <t xml:space="preserve">San Jose</t>
  </si>
  <si>
    <t xml:space="preserve">Santa Clara</t>
  </si>
  <si>
    <t xml:space="preserve">Peninsula &amp; South Bay (Santa Clara / San Mateo)</t>
  </si>
  <si>
    <t xml:space="preserve">Dry Creek; Willow Glen</t>
  </si>
  <si>
    <t xml:space="preserve">92024</t>
  </si>
  <si>
    <t xml:space="preserve">Encinitas</t>
  </si>
  <si>
    <t xml:space="preserve">San Diego</t>
  </si>
  <si>
    <t xml:space="preserve">Leucadia; Olivenhain; Downtown Encinitas; Encinitas Highlands; Encinitas Ranch; Fox Point Farms; Manzanita Cove; Old Encinitas; Pacific Serena; Val Sereno; New Encinitas; Poinsettia Heights; Quail Gardens; Rancho Encinitas; Village Park</t>
  </si>
  <si>
    <t xml:space="preserve">95124</t>
  </si>
  <si>
    <t xml:space="preserve">Willow Glen Place</t>
  </si>
  <si>
    <t xml:space="preserve">96161</t>
  </si>
  <si>
    <t xml:space="preserve">Truckee</t>
  </si>
  <si>
    <t xml:space="preserve">Placer</t>
  </si>
  <si>
    <t xml:space="preserve">Rest of California</t>
  </si>
  <si>
    <t xml:space="preserve">Glenshire-Devonshire; Tahoe Donner; Armstrong; Blitz Tract; Cambridge Estates; Devonshire; Donner Crest; Donner Lake Village; Donner Pines Tract; Donner Ski Haven; Donner Tract; Donner Trail; Donner Woods; Emmons Tract; Gateway Park; Glenshire; Gray's Crossing; Juniper Creek Ranch; Juniper Heights; Juniper Hill; Klondike Flat; Lakeview; Martis Peak; Martiswood Estates; Meadow Lake Park; Old Greenwood; Olympic Heights; Plavada Woodlands; Ponderosa Fairway Estates; Ponderosa Palisades; Ponderosa Ranchos; Prosser Lake Heights; Prosser Lakeview Estates; Schaffer's Mill; Sierra Bluff; Southside Highlands; The Meadows; Weeks Tract; Gateway; Lahontan; Martis Camp; Sierra Meadows; West End Donner</t>
  </si>
  <si>
    <t xml:space="preserve">92117</t>
  </si>
  <si>
    <t xml:space="preserve">Bay Ho; Clairemont; Clairemont Mesa Gateway; Diane Village; North Mount Estates; Riviera Highlands; Triumph; Westridge; Alcott Estates; Clairemont Village; East Clairemont; Eureka Lemon; North Clairemont</t>
  </si>
  <si>
    <t xml:space="preserve">94112</t>
  </si>
  <si>
    <t xml:space="preserve">San Francisco</t>
  </si>
  <si>
    <t xml:space="preserve">Ocean View; Outer Mission; St. Mary's Park; Westwood Park; Crocker-Amazon; Excelsior; Ingleside</t>
  </si>
  <si>
    <t xml:space="preserve">92646</t>
  </si>
  <si>
    <t xml:space="preserve">Huntington Beach</t>
  </si>
  <si>
    <t xml:space="preserve">94010</t>
  </si>
  <si>
    <t xml:space="preserve">Burlingame</t>
  </si>
  <si>
    <t xml:space="preserve">San Mateo</t>
  </si>
  <si>
    <t xml:space="preserve">Burlingame Hills; Burlingame Village; Burlingame Town Square</t>
  </si>
  <si>
    <t xml:space="preserve">95123</t>
  </si>
  <si>
    <t xml:space="preserve">Parkview</t>
  </si>
  <si>
    <t xml:space="preserve">94025</t>
  </si>
  <si>
    <t xml:space="preserve">Menlo Park</t>
  </si>
  <si>
    <t xml:space="preserve">Stanford Hills; Stanford Weekend Acres; Hacker Square</t>
  </si>
  <si>
    <t xml:space="preserve">90066</t>
  </si>
  <si>
    <t xml:space="preserve">Los Angeles</t>
  </si>
  <si>
    <t xml:space="preserve">Los Angeles County</t>
  </si>
  <si>
    <t xml:space="preserve">Mar Vista; Culver Garden; Westdale; Del Rey</t>
  </si>
  <si>
    <t xml:space="preserve">94566</t>
  </si>
  <si>
    <t xml:space="preserve">Pleasanton</t>
  </si>
  <si>
    <t xml:space="preserve">Del Prado; Irby Ranch; Ruby Hill; Shadow Cliffs</t>
  </si>
  <si>
    <t xml:space="preserve">90275</t>
  </si>
  <si>
    <t xml:space="preserve">Rancho Palos Verdes</t>
  </si>
  <si>
    <t xml:space="preserve">94568</t>
  </si>
  <si>
    <t xml:space="preserve">Dublin</t>
  </si>
  <si>
    <t xml:space="preserve">94536</t>
  </si>
  <si>
    <t xml:space="preserve">Fremont</t>
  </si>
  <si>
    <t xml:space="preserve">Centerville District; Niles District; Niles Junction; Shinn</t>
  </si>
  <si>
    <t xml:space="preserve">90808</t>
  </si>
  <si>
    <t xml:space="preserve">Long Beach</t>
  </si>
  <si>
    <t xml:space="preserve">92037</t>
  </si>
  <si>
    <t xml:space="preserve">La Jolla</t>
  </si>
  <si>
    <t xml:space="preserve">La Jolla; Biology Field Station; Campus Services Complex; Earl Warren College; Eleanor Roosevelt College; John Muir College; Lower Hermosa; Miurlands West; Mount La Jolla; North Campus; Pepper Canyon; Revelle College; Ridge Walk North Living and Learning Neighborhood; Ridgegate; Science Research Park; Seventh College at the Village; Sixth College; Thurgood Marshall College; University Center; Upper Hermosa; Windansea Beach; Windemere; Beach Barber Tract; Bird Rock; Executive Square; Golden Triangle; Hidden Valley; Katzin Courtyard; La Jolla Alta; La Jolla Country Club; La Jolla Farms; La Jolla Heights; La Jolla Hermosa; La Jolla Mesa; La Jolla Shores; La Jolla Village; Matthews Quadrangle; Soledad South; The Muirlands; Village of La Jolla</t>
  </si>
  <si>
    <t xml:space="preserve">95120</t>
  </si>
  <si>
    <t xml:space="preserve">Almaden Valley</t>
  </si>
  <si>
    <t xml:space="preserve">92009</t>
  </si>
  <si>
    <t xml:space="preserve">Carlsbad</t>
  </si>
  <si>
    <t xml:space="preserve">La Costa; Bressi Ranch; La Costa Greens; La Costa Oaks; La Costa Ridge; La Costa Valley; Rancho Carrillo</t>
  </si>
  <si>
    <t xml:space="preserve">94941</t>
  </si>
  <si>
    <t xml:space="preserve">Mill Valley</t>
  </si>
  <si>
    <t xml:space="preserve">Marin</t>
  </si>
  <si>
    <t xml:space="preserve">Almonte</t>
  </si>
  <si>
    <t xml:space="preserve">92129</t>
  </si>
  <si>
    <t xml:space="preserve">Rancho Peñasquitos; Torrey Highlands; Greystone Torrey Highlands; Penasquitos Creek; Rhodes Crossing; Rolling Hills; Sun Ridge Vista; Terramar; Torrey Glenn; Torrey Ranch; Adobe Bluffs; Canyon Hills; Heritage Bluffs; Merge 56; Park Village; Penasquitos Village; Peñasquitos Point; Rancho Peñasquitos Town Center; Ridgewood; Sunset Hills; Torrey Del Mar; Torrey Meadows; Torrey Santa Fe; Twin Trails</t>
  </si>
  <si>
    <t xml:space="preserve">90815</t>
  </si>
  <si>
    <t xml:space="preserve">Los Altos</t>
  </si>
  <si>
    <t xml:space="preserve">90049</t>
  </si>
  <si>
    <t xml:space="preserve">Brentwood; Brentwood Glen; Brentwood Heights; Brentwood Park; Brentwood Village; Westgate Heights; Republic of Artsakh Square</t>
  </si>
  <si>
    <t xml:space="preserve">94549</t>
  </si>
  <si>
    <t xml:space="preserve">Lafayette</t>
  </si>
  <si>
    <t xml:space="preserve">Contra Costa</t>
  </si>
  <si>
    <t xml:space="preserve">Burton Valley; Reliez Valley</t>
  </si>
  <si>
    <t xml:space="preserve">92651</t>
  </si>
  <si>
    <t xml:space="preserve">Laguna Beach</t>
  </si>
  <si>
    <t xml:space="preserve">Emerald Bay</t>
  </si>
  <si>
    <t xml:space="preserve">94070</t>
  </si>
  <si>
    <t xml:space="preserve">San Carlos</t>
  </si>
  <si>
    <t xml:space="preserve">Devonshire</t>
  </si>
  <si>
    <t xml:space="preserve">95127</t>
  </si>
  <si>
    <t xml:space="preserve">Alum Rock</t>
  </si>
  <si>
    <t xml:space="preserve">94087</t>
  </si>
  <si>
    <t xml:space="preserve">Sunnyvale</t>
  </si>
  <si>
    <t xml:space="preserve">Birdland</t>
  </si>
  <si>
    <t xml:space="preserve">92692</t>
  </si>
  <si>
    <t xml:space="preserve">Mission Viejo</t>
  </si>
  <si>
    <t xml:space="preserve">Pinecrest; Canyon Crest; Casta del Sol; Mallorca</t>
  </si>
  <si>
    <t xml:space="preserve">90266</t>
  </si>
  <si>
    <t xml:space="preserve">Manhattan Beach</t>
  </si>
  <si>
    <t xml:space="preserve">East Manhattan Beach; Hill Section; Manhattan Village; Tree Section</t>
  </si>
  <si>
    <t xml:space="preserve">92630</t>
  </si>
  <si>
    <t xml:space="preserve">Lake Forest</t>
  </si>
  <si>
    <t xml:space="preserve">Cedar Glen; Grandview Crest; Indian Hills; Lake Park West; Lower Greenridge; Lower Heatherview; Mariposa; Montbury; Park Place Ranchwood; Parkwood Estates II; San Rita; Summit Crest; Sunset Ridge; Sycamore Creek; The Woods; Upper Greenridge; Upper Heatherview; Woodside</t>
  </si>
  <si>
    <t xml:space="preserve">92708</t>
  </si>
  <si>
    <t xml:space="preserve">Fountain Valley</t>
  </si>
  <si>
    <t xml:space="preserve">Concord Place; Fountain Plaza; Fountain Valley Commercial Area; Tiburon</t>
  </si>
  <si>
    <t xml:space="preserve">94110</t>
  </si>
  <si>
    <t xml:space="preserve">Mission; Bernal Heights</t>
  </si>
  <si>
    <t xml:space="preserve">94611</t>
  </si>
  <si>
    <t xml:space="preserve">Oakland</t>
  </si>
  <si>
    <t xml:space="preserve">Broadway Auto Row; Harrison/Oakland; Montclair; Oak Glen Park; Piedmont Avenue; Piedmont Pines; Westlake</t>
  </si>
  <si>
    <t xml:space="preserve">94560</t>
  </si>
  <si>
    <t xml:space="preserve">Newark</t>
  </si>
  <si>
    <t xml:space="preserve">92660</t>
  </si>
  <si>
    <t xml:space="preserve">Newport Beach</t>
  </si>
  <si>
    <t xml:space="preserve">UCI - North Campus; Bayside Village; Belcourt; Castaways; Granville; Harbor Cove; Harbor Hill; Harbor View Knoll; Island Lagoon; Newport Hills; Newport North; North Bluff; One Ford Road; Sea View; Seawind; The Bluffs; The Plaza; Villa Point; Big Canyon; Bonita Canyon; Dover Shores; Eastbluff; Harbor Island; Harbor Ridge; Harbor View; Newport Ridge; Upper Bay</t>
  </si>
  <si>
    <t xml:space="preserve">92127</t>
  </si>
  <si>
    <t xml:space="preserve">Black Mountain Ranch; 4S Commons; Auberge; Bel Etage; Camino Bernardo; Deer Ridge; Dove Canyon; Ivygate; Nicole Ridge; Paseo Montenero; Stone Ranch; Tanner Ridge; Verrazano; Village Green; 4S Ranch Business Park; Del Sur; North 4S Ranch; Rancho Bernardo Business Park; Santaluz; South 4S Ranch; Westwood</t>
  </si>
  <si>
    <t xml:space="preserve">92064</t>
  </si>
  <si>
    <t xml:space="preserve">Poway</t>
  </si>
  <si>
    <t xml:space="preserve">Bridlewood; Bridlewood Country Estates; Bridlewood Lakeside; Carriage Heights; Casa Real Poway; Cicero; Colony; Country Squire Estates; Cree; Espola Verde; Flair; Gate; Golden City; Green Valley Estates North; Green Valley Estates South; Green Valley Summit; Hickory; Holiday Estates; Holland; Huntington Gate; Kentfield; La Paz Village; Ladera Piedra; Las Cadenas; Midland Estates; Midland Grove; Norwalk; O'Reno; Padre Woods; Parkway Business Centre; Piermont; Pomerado Business Park; Pomerado Gardens; Poway Corporate Center; Poway Grove Park; Poway Mesa North; Poway Mesa South; Poway Portals; Poway Woods; Rancho Arbolitos Palisades; Rancho Arbolitos Parkside; Rancho Arbolitos Woodside; Rancho La Paz; Rancho Poway; Rancho Verde; Range View Estates; Rayo Del Sol; Rollin Glen; Stone Canyon Ranch; Stoneridge Chateaus; Summerfield Estates; Sunrise Ranch; Sycamore Creek; Taunt; Temple; The Grove; The Ranch; Twin Circle; Valle Del Norte; Valle Verde Estates; Avocado Glen; Green Valley; Old Coach; Old Poway; Poway Town Center; Rancho Arbolitos; South Poway Business Park; Twin Peaks</t>
  </si>
  <si>
    <t xml:space="preserve">92679</t>
  </si>
  <si>
    <t xml:space="preserve">Rancho Santa Margarita</t>
  </si>
  <si>
    <t xml:space="preserve">Dove Canyon; Portola Hills; Robinson Ranch</t>
  </si>
  <si>
    <t xml:space="preserve">90068</t>
  </si>
  <si>
    <t xml:space="preserve">Beachwood Canyon; Hollywood Dell; Whitley Heights Historic District; Hollywood Hills</t>
  </si>
  <si>
    <t xml:space="preserve">95037</t>
  </si>
  <si>
    <t xml:space="preserve">Morgan Hill</t>
  </si>
  <si>
    <t xml:space="preserve">90210</t>
  </si>
  <si>
    <t xml:space="preserve">Beverly Hills</t>
  </si>
  <si>
    <t xml:space="preserve">The Flats; Trousdale Estates; Beverly Crest</t>
  </si>
  <si>
    <t xml:space="preserve">92626</t>
  </si>
  <si>
    <t xml:space="preserve">Costa Mesa</t>
  </si>
  <si>
    <t xml:space="preserve">College Park; Mesa Verde</t>
  </si>
  <si>
    <t xml:space="preserve">94587</t>
  </si>
  <si>
    <t xml:space="preserve">Union City</t>
  </si>
  <si>
    <t xml:space="preserve">Alvarado; Decoto; Contempo; Colt Court</t>
  </si>
  <si>
    <t xml:space="preserve">90274</t>
  </si>
  <si>
    <t xml:space="preserve">Palos Verdes Peninsula</t>
  </si>
  <si>
    <t xml:space="preserve">Palos Verdes Estates; Rolling Hills; Rolling Hills Estates</t>
  </si>
  <si>
    <t xml:space="preserve">94526</t>
  </si>
  <si>
    <t xml:space="preserve">Danville</t>
  </si>
  <si>
    <t xml:space="preserve">Anderson Ranch; Brookview; California Chateau; Crow Canyon Heights; Danville Ranch; Diablo Highlands; Diablo West; Osborn Estates; Sycamore Creek; Sycamore Homes; Windstream</t>
  </si>
  <si>
    <t xml:space="preserve">95051</t>
  </si>
  <si>
    <t xml:space="preserve">94062</t>
  </si>
  <si>
    <t xml:space="preserve">Redwood City</t>
  </si>
  <si>
    <t xml:space="preserve">Emerald Lake Hills; Kensington Square</t>
  </si>
  <si>
    <t xml:space="preserve">92115</t>
  </si>
  <si>
    <t xml:space="preserve">Mid-City; Montezuma Mesa; Alvarado Estates; Baja Canyon; College View Estates; The Triangle; Colina Park; Darnall; El Cerrito; El Cerrito Heights; Little Saigon; Mesa Colony; Oak Park; Rolando; Rolando Park; Talmadge</t>
  </si>
  <si>
    <t xml:space="preserve">94044</t>
  </si>
  <si>
    <t xml:space="preserve">Pacifica</t>
  </si>
  <si>
    <t xml:space="preserve">Castle Hill; Edgemar; Fairway Park; Hilton Heights; Linda Mar; Pacific Manor; Pedro Valley; Rockaway Beach; Sharp Park; Shelter Cove; Vallemar</t>
  </si>
  <si>
    <t xml:space="preserve">94539</t>
  </si>
  <si>
    <t xml:space="preserve">Mission San Jose District; Warm Springs District</t>
  </si>
  <si>
    <t xml:space="preserve">92675</t>
  </si>
  <si>
    <t xml:space="preserve">San Juan Capistrano</t>
  </si>
  <si>
    <t xml:space="preserve">Rienda; Rancho Mission Viejo</t>
  </si>
  <si>
    <t xml:space="preserve">90046</t>
  </si>
  <si>
    <t xml:space="preserve">Hollywood Hills West</t>
  </si>
  <si>
    <t xml:space="preserve">92672</t>
  </si>
  <si>
    <t xml:space="preserve">San Clemente</t>
  </si>
  <si>
    <t xml:space="preserve">Bay Cliff Village; Colony Cove; Sea Summit</t>
  </si>
  <si>
    <t xml:space="preserve">94901</t>
  </si>
  <si>
    <t xml:space="preserve">San Rafael</t>
  </si>
  <si>
    <t xml:space="preserve">Canal; Chicken Point; Dominican</t>
  </si>
  <si>
    <t xml:space="preserve">95476</t>
  </si>
  <si>
    <t xml:space="preserve">Sonoma</t>
  </si>
  <si>
    <t xml:space="preserve">90045</t>
  </si>
  <si>
    <t xml:space="preserve">Westchester; Westchester Triangle</t>
  </si>
  <si>
    <t xml:space="preserve">94105</t>
  </si>
  <si>
    <t xml:space="preserve">Rincon Hill; 50 Beale Street Plaza; 560 Mission Street Plaza; Foundry Square</t>
  </si>
  <si>
    <t xml:space="preserve">95003</t>
  </si>
  <si>
    <t xml:space="preserve">Aptos</t>
  </si>
  <si>
    <t xml:space="preserve">Santa Cruz</t>
  </si>
  <si>
    <t xml:space="preserve">94015</t>
  </si>
  <si>
    <t xml:space="preserve">Daly City</t>
  </si>
  <si>
    <t xml:space="preserve">Serramonte; Westlake</t>
  </si>
  <si>
    <t xml:space="preserve">94583</t>
  </si>
  <si>
    <t xml:space="preserve">San Ramon</t>
  </si>
  <si>
    <t xml:space="preserve">Alexander Square</t>
  </si>
  <si>
    <t xml:space="preserve">94563</t>
  </si>
  <si>
    <t xml:space="preserve">Orinda</t>
  </si>
  <si>
    <t xml:space="preserve">Glorietta; Wilder; Orinda Theatre Square</t>
  </si>
  <si>
    <t xml:space="preserve">92648</t>
  </si>
  <si>
    <t xml:space="preserve">94116</t>
  </si>
  <si>
    <t xml:space="preserve">Parkside; Forest Hill; Golden Gate Heights</t>
  </si>
  <si>
    <t xml:space="preserve">90065</t>
  </si>
  <si>
    <t xml:space="preserve">Dayton Avenue; Glassell Park; Mount Washington; Bobby Brown Uptown Gay and Lesbian Alliance Square; Cypress Park</t>
  </si>
  <si>
    <t xml:space="preserve">92886</t>
  </si>
  <si>
    <t xml:space="preserve">Yorba Linda</t>
  </si>
  <si>
    <t xml:space="preserve">Country Club; Fairlynn</t>
  </si>
  <si>
    <t xml:space="preserve">92691</t>
  </si>
  <si>
    <t xml:space="preserve">92705</t>
  </si>
  <si>
    <t xml:space="preserve">Santa Ana</t>
  </si>
  <si>
    <t xml:space="preserve">Cowan Heights; Fairbridge Square; Lemon Heights; Lyon Street; North Tustin; Young Square; Panorama Heights</t>
  </si>
  <si>
    <t xml:space="preserve">92694</t>
  </si>
  <si>
    <t xml:space="preserve">Ladera Ranch</t>
  </si>
  <si>
    <t xml:space="preserve">Los Patrones</t>
  </si>
  <si>
    <t xml:space="preserve">92647</t>
  </si>
  <si>
    <t xml:space="preserve">94080</t>
  </si>
  <si>
    <t xml:space="preserve">South San Francisco</t>
  </si>
  <si>
    <t xml:space="preserve">South San Francisco BART Plaza</t>
  </si>
  <si>
    <t xml:space="preserve">94403</t>
  </si>
  <si>
    <t xml:space="preserve">Bay Meadows Town Square</t>
  </si>
  <si>
    <t xml:space="preserve">94061</t>
  </si>
  <si>
    <t xml:space="preserve">Sequoia Tract</t>
  </si>
  <si>
    <t xml:space="preserve">94131</t>
  </si>
  <si>
    <t xml:space="preserve">Diamond Heights; Forest Knolls; Sunnyside; Glen Park</t>
  </si>
  <si>
    <t xml:space="preserve">94402</t>
  </si>
  <si>
    <t xml:space="preserve">94602</t>
  </si>
  <si>
    <t xml:space="preserve">Oakland Hills; Dimond District; Glenview; Oakmore Highlands</t>
  </si>
  <si>
    <t xml:space="preserve">94122</t>
  </si>
  <si>
    <t xml:space="preserve">Sunset District; Inner Sunset; Outer Sunset</t>
  </si>
  <si>
    <t xml:space="preserve">94903</t>
  </si>
  <si>
    <t xml:space="preserve">Terra Linda</t>
  </si>
  <si>
    <t xml:space="preserve">90042</t>
  </si>
  <si>
    <t xml:space="preserve">Highland Park</t>
  </si>
  <si>
    <t xml:space="preserve">91604</t>
  </si>
  <si>
    <t xml:space="preserve">Studio City</t>
  </si>
  <si>
    <t xml:space="preserve">Studio City; Studio City Neighborhood Council District; Silver Triangle</t>
  </si>
  <si>
    <t xml:space="preserve">91302</t>
  </si>
  <si>
    <t xml:space="preserve">Calabasas</t>
  </si>
  <si>
    <t xml:space="preserve">Braewood</t>
  </si>
  <si>
    <t xml:space="preserve">94024</t>
  </si>
  <si>
    <t xml:space="preserve">Creston</t>
  </si>
  <si>
    <t xml:space="preserve">91423</t>
  </si>
  <si>
    <t xml:space="preserve">Sherman Oaks</t>
  </si>
  <si>
    <t xml:space="preserve">Sherman Village</t>
  </si>
  <si>
    <t xml:space="preserve">94506</t>
  </si>
  <si>
    <t xml:space="preserve">California Shadowhawk; Meadow Creek; Northridge Estates; Woodside Oaks</t>
  </si>
  <si>
    <t xml:space="preserve">95014</t>
  </si>
  <si>
    <t xml:space="preserve">Cupertino</t>
  </si>
  <si>
    <t xml:space="preserve">Rancho Rinconada; Wilson Park; Academic Quad; Cupertino Civic Center; Olive Court; Rally Court</t>
  </si>
  <si>
    <t xml:space="preserve">95008</t>
  </si>
  <si>
    <t xml:space="preserve">Campbell</t>
  </si>
  <si>
    <t xml:space="preserve">San Tomas; Campbell Courtyard; Quad</t>
  </si>
  <si>
    <t xml:space="preserve">92673</t>
  </si>
  <si>
    <t xml:space="preserve">Portofino; San Rafael; Compass Pointe; El Encanto; Flora Vista; San Angelo; Talega</t>
  </si>
  <si>
    <t xml:space="preserve">92618</t>
  </si>
  <si>
    <t xml:space="preserve">Irvine</t>
  </si>
  <si>
    <t xml:space="preserve">Altair; Cypress Village; Great Park; Irvine Spectrum; Laguna Altura; Los Olivos; Oak Creek; Portola Springs; Woodbury East; Lambert Ranch; Travata; Woodbury Place Apartments</t>
  </si>
  <si>
    <t xml:space="preserve">94546</t>
  </si>
  <si>
    <t xml:space="preserve">Hayward</t>
  </si>
  <si>
    <t xml:space="preserve">94501</t>
  </si>
  <si>
    <t xml:space="preserve">East End; Fernside; Gold Coast; South Shore; West End; Woodstock</t>
  </si>
  <si>
    <t xml:space="preserve">95070</t>
  </si>
  <si>
    <t xml:space="preserve">Saratoga</t>
  </si>
  <si>
    <t xml:space="preserve">91361</t>
  </si>
  <si>
    <t xml:space="preserve">Westlake Village</t>
  </si>
  <si>
    <t xml:space="preserve">Ventura</t>
  </si>
  <si>
    <t xml:space="preserve">Bridgehaven; First Neighborhood; Westlake Bay; Westshore</t>
  </si>
  <si>
    <t xml:space="preserve">90650</t>
  </si>
  <si>
    <t xml:space="preserve">Norwalk</t>
  </si>
  <si>
    <t xml:space="preserve">91107</t>
  </si>
  <si>
    <t xml:space="preserve">Pasadena</t>
  </si>
  <si>
    <t xml:space="preserve">San Pasqual; Chapman Woods; Lamanda Park</t>
  </si>
  <si>
    <t xml:space="preserve">95118</t>
  </si>
  <si>
    <t xml:space="preserve">95060</t>
  </si>
  <si>
    <t xml:space="preserve">Downtown; Westside; Mission Hill Historic District</t>
  </si>
  <si>
    <t xml:space="preserve">92130</t>
  </si>
  <si>
    <t xml:space="preserve">Carmel Valley; Pacific Highlands Ranch; Torrey Hills; Bosque Del Mar; Bougainvillea; Carmel Center; Carmel Creek; Carmel Knolls; Carmel Valley Creek; Carmel Valley Neighborhood 8b; Del Mar Mesa Estates; Del Mar Trails; Duck Pond Ranch; Greenbriar; Palacio Del Mar; Rancho Pacifica; Solana Highlands; Stratford; The Preserve at Del Mar Mesa; Torrey Glen; Ashley Falls; Carmel Country Highlands; Carmel Del Mar; Carmel View; Del Mar Highlands; Del Mar Mesa; Fairbanks Ranch Country Club; Gonzales Canyon; Ocean Air; Pacific Highlands Ranch Village; Rancho del Sol; San Dieguito (NCFUA Subarea-II); Santa Fe Summit; Sycramore Ridge</t>
  </si>
  <si>
    <t xml:space="preserve">95035</t>
  </si>
  <si>
    <t xml:space="preserve">Milpitas</t>
  </si>
  <si>
    <t xml:space="preserve">Redfin metro</t>
  </si>
  <si>
    <t xml:space="preserve">Median sale $/sq ft (12 mo)</t>
  </si>
  <si>
    <t xml:space="preserve">$/sq ft basis</t>
  </si>
  <si>
    <t xml:space="preserve">Homes sold (12 mo)</t>
  </si>
  <si>
    <t xml:space="preserve">Thin sample (&lt;5 sales)</t>
  </si>
  <si>
    <t xml:space="preserve">Has ZIP boundary (ZCTA)</t>
  </si>
  <si>
    <t xml:space="preserve">Tier weight</t>
  </si>
  <si>
    <t xml:space="preserve">Total SFR parcels</t>
  </si>
  <si>
    <t xml:space="preserve">SFR lots &gt;= 5,000 sq ft</t>
  </si>
  <si>
    <t xml:space="preserve">% SFR lots &gt;= 5,000</t>
  </si>
  <si>
    <t xml:space="preserve">Est. buildable &gt;= 750 sq ft</t>
  </si>
  <si>
    <t xml:space="preserve">% est. buildable &gt;= 750</t>
  </si>
  <si>
    <t xml:space="preserve">Est. buildable &gt;= 1,200 sq ft</t>
  </si>
  <si>
    <t xml:space="preserve">Flag: contiguous area likely &lt; 750</t>
  </si>
  <si>
    <t xml:space="preserve">Median lot size (sq ft)</t>
  </si>
  <si>
    <t xml:space="preserve">Parcel data</t>
  </si>
  <si>
    <t xml:space="preserve">Rank score (qualifying parcels x weight)</t>
  </si>
  <si>
    <t xml:space="preserve">Interim score (homes sold x weight)</t>
  </si>
  <si>
    <t xml:space="preserve">Building footprints (all)</t>
  </si>
  <si>
    <t xml:space="preserve">House-scale footprints (600-6,000 sq ft)</t>
  </si>
  <si>
    <t xml:space="preserve">Footprints sourced from Microsoft</t>
  </si>
  <si>
    <t xml:space="preserve">Median house-scale footprint (sq ft)</t>
  </si>
  <si>
    <t xml:space="preserve">Latest-quarter $/sq ft</t>
  </si>
  <si>
    <t xml:space="preserve">Latest-quarter $/sq ft YoY</t>
  </si>
  <si>
    <t xml:space="preserve">County share of ZIP area</t>
  </si>
  <si>
    <t xml:space="preserve">City source</t>
  </si>
  <si>
    <t xml:space="preserve">Other postal cities (&gt;=10% of addresses)</t>
  </si>
  <si>
    <t xml:space="preserve">Overture locality (largest overlap)</t>
  </si>
  <si>
    <t xml:space="preserve">Anaheim, CA</t>
  </si>
  <si>
    <t xml:space="preserve">SFR</t>
  </si>
  <si>
    <t xml:space="preserve">postal city of 100% of address points</t>
  </si>
  <si>
    <t xml:space="preserve">Oakland, CA</t>
  </si>
  <si>
    <t xml:space="preserve">locality polygon (largest overlap)</t>
  </si>
  <si>
    <t xml:space="preserve">San Jose, CA</t>
  </si>
  <si>
    <t xml:space="preserve">postal city of 99% of address points</t>
  </si>
  <si>
    <t xml:space="preserve">San Diego, CA</t>
  </si>
  <si>
    <t xml:space="preserve">Sacramento, CA</t>
  </si>
  <si>
    <t xml:space="preserve">San Francisco, CA</t>
  </si>
  <si>
    <t xml:space="preserve">postal city of 71% of address points</t>
  </si>
  <si>
    <t xml:space="preserve">Burlingame; Hillsborough</t>
  </si>
  <si>
    <t xml:space="preserve">Hillsborough</t>
  </si>
  <si>
    <t xml:space="preserve">postal city of 98% of address points</t>
  </si>
  <si>
    <t xml:space="preserve">Los Angeles, CA</t>
  </si>
  <si>
    <t xml:space="preserve">San Rafael, CA</t>
  </si>
  <si>
    <t xml:space="preserve">Palos Verdes Estates</t>
  </si>
  <si>
    <t xml:space="preserve">postal city of 70% of address points</t>
  </si>
  <si>
    <t xml:space="preserve">Redwood City; Woodside</t>
  </si>
  <si>
    <t xml:space="preserve">Woodside</t>
  </si>
  <si>
    <t xml:space="preserve">postal city of 90% of address points</t>
  </si>
  <si>
    <t xml:space="preserve">Santa Rosa, CA</t>
  </si>
  <si>
    <t xml:space="preserve">All Residential (SFR missing)</t>
  </si>
  <si>
    <t xml:space="preserve">Santa Cruz, CA</t>
  </si>
  <si>
    <t xml:space="preserve">Capitola</t>
  </si>
  <si>
    <t xml:space="preserve">postal city of 92% of address points</t>
  </si>
  <si>
    <t xml:space="preserve">Broadmoor</t>
  </si>
  <si>
    <t xml:space="preserve">postal city of 95% of address points</t>
  </si>
  <si>
    <t xml:space="preserve">postal city of 68% of address points</t>
  </si>
  <si>
    <t xml:space="preserve">Santa Ana; North Tustin</t>
  </si>
  <si>
    <t xml:space="preserve">postal city of 57% of address points</t>
  </si>
  <si>
    <t xml:space="preserve">Ladera Ranch; Rancho Mission Viejo</t>
  </si>
  <si>
    <t xml:space="preserve">postal city of 94% of address points</t>
  </si>
  <si>
    <t xml:space="preserve">Oxnard, CA</t>
  </si>
  <si>
    <t xml:space="preserve">Thousand Oaks</t>
  </si>
  <si>
    <t xml:space="preserve">postal city of 97% of address points</t>
  </si>
  <si>
    <t xml:space="preserve">90505</t>
  </si>
  <si>
    <t xml:space="preserve">Torrance</t>
  </si>
  <si>
    <t xml:space="preserve">Southwood; Walteria</t>
  </si>
  <si>
    <t xml:space="preserve">92054</t>
  </si>
  <si>
    <t xml:space="preserve">Oceanside</t>
  </si>
  <si>
    <t xml:space="preserve">Buccaneer Beach; Escondido Junction; Crown Heights; Downtown Oceanside; Fire Mountain; Seaside; South Oceanside</t>
  </si>
  <si>
    <t xml:space="preserve">91367</t>
  </si>
  <si>
    <t xml:space="preserve">Woodland Hills</t>
  </si>
  <si>
    <t xml:space="preserve">Warner Center</t>
  </si>
  <si>
    <t xml:space="preserve">95136</t>
  </si>
  <si>
    <t xml:space="preserve">Branham; Communications Hill</t>
  </si>
  <si>
    <t xml:space="preserve">92629</t>
  </si>
  <si>
    <t xml:space="preserve">Dana Point</t>
  </si>
  <si>
    <t xml:space="preserve">South Cove; Chelsea Pointe; Niguel Shores</t>
  </si>
  <si>
    <t xml:space="preserve">92128</t>
  </si>
  <si>
    <t xml:space="preserve">Carmel Mountain Ranch; Rancho Bernardo; Sabre Springs; Carmel Heights; Highland Ranch; Montelena; Walden; Bernardo Heights; Bernardo Vista Del Lago; North Creek; Oaks North; Sabre Springs Town Center; Seven Oaks; South Creek</t>
  </si>
  <si>
    <t xml:space="preserve">91006</t>
  </si>
  <si>
    <t xml:space="preserve">Arcadia</t>
  </si>
  <si>
    <t xml:space="preserve">91364</t>
  </si>
  <si>
    <t xml:space="preserve">Woodland Hills; Woodland Hills-Warner Center Neighborhood Council District</t>
  </si>
  <si>
    <t xml:space="preserve">92111</t>
  </si>
  <si>
    <t xml:space="preserve">Kearny Mesa; Linda Vista; Alcala Knolls; Fashion Heights; Friars Village; Linda Vista Hills; Mesa College Area; Mission Heights; North Rim; South Mount Estates; University Canyon; Wheatley; Chesterton; Convoy District</t>
  </si>
  <si>
    <t xml:space="preserve">94538</t>
  </si>
  <si>
    <t xml:space="preserve">Irvington District; Curtner; Snoboy; Downtown Plaza; State Street Plaza</t>
  </si>
  <si>
    <t xml:space="preserve">94066</t>
  </si>
  <si>
    <t xml:space="preserve">San Bruno</t>
  </si>
  <si>
    <t xml:space="preserve">Tanforan</t>
  </si>
  <si>
    <t xml:space="preserve">93923</t>
  </si>
  <si>
    <t xml:space="preserve">Carmel</t>
  </si>
  <si>
    <t xml:space="preserve">Monterey</t>
  </si>
  <si>
    <t xml:space="preserve">Salinas, CA</t>
  </si>
  <si>
    <t xml:space="preserve">Carmel-by-the-Sea</t>
  </si>
  <si>
    <t xml:space="preserve">92627</t>
  </si>
  <si>
    <t xml:space="preserve">Santa Ana Country Club; South Mesa</t>
  </si>
  <si>
    <t xml:space="preserve">94598</t>
  </si>
  <si>
    <t xml:space="preserve">Walnut Creek</t>
  </si>
  <si>
    <t xml:space="preserve">Shell Ridge; Bancroft Village; Heather Farms</t>
  </si>
  <si>
    <t xml:space="preserve">92649</t>
  </si>
  <si>
    <t xml:space="preserve">90039</t>
  </si>
  <si>
    <t xml:space="preserve">Silver Lake Heights; Atwater Village; Elysian Valley; West Glendale</t>
  </si>
  <si>
    <t xml:space="preserve">92683</t>
  </si>
  <si>
    <t xml:space="preserve">Westminster</t>
  </si>
  <si>
    <t xml:space="preserve">Little Saigon</t>
  </si>
  <si>
    <t xml:space="preserve">93035</t>
  </si>
  <si>
    <t xml:space="preserve">Oxnard</t>
  </si>
  <si>
    <t xml:space="preserve">The Westerlies</t>
  </si>
  <si>
    <t xml:space="preserve">94114</t>
  </si>
  <si>
    <t xml:space="preserve">Duboce Triangle; Castro District; Noe Valley</t>
  </si>
  <si>
    <t xml:space="preserve">94127</t>
  </si>
  <si>
    <t xml:space="preserve">Balboa Terrace; Ingleside Terraces; Midtown Terrace; Mount Davidson Manor; Saint Francis Wood; West Portal</t>
  </si>
  <si>
    <t xml:space="preserve">91214</t>
  </si>
  <si>
    <t xml:space="preserve">La Crescenta</t>
  </si>
  <si>
    <t xml:space="preserve">Glendale</t>
  </si>
  <si>
    <t xml:space="preserve">95148</t>
  </si>
  <si>
    <t xml:space="preserve">94022</t>
  </si>
  <si>
    <t xml:space="preserve">Los Altos; Los Altos Hills</t>
  </si>
  <si>
    <t xml:space="preserve">Los Altos Hills</t>
  </si>
  <si>
    <t xml:space="preserve">92620</t>
  </si>
  <si>
    <t xml:space="preserve">Eastwood; Frances; Kathryn; Northwood; Northwood Pointe; Stonegate; Stonegate East; Woodbury; Doria; Mirasol; Mirasol Apartments; Palmeras; San Mateo; The Groves; Woodbury Lane; Woodbury Square</t>
  </si>
  <si>
    <t xml:space="preserve">94582</t>
  </si>
  <si>
    <t xml:space="preserve">Dougherty Valley; Gale Ranch; Windemere</t>
  </si>
  <si>
    <t xml:space="preserve">90291</t>
  </si>
  <si>
    <t xml:space="preserve">Venice</t>
  </si>
  <si>
    <t xml:space="preserve">Venice; Venice Canal Historic District</t>
  </si>
  <si>
    <t xml:space="preserve">92008</t>
  </si>
  <si>
    <t xml:space="preserve">Downtown Carlsbad; Farr; Barrio; Carlsbad Ranch; Carlsbad Village; Hedionda Point; Kelly Ranch; Olde Carlsbad</t>
  </si>
  <si>
    <t xml:space="preserve">93023</t>
  </si>
  <si>
    <t xml:space="preserve">Ojai</t>
  </si>
  <si>
    <t xml:space="preserve">Taormina</t>
  </si>
  <si>
    <t xml:space="preserve">91104</t>
  </si>
  <si>
    <t xml:space="preserve">Bungalow Heaven; Craftsman Heights; Normandie Heights; Orange Heights; Washington Square</t>
  </si>
  <si>
    <t xml:space="preserve">93105</t>
  </si>
  <si>
    <t xml:space="preserve">Santa Barbara</t>
  </si>
  <si>
    <t xml:space="preserve">Upper State</t>
  </si>
  <si>
    <t xml:space="preserve">Santa Maria, CA</t>
  </si>
  <si>
    <t xml:space="preserve">postal city of 82% of address points</t>
  </si>
  <si>
    <t xml:space="preserve">94303</t>
  </si>
  <si>
    <t xml:space="preserve">Palo Alto</t>
  </si>
  <si>
    <t xml:space="preserve">Duveneck - St. Francis; Embarcadero Oaks; Garland; Green Gables; Leland Manor; Midtown; Palo Verde; Triple El</t>
  </si>
  <si>
    <t xml:space="preserve">postal city of 53% of address points</t>
  </si>
  <si>
    <t xml:space="preserve">Palo Alto; East Palo Alto</t>
  </si>
  <si>
    <t xml:space="preserve">92780</t>
  </si>
  <si>
    <t xml:space="preserve">Tustin</t>
  </si>
  <si>
    <t xml:space="preserve">Browning</t>
  </si>
  <si>
    <t xml:space="preserve">postal city of 91% of address points</t>
  </si>
  <si>
    <t xml:space="preserve">90064</t>
  </si>
  <si>
    <t xml:space="preserve">California Country Club Estates; Cheviot Hills; Rancho Park</t>
  </si>
  <si>
    <t xml:space="preserve">92870</t>
  </si>
  <si>
    <t xml:space="preserve">Placentia</t>
  </si>
  <si>
    <t xml:space="preserve">Hamer; Old Town Placentia; La Jolla</t>
  </si>
  <si>
    <t xml:space="preserve">90026</t>
  </si>
  <si>
    <t xml:space="preserve">Echo Park; Hathaway Hills Estates; Angeleno Heights; Historic Filipinotown; Plaza José Martí; Silver Lake</t>
  </si>
  <si>
    <t xml:space="preserve">91016</t>
  </si>
  <si>
    <t xml:space="preserve">Monrovia</t>
  </si>
  <si>
    <t xml:space="preserve">91316</t>
  </si>
  <si>
    <t xml:space="preserve">Encino</t>
  </si>
  <si>
    <t xml:space="preserve">Encino; Encino Neighborhood Council District</t>
  </si>
  <si>
    <t xml:space="preserve">91011</t>
  </si>
  <si>
    <t xml:space="preserve">La Canada Flintridge</t>
  </si>
  <si>
    <t xml:space="preserve">La Cañada Flintridge</t>
  </si>
  <si>
    <t xml:space="preserve">91505</t>
  </si>
  <si>
    <t xml:space="preserve">Burbank</t>
  </si>
  <si>
    <t xml:space="preserve">92264</t>
  </si>
  <si>
    <t xml:space="preserve">Palm Springs</t>
  </si>
  <si>
    <t xml:space="preserve">Riverside</t>
  </si>
  <si>
    <t xml:space="preserve">Inland Empire (Riverside / San Bernardino)</t>
  </si>
  <si>
    <t xml:space="preserve">Little Beverly Hills; The Mesa; Twin Palms; Warm Sands</t>
  </si>
  <si>
    <t xml:space="preserve">Riverside, CA</t>
  </si>
  <si>
    <t xml:space="preserve">94507</t>
  </si>
  <si>
    <t xml:space="preserve">Alamo</t>
  </si>
  <si>
    <t xml:space="preserve">Alamo Crest; Alamo Oaks; Creeks of Alamo; Monte Sereno; Vista De Alamo</t>
  </si>
  <si>
    <t xml:space="preserve">94551</t>
  </si>
  <si>
    <t xml:space="preserve">Altamar Meadows; Amber Ridge; Arrowhead Estates; Autumn Springs; California Mountain View; California Promenade; California Ranch; Centra; Creekside; Danbury Park; Danbury Park II; Dover Place; Driftwood Gardens Apartments; Forget Me Not; Greenville North; Magnolia Place; Maralisa; Maralisa Courtyard; Mill Creek; Montrose; Parklane Estates; Portola Glen; Portola Meadows; Proud Country; Regency; Rose Gate Common; Saddleback; Scenic Links; Spring Valley; Springtown; Sun Valley Mobile Estates; Sunrise Mobile Home Park; The Bluffs; The Cottages; The Estate Collection; The Meadows; The Reserve; Trevarno; Villa Chardonnay</t>
  </si>
  <si>
    <t xml:space="preserve">94530</t>
  </si>
  <si>
    <t xml:space="preserve">El Cerrito</t>
  </si>
  <si>
    <t xml:space="preserve">94588</t>
  </si>
  <si>
    <t xml:space="preserve">Hacienda</t>
  </si>
  <si>
    <t xml:space="preserve">90503</t>
  </si>
  <si>
    <t xml:space="preserve">Del Amo; Delthorne; Madrona</t>
  </si>
  <si>
    <t xml:space="preserve">95032</t>
  </si>
  <si>
    <t xml:space="preserve">Los Gatos</t>
  </si>
  <si>
    <t xml:space="preserve">Vasona Junction; The Highlands of Los Gatos</t>
  </si>
  <si>
    <t xml:space="preserve">90638</t>
  </si>
  <si>
    <t xml:space="preserve">La Mirada</t>
  </si>
  <si>
    <t xml:space="preserve">Bell Tower Square - Biola University</t>
  </si>
  <si>
    <t xml:space="preserve">92867</t>
  </si>
  <si>
    <t xml:space="preserve">91436</t>
  </si>
  <si>
    <t xml:space="preserve">90803</t>
  </si>
  <si>
    <t xml:space="preserve">Belmont Shore; Naples; Marina Pacifica</t>
  </si>
  <si>
    <t xml:space="preserve">94544</t>
  </si>
  <si>
    <t xml:space="preserve">95128</t>
  </si>
  <si>
    <t xml:space="preserve">94610</t>
  </si>
  <si>
    <t xml:space="preserve">Adams Point; Grand Lake; Lakeshore; Trestle Glen</t>
  </si>
  <si>
    <t xml:space="preserve">92126</t>
  </si>
  <si>
    <t xml:space="preserve">Mira Mesa; Miramar; Carroll Canyon Gateway; Little India; Sorrento Heights; 3Roots; Camino Village; Lopez Ridge; Mesa Verde; Mira Mesa Gateway; Mira Mesa Town Center; Miramar Gateway; Parkdale; Westview</t>
  </si>
  <si>
    <t xml:space="preserve">93940</t>
  </si>
  <si>
    <t xml:space="preserve">Del Monte; New Monterey; Downtown Monterey; Ocean View Plaza; Old Monterey; Skyline; Spaghetti Hill (Old Town); York Quad</t>
  </si>
  <si>
    <t xml:space="preserve">94306</t>
  </si>
  <si>
    <t xml:space="preserve">Arbor Real; Barron Park; Buena Vista Mobile Home Park; Charleston Meadows; College Terrace; Evergreen Park; Fairmeadow; South of Midtown; Southgate; Ventura</t>
  </si>
  <si>
    <t xml:space="preserve">94002</t>
  </si>
  <si>
    <t xml:space="preserve">Belmont</t>
  </si>
  <si>
    <t xml:space="preserve">95129</t>
  </si>
  <si>
    <t xml:space="preserve">Strawberry Square</t>
  </si>
  <si>
    <t xml:space="preserve">95132</t>
  </si>
  <si>
    <t xml:space="preserve">90043</t>
  </si>
  <si>
    <t xml:space="preserve">Hyde Park; Windsor Hills</t>
  </si>
  <si>
    <t xml:space="preserve">92106</t>
  </si>
  <si>
    <t xml:space="preserve">Fort Rosecrans; Little Portugal; Point Loma Naval Base; Point Loma Naval Station; Wooded Area; Fleetridge; La Playa; Liberty Station; Loma Portal; Roseville</t>
  </si>
  <si>
    <t xml:space="preserve">91401</t>
  </si>
  <si>
    <t xml:space="preserve">Van Nuys</t>
  </si>
  <si>
    <t xml:space="preserve">Van Nuys; Van Nuys Neighborhood Council District; Greater Valley Glen Neighborhood Council District; Ernani Bernardi Plaza</t>
  </si>
  <si>
    <t xml:space="preserve">93108</t>
  </si>
  <si>
    <t xml:space="preserve">Montecito</t>
  </si>
  <si>
    <t xml:space="preserve">postal city of 73% of address points</t>
  </si>
  <si>
    <t xml:space="preserve">Montecito; Santa Barbara</t>
  </si>
  <si>
    <t xml:space="preserve">94952</t>
  </si>
  <si>
    <t xml:space="preserve">Petaluma</t>
  </si>
  <si>
    <t xml:space="preserve">East Petaluma; Old Adams District</t>
  </si>
  <si>
    <t xml:space="preserve">92011</t>
  </si>
  <si>
    <t xml:space="preserve">Altamira; Cantamar; Cottage Row Carlsbad; Emerald Point Estates; Harbor Pointe; Las Playas; Laurel Tree Apartments; Marbrisa; Mariners; Mariners Point; Morning Ridge; Parkside; Pavoreal; Saltaire; Seabright; Seagate; Seaside Heights; Shorepointe; The Cove; Aviara; Poinsettia; Ponto</t>
  </si>
  <si>
    <t xml:space="preserve">92103</t>
  </si>
  <si>
    <t xml:space="preserve">Hillcrest; Middletown; Mission Hills; Egyptian Quarter; Pride Square; University Heights; Uptown Medical Complex</t>
  </si>
  <si>
    <t xml:space="preserve">94301</t>
  </si>
  <si>
    <t xml:space="preserve">Community Center; Crescent Park; Downtown North; Old Palo Alto; Professorville; University South</t>
  </si>
  <si>
    <t xml:space="preserve">94708</t>
  </si>
  <si>
    <t xml:space="preserve">Berkeley</t>
  </si>
  <si>
    <t xml:space="preserve">Berkeley Hills; Cragmont; La Loma Park</t>
  </si>
  <si>
    <t xml:space="preserve">95112</t>
  </si>
  <si>
    <t xml:space="preserve">Japantown; Luna Park; Hensley Historic District; Horace Mann; Naglee Park; Saint James Square Historic District; Spartan Keyes</t>
  </si>
  <si>
    <t xml:space="preserve">90713</t>
  </si>
  <si>
    <t xml:space="preserve">Lakewood</t>
  </si>
  <si>
    <t xml:space="preserve">91709</t>
  </si>
  <si>
    <t xml:space="preserve">Chino Hills</t>
  </si>
  <si>
    <t xml:space="preserve">San Bernardino</t>
  </si>
  <si>
    <t xml:space="preserve">94577</t>
  </si>
  <si>
    <t xml:space="preserve">San Leandro</t>
  </si>
  <si>
    <t xml:space="preserve">Mulford; Mulford Gardens</t>
  </si>
  <si>
    <t xml:space="preserve">92056</t>
  </si>
  <si>
    <t xml:space="preserve">El Corazon; Talich; Ocean Hills; Peacock Hills; Rancho del Oro; Tri-City</t>
  </si>
  <si>
    <t xml:space="preserve">95062</t>
  </si>
  <si>
    <t xml:space="preserve">Eastside; Seabright; East Morrissey</t>
  </si>
  <si>
    <t xml:space="preserve">91001</t>
  </si>
  <si>
    <t xml:space="preserve">Altadena</t>
  </si>
  <si>
    <t xml:space="preserve">92120</t>
  </si>
  <si>
    <t xml:space="preserve">Allied Gardens; Del Cerro; Grantville; Navajo</t>
  </si>
  <si>
    <t xml:space="preserve">92833</t>
  </si>
  <si>
    <t xml:space="preserve">Fullerton</t>
  </si>
  <si>
    <t xml:space="preserve">Hawks Pointe</t>
  </si>
  <si>
    <t xml:space="preserve">94558</t>
  </si>
  <si>
    <t xml:space="preserve">Napa</t>
  </si>
  <si>
    <t xml:space="preserve">Napa, CA</t>
  </si>
  <si>
    <t xml:space="preserve">90027</t>
  </si>
  <si>
    <t xml:space="preserve">Los Feliz; Little Armenia; Thai Town; Los Feliz Neighborhood Council District</t>
  </si>
  <si>
    <t xml:space="preserve">92653</t>
  </si>
  <si>
    <t xml:space="preserve">Laguna Hills</t>
  </si>
  <si>
    <t xml:space="preserve">Acacia Knolls; North Laguna Hills</t>
  </si>
  <si>
    <t xml:space="preserve">90041</t>
  </si>
  <si>
    <t xml:space="preserve">Eagle Rock</t>
  </si>
  <si>
    <t xml:space="preserve">94920</t>
  </si>
  <si>
    <t xml:space="preserve">Tiburon</t>
  </si>
  <si>
    <t xml:space="preserve">Tiburon; Belvedere</t>
  </si>
  <si>
    <t xml:space="preserve">94960</t>
  </si>
  <si>
    <t xml:space="preserve">San Anselmo</t>
  </si>
  <si>
    <t xml:space="preserve">90805</t>
  </si>
  <si>
    <t xml:space="preserve">North Long Beach</t>
  </si>
  <si>
    <t xml:space="preserve">90265</t>
  </si>
  <si>
    <t xml:space="preserve">Malibu</t>
  </si>
  <si>
    <t xml:space="preserve">Malibu Country Estates; Malibu Riviera</t>
  </si>
  <si>
    <t xml:space="preserve">Unincorporated Santa Monica Mountains</t>
  </si>
  <si>
    <t xml:space="preserve">94523</t>
  </si>
  <si>
    <t xml:space="preserve">Pleasant Hill</t>
  </si>
  <si>
    <t xml:space="preserve">Camelback; College Park; Diablo Valley Estates; Ellinwood; Grayson Woods; Gregory Gardens; Greyson Place; Hillsdale; Oak Gate Place; Pleasant Valley; Poet's Corner; Ridgeview; Shannon Hills; Sherman Acres; Valhalla; Valley High; Village Square; West Sherman Acres; Woodside Meadows</t>
  </si>
  <si>
    <t xml:space="preserve">95472</t>
  </si>
  <si>
    <t xml:space="preserve">Sebastopol</t>
  </si>
  <si>
    <t xml:space="preserve">92109</t>
  </si>
  <si>
    <t xml:space="preserve">Mission Beach; Pacific Beach; Braemar; Dana Landing; Floral Terrace; Marina Village; Pacifica; Riviera Shores; Rose Canyon Gateway; Soledad Terrace; Crown Point; North Pacific Beach; Sail Bay; South Mission Beach; Vacation Isle</t>
  </si>
  <si>
    <t xml:space="preserve">92116</t>
  </si>
  <si>
    <t xml:space="preserve">Normal Heights; Kensington</t>
  </si>
  <si>
    <t xml:space="preserve">90277</t>
  </si>
  <si>
    <t xml:space="preserve">Redondo Beach</t>
  </si>
  <si>
    <t xml:space="preserve">Hollywood Riviera; Riviera Village</t>
  </si>
  <si>
    <t xml:space="preserve">90620</t>
  </si>
  <si>
    <t xml:space="preserve">Buena Park</t>
  </si>
  <si>
    <t xml:space="preserve">The Plaza at Ehlers Event Center</t>
  </si>
  <si>
    <t xml:space="preserve">91007</t>
  </si>
  <si>
    <t xml:space="preserve">92104</t>
  </si>
  <si>
    <t xml:space="preserve">North Park; Latine Corridor; Altadena; Burlingame; Cherokee Point; Corridor; Montclair</t>
  </si>
  <si>
    <t xml:space="preserve">95050</t>
  </si>
  <si>
    <t xml:space="preserve">90278</t>
  </si>
  <si>
    <t xml:space="preserve">El Nido</t>
  </si>
  <si>
    <t xml:space="preserve">93001</t>
  </si>
  <si>
    <t xml:space="preserve">postal city of 96% of address points</t>
  </si>
  <si>
    <t xml:space="preserve">94555</t>
  </si>
  <si>
    <t xml:space="preserve">92804</t>
  </si>
  <si>
    <t xml:space="preserve">Anaheim</t>
  </si>
  <si>
    <t xml:space="preserve">Little Arabia</t>
  </si>
  <si>
    <t xml:space="preserve">Anaheim; 4-An-7</t>
  </si>
  <si>
    <t xml:space="preserve">90720</t>
  </si>
  <si>
    <t xml:space="preserve">Los Alamitos</t>
  </si>
  <si>
    <t xml:space="preserve">postal city of 59% of address points</t>
  </si>
  <si>
    <t xml:space="preserve">Los Alamitos; Rossmoor</t>
  </si>
  <si>
    <t xml:space="preserve">95111</t>
  </si>
  <si>
    <t xml:space="preserve">Seven Trees; Edenvale</t>
  </si>
  <si>
    <t xml:space="preserve">93401</t>
  </si>
  <si>
    <t xml:space="preserve">San Luis Obispo</t>
  </si>
  <si>
    <t xml:space="preserve">Downtown; Japantown; Little Italy; Mill Street District; Railroad District; San Luis Country Club Estates; South Morros; Vinifera</t>
  </si>
  <si>
    <t xml:space="preserve">San Luis Obispo, CA</t>
  </si>
  <si>
    <t xml:space="preserve">92602</t>
  </si>
  <si>
    <t xml:space="preserve">Lower Peters Canyon; Myford; Orchard Hills</t>
  </si>
  <si>
    <t xml:space="preserve">95030</t>
  </si>
  <si>
    <t xml:space="preserve">postal city of 79% of address points</t>
  </si>
  <si>
    <t xml:space="preserve">Los Gatos; Monte Sereno</t>
  </si>
  <si>
    <t xml:space="preserve">91789</t>
  </si>
  <si>
    <t xml:space="preserve">Walnut</t>
  </si>
  <si>
    <t xml:space="preserve">94541</t>
  </si>
  <si>
    <t xml:space="preserve">91780</t>
  </si>
  <si>
    <t xml:space="preserve">Temple City</t>
  </si>
  <si>
    <t xml:space="preserve">90630</t>
  </si>
  <si>
    <t xml:space="preserve">Cypress</t>
  </si>
  <si>
    <t xml:space="preserve">94121</t>
  </si>
  <si>
    <t xml:space="preserve">Seacliff; Outer Richmond</t>
  </si>
  <si>
    <t xml:space="preserve">94619</t>
  </si>
  <si>
    <t xml:space="preserve">Laurel; Maxwell Park</t>
  </si>
  <si>
    <t xml:space="preserve">90034</t>
  </si>
  <si>
    <t xml:space="preserve">Palms; Castle Heights; Reynier Village; Westside Village</t>
  </si>
  <si>
    <t xml:space="preserve">92107</t>
  </si>
  <si>
    <t xml:space="preserve">Ocean Beach; Point Loma; Azure Vista; Loma Alta; Mariner's Cove; Ocean Beach Highlands; Point Loma Heights; Sunset Cliffs</t>
  </si>
  <si>
    <t xml:space="preserve">92663</t>
  </si>
  <si>
    <t xml:space="preserve">Bayshores; Harbor Heights; Newport Shores; Superior Heights; Cliff Haven; Lido Isle; Newport Heights; Newport Village; West Newport</t>
  </si>
  <si>
    <t xml:space="preserve">94134</t>
  </si>
  <si>
    <t xml:space="preserve">Little Hollywood; Portola; Visitacion Valley</t>
  </si>
  <si>
    <t xml:space="preserve">90016</t>
  </si>
  <si>
    <t xml:space="preserve">Mid-City; West Adams; Cameo Woods; Mid-City Heights; Sentous; Village Green</t>
  </si>
  <si>
    <t xml:space="preserve">94014</t>
  </si>
  <si>
    <t xml:space="preserve">Bayshore; Top of the Hill</t>
  </si>
  <si>
    <t xml:space="preserve">90019</t>
  </si>
  <si>
    <t xml:space="preserve">Mid-Wilshire; Country Club Park; Lafayette Park Square; Little Ethiopia; Oxford Square; Victoria Park; Arlington Heights</t>
  </si>
  <si>
    <t xml:space="preserve">91403</t>
  </si>
  <si>
    <t xml:space="preserve">Sherman Oaks; Sherman Oaks Neighborhood Council District</t>
  </si>
  <si>
    <t xml:space="preserve">93950</t>
  </si>
  <si>
    <t xml:space="preserve">Pacific Grove</t>
  </si>
  <si>
    <t xml:space="preserve">Pacific Grove Acres</t>
  </si>
  <si>
    <t xml:space="preserve">94618</t>
  </si>
  <si>
    <t xml:space="preserve">Rockridge; Upper Rockridge</t>
  </si>
  <si>
    <t xml:space="preserve">90069</t>
  </si>
  <si>
    <t xml:space="preserve">West Hollywood</t>
  </si>
  <si>
    <t xml:space="preserve">90703</t>
  </si>
  <si>
    <t xml:space="preserve">Cerritos</t>
  </si>
  <si>
    <t xml:space="preserve">92869</t>
  </si>
  <si>
    <t xml:space="preserve">El Modena; North El Modena; Orange Park Acres</t>
  </si>
  <si>
    <t xml:space="preserve">92821</t>
  </si>
  <si>
    <t xml:space="preserve">Brea</t>
  </si>
  <si>
    <t xml:space="preserve">Downtown Brea; Country Hills</t>
  </si>
  <si>
    <t xml:space="preserve">90712</t>
  </si>
  <si>
    <t xml:space="preserve">90077</t>
  </si>
  <si>
    <t xml:space="preserve">Beverly Glen; Bel Air</t>
  </si>
  <si>
    <t xml:space="preserve">92118</t>
  </si>
  <si>
    <t xml:space="preserve">Coronado</t>
  </si>
  <si>
    <t xml:space="preserve">Coronado Cays; Crown Island; Coronado Beaches; Coronado Ferry Landing; Coronado Shores; Downtown Coronado; Glorietta Bay; Silver Strand</t>
  </si>
  <si>
    <t xml:space="preserve">91108</t>
  </si>
  <si>
    <t xml:space="preserve">San Marino</t>
  </si>
  <si>
    <t xml:space="preserve">94559</t>
  </si>
  <si>
    <t xml:space="preserve">91506</t>
  </si>
  <si>
    <t xml:space="preserve">95122</t>
  </si>
  <si>
    <t xml:space="preserve">Little Saigon; Meadowfair</t>
  </si>
  <si>
    <t xml:space="preserve">91301</t>
  </si>
  <si>
    <t xml:space="preserve">Agoura Hills</t>
  </si>
  <si>
    <t xml:space="preserve">94019</t>
  </si>
  <si>
    <t xml:space="preserve">Half Moon Bay</t>
  </si>
  <si>
    <t xml:space="preserve">postal city of 89% of address points</t>
  </si>
  <si>
    <t xml:space="preserve">94086</t>
  </si>
  <si>
    <t xml:space="preserve">Plaza del Sol</t>
  </si>
  <si>
    <t xml:space="preserve">92688</t>
  </si>
  <si>
    <t xml:space="preserve">Las Flores</t>
  </si>
  <si>
    <t xml:space="preserve">postal city of 88% of address points</t>
  </si>
  <si>
    <t xml:space="preserve">Rancho Santa Margarita; Las Flores</t>
  </si>
  <si>
    <t xml:space="preserve">91775</t>
  </si>
  <si>
    <t xml:space="preserve">San Gabriel</t>
  </si>
  <si>
    <t xml:space="preserve">92625</t>
  </si>
  <si>
    <t xml:space="preserve">Broadmoor; Broadmoor Hills; Cameo Cliffs; Cameo Highlands; Canyon Crest; Corona Highlands; Corona del Mar Village; Harbor View Hills; Harbor View Hills South; Harbor Woods; Jasmine Creek; Pointe del Mar; Sailhouse; Sandcastle; Shore Cliffs; Spyglass Hill; Spyglass Ridge; The Terraces; The View; Corona del Mar; Irvine Terrace</t>
  </si>
  <si>
    <t xml:space="preserve">93111</t>
  </si>
  <si>
    <t xml:space="preserve">Santa Barbara Unincorporated</t>
  </si>
  <si>
    <t xml:space="preserve">Santa Barbara Unincorporated; Goleta</t>
  </si>
  <si>
    <t xml:space="preserve">Goleta</t>
  </si>
  <si>
    <t xml:space="preserve">94040</t>
  </si>
  <si>
    <t xml:space="preserve">Mountain View</t>
  </si>
  <si>
    <t xml:space="preserve">Castro City</t>
  </si>
  <si>
    <t xml:space="preserve">90402</t>
  </si>
  <si>
    <t xml:space="preserve">Santa Monica</t>
  </si>
  <si>
    <t xml:space="preserve">92845</t>
  </si>
  <si>
    <t xml:space="preserve">Garden Grove</t>
  </si>
  <si>
    <t xml:space="preserve">94553</t>
  </si>
  <si>
    <t xml:space="preserve">Martinez</t>
  </si>
  <si>
    <t xml:space="preserve">Alhambra Valley; Virginia Hills</t>
  </si>
  <si>
    <t xml:space="preserve">92067</t>
  </si>
  <si>
    <t xml:space="preserve">Rancho Santa Fe</t>
  </si>
  <si>
    <t xml:space="preserve">90032</t>
  </si>
  <si>
    <t xml:space="preserve">Baird Park; Newton Park; Omaha Heights; Rose Hill; University Hills; El Sereno</t>
  </si>
  <si>
    <t xml:space="preserve">91030</t>
  </si>
  <si>
    <t xml:space="preserve">South Pasadena</t>
  </si>
  <si>
    <t xml:space="preserve">92210</t>
  </si>
  <si>
    <t xml:space="preserve">Indian Wells</t>
  </si>
  <si>
    <t xml:space="preserve">93117</t>
  </si>
  <si>
    <t xml:space="preserve">65 Block; 66 Block; 67 Block; 68 Block; El Encanto Heights; Ellwood</t>
  </si>
  <si>
    <t xml:space="preserve">postal city of 77% of address points</t>
  </si>
  <si>
    <t xml:space="preserve">Goleta; Isla Vista</t>
  </si>
  <si>
    <t xml:space="preserve">95121</t>
  </si>
  <si>
    <t xml:space="preserve">95020</t>
  </si>
  <si>
    <t xml:space="preserve">Gilroy</t>
  </si>
  <si>
    <t xml:space="preserve">Glen Loma Ranch</t>
  </si>
  <si>
    <t xml:space="preserve">91320</t>
  </si>
  <si>
    <t xml:space="preserve">Newbury Park</t>
  </si>
  <si>
    <t xml:space="preserve">Newbury Park; Arbor Hills; Brighton Lane; San Alicia</t>
  </si>
  <si>
    <t xml:space="preserve">92122</t>
  </si>
  <si>
    <t xml:space="preserve">University City; Costa Verde; Genesee Highlands; Governor Park; Pennant Village; University Gardens; University Village; La Jolla Colony; Rennaissance; University Square; University Towne Center</t>
  </si>
  <si>
    <t xml:space="preserve">92131</t>
  </si>
  <si>
    <t xml:space="preserve">Scripps Ranch; Chantemar; Crown Pointe; Cypress Canyon; Jerabek; Lakeview; Scripps Gateway; Scripps Highlands; Scripps Mesa; Scripps Ranch Business Park; Scripps Ranch Technology Park; Whispering Ridge; Fairbrook; Miramar Ranch North; Scripps Miramar Ranch</t>
  </si>
  <si>
    <t xml:space="preserve">90272</t>
  </si>
  <si>
    <t xml:space="preserve">Pacific Palisades</t>
  </si>
  <si>
    <t xml:space="preserve">Castellammare; Riviera</t>
  </si>
  <si>
    <t xml:space="preserve">91607</t>
  </si>
  <si>
    <t xml:space="preserve">Valley Village</t>
  </si>
  <si>
    <t xml:space="preserve">Garnsey; Valley Village; Valley Village Neighborhood Council District</t>
  </si>
  <si>
    <t xml:space="preserve">94030</t>
  </si>
  <si>
    <t xml:space="preserve">Millbrae</t>
  </si>
  <si>
    <t xml:space="preserve">91977</t>
  </si>
  <si>
    <t xml:space="preserve">Spring Valley</t>
  </si>
  <si>
    <t xml:space="preserve">Bancroft Point</t>
  </si>
  <si>
    <t xml:space="preserve">Lemon Grove</t>
  </si>
  <si>
    <t xml:space="preserve">94118</t>
  </si>
  <si>
    <t xml:space="preserve">Richmond District; Jordan Park; Laurel Heights; Presidio Heights; Presidio Terrace; Inner Richmond</t>
  </si>
  <si>
    <t xml:space="preserve">91942</t>
  </si>
  <si>
    <t xml:space="preserve">La Mesa</t>
  </si>
  <si>
    <t xml:space="preserve">Grossmont; Lake Murray; Rasonia; Rolando Knolls; Severin Grossmont Hills; La Mesa Colony</t>
  </si>
  <si>
    <t xml:space="preserve">92835</t>
  </si>
  <si>
    <t xml:space="preserve">91344</t>
  </si>
  <si>
    <t xml:space="preserve">Granada Hills</t>
  </si>
  <si>
    <t xml:space="preserve">Granada Hills; Cagney Ranch Estates; Granada Hills North Neighborhood Council District; Granada Hills South Neighborhood Council District; Knollwood Country Club Estates</t>
  </si>
  <si>
    <t xml:space="preserve">95448</t>
  </si>
  <si>
    <t xml:space="preserve">Healdsburg</t>
  </si>
  <si>
    <t xml:space="preserve">94707</t>
  </si>
  <si>
    <t xml:space="preserve">Northbrae; Thousand Oaks</t>
  </si>
  <si>
    <t xml:space="preserve">90250</t>
  </si>
  <si>
    <t xml:space="preserve">Hawthorne</t>
  </si>
  <si>
    <t xml:space="preserve">Del Aire</t>
  </si>
  <si>
    <t xml:space="preserve">92119</t>
  </si>
  <si>
    <t xml:space="preserve">92071</t>
  </si>
  <si>
    <t xml:space="preserve">Santee</t>
  </si>
  <si>
    <t xml:space="preserve">Carlton Hills; Carlton Oaks; Santee Trolley Square; Sky Ranch</t>
  </si>
  <si>
    <t xml:space="preserve">90807</t>
  </si>
  <si>
    <t xml:space="preserve">Bixby Knolls; California Heights</t>
  </si>
  <si>
    <t xml:space="preserve">94580</t>
  </si>
  <si>
    <t xml:space="preserve">90740</t>
  </si>
  <si>
    <t xml:space="preserve">Seal Beach</t>
  </si>
  <si>
    <t xml:space="preserve">Mutual 1</t>
  </si>
  <si>
    <t xml:space="preserve">90230</t>
  </si>
  <si>
    <t xml:space="preserve">Culver City</t>
  </si>
  <si>
    <t xml:space="preserve">Fox Hills; Sunkist Park</t>
  </si>
  <si>
    <t xml:space="preserve">91206</t>
  </si>
  <si>
    <t xml:space="preserve">Emerald Isle; Glendale Civic Center</t>
  </si>
  <si>
    <t xml:space="preserve">91356</t>
  </si>
  <si>
    <t xml:space="preserve">Tarzana</t>
  </si>
  <si>
    <t xml:space="preserve">Tarzana; Tarzana Neighborhood Council District</t>
  </si>
  <si>
    <t xml:space="preserve">91105</t>
  </si>
  <si>
    <t xml:space="preserve">93442</t>
  </si>
  <si>
    <t xml:space="preserve">Morro Bay</t>
  </si>
  <si>
    <t xml:space="preserve">94556</t>
  </si>
  <si>
    <t xml:space="preserve">Moraga</t>
  </si>
  <si>
    <t xml:space="preserve">Rheem Valley</t>
  </si>
  <si>
    <t xml:space="preserve">94596</t>
  </si>
  <si>
    <t xml:space="preserve">San Miguel; Walnut Heights</t>
  </si>
  <si>
    <t xml:space="preserve">95126</t>
  </si>
  <si>
    <t xml:space="preserve">Buena Vista; Rose Garden; College Park; Fruitdale; Gardner; Newhall</t>
  </si>
  <si>
    <t xml:space="preserve">95404</t>
  </si>
  <si>
    <t xml:space="preserve">Santa Rosa</t>
  </si>
  <si>
    <t xml:space="preserve">90605</t>
  </si>
  <si>
    <t xml:space="preserve">Whittier</t>
  </si>
  <si>
    <t xml:space="preserve">East Whittier; Friendly Hills</t>
  </si>
  <si>
    <t xml:space="preserve">94605</t>
  </si>
  <si>
    <t xml:space="preserve">Eastmont; Millsmont; Seminary Park</t>
  </si>
  <si>
    <t xml:space="preserve">94521</t>
  </si>
  <si>
    <t xml:space="preserve">Concord</t>
  </si>
  <si>
    <t xml:space="preserve">Ayers Ranch; Canterbury Village; Canyon Creek; Clayton Valley Highlands; Montecito; Rose Glen; Turtle Creek; Vista Heights; Walnut Country</t>
  </si>
  <si>
    <t xml:space="preserve">92887</t>
  </si>
  <si>
    <t xml:space="preserve">94401</t>
  </si>
  <si>
    <t xml:space="preserve">90504</t>
  </si>
  <si>
    <t xml:space="preserve">La Fresa; Bridgedale; Moneta</t>
  </si>
  <si>
    <t xml:space="preserve">91342</t>
  </si>
  <si>
    <t xml:space="preserve">Sylmar</t>
  </si>
  <si>
    <t xml:space="preserve">Lopez/Kagel Canyons; Sylmar; Carey Ranch; El Merrie Del; Lake View Terrace; Shadow Glen Estates; Sylmar Acres; Sylmar Neighborhood Council District; The Legends at Cascades; Village Green; Rancho Cascades</t>
  </si>
  <si>
    <t xml:space="preserve">91103</t>
  </si>
  <si>
    <t xml:space="preserve">Old Pasadena</t>
  </si>
  <si>
    <t xml:space="preserve">93449</t>
  </si>
  <si>
    <t xml:space="preserve">Pismo Beach</t>
  </si>
  <si>
    <t xml:space="preserve">Pacific Estates; Pismo Marsh; Pismo Oaks; Sunset Palisades; Toucan Terrace</t>
  </si>
  <si>
    <t xml:space="preserve">92805</t>
  </si>
  <si>
    <t xml:space="preserve">91040</t>
  </si>
  <si>
    <t xml:space="preserve">Sunland</t>
  </si>
  <si>
    <t xml:space="preserve">Shadow Hills</t>
  </si>
  <si>
    <t xml:space="preserve">93010</t>
  </si>
  <si>
    <t xml:space="preserve">Camarillo</t>
  </si>
  <si>
    <t xml:space="preserve">Camarillo Heights; Las Posas Estates; Old Town; Spanish Hills; Sterling Hills</t>
  </si>
  <si>
    <t xml:space="preserve">91208</t>
  </si>
  <si>
    <t xml:space="preserve">Rancho San Rafael; Sparr Heights</t>
  </si>
  <si>
    <t xml:space="preserve">94597</t>
  </si>
  <si>
    <t xml:space="preserve">Acalanes Ridge</t>
  </si>
  <si>
    <t xml:space="preserve">91602</t>
  </si>
  <si>
    <t xml:space="preserve">North Hollywood</t>
  </si>
  <si>
    <t xml:space="preserve">Greater Toluca Lake Neighborhood Council District; Toluca Estates; Toluca Lake</t>
  </si>
  <si>
    <t xml:space="preserve">92110</t>
  </si>
  <si>
    <t xml:space="preserve">Bay Park; Midway District; Morena; Old Town; Loma Palisades; Loma Riviera; Overlook Heights; Five Points; Silver Terrace; Strata Plaza; Tecolote Gateway; Western Hills</t>
  </si>
  <si>
    <t xml:space="preserve">93012</t>
  </si>
  <si>
    <t xml:space="preserve">Mission Oaks; Camino Ruiz Square; Leisure Village</t>
  </si>
  <si>
    <t xml:space="preserve">90004</t>
  </si>
  <si>
    <t xml:space="preserve">Larchmont; Little Bangladesh; Wilton Historic District; Hancock Park; Windsor Square</t>
  </si>
  <si>
    <t xml:space="preserve">92010</t>
  </si>
  <si>
    <t xml:space="preserve">Acacia at The Preserve; Agave at The Preserve; Blue Sage at The Preserve; Capistrano; Cypress at The Preserve; Mariposa; Mystic Point; Ravinia; Robertson Ranch; Shefield; Summerhouse; Sunny Creek; The Cliffs at Calavera Hills; The Foothills; The Knolls of Calavera Hills; The Trails at Calavera Hills; Calavera Hills; Rancho Carlsbad; Tamarack Point</t>
  </si>
  <si>
    <t xml:space="preserve">92014</t>
  </si>
  <si>
    <t xml:space="preserve">Del Mar</t>
  </si>
  <si>
    <t xml:space="preserve">Del Mar Heights; Del Mar Estates; Del Mar Woods; Flower Hill; Rancho Del Mar; Beach Colony; Del Mar Bluffs; Torrey Pines Terrace; Via de la Valle</t>
  </si>
  <si>
    <t xml:space="preserve">95138</t>
  </si>
  <si>
    <t xml:space="preserve">Silver Creek</t>
  </si>
  <si>
    <t xml:space="preserve">90731</t>
  </si>
  <si>
    <t xml:space="preserve">San Pedro</t>
  </si>
  <si>
    <t xml:space="preserve">San Pedro; La Rambla; Little Italy; Piazza Miramare; San Pedro Arts and Cultural District</t>
  </si>
  <si>
    <t xml:space="preserve">92840</t>
  </si>
  <si>
    <t xml:space="preserve">94404</t>
  </si>
  <si>
    <t xml:space="preserve">Foster City</t>
  </si>
  <si>
    <t xml:space="preserve">postal city of 87% of address points</t>
  </si>
  <si>
    <t xml:space="preserve">Foster City; San Mateo</t>
  </si>
  <si>
    <t xml:space="preserve">94904</t>
  </si>
  <si>
    <t xml:space="preserve">Greenbrae</t>
  </si>
  <si>
    <t xml:space="preserve">postal city of 62% of address points</t>
  </si>
  <si>
    <t xml:space="preserve">Greenbrae; Kentfield</t>
  </si>
  <si>
    <t xml:space="preserve">Larkspur</t>
  </si>
  <si>
    <t xml:space="preserve">94947</t>
  </si>
  <si>
    <t xml:space="preserve">Novato</t>
  </si>
  <si>
    <t xml:space="preserve">Canyon Green</t>
  </si>
  <si>
    <t xml:space="preserve">95131</t>
  </si>
  <si>
    <t xml:space="preserve">Notting Hill - Royal Crest</t>
  </si>
  <si>
    <t xml:space="preserve">90631</t>
  </si>
  <si>
    <t xml:space="preserve">La Habra</t>
  </si>
  <si>
    <t xml:space="preserve">La Habra Heights</t>
  </si>
  <si>
    <t xml:space="preserve">92078</t>
  </si>
  <si>
    <t xml:space="preserve">San Marcos</t>
  </si>
  <si>
    <t xml:space="preserve">San Elijo Hills; Quail Hill; Creek District; Discovery Hills; La Mirada; North City; Old Creek Ranch; Rancho Tesoro</t>
  </si>
  <si>
    <t xml:space="preserve">92114</t>
  </si>
  <si>
    <t xml:space="preserve">Bay Terraces; Encanto; Skyline; South Chollas Valley; South Encanto; Alta Vista; Black Arts &amp; Culture District; Broadway Heights; Emerald Hills; Jamacha; Lomita; North Bay Terraces; O'Farrell; Valencia Park</t>
  </si>
  <si>
    <t xml:space="preserve">90036</t>
  </si>
  <si>
    <t xml:space="preserve">Fairfax; Miracle Mile; Park La Brea</t>
  </si>
  <si>
    <t xml:space="preserve">90048</t>
  </si>
  <si>
    <t xml:space="preserve">Carthay; Beverly Grove</t>
  </si>
  <si>
    <t xml:space="preserve">91504</t>
  </si>
  <si>
    <t xml:space="preserve">Glencrest Hills; Hagop Terpanjian Plaza</t>
  </si>
  <si>
    <t xml:space="preserve">94702</t>
  </si>
  <si>
    <t xml:space="preserve">Harmon Tract; Poets Corner; San Pablo Park; Westbrae</t>
  </si>
  <si>
    <t xml:space="preserve">92704</t>
  </si>
  <si>
    <t xml:space="preserve">North Island; Thornton Park</t>
  </si>
  <si>
    <t xml:space="preserve">95116</t>
  </si>
  <si>
    <t xml:space="preserve">Little Portugal</t>
  </si>
  <si>
    <t xml:space="preserve">92105</t>
  </si>
  <si>
    <t xml:space="preserve">City Heights; Somali Town; Azalea Park; Bayridge; Castle; Chollas Creek; East San Diego; Fairmount Park; Fox Canyon; Hollywood Park; Islenair; Ridgeview; Swan Canyon; Teralta</t>
  </si>
  <si>
    <t xml:space="preserve">93109</t>
  </si>
  <si>
    <t xml:space="preserve">The Mesa</t>
  </si>
  <si>
    <t xml:space="preserve">91042</t>
  </si>
  <si>
    <t xml:space="preserve">Tujunga</t>
  </si>
  <si>
    <t xml:space="preserve">Sunland; Tujunga</t>
  </si>
  <si>
    <t xml:space="preserve">91362</t>
  </si>
  <si>
    <t xml:space="preserve">Las Flores Villas; North Ranch Country Club Estates; Oakbrook Townhomes; Renaissance; The Woodlands; Westlake Hills</t>
  </si>
  <si>
    <t xml:space="preserve">91941</t>
  </si>
  <si>
    <t xml:space="preserve">Brookside; Calavo Gardens; Howard Gilmore Terrace; La Mesa Highlands; Mount Nebo; Vista La Mesa</t>
  </si>
  <si>
    <t xml:space="preserve">93110</t>
  </si>
  <si>
    <t xml:space="preserve">Las Positas</t>
  </si>
  <si>
    <t xml:space="preserve">Santa Barbara Unincorporated; Santa Barbara; Hope Ranch</t>
  </si>
  <si>
    <t xml:space="preserve">90706</t>
  </si>
  <si>
    <t xml:space="preserve">Bellflower</t>
  </si>
  <si>
    <t xml:space="preserve">91326</t>
  </si>
  <si>
    <t xml:space="preserve">Porter Ranch</t>
  </si>
  <si>
    <t xml:space="preserve">Porter Ranch; Porter Ranch Neighborhood Council District; Aldea at Porter Ranch; Highlands; Hillcrest at Porter Ranch; Tesoro at Porter Ranch; The Canyons at Porter Ranch; The Heights at Porter Ranch; The Vineyards Apartments at Porter Ranch; Tuscany at Porter Ranch; Ventana at Porter Ranch; Westcliffe at Porter Ranch</t>
  </si>
  <si>
    <t xml:space="preserve">91360</t>
  </si>
  <si>
    <t xml:space="preserve">Lynnmere</t>
  </si>
  <si>
    <t xml:space="preserve">94132</t>
  </si>
  <si>
    <t xml:space="preserve">Parkmerced</t>
  </si>
  <si>
    <t xml:space="preserve">94705</t>
  </si>
  <si>
    <t xml:space="preserve">Claremont; Elmwood</t>
  </si>
  <si>
    <t xml:space="preserve">94706</t>
  </si>
  <si>
    <t xml:space="preserve">Albany</t>
  </si>
  <si>
    <t xml:space="preserve">Albany Hill; University Village</t>
  </si>
  <si>
    <t xml:space="preserve">96145</t>
  </si>
  <si>
    <t xml:space="preserve">Tahoe City</t>
  </si>
  <si>
    <t xml:space="preserve">Alpine Peaks; Cathedral Forest; Comstock Acres; Dollar Point; Highlands; Idlewild; Lake Forest; Pineland; Tahoe Park; Tahoe Sierra Estates; Tahoe Tavern Heights; Tahoe Woods; Talmont Estates; Twin Peaks Estates; Ward Creek Subdivision; Heritage Plaza; Sunnyside</t>
  </si>
  <si>
    <t xml:space="preserve">92123</t>
  </si>
  <si>
    <t xml:space="preserve">Serra Mesa; Birdland; Civita; Election Plaza; Spectrum Center; StoneCrest</t>
  </si>
  <si>
    <t xml:space="preserve">92021</t>
  </si>
  <si>
    <t xml:space="preserve">El Cajon</t>
  </si>
  <si>
    <t xml:space="preserve">Bostonia; Johnstown; La Cresta; Suncrest</t>
  </si>
  <si>
    <t xml:space="preserve">90254</t>
  </si>
  <si>
    <t xml:space="preserve">Hermosa Beach</t>
  </si>
  <si>
    <t xml:space="preserve">91745</t>
  </si>
  <si>
    <t xml:space="preserve">Hacienda Heights</t>
  </si>
  <si>
    <t xml:space="preserve">City of Industry; Hacienda Heights</t>
  </si>
  <si>
    <t xml:space="preserve">City of Industry</t>
  </si>
  <si>
    <t xml:space="preserve">93101</t>
  </si>
  <si>
    <t xml:space="preserve">Funk Zone; Waterfront; Westside</t>
  </si>
  <si>
    <t xml:space="preserve">94123</t>
  </si>
  <si>
    <t xml:space="preserve">Cow Hollow; Marina District</t>
  </si>
  <si>
    <t xml:space="preserve">94578</t>
  </si>
  <si>
    <t xml:space="preserve">91352</t>
  </si>
  <si>
    <t xml:space="preserve">Sun Valley</t>
  </si>
  <si>
    <t xml:space="preserve">Stonehurst</t>
  </si>
  <si>
    <t xml:space="preserve">94595</t>
  </si>
  <si>
    <t xml:space="preserve">Rossmoor</t>
  </si>
  <si>
    <t xml:space="preserve">94545</t>
  </si>
  <si>
    <t xml:space="preserve">Baumberg; Russell City</t>
  </si>
  <si>
    <t xml:space="preserve">92102</t>
  </si>
  <si>
    <t xml:space="preserve">Golden Hill; Valencia Park; Chollas View; Grant Hill; Lincoln Park; Mount Hope; Sherman Heights; South Park; Stockton; Webster</t>
  </si>
  <si>
    <t xml:space="preserve">94027</t>
  </si>
  <si>
    <t xml:space="preserve">Atherton</t>
  </si>
  <si>
    <t xml:space="preserve">93420</t>
  </si>
  <si>
    <t xml:space="preserve">Arroyo Grande</t>
  </si>
  <si>
    <t xml:space="preserve">Berry Gardens; Fair Oaks</t>
  </si>
  <si>
    <t xml:space="preserve">93013</t>
  </si>
  <si>
    <t xml:space="preserve">Carpinteria</t>
  </si>
  <si>
    <t xml:space="preserve">Carpinteria; Toro Canyon</t>
  </si>
  <si>
    <t xml:space="preserve">Toro Canyon</t>
  </si>
  <si>
    <t xml:space="preserve">92831</t>
  </si>
  <si>
    <t xml:space="preserve">90047</t>
  </si>
  <si>
    <t xml:space="preserve">Westmont; Chesterfield Square; Harvard Park; Van Ness; Gramercy Park; Manchester Square</t>
  </si>
  <si>
    <t xml:space="preserve">94930</t>
  </si>
  <si>
    <t xml:space="preserve">Fairfax</t>
  </si>
  <si>
    <t xml:space="preserve">91765</t>
  </si>
  <si>
    <t xml:space="preserve">Diamond Bar</t>
  </si>
  <si>
    <t xml:space="preserve">91770</t>
  </si>
  <si>
    <t xml:space="preserve">Rosemead</t>
  </si>
  <si>
    <t xml:space="preserve">South San Gabriel; Rosemead Trailer Park</t>
  </si>
  <si>
    <t xml:space="preserve">Whittier Narrows</t>
  </si>
  <si>
    <t xml:space="preserve">92019</t>
  </si>
  <si>
    <t xml:space="preserve">Jamacha; Hillsdale; Jamacha Junction; Granite Hills</t>
  </si>
  <si>
    <t xml:space="preserve">95130</t>
  </si>
  <si>
    <t xml:space="preserve">91304</t>
  </si>
  <si>
    <t xml:space="preserve">Canoga Park</t>
  </si>
  <si>
    <t xml:space="preserve">Lakeside Park; Woodland Park Estates</t>
  </si>
  <si>
    <t xml:space="preserve">91711</t>
  </si>
  <si>
    <t xml:space="preserve">Claremont</t>
  </si>
  <si>
    <t xml:space="preserve">90031</t>
  </si>
  <si>
    <t xml:space="preserve">Lincoln Heights; Montecito Heights</t>
  </si>
  <si>
    <t xml:space="preserve">91601</t>
  </si>
  <si>
    <t xml:space="preserve">North Hollywood; North Hollywood Neighborhood Council District</t>
  </si>
  <si>
    <t xml:space="preserve">92657</t>
  </si>
  <si>
    <t xml:space="preserve">Altezza; Campobello; Los Trancos; Monsterrat; Newport Ridge Apartments; Newport Ridge Estates; Newport Ridge North; Newport Ridge Summit; Newport Ridge Villas; Ocean Heights; Pacific Ridge; Pelican Crest; Pelican Heights; Pelican Hill; Pelican Point; Pelican Ridge; Saint Laurent; Saint Michael; Sancerre; Santa Lucia; Tesoro; The Pointe; Trovare; Verona; Ziani; Crystal Cove; Newport Coast</t>
  </si>
  <si>
    <t xml:space="preserve">94609</t>
  </si>
  <si>
    <t xml:space="preserve">North Oakland; Hoover-Foster; Idora Park; Koreatown Northgate; Mosswood; Pill Hill; Temescal</t>
  </si>
  <si>
    <t xml:space="preserve">94954</t>
  </si>
  <si>
    <t xml:space="preserve">93003</t>
  </si>
  <si>
    <t xml:space="preserve">93955</t>
  </si>
  <si>
    <t xml:space="preserve">Seaside</t>
  </si>
  <si>
    <t xml:space="preserve">Seaside; Bay View Community</t>
  </si>
  <si>
    <t xml:space="preserve">92604</t>
  </si>
  <si>
    <t xml:space="preserve">El Camino Real; Woodbridge</t>
  </si>
  <si>
    <t xml:space="preserve">93103</t>
  </si>
  <si>
    <t xml:space="preserve">East Side; Riviera</t>
  </si>
  <si>
    <t xml:space="preserve">93953</t>
  </si>
  <si>
    <t xml:space="preserve">Pebble Beach</t>
  </si>
  <si>
    <t xml:space="preserve">94085</t>
  </si>
  <si>
    <t xml:space="preserve">90008</t>
  </si>
  <si>
    <t xml:space="preserve">View Park-Windsor Hills; Leimert Park Village; Baldwin Hills; Crenshaw; Leimert Park</t>
  </si>
  <si>
    <t xml:space="preserve">92807</t>
  </si>
  <si>
    <t xml:space="preserve">Anaheim Hills</t>
  </si>
  <si>
    <t xml:space="preserve">95076</t>
  </si>
  <si>
    <t xml:space="preserve">Watsonville</t>
  </si>
  <si>
    <t xml:space="preserve">Los Barrancos de Aptos; Royal Oaks; Upper Highlands; Colache Town</t>
  </si>
  <si>
    <t xml:space="preserve">postal city of 86% of address points</t>
  </si>
  <si>
    <t xml:space="preserve">92656</t>
  </si>
  <si>
    <t xml:space="preserve">Aliso Viejo</t>
  </si>
  <si>
    <t xml:space="preserve">Calabria; Canyon Villas; Islands; Montelena; Villas South</t>
  </si>
  <si>
    <t xml:space="preserve">91411</t>
  </si>
  <si>
    <t xml:space="preserve">Cameron Woods</t>
  </si>
  <si>
    <t xml:space="preserve">94028</t>
  </si>
  <si>
    <t xml:space="preserve">Portola Valley</t>
  </si>
  <si>
    <t xml:space="preserve">Westridge</t>
  </si>
  <si>
    <t xml:space="preserve">94043</t>
  </si>
  <si>
    <t xml:space="preserve">Bedford Square; Whisman Station</t>
  </si>
  <si>
    <t xml:space="preserve">95135</t>
  </si>
  <si>
    <t xml:space="preserve">Evergreen</t>
  </si>
  <si>
    <t xml:space="preserve">95818</t>
  </si>
  <si>
    <t xml:space="preserve">Sacramento</t>
  </si>
  <si>
    <t xml:space="preserve">Curtis Park; Land Park; Land Park Terrace; SCC; Sacramento City College; Swanston Palms; Richmond Grove; Southside Park; Upper Land Park</t>
  </si>
  <si>
    <t xml:space="preserve">93405</t>
  </si>
  <si>
    <t xml:space="preserve">92782</t>
  </si>
  <si>
    <t xml:space="preserve">Browning Station; Tustin Ranch; Vidorra</t>
  </si>
  <si>
    <t xml:space="preserve">94063</t>
  </si>
  <si>
    <t xml:space="preserve">94109</t>
  </si>
  <si>
    <t xml:space="preserve">Little Saigon; Lower Nob Hill; Polk Gulch; Nob Hill</t>
  </si>
  <si>
    <t xml:space="preserve">91335</t>
  </si>
  <si>
    <t xml:space="preserve">Reseda</t>
  </si>
  <si>
    <t xml:space="preserve">Reseda; Reseda Ranch</t>
  </si>
  <si>
    <t xml:space="preserve">92865</t>
  </si>
  <si>
    <t xml:space="preserve">Lincoln/Glassell; Olive</t>
  </si>
  <si>
    <t xml:space="preserve">94608</t>
  </si>
  <si>
    <t xml:space="preserve">Emeryville</t>
  </si>
  <si>
    <t xml:space="preserve">Golden Gate; Longfellow</t>
  </si>
  <si>
    <t xml:space="preserve">91911</t>
  </si>
  <si>
    <t xml:space="preserve">Chula Vista</t>
  </si>
  <si>
    <t xml:space="preserve">Castle Park; Otay; Sunbow; Boal; Fruitdale; Greg Rogers; Loma Verde; Harbor Side; Woodlawn Park</t>
  </si>
  <si>
    <t xml:space="preserve">90405</t>
  </si>
  <si>
    <t xml:space="preserve">Ocean Park</t>
  </si>
  <si>
    <t xml:space="preserve">90732</t>
  </si>
  <si>
    <t xml:space="preserve">91024</t>
  </si>
  <si>
    <t xml:space="preserve">Sierra Madre</t>
  </si>
  <si>
    <t xml:space="preserve">94574</t>
  </si>
  <si>
    <t xml:space="preserve">St Helena</t>
  </si>
  <si>
    <t xml:space="preserve">St. Helena</t>
  </si>
  <si>
    <t xml:space="preserve">94925</t>
  </si>
  <si>
    <t xml:space="preserve">Corte Madera</t>
  </si>
  <si>
    <t xml:space="preserve">Town Park Plaza</t>
  </si>
  <si>
    <t xml:space="preserve">95033</t>
  </si>
  <si>
    <t xml:space="preserve">Highland East</t>
  </si>
  <si>
    <t xml:space="preserve">92020</t>
  </si>
  <si>
    <t xml:space="preserve">Fletcher Hills; Cajon Heights; Little Baghdad</t>
  </si>
  <si>
    <t xml:space="preserve">91406</t>
  </si>
  <si>
    <t xml:space="preserve">Lake Balboa; Lake Balboa Neighborhood Council District; Vanowen Place</t>
  </si>
  <si>
    <t xml:space="preserve">91331</t>
  </si>
  <si>
    <t xml:space="preserve">Pacoima</t>
  </si>
  <si>
    <t xml:space="preserve">Arleta; Arleta Neighborhood Council District; Pacoima; Pacoima Neighborhood Council; San Fernando Gardens</t>
  </si>
  <si>
    <t xml:space="preserve">93924</t>
  </si>
  <si>
    <t xml:space="preserve">Carmel Valley</t>
  </si>
  <si>
    <t xml:space="preserve">Jamesburg</t>
  </si>
  <si>
    <t xml:space="preserve">94117</t>
  </si>
  <si>
    <t xml:space="preserve">Alamo Square; Cole Valley; Lower Haight; North of Panhandle; Panhandle; Haight-Ashbury</t>
  </si>
  <si>
    <t xml:space="preserve">90501</t>
  </si>
  <si>
    <t xml:space="preserve">Harbor Gateway; Old Torrance; Dolanco Junction</t>
  </si>
  <si>
    <t xml:space="preserve">92069</t>
  </si>
  <si>
    <t xml:space="preserve">Furniture Row; Rancho Santalina; Villa Vista Estates Mobil Home Park; Nordahl; Richland; Richmar; Santa Fe Hills; Twin Oaks</t>
  </si>
  <si>
    <t xml:space="preserve">91801</t>
  </si>
  <si>
    <t xml:space="preserve">Alhambra</t>
  </si>
  <si>
    <t xml:space="preserve">91741</t>
  </si>
  <si>
    <t xml:space="preserve">Glendora</t>
  </si>
  <si>
    <t xml:space="preserve">90241</t>
  </si>
  <si>
    <t xml:space="preserve">Downey</t>
  </si>
  <si>
    <t xml:space="preserve">Orange Estates</t>
  </si>
  <si>
    <t xml:space="preserve">92808</t>
  </si>
  <si>
    <t xml:space="preserve">91307</t>
  </si>
  <si>
    <t xml:space="preserve">West Hills</t>
  </si>
  <si>
    <t xml:space="preserve">West Hills; Remington Place</t>
  </si>
  <si>
    <t xml:space="preserve">92603</t>
  </si>
  <si>
    <t xml:space="preserve">Quail Hill; Shady Canyon; Turtle Ridge; Turtle Rock; Highlands Garden; Rainbow Ridge; Ridgeview; Skyview; The Highlands; Turtle Rock Crest; Turtle Rock Ridge Garden; Turtle Rock Summit</t>
  </si>
  <si>
    <t xml:space="preserve">93428</t>
  </si>
  <si>
    <t xml:space="preserve">Cambria</t>
  </si>
  <si>
    <t xml:space="preserve">Fiscalini Ranch Preserve</t>
  </si>
  <si>
    <t xml:space="preserve">East Village</t>
  </si>
  <si>
    <t xml:space="preserve">94703</t>
  </si>
  <si>
    <t xml:space="preserve">Central Berkeley; Lorin; South Berkeley</t>
  </si>
  <si>
    <t xml:space="preserve">95119</t>
  </si>
  <si>
    <t xml:space="preserve">93906</t>
  </si>
  <si>
    <t xml:space="preserve">Salinas</t>
  </si>
  <si>
    <t xml:space="preserve">Creekbridge; North Salinas; Northridge; Santa Rita; Harden Ranch; Gabilan Creek; Natividad</t>
  </si>
  <si>
    <t xml:space="preserve">90035</t>
  </si>
  <si>
    <t xml:space="preserve">Pico-Robertson; Beverlywood; South Carthay</t>
  </si>
  <si>
    <t xml:space="preserve">94115</t>
  </si>
  <si>
    <t xml:space="preserve">Western Addition; Anza Vista; Fillmore District; Japantown; Lower Pacific Heights; Pacific Heights</t>
  </si>
  <si>
    <t xml:space="preserve">91377</t>
  </si>
  <si>
    <t xml:space="preserve">Oak Park</t>
  </si>
  <si>
    <t xml:space="preserve">Shadow Ridge</t>
  </si>
  <si>
    <t xml:space="preserve">91744</t>
  </si>
  <si>
    <t xml:space="preserve">La Puente</t>
  </si>
  <si>
    <t xml:space="preserve">92612</t>
  </si>
  <si>
    <t xml:space="preserve">Rancho San Joaquin; San Joaquin Marsh; University Park; University Town Center; Concordia East; Concordia West; Turtle Rock Pointe; Turtle Rock Vista</t>
  </si>
  <si>
    <t xml:space="preserve">92706</t>
  </si>
  <si>
    <t xml:space="preserve">Edna Park; Santa Ana Triangle; Mar-Les; Riverglen</t>
  </si>
  <si>
    <t xml:space="preserve">95133</t>
  </si>
  <si>
    <t xml:space="preserve">Berryessa</t>
  </si>
  <si>
    <t xml:space="preserve">91010</t>
  </si>
  <si>
    <t xml:space="preserve">Duarte</t>
  </si>
  <si>
    <t xml:space="preserve">91754</t>
  </si>
  <si>
    <t xml:space="preserve">Monterey Park</t>
  </si>
  <si>
    <t xml:space="preserve">92007</t>
  </si>
  <si>
    <t xml:space="preserve">Cardiff By The Sea</t>
  </si>
  <si>
    <t xml:space="preserve">Cardiff-by-the-Sea; Cardiff Cove; Cardiff Highlands; Composer District; San Elijo</t>
  </si>
  <si>
    <t xml:space="preserve">postal city of 84% of address points</t>
  </si>
  <si>
    <t xml:space="preserve">Cardiff By The Sea; Cardiff</t>
  </si>
  <si>
    <t xml:space="preserve">90063</t>
  </si>
  <si>
    <t xml:space="preserve">City Terrace</t>
  </si>
  <si>
    <t xml:space="preserve">91910</t>
  </si>
  <si>
    <t xml:space="preserve">Hilltop; Rancho del Rey; Halecrest; Hilltop Vista; Lynwood Hills; Sunny Vista; Chula Vista Bayfront; Rosebank; Telegraph Canyon; Terra Nova; Third Avenue Village</t>
  </si>
  <si>
    <t xml:space="preserve">90018</t>
  </si>
  <si>
    <t xml:space="preserve">Exposition Park; Adams-Normandie; Jefferson Park</t>
  </si>
  <si>
    <t xml:space="preserve">91306</t>
  </si>
  <si>
    <t xml:space="preserve">Winnetka</t>
  </si>
  <si>
    <t xml:space="preserve">Winnetka; Winnetka Neighborhood Council District</t>
  </si>
  <si>
    <t xml:space="preserve">91606</t>
  </si>
  <si>
    <t xml:space="preserve">Valley Glen</t>
  </si>
  <si>
    <t xml:space="preserve">94804</t>
  </si>
  <si>
    <t xml:space="preserve">Richmond</t>
  </si>
  <si>
    <t xml:space="preserve">Easter Hill Village; Marina Bay; Richmond Annex</t>
  </si>
  <si>
    <t xml:space="preserve">92075</t>
  </si>
  <si>
    <t xml:space="preserve">Solana Beach</t>
  </si>
  <si>
    <t xml:space="preserve">Cedros Ave Design District; Del Mar Downs; Triple Crown Del Mar; Eden Gardens; Lomas Santa Fe; Solana Beach Bluffs; Solana Palisades</t>
  </si>
  <si>
    <t xml:space="preserve">94949</t>
  </si>
  <si>
    <t xml:space="preserve">91202</t>
  </si>
  <si>
    <t xml:space="preserve">North Glendale</t>
  </si>
  <si>
    <t xml:space="preserve">93444</t>
  </si>
  <si>
    <t xml:space="preserve">Nipomo</t>
  </si>
  <si>
    <t xml:space="preserve">91343</t>
  </si>
  <si>
    <t xml:space="preserve">North Hills</t>
  </si>
  <si>
    <t xml:space="preserve">North Hills; North Hills East; North Hills East Neighborhood Council District; North Hills West Neighborhood Council District; Oak Pointe</t>
  </si>
  <si>
    <t xml:space="preserve">94124</t>
  </si>
  <si>
    <t xml:space="preserve">Bayview District; Hunters Point; Silver Terrace</t>
  </si>
  <si>
    <t xml:space="preserve">Brisbane</t>
  </si>
  <si>
    <t xml:space="preserve">91355</t>
  </si>
  <si>
    <t xml:space="preserve">Valencia</t>
  </si>
  <si>
    <t xml:space="preserve">Valencia; The Bungalows; Entrada North; Mission Village</t>
  </si>
  <si>
    <t xml:space="preserve">Santa Clarita</t>
  </si>
  <si>
    <t xml:space="preserve">95066</t>
  </si>
  <si>
    <t xml:space="preserve">Scotts Valley</t>
  </si>
  <si>
    <t xml:space="preserve">Monte Fiore; Skypark; The Vineyards; Whispering Pines</t>
  </si>
  <si>
    <t xml:space="preserve">90232</t>
  </si>
  <si>
    <t xml:space="preserve">Culver City Arts District; Downtown Culver City; Hayden Tract</t>
  </si>
  <si>
    <t xml:space="preserve">91766</t>
  </si>
  <si>
    <t xml:space="preserve">Pomona</t>
  </si>
  <si>
    <t xml:space="preserve">Edison Historic District</t>
  </si>
  <si>
    <t xml:space="preserve">90249</t>
  </si>
  <si>
    <t xml:space="preserve">Gardena</t>
  </si>
  <si>
    <t xml:space="preserve">Strawberry Park</t>
  </si>
  <si>
    <t xml:space="preserve">91748</t>
  </si>
  <si>
    <t xml:space="preserve">Rowland Heights</t>
  </si>
  <si>
    <t xml:space="preserve">Rowland Heights; Rowland</t>
  </si>
  <si>
    <t xml:space="preserve">92703</t>
  </si>
  <si>
    <t xml:space="preserve">90024</t>
  </si>
  <si>
    <t xml:space="preserve">Westwood; Holmby Hills; Tehrangeles; Westwood Village; Persian Square</t>
  </si>
  <si>
    <t xml:space="preserve">91776</t>
  </si>
  <si>
    <t xml:space="preserve">92029</t>
  </si>
  <si>
    <t xml:space="preserve">Escondido</t>
  </si>
  <si>
    <t xml:space="preserve">Auto Park</t>
  </si>
  <si>
    <t xml:space="preserve">94518</t>
  </si>
  <si>
    <t xml:space="preserve">Fruitbowl; Kelly Glen Estates; Limeridge; Peppertree; The Palms; Ygnacio Hills; Ygnacio Wood; Ygnacio Woods</t>
  </si>
  <si>
    <t xml:space="preserve">90604</t>
  </si>
  <si>
    <t xml:space="preserve">East La Mirada; South Whittier</t>
  </si>
  <si>
    <t xml:space="preserve">92081</t>
  </si>
  <si>
    <t xml:space="preserve">Vista</t>
  </si>
  <si>
    <t xml:space="preserve">Melrose Village; Soltaire; Breeze Hill; Shadowridge; Vista Business Park</t>
  </si>
  <si>
    <t xml:space="preserve">90025</t>
  </si>
  <si>
    <t xml:space="preserve">Sawtelle; Sawtelle Japantown; West Los Angeles</t>
  </si>
  <si>
    <t xml:space="preserve">90242</t>
  </si>
  <si>
    <t xml:space="preserve">Rolling Greens Estates</t>
  </si>
  <si>
    <t xml:space="preserve">90290</t>
  </si>
  <si>
    <t xml:space="preserve">Topanga</t>
  </si>
  <si>
    <t xml:space="preserve">Kelly Gulch</t>
  </si>
  <si>
    <t xml:space="preserve">92124</t>
  </si>
  <si>
    <t xml:space="preserve">Tierrasanta; Aero Ridge; Canyon View; Orleck Heights; Santo Terrace; Summerton Hills; Villa Antigua; Villa Barbados; Villa Dominique; Villa Granada; Villa Majorca; Villa Martinique; Villa Monserate; Villa Monterey; Villa Portofino; Villa Trinidad; Villa Vista; El Dorado; Murphy Canyon Heights; Tierrasanta Norte; Tierrasanta Ridge; Tierrasanta Town Center</t>
  </si>
  <si>
    <t xml:space="preserve">92624</t>
  </si>
  <si>
    <t xml:space="preserve">94965</t>
  </si>
  <si>
    <t xml:space="preserve">Sausalito</t>
  </si>
  <si>
    <t xml:space="preserve">92025</t>
  </si>
  <si>
    <t xml:space="preserve">Downtown; Kit Carson; Los Arboles; Mission Park; Old Escondido; Westside; Felicita; Rancho Verde</t>
  </si>
  <si>
    <t xml:space="preserve">92841</t>
  </si>
  <si>
    <t xml:space="preserve">Garden Grove; Stanton</t>
  </si>
  <si>
    <t xml:space="preserve">94579</t>
  </si>
  <si>
    <t xml:space="preserve">91106</t>
  </si>
  <si>
    <t xml:space="preserve">Madison Heights; Oak Knoll</t>
  </si>
  <si>
    <t xml:space="preserve">91207</t>
  </si>
  <si>
    <t xml:space="preserve">91932</t>
  </si>
  <si>
    <t xml:space="preserve">Imperial Beach</t>
  </si>
  <si>
    <t xml:space="preserve">Bayview; Central; Mar Vista; Oneonta; Seacoast; Seaside Point; South Seacoast</t>
  </si>
  <si>
    <t xml:space="preserve">95073</t>
  </si>
  <si>
    <t xml:space="preserve">Soquel</t>
  </si>
  <si>
    <t xml:space="preserve">92801</t>
  </si>
  <si>
    <t xml:space="preserve">West Anaheim; Dresden Palms</t>
  </si>
  <si>
    <t xml:space="preserve">91501</t>
  </si>
  <si>
    <t xml:space="preserve">90660</t>
  </si>
  <si>
    <t xml:space="preserve">Pico Rivera</t>
  </si>
  <si>
    <t xml:space="preserve">94519</t>
  </si>
  <si>
    <t xml:space="preserve">Centre Pointe; Penny Lane; Wisteria</t>
  </si>
  <si>
    <t xml:space="preserve">91702</t>
  </si>
  <si>
    <t xml:space="preserve">Azusa</t>
  </si>
  <si>
    <t xml:space="preserve">Mountain Cove</t>
  </si>
  <si>
    <t xml:space="preserve">91750</t>
  </si>
  <si>
    <t xml:space="preserve">La Verne</t>
  </si>
  <si>
    <t xml:space="preserve">95117</t>
  </si>
  <si>
    <t xml:space="preserve">95819</t>
  </si>
  <si>
    <t xml:space="preserve">East Sacramento; McKinley Village; Elmhurst; River Park</t>
  </si>
  <si>
    <t xml:space="preserve">94111</t>
  </si>
  <si>
    <t xml:space="preserve">Financial District</t>
  </si>
  <si>
    <t xml:space="preserve">94158</t>
  </si>
  <si>
    <t xml:space="preserve">Pier 70; 5th Street Plaza; Mission Bay</t>
  </si>
  <si>
    <t xml:space="preserve">91325</t>
  </si>
  <si>
    <t xml:space="preserve">Northridge</t>
  </si>
  <si>
    <t xml:space="preserve">Northridge East Neighborhood Council District; Northridge South Neighborhood Council District; Sherwood Forest</t>
  </si>
  <si>
    <t xml:space="preserve">92802</t>
  </si>
  <si>
    <t xml:space="preserve">Anaheim Resort District</t>
  </si>
  <si>
    <t xml:space="preserve">93004</t>
  </si>
  <si>
    <t xml:space="preserve">90806</t>
  </si>
  <si>
    <t xml:space="preserve">Vista del Mar; Willowville</t>
  </si>
  <si>
    <t xml:space="preserve">92866</t>
  </si>
  <si>
    <t xml:space="preserve">94502</t>
  </si>
  <si>
    <t xml:space="preserve">Bay Farm Island; Centre Court</t>
  </si>
  <si>
    <t xml:space="preserve">95110</t>
  </si>
  <si>
    <t xml:space="preserve">Civic Center; Little Italy; Washington; McEntee Plaza; Woz Way Plaza</t>
  </si>
  <si>
    <t xml:space="preserve">90814</t>
  </si>
  <si>
    <t xml:space="preserve">92197</t>
  </si>
  <si>
    <t xml:space="preserve">(no ZCTA: PO-box / unique ZIP)</t>
  </si>
  <si>
    <t xml:space="preserve">(no ZCTA)</t>
  </si>
  <si>
    <t xml:space="preserve">92861</t>
  </si>
  <si>
    <t xml:space="preserve">Villa Park</t>
  </si>
  <si>
    <t xml:space="preserve">94974</t>
  </si>
  <si>
    <t xml:space="preserve">95010</t>
  </si>
  <si>
    <t xml:space="preserve">Capitola Esplanade</t>
  </si>
  <si>
    <t xml:space="preserve">90220</t>
  </si>
  <si>
    <t xml:space="preserve">Compton</t>
  </si>
  <si>
    <t xml:space="preserve">Rancho Dominguez</t>
  </si>
  <si>
    <t xml:space="preserve">90245</t>
  </si>
  <si>
    <t xml:space="preserve">El Segundo</t>
  </si>
  <si>
    <t xml:space="preserve">Lair Port</t>
  </si>
  <si>
    <t xml:space="preserve">91790</t>
  </si>
  <si>
    <t xml:space="preserve">West Covina</t>
  </si>
  <si>
    <t xml:space="preserve">96142</t>
  </si>
  <si>
    <t xml:space="preserve">Tahoma</t>
  </si>
  <si>
    <t xml:space="preserve">El Dorado</t>
  </si>
  <si>
    <t xml:space="preserve">Glenridge; Rubicon Properties; Rubicon South; Tahoe Hills</t>
  </si>
  <si>
    <t xml:space="preserve">Rubicon Bay</t>
  </si>
  <si>
    <t xml:space="preserve">91773</t>
  </si>
  <si>
    <t xml:space="preserve">San Dimas</t>
  </si>
  <si>
    <t xml:space="preserve">92610</t>
  </si>
  <si>
    <t xml:space="preserve">Foothill Ranch</t>
  </si>
  <si>
    <t xml:space="preserve">90044</t>
  </si>
  <si>
    <t xml:space="preserve">Vermont Knolls; Vermont Vista; Vermont-Slauson; West Athens</t>
  </si>
  <si>
    <t xml:space="preserve">90745</t>
  </si>
  <si>
    <t xml:space="preserve">Carson</t>
  </si>
  <si>
    <t xml:space="preserve">Keystone; Avalon Village</t>
  </si>
  <si>
    <t xml:space="preserve">93460</t>
  </si>
  <si>
    <t xml:space="preserve">Santa Ynez</t>
  </si>
  <si>
    <t xml:space="preserve">postal city of 50% of address points</t>
  </si>
  <si>
    <t xml:space="preserve">Santa Ynez; Santa Barbara Unincorporated</t>
  </si>
  <si>
    <t xml:space="preserve">Cachuma Village</t>
  </si>
  <si>
    <t xml:space="preserve">91791</t>
  </si>
  <si>
    <t xml:space="preserve">91755</t>
  </si>
  <si>
    <t xml:space="preserve">92843</t>
  </si>
  <si>
    <t xml:space="preserve">94552</t>
  </si>
  <si>
    <t xml:space="preserve">90804</t>
  </si>
  <si>
    <t xml:space="preserve">91706</t>
  </si>
  <si>
    <t xml:space="preserve">Baldwin Park</t>
  </si>
  <si>
    <t xml:space="preserve">Irwindale</t>
  </si>
  <si>
    <t xml:space="preserve">93933</t>
  </si>
  <si>
    <t xml:space="preserve">Marina</t>
  </si>
  <si>
    <t xml:space="preserve">Marina; Cypress Knolls; Preston Park</t>
  </si>
  <si>
    <t xml:space="preserve">Marina; East Garrison</t>
  </si>
  <si>
    <t xml:space="preserve">91722</t>
  </si>
  <si>
    <t xml:space="preserve">Covina</t>
  </si>
  <si>
    <t xml:space="preserve">92661</t>
  </si>
  <si>
    <t xml:space="preserve">Balboa Peninsula; Balboa Village</t>
  </si>
  <si>
    <t xml:space="preserve">94939</t>
  </si>
  <si>
    <t xml:space="preserve">90621</t>
  </si>
  <si>
    <t xml:space="preserve">91201</t>
  </si>
  <si>
    <t xml:space="preserve">94089</t>
  </si>
  <si>
    <t xml:space="preserve">90602</t>
  </si>
  <si>
    <t xml:space="preserve">92707</t>
  </si>
  <si>
    <t xml:space="preserve">Cedar Evergreen; Cornerstone Village; Delhi; Madison Park; Santa Ana Memorial Park; Wilshire Square; South Coast</t>
  </si>
  <si>
    <t xml:space="preserve">90640</t>
  </si>
  <si>
    <t xml:space="preserve">Montebello</t>
  </si>
  <si>
    <t xml:space="preserve">90293</t>
  </si>
  <si>
    <t xml:space="preserve">Playa Del Rey</t>
  </si>
  <si>
    <t xml:space="preserve">Playa del Rey</t>
  </si>
  <si>
    <t xml:space="preserve">92606</t>
  </si>
  <si>
    <t xml:space="preserve">Tustin Legacy; Walnut; Westpark; Greenwood Tustin Legacy</t>
  </si>
  <si>
    <t xml:space="preserve">95054</t>
  </si>
  <si>
    <t xml:space="preserve">Hometown Square</t>
  </si>
  <si>
    <t xml:space="preserve">91803</t>
  </si>
  <si>
    <t xml:space="preserve">The Alhambra</t>
  </si>
  <si>
    <t xml:space="preserve">91945</t>
  </si>
  <si>
    <t xml:space="preserve">Monterey Heights; San Altos; Sonka Urban Heights</t>
  </si>
  <si>
    <t xml:space="preserve">93907</t>
  </si>
  <si>
    <t xml:space="preserve">Laurel West; Arrowhead Ranch; Berta Canyon; Berta Meadow; Berta Views; Blackie Meadows Estates; C. F. Langley Subdivision; Castello Knolls; Green Valley Acres; Grey Eagle; Hidden Woods; Holly Hill; Manzanita Estates; Matterhorn Estates; Pacifico View Estates; Rancho Borromeo; Rollin J. Vierra Tract; Roma Oaks; Terra Linda; Vierra Canyon Knolls; Vierra Estates; Vierra Meadows; Wild Horse Ranch</t>
  </si>
  <si>
    <t xml:space="preserve">94945</t>
  </si>
  <si>
    <t xml:space="preserve">Old Town</t>
  </si>
  <si>
    <t xml:space="preserve">92614</t>
  </si>
  <si>
    <t xml:space="preserve">Irvine Business Complex</t>
  </si>
  <si>
    <t xml:space="preserve">96146</t>
  </si>
  <si>
    <t xml:space="preserve">Olympic Valley</t>
  </si>
  <si>
    <t xml:space="preserve">Alpine Meadows Estates; Bear Creek Association; Juniper Mountain</t>
  </si>
  <si>
    <t xml:space="preserve">90221</t>
  </si>
  <si>
    <t xml:space="preserve">90717</t>
  </si>
  <si>
    <t xml:space="preserve">Lomita</t>
  </si>
  <si>
    <t xml:space="preserve">90002</t>
  </si>
  <si>
    <t xml:space="preserve">Watts; Green Meadows</t>
  </si>
  <si>
    <t xml:space="preserve">92832</t>
  </si>
  <si>
    <t xml:space="preserve">Downtown Fullerton</t>
  </si>
  <si>
    <t xml:space="preserve">94107</t>
  </si>
  <si>
    <t xml:space="preserve">Dogpatch; Potrero Terrace; South Beach; South of Market; 303 Second Street Plaza; Potrero Hill</t>
  </si>
  <si>
    <t xml:space="preserve">94923</t>
  </si>
  <si>
    <t xml:space="preserve">Bodega Bay</t>
  </si>
  <si>
    <t xml:space="preserve">Salmon Creek</t>
  </si>
  <si>
    <t xml:space="preserve">95018</t>
  </si>
  <si>
    <t xml:space="preserve">Felton</t>
  </si>
  <si>
    <t xml:space="preserve">Everglades Cabins; Frontier Cabins; Ridgeway Cabins; Surfside Cabins</t>
  </si>
  <si>
    <t xml:space="preserve">91724</t>
  </si>
  <si>
    <t xml:space="preserve">92868</t>
  </si>
  <si>
    <t xml:space="preserve">94065</t>
  </si>
  <si>
    <t xml:space="preserve">94515</t>
  </si>
  <si>
    <t xml:space="preserve">Calistoga</t>
  </si>
  <si>
    <t xml:space="preserve">93463</t>
  </si>
  <si>
    <t xml:space="preserve">Solvang</t>
  </si>
  <si>
    <t xml:space="preserve">Janin Acres</t>
  </si>
  <si>
    <t xml:space="preserve">Solvang; Santa Ynez</t>
  </si>
  <si>
    <t xml:space="preserve">91605</t>
  </si>
  <si>
    <t xml:space="preserve">Sun Valley; Hewitt; North Hollywood Northeast Neighborhood Council District; North Hollywood West Neighborhood Council District</t>
  </si>
  <si>
    <t xml:space="preserve">93033</t>
  </si>
  <si>
    <t xml:space="preserve">94041</t>
  </si>
  <si>
    <t xml:space="preserve">95065</t>
  </si>
  <si>
    <t xml:space="preserve">90022</t>
  </si>
  <si>
    <t xml:space="preserve">East Los Angeles</t>
  </si>
  <si>
    <t xml:space="preserve">Commerce</t>
  </si>
  <si>
    <t xml:space="preserve">93022</t>
  </si>
  <si>
    <t xml:space="preserve">Oak View</t>
  </si>
  <si>
    <t xml:space="preserve">93901</t>
  </si>
  <si>
    <t xml:space="preserve">Maple Park; Oldtown Salinas; South Salinas; Spreckels Junction; West Salinas; Chinatown</t>
  </si>
  <si>
    <t xml:space="preserve">90746</t>
  </si>
  <si>
    <t xml:space="preserve">93908</t>
  </si>
  <si>
    <t xml:space="preserve">91740</t>
  </si>
  <si>
    <t xml:space="preserve">94520</t>
  </si>
  <si>
    <t xml:space="preserve">Brookview Park; Four Corners; Sun Terrace</t>
  </si>
  <si>
    <t xml:space="preserve">93402</t>
  </si>
  <si>
    <t xml:space="preserve">Los Osos</t>
  </si>
  <si>
    <t xml:space="preserve">94805</t>
  </si>
  <si>
    <t xml:space="preserve">East Richmond</t>
  </si>
  <si>
    <t xml:space="preserve">90260</t>
  </si>
  <si>
    <t xml:space="preserve">Lawndale</t>
  </si>
  <si>
    <t xml:space="preserve">94133</t>
  </si>
  <si>
    <t xml:space="preserve">Fisherman's Wharf; Russian Hill; Telegraph Hill; North Beach</t>
  </si>
  <si>
    <t xml:space="preserve">94710</t>
  </si>
  <si>
    <t xml:space="preserve">Berkeley Marina; Ocean View; West Berkeley</t>
  </si>
  <si>
    <t xml:space="preserve">90280</t>
  </si>
  <si>
    <t xml:space="preserve">South Gate</t>
  </si>
  <si>
    <t xml:space="preserve">Hollydale</t>
  </si>
  <si>
    <t xml:space="preserve">91324</t>
  </si>
  <si>
    <t xml:space="preserve">Northridge; Devonshire Country Estates; Devonshire Highlands; Northridge West Neighborhood Council District</t>
  </si>
  <si>
    <t xml:space="preserve">91768</t>
  </si>
  <si>
    <t xml:space="preserve">90670</t>
  </si>
  <si>
    <t xml:space="preserve">Santa Fe Springs</t>
  </si>
  <si>
    <t xml:space="preserve">Fulton Wells</t>
  </si>
  <si>
    <t xml:space="preserve">91303</t>
  </si>
  <si>
    <t xml:space="preserve">Canoga Park; Canoga Park Neighborhood Council District</t>
  </si>
  <si>
    <t xml:space="preserve">90222</t>
  </si>
  <si>
    <t xml:space="preserve">Willowbrook</t>
  </si>
  <si>
    <t xml:space="preserve">91205</t>
  </si>
  <si>
    <t xml:space="preserve">Adams Square</t>
  </si>
  <si>
    <t xml:space="preserve">92844</t>
  </si>
  <si>
    <t xml:space="preserve">Koreatown</t>
  </si>
  <si>
    <t xml:space="preserve">90601</t>
  </si>
  <si>
    <t xml:space="preserve">Rose Hills; Rose Hill</t>
  </si>
  <si>
    <t xml:space="preserve">91405</t>
  </si>
  <si>
    <t xml:space="preserve">Raymer</t>
  </si>
  <si>
    <t xml:space="preserve">90606</t>
  </si>
  <si>
    <t xml:space="preserve">West Whittier</t>
  </si>
  <si>
    <t xml:space="preserve">93430</t>
  </si>
  <si>
    <t xml:space="preserve">Cayucos</t>
  </si>
  <si>
    <t xml:space="preserve">95442</t>
  </si>
  <si>
    <t xml:space="preserve">Glen Ellen</t>
  </si>
  <si>
    <t xml:space="preserve">94517</t>
  </si>
  <si>
    <t xml:space="preserve">Clayton</t>
  </si>
  <si>
    <t xml:space="preserve">91902</t>
  </si>
  <si>
    <t xml:space="preserve">Bonita</t>
  </si>
  <si>
    <t xml:space="preserve">Sunnyside; Bonita Long Canyon; Plaza Bonita</t>
  </si>
  <si>
    <t xml:space="preserve">91402</t>
  </si>
  <si>
    <t xml:space="preserve">Panorama City</t>
  </si>
  <si>
    <t xml:space="preserve">Panorama City; Panorama City Neighborhood Council District</t>
  </si>
  <si>
    <t xml:space="preserve">92139</t>
  </si>
  <si>
    <t xml:space="preserve">Paradise Hills; South Bay Terraces</t>
  </si>
  <si>
    <t xml:space="preserve">90056</t>
  </si>
  <si>
    <t xml:space="preserve">Ladera Heights</t>
  </si>
  <si>
    <t xml:space="preserve">93433</t>
  </si>
  <si>
    <t xml:space="preserve">Grover Beach</t>
  </si>
  <si>
    <t xml:space="preserve">96140</t>
  </si>
  <si>
    <t xml:space="preserve">Carnelian Bay</t>
  </si>
  <si>
    <t xml:space="preserve">Agate Bay; Carnelian Heights; Fulton Acres; Ridgewood; Tahoe Marina Estates</t>
  </si>
  <si>
    <t xml:space="preserve">Cedar Flat</t>
  </si>
  <si>
    <t xml:space="preserve">94542</t>
  </si>
  <si>
    <t xml:space="preserve">90211</t>
  </si>
  <si>
    <t xml:space="preserve">90292</t>
  </si>
  <si>
    <t xml:space="preserve">Marina Del Rey</t>
  </si>
  <si>
    <t xml:space="preserve">Alla; Golden Triangle; Marina del Rey</t>
  </si>
  <si>
    <t xml:space="preserve">90059</t>
  </si>
  <si>
    <t xml:space="preserve">95005</t>
  </si>
  <si>
    <t xml:space="preserve">Ben Lomond</t>
  </si>
  <si>
    <t xml:space="preserve">90403</t>
  </si>
  <si>
    <t xml:space="preserve">90680</t>
  </si>
  <si>
    <t xml:space="preserve">Stanton</t>
  </si>
  <si>
    <t xml:space="preserve">92662</t>
  </si>
  <si>
    <t xml:space="preserve">Balboa Island</t>
  </si>
  <si>
    <t xml:space="preserve">95139</t>
  </si>
  <si>
    <t xml:space="preserve">Avenida Espana; Chantilley; Santa Teresa</t>
  </si>
  <si>
    <t xml:space="preserve">90003</t>
  </si>
  <si>
    <t xml:space="preserve">Florence; Broadway-Manchester</t>
  </si>
  <si>
    <t xml:space="preserve">90302</t>
  </si>
  <si>
    <t xml:space="preserve">Inglewood</t>
  </si>
  <si>
    <t xml:space="preserve">95816</t>
  </si>
  <si>
    <t xml:space="preserve">Midtown; Alhambra Triangle; Marshall School; New Era Park; Newton Booth</t>
  </si>
  <si>
    <t xml:space="preserve">90701</t>
  </si>
  <si>
    <t xml:space="preserve">Artesia</t>
  </si>
  <si>
    <t xml:space="preserve">90715</t>
  </si>
  <si>
    <t xml:space="preserve">91732</t>
  </si>
  <si>
    <t xml:space="preserve">El Monte</t>
  </si>
  <si>
    <t xml:space="preserve">90262</t>
  </si>
  <si>
    <t xml:space="preserve">Lynwood</t>
  </si>
  <si>
    <t xml:space="preserve">96143</t>
  </si>
  <si>
    <t xml:space="preserve">Kings Beach</t>
  </si>
  <si>
    <t xml:space="preserve">Brockway Vista; Kingswood; Woodvista</t>
  </si>
  <si>
    <t xml:space="preserve">91950</t>
  </si>
  <si>
    <t xml:space="preserve">National City</t>
  </si>
  <si>
    <t xml:space="preserve">El Toyon; Las Palmas; Cypress Glen; Education Village; Lincoln Acres; Marina Gateway; Paradise Creek Gateway; Sweetwater Heights; Harbor District; Heritage Square; Ira Harbison; John Otis; Lower Sweetwater; Marina; Mile of Cars; Morgan Square; Old Town National City; Olivewood; Rancho de la Nación; South Bay Plaza</t>
  </si>
  <si>
    <t xml:space="preserve">92113</t>
  </si>
  <si>
    <t xml:space="preserve">Barrio Logan; Logan Heights; Mercado District; Historic Logan Avenue; Mountain View; Shelltown; South Crest</t>
  </si>
  <si>
    <t xml:space="preserve">90502</t>
  </si>
  <si>
    <t xml:space="preserve">West Carson</t>
  </si>
  <si>
    <t xml:space="preserve">90603</t>
  </si>
  <si>
    <t xml:space="preserve">92701</t>
  </si>
  <si>
    <t xml:space="preserve">French Court; French Park; Grand Sunrise; Heninger Park; Logan; Mabury Park; Pacific Park; Saddleback View</t>
  </si>
  <si>
    <t xml:space="preserve">90247</t>
  </si>
  <si>
    <t xml:space="preserve">92083</t>
  </si>
  <si>
    <t xml:space="preserve">Hannalei Hills; Pala Vista</t>
  </si>
  <si>
    <t xml:space="preserve">92806</t>
  </si>
  <si>
    <t xml:space="preserve">OC Vibe</t>
  </si>
  <si>
    <t xml:space="preserve">94957</t>
  </si>
  <si>
    <t xml:space="preserve">Ross</t>
  </si>
  <si>
    <t xml:space="preserve">95452</t>
  </si>
  <si>
    <t xml:space="preserve">Kenwood</t>
  </si>
  <si>
    <t xml:space="preserve">96148</t>
  </si>
  <si>
    <t xml:space="preserve">Tahoe Vista</t>
  </si>
  <si>
    <t xml:space="preserve">Kingswood West; Tahoe Estates</t>
  </si>
  <si>
    <t xml:space="preserve">90810</t>
  </si>
  <si>
    <t xml:space="preserve">American Gold Star Manor; Dominguez; Lincoln Village</t>
  </si>
  <si>
    <t xml:space="preserve">90240</t>
  </si>
  <si>
    <t xml:space="preserve">93465</t>
  </si>
  <si>
    <t xml:space="preserve">Templeton</t>
  </si>
  <si>
    <t xml:space="preserve">Spanish Lakes</t>
  </si>
  <si>
    <t xml:space="preserve">Atascadero</t>
  </si>
  <si>
    <t xml:space="preserve">95046</t>
  </si>
  <si>
    <t xml:space="preserve">San Martin</t>
  </si>
  <si>
    <t xml:space="preserve">90802</t>
  </si>
  <si>
    <t xml:space="preserve">91792</t>
  </si>
  <si>
    <t xml:space="preserve">90062</t>
  </si>
  <si>
    <t xml:space="preserve">Vermont Square</t>
  </si>
  <si>
    <t xml:space="preserve">90710</t>
  </si>
  <si>
    <t xml:space="preserve">Harbor City</t>
  </si>
  <si>
    <t xml:space="preserve">Harbor Pines; Ironsides; Harbor City</t>
  </si>
  <si>
    <t xml:space="preserve">91345</t>
  </si>
  <si>
    <t xml:space="preserve">San Fernando</t>
  </si>
  <si>
    <t xml:space="preserve">Mission Hills; Mission Hills Neighborhood Council District</t>
  </si>
  <si>
    <t xml:space="preserve">90029</t>
  </si>
  <si>
    <t xml:space="preserve">Bicycle District; Melrose Hill; Melrose Hill Historic Preservation Overlay Zone; Sunset Junction; Virgil Village; East Hollywood</t>
  </si>
  <si>
    <t xml:space="preserve">90744</t>
  </si>
  <si>
    <t xml:space="preserve">Wilmington</t>
  </si>
  <si>
    <t xml:space="preserve">90212</t>
  </si>
  <si>
    <t xml:space="preserve">94038</t>
  </si>
  <si>
    <t xml:space="preserve">Moss Beach</t>
  </si>
  <si>
    <t xml:space="preserve">92676</t>
  </si>
  <si>
    <t xml:space="preserve">Silverado Canyon</t>
  </si>
  <si>
    <t xml:space="preserve">Limestone Canyon</t>
  </si>
  <si>
    <t xml:space="preserve">postal city of 64% of address points</t>
  </si>
  <si>
    <t xml:space="preserve">Silverado Canyon; Modjeska Canyon</t>
  </si>
  <si>
    <t xml:space="preserve">94951</t>
  </si>
  <si>
    <t xml:space="preserve">Penngrove</t>
  </si>
  <si>
    <t xml:space="preserve">Rohnert Park</t>
  </si>
  <si>
    <t xml:space="preserve">90010</t>
  </si>
  <si>
    <t xml:space="preserve">Koreatown; SM entertainment Square</t>
  </si>
  <si>
    <t xml:space="preserve">91733</t>
  </si>
  <si>
    <t xml:space="preserve">South El Monte</t>
  </si>
  <si>
    <t xml:space="preserve">95480</t>
  </si>
  <si>
    <t xml:space="preserve">92058</t>
  </si>
  <si>
    <t xml:space="preserve">Capistrano; Fallbrook Junction; Stuart; Mar Lado Highlands; Posole; San Luis Rey</t>
  </si>
  <si>
    <t xml:space="preserve">90623</t>
  </si>
  <si>
    <t xml:space="preserve">La Palma</t>
  </si>
  <si>
    <t xml:space="preserve">91746</t>
  </si>
  <si>
    <t xml:space="preserve">94005</t>
  </si>
  <si>
    <t xml:space="preserve">96141</t>
  </si>
  <si>
    <t xml:space="preserve">Homewood</t>
  </si>
  <si>
    <t xml:space="preserve">Chamberlands Estates; Nielsen Subdivision; Skyland; Tahoe Swiss Village; Tahoma Meadows; Timberland</t>
  </si>
  <si>
    <t xml:space="preserve">92823</t>
  </si>
  <si>
    <t xml:space="preserve">Olinda</t>
  </si>
  <si>
    <t xml:space="preserve">94037</t>
  </si>
  <si>
    <t xml:space="preserve">Montara</t>
  </si>
  <si>
    <t xml:space="preserve">95436</t>
  </si>
  <si>
    <t xml:space="preserve">Forestville</t>
  </si>
  <si>
    <t xml:space="preserve">Windsor</t>
  </si>
  <si>
    <t xml:space="preserve">90011</t>
  </si>
  <si>
    <t xml:space="preserve">Central-Alameda; Historic South-Central; South Park; Nevin; Jefferson</t>
  </si>
  <si>
    <t xml:space="preserve">90038</t>
  </si>
  <si>
    <t xml:space="preserve">90305</t>
  </si>
  <si>
    <t xml:space="preserve">Morningside Park</t>
  </si>
  <si>
    <t xml:space="preserve">92091</t>
  </si>
  <si>
    <t xml:space="preserve">Las Palmas; Whispering Palms</t>
  </si>
  <si>
    <t xml:space="preserve">94704</t>
  </si>
  <si>
    <t xml:space="preserve">Downtown Berkeley; LeConte; Panoramic Hill; Southside</t>
  </si>
  <si>
    <t xml:space="preserve">90001</t>
  </si>
  <si>
    <t xml:space="preserve">Florence-Firestone</t>
  </si>
  <si>
    <t xml:space="preserve">90723</t>
  </si>
  <si>
    <t xml:space="preserve">Paramount</t>
  </si>
  <si>
    <t xml:space="preserve">91340</t>
  </si>
  <si>
    <t xml:space="preserve">Parkside Industrial Center; San Fernando Mall; Apostle William T. Broadus Square; Crouch Family Legacy Square; Saul López Square</t>
  </si>
  <si>
    <t xml:space="preserve">95113</t>
  </si>
  <si>
    <t xml:space="preserve">Downtown Historic District; Qmunity District; SoFA</t>
  </si>
  <si>
    <t xml:space="preserve">95724</t>
  </si>
  <si>
    <t xml:space="preserve">Norden</t>
  </si>
  <si>
    <t xml:space="preserve">Truckee, CA</t>
  </si>
  <si>
    <t xml:space="preserve">95728</t>
  </si>
  <si>
    <t xml:space="preserve">Soda Springs</t>
  </si>
  <si>
    <t xml:space="preserve">Cisco Grove</t>
  </si>
  <si>
    <t xml:space="preserve">93921</t>
  </si>
  <si>
    <t xml:space="preserve">Carmel-By-The-Sea</t>
  </si>
  <si>
    <t xml:space="preserve">94709</t>
  </si>
  <si>
    <t xml:space="preserve">Gourmet Ghetto; North Berkeley; Northside</t>
  </si>
  <si>
    <t xml:space="preserve">91731</t>
  </si>
  <si>
    <t xml:space="preserve">94931</t>
  </si>
  <si>
    <t xml:space="preserve">Cotati</t>
  </si>
  <si>
    <t xml:space="preserve">90061</t>
  </si>
  <si>
    <t xml:space="preserve">Athens</t>
  </si>
  <si>
    <t xml:space="preserve">90255</t>
  </si>
  <si>
    <t xml:space="preserve">Huntington Park</t>
  </si>
  <si>
    <t xml:space="preserve">Walnut Park</t>
  </si>
  <si>
    <t xml:space="preserve">90404</t>
  </si>
  <si>
    <t xml:space="preserve">91020</t>
  </si>
  <si>
    <t xml:space="preserve">Montrose</t>
  </si>
  <si>
    <t xml:space="preserve">94599</t>
  </si>
  <si>
    <t xml:space="preserve">Yountville</t>
  </si>
  <si>
    <t xml:space="preserve">90005</t>
  </si>
  <si>
    <t xml:space="preserve">90303</t>
  </si>
  <si>
    <t xml:space="preserve">American Airlines Plaza</t>
  </si>
  <si>
    <t xml:space="preserve">91723</t>
  </si>
  <si>
    <t xml:space="preserve">90020</t>
  </si>
  <si>
    <t xml:space="preserve">92862</t>
  </si>
  <si>
    <t xml:space="preserve">94103</t>
  </si>
  <si>
    <t xml:space="preserve">West SoMa; Eagle Plaza; Margaret Douglas Plaza; Market Courtyard; Piazza Angelo; Yerba Buena Public Square</t>
  </si>
  <si>
    <t xml:space="preserve">94937</t>
  </si>
  <si>
    <t xml:space="preserve">Inverness</t>
  </si>
  <si>
    <t xml:space="preserve">Marshall</t>
  </si>
  <si>
    <t xml:space="preserve">94970</t>
  </si>
  <si>
    <t xml:space="preserve">Stinson Beach</t>
  </si>
  <si>
    <t xml:space="preserve">95497</t>
  </si>
  <si>
    <t xml:space="preserve">The Sea Ranch</t>
  </si>
  <si>
    <t xml:space="preserve">Sea Ranch</t>
  </si>
  <si>
    <t xml:space="preserve">93427</t>
  </si>
  <si>
    <t xml:space="preserve">Buellton</t>
  </si>
  <si>
    <t xml:space="preserve">92108</t>
  </si>
  <si>
    <t xml:space="preserve">Mission Valley; Fashion Valley; Hotel Circle; Mission Center; Mission City; Mission San Diego; Rio Vista</t>
  </si>
  <si>
    <t xml:space="preserve">90017</t>
  </si>
  <si>
    <t xml:space="preserve">Westlake South; Financial District</t>
  </si>
  <si>
    <t xml:space="preserve">90094</t>
  </si>
  <si>
    <t xml:space="preserve">Playa Vista</t>
  </si>
  <si>
    <t xml:space="preserve">90248</t>
  </si>
  <si>
    <t xml:space="preserve">Roosevelt</t>
  </si>
  <si>
    <t xml:space="preserve">90304</t>
  </si>
  <si>
    <t xml:space="preserve">Lennox</t>
  </si>
  <si>
    <t xml:space="preserve">93445</t>
  </si>
  <si>
    <t xml:space="preserve">Oceano</t>
  </si>
  <si>
    <t xml:space="preserve">90023</t>
  </si>
  <si>
    <t xml:space="preserve">90401</t>
  </si>
  <si>
    <t xml:space="preserve">Downtown Santa Monica</t>
  </si>
  <si>
    <t xml:space="preserve">90013</t>
  </si>
  <si>
    <t xml:space="preserve">Downtown; Gallery Row; Toy District; Arts District; Historic Core; Skid Row</t>
  </si>
  <si>
    <t xml:space="preserve">94102</t>
  </si>
  <si>
    <t xml:space="preserve">Hayes Valley; Union Square; Civic Center; Hallidie Plaza; Tenderloin; United Nations Plaza</t>
  </si>
  <si>
    <t xml:space="preserve">94130</t>
  </si>
  <si>
    <t xml:space="preserve">90012</t>
  </si>
  <si>
    <t xml:space="preserve">Chinatown; Dogtown; New Chinatown; Pueblo de Los Ángeles; Pueblo de Los Ángeles Historical Monument; Civic Center; Little Tokyo</t>
  </si>
  <si>
    <t xml:space="preserve">90813</t>
  </si>
  <si>
    <t xml:space="preserve">Cambodia Town</t>
  </si>
  <si>
    <t xml:space="preserve">91502</t>
  </si>
  <si>
    <t xml:space="preserve">94060</t>
  </si>
  <si>
    <t xml:space="preserve">Pescadero</t>
  </si>
  <si>
    <t xml:space="preserve">postal city of 93% of address points</t>
  </si>
  <si>
    <t xml:space="preserve">Butano Park</t>
  </si>
  <si>
    <t xml:space="preserve">94305</t>
  </si>
  <si>
    <t xml:space="preserve">Stanford</t>
  </si>
  <si>
    <t xml:space="preserve">Escondido Village</t>
  </si>
  <si>
    <t xml:space="preserve">Stanford; Palo Alto</t>
  </si>
  <si>
    <t xml:space="preserve">90301</t>
  </si>
  <si>
    <t xml:space="preserve">90755</t>
  </si>
  <si>
    <t xml:space="preserve">Signal Hill</t>
  </si>
  <si>
    <t xml:space="preserve">92173</t>
  </si>
  <si>
    <t xml:space="preserve">San Ysidro</t>
  </si>
  <si>
    <t xml:space="preserve">San Ysidro; Beyer Hills; Coral Gate; Park Haven; Border Village; El Pueblito Viejo; Sunset</t>
  </si>
  <si>
    <t xml:space="preserve">95421</t>
  </si>
  <si>
    <t xml:space="preserve">Cazadero</t>
  </si>
  <si>
    <t xml:space="preserve">Truth Home</t>
  </si>
  <si>
    <t xml:space="preserve">90716</t>
  </si>
  <si>
    <t xml:space="preserve">Hawaiian Gardens</t>
  </si>
  <si>
    <t xml:space="preserve">92655</t>
  </si>
  <si>
    <t xml:space="preserve">1-Ws-2</t>
  </si>
  <si>
    <t xml:space="preserve">Midway City</t>
  </si>
  <si>
    <t xml:space="preserve">postal city of 72% of address points</t>
  </si>
  <si>
    <t xml:space="preserve">1-Ws-2; 1-Ws-1</t>
  </si>
  <si>
    <t xml:space="preserve">94617</t>
  </si>
  <si>
    <t xml:space="preserve">94924</t>
  </si>
  <si>
    <t xml:space="preserve">Bolinas</t>
  </si>
  <si>
    <t xml:space="preserve">Woodville</t>
  </si>
  <si>
    <t xml:space="preserve">94929</t>
  </si>
  <si>
    <t xml:space="preserve">Dillon Beach</t>
  </si>
  <si>
    <t xml:space="preserve">95441</t>
  </si>
  <si>
    <t xml:space="preserve">Geyserville</t>
  </si>
  <si>
    <t xml:space="preserve">Downtown Geyserville</t>
  </si>
  <si>
    <t xml:space="preserve">Mercuryville</t>
  </si>
  <si>
    <t xml:space="preserve">95450</t>
  </si>
  <si>
    <t xml:space="preserve">Jenner</t>
  </si>
  <si>
    <t xml:space="preserve">Toners Place</t>
  </si>
  <si>
    <t xml:space="preserve">95445</t>
  </si>
  <si>
    <t xml:space="preserve">Anchor Bay</t>
  </si>
  <si>
    <t xml:space="preserve">Mendocino</t>
  </si>
  <si>
    <t xml:space="preserve">Ukiah, CA</t>
  </si>
  <si>
    <t xml:space="preserve">nearest locality point (no locality polygon overlaps)</t>
  </si>
  <si>
    <t xml:space="preserve">90033</t>
  </si>
  <si>
    <t xml:space="preserve">Boyle Heights; Ramona Gardens; Mariachi Plaza</t>
  </si>
  <si>
    <t xml:space="preserve">93920</t>
  </si>
  <si>
    <t xml:space="preserve">Big Sur</t>
  </si>
  <si>
    <t xml:space="preserve">Lucia</t>
  </si>
  <si>
    <t xml:space="preserve">94956</t>
  </si>
  <si>
    <t xml:space="preserve">Point Reyes Station</t>
  </si>
  <si>
    <t xml:space="preserve">Inverness Park</t>
  </si>
  <si>
    <t xml:space="preserve">90028</t>
  </si>
  <si>
    <t xml:space="preserve">Hollywood; Yucca Corridor; Armenian Genocide Memorial Square; Celia Cruz Square</t>
  </si>
  <si>
    <t xml:space="preserve">90201</t>
  </si>
  <si>
    <t xml:space="preserve">Bell Gardens</t>
  </si>
  <si>
    <t xml:space="preserve">90021</t>
  </si>
  <si>
    <t xml:space="preserve">91203</t>
  </si>
  <si>
    <t xml:space="preserve">Glendale City Center</t>
  </si>
  <si>
    <t xml:space="preserve">94528</t>
  </si>
  <si>
    <t xml:space="preserve">Diablo</t>
  </si>
  <si>
    <t xml:space="preserve">94973</t>
  </si>
  <si>
    <t xml:space="preserve">Woodacre</t>
  </si>
  <si>
    <t xml:space="preserve">95465</t>
  </si>
  <si>
    <t xml:space="preserve">Occidental</t>
  </si>
  <si>
    <t xml:space="preserve">Camp Meeker</t>
  </si>
  <si>
    <t xml:space="preserve">91123</t>
  </si>
  <si>
    <t xml:space="preserve">92132</t>
  </si>
  <si>
    <t xml:space="preserve">95071</t>
  </si>
  <si>
    <t xml:space="preserve">95036</t>
  </si>
  <si>
    <t xml:space="preserve">91008</t>
  </si>
  <si>
    <t xml:space="preserve">Bradbury</t>
  </si>
  <si>
    <t xml:space="preserve">92121</t>
  </si>
  <si>
    <t xml:space="preserve">Sorrento Mesa; Sorrento Valley; Torrey Pines; Campus Point; Nancy Ridge; Pacific Heights; Sorrento West; Barnes Canyon; Carroll Canyon; Plaza Sorrento; Sorrento Canyon; Sorrento Mesa Rim Trail; Sorrento Ridge; Wateridge</t>
  </si>
  <si>
    <t xml:space="preserve">93441</t>
  </si>
  <si>
    <t xml:space="preserve">Los Olivos</t>
  </si>
  <si>
    <t xml:space="preserve">Rancho Los Potreros</t>
  </si>
  <si>
    <t xml:space="preserve">94020</t>
  </si>
  <si>
    <t xml:space="preserve">La Honda</t>
  </si>
  <si>
    <t xml:space="preserve">94938</t>
  </si>
  <si>
    <t xml:space="preserve">Lagunitas</t>
  </si>
  <si>
    <t xml:space="preserve">95439</t>
  </si>
  <si>
    <t xml:space="preserve">Fulton</t>
  </si>
  <si>
    <t xml:space="preserve">90040</t>
  </si>
  <si>
    <t xml:space="preserve">Bandini</t>
  </si>
  <si>
    <t xml:space="preserve">93066</t>
  </si>
  <si>
    <t xml:space="preserve">Somis</t>
  </si>
  <si>
    <t xml:space="preserve">95004</t>
  </si>
  <si>
    <t xml:space="preserve">Aromas</t>
  </si>
  <si>
    <t xml:space="preserve">San Benito</t>
  </si>
  <si>
    <t xml:space="preserve">Dunbarton</t>
  </si>
  <si>
    <t xml:space="preserve">94586</t>
  </si>
  <si>
    <t xml:space="preserve">94963</t>
  </si>
  <si>
    <t xml:space="preserve">San Geronimo</t>
  </si>
  <si>
    <t xml:space="preserve">91210</t>
  </si>
  <si>
    <t xml:space="preserve">91614</t>
  </si>
  <si>
    <t xml:space="preserve">92678</t>
  </si>
  <si>
    <t xml:space="preserve">94104</t>
  </si>
  <si>
    <t xml:space="preserve">A.P. Giannini Plaza; Bush Plaza</t>
  </si>
  <si>
    <t xml:space="preserve">94108</t>
  </si>
  <si>
    <t xml:space="preserve">Apple Mini Park; Chinatown; Portsmouth Square</t>
  </si>
  <si>
    <t xml:space="preserve">95039</t>
  </si>
  <si>
    <t xml:space="preserve">Moss Landing</t>
  </si>
  <si>
    <t xml:space="preserve">95067</t>
  </si>
  <si>
    <t xml:space="preserve">95812</t>
  </si>
  <si>
    <t xml:space="preserve">92160</t>
  </si>
  <si>
    <t xml:space="preserve">90270</t>
  </si>
  <si>
    <t xml:space="preserve">Maywood</t>
  </si>
  <si>
    <t xml:space="preserve">Walker</t>
  </si>
  <si>
    <t xml:space="preserve">90213</t>
  </si>
  <si>
    <t xml:space="preserve">yes</t>
  </si>
  <si>
    <t xml:space="preserve">91101</t>
  </si>
  <si>
    <t xml:space="preserve">91758</t>
  </si>
  <si>
    <t xml:space="preserve">93150</t>
  </si>
  <si>
    <t xml:space="preserve">94946</t>
  </si>
  <si>
    <t xml:space="preserve">Nicasio</t>
  </si>
  <si>
    <t xml:space="preserve">Lucas Valley-Marinwood</t>
  </si>
  <si>
    <t xml:space="preserve">95011</t>
  </si>
  <si>
    <t xml:space="preserve">95134</t>
  </si>
  <si>
    <t xml:space="preserve">95721</t>
  </si>
  <si>
    <t xml:space="preserve">Phillips</t>
  </si>
  <si>
    <t xml:space="preserve">Atwood Tract; Echo Road Tract; Phillips Park; Sayles Canyon Tract; Sierra Pines-Mount Ralston; Tamarack Park</t>
  </si>
  <si>
    <t xml:space="preserve">90014</t>
  </si>
  <si>
    <t xml:space="preserve">Flower District; Jewelry District</t>
  </si>
  <si>
    <t xml:space="preserve">94514</t>
  </si>
  <si>
    <t xml:space="preserve">Byron</t>
  </si>
  <si>
    <t xml:space="preserve">Mountain House</t>
  </si>
  <si>
    <t xml:space="preserve">94913</t>
  </si>
  <si>
    <t xml:space="preserve">95153</t>
  </si>
  <si>
    <t xml:space="preserve">96040</t>
  </si>
  <si>
    <t xml:space="preserve">Hat Creek</t>
  </si>
  <si>
    <t xml:space="preserve">Shasta</t>
  </si>
  <si>
    <t xml:space="preserve">Redding, CA</t>
  </si>
  <si>
    <t xml:space="preserve">Old Station</t>
  </si>
  <si>
    <t xml:space="preserve">90067</t>
  </si>
  <si>
    <t xml:space="preserve">Century City</t>
  </si>
  <si>
    <t xml:space="preserve">90704</t>
  </si>
  <si>
    <t xml:space="preserve">Avalon</t>
  </si>
  <si>
    <t xml:space="preserve">91115</t>
  </si>
  <si>
    <t xml:space="preserve">91804</t>
  </si>
  <si>
    <t xml:space="preserve">92018</t>
  </si>
  <si>
    <t xml:space="preserve">92101</t>
  </si>
  <si>
    <t xml:space="preserve">Banker's Hill; Downtown San Diego; Asian Pacific Thematic Historic District; Harborview; California Quadrangle; Core–Columbia; Cortez Hill; East Village; Gallagher Square; Gaslamp Quarter; Little Italy; Marina; Marriot Marquis Square; Pan American Plaza; Piazza Basilone; Piazza Giannini; Piazza Pescatore; Plaza de Panama; Stock Exchange Square</t>
  </si>
  <si>
    <t xml:space="preserve">92263</t>
  </si>
  <si>
    <t xml:space="preserve">92637</t>
  </si>
  <si>
    <t xml:space="preserve">Laguna Woods</t>
  </si>
  <si>
    <t xml:space="preserve">92711</t>
  </si>
  <si>
    <t xml:space="preserve">93014</t>
  </si>
  <si>
    <t xml:space="preserve">93067</t>
  </si>
  <si>
    <t xml:space="preserve">Summerland</t>
  </si>
  <si>
    <t xml:space="preserve">93424</t>
  </si>
  <si>
    <t xml:space="preserve">Avila Beach</t>
  </si>
  <si>
    <t xml:space="preserve">94933</t>
  </si>
  <si>
    <t xml:space="preserve">Forest Knolls</t>
  </si>
  <si>
    <t xml:space="preserve">94940</t>
  </si>
  <si>
    <t xml:space="preserve">95019</t>
  </si>
  <si>
    <t xml:space="preserve">Freedom</t>
  </si>
  <si>
    <t xml:space="preserve">90057</t>
  </si>
  <si>
    <t xml:space="preserve">Westlake</t>
  </si>
  <si>
    <t xml:space="preserve">92070</t>
  </si>
  <si>
    <t xml:space="preserve">Santa Ysabel</t>
  </si>
  <si>
    <t xml:space="preserve">92268</t>
  </si>
  <si>
    <t xml:space="preserve">Pioneertown</t>
  </si>
  <si>
    <t xml:space="preserve">Yucca Valley</t>
  </si>
  <si>
    <t xml:space="preserve">90015</t>
  </si>
  <si>
    <t xml:space="preserve">Fashion District; South Park</t>
  </si>
  <si>
    <t xml:space="preserve">90408</t>
  </si>
  <si>
    <t xml:space="preserve">90702</t>
  </si>
  <si>
    <t xml:space="preserve">91116</t>
  </si>
  <si>
    <t xml:space="preserve">91118</t>
  </si>
  <si>
    <t xml:space="preserve">91788</t>
  </si>
  <si>
    <t xml:space="preserve">91917</t>
  </si>
  <si>
    <t xml:space="preserve">Dulzura</t>
  </si>
  <si>
    <t xml:space="preserve">Barrett Junction</t>
  </si>
  <si>
    <t xml:space="preserve">93448</t>
  </si>
  <si>
    <t xml:space="preserve">94011</t>
  </si>
  <si>
    <t xml:space="preserve">94159</t>
  </si>
  <si>
    <t xml:space="preserve">94516</t>
  </si>
  <si>
    <t xml:space="preserve">Canyon</t>
  </si>
  <si>
    <t xml:space="preserve">95155</t>
  </si>
  <si>
    <t xml:space="preserve">95471</t>
  </si>
  <si>
    <t xml:space="preserve">Rio Nido</t>
  </si>
  <si>
    <t xml:space="preserve">95486</t>
  </si>
  <si>
    <t xml:space="preserve">Villa Grande</t>
  </si>
  <si>
    <t xml:space="preserve">95550</t>
  </si>
  <si>
    <t xml:space="preserve">Korbel</t>
  </si>
  <si>
    <t xml:space="preserve">Humboldt</t>
  </si>
  <si>
    <t xml:space="preserve">Eureka, CA</t>
  </si>
  <si>
    <t xml:space="preserve">Korbel; Kneeland; Blue Lake</t>
  </si>
  <si>
    <t xml:space="preserve">Janes Place</t>
  </si>
  <si>
    <t xml:space="preserve">90058</t>
  </si>
  <si>
    <t xml:space="preserve">Vernon</t>
  </si>
  <si>
    <t xml:space="preserve">91615</t>
  </si>
  <si>
    <t xml:space="preserve">92513</t>
  </si>
  <si>
    <t xml:space="preserve">92816</t>
  </si>
  <si>
    <t xml:space="preserve">92859</t>
  </si>
  <si>
    <t xml:space="preserve">93044</t>
  </si>
  <si>
    <t xml:space="preserve">95001</t>
  </si>
  <si>
    <t xml:space="preserve">95043</t>
  </si>
  <si>
    <t xml:space="preserve">Llanada</t>
  </si>
  <si>
    <t xml:space="preserve">95444</t>
  </si>
  <si>
    <t xml:space="preserve">Graton</t>
  </si>
  <si>
    <t xml:space="preserve">95668</t>
  </si>
  <si>
    <t xml:space="preserve">Pleasant Grove</t>
  </si>
  <si>
    <t xml:space="preserve">Sutter</t>
  </si>
  <si>
    <t xml:space="preserve">Yuba City, CA</t>
  </si>
  <si>
    <t xml:space="preserve">Roseville</t>
  </si>
  <si>
    <t xml:space="preserve">96029</t>
  </si>
  <si>
    <t xml:space="preserve">Flournoy</t>
  </si>
  <si>
    <t xml:space="preserve">Tehama</t>
  </si>
  <si>
    <t xml:space="preserve">Red Bluff, CA</t>
  </si>
  <si>
    <t xml:space="preserve">90076</t>
  </si>
  <si>
    <t xml:space="preserve">90743</t>
  </si>
  <si>
    <t xml:space="preserve">91204</t>
  </si>
  <si>
    <t xml:space="preserve">92023</t>
  </si>
  <si>
    <t xml:space="preserve">92046</t>
  </si>
  <si>
    <t xml:space="preserve">92059</t>
  </si>
  <si>
    <t xml:space="preserve">Pala</t>
  </si>
  <si>
    <t xml:space="preserve">Sacred Mountain Wellness Village</t>
  </si>
  <si>
    <t xml:space="preserve">92072</t>
  </si>
  <si>
    <t xml:space="preserve">92178</t>
  </si>
  <si>
    <t xml:space="preserve">92617</t>
  </si>
  <si>
    <t xml:space="preserve">University Research Center; University of California, Irvine</t>
  </si>
  <si>
    <t xml:space="preserve">92697</t>
  </si>
  <si>
    <t xml:space="preserve">93062</t>
  </si>
  <si>
    <t xml:space="preserve">93130</t>
  </si>
  <si>
    <t xml:space="preserve">93452</t>
  </si>
  <si>
    <t xml:space="preserve">San Simeon</t>
  </si>
  <si>
    <t xml:space="preserve">93925</t>
  </si>
  <si>
    <t xml:space="preserve">Chualar</t>
  </si>
  <si>
    <t xml:space="preserve">94018</t>
  </si>
  <si>
    <t xml:space="preserve">94147</t>
  </si>
  <si>
    <t xml:space="preserve">94497</t>
  </si>
  <si>
    <t xml:space="preserve">94615</t>
  </si>
  <si>
    <t xml:space="preserve">94623</t>
  </si>
  <si>
    <t xml:space="preserve">94948</t>
  </si>
  <si>
    <t xml:space="preserve">94976</t>
  </si>
  <si>
    <t xml:space="preserve">95002</t>
  </si>
  <si>
    <t xml:space="preserve">Alviso</t>
  </si>
  <si>
    <t xml:space="preserve">95154</t>
  </si>
  <si>
    <t xml:space="preserve">95430</t>
  </si>
  <si>
    <t xml:space="preserve">Sheridan</t>
  </si>
  <si>
    <t xml:space="preserve">95466</t>
  </si>
  <si>
    <t xml:space="preserve">Philo</t>
  </si>
  <si>
    <t xml:space="preserve">Big Bend; Iteland; Slaughter Flat</t>
  </si>
  <si>
    <t xml:space="preserve">95697</t>
  </si>
  <si>
    <t xml:space="preserve">Yolo</t>
  </si>
  <si>
    <t xml:space="preserve">92022</t>
  </si>
  <si>
    <t xml:space="preserve">93006</t>
  </si>
  <si>
    <t xml:space="preserve">93160</t>
  </si>
  <si>
    <t xml:space="preserve">94573</t>
  </si>
  <si>
    <t xml:space="preserve">Rutherford</t>
  </si>
  <si>
    <t xml:space="preserve">94922</t>
  </si>
  <si>
    <t xml:space="preserve">Bodega</t>
  </si>
  <si>
    <t xml:space="preserve">94972</t>
  </si>
  <si>
    <t xml:space="preserve">Valley Ford</t>
  </si>
  <si>
    <t xml:space="preserve">95017</t>
  </si>
  <si>
    <t xml:space="preserve">Davenport</t>
  </si>
  <si>
    <t xml:space="preserve">Whitehouse Canyon</t>
  </si>
  <si>
    <t xml:space="preserve">95052</t>
  </si>
  <si>
    <t xml:space="preserve">95160</t>
  </si>
  <si>
    <t xml:space="preserve">95313</t>
  </si>
  <si>
    <t xml:space="preserve">Crows Landing</t>
  </si>
  <si>
    <t xml:space="preserve">Stanislaus</t>
  </si>
  <si>
    <t xml:space="preserve">Modesto, CA</t>
  </si>
  <si>
    <t xml:space="preserve">95420</t>
  </si>
  <si>
    <t xml:space="preserve">Caspar</t>
  </si>
  <si>
    <t xml:space="preserve">95456</t>
  </si>
  <si>
    <t xml:space="preserve">Little River</t>
  </si>
  <si>
    <t xml:space="preserve">The Woods</t>
  </si>
  <si>
    <t xml:space="preserve">95637</t>
  </si>
  <si>
    <t xml:space="preserve">Guinda</t>
  </si>
  <si>
    <t xml:space="preserve">95646</t>
  </si>
  <si>
    <t xml:space="preserve">Kirkwood</t>
  </si>
  <si>
    <t xml:space="preserve">Alpine</t>
  </si>
  <si>
    <t xml:space="preserve">96162</t>
  </si>
  <si>
    <t xml:space="preserve">90093</t>
  </si>
  <si>
    <t xml:space="preserve">90607</t>
  </si>
  <si>
    <t xml:space="preserve">91009</t>
  </si>
  <si>
    <t xml:space="preserve">91226</t>
  </si>
  <si>
    <t xml:space="preserve">91333</t>
  </si>
  <si>
    <t xml:space="preserve">91617</t>
  </si>
  <si>
    <t xml:space="preserve">92171</t>
  </si>
  <si>
    <t xml:space="preserve">92825</t>
  </si>
  <si>
    <t xml:space="preserve">93031</t>
  </si>
  <si>
    <t xml:space="preserve">95140</t>
  </si>
  <si>
    <t xml:space="preserve">95159</t>
  </si>
  <si>
    <t xml:space="preserve">95433</t>
  </si>
  <si>
    <t xml:space="preserve">90006</t>
  </si>
  <si>
    <t xml:space="preserve">Pico-Union; Alvarado Terrace Historic District; Harvard Heights; Monseñor Óscar Arnulfo Romero Square</t>
  </si>
  <si>
    <t xml:space="preserve">90007</t>
  </si>
  <si>
    <t xml:space="preserve">Saint James Park; University Park</t>
  </si>
  <si>
    <t xml:space="preserve">90037</t>
  </si>
  <si>
    <t xml:space="preserve">Wildasin</t>
  </si>
  <si>
    <t xml:space="preserve">90071</t>
  </si>
  <si>
    <t xml:space="preserve">Bank of America Plaza; Bunker Hill</t>
  </si>
  <si>
    <t xml:space="preserve">90073</t>
  </si>
  <si>
    <t xml:space="preserve">Veterans Administration</t>
  </si>
  <si>
    <t xml:space="preserve">90079</t>
  </si>
  <si>
    <t xml:space="preserve">90089</t>
  </si>
  <si>
    <t xml:space="preserve">90090</t>
  </si>
  <si>
    <t xml:space="preserve">90095</t>
  </si>
  <si>
    <t xml:space="preserve">Court of Philanthropy</t>
  </si>
  <si>
    <t xml:space="preserve">90099</t>
  </si>
  <si>
    <t xml:space="preserve">90101</t>
  </si>
  <si>
    <t xml:space="preserve">90263</t>
  </si>
  <si>
    <t xml:space="preserve">90506</t>
  </si>
  <si>
    <t xml:space="preserve">90742</t>
  </si>
  <si>
    <t xml:space="preserve">Sunset Beach</t>
  </si>
  <si>
    <t xml:space="preserve">90747</t>
  </si>
  <si>
    <t xml:space="preserve">90822</t>
  </si>
  <si>
    <t xml:space="preserve">90831</t>
  </si>
  <si>
    <t xml:space="preserve">91046</t>
  </si>
  <si>
    <t xml:space="preserve">Verdugo City</t>
  </si>
  <si>
    <t xml:space="preserve">91310</t>
  </si>
  <si>
    <t xml:space="preserve">91311</t>
  </si>
  <si>
    <t xml:space="preserve">Chatsworth</t>
  </si>
  <si>
    <t xml:space="preserve">Chatsworth; Chatsworth Neighborhood Council District; Deerlake Ranch</t>
  </si>
  <si>
    <t xml:space="preserve">Unincorporated Chatsworth</t>
  </si>
  <si>
    <t xml:space="preserve">91313</t>
  </si>
  <si>
    <t xml:space="preserve">91321</t>
  </si>
  <si>
    <t xml:space="preserve">Newhall</t>
  </si>
  <si>
    <t xml:space="preserve">91330</t>
  </si>
  <si>
    <t xml:space="preserve">Matador Spirit Plaza</t>
  </si>
  <si>
    <t xml:space="preserve">91350</t>
  </si>
  <si>
    <t xml:space="preserve">Saugus; Brock Billa; Plum Canyon</t>
  </si>
  <si>
    <t xml:space="preserve">91351</t>
  </si>
  <si>
    <t xml:space="preserve">Canyon Country</t>
  </si>
  <si>
    <t xml:space="preserve">Canyon Country; Honby</t>
  </si>
  <si>
    <t xml:space="preserve">91354</t>
  </si>
  <si>
    <t xml:space="preserve">Copper Hill</t>
  </si>
  <si>
    <t xml:space="preserve">91371</t>
  </si>
  <si>
    <t xml:space="preserve">91381</t>
  </si>
  <si>
    <t xml:space="preserve">Stevenson Ranch</t>
  </si>
  <si>
    <t xml:space="preserve">Stevenson Ranch; Valencia; Homestead; Entrada South; Landmark Village; Southern Oaks; Sunset Pointe; Westridge</t>
  </si>
  <si>
    <t xml:space="preserve">91382</t>
  </si>
  <si>
    <t xml:space="preserve">91384</t>
  </si>
  <si>
    <t xml:space="preserve">Castaic</t>
  </si>
  <si>
    <t xml:space="preserve">Castaic; Hasley Canyon; Paradise Ranch Mobile Home Park</t>
  </si>
  <si>
    <t xml:space="preserve">91387</t>
  </si>
  <si>
    <t xml:space="preserve">Sand Canyon; Mint Canyon</t>
  </si>
  <si>
    <t xml:space="preserve">91390</t>
  </si>
  <si>
    <t xml:space="preserve">91396</t>
  </si>
  <si>
    <t xml:space="preserve">91608</t>
  </si>
  <si>
    <t xml:space="preserve">Universal City</t>
  </si>
  <si>
    <t xml:space="preserve">91609</t>
  </si>
  <si>
    <t xml:space="preserve">91701</t>
  </si>
  <si>
    <t xml:space="preserve">Rancho Cucamonga</t>
  </si>
  <si>
    <t xml:space="preserve">91708</t>
  </si>
  <si>
    <t xml:space="preserve">Chino</t>
  </si>
  <si>
    <t xml:space="preserve">The Preserve</t>
  </si>
  <si>
    <t xml:space="preserve">91710</t>
  </si>
  <si>
    <t xml:space="preserve">Agave Neighborhood</t>
  </si>
  <si>
    <t xml:space="preserve">91730</t>
  </si>
  <si>
    <t xml:space="preserve">Central North; Central South; Cucamonga; Red Hill; Rochester; Southeast</t>
  </si>
  <si>
    <t xml:space="preserve">91737</t>
  </si>
  <si>
    <t xml:space="preserve">Alta Loma; Etiwanda Heights Town Center</t>
  </si>
  <si>
    <t xml:space="preserve">91739</t>
  </si>
  <si>
    <t xml:space="preserve">Eastside; Etiwanda</t>
  </si>
  <si>
    <t xml:space="preserve">91752</t>
  </si>
  <si>
    <t xml:space="preserve">Jurupa Valley</t>
  </si>
  <si>
    <t xml:space="preserve">Mira Loma; Stalder</t>
  </si>
  <si>
    <t xml:space="preserve">postal city of 63% of address points</t>
  </si>
  <si>
    <t xml:space="preserve">Jurupa Valley; Eastvale; Mira Loma</t>
  </si>
  <si>
    <t xml:space="preserve">91759</t>
  </si>
  <si>
    <t xml:space="preserve">Mt Baldy</t>
  </si>
  <si>
    <t xml:space="preserve">91761</t>
  </si>
  <si>
    <t xml:space="preserve">Ontario</t>
  </si>
  <si>
    <t xml:space="preserve">Guasti; Ontario Ranch; Racimo</t>
  </si>
  <si>
    <t xml:space="preserve">91762</t>
  </si>
  <si>
    <t xml:space="preserve">Downtown Ontario; North Ontario</t>
  </si>
  <si>
    <t xml:space="preserve">91763</t>
  </si>
  <si>
    <t xml:space="preserve">Montclair</t>
  </si>
  <si>
    <t xml:space="preserve">91764</t>
  </si>
  <si>
    <t xml:space="preserve">91767</t>
  </si>
  <si>
    <t xml:space="preserve">91784</t>
  </si>
  <si>
    <t xml:space="preserve">Upland</t>
  </si>
  <si>
    <t xml:space="preserve">91786</t>
  </si>
  <si>
    <t xml:space="preserve">College Park; Downtown Upland</t>
  </si>
  <si>
    <t xml:space="preserve">91901</t>
  </si>
  <si>
    <t xml:space="preserve">Alpine Heights; Glen Oaks; The Willows</t>
  </si>
  <si>
    <t xml:space="preserve">Kuhwaat</t>
  </si>
  <si>
    <t xml:space="preserve">91905</t>
  </si>
  <si>
    <t xml:space="preserve">Boulevard</t>
  </si>
  <si>
    <t xml:space="preserve">Manzanita</t>
  </si>
  <si>
    <t xml:space="preserve">91906</t>
  </si>
  <si>
    <t xml:space="preserve">Campo</t>
  </si>
  <si>
    <t xml:space="preserve">Clover Flat</t>
  </si>
  <si>
    <t xml:space="preserve">91913</t>
  </si>
  <si>
    <t xml:space="preserve">Cockatoo Grove; Cota Vera; Hillsborough; Wolf Canyon; Escaya; Heritage Village; Montecito; Santa Cora; Santa Venetia</t>
  </si>
  <si>
    <t xml:space="preserve">91914</t>
  </si>
  <si>
    <t xml:space="preserve">Eastlake; Eastlake Woods; Rolling Hills Ranch; San Miguel Ranch</t>
  </si>
  <si>
    <t xml:space="preserve">91915</t>
  </si>
  <si>
    <t xml:space="preserve">Otay Ranch; Eastlake Greens; Eastlake Trails; Eastlake Vistas; Millenia; WindingWalk</t>
  </si>
  <si>
    <t xml:space="preserve">91916</t>
  </si>
  <si>
    <t xml:space="preserve">Descanso</t>
  </si>
  <si>
    <t xml:space="preserve">Stallion Oaks</t>
  </si>
  <si>
    <t xml:space="preserve">91931</t>
  </si>
  <si>
    <t xml:space="preserve">Guatay</t>
  </si>
  <si>
    <t xml:space="preserve">Beulah Picnic Ground</t>
  </si>
  <si>
    <t xml:space="preserve">91934</t>
  </si>
  <si>
    <t xml:space="preserve">Jacumba</t>
  </si>
  <si>
    <t xml:space="preserve">Boulder Park</t>
  </si>
  <si>
    <t xml:space="preserve">91935</t>
  </si>
  <si>
    <t xml:space="preserve">Jamul</t>
  </si>
  <si>
    <t xml:space="preserve">Indian Springs; North Jamul</t>
  </si>
  <si>
    <t xml:space="preserve">Phelps Corner</t>
  </si>
  <si>
    <t xml:space="preserve">91948</t>
  </si>
  <si>
    <t xml:space="preserve">Mount Laguna</t>
  </si>
  <si>
    <t xml:space="preserve">91962</t>
  </si>
  <si>
    <t xml:space="preserve">Pine Valley</t>
  </si>
  <si>
    <t xml:space="preserve">La Posta</t>
  </si>
  <si>
    <t xml:space="preserve">91963</t>
  </si>
  <si>
    <t xml:space="preserve">Potrero</t>
  </si>
  <si>
    <t xml:space="preserve">91978</t>
  </si>
  <si>
    <t xml:space="preserve">91980</t>
  </si>
  <si>
    <t xml:space="preserve">Tecate</t>
  </si>
  <si>
    <t xml:space="preserve">92003</t>
  </si>
  <si>
    <t xml:space="preserve">Bonsall</t>
  </si>
  <si>
    <t xml:space="preserve">92004</t>
  </si>
  <si>
    <t xml:space="preserve">Borrego Springs</t>
  </si>
  <si>
    <t xml:space="preserve">Imperial</t>
  </si>
  <si>
    <t xml:space="preserve">Borrego; Ram's Hill</t>
  </si>
  <si>
    <t xml:space="preserve">Ocotillo Wells</t>
  </si>
  <si>
    <t xml:space="preserve">92026</t>
  </si>
  <si>
    <t xml:space="preserve">Emerald Heights; Country Club; North Broadway</t>
  </si>
  <si>
    <t xml:space="preserve">92027</t>
  </si>
  <si>
    <t xml:space="preserve">Rancho San Pasqual; San Pasqual Valley; Eureka Springs; Hidden Trails; Mission Park; Orange Glen; East Valley; Oak Hill</t>
  </si>
  <si>
    <t xml:space="preserve">92028</t>
  </si>
  <si>
    <t xml:space="preserve">Fallbrook</t>
  </si>
  <si>
    <t xml:space="preserve">Horse Creek Ridge; Rancho Viejo</t>
  </si>
  <si>
    <t xml:space="preserve">Temecula</t>
  </si>
  <si>
    <t xml:space="preserve">92036</t>
  </si>
  <si>
    <t xml:space="preserve">Julian</t>
  </si>
  <si>
    <t xml:space="preserve">Harrison Park</t>
  </si>
  <si>
    <t xml:space="preserve">92040</t>
  </si>
  <si>
    <t xml:space="preserve">Lakeside</t>
  </si>
  <si>
    <t xml:space="preserve">Riverview; Glenview; Lakeside Farms; Lakeview; Moreno; Riverview Farms</t>
  </si>
  <si>
    <t xml:space="preserve">92055</t>
  </si>
  <si>
    <t xml:space="preserve">Chappo</t>
  </si>
  <si>
    <t xml:space="preserve">92057</t>
  </si>
  <si>
    <t xml:space="preserve">Morro Hills; North River Farms; Arrowood; Guajome; Ivey Ranch; Libby Lake; Mission Meadows; Oceana</t>
  </si>
  <si>
    <t xml:space="preserve">92060</t>
  </si>
  <si>
    <t xml:space="preserve">Palomar Mountain</t>
  </si>
  <si>
    <t xml:space="preserve">92061</t>
  </si>
  <si>
    <t xml:space="preserve">Pauma Valley</t>
  </si>
  <si>
    <t xml:space="preserve">Yuima</t>
  </si>
  <si>
    <t xml:space="preserve">92065</t>
  </si>
  <si>
    <t xml:space="preserve">Ramona</t>
  </si>
  <si>
    <t xml:space="preserve">Mt. Woodson Castle</t>
  </si>
  <si>
    <t xml:space="preserve">92066</t>
  </si>
  <si>
    <t xml:space="preserve">Ranchita</t>
  </si>
  <si>
    <t xml:space="preserve">92068</t>
  </si>
  <si>
    <t xml:space="preserve">92082</t>
  </si>
  <si>
    <t xml:space="preserve">Valley Center</t>
  </si>
  <si>
    <t xml:space="preserve">92084</t>
  </si>
  <si>
    <t xml:space="preserve">Alta Vista; Downtown Vista</t>
  </si>
  <si>
    <t xml:space="preserve">92086</t>
  </si>
  <si>
    <t xml:space="preserve">Warner Springs</t>
  </si>
  <si>
    <t xml:space="preserve">Cupa</t>
  </si>
  <si>
    <t xml:space="preserve">92134</t>
  </si>
  <si>
    <t xml:space="preserve">92135</t>
  </si>
  <si>
    <t xml:space="preserve">92140</t>
  </si>
  <si>
    <t xml:space="preserve">92145</t>
  </si>
  <si>
    <t xml:space="preserve">Rancho Encantada</t>
  </si>
  <si>
    <t xml:space="preserve">92147</t>
  </si>
  <si>
    <t xml:space="preserve">92154</t>
  </si>
  <si>
    <t xml:space="preserve">Otay Mesa; South San Diego; Tijuana River Valley; Dennery Ranch; Hidden Trails; Ocean View Hills; Parkview; Ream Field; Remington Hills; Riviera Del Sol; Robinhood Ridge; The Landing at Ocean View Hills; Vista del Pacifico; Egger Highlands; Nestor; Otay International Center; Otay Mesa West; Palm City; Palm Ridge</t>
  </si>
  <si>
    <t xml:space="preserve">92155</t>
  </si>
  <si>
    <t xml:space="preserve">92170</t>
  </si>
  <si>
    <t xml:space="preserve">92201</t>
  </si>
  <si>
    <t xml:space="preserve">Indio</t>
  </si>
  <si>
    <t xml:space="preserve">Bella Vida; Estacio; Indian Palms Country Club &amp; Resort; Rincon; The Bridge; The Orchard</t>
  </si>
  <si>
    <t xml:space="preserve">92203</t>
  </si>
  <si>
    <t xml:space="preserve">92211</t>
  </si>
  <si>
    <t xml:space="preserve">Palm Desert</t>
  </si>
  <si>
    <t xml:space="preserve">Woodhaven Country Club</t>
  </si>
  <si>
    <t xml:space="preserve">92220</t>
  </si>
  <si>
    <t xml:space="preserve">Banning</t>
  </si>
  <si>
    <t xml:space="preserve">92222</t>
  </si>
  <si>
    <t xml:space="preserve">Bard</t>
  </si>
  <si>
    <t xml:space="preserve">92223</t>
  </si>
  <si>
    <t xml:space="preserve">Beaumont</t>
  </si>
  <si>
    <t xml:space="preserve">Aspen Creek; Highland Springs Country Club; Highland Springs Village; Olivewood</t>
  </si>
  <si>
    <t xml:space="preserve">92225</t>
  </si>
  <si>
    <t xml:space="preserve">Blythe</t>
  </si>
  <si>
    <t xml:space="preserve">92227</t>
  </si>
  <si>
    <t xml:space="preserve">Brawley</t>
  </si>
  <si>
    <t xml:space="preserve">El Centro, CA</t>
  </si>
  <si>
    <t xml:space="preserve">92230</t>
  </si>
  <si>
    <t xml:space="preserve">Cabazon</t>
  </si>
  <si>
    <t xml:space="preserve">92231</t>
  </si>
  <si>
    <t xml:space="preserve">Calexico</t>
  </si>
  <si>
    <t xml:space="preserve">Los Alamos International Center</t>
  </si>
  <si>
    <t xml:space="preserve">92233</t>
  </si>
  <si>
    <t xml:space="preserve">Calipatria</t>
  </si>
  <si>
    <t xml:space="preserve">92234</t>
  </si>
  <si>
    <t xml:space="preserve">Cathedral City</t>
  </si>
  <si>
    <t xml:space="preserve">Caliente Sands; Royal Palms</t>
  </si>
  <si>
    <t xml:space="preserve">92236</t>
  </si>
  <si>
    <t xml:space="preserve">Coachella</t>
  </si>
  <si>
    <t xml:space="preserve">92239</t>
  </si>
  <si>
    <t xml:space="preserve">Desert Center</t>
  </si>
  <si>
    <t xml:space="preserve">Lake Tamarisk</t>
  </si>
  <si>
    <t xml:space="preserve">92240</t>
  </si>
  <si>
    <t xml:space="preserve">Desert Hot Springs</t>
  </si>
  <si>
    <t xml:space="preserve">92241</t>
  </si>
  <si>
    <t xml:space="preserve">92242</t>
  </si>
  <si>
    <t xml:space="preserve">Earp</t>
  </si>
  <si>
    <t xml:space="preserve">postal city of 55% of address points</t>
  </si>
  <si>
    <t xml:space="preserve">Earp; Big River</t>
  </si>
  <si>
    <t xml:space="preserve">92243</t>
  </si>
  <si>
    <t xml:space="preserve">El Centro</t>
  </si>
  <si>
    <t xml:space="preserve">92249</t>
  </si>
  <si>
    <t xml:space="preserve">Heber</t>
  </si>
  <si>
    <t xml:space="preserve">McCabe Ranch</t>
  </si>
  <si>
    <t xml:space="preserve">92250</t>
  </si>
  <si>
    <t xml:space="preserve">Holtville</t>
  </si>
  <si>
    <t xml:space="preserve">92251</t>
  </si>
  <si>
    <t xml:space="preserve">92252</t>
  </si>
  <si>
    <t xml:space="preserve">Joshua Tree</t>
  </si>
  <si>
    <t xml:space="preserve">Friendly Hills; Joshua Cove; Joshua Tree Highlands; Monument Manor</t>
  </si>
  <si>
    <t xml:space="preserve">92253</t>
  </si>
  <si>
    <t xml:space="preserve">La Quinta</t>
  </si>
  <si>
    <t xml:space="preserve">92254</t>
  </si>
  <si>
    <t xml:space="preserve">Mecca</t>
  </si>
  <si>
    <t xml:space="preserve">Flowing Wells</t>
  </si>
  <si>
    <t xml:space="preserve">92255</t>
  </si>
  <si>
    <t xml:space="preserve">92256</t>
  </si>
  <si>
    <t xml:space="preserve">Morongo Valley</t>
  </si>
  <si>
    <t xml:space="preserve">92257</t>
  </si>
  <si>
    <t xml:space="preserve">Niland</t>
  </si>
  <si>
    <t xml:space="preserve">postal city of 60% of address points</t>
  </si>
  <si>
    <t xml:space="preserve">Niland; Bombay Beach</t>
  </si>
  <si>
    <t xml:space="preserve">Slab City</t>
  </si>
  <si>
    <t xml:space="preserve">92258</t>
  </si>
  <si>
    <t xml:space="preserve">North Palm Springs</t>
  </si>
  <si>
    <t xml:space="preserve">92259</t>
  </si>
  <si>
    <t xml:space="preserve">Ocotillo</t>
  </si>
  <si>
    <t xml:space="preserve">Coyote Wells</t>
  </si>
  <si>
    <t xml:space="preserve">92260</t>
  </si>
  <si>
    <t xml:space="preserve">Cahuilla Hills</t>
  </si>
  <si>
    <t xml:space="preserve">92261</t>
  </si>
  <si>
    <t xml:space="preserve">92262</t>
  </si>
  <si>
    <t xml:space="preserve">Section 14; El Mirador; Old Las Palmas; Racquet Club Estates; The Movie Colony</t>
  </si>
  <si>
    <t xml:space="preserve">92266</t>
  </si>
  <si>
    <t xml:space="preserve">Palo Verde</t>
  </si>
  <si>
    <t xml:space="preserve">92267</t>
  </si>
  <si>
    <t xml:space="preserve">Parker Dam</t>
  </si>
  <si>
    <t xml:space="preserve">Cross Roads</t>
  </si>
  <si>
    <t xml:space="preserve">92270</t>
  </si>
  <si>
    <t xml:space="preserve">Rancho Mirage</t>
  </si>
  <si>
    <t xml:space="preserve">92273</t>
  </si>
  <si>
    <t xml:space="preserve">Seeley</t>
  </si>
  <si>
    <t xml:space="preserve">92274</t>
  </si>
  <si>
    <t xml:space="preserve">Salton City</t>
  </si>
  <si>
    <t xml:space="preserve">Arabia</t>
  </si>
  <si>
    <t xml:space="preserve">postal city of 76% of address points</t>
  </si>
  <si>
    <t xml:space="preserve">Salton City; Thermal</t>
  </si>
  <si>
    <t xml:space="preserve">92275</t>
  </si>
  <si>
    <t xml:space="preserve">92276</t>
  </si>
  <si>
    <t xml:space="preserve">Thousand Palms</t>
  </si>
  <si>
    <t xml:space="preserve">Shadow Ridge Creek</t>
  </si>
  <si>
    <t xml:space="preserve">92277</t>
  </si>
  <si>
    <t xml:space="preserve">Twentynine Palms</t>
  </si>
  <si>
    <t xml:space="preserve">92278</t>
  </si>
  <si>
    <t xml:space="preserve">92280</t>
  </si>
  <si>
    <t xml:space="preserve">Vidal</t>
  </si>
  <si>
    <t xml:space="preserve">92281</t>
  </si>
  <si>
    <t xml:space="preserve">Westmorland</t>
  </si>
  <si>
    <t xml:space="preserve">92282</t>
  </si>
  <si>
    <t xml:space="preserve">White Water</t>
  </si>
  <si>
    <t xml:space="preserve">92283</t>
  </si>
  <si>
    <t xml:space="preserve">Winterhaven</t>
  </si>
  <si>
    <t xml:space="preserve">Picacho</t>
  </si>
  <si>
    <t xml:space="preserve">92284</t>
  </si>
  <si>
    <t xml:space="preserve">92285</t>
  </si>
  <si>
    <t xml:space="preserve">Landers</t>
  </si>
  <si>
    <t xml:space="preserve">postal city of 78% of address points</t>
  </si>
  <si>
    <t xml:space="preserve">Landers; Johnson Valley</t>
  </si>
  <si>
    <t xml:space="preserve">Homestead Valley</t>
  </si>
  <si>
    <t xml:space="preserve">92301</t>
  </si>
  <si>
    <t xml:space="preserve">Adelanto</t>
  </si>
  <si>
    <t xml:space="preserve">92304</t>
  </si>
  <si>
    <t xml:space="preserve">Chambless</t>
  </si>
  <si>
    <t xml:space="preserve">92305</t>
  </si>
  <si>
    <t xml:space="preserve">Angelus Oaks</t>
  </si>
  <si>
    <t xml:space="preserve">Seven Oaks</t>
  </si>
  <si>
    <t xml:space="preserve">92307</t>
  </si>
  <si>
    <t xml:space="preserve">Apple Valley</t>
  </si>
  <si>
    <t xml:space="preserve">92308</t>
  </si>
  <si>
    <t xml:space="preserve">92309</t>
  </si>
  <si>
    <t xml:space="preserve">Baker</t>
  </si>
  <si>
    <t xml:space="preserve">Beacon Station</t>
  </si>
  <si>
    <t xml:space="preserve">92310</t>
  </si>
  <si>
    <t xml:space="preserve">Fort Irwin</t>
  </si>
  <si>
    <t xml:space="preserve">Bitter Springs; Cactus Cove; Calico Estates; Coyote Springs; Crackerjack Flats; Desert Winds; Dove Gulch; Granite Canyon; Mojave Village; Sage Brush; Sandy Basin; Sleepy Hollow; Tiefort View</t>
  </si>
  <si>
    <t xml:space="preserve">92311</t>
  </si>
  <si>
    <t xml:space="preserve">Barstow</t>
  </si>
  <si>
    <t xml:space="preserve">North Barstow; Desert View Housing Area; Nebo Center</t>
  </si>
  <si>
    <t xml:space="preserve">92313</t>
  </si>
  <si>
    <t xml:space="preserve">Grand Terrace</t>
  </si>
  <si>
    <t xml:space="preserve">92314</t>
  </si>
  <si>
    <t xml:space="preserve">Big Bear City</t>
  </si>
  <si>
    <t xml:space="preserve">Big Bear City; Big Bear Lake</t>
  </si>
  <si>
    <t xml:space="preserve">Big Bear Lake</t>
  </si>
  <si>
    <t xml:space="preserve">92315</t>
  </si>
  <si>
    <t xml:space="preserve">92316</t>
  </si>
  <si>
    <t xml:space="preserve">Bloomington</t>
  </si>
  <si>
    <t xml:space="preserve">Crestmore</t>
  </si>
  <si>
    <t xml:space="preserve">Rialto</t>
  </si>
  <si>
    <t xml:space="preserve">92317</t>
  </si>
  <si>
    <t xml:space="preserve">92318</t>
  </si>
  <si>
    <t xml:space="preserve">92320</t>
  </si>
  <si>
    <t xml:space="preserve">Calimesa</t>
  </si>
  <si>
    <t xml:space="preserve">92321</t>
  </si>
  <si>
    <t xml:space="preserve">Cedar Glen</t>
  </si>
  <si>
    <t xml:space="preserve">92322</t>
  </si>
  <si>
    <t xml:space="preserve">Cedarpines Park</t>
  </si>
  <si>
    <t xml:space="preserve">92324</t>
  </si>
  <si>
    <t xml:space="preserve">Colton</t>
  </si>
  <si>
    <t xml:space="preserve">92325</t>
  </si>
  <si>
    <t xml:space="preserve">Crestline</t>
  </si>
  <si>
    <t xml:space="preserve">92326</t>
  </si>
  <si>
    <t xml:space="preserve">92327</t>
  </si>
  <si>
    <t xml:space="preserve">Daggett</t>
  </si>
  <si>
    <t xml:space="preserve">92328</t>
  </si>
  <si>
    <t xml:space="preserve">Indian Village</t>
  </si>
  <si>
    <t xml:space="preserve">Inyo</t>
  </si>
  <si>
    <t xml:space="preserve">92332</t>
  </si>
  <si>
    <t xml:space="preserve">Essex</t>
  </si>
  <si>
    <t xml:space="preserve">Goffs</t>
  </si>
  <si>
    <t xml:space="preserve">92333</t>
  </si>
  <si>
    <t xml:space="preserve">Fawnskin</t>
  </si>
  <si>
    <t xml:space="preserve">92335</t>
  </si>
  <si>
    <t xml:space="preserve">Fontana</t>
  </si>
  <si>
    <t xml:space="preserve">Downtown Fontana; Lifestyle</t>
  </si>
  <si>
    <t xml:space="preserve">92336</t>
  </si>
  <si>
    <t xml:space="preserve">Beech Avenue Logistics Center; Citrus Heights; Coyote Canyon; Gabion Ranch; Hunters Ridge; Rancho Fontana; Sierra Lakes; Summit Heights; The Arboretum; The Landings; Village of Heritage; Walnut Village</t>
  </si>
  <si>
    <t xml:space="preserve">92337</t>
  </si>
  <si>
    <t xml:space="preserve">Southridge Village; Southwest Industrial Park</t>
  </si>
  <si>
    <t xml:space="preserve">92338</t>
  </si>
  <si>
    <t xml:space="preserve">Ludlow</t>
  </si>
  <si>
    <t xml:space="preserve">postal city of 85% of address points</t>
  </si>
  <si>
    <t xml:space="preserve">Ludlow; Newberry Springs</t>
  </si>
  <si>
    <t xml:space="preserve">Broadwell</t>
  </si>
  <si>
    <t xml:space="preserve">92339</t>
  </si>
  <si>
    <t xml:space="preserve">Forest Falls</t>
  </si>
  <si>
    <t xml:space="preserve">Oak Glen</t>
  </si>
  <si>
    <t xml:space="preserve">92341</t>
  </si>
  <si>
    <t xml:space="preserve">Green Valley Lake</t>
  </si>
  <si>
    <t xml:space="preserve">92342</t>
  </si>
  <si>
    <t xml:space="preserve">Helendale</t>
  </si>
  <si>
    <t xml:space="preserve">Silver Lakes</t>
  </si>
  <si>
    <t xml:space="preserve">92344</t>
  </si>
  <si>
    <t xml:space="preserve">Hesperia</t>
  </si>
  <si>
    <t xml:space="preserve">postal city of 54% of address points</t>
  </si>
  <si>
    <t xml:space="preserve">Hesperia; Oak Hills</t>
  </si>
  <si>
    <t xml:space="preserve">92345</t>
  </si>
  <si>
    <t xml:space="preserve">92346</t>
  </si>
  <si>
    <t xml:space="preserve">Highland</t>
  </si>
  <si>
    <t xml:space="preserve">West Highlands</t>
  </si>
  <si>
    <t xml:space="preserve">92347</t>
  </si>
  <si>
    <t xml:space="preserve">Hinkley</t>
  </si>
  <si>
    <t xml:space="preserve">92352</t>
  </si>
  <si>
    <t xml:space="preserve">Lake Arrowhead</t>
  </si>
  <si>
    <t xml:space="preserve">Blue Jay</t>
  </si>
  <si>
    <t xml:space="preserve">92354</t>
  </si>
  <si>
    <t xml:space="preserve">Loma Linda</t>
  </si>
  <si>
    <t xml:space="preserve">92356</t>
  </si>
  <si>
    <t xml:space="preserve">Lucerne Valley</t>
  </si>
  <si>
    <t xml:space="preserve">92358</t>
  </si>
  <si>
    <t xml:space="preserve">Lytle Creek</t>
  </si>
  <si>
    <t xml:space="preserve">92359</t>
  </si>
  <si>
    <t xml:space="preserve">Mentone</t>
  </si>
  <si>
    <t xml:space="preserve">Friendly Hills Mobile Estates; Sandstone; Villa De Valencia Town Homes</t>
  </si>
  <si>
    <t xml:space="preserve">92363</t>
  </si>
  <si>
    <t xml:space="preserve">Needles</t>
  </si>
  <si>
    <t xml:space="preserve">Aha Macav California Village; Rio Buena Vista</t>
  </si>
  <si>
    <t xml:space="preserve">Needles; Havasu Lake</t>
  </si>
  <si>
    <t xml:space="preserve">92364</t>
  </si>
  <si>
    <t xml:space="preserve">Nipton</t>
  </si>
  <si>
    <t xml:space="preserve">92365</t>
  </si>
  <si>
    <t xml:space="preserve">Newberry Springs</t>
  </si>
  <si>
    <t xml:space="preserve">92366</t>
  </si>
  <si>
    <t xml:space="preserve">92368</t>
  </si>
  <si>
    <t xml:space="preserve">Oro Grande</t>
  </si>
  <si>
    <t xml:space="preserve">Bryman</t>
  </si>
  <si>
    <t xml:space="preserve">92371</t>
  </si>
  <si>
    <t xml:space="preserve">Phelan</t>
  </si>
  <si>
    <t xml:space="preserve">92372</t>
  </si>
  <si>
    <t xml:space="preserve">Pinon Hills</t>
  </si>
  <si>
    <t xml:space="preserve">Piñon Hills</t>
  </si>
  <si>
    <t xml:space="preserve">92373</t>
  </si>
  <si>
    <t xml:space="preserve">Redlands</t>
  </si>
  <si>
    <t xml:space="preserve">Redlands Heights; Smiley Heights</t>
  </si>
  <si>
    <t xml:space="preserve">92374</t>
  </si>
  <si>
    <t xml:space="preserve">92376</t>
  </si>
  <si>
    <t xml:space="preserve">Downtown Rialto</t>
  </si>
  <si>
    <t xml:space="preserve">92377</t>
  </si>
  <si>
    <t xml:space="preserve">92378</t>
  </si>
  <si>
    <t xml:space="preserve">Rimforest</t>
  </si>
  <si>
    <t xml:space="preserve">92382</t>
  </si>
  <si>
    <t xml:space="preserve">Running Springs</t>
  </si>
  <si>
    <t xml:space="preserve">Running Springs; Arrowbear Lake</t>
  </si>
  <si>
    <t xml:space="preserve">Fredalba</t>
  </si>
  <si>
    <t xml:space="preserve">92384</t>
  </si>
  <si>
    <t xml:space="preserve">Chicago Valley</t>
  </si>
  <si>
    <t xml:space="preserve">92385</t>
  </si>
  <si>
    <t xml:space="preserve">Skyforest</t>
  </si>
  <si>
    <t xml:space="preserve">Crest Park</t>
  </si>
  <si>
    <t xml:space="preserve">92386</t>
  </si>
  <si>
    <t xml:space="preserve">Sugarloaf</t>
  </si>
  <si>
    <t xml:space="preserve">92389</t>
  </si>
  <si>
    <t xml:space="preserve">Charleston View</t>
  </si>
  <si>
    <t xml:space="preserve">92391</t>
  </si>
  <si>
    <t xml:space="preserve">Twin Peaks</t>
  </si>
  <si>
    <t xml:space="preserve">92392</t>
  </si>
  <si>
    <t xml:space="preserve">Victorville</t>
  </si>
  <si>
    <t xml:space="preserve">Duncan Corners; Eagle Ranch</t>
  </si>
  <si>
    <t xml:space="preserve">92393</t>
  </si>
  <si>
    <t xml:space="preserve">92394</t>
  </si>
  <si>
    <t xml:space="preserve">Golden Mesa</t>
  </si>
  <si>
    <t xml:space="preserve">92395</t>
  </si>
  <si>
    <t xml:space="preserve">Old Town Victorville</t>
  </si>
  <si>
    <t xml:space="preserve">92397</t>
  </si>
  <si>
    <t xml:space="preserve">Wrightwood</t>
  </si>
  <si>
    <t xml:space="preserve">92398</t>
  </si>
  <si>
    <t xml:space="preserve">Yermo</t>
  </si>
  <si>
    <t xml:space="preserve">Calico Lake</t>
  </si>
  <si>
    <t xml:space="preserve">92399</t>
  </si>
  <si>
    <t xml:space="preserve">Yucaipa</t>
  </si>
  <si>
    <t xml:space="preserve">Artisan; Mountain Gate; Whisper Ridge; Campus Plaza</t>
  </si>
  <si>
    <t xml:space="preserve">92401</t>
  </si>
  <si>
    <t xml:space="preserve">92402</t>
  </si>
  <si>
    <t xml:space="preserve">92404</t>
  </si>
  <si>
    <t xml:space="preserve">Del Rosa</t>
  </si>
  <si>
    <t xml:space="preserve">92405</t>
  </si>
  <si>
    <t xml:space="preserve">92407</t>
  </si>
  <si>
    <t xml:space="preserve">92408</t>
  </si>
  <si>
    <t xml:space="preserve">North Loma Linda</t>
  </si>
  <si>
    <t xml:space="preserve">92410</t>
  </si>
  <si>
    <t xml:space="preserve">92411</t>
  </si>
  <si>
    <t xml:space="preserve">92501</t>
  </si>
  <si>
    <t xml:space="preserve">Downtown Riverside; Northside; Tilden-Coil Constructors Plaza</t>
  </si>
  <si>
    <t xml:space="preserve">92503</t>
  </si>
  <si>
    <t xml:space="preserve">Arlanza; Arlington; Arlington Heights; Arlington South; Arlington Station; La Sierra South; May; Ramona</t>
  </si>
  <si>
    <t xml:space="preserve">92504</t>
  </si>
  <si>
    <t xml:space="preserve">Casa Blanca; Grand; Magnolia Avenue; Prenda; Presidential Park; Woodcrest</t>
  </si>
  <si>
    <t xml:space="preserve">92505</t>
  </si>
  <si>
    <t xml:space="preserve">La Sierra; La Sierra Acres; La Sierra Hills</t>
  </si>
  <si>
    <t xml:space="preserve">92506</t>
  </si>
  <si>
    <t xml:space="preserve">Alessandro Heights; Canyon Crest; Hawarden Hills; Magnolia Center; Pachappa; Upper Campus; Victoria; Wood Streets</t>
  </si>
  <si>
    <t xml:space="preserve">92507</t>
  </si>
  <si>
    <t xml:space="preserve">Bannockburn Village; Belvedere Heights; Eastside; Hunter Industrial Park; Sycamore Canyon Park; Sycamore Canyon/Canyon Springs; University</t>
  </si>
  <si>
    <t xml:space="preserve">92508</t>
  </si>
  <si>
    <t xml:space="preserve">Mission Grove; Orangecrest</t>
  </si>
  <si>
    <t xml:space="preserve">92509</t>
  </si>
  <si>
    <t xml:space="preserve">Belltown; Bly; Crestmore; De Anza Village; Ennis; Glen Avon; Henshaw; Ormand; Pedley; Rio Vista; Rubidoux; Sunnyslope</t>
  </si>
  <si>
    <t xml:space="preserve">92517</t>
  </si>
  <si>
    <t xml:space="preserve">92518</t>
  </si>
  <si>
    <t xml:space="preserve">March Air Reserve Base</t>
  </si>
  <si>
    <t xml:space="preserve">Alessandro; West March</t>
  </si>
  <si>
    <t xml:space="preserve">Moreno Valley</t>
  </si>
  <si>
    <t xml:space="preserve">92530</t>
  </si>
  <si>
    <t xml:space="preserve">Lake Elsinore</t>
  </si>
  <si>
    <t xml:space="preserve">El Cariso Village; Lakeland Village; Ortega Oaks; Alberhill Ranch; Ballpark District; Business District; Country Club Heights; East Lake; Historic District; Historic Downtown Lake Elsinore; Lake Edge District; Lake View; North Elsinore; Riverview; Sedco Hills; Summerly; Terra Cotta</t>
  </si>
  <si>
    <t xml:space="preserve">92532</t>
  </si>
  <si>
    <t xml:space="preserve">Audie Murphy Ranch; Lake Elsinore Hills</t>
  </si>
  <si>
    <t xml:space="preserve">92536</t>
  </si>
  <si>
    <t xml:space="preserve">Aguanga</t>
  </si>
  <si>
    <t xml:space="preserve">Cahuilla</t>
  </si>
  <si>
    <t xml:space="preserve">92539</t>
  </si>
  <si>
    <t xml:space="preserve">Anza</t>
  </si>
  <si>
    <t xml:space="preserve">92543</t>
  </si>
  <si>
    <t xml:space="preserve">Hemet</t>
  </si>
  <si>
    <t xml:space="preserve">Downtown Hemet; McSweeny Farms</t>
  </si>
  <si>
    <t xml:space="preserve">92544</t>
  </si>
  <si>
    <t xml:space="preserve">Lincoln View; Saratoga Ranch</t>
  </si>
  <si>
    <t xml:space="preserve">92545</t>
  </si>
  <si>
    <t xml:space="preserve">Belmonte - Seville Community Association; Egan; Four Seasons; Maze Stone Village MHP; Mountain Shadows RV Resort Community; Mountains Edge; Peppertree; Saddle Point; Stoney Mountain Ranch; Willowwalk; Winchester Trails</t>
  </si>
  <si>
    <t xml:space="preserve">92548</t>
  </si>
  <si>
    <t xml:space="preserve">Homeland</t>
  </si>
  <si>
    <t xml:space="preserve">Countryview; Highland Palms Mobile Home Park; Panorama Cove</t>
  </si>
  <si>
    <t xml:space="preserve">Juniper Springs</t>
  </si>
  <si>
    <t xml:space="preserve">92549</t>
  </si>
  <si>
    <t xml:space="preserve">Idyllwild</t>
  </si>
  <si>
    <t xml:space="preserve">Pine Cove</t>
  </si>
  <si>
    <t xml:space="preserve">92551</t>
  </si>
  <si>
    <t xml:space="preserve">Moreno Valley Ranch</t>
  </si>
  <si>
    <t xml:space="preserve">92553</t>
  </si>
  <si>
    <t xml:space="preserve">Edgemont; Sunnymead</t>
  </si>
  <si>
    <t xml:space="preserve">92555</t>
  </si>
  <si>
    <t xml:space="preserve">Cobblestone; Goldenfields; Hyde Park; Moreno; Serrano Heights; Summerfield</t>
  </si>
  <si>
    <t xml:space="preserve">92557</t>
  </si>
  <si>
    <t xml:space="preserve">92561</t>
  </si>
  <si>
    <t xml:space="preserve">Mountain Center</t>
  </si>
  <si>
    <t xml:space="preserve">92562</t>
  </si>
  <si>
    <t xml:space="preserve">Murrieta</t>
  </si>
  <si>
    <t xml:space="preserve">La Cresta; Santa Rosa West; Bear Creek; California Oaks; Greer Ranch; Linda Rosa; The Trails</t>
  </si>
  <si>
    <t xml:space="preserve">92563</t>
  </si>
  <si>
    <t xml:space="preserve">Antelope Hills; Four Seasons; Murrieta Hot Springs; Rancho Bella Vista; Spencer's Crossing</t>
  </si>
  <si>
    <t xml:space="preserve">92564</t>
  </si>
  <si>
    <t xml:space="preserve">92567</t>
  </si>
  <si>
    <t xml:space="preserve">Nuevo</t>
  </si>
  <si>
    <t xml:space="preserve">Nuevo Meadows; Nuevo Ranch; Villages of Lakeview</t>
  </si>
  <si>
    <t xml:space="preserve">San Jacinto</t>
  </si>
  <si>
    <t xml:space="preserve">92570</t>
  </si>
  <si>
    <t xml:space="preserve">Perris</t>
  </si>
  <si>
    <t xml:space="preserve">Ellis; North Peak</t>
  </si>
  <si>
    <t xml:space="preserve">92571</t>
  </si>
  <si>
    <t xml:space="preserve">Amelia Square; Encanto; Mountain View; Olive Grove; Rancho las Perris; Rockridge; Stratford Place; Val Verde; Vicenza; Villages of Avalon; Vista Creek; Westerly Place; Willowbend</t>
  </si>
  <si>
    <t xml:space="preserve">92582</t>
  </si>
  <si>
    <t xml:space="preserve">Ashford Pointe; Canterwood; Esplanade; Mosaico; Parkside North; Parkside Village; Rancho Madrina; Stallons Crossing; The Cove; The Ranch; luz del sol</t>
  </si>
  <si>
    <t xml:space="preserve">92583</t>
  </si>
  <si>
    <t xml:space="preserve">American Village Senior Community; Belicia Ranch; Century South; Mountain Bridge North; Pheasant Pointe; Quandt Ranch; Villa del Monte Mobile Home Park</t>
  </si>
  <si>
    <t xml:space="preserve">92584</t>
  </si>
  <si>
    <t xml:space="preserve">Menifee</t>
  </si>
  <si>
    <t xml:space="preserve">Mapleton; Menifee Lakes</t>
  </si>
  <si>
    <t xml:space="preserve">92585</t>
  </si>
  <si>
    <t xml:space="preserve">Mountain Gate; Pacific Melrose; Paloma; Romoland</t>
  </si>
  <si>
    <t xml:space="preserve">92586</t>
  </si>
  <si>
    <t xml:space="preserve">Sun City</t>
  </si>
  <si>
    <t xml:space="preserve">92587</t>
  </si>
  <si>
    <t xml:space="preserve">Canyon Lake</t>
  </si>
  <si>
    <t xml:space="preserve">Quail Valley</t>
  </si>
  <si>
    <t xml:space="preserve">postal city of 51% of address points</t>
  </si>
  <si>
    <t xml:space="preserve">Canyon Lake; Sun City; Menifee</t>
  </si>
  <si>
    <t xml:space="preserve">92590</t>
  </si>
  <si>
    <t xml:space="preserve">Old Town Temecula; Creekside; Crystal Ridge; Mission Village; North Jefferson; Portola Terrace; Rancho California; Rancho Creek; Rancho West; Renaissance Estates; Riverbank Village; Shearwater Creek; The Foothills; Villa Del Sol; Westside; Willow Brook</t>
  </si>
  <si>
    <t xml:space="preserve">92591</t>
  </si>
  <si>
    <t xml:space="preserve">Aberdeen; Acacia Park; Amberwood; Ashville; Auburn Lane; Avondale; Barrington; Cambridge; Cape May; Castle Pines; Chantemar Estates; Charleston; Costain Signet; Cypress Point; Emery Place; FountainGlen; Green Meadows; Harveston; Heritage; Hudson Court Park; La Serena; Martinique; Meadowview; Miranda; Monte Vista; Montego; Nicolas Valley; Oak Tree; Palm Valley; Portofino; Promenade; Rancho Bahamas; Rancho California; Rancho Del Mar; Rancho Solano; Rancho del Sol; Ridgeview; Roripaugh Hills; Roripaugh Ranch; Saddlewood; Sage Canyon; Sausalito; Savannah; Serena Hills; Signature Series; Silverwood; Solana Ridge; Solana Vista; Sorrento; Stonewood; Summerfield; Sutton Place; Sycamore Terrace; Temeku Hills; The Chateau; The Pinnacle; The Vineyard; Tierra Brisa; Tuscany Ridge; Valdemosa; Verano; Verona; Walden; Winchester Creek; Winchester Highlands; Woodcrest Country</t>
  </si>
  <si>
    <t xml:space="preserve">92592</t>
  </si>
  <si>
    <t xml:space="preserve">Temecula Valley Wine Country; Advantage; Aldea; Alegre; Arroyo; Artessa; Atria; BelVista; Biscay; Blackstone; California Legacy; California Reflections; California Sunset; Careyes; Chelsea Estates; Costain Collection; Country Manor Estates; Country Road Estates; Cristal; Crowne Hill; Eagle Point; Eastridge; Estates; Home Coming; La Posada; Lake Village; Las Sendas; Legacy; Los Ranchitos; Madera Vista; Manzanita; Marbella; Marianna; Mendicino; Milano; Mira Loma; Mirasol; Montecito; Monterey; Montevina; Morgan Heights; Morgan Hill; New Visions; Olde Orchard; Paloma del Sol; Paseo del Sol; Quintana; Rancho Highlands; Rancho Meadows; Rancho Vista; Redhawk; Reserve; Ruffino; San Marino; Santiago Ranchos; Saratoga Ridge; Sombrosa; Sommerset; Springside; Summer Breeze; Summerhill; Temecula Creek Village; Temecula Gardens; Temecula Ridge; Terracina; The Fairways; The Groves; The Meadows; The Vineyards; Toscano; Vail Creek; Vail Ranch; Ventana; Veranda; Vernaccia; Villa Avanti; Villa Hermosa; Village Grove; Villas; Vintage; Vintage Hills; Vintage View; Windsor Crest; Wolf Creek</t>
  </si>
  <si>
    <t xml:space="preserve">92595</t>
  </si>
  <si>
    <t xml:space="preserve">Wildomar</t>
  </si>
  <si>
    <t xml:space="preserve">Old Town Wildomar</t>
  </si>
  <si>
    <t xml:space="preserve">92596</t>
  </si>
  <si>
    <t xml:space="preserve">Winchester</t>
  </si>
  <si>
    <t xml:space="preserve">Acacia; Arborly; Canopy; Canterwood; Canvas; Domenigoni Valley; Downtown Winchester; Dutch Village; Esplanade; Mahogany Hills; Medley; Morningstar Ranch; Sommers Bend; Upton; Willow; Winchester Ranch</t>
  </si>
  <si>
    <t xml:space="preserve">92860</t>
  </si>
  <si>
    <t xml:space="preserve">Norco</t>
  </si>
  <si>
    <t xml:space="preserve">West End Quad</t>
  </si>
  <si>
    <t xml:space="preserve">92878</t>
  </si>
  <si>
    <t xml:space="preserve">92879</t>
  </si>
  <si>
    <t xml:space="preserve">Corona</t>
  </si>
  <si>
    <t xml:space="preserve">Home Gardens; Jasmine Springs; Las Palmas</t>
  </si>
  <si>
    <t xml:space="preserve">92880</t>
  </si>
  <si>
    <t xml:space="preserve">Eastvale</t>
  </si>
  <si>
    <t xml:space="preserve">postal city of 75% of address points</t>
  </si>
  <si>
    <t xml:space="preserve">Eastvale; Corona</t>
  </si>
  <si>
    <t xml:space="preserve">92881</t>
  </si>
  <si>
    <t xml:space="preserve">Corona Spectrum; Pepper Corner</t>
  </si>
  <si>
    <t xml:space="preserve">92882</t>
  </si>
  <si>
    <t xml:space="preserve">Coronita</t>
  </si>
  <si>
    <t xml:space="preserve">92883</t>
  </si>
  <si>
    <t xml:space="preserve">Alberhill; Arcilla; Dos Lagos; Horsethief Canyon Ranch; Sycamore Creek; Terramor</t>
  </si>
  <si>
    <t xml:space="preserve">Temescal Valley</t>
  </si>
  <si>
    <t xml:space="preserve">93015</t>
  </si>
  <si>
    <t xml:space="preserve">Fillmore</t>
  </si>
  <si>
    <t xml:space="preserve">93021</t>
  </si>
  <si>
    <t xml:space="preserve">Moorpark</t>
  </si>
  <si>
    <t xml:space="preserve">93030</t>
  </si>
  <si>
    <t xml:space="preserve">93036</t>
  </si>
  <si>
    <t xml:space="preserve">93040</t>
  </si>
  <si>
    <t xml:space="preserve">Piru</t>
  </si>
  <si>
    <t xml:space="preserve">93041</t>
  </si>
  <si>
    <t xml:space="preserve">Port Hueneme</t>
  </si>
  <si>
    <t xml:space="preserve">93042</t>
  </si>
  <si>
    <t xml:space="preserve">Two Harbors</t>
  </si>
  <si>
    <t xml:space="preserve">93043</t>
  </si>
  <si>
    <t xml:space="preserve">Port Hueneme Cbc Base</t>
  </si>
  <si>
    <t xml:space="preserve">93060</t>
  </si>
  <si>
    <t xml:space="preserve">Santa Paula</t>
  </si>
  <si>
    <t xml:space="preserve">93063</t>
  </si>
  <si>
    <t xml:space="preserve">Simi Valley</t>
  </si>
  <si>
    <t xml:space="preserve">Auburn Lane Community (Holiday Lights); Savannah Oaks; White Oak; White Oak Creek</t>
  </si>
  <si>
    <t xml:space="preserve">93064</t>
  </si>
  <si>
    <t xml:space="preserve">Simi Hills</t>
  </si>
  <si>
    <t xml:space="preserve">93065</t>
  </si>
  <si>
    <t xml:space="preserve">Greek Tract</t>
  </si>
  <si>
    <t xml:space="preserve">93201</t>
  </si>
  <si>
    <t xml:space="preserve">Alpaugh</t>
  </si>
  <si>
    <t xml:space="preserve">Tulare</t>
  </si>
  <si>
    <t xml:space="preserve">Visalia, CA</t>
  </si>
  <si>
    <t xml:space="preserve">93202</t>
  </si>
  <si>
    <t xml:space="preserve">Armona</t>
  </si>
  <si>
    <t xml:space="preserve">Kings</t>
  </si>
  <si>
    <t xml:space="preserve">Hanford, CA</t>
  </si>
  <si>
    <t xml:space="preserve">93203</t>
  </si>
  <si>
    <t xml:space="preserve">Arvin</t>
  </si>
  <si>
    <t xml:space="preserve">Kern</t>
  </si>
  <si>
    <t xml:space="preserve">Bakersfield, CA</t>
  </si>
  <si>
    <t xml:space="preserve">93204</t>
  </si>
  <si>
    <t xml:space="preserve">Avenal</t>
  </si>
  <si>
    <t xml:space="preserve">93205</t>
  </si>
  <si>
    <t xml:space="preserve">Havilah</t>
  </si>
  <si>
    <t xml:space="preserve">93206</t>
  </si>
  <si>
    <t xml:space="preserve">Shafter</t>
  </si>
  <si>
    <t xml:space="preserve">93207</t>
  </si>
  <si>
    <t xml:space="preserve">California Hot Springs</t>
  </si>
  <si>
    <t xml:space="preserve">Pine Flat</t>
  </si>
  <si>
    <t xml:space="preserve">93208</t>
  </si>
  <si>
    <t xml:space="preserve">Camp Nelson</t>
  </si>
  <si>
    <t xml:space="preserve">93210</t>
  </si>
  <si>
    <t xml:space="preserve">Coalinga</t>
  </si>
  <si>
    <t xml:space="preserve">Fresno</t>
  </si>
  <si>
    <t xml:space="preserve">Fresno, CA</t>
  </si>
  <si>
    <t xml:space="preserve">93212</t>
  </si>
  <si>
    <t xml:space="preserve">Corcoran</t>
  </si>
  <si>
    <t xml:space="preserve">93215</t>
  </si>
  <si>
    <t xml:space="preserve">Delano</t>
  </si>
  <si>
    <t xml:space="preserve">93218</t>
  </si>
  <si>
    <t xml:space="preserve">Ducor</t>
  </si>
  <si>
    <t xml:space="preserve">93219</t>
  </si>
  <si>
    <t xml:space="preserve">Earlimart</t>
  </si>
  <si>
    <t xml:space="preserve">93220</t>
  </si>
  <si>
    <t xml:space="preserve">Bakersfield</t>
  </si>
  <si>
    <t xml:space="preserve">93221</t>
  </si>
  <si>
    <t xml:space="preserve">Exeter</t>
  </si>
  <si>
    <t xml:space="preserve">93222</t>
  </si>
  <si>
    <t xml:space="preserve">Pine Mountain Club</t>
  </si>
  <si>
    <t xml:space="preserve">93223</t>
  </si>
  <si>
    <t xml:space="preserve">Farmersville</t>
  </si>
  <si>
    <t xml:space="preserve">Ashland Acres; Canal Gardens; Citrus Gardens; Langford Tract; Lewis Estates; Mayfair Manor; Melody Park; Miller Estates; Orchard Estates; Sierra Woods; Walnut Creek; Walnut Grove; Walnut Wood Estates; Woodcrest Estates</t>
  </si>
  <si>
    <t xml:space="preserve">93224</t>
  </si>
  <si>
    <t xml:space="preserve">Derby Acres</t>
  </si>
  <si>
    <t xml:space="preserve">93225</t>
  </si>
  <si>
    <t xml:space="preserve">Piñon Pines</t>
  </si>
  <si>
    <t xml:space="preserve">93226</t>
  </si>
  <si>
    <t xml:space="preserve">Glennville</t>
  </si>
  <si>
    <t xml:space="preserve">93227</t>
  </si>
  <si>
    <t xml:space="preserve">93230</t>
  </si>
  <si>
    <t xml:space="preserve">Hanford</t>
  </si>
  <si>
    <t xml:space="preserve">93234</t>
  </si>
  <si>
    <t xml:space="preserve">Huron</t>
  </si>
  <si>
    <t xml:space="preserve">93235</t>
  </si>
  <si>
    <t xml:space="preserve">Ivanhoe</t>
  </si>
  <si>
    <t xml:space="preserve">93238</t>
  </si>
  <si>
    <t xml:space="preserve">Riverkern</t>
  </si>
  <si>
    <t xml:space="preserve">93239</t>
  </si>
  <si>
    <t xml:space="preserve">Kettleman City</t>
  </si>
  <si>
    <t xml:space="preserve">93240</t>
  </si>
  <si>
    <t xml:space="preserve">Squirrel Mountain Valley</t>
  </si>
  <si>
    <t xml:space="preserve">South Lake</t>
  </si>
  <si>
    <t xml:space="preserve">93241</t>
  </si>
  <si>
    <t xml:space="preserve">Lamont</t>
  </si>
  <si>
    <t xml:space="preserve">93242</t>
  </si>
  <si>
    <t xml:space="preserve">Laton</t>
  </si>
  <si>
    <t xml:space="preserve">93243</t>
  </si>
  <si>
    <t xml:space="preserve">Lebec</t>
  </si>
  <si>
    <t xml:space="preserve">93244</t>
  </si>
  <si>
    <t xml:space="preserve">Ellis Place</t>
  </si>
  <si>
    <t xml:space="preserve">93245</t>
  </si>
  <si>
    <t xml:space="preserve">Lemoore</t>
  </si>
  <si>
    <t xml:space="preserve">93247</t>
  </si>
  <si>
    <t xml:space="preserve">Lindsay</t>
  </si>
  <si>
    <t xml:space="preserve">Autumn Hills Estates; Clintwood Highlands; Heritage Park; Lea Ranch Estates; Maple Valley Estates; Monte Vista Estates</t>
  </si>
  <si>
    <t xml:space="preserve">93249</t>
  </si>
  <si>
    <t xml:space="preserve">Blackwells Corner</t>
  </si>
  <si>
    <t xml:space="preserve">93250</t>
  </si>
  <si>
    <t xml:space="preserve">McFarland</t>
  </si>
  <si>
    <t xml:space="preserve">93251</t>
  </si>
  <si>
    <t xml:space="preserve">Lokern</t>
  </si>
  <si>
    <t xml:space="preserve">93252</t>
  </si>
  <si>
    <t xml:space="preserve">Taft</t>
  </si>
  <si>
    <t xml:space="preserve">93254</t>
  </si>
  <si>
    <t xml:space="preserve">New Cuyama</t>
  </si>
  <si>
    <t xml:space="preserve">New Cuyama; Santa Barbara Unincorporated; Ventucopa</t>
  </si>
  <si>
    <t xml:space="preserve">93255</t>
  </si>
  <si>
    <t xml:space="preserve">Canebrake</t>
  </si>
  <si>
    <t xml:space="preserve">93256</t>
  </si>
  <si>
    <t xml:space="preserve">Pixley</t>
  </si>
  <si>
    <t xml:space="preserve">93257</t>
  </si>
  <si>
    <t xml:space="preserve">Porterville</t>
  </si>
  <si>
    <t xml:space="preserve">Nanceville; Westfield</t>
  </si>
  <si>
    <t xml:space="preserve">93258</t>
  </si>
  <si>
    <t xml:space="preserve">Poplar</t>
  </si>
  <si>
    <t xml:space="preserve">93260</t>
  </si>
  <si>
    <t xml:space="preserve">Posey</t>
  </si>
  <si>
    <t xml:space="preserve">Idlewild</t>
  </si>
  <si>
    <t xml:space="preserve">93261</t>
  </si>
  <si>
    <t xml:space="preserve">Richgrove</t>
  </si>
  <si>
    <t xml:space="preserve">93262</t>
  </si>
  <si>
    <t xml:space="preserve">Red Fir</t>
  </si>
  <si>
    <t xml:space="preserve">93263</t>
  </si>
  <si>
    <t xml:space="preserve">Myricks Corner; North Shafter</t>
  </si>
  <si>
    <t xml:space="preserve">93265</t>
  </si>
  <si>
    <t xml:space="preserve">Springville</t>
  </si>
  <si>
    <t xml:space="preserve">Camp Wishon</t>
  </si>
  <si>
    <t xml:space="preserve">93266</t>
  </si>
  <si>
    <t xml:space="preserve">Stratford</t>
  </si>
  <si>
    <t xml:space="preserve">93267</t>
  </si>
  <si>
    <t xml:space="preserve">Strathmore</t>
  </si>
  <si>
    <t xml:space="preserve">Harmony</t>
  </si>
  <si>
    <t xml:space="preserve">93268</t>
  </si>
  <si>
    <t xml:space="preserve">South Taft; Taft Heights</t>
  </si>
  <si>
    <t xml:space="preserve">93270</t>
  </si>
  <si>
    <t xml:space="preserve">Terra Bella</t>
  </si>
  <si>
    <t xml:space="preserve">93271</t>
  </si>
  <si>
    <t xml:space="preserve">Three Rivers</t>
  </si>
  <si>
    <t xml:space="preserve">Oak Grove</t>
  </si>
  <si>
    <t xml:space="preserve">93272</t>
  </si>
  <si>
    <t xml:space="preserve">Tipton</t>
  </si>
  <si>
    <t xml:space="preserve">93274</t>
  </si>
  <si>
    <t xml:space="preserve">Cottonwood; Matheny; Sunrise Estates; Tesori Estates</t>
  </si>
  <si>
    <t xml:space="preserve">93276</t>
  </si>
  <si>
    <t xml:space="preserve">Tupman</t>
  </si>
  <si>
    <t xml:space="preserve">93277</t>
  </si>
  <si>
    <t xml:space="preserve">Visalia</t>
  </si>
  <si>
    <t xml:space="preserve">Brookside Estates; Caldwell Ranch; Caldwell West Estates; Cameron Creek Ranch; Copper Creek; Covington Park; Crestwood; Fontana Estates; Garden Estates; Gold Creek; Hidden Acres; Linwood Ranch; Lisendra Heights; Oak Meadow Estates; Oakcrest; Packwood Creek Estates; Rosswood Estates; Salierno Estates; Savannah Heights; Savannah Place; Sunset West; Sycamore Creek; Turnberry Place; Valley Oak; Village West; Westport Village; Westwind</t>
  </si>
  <si>
    <t xml:space="preserve">93280</t>
  </si>
  <si>
    <t xml:space="preserve">Wasco</t>
  </si>
  <si>
    <t xml:space="preserve">93283</t>
  </si>
  <si>
    <t xml:space="preserve">93285</t>
  </si>
  <si>
    <t xml:space="preserve">Wofford Heights</t>
  </si>
  <si>
    <t xml:space="preserve">93286</t>
  </si>
  <si>
    <t xml:space="preserve">Woodlake</t>
  </si>
  <si>
    <t xml:space="preserve">93287</t>
  </si>
  <si>
    <t xml:space="preserve">Woody</t>
  </si>
  <si>
    <t xml:space="preserve">93290</t>
  </si>
  <si>
    <t xml:space="preserve">93291</t>
  </si>
  <si>
    <t xml:space="preserve">Amber Crossing; Ashley Grove; Ashton Park; Avalon; Border Links West; Cobblestone Estates; Cobblestone Estates II; Da Vinci at Bella Sera; Di Mello Toscana; Eagle Creek; Fieldstone Oaks; Foxwood Estates; Kayenta Crossing; La Valencia; Lakewood; Los Gatos; Luisi Ranch; Marseille; Northgate Estates; Oakwood; Pheasant Ridge; Quail Run; Rancho Santa Barbara; Riggin Ranch; River Island Ranch; Serenata; Silver Oaks; Sterling Oaks; Summerfield; The Lakes; The Ranch; The Siena; The Villas at Bella Sera; The Vineyard; Tumble Rose; Valley Palms; Wild Horse Ranch; Shannon Ranch</t>
  </si>
  <si>
    <t xml:space="preserve">93292</t>
  </si>
  <si>
    <t xml:space="preserve">Ambler; Bonaventure; Briarwood Estates; Cainwood Estates; Campo Estates; Candelas; Casablanca; Crossroads; Diamond Creek Estates; Eagle Glen; East Oak Estates; El Rio Estates; Emerald Creek; Los Rios; McAuliff Ranch; Park Place; Pine River Ranch Estates; Rancho Santa Fe Estates; Reimer; Riverwood Estates; South Point Estates; Sunrise Park; Sunrise Pointe; Vista del Sol; Walnut Breeze; Wood Ranch</t>
  </si>
  <si>
    <t xml:space="preserve">93301</t>
  </si>
  <si>
    <t xml:space="preserve">93304</t>
  </si>
  <si>
    <t xml:space="preserve">93305</t>
  </si>
  <si>
    <t xml:space="preserve">93306</t>
  </si>
  <si>
    <t xml:space="preserve">93307</t>
  </si>
  <si>
    <t xml:space="preserve">93308</t>
  </si>
  <si>
    <t xml:space="preserve">93309</t>
  </si>
  <si>
    <t xml:space="preserve">93311</t>
  </si>
  <si>
    <t xml:space="preserve">93312</t>
  </si>
  <si>
    <t xml:space="preserve">The Polo Greens</t>
  </si>
  <si>
    <t xml:space="preserve">93313</t>
  </si>
  <si>
    <t xml:space="preserve">93314</t>
  </si>
  <si>
    <t xml:space="preserve">93384</t>
  </si>
  <si>
    <t xml:space="preserve">93389</t>
  </si>
  <si>
    <t xml:space="preserve">93410</t>
  </si>
  <si>
    <t xml:space="preserve">University Union Plaza</t>
  </si>
  <si>
    <t xml:space="preserve">93422</t>
  </si>
  <si>
    <t xml:space="preserve">Dove Creek; Las Lomas Village; Vista Dorada; Woodridge</t>
  </si>
  <si>
    <t xml:space="preserve">93426</t>
  </si>
  <si>
    <t xml:space="preserve">Lake Nacimiento</t>
  </si>
  <si>
    <t xml:space="preserve">postal city of 66% of address points</t>
  </si>
  <si>
    <t xml:space="preserve">Lake Nacimiento; Bradley</t>
  </si>
  <si>
    <t xml:space="preserve">Pleyto</t>
  </si>
  <si>
    <t xml:space="preserve">93429</t>
  </si>
  <si>
    <t xml:space="preserve">Shuman</t>
  </si>
  <si>
    <t xml:space="preserve">93432</t>
  </si>
  <si>
    <t xml:space="preserve">93434</t>
  </si>
  <si>
    <t xml:space="preserve">Guadalupe</t>
  </si>
  <si>
    <t xml:space="preserve">93436</t>
  </si>
  <si>
    <t xml:space="preserve">Lompoc</t>
  </si>
  <si>
    <t xml:space="preserve">Foothill Estates; Lompoc Village</t>
  </si>
  <si>
    <t xml:space="preserve">Lompoc; Vandenberg Village</t>
  </si>
  <si>
    <t xml:space="preserve">93437</t>
  </si>
  <si>
    <t xml:space="preserve">Vandenberg SFB</t>
  </si>
  <si>
    <t xml:space="preserve">93440</t>
  </si>
  <si>
    <t xml:space="preserve">Los Alamos</t>
  </si>
  <si>
    <t xml:space="preserve">93446</t>
  </si>
  <si>
    <t xml:space="preserve">Paso Robles</t>
  </si>
  <si>
    <t xml:space="preserve">93450</t>
  </si>
  <si>
    <t xml:space="preserve">San Ardo</t>
  </si>
  <si>
    <t xml:space="preserve">93451</t>
  </si>
  <si>
    <t xml:space="preserve">San Miguel</t>
  </si>
  <si>
    <t xml:space="preserve">San Miguel; Parkfield</t>
  </si>
  <si>
    <t xml:space="preserve">Parkfield</t>
  </si>
  <si>
    <t xml:space="preserve">93453</t>
  </si>
  <si>
    <t xml:space="preserve">Santa Margarita</t>
  </si>
  <si>
    <t xml:space="preserve">Pozo</t>
  </si>
  <si>
    <t xml:space="preserve">93454</t>
  </si>
  <si>
    <t xml:space="preserve">Santa Maria</t>
  </si>
  <si>
    <t xml:space="preserve">93455</t>
  </si>
  <si>
    <t xml:space="preserve">Orcutt</t>
  </si>
  <si>
    <t xml:space="preserve">Orcutt; Santa Maria</t>
  </si>
  <si>
    <t xml:space="preserve">93458</t>
  </si>
  <si>
    <t xml:space="preserve">93461</t>
  </si>
  <si>
    <t xml:space="preserve">Shandon</t>
  </si>
  <si>
    <t xml:space="preserve">93501</t>
  </si>
  <si>
    <t xml:space="preserve">California City</t>
  </si>
  <si>
    <t xml:space="preserve">93505</t>
  </si>
  <si>
    <t xml:space="preserve">93510</t>
  </si>
  <si>
    <t xml:space="preserve">Acton</t>
  </si>
  <si>
    <t xml:space="preserve">Palmdale</t>
  </si>
  <si>
    <t xml:space="preserve">93512</t>
  </si>
  <si>
    <t xml:space="preserve">Benton Hot Springs</t>
  </si>
  <si>
    <t xml:space="preserve">Mono</t>
  </si>
  <si>
    <t xml:space="preserve">93513</t>
  </si>
  <si>
    <t xml:space="preserve">Big Pine / Tovowahamatü</t>
  </si>
  <si>
    <t xml:space="preserve">93514</t>
  </si>
  <si>
    <t xml:space="preserve">Bishop</t>
  </si>
  <si>
    <t xml:space="preserve">Alta Vista; Old Wilkerson; Rocking K; Rovana; Starlite Estates; West Bishop</t>
  </si>
  <si>
    <t xml:space="preserve">93516</t>
  </si>
  <si>
    <t xml:space="preserve">Boron</t>
  </si>
  <si>
    <t xml:space="preserve">93517</t>
  </si>
  <si>
    <t xml:space="preserve">Bridgeport</t>
  </si>
  <si>
    <t xml:space="preserve">Bridgeport; Twin Lakes; Virginia Lakes</t>
  </si>
  <si>
    <t xml:space="preserve">93518</t>
  </si>
  <si>
    <t xml:space="preserve">93519</t>
  </si>
  <si>
    <t xml:space="preserve">Gypsite</t>
  </si>
  <si>
    <t xml:space="preserve">93522</t>
  </si>
  <si>
    <t xml:space="preserve">Darwin</t>
  </si>
  <si>
    <t xml:space="preserve">93523</t>
  </si>
  <si>
    <t xml:space="preserve">North Edwards</t>
  </si>
  <si>
    <t xml:space="preserve">93524</t>
  </si>
  <si>
    <t xml:space="preserve">Edwards</t>
  </si>
  <si>
    <t xml:space="preserve">93526</t>
  </si>
  <si>
    <t xml:space="preserve">Seven Pines</t>
  </si>
  <si>
    <t xml:space="preserve">93527</t>
  </si>
  <si>
    <t xml:space="preserve">Dunmovin</t>
  </si>
  <si>
    <t xml:space="preserve">93528</t>
  </si>
  <si>
    <t xml:space="preserve">Johannesburg</t>
  </si>
  <si>
    <t xml:space="preserve">93529</t>
  </si>
  <si>
    <t xml:space="preserve">June Lake</t>
  </si>
  <si>
    <t xml:space="preserve">93530</t>
  </si>
  <si>
    <t xml:space="preserve">Keeler</t>
  </si>
  <si>
    <t xml:space="preserve">93531</t>
  </si>
  <si>
    <t xml:space="preserve">Keene</t>
  </si>
  <si>
    <t xml:space="preserve">El Rita</t>
  </si>
  <si>
    <t xml:space="preserve">93532</t>
  </si>
  <si>
    <t xml:space="preserve">Lake Hughes</t>
  </si>
  <si>
    <t xml:space="preserve">93534</t>
  </si>
  <si>
    <t xml:space="preserve">Lancaster</t>
  </si>
  <si>
    <t xml:space="preserve">93535</t>
  </si>
  <si>
    <t xml:space="preserve">93536</t>
  </si>
  <si>
    <t xml:space="preserve">93541</t>
  </si>
  <si>
    <t xml:space="preserve">Lee Vining</t>
  </si>
  <si>
    <t xml:space="preserve">postal city of 69% of address points</t>
  </si>
  <si>
    <t xml:space="preserve">Lee Vining; Mono City</t>
  </si>
  <si>
    <t xml:space="preserve">Bennettville</t>
  </si>
  <si>
    <t xml:space="preserve">93543</t>
  </si>
  <si>
    <t xml:space="preserve">Littlerock</t>
  </si>
  <si>
    <t xml:space="preserve">93544</t>
  </si>
  <si>
    <t xml:space="preserve">Llano</t>
  </si>
  <si>
    <t xml:space="preserve">93545</t>
  </si>
  <si>
    <t xml:space="preserve">Alabama Hills</t>
  </si>
  <si>
    <t xml:space="preserve">93546</t>
  </si>
  <si>
    <t xml:space="preserve">Mammoth Lakes</t>
  </si>
  <si>
    <t xml:space="preserve">Old Mammoth; Lower Rock Creek Summer Home Tract; Pine Glade Summer Home Tract; The Ranches at Snowcreek</t>
  </si>
  <si>
    <t xml:space="preserve">93549</t>
  </si>
  <si>
    <t xml:space="preserve">Haiwee</t>
  </si>
  <si>
    <t xml:space="preserve">93550</t>
  </si>
  <si>
    <t xml:space="preserve">93551</t>
  </si>
  <si>
    <t xml:space="preserve">93552</t>
  </si>
  <si>
    <t xml:space="preserve">93553</t>
  </si>
  <si>
    <t xml:space="preserve">Pearblossom</t>
  </si>
  <si>
    <t xml:space="preserve">Juniper Hills</t>
  </si>
  <si>
    <t xml:space="preserve">93554</t>
  </si>
  <si>
    <t xml:space="preserve">Goler Heights</t>
  </si>
  <si>
    <t xml:space="preserve">93555</t>
  </si>
  <si>
    <t xml:space="preserve">Ridgecrest</t>
  </si>
  <si>
    <t xml:space="preserve">China Lake; Heritage Village</t>
  </si>
  <si>
    <t xml:space="preserve">93558</t>
  </si>
  <si>
    <t xml:space="preserve">Red Mountain</t>
  </si>
  <si>
    <t xml:space="preserve">Atolia</t>
  </si>
  <si>
    <t xml:space="preserve">93560</t>
  </si>
  <si>
    <t xml:space="preserve">93561</t>
  </si>
  <si>
    <t xml:space="preserve">Tehachapi</t>
  </si>
  <si>
    <t xml:space="preserve">93562</t>
  </si>
  <si>
    <t xml:space="preserve">Trona</t>
  </si>
  <si>
    <t xml:space="preserve">Pioneer Point</t>
  </si>
  <si>
    <t xml:space="preserve">Argus</t>
  </si>
  <si>
    <t xml:space="preserve">93563</t>
  </si>
  <si>
    <t xml:space="preserve">93591</t>
  </si>
  <si>
    <t xml:space="preserve">93592</t>
  </si>
  <si>
    <t xml:space="preserve">Ballarat</t>
  </si>
  <si>
    <t xml:space="preserve">93601</t>
  </si>
  <si>
    <t xml:space="preserve">Ahwahnee</t>
  </si>
  <si>
    <t xml:space="preserve">Madera</t>
  </si>
  <si>
    <t xml:space="preserve">Madera, CA</t>
  </si>
  <si>
    <t xml:space="preserve">Nipinnawasee</t>
  </si>
  <si>
    <t xml:space="preserve">93602</t>
  </si>
  <si>
    <t xml:space="preserve">Auberry</t>
  </si>
  <si>
    <t xml:space="preserve">Pineridge</t>
  </si>
  <si>
    <t xml:space="preserve">93603</t>
  </si>
  <si>
    <t xml:space="preserve">Badger</t>
  </si>
  <si>
    <t xml:space="preserve">Hartland</t>
  </si>
  <si>
    <t xml:space="preserve">93604</t>
  </si>
  <si>
    <t xml:space="preserve">Bass Lake</t>
  </si>
  <si>
    <t xml:space="preserve">Central Camp</t>
  </si>
  <si>
    <t xml:space="preserve">93605</t>
  </si>
  <si>
    <t xml:space="preserve">Big Creek</t>
  </si>
  <si>
    <t xml:space="preserve">93606</t>
  </si>
  <si>
    <t xml:space="preserve">Biola</t>
  </si>
  <si>
    <t xml:space="preserve">93608</t>
  </si>
  <si>
    <t xml:space="preserve">Cantua Creek</t>
  </si>
  <si>
    <t xml:space="preserve">93609</t>
  </si>
  <si>
    <t xml:space="preserve">Caruthers</t>
  </si>
  <si>
    <t xml:space="preserve">93610</t>
  </si>
  <si>
    <t xml:space="preserve">Chowchilla</t>
  </si>
  <si>
    <t xml:space="preserve">93611</t>
  </si>
  <si>
    <t xml:space="preserve">Clovis</t>
  </si>
  <si>
    <t xml:space="preserve">93612</t>
  </si>
  <si>
    <t xml:space="preserve">93613</t>
  </si>
  <si>
    <t xml:space="preserve">93614</t>
  </si>
  <si>
    <t xml:space="preserve">Coarsegold</t>
  </si>
  <si>
    <t xml:space="preserve">Yosemite Lakes Park</t>
  </si>
  <si>
    <t xml:space="preserve">93615</t>
  </si>
  <si>
    <t xml:space="preserve">Cutler</t>
  </si>
  <si>
    <t xml:space="preserve">Monson</t>
  </si>
  <si>
    <t xml:space="preserve">93616</t>
  </si>
  <si>
    <t xml:space="preserve">Del Rey</t>
  </si>
  <si>
    <t xml:space="preserve">93618</t>
  </si>
  <si>
    <t xml:space="preserve">Dinuba</t>
  </si>
  <si>
    <t xml:space="preserve">North Dinuba</t>
  </si>
  <si>
    <t xml:space="preserve">93619</t>
  </si>
  <si>
    <t xml:space="preserve">Buchanan Estates</t>
  </si>
  <si>
    <t xml:space="preserve">93620</t>
  </si>
  <si>
    <t xml:space="preserve">Dos Palos</t>
  </si>
  <si>
    <t xml:space="preserve">Merced</t>
  </si>
  <si>
    <t xml:space="preserve">Merced, CA</t>
  </si>
  <si>
    <t xml:space="preserve">93621</t>
  </si>
  <si>
    <t xml:space="preserve">Crabtree</t>
  </si>
  <si>
    <t xml:space="preserve">93622</t>
  </si>
  <si>
    <t xml:space="preserve">Firebaugh</t>
  </si>
  <si>
    <t xml:space="preserve">93623</t>
  </si>
  <si>
    <t xml:space="preserve">Fish Camp</t>
  </si>
  <si>
    <t xml:space="preserve">Mariposa</t>
  </si>
  <si>
    <t xml:space="preserve">93624</t>
  </si>
  <si>
    <t xml:space="preserve">Five Points</t>
  </si>
  <si>
    <t xml:space="preserve">Westside</t>
  </si>
  <si>
    <t xml:space="preserve">93625</t>
  </si>
  <si>
    <t xml:space="preserve">Fowler</t>
  </si>
  <si>
    <t xml:space="preserve">93626</t>
  </si>
  <si>
    <t xml:space="preserve">Friant</t>
  </si>
  <si>
    <t xml:space="preserve">Hillside Village</t>
  </si>
  <si>
    <t xml:space="preserve">93627</t>
  </si>
  <si>
    <t xml:space="preserve">Helm</t>
  </si>
  <si>
    <t xml:space="preserve">93628</t>
  </si>
  <si>
    <t xml:space="preserve">Hume</t>
  </si>
  <si>
    <t xml:space="preserve">93630</t>
  </si>
  <si>
    <t xml:space="preserve">Kerman</t>
  </si>
  <si>
    <t xml:space="preserve">93631</t>
  </si>
  <si>
    <t xml:space="preserve">Kingsburg</t>
  </si>
  <si>
    <t xml:space="preserve">93633</t>
  </si>
  <si>
    <t xml:space="preserve">Kings Canyon National Pk</t>
  </si>
  <si>
    <t xml:space="preserve">Cedar Grove</t>
  </si>
  <si>
    <t xml:space="preserve">93634</t>
  </si>
  <si>
    <t xml:space="preserve">Lakeshore</t>
  </si>
  <si>
    <t xml:space="preserve">Mono Hot Springs</t>
  </si>
  <si>
    <t xml:space="preserve">93635</t>
  </si>
  <si>
    <t xml:space="preserve">Los Banos</t>
  </si>
  <si>
    <t xml:space="preserve">93636</t>
  </si>
  <si>
    <t xml:space="preserve">Riverstone; Tesoro Viejo; Lodge District</t>
  </si>
  <si>
    <t xml:space="preserve">93637</t>
  </si>
  <si>
    <t xml:space="preserve">93638</t>
  </si>
  <si>
    <t xml:space="preserve">93640</t>
  </si>
  <si>
    <t xml:space="preserve">Mendota</t>
  </si>
  <si>
    <t xml:space="preserve">93641</t>
  </si>
  <si>
    <t xml:space="preserve">Miramonte</t>
  </si>
  <si>
    <t xml:space="preserve">93642</t>
  </si>
  <si>
    <t xml:space="preserve">93643</t>
  </si>
  <si>
    <t xml:space="preserve">North Fork</t>
  </si>
  <si>
    <t xml:space="preserve">Cascadel Woods</t>
  </si>
  <si>
    <t xml:space="preserve">93644</t>
  </si>
  <si>
    <t xml:space="preserve">Oakhurst</t>
  </si>
  <si>
    <t xml:space="preserve">Yosemite Forks</t>
  </si>
  <si>
    <t xml:space="preserve">93645</t>
  </si>
  <si>
    <t xml:space="preserve">O'Neals</t>
  </si>
  <si>
    <t xml:space="preserve">Fine Gold</t>
  </si>
  <si>
    <t xml:space="preserve">93646</t>
  </si>
  <si>
    <t xml:space="preserve">Orange Cove</t>
  </si>
  <si>
    <t xml:space="preserve">93647</t>
  </si>
  <si>
    <t xml:space="preserve">Orosi</t>
  </si>
  <si>
    <t xml:space="preserve">93648</t>
  </si>
  <si>
    <t xml:space="preserve">Parlier</t>
  </si>
  <si>
    <t xml:space="preserve">93650</t>
  </si>
  <si>
    <t xml:space="preserve">93651</t>
  </si>
  <si>
    <t xml:space="preserve">Prather</t>
  </si>
  <si>
    <t xml:space="preserve">93652</t>
  </si>
  <si>
    <t xml:space="preserve">Raisin City</t>
  </si>
  <si>
    <t xml:space="preserve">93653</t>
  </si>
  <si>
    <t xml:space="preserve">Raymond</t>
  </si>
  <si>
    <t xml:space="preserve">93654</t>
  </si>
  <si>
    <t xml:space="preserve">Reedley</t>
  </si>
  <si>
    <t xml:space="preserve">93656</t>
  </si>
  <si>
    <t xml:space="preserve">Riverdale</t>
  </si>
  <si>
    <t xml:space="preserve">Lanare</t>
  </si>
  <si>
    <t xml:space="preserve">93657</t>
  </si>
  <si>
    <t xml:space="preserve">Sanger</t>
  </si>
  <si>
    <t xml:space="preserve">93660</t>
  </si>
  <si>
    <t xml:space="preserve">San Joaquin</t>
  </si>
  <si>
    <t xml:space="preserve">93662</t>
  </si>
  <si>
    <t xml:space="preserve">Selma</t>
  </si>
  <si>
    <t xml:space="preserve">93664</t>
  </si>
  <si>
    <t xml:space="preserve">Shaver Lake</t>
  </si>
  <si>
    <t xml:space="preserve">Camp Sierra</t>
  </si>
  <si>
    <t xml:space="preserve">93665</t>
  </si>
  <si>
    <t xml:space="preserve">South Dos Palos</t>
  </si>
  <si>
    <t xml:space="preserve">93666</t>
  </si>
  <si>
    <t xml:space="preserve">Sultana</t>
  </si>
  <si>
    <t xml:space="preserve">93667</t>
  </si>
  <si>
    <t xml:space="preserve">Tollhouse</t>
  </si>
  <si>
    <t xml:space="preserve">Trimmer</t>
  </si>
  <si>
    <t xml:space="preserve">93668</t>
  </si>
  <si>
    <t xml:space="preserve">Tranquillity</t>
  </si>
  <si>
    <t xml:space="preserve">93669</t>
  </si>
  <si>
    <t xml:space="preserve">Wishon</t>
  </si>
  <si>
    <t xml:space="preserve">Bass Lake Annex</t>
  </si>
  <si>
    <t xml:space="preserve">93673</t>
  </si>
  <si>
    <t xml:space="preserve">Traver</t>
  </si>
  <si>
    <t xml:space="preserve">93675</t>
  </si>
  <si>
    <t xml:space="preserve">Squaw Valley</t>
  </si>
  <si>
    <t xml:space="preserve">Yokuts Valley</t>
  </si>
  <si>
    <t xml:space="preserve">93701</t>
  </si>
  <si>
    <t xml:space="preserve">93702</t>
  </si>
  <si>
    <t xml:space="preserve">93703</t>
  </si>
  <si>
    <t xml:space="preserve">93704</t>
  </si>
  <si>
    <t xml:space="preserve">93705</t>
  </si>
  <si>
    <t xml:space="preserve">93706</t>
  </si>
  <si>
    <t xml:space="preserve">93710</t>
  </si>
  <si>
    <t xml:space="preserve">93711</t>
  </si>
  <si>
    <t xml:space="preserve">Figarden</t>
  </si>
  <si>
    <t xml:space="preserve">93720</t>
  </si>
  <si>
    <t xml:space="preserve">93721</t>
  </si>
  <si>
    <t xml:space="preserve">93722</t>
  </si>
  <si>
    <t xml:space="preserve">Herndon; Highway City</t>
  </si>
  <si>
    <t xml:space="preserve">93723</t>
  </si>
  <si>
    <t xml:space="preserve">93725</t>
  </si>
  <si>
    <t xml:space="preserve">Calwa</t>
  </si>
  <si>
    <t xml:space="preserve">93726</t>
  </si>
  <si>
    <t xml:space="preserve">93727</t>
  </si>
  <si>
    <t xml:space="preserve">93728</t>
  </si>
  <si>
    <t xml:space="preserve">93730</t>
  </si>
  <si>
    <t xml:space="preserve">93737</t>
  </si>
  <si>
    <t xml:space="preserve">93888</t>
  </si>
  <si>
    <t xml:space="preserve">93905</t>
  </si>
  <si>
    <t xml:space="preserve">Alisal; Sunset; Williams Ranch</t>
  </si>
  <si>
    <t xml:space="preserve">93926</t>
  </si>
  <si>
    <t xml:space="preserve">Gonzales</t>
  </si>
  <si>
    <t xml:space="preserve">93927</t>
  </si>
  <si>
    <t xml:space="preserve">Greenfield</t>
  </si>
  <si>
    <t xml:space="preserve">93928</t>
  </si>
  <si>
    <t xml:space="preserve">Fort Hunter Liggett Cantonment</t>
  </si>
  <si>
    <t xml:space="preserve">93930</t>
  </si>
  <si>
    <t xml:space="preserve">King City</t>
  </si>
  <si>
    <t xml:space="preserve">Creekbridge; Crown; Downtown; East Ranch Business Park; Forden; Jayne Street; Mesa Business Park; Millers Ranch; Mills Ranch; North Vanderhurst; Oak Hills; Pine Meadows; Rio Vista; South Mildred Avenue; South Third Street; Sussex Tract; Via Canada; Vista; Willow Street; Deer Creek; Downtown Plaza; Highland Hills; King City Town Square</t>
  </si>
  <si>
    <t xml:space="preserve">93932</t>
  </si>
  <si>
    <t xml:space="preserve">Lockwood</t>
  </si>
  <si>
    <t xml:space="preserve">93943</t>
  </si>
  <si>
    <t xml:space="preserve">93954</t>
  </si>
  <si>
    <t xml:space="preserve">San Lucas</t>
  </si>
  <si>
    <t xml:space="preserve">93960</t>
  </si>
  <si>
    <t xml:space="preserve">Soledad</t>
  </si>
  <si>
    <t xml:space="preserve">93962</t>
  </si>
  <si>
    <t xml:space="preserve">Spreckels</t>
  </si>
  <si>
    <t xml:space="preserve">94021</t>
  </si>
  <si>
    <t xml:space="preserve">Loma Mar</t>
  </si>
  <si>
    <t xml:space="preserve">94074</t>
  </si>
  <si>
    <t xml:space="preserve">San Gregorio</t>
  </si>
  <si>
    <t xml:space="preserve">San Gregorio; Pescadero; La Honda</t>
  </si>
  <si>
    <t xml:space="preserve">94128</t>
  </si>
  <si>
    <t xml:space="preserve">94129</t>
  </si>
  <si>
    <t xml:space="preserve">94142</t>
  </si>
  <si>
    <t xml:space="preserve">94304</t>
  </si>
  <si>
    <t xml:space="preserve">Carol &amp; Ned Spieker Plaza</t>
  </si>
  <si>
    <t xml:space="preserve">94503</t>
  </si>
  <si>
    <t xml:space="preserve">American Canyon</t>
  </si>
  <si>
    <t xml:space="preserve">94505</t>
  </si>
  <si>
    <t xml:space="preserve">Discovery Bay</t>
  </si>
  <si>
    <t xml:space="preserve">94508</t>
  </si>
  <si>
    <t xml:space="preserve">Angwin</t>
  </si>
  <si>
    <t xml:space="preserve">94509</t>
  </si>
  <si>
    <t xml:space="preserve">Antioch</t>
  </si>
  <si>
    <t xml:space="preserve">94510</t>
  </si>
  <si>
    <t xml:space="preserve">Benicia</t>
  </si>
  <si>
    <t xml:space="preserve">Solano</t>
  </si>
  <si>
    <t xml:space="preserve">Vallejo, CA</t>
  </si>
  <si>
    <t xml:space="preserve">94511</t>
  </si>
  <si>
    <t xml:space="preserve">Bethel Island</t>
  </si>
  <si>
    <t xml:space="preserve">94512</t>
  </si>
  <si>
    <t xml:space="preserve">Birds Landing</t>
  </si>
  <si>
    <t xml:space="preserve">94513</t>
  </si>
  <si>
    <t xml:space="preserve">Brentwood</t>
  </si>
  <si>
    <t xml:space="preserve">Sterling Pinnacle</t>
  </si>
  <si>
    <t xml:space="preserve">94525</t>
  </si>
  <si>
    <t xml:space="preserve">Crockett</t>
  </si>
  <si>
    <t xml:space="preserve">Valona</t>
  </si>
  <si>
    <t xml:space="preserve">Vallejo</t>
  </si>
  <si>
    <t xml:space="preserve">94531</t>
  </si>
  <si>
    <t xml:space="preserve">94533</t>
  </si>
  <si>
    <t xml:space="preserve">Fairfield</t>
  </si>
  <si>
    <t xml:space="preserve">94534</t>
  </si>
  <si>
    <t xml:space="preserve">94535</t>
  </si>
  <si>
    <t xml:space="preserve">Travis Afb</t>
  </si>
  <si>
    <t xml:space="preserve">94547</t>
  </si>
  <si>
    <t xml:space="preserve">Hercules</t>
  </si>
  <si>
    <t xml:space="preserve">94548</t>
  </si>
  <si>
    <t xml:space="preserve">Knightsen</t>
  </si>
  <si>
    <t xml:space="preserve">Oakley</t>
  </si>
  <si>
    <t xml:space="preserve">94561</t>
  </si>
  <si>
    <t xml:space="preserve">94564</t>
  </si>
  <si>
    <t xml:space="preserve">Pinole</t>
  </si>
  <si>
    <t xml:space="preserve">94565</t>
  </si>
  <si>
    <t xml:space="preserve">Pittsburg</t>
  </si>
  <si>
    <t xml:space="preserve">Positano at San Marco</t>
  </si>
  <si>
    <t xml:space="preserve">Pittsburg; Bay Point</t>
  </si>
  <si>
    <t xml:space="preserve">94567</t>
  </si>
  <si>
    <t xml:space="preserve">Pope Valley</t>
  </si>
  <si>
    <t xml:space="preserve">Walter Springs</t>
  </si>
  <si>
    <t xml:space="preserve">94569</t>
  </si>
  <si>
    <t xml:space="preserve">Port Costa</t>
  </si>
  <si>
    <t xml:space="preserve">Port Costa; Walnut Creek</t>
  </si>
  <si>
    <t xml:space="preserve">94571</t>
  </si>
  <si>
    <t xml:space="preserve">Rio Vista</t>
  </si>
  <si>
    <t xml:space="preserve">Liberty</t>
  </si>
  <si>
    <t xml:space="preserve">94572</t>
  </si>
  <si>
    <t xml:space="preserve">Rodeo</t>
  </si>
  <si>
    <t xml:space="preserve">94575</t>
  </si>
  <si>
    <t xml:space="preserve">94576</t>
  </si>
  <si>
    <t xml:space="preserve">Deer Park</t>
  </si>
  <si>
    <t xml:space="preserve">Sanitarium</t>
  </si>
  <si>
    <t xml:space="preserve">94585</t>
  </si>
  <si>
    <t xml:space="preserve">Suisun City</t>
  </si>
  <si>
    <t xml:space="preserve">94589</t>
  </si>
  <si>
    <t xml:space="preserve">Cimarron Hills; Country Club Crest</t>
  </si>
  <si>
    <t xml:space="preserve">94590</t>
  </si>
  <si>
    <t xml:space="preserve">Martin Luther King Jr. Unity Plaza</t>
  </si>
  <si>
    <t xml:space="preserve">94591</t>
  </si>
  <si>
    <t xml:space="preserve">Glen Cove; Hunter Ranch; Northgate; Somerset Highlands</t>
  </si>
  <si>
    <t xml:space="preserve">94592</t>
  </si>
  <si>
    <t xml:space="preserve">94601</t>
  </si>
  <si>
    <t xml:space="preserve">East Oakland; Fruitvale; Jingletown; Melrose</t>
  </si>
  <si>
    <t xml:space="preserve">94603</t>
  </si>
  <si>
    <t xml:space="preserve">Brookfield Village</t>
  </si>
  <si>
    <t xml:space="preserve">94606</t>
  </si>
  <si>
    <t xml:space="preserve">Cleveland Heights; Clinton; Eastlake; Highland Park; Little Saigon; San Antonio</t>
  </si>
  <si>
    <t xml:space="preserve">94607</t>
  </si>
  <si>
    <t xml:space="preserve">West Oakland; 7th Street Historic District; Chinatown; Jack London Square; Lower Bottoms; Old Oakland Historic District; South Prescott</t>
  </si>
  <si>
    <t xml:space="preserve">94612</t>
  </si>
  <si>
    <t xml:space="preserve">Downtown Oakland; Civic Center; Downtown; Financial District; Lakeside; Northlake; San Pablo Gateway; Uptown</t>
  </si>
  <si>
    <t xml:space="preserve">94613</t>
  </si>
  <si>
    <t xml:space="preserve">94621</t>
  </si>
  <si>
    <t xml:space="preserve">Elmhurst; Lockwood Gardens</t>
  </si>
  <si>
    <t xml:space="preserve">94720</t>
  </si>
  <si>
    <t xml:space="preserve">94801</t>
  </si>
  <si>
    <t xml:space="preserve">Atchison Village; Iron Triangle; Rheem</t>
  </si>
  <si>
    <t xml:space="preserve">94803</t>
  </si>
  <si>
    <t xml:space="preserve">El Sobrante</t>
  </si>
  <si>
    <t xml:space="preserve">El Sobrante; Richmond</t>
  </si>
  <si>
    <t xml:space="preserve">94806</t>
  </si>
  <si>
    <t xml:space="preserve">San Pablo</t>
  </si>
  <si>
    <t xml:space="preserve">San Pablo; Richmond</t>
  </si>
  <si>
    <t xml:space="preserve">94820</t>
  </si>
  <si>
    <t xml:space="preserve">94850</t>
  </si>
  <si>
    <t xml:space="preserve">94928</t>
  </si>
  <si>
    <t xml:space="preserve">94950</t>
  </si>
  <si>
    <t xml:space="preserve">Olema</t>
  </si>
  <si>
    <t xml:space="preserve">94964</t>
  </si>
  <si>
    <t xml:space="preserve">San Quentin</t>
  </si>
  <si>
    <t xml:space="preserve">94971</t>
  </si>
  <si>
    <t xml:space="preserve">Tomales</t>
  </si>
  <si>
    <t xml:space="preserve">Vincent Landing</t>
  </si>
  <si>
    <t xml:space="preserve">95006</t>
  </si>
  <si>
    <t xml:space="preserve">Boulder Creek</t>
  </si>
  <si>
    <t xml:space="preserve">Riverside Grove</t>
  </si>
  <si>
    <t xml:space="preserve">95007</t>
  </si>
  <si>
    <t xml:space="preserve">Brookdale</t>
  </si>
  <si>
    <t xml:space="preserve">95012</t>
  </si>
  <si>
    <t xml:space="preserve">Castroville</t>
  </si>
  <si>
    <t xml:space="preserve">95013</t>
  </si>
  <si>
    <t xml:space="preserve">95023</t>
  </si>
  <si>
    <t xml:space="preserve">Hollister</t>
  </si>
  <si>
    <t xml:space="preserve">95041</t>
  </si>
  <si>
    <t xml:space="preserve">Mt Hermon</t>
  </si>
  <si>
    <t xml:space="preserve">Mount Hermon</t>
  </si>
  <si>
    <t xml:space="preserve">95045</t>
  </si>
  <si>
    <t xml:space="preserve">San Juan Bautista</t>
  </si>
  <si>
    <t xml:space="preserve">95053</t>
  </si>
  <si>
    <t xml:space="preserve">95064</t>
  </si>
  <si>
    <t xml:space="preserve">University; Crown Lower Quad</t>
  </si>
  <si>
    <t xml:space="preserve">95075</t>
  </si>
  <si>
    <t xml:space="preserve">Paicines</t>
  </si>
  <si>
    <t xml:space="preserve">95202</t>
  </si>
  <si>
    <t xml:space="preserve">Stockton</t>
  </si>
  <si>
    <t xml:space="preserve">Eden Square</t>
  </si>
  <si>
    <t xml:space="preserve">Stockton, CA</t>
  </si>
  <si>
    <t xml:space="preserve">95203</t>
  </si>
  <si>
    <t xml:space="preserve">95204</t>
  </si>
  <si>
    <t xml:space="preserve">95205</t>
  </si>
  <si>
    <t xml:space="preserve">95206</t>
  </si>
  <si>
    <t xml:space="preserve">95207</t>
  </si>
  <si>
    <t xml:space="preserve">95209</t>
  </si>
  <si>
    <t xml:space="preserve">Villa Theresa</t>
  </si>
  <si>
    <t xml:space="preserve">95210</t>
  </si>
  <si>
    <t xml:space="preserve">Friendly Village; Imperial Stockton</t>
  </si>
  <si>
    <t xml:space="preserve">95211</t>
  </si>
  <si>
    <t xml:space="preserve">95212</t>
  </si>
  <si>
    <t xml:space="preserve">95215</t>
  </si>
  <si>
    <t xml:space="preserve">95219</t>
  </si>
  <si>
    <t xml:space="preserve">95220</t>
  </si>
  <si>
    <t xml:space="preserve">Acampo</t>
  </si>
  <si>
    <t xml:space="preserve">Lodi</t>
  </si>
  <si>
    <t xml:space="preserve">95222</t>
  </si>
  <si>
    <t xml:space="preserve">Angels</t>
  </si>
  <si>
    <t xml:space="preserve">Calaveras</t>
  </si>
  <si>
    <t xml:space="preserve">95223</t>
  </si>
  <si>
    <t xml:space="preserve">Peaceful Pines</t>
  </si>
  <si>
    <t xml:space="preserve">Big Trees Village; Snowshoe Springs</t>
  </si>
  <si>
    <t xml:space="preserve">95224</t>
  </si>
  <si>
    <t xml:space="preserve">McKay</t>
  </si>
  <si>
    <t xml:space="preserve">95225</t>
  </si>
  <si>
    <t xml:space="preserve">South Camanche Shore</t>
  </si>
  <si>
    <t xml:space="preserve">95226</t>
  </si>
  <si>
    <t xml:space="preserve">Campo Seco</t>
  </si>
  <si>
    <t xml:space="preserve">95227</t>
  </si>
  <si>
    <t xml:space="preserve">Clements</t>
  </si>
  <si>
    <t xml:space="preserve">Dogtown</t>
  </si>
  <si>
    <t xml:space="preserve">95228</t>
  </si>
  <si>
    <t xml:space="preserve">Copper Cove Village</t>
  </si>
  <si>
    <t xml:space="preserve">95230</t>
  </si>
  <si>
    <t xml:space="preserve">Farmington</t>
  </si>
  <si>
    <t xml:space="preserve">95231</t>
  </si>
  <si>
    <t xml:space="preserve">French Camp</t>
  </si>
  <si>
    <t xml:space="preserve">Lathrop</t>
  </si>
  <si>
    <t xml:space="preserve">95232</t>
  </si>
  <si>
    <t xml:space="preserve">Alabama Hill</t>
  </si>
  <si>
    <t xml:space="preserve">95233</t>
  </si>
  <si>
    <t xml:space="preserve">Indian Hills</t>
  </si>
  <si>
    <t xml:space="preserve">95234</t>
  </si>
  <si>
    <t xml:space="preserve">Trull</t>
  </si>
  <si>
    <t xml:space="preserve">95236</t>
  </si>
  <si>
    <t xml:space="preserve">Linden</t>
  </si>
  <si>
    <t xml:space="preserve">95237</t>
  </si>
  <si>
    <t xml:space="preserve">Lockeford</t>
  </si>
  <si>
    <t xml:space="preserve">95240</t>
  </si>
  <si>
    <t xml:space="preserve">95242</t>
  </si>
  <si>
    <t xml:space="preserve">95245</t>
  </si>
  <si>
    <t xml:space="preserve">Mokelumne Hill</t>
  </si>
  <si>
    <t xml:space="preserve">95246</t>
  </si>
  <si>
    <t xml:space="preserve">Mountain Ranch</t>
  </si>
  <si>
    <t xml:space="preserve">95247</t>
  </si>
  <si>
    <t xml:space="preserve">Murphys</t>
  </si>
  <si>
    <t xml:space="preserve">Rocky Hill; Wyldewood</t>
  </si>
  <si>
    <t xml:space="preserve">95248</t>
  </si>
  <si>
    <t xml:space="preserve">Fuchs</t>
  </si>
  <si>
    <t xml:space="preserve">95249</t>
  </si>
  <si>
    <t xml:space="preserve">Mountain Ranch Subdivision</t>
  </si>
  <si>
    <t xml:space="preserve">95250</t>
  </si>
  <si>
    <t xml:space="preserve">Fort Jones</t>
  </si>
  <si>
    <t xml:space="preserve">95251</t>
  </si>
  <si>
    <t xml:space="preserve">Vallecito</t>
  </si>
  <si>
    <t xml:space="preserve">95252</t>
  </si>
  <si>
    <t xml:space="preserve">Burson</t>
  </si>
  <si>
    <t xml:space="preserve">95253</t>
  </si>
  <si>
    <t xml:space="preserve">95254</t>
  </si>
  <si>
    <t xml:space="preserve">Wallace</t>
  </si>
  <si>
    <t xml:space="preserve">95255</t>
  </si>
  <si>
    <t xml:space="preserve">Bummerville</t>
  </si>
  <si>
    <t xml:space="preserve">95257</t>
  </si>
  <si>
    <t xml:space="preserve">Hams</t>
  </si>
  <si>
    <t xml:space="preserve">95258</t>
  </si>
  <si>
    <t xml:space="preserve">Woodbridge</t>
  </si>
  <si>
    <t xml:space="preserve">95269</t>
  </si>
  <si>
    <t xml:space="preserve">95301</t>
  </si>
  <si>
    <t xml:space="preserve">Atwater</t>
  </si>
  <si>
    <t xml:space="preserve">95303</t>
  </si>
  <si>
    <t xml:space="preserve">Ballico</t>
  </si>
  <si>
    <t xml:space="preserve">Livingston</t>
  </si>
  <si>
    <t xml:space="preserve">95304</t>
  </si>
  <si>
    <t xml:space="preserve">Tracy</t>
  </si>
  <si>
    <t xml:space="preserve">Elissagaray Ranch; Hidden Lake; Yosemite Vista</t>
  </si>
  <si>
    <t xml:space="preserve">95305</t>
  </si>
  <si>
    <t xml:space="preserve">Priest</t>
  </si>
  <si>
    <t xml:space="preserve">Tuolumne</t>
  </si>
  <si>
    <t xml:space="preserve">95306</t>
  </si>
  <si>
    <t xml:space="preserve">Catheys Valley</t>
  </si>
  <si>
    <t xml:space="preserve">95307</t>
  </si>
  <si>
    <t xml:space="preserve">Ceres</t>
  </si>
  <si>
    <t xml:space="preserve">95310</t>
  </si>
  <si>
    <t xml:space="preserve">Columbia</t>
  </si>
  <si>
    <t xml:space="preserve">Sonora, CA</t>
  </si>
  <si>
    <t xml:space="preserve">95311</t>
  </si>
  <si>
    <t xml:space="preserve">Coulterville</t>
  </si>
  <si>
    <t xml:space="preserve">95312</t>
  </si>
  <si>
    <t xml:space="preserve">Cressey</t>
  </si>
  <si>
    <t xml:space="preserve">95314</t>
  </si>
  <si>
    <t xml:space="preserve">Dardanelle</t>
  </si>
  <si>
    <t xml:space="preserve">95315</t>
  </si>
  <si>
    <t xml:space="preserve">Delhi</t>
  </si>
  <si>
    <t xml:space="preserve">95316</t>
  </si>
  <si>
    <t xml:space="preserve">Denair</t>
  </si>
  <si>
    <t xml:space="preserve">Turlock</t>
  </si>
  <si>
    <t xml:space="preserve">95317</t>
  </si>
  <si>
    <t xml:space="preserve">95318</t>
  </si>
  <si>
    <t xml:space="preserve">Incline</t>
  </si>
  <si>
    <t xml:space="preserve">95319</t>
  </si>
  <si>
    <t xml:space="preserve">Empire</t>
  </si>
  <si>
    <t xml:space="preserve">Modesto</t>
  </si>
  <si>
    <t xml:space="preserve">95320</t>
  </si>
  <si>
    <t xml:space="preserve">Escalon</t>
  </si>
  <si>
    <t xml:space="preserve">95321</t>
  </si>
  <si>
    <t xml:space="preserve">Groveland</t>
  </si>
  <si>
    <t xml:space="preserve">Hardin Flat</t>
  </si>
  <si>
    <t xml:space="preserve">95322</t>
  </si>
  <si>
    <t xml:space="preserve">Gustine</t>
  </si>
  <si>
    <t xml:space="preserve">95323</t>
  </si>
  <si>
    <t xml:space="preserve">Hickman</t>
  </si>
  <si>
    <t xml:space="preserve">Waterford</t>
  </si>
  <si>
    <t xml:space="preserve">95324</t>
  </si>
  <si>
    <t xml:space="preserve">Hilmar</t>
  </si>
  <si>
    <t xml:space="preserve">Irwin</t>
  </si>
  <si>
    <t xml:space="preserve">95325</t>
  </si>
  <si>
    <t xml:space="preserve">Hornitos</t>
  </si>
  <si>
    <t xml:space="preserve">95326</t>
  </si>
  <si>
    <t xml:space="preserve">Hughson</t>
  </si>
  <si>
    <t xml:space="preserve">95327</t>
  </si>
  <si>
    <t xml:space="preserve">Jamestown</t>
  </si>
  <si>
    <t xml:space="preserve">Chinese Camp</t>
  </si>
  <si>
    <t xml:space="preserve">95328</t>
  </si>
  <si>
    <t xml:space="preserve">Keyes</t>
  </si>
  <si>
    <t xml:space="preserve">95329</t>
  </si>
  <si>
    <t xml:space="preserve">La Grange</t>
  </si>
  <si>
    <t xml:space="preserve">95330</t>
  </si>
  <si>
    <t xml:space="preserve">95333</t>
  </si>
  <si>
    <t xml:space="preserve">Le Grand</t>
  </si>
  <si>
    <t xml:space="preserve">Planada</t>
  </si>
  <si>
    <t xml:space="preserve">95334</t>
  </si>
  <si>
    <t xml:space="preserve">95335</t>
  </si>
  <si>
    <t xml:space="preserve">Long Barn</t>
  </si>
  <si>
    <t xml:space="preserve">95336</t>
  </si>
  <si>
    <t xml:space="preserve">Manteca</t>
  </si>
  <si>
    <t xml:space="preserve">95337</t>
  </si>
  <si>
    <t xml:space="preserve">95338</t>
  </si>
  <si>
    <t xml:space="preserve">95340</t>
  </si>
  <si>
    <t xml:space="preserve">Ragsdale; Spaghetti Acres; Bob Hart Square</t>
  </si>
  <si>
    <t xml:space="preserve">95341</t>
  </si>
  <si>
    <t xml:space="preserve">95345</t>
  </si>
  <si>
    <t xml:space="preserve">Midpines</t>
  </si>
  <si>
    <t xml:space="preserve">95346</t>
  </si>
  <si>
    <t xml:space="preserve">Mi-Wuk</t>
  </si>
  <si>
    <t xml:space="preserve">Mi-Wuk Village</t>
  </si>
  <si>
    <t xml:space="preserve">95348</t>
  </si>
  <si>
    <t xml:space="preserve">Bellevue Ranch; Bellview Ranch</t>
  </si>
  <si>
    <t xml:space="preserve">95350</t>
  </si>
  <si>
    <t xml:space="preserve">95351</t>
  </si>
  <si>
    <t xml:space="preserve">Bystrom; Shackelford</t>
  </si>
  <si>
    <t xml:space="preserve">Modesto; Ceres</t>
  </si>
  <si>
    <t xml:space="preserve">95354</t>
  </si>
  <si>
    <t xml:space="preserve">95355</t>
  </si>
  <si>
    <t xml:space="preserve">95356</t>
  </si>
  <si>
    <t xml:space="preserve">95357</t>
  </si>
  <si>
    <t xml:space="preserve">Modesto; Empire</t>
  </si>
  <si>
    <t xml:space="preserve">95358</t>
  </si>
  <si>
    <t xml:space="preserve">95360</t>
  </si>
  <si>
    <t xml:space="preserve">Newman</t>
  </si>
  <si>
    <t xml:space="preserve">Creek Canyon</t>
  </si>
  <si>
    <t xml:space="preserve">95361</t>
  </si>
  <si>
    <t xml:space="preserve">Oakdale</t>
  </si>
  <si>
    <t xml:space="preserve">95363</t>
  </si>
  <si>
    <t xml:space="preserve">Patterson</t>
  </si>
  <si>
    <t xml:space="preserve">95364</t>
  </si>
  <si>
    <t xml:space="preserve">Bumblebee</t>
  </si>
  <si>
    <t xml:space="preserve">95365</t>
  </si>
  <si>
    <t xml:space="preserve">95366</t>
  </si>
  <si>
    <t xml:space="preserve">Ripon</t>
  </si>
  <si>
    <t xml:space="preserve">Historic Ripon</t>
  </si>
  <si>
    <t xml:space="preserve">95367</t>
  </si>
  <si>
    <t xml:space="preserve">Riverbank</t>
  </si>
  <si>
    <t xml:space="preserve">95368</t>
  </si>
  <si>
    <t xml:space="preserve">Salida</t>
  </si>
  <si>
    <t xml:space="preserve">95369</t>
  </si>
  <si>
    <t xml:space="preserve">Snelling</t>
  </si>
  <si>
    <t xml:space="preserve">95370</t>
  </si>
  <si>
    <t xml:space="preserve">Sonora</t>
  </si>
  <si>
    <t xml:space="preserve">Browns Flat; Cuesta Oaks; East Sonora; Greenley Oaks; Knox Hill; Saratoga Acres; Sonora Hills; Sonora Knolls</t>
  </si>
  <si>
    <t xml:space="preserve">95372</t>
  </si>
  <si>
    <t xml:space="preserve">Soulsbyville</t>
  </si>
  <si>
    <t xml:space="preserve">Willow Springs</t>
  </si>
  <si>
    <t xml:space="preserve">95374</t>
  </si>
  <si>
    <t xml:space="preserve">Stevinson</t>
  </si>
  <si>
    <t xml:space="preserve">95375</t>
  </si>
  <si>
    <t xml:space="preserve">Strawberry</t>
  </si>
  <si>
    <t xml:space="preserve">95376</t>
  </si>
  <si>
    <t xml:space="preserve">Alden Glen; Almondwood; Arbordale; Arnaudo Village; Blossom Valley; Britanny; Cabrillo Park; California Marquis; California Mirage; Centennial; Chaparral; Circle B Ranch; Corral Hollow Estates; Countrywood; Eastgate; Eastwood; Evergreen; Fine; Forest Glen; Fox Hollow; Greenfield; Greenleaf; Harvest Landing; Harvest Ridge; Hearthstone; Heritage; Hollywood; La Bonita Park; Larkspur Estates; Lincoln; Meadow Glen; Mountain View Acres; Newport Place; Oxford Square; Parker; Primrose; Quail Meadows; Quail Run; Rancho Pacific; Regency Square; Rosedale; Ryland Junction; Santana; Schulte Ranch; Sienna Park; Spring Meadows; Summergate; Sunset Park; Sycamore Village; Tennis Village; Tennis Vista; The Classics; Tiburon Village; Tracy Park; Victoria Park; West Park; Westchester Green</t>
  </si>
  <si>
    <t xml:space="preserve">95377</t>
  </si>
  <si>
    <t xml:space="preserve">Tracy Hills; Alden Meadows; Barcelona; Belconte; Bridle Creek; Brookview; Buena Vista Estates; Edgewood; Ellis; Fairhaven; Foothill Ranch; Foothill Vista; Gabriel Estates; Garden Square; Glen Creek; Glenbriar Estates; Harvest Glen; Heartland; Laurelbrook; Lyon Crossroads; Pebblebrook; Pheasant Run; Presidio; Redbridge; San Marco; Santosha; Southgate; Sterling Park; Sunnyside; Victoria Greens; Westgate</t>
  </si>
  <si>
    <t xml:space="preserve">95379</t>
  </si>
  <si>
    <t xml:space="preserve">Buchanan</t>
  </si>
  <si>
    <t xml:space="preserve">95380</t>
  </si>
  <si>
    <t xml:space="preserve">95382</t>
  </si>
  <si>
    <t xml:space="preserve">95383</t>
  </si>
  <si>
    <t xml:space="preserve">Twain Harte</t>
  </si>
  <si>
    <t xml:space="preserve">Hess Mill</t>
  </si>
  <si>
    <t xml:space="preserve">95385</t>
  </si>
  <si>
    <t xml:space="preserve">Vernalis</t>
  </si>
  <si>
    <t xml:space="preserve">Vernalis; Unvn</t>
  </si>
  <si>
    <t xml:space="preserve">San Joaquin City</t>
  </si>
  <si>
    <t xml:space="preserve">95386</t>
  </si>
  <si>
    <t xml:space="preserve">95387</t>
  </si>
  <si>
    <t xml:space="preserve">Westley</t>
  </si>
  <si>
    <t xml:space="preserve">postal city of 58% of address points</t>
  </si>
  <si>
    <t xml:space="preserve">Westley; Grayson</t>
  </si>
  <si>
    <t xml:space="preserve">95388</t>
  </si>
  <si>
    <t xml:space="preserve">Winton</t>
  </si>
  <si>
    <t xml:space="preserve">95389</t>
  </si>
  <si>
    <t xml:space="preserve">Yosemite</t>
  </si>
  <si>
    <t xml:space="preserve">Yosemite; Wawona</t>
  </si>
  <si>
    <t xml:space="preserve">Tuolumne Meadows</t>
  </si>
  <si>
    <t xml:space="preserve">95391</t>
  </si>
  <si>
    <t xml:space="preserve">Mh</t>
  </si>
  <si>
    <t xml:space="preserve">Altamont; Bethany; Cordes; Hansen; Questa; Wicklund</t>
  </si>
  <si>
    <t xml:space="preserve">95401</t>
  </si>
  <si>
    <t xml:space="preserve">Lincoln Manor Association</t>
  </si>
  <si>
    <t xml:space="preserve">95403</t>
  </si>
  <si>
    <t xml:space="preserve">Coffey Park</t>
  </si>
  <si>
    <t xml:space="preserve">95405</t>
  </si>
  <si>
    <t xml:space="preserve">Montgomery Village</t>
  </si>
  <si>
    <t xml:space="preserve">95407</t>
  </si>
  <si>
    <t xml:space="preserve">95409</t>
  </si>
  <si>
    <t xml:space="preserve">95410</t>
  </si>
  <si>
    <t xml:space="preserve">Elk</t>
  </si>
  <si>
    <t xml:space="preserve">95412</t>
  </si>
  <si>
    <t xml:space="preserve">Annapolis</t>
  </si>
  <si>
    <t xml:space="preserve">95415</t>
  </si>
  <si>
    <t xml:space="preserve">Boonville</t>
  </si>
  <si>
    <t xml:space="preserve">Bear Wallow</t>
  </si>
  <si>
    <t xml:space="preserve">95417</t>
  </si>
  <si>
    <t xml:space="preserve">Branscomb</t>
  </si>
  <si>
    <t xml:space="preserve">95419</t>
  </si>
  <si>
    <t xml:space="preserve">95422</t>
  </si>
  <si>
    <t xml:space="preserve">Clearlake</t>
  </si>
  <si>
    <t xml:space="preserve">Lake</t>
  </si>
  <si>
    <t xml:space="preserve">Clearlake Park</t>
  </si>
  <si>
    <t xml:space="preserve">Clearlake, CA</t>
  </si>
  <si>
    <t xml:space="preserve">95423</t>
  </si>
  <si>
    <t xml:space="preserve">Clearlake Oaks</t>
  </si>
  <si>
    <t xml:space="preserve">95424</t>
  </si>
  <si>
    <t xml:space="preserve">95425</t>
  </si>
  <si>
    <t xml:space="preserve">Cloverdale</t>
  </si>
  <si>
    <t xml:space="preserve">Cherry Creek; Clover Creek; Clover Springs; Cloverleaf Estates; Ioli Ranch; Jefferson Springs; Jefferson Villas; Kings Valley; Rancho De Amigos; Solar Park; Sunrise Hills; Vista Oaks</t>
  </si>
  <si>
    <t xml:space="preserve">95426</t>
  </si>
  <si>
    <t xml:space="preserve">Cobb</t>
  </si>
  <si>
    <t xml:space="preserve">Forest Lake</t>
  </si>
  <si>
    <t xml:space="preserve">95427</t>
  </si>
  <si>
    <t xml:space="preserve">Comptche</t>
  </si>
  <si>
    <t xml:space="preserve">95428</t>
  </si>
  <si>
    <t xml:space="preserve">Reeves Place</t>
  </si>
  <si>
    <t xml:space="preserve">95429</t>
  </si>
  <si>
    <t xml:space="preserve">Dos Rios</t>
  </si>
  <si>
    <t xml:space="preserve">95431</t>
  </si>
  <si>
    <t xml:space="preserve">Eldridge</t>
  </si>
  <si>
    <t xml:space="preserve">95432</t>
  </si>
  <si>
    <t xml:space="preserve">95435</t>
  </si>
  <si>
    <t xml:space="preserve">Finley</t>
  </si>
  <si>
    <t xml:space="preserve">95437</t>
  </si>
  <si>
    <t xml:space="preserve">Fort Bragg</t>
  </si>
  <si>
    <t xml:space="preserve">Heeser Addition</t>
  </si>
  <si>
    <t xml:space="preserve">95443</t>
  </si>
  <si>
    <t xml:space="preserve">Glenhaven</t>
  </si>
  <si>
    <t xml:space="preserve">95446</t>
  </si>
  <si>
    <t xml:space="preserve">Guerneville</t>
  </si>
  <si>
    <t xml:space="preserve">95449</t>
  </si>
  <si>
    <t xml:space="preserve">Hopland</t>
  </si>
  <si>
    <t xml:space="preserve">95451</t>
  </si>
  <si>
    <t xml:space="preserve">Kelseyville</t>
  </si>
  <si>
    <t xml:space="preserve">95453</t>
  </si>
  <si>
    <t xml:space="preserve">Lakeport</t>
  </si>
  <si>
    <t xml:space="preserve">95454</t>
  </si>
  <si>
    <t xml:space="preserve">Bowman Place</t>
  </si>
  <si>
    <t xml:space="preserve">95457</t>
  </si>
  <si>
    <t xml:space="preserve">Lower Lake</t>
  </si>
  <si>
    <t xml:space="preserve">Twin Lakes</t>
  </si>
  <si>
    <t xml:space="preserve">95458</t>
  </si>
  <si>
    <t xml:space="preserve">Lucerne</t>
  </si>
  <si>
    <t xml:space="preserve">95459</t>
  </si>
  <si>
    <t xml:space="preserve">Irish Beach</t>
  </si>
  <si>
    <t xml:space="preserve">95460</t>
  </si>
  <si>
    <t xml:space="preserve">Surfwood Estates</t>
  </si>
  <si>
    <t xml:space="preserve">95461</t>
  </si>
  <si>
    <t xml:space="preserve">Middletown</t>
  </si>
  <si>
    <t xml:space="preserve">postal city of 67% of address points</t>
  </si>
  <si>
    <t xml:space="preserve">Middletown; Loch Lomond; Whispering Pines</t>
  </si>
  <si>
    <t xml:space="preserve">95462</t>
  </si>
  <si>
    <t xml:space="preserve">Monte Rio</t>
  </si>
  <si>
    <t xml:space="preserve">95463</t>
  </si>
  <si>
    <t xml:space="preserve">Navarro</t>
  </si>
  <si>
    <t xml:space="preserve">95464</t>
  </si>
  <si>
    <t xml:space="preserve">Nice</t>
  </si>
  <si>
    <t xml:space="preserve">95467</t>
  </si>
  <si>
    <t xml:space="preserve">Hidden Valley Lake</t>
  </si>
  <si>
    <t xml:space="preserve">95468</t>
  </si>
  <si>
    <t xml:space="preserve">Point Arena</t>
  </si>
  <si>
    <t xml:space="preserve">95469</t>
  </si>
  <si>
    <t xml:space="preserve">Lake Pillsbury</t>
  </si>
  <si>
    <t xml:space="preserve">Potter Valley</t>
  </si>
  <si>
    <t xml:space="preserve">95470</t>
  </si>
  <si>
    <t xml:space="preserve">Redwood Valley</t>
  </si>
  <si>
    <t xml:space="preserve">95482</t>
  </si>
  <si>
    <t xml:space="preserve">Ukiah</t>
  </si>
  <si>
    <t xml:space="preserve">Alexander Estates; Asylum; Deerwood; Downtown; Downtown Ukiah; El Dorado Estates; Las Casas Estates; North Ukiah; Oak Manor; Presswood; Rogina Heights; Summercreek Village; The Forks; Vichy Estates; Wagenseller; Westside</t>
  </si>
  <si>
    <t xml:space="preserve">95485</t>
  </si>
  <si>
    <t xml:space="preserve">Upper Lake</t>
  </si>
  <si>
    <t xml:space="preserve">95488</t>
  </si>
  <si>
    <t xml:space="preserve">Westport</t>
  </si>
  <si>
    <t xml:space="preserve">95490</t>
  </si>
  <si>
    <t xml:space="preserve">Willits</t>
  </si>
  <si>
    <t xml:space="preserve">Fair Oaks; Muir; Simerson</t>
  </si>
  <si>
    <t xml:space="preserve">95492</t>
  </si>
  <si>
    <t xml:space="preserve">95493</t>
  </si>
  <si>
    <t xml:space="preserve">Witter Springs</t>
  </si>
  <si>
    <t xml:space="preserve">Midlakes</t>
  </si>
  <si>
    <t xml:space="preserve">95494</t>
  </si>
  <si>
    <t xml:space="preserve">95501</t>
  </si>
  <si>
    <t xml:space="preserve">Eureka</t>
  </si>
  <si>
    <t xml:space="preserve">Broadway; Old Town; The West Side; Madaket Plaza</t>
  </si>
  <si>
    <t xml:space="preserve">95503</t>
  </si>
  <si>
    <t xml:space="preserve">Eureka Mall Region; Highland Park; South California; Sunset</t>
  </si>
  <si>
    <t xml:space="preserve">95511</t>
  </si>
  <si>
    <t xml:space="preserve">Alderpoint</t>
  </si>
  <si>
    <t xml:space="preserve">95514</t>
  </si>
  <si>
    <t xml:space="preserve">Blocksburg</t>
  </si>
  <si>
    <t xml:space="preserve">95519</t>
  </si>
  <si>
    <t xml:space="preserve">Mckinleyville</t>
  </si>
  <si>
    <t xml:space="preserve">Arcata</t>
  </si>
  <si>
    <t xml:space="preserve">95521</t>
  </si>
  <si>
    <t xml:space="preserve">95524</t>
  </si>
  <si>
    <t xml:space="preserve">Bayside</t>
  </si>
  <si>
    <t xml:space="preserve">95525</t>
  </si>
  <si>
    <t xml:space="preserve">Blue Lake</t>
  </si>
  <si>
    <t xml:space="preserve">95526</t>
  </si>
  <si>
    <t xml:space="preserve">Dinsmore</t>
  </si>
  <si>
    <t xml:space="preserve">95527</t>
  </si>
  <si>
    <t xml:space="preserve">Hawkins Bar</t>
  </si>
  <si>
    <t xml:space="preserve">Trinity</t>
  </si>
  <si>
    <t xml:space="preserve">Hawkins Bar; Burnt Ranch</t>
  </si>
  <si>
    <t xml:space="preserve">Hoboken</t>
  </si>
  <si>
    <t xml:space="preserve">95528</t>
  </si>
  <si>
    <t xml:space="preserve">Carlotta</t>
  </si>
  <si>
    <t xml:space="preserve">postal city of 83% of address points</t>
  </si>
  <si>
    <t xml:space="preserve">Carlotta; Bridgeville</t>
  </si>
  <si>
    <t xml:space="preserve">Riverside Park</t>
  </si>
  <si>
    <t xml:space="preserve">95531</t>
  </si>
  <si>
    <t xml:space="preserve">Crescent City</t>
  </si>
  <si>
    <t xml:space="preserve">Del Norte</t>
  </si>
  <si>
    <t xml:space="preserve">Crescent City, CA</t>
  </si>
  <si>
    <t xml:space="preserve">95536</t>
  </si>
  <si>
    <t xml:space="preserve">Ferndale</t>
  </si>
  <si>
    <t xml:space="preserve">95537</t>
  </si>
  <si>
    <t xml:space="preserve">Fields Landing</t>
  </si>
  <si>
    <t xml:space="preserve">95540</t>
  </si>
  <si>
    <t xml:space="preserve">Fortuna</t>
  </si>
  <si>
    <t xml:space="preserve">95542</t>
  </si>
  <si>
    <t xml:space="preserve">Harris</t>
  </si>
  <si>
    <t xml:space="preserve">95543</t>
  </si>
  <si>
    <t xml:space="preserve">Gasquet</t>
  </si>
  <si>
    <t xml:space="preserve">95545</t>
  </si>
  <si>
    <t xml:space="preserve">Bull Creek</t>
  </si>
  <si>
    <t xml:space="preserve">95546</t>
  </si>
  <si>
    <t xml:space="preserve">Weitchpec / Wechpues</t>
  </si>
  <si>
    <t xml:space="preserve">95547</t>
  </si>
  <si>
    <t xml:space="preserve">Hydesville</t>
  </si>
  <si>
    <t xml:space="preserve">95548</t>
  </si>
  <si>
    <t xml:space="preserve">Klamath</t>
  </si>
  <si>
    <t xml:space="preserve">False Klamath</t>
  </si>
  <si>
    <t xml:space="preserve">95549</t>
  </si>
  <si>
    <t xml:space="preserve">Kneeland</t>
  </si>
  <si>
    <t xml:space="preserve">95551</t>
  </si>
  <si>
    <t xml:space="preserve">Loleta</t>
  </si>
  <si>
    <t xml:space="preserve">Table Bluff Wiyot Reservation / giloulh</t>
  </si>
  <si>
    <t xml:space="preserve">95552</t>
  </si>
  <si>
    <t xml:space="preserve">Mad River</t>
  </si>
  <si>
    <t xml:space="preserve">Ruth</t>
  </si>
  <si>
    <t xml:space="preserve">95553</t>
  </si>
  <si>
    <t xml:space="preserve">Myers Flat</t>
  </si>
  <si>
    <t xml:space="preserve">95554</t>
  </si>
  <si>
    <t xml:space="preserve">Fruitland</t>
  </si>
  <si>
    <t xml:space="preserve">95555</t>
  </si>
  <si>
    <t xml:space="preserve">Orick</t>
  </si>
  <si>
    <t xml:space="preserve">Gathering Place; Outdoor Classroom</t>
  </si>
  <si>
    <t xml:space="preserve">Notchko</t>
  </si>
  <si>
    <t xml:space="preserve">95556</t>
  </si>
  <si>
    <t xml:space="preserve">Orleans</t>
  </si>
  <si>
    <t xml:space="preserve">Orleans;Panámnik</t>
  </si>
  <si>
    <t xml:space="preserve">95558</t>
  </si>
  <si>
    <t xml:space="preserve">Petrolia</t>
  </si>
  <si>
    <t xml:space="preserve">Petrolia; Honeydew</t>
  </si>
  <si>
    <t xml:space="preserve">Upper Mattole</t>
  </si>
  <si>
    <t xml:space="preserve">95559</t>
  </si>
  <si>
    <t xml:space="preserve">Phillipsville</t>
  </si>
  <si>
    <t xml:space="preserve">95560</t>
  </si>
  <si>
    <t xml:space="preserve">Redway</t>
  </si>
  <si>
    <t xml:space="preserve">Redway; Whitethorn</t>
  </si>
  <si>
    <t xml:space="preserve">95562</t>
  </si>
  <si>
    <t xml:space="preserve">Rio Dell</t>
  </si>
  <si>
    <t xml:space="preserve">95563</t>
  </si>
  <si>
    <t xml:space="preserve">Salyer</t>
  </si>
  <si>
    <t xml:space="preserve">95564</t>
  </si>
  <si>
    <t xml:space="preserve">Samoa</t>
  </si>
  <si>
    <t xml:space="preserve">95565</t>
  </si>
  <si>
    <t xml:space="preserve">Scotia</t>
  </si>
  <si>
    <t xml:space="preserve">Scotia; Shively</t>
  </si>
  <si>
    <t xml:space="preserve">95567</t>
  </si>
  <si>
    <t xml:space="preserve">Smith River</t>
  </si>
  <si>
    <t xml:space="preserve">95568</t>
  </si>
  <si>
    <t xml:space="preserve">Somes Bar</t>
  </si>
  <si>
    <t xml:space="preserve">Siskiyou</t>
  </si>
  <si>
    <t xml:space="preserve">Somes Bar; Forks Of Salmon</t>
  </si>
  <si>
    <t xml:space="preserve">95569</t>
  </si>
  <si>
    <t xml:space="preserve">McCann</t>
  </si>
  <si>
    <t xml:space="preserve">95570</t>
  </si>
  <si>
    <t xml:space="preserve">Trinidad</t>
  </si>
  <si>
    <t xml:space="preserve">95571</t>
  </si>
  <si>
    <t xml:space="preserve">Weott</t>
  </si>
  <si>
    <t xml:space="preserve">95573</t>
  </si>
  <si>
    <t xml:space="preserve">Willow Creek</t>
  </si>
  <si>
    <t xml:space="preserve">95585</t>
  </si>
  <si>
    <t xml:space="preserve">Leggett</t>
  </si>
  <si>
    <t xml:space="preserve">South Leggett</t>
  </si>
  <si>
    <t xml:space="preserve">95587</t>
  </si>
  <si>
    <t xml:space="preserve">Piercy</t>
  </si>
  <si>
    <t xml:space="preserve">95589</t>
  </si>
  <si>
    <t xml:space="preserve">Shelter Cove</t>
  </si>
  <si>
    <t xml:space="preserve">Whitethorn</t>
  </si>
  <si>
    <t xml:space="preserve">95595</t>
  </si>
  <si>
    <t xml:space="preserve">Kettenpom</t>
  </si>
  <si>
    <t xml:space="preserve">Kettenpom; Hettenshaw Valley; Zenia</t>
  </si>
  <si>
    <t xml:space="preserve">Shannon Place</t>
  </si>
  <si>
    <t xml:space="preserve">95601</t>
  </si>
  <si>
    <t xml:space="preserve">Amador City</t>
  </si>
  <si>
    <t xml:space="preserve">Amador</t>
  </si>
  <si>
    <t xml:space="preserve">95602</t>
  </si>
  <si>
    <t xml:space="preserve">Auburn</t>
  </si>
  <si>
    <t xml:space="preserve">95603</t>
  </si>
  <si>
    <t xml:space="preserve">95604</t>
  </si>
  <si>
    <t xml:space="preserve">95605</t>
  </si>
  <si>
    <t xml:space="preserve">West Sacramento</t>
  </si>
  <si>
    <t xml:space="preserve">95606</t>
  </si>
  <si>
    <t xml:space="preserve">Brooks</t>
  </si>
  <si>
    <t xml:space="preserve">Tancred</t>
  </si>
  <si>
    <t xml:space="preserve">95607</t>
  </si>
  <si>
    <t xml:space="preserve">Capay</t>
  </si>
  <si>
    <t xml:space="preserve">95608</t>
  </si>
  <si>
    <t xml:space="preserve">Carmichael</t>
  </si>
  <si>
    <t xml:space="preserve">95609</t>
  </si>
  <si>
    <t xml:space="preserve">95610</t>
  </si>
  <si>
    <t xml:space="preserve">Citrus Heights</t>
  </si>
  <si>
    <t xml:space="preserve">95612</t>
  </si>
  <si>
    <t xml:space="preserve">Clarksburg</t>
  </si>
  <si>
    <t xml:space="preserve">95614</t>
  </si>
  <si>
    <t xml:space="preserve">Cool</t>
  </si>
  <si>
    <t xml:space="preserve">95615</t>
  </si>
  <si>
    <t xml:space="preserve">Courtland</t>
  </si>
  <si>
    <t xml:space="preserve">Paintersville</t>
  </si>
  <si>
    <t xml:space="preserve">95616</t>
  </si>
  <si>
    <t xml:space="preserve">Davis</t>
  </si>
  <si>
    <t xml:space="preserve">Central Davis; East Davis; West Davis</t>
  </si>
  <si>
    <t xml:space="preserve">95618</t>
  </si>
  <si>
    <t xml:space="preserve">South Davis</t>
  </si>
  <si>
    <t xml:space="preserve">95619</t>
  </si>
  <si>
    <t xml:space="preserve">95620</t>
  </si>
  <si>
    <t xml:space="preserve">Dixon</t>
  </si>
  <si>
    <t xml:space="preserve">95621</t>
  </si>
  <si>
    <t xml:space="preserve">95623</t>
  </si>
  <si>
    <t xml:space="preserve">Nashville</t>
  </si>
  <si>
    <t xml:space="preserve">95624</t>
  </si>
  <si>
    <t xml:space="preserve">Elk Grove</t>
  </si>
  <si>
    <t xml:space="preserve">95625</t>
  </si>
  <si>
    <t xml:space="preserve">Elmira</t>
  </si>
  <si>
    <t xml:space="preserve">Vacaville</t>
  </si>
  <si>
    <t xml:space="preserve">95626</t>
  </si>
  <si>
    <t xml:space="preserve">Elverta</t>
  </si>
  <si>
    <t xml:space="preserve">95627</t>
  </si>
  <si>
    <t xml:space="preserve">Esparto</t>
  </si>
  <si>
    <t xml:space="preserve">Madison</t>
  </si>
  <si>
    <t xml:space="preserve">95628</t>
  </si>
  <si>
    <t xml:space="preserve">Fair Oaks</t>
  </si>
  <si>
    <t xml:space="preserve">95629</t>
  </si>
  <si>
    <t xml:space="preserve">Fiddletown</t>
  </si>
  <si>
    <t xml:space="preserve">Tylers Corner</t>
  </si>
  <si>
    <t xml:space="preserve">95630</t>
  </si>
  <si>
    <t xml:space="preserve">Folsom</t>
  </si>
  <si>
    <t xml:space="preserve">Represa; Briggs Ranch; Empire Ranch; Folsom Meadows; Folsom Ranch; Lexington Hills; Natoma Station; Old Town Folsom; Prairie Oaks; The Parkway; Willow Springs</t>
  </si>
  <si>
    <t xml:space="preserve">95631</t>
  </si>
  <si>
    <t xml:space="preserve">Foresthill</t>
  </si>
  <si>
    <t xml:space="preserve">Eaglecrest</t>
  </si>
  <si>
    <t xml:space="preserve">Michigan Bluff</t>
  </si>
  <si>
    <t xml:space="preserve">95632</t>
  </si>
  <si>
    <t xml:space="preserve">Galt</t>
  </si>
  <si>
    <t xml:space="preserve">95633</t>
  </si>
  <si>
    <t xml:space="preserve">Meadow Brook</t>
  </si>
  <si>
    <t xml:space="preserve">95634</t>
  </si>
  <si>
    <t xml:space="preserve">Balderson Station</t>
  </si>
  <si>
    <t xml:space="preserve">95635</t>
  </si>
  <si>
    <t xml:space="preserve">Greenwood</t>
  </si>
  <si>
    <t xml:space="preserve">95636</t>
  </si>
  <si>
    <t xml:space="preserve">Caldor</t>
  </si>
  <si>
    <t xml:space="preserve">95638</t>
  </si>
  <si>
    <t xml:space="preserve">Herald</t>
  </si>
  <si>
    <t xml:space="preserve">Clay</t>
  </si>
  <si>
    <t xml:space="preserve">95639</t>
  </si>
  <si>
    <t xml:space="preserve">Hood</t>
  </si>
  <si>
    <t xml:space="preserve">95640</t>
  </si>
  <si>
    <t xml:space="preserve">Ione</t>
  </si>
  <si>
    <t xml:space="preserve">95641</t>
  </si>
  <si>
    <t xml:space="preserve">Isleton</t>
  </si>
  <si>
    <t xml:space="preserve">95642</t>
  </si>
  <si>
    <t xml:space="preserve">Jackson</t>
  </si>
  <si>
    <t xml:space="preserve">95645</t>
  </si>
  <si>
    <t xml:space="preserve">Knights Landing</t>
  </si>
  <si>
    <t xml:space="preserve">95648</t>
  </si>
  <si>
    <t xml:space="preserve">Lincoln</t>
  </si>
  <si>
    <t xml:space="preserve">95650</t>
  </si>
  <si>
    <t xml:space="preserve">Loomis</t>
  </si>
  <si>
    <t xml:space="preserve">95651</t>
  </si>
  <si>
    <t xml:space="preserve">Lotus</t>
  </si>
  <si>
    <t xml:space="preserve">95652</t>
  </si>
  <si>
    <t xml:space="preserve">Mcclellan</t>
  </si>
  <si>
    <t xml:space="preserve">Mcclellan; North Highlands</t>
  </si>
  <si>
    <t xml:space="preserve">95653</t>
  </si>
  <si>
    <t xml:space="preserve">95655</t>
  </si>
  <si>
    <t xml:space="preserve">Mather</t>
  </si>
  <si>
    <t xml:space="preserve">Rancho Cordova</t>
  </si>
  <si>
    <t xml:space="preserve">95656</t>
  </si>
  <si>
    <t xml:space="preserve">95658</t>
  </si>
  <si>
    <t xml:space="preserve">Newcastle</t>
  </si>
  <si>
    <t xml:space="preserve">95659</t>
  </si>
  <si>
    <t xml:space="preserve">Nicolaus</t>
  </si>
  <si>
    <t xml:space="preserve">Verona</t>
  </si>
  <si>
    <t xml:space="preserve">95660</t>
  </si>
  <si>
    <t xml:space="preserve">North Highlands</t>
  </si>
  <si>
    <t xml:space="preserve">95661</t>
  </si>
  <si>
    <t xml:space="preserve">95662</t>
  </si>
  <si>
    <t xml:space="preserve">Orangevale</t>
  </si>
  <si>
    <t xml:space="preserve">95663</t>
  </si>
  <si>
    <t xml:space="preserve">Penryn</t>
  </si>
  <si>
    <t xml:space="preserve">Rocklin</t>
  </si>
  <si>
    <t xml:space="preserve">95664</t>
  </si>
  <si>
    <t xml:space="preserve">95665</t>
  </si>
  <si>
    <t xml:space="preserve">Pine Grove</t>
  </si>
  <si>
    <t xml:space="preserve">Pine Acres</t>
  </si>
  <si>
    <t xml:space="preserve">95666</t>
  </si>
  <si>
    <t xml:space="preserve">Pioneer</t>
  </si>
  <si>
    <t xml:space="preserve">Barton</t>
  </si>
  <si>
    <t xml:space="preserve">95667</t>
  </si>
  <si>
    <t xml:space="preserve">Placerville</t>
  </si>
  <si>
    <t xml:space="preserve">Estey Estates</t>
  </si>
  <si>
    <t xml:space="preserve">95669</t>
  </si>
  <si>
    <t xml:space="preserve">Plymouth</t>
  </si>
  <si>
    <t xml:space="preserve">95670</t>
  </si>
  <si>
    <t xml:space="preserve">Gold River</t>
  </si>
  <si>
    <t xml:space="preserve">Rancho Cordova; Gold River</t>
  </si>
  <si>
    <t xml:space="preserve">95672</t>
  </si>
  <si>
    <t xml:space="preserve">Jayhawk</t>
  </si>
  <si>
    <t xml:space="preserve">95673</t>
  </si>
  <si>
    <t xml:space="preserve">Rio Linda</t>
  </si>
  <si>
    <t xml:space="preserve">95674</t>
  </si>
  <si>
    <t xml:space="preserve">Rio Oso</t>
  </si>
  <si>
    <t xml:space="preserve">95675</t>
  </si>
  <si>
    <t xml:space="preserve">River Pines</t>
  </si>
  <si>
    <t xml:space="preserve">95676</t>
  </si>
  <si>
    <t xml:space="preserve">95677</t>
  </si>
  <si>
    <t xml:space="preserve">95678</t>
  </si>
  <si>
    <t xml:space="preserve">95679</t>
  </si>
  <si>
    <t xml:space="preserve">Rumsey</t>
  </si>
  <si>
    <t xml:space="preserve">Knoxville</t>
  </si>
  <si>
    <t xml:space="preserve">95680</t>
  </si>
  <si>
    <t xml:space="preserve">Ryde</t>
  </si>
  <si>
    <t xml:space="preserve">Howard Landing</t>
  </si>
  <si>
    <t xml:space="preserve">95681</t>
  </si>
  <si>
    <t xml:space="preserve">Wheatland</t>
  </si>
  <si>
    <t xml:space="preserve">95682</t>
  </si>
  <si>
    <t xml:space="preserve">Bullard</t>
  </si>
  <si>
    <t xml:space="preserve">95683</t>
  </si>
  <si>
    <t xml:space="preserve">Rancho Murieta</t>
  </si>
  <si>
    <t xml:space="preserve">95684</t>
  </si>
  <si>
    <t xml:space="preserve">Fair Play</t>
  </si>
  <si>
    <t xml:space="preserve">95685</t>
  </si>
  <si>
    <t xml:space="preserve">Sutter Creek</t>
  </si>
  <si>
    <t xml:space="preserve">95686</t>
  </si>
  <si>
    <t xml:space="preserve">Thornton</t>
  </si>
  <si>
    <t xml:space="preserve">New Hope Landing</t>
  </si>
  <si>
    <t xml:space="preserve">95687</t>
  </si>
  <si>
    <t xml:space="preserve">Brighton Landing; Leisure Town</t>
  </si>
  <si>
    <t xml:space="preserve">95688</t>
  </si>
  <si>
    <t xml:space="preserve">95689</t>
  </si>
  <si>
    <t xml:space="preserve">Volcano</t>
  </si>
  <si>
    <t xml:space="preserve">95690</t>
  </si>
  <si>
    <t xml:space="preserve">Walnut Grove</t>
  </si>
  <si>
    <t xml:space="preserve">95691</t>
  </si>
  <si>
    <t xml:space="preserve">95692</t>
  </si>
  <si>
    <t xml:space="preserve">City Of Wheatland</t>
  </si>
  <si>
    <t xml:space="preserve">Yuba</t>
  </si>
  <si>
    <t xml:space="preserve">City Of Wheatland; Wheatland; Camp Far West</t>
  </si>
  <si>
    <t xml:space="preserve">95693</t>
  </si>
  <si>
    <t xml:space="preserve">Wilton</t>
  </si>
  <si>
    <t xml:space="preserve">Dillard</t>
  </si>
  <si>
    <t xml:space="preserve">95694</t>
  </si>
  <si>
    <t xml:space="preserve">Winters</t>
  </si>
  <si>
    <t xml:space="preserve">95695</t>
  </si>
  <si>
    <t xml:space="preserve">Woodland</t>
  </si>
  <si>
    <t xml:space="preserve">95696</t>
  </si>
  <si>
    <t xml:space="preserve">95698</t>
  </si>
  <si>
    <t xml:space="preserve">Zamora</t>
  </si>
  <si>
    <t xml:space="preserve">95699</t>
  </si>
  <si>
    <t xml:space="preserve">Drytown</t>
  </si>
  <si>
    <t xml:space="preserve">95701</t>
  </si>
  <si>
    <t xml:space="preserve">Alta</t>
  </si>
  <si>
    <t xml:space="preserve">Kearsarge Mill</t>
  </si>
  <si>
    <t xml:space="preserve">Baxter</t>
  </si>
  <si>
    <t xml:space="preserve">95703</t>
  </si>
  <si>
    <t xml:space="preserve">Applegate</t>
  </si>
  <si>
    <t xml:space="preserve">95709</t>
  </si>
  <si>
    <t xml:space="preserve">Camino</t>
  </si>
  <si>
    <t xml:space="preserve">95713</t>
  </si>
  <si>
    <t xml:space="preserve">Colfax</t>
  </si>
  <si>
    <t xml:space="preserve">Alpine Meadows</t>
  </si>
  <si>
    <t xml:space="preserve">postal city of 65% of address points</t>
  </si>
  <si>
    <t xml:space="preserve">Colfax; Weimar</t>
  </si>
  <si>
    <t xml:space="preserve">95714</t>
  </si>
  <si>
    <t xml:space="preserve">Dutch Flat</t>
  </si>
  <si>
    <t xml:space="preserve">95715</t>
  </si>
  <si>
    <t xml:space="preserve">Emigrant Gap</t>
  </si>
  <si>
    <t xml:space="preserve">Emigrant Gap Acres</t>
  </si>
  <si>
    <t xml:space="preserve">Blue Canyon</t>
  </si>
  <si>
    <t xml:space="preserve">95717</t>
  </si>
  <si>
    <t xml:space="preserve">Gold Run</t>
  </si>
  <si>
    <t xml:space="preserve">Iowa Hill</t>
  </si>
  <si>
    <t xml:space="preserve">95720</t>
  </si>
  <si>
    <t xml:space="preserve">Lower Forni</t>
  </si>
  <si>
    <t xml:space="preserve">42 Milestone Tract</t>
  </si>
  <si>
    <t xml:space="preserve">95722</t>
  </si>
  <si>
    <t xml:space="preserve">Meadow Vista</t>
  </si>
  <si>
    <t xml:space="preserve">95726</t>
  </si>
  <si>
    <t xml:space="preserve">Ditch Camp Five</t>
  </si>
  <si>
    <t xml:space="preserve">Gold Ridge Forest; Lakewood Sierra</t>
  </si>
  <si>
    <t xml:space="preserve">95735</t>
  </si>
  <si>
    <t xml:space="preserve">Upper Forni</t>
  </si>
  <si>
    <t xml:space="preserve">Pyramid Creek Tract; Sciots Camp; Strawberry Creek Tract; Strawberry Heights; Strawberry Meadows; Strawberry Tract; Twin Bridges Tract</t>
  </si>
  <si>
    <t xml:space="preserve">95736</t>
  </si>
  <si>
    <t xml:space="preserve">postal city of 74% of address points</t>
  </si>
  <si>
    <t xml:space="preserve">Applegate; Weimar</t>
  </si>
  <si>
    <t xml:space="preserve">Weimar</t>
  </si>
  <si>
    <t xml:space="preserve">95742</t>
  </si>
  <si>
    <t xml:space="preserve">95746</t>
  </si>
  <si>
    <t xml:space="preserve">Granite Bay</t>
  </si>
  <si>
    <t xml:space="preserve">Folsom Lake Estates</t>
  </si>
  <si>
    <t xml:space="preserve">Granite Bay; Roseville</t>
  </si>
  <si>
    <t xml:space="preserve">95747</t>
  </si>
  <si>
    <t xml:space="preserve">Fiddyment Farm; Solaire; West Park</t>
  </si>
  <si>
    <t xml:space="preserve">95757</t>
  </si>
  <si>
    <t xml:space="preserve">Seasons at Sterling Meadows; The Elements at Sterling Meadows</t>
  </si>
  <si>
    <t xml:space="preserve">95758</t>
  </si>
  <si>
    <t xml:space="preserve">Laguna West</t>
  </si>
  <si>
    <t xml:space="preserve">95759</t>
  </si>
  <si>
    <t xml:space="preserve">95762</t>
  </si>
  <si>
    <t xml:space="preserve">El Dorado Hills; Crescent Ridge Village; La Cresta Village; Lake Hills Estates; Marina Village; Park Village; Ridgeview Village; Summit Village</t>
  </si>
  <si>
    <t xml:space="preserve">95765</t>
  </si>
  <si>
    <t xml:space="preserve">95776</t>
  </si>
  <si>
    <t xml:space="preserve">95811</t>
  </si>
  <si>
    <t xml:space="preserve">Lavender Heights; Boulevard Park</t>
  </si>
  <si>
    <t xml:space="preserve">95814</t>
  </si>
  <si>
    <t xml:space="preserve">Downtown; Alkali Flat; Mansion Flats; Old Sacramento</t>
  </si>
  <si>
    <t xml:space="preserve">95815</t>
  </si>
  <si>
    <t xml:space="preserve">Ben Ali</t>
  </si>
  <si>
    <t xml:space="preserve">95817</t>
  </si>
  <si>
    <t xml:space="preserve">Oak Park; Fairgrounds; Med Center; Central Oak Park; North Oak Park</t>
  </si>
  <si>
    <t xml:space="preserve">95820</t>
  </si>
  <si>
    <t xml:space="preserve">Colonial Manor; Tahoe Park; Colonial Heights; Lawrence Park; Colonial Village; North City Farms; South Oak Park; Tahoe Park East; Tahoe Park South; Tallac Village; West Tahoe Park</t>
  </si>
  <si>
    <t xml:space="preserve">95821</t>
  </si>
  <si>
    <t xml:space="preserve">Alpine Apartments; Country Club Apartments</t>
  </si>
  <si>
    <t xml:space="preserve">95822</t>
  </si>
  <si>
    <t xml:space="preserve">Meadowview; South Land Park; Brentwood; Carleton Tract; Freeport Manor; Golf Course Terrace; Mangan Park; Woodbine; Hollywood Park; Little Pocket</t>
  </si>
  <si>
    <t xml:space="preserve">95823</t>
  </si>
  <si>
    <t xml:space="preserve">Parkway; Valley Hi / North Laguna</t>
  </si>
  <si>
    <t xml:space="preserve">95824</t>
  </si>
  <si>
    <t xml:space="preserve">Fruitridge Manor; Elder Creek; Parkway-South Sacramento; South City Farms; Avondale</t>
  </si>
  <si>
    <t xml:space="preserve">95825</t>
  </si>
  <si>
    <t xml:space="preserve">La Villita; Campus Commons; Sierra Oaks</t>
  </si>
  <si>
    <t xml:space="preserve">95826</t>
  </si>
  <si>
    <t xml:space="preserve">College/Glen; New Brighton; Rosemont; College Town; Granite Regional Park; Belvedere; Power Ridge; Ramona Village</t>
  </si>
  <si>
    <t xml:space="preserve">95827</t>
  </si>
  <si>
    <t xml:space="preserve">95828</t>
  </si>
  <si>
    <t xml:space="preserve">Morrison Creek; Depot Park; Florin Fruitridge Industrial Park; Glen Elder; Southeast Village</t>
  </si>
  <si>
    <t xml:space="preserve">95829</t>
  </si>
  <si>
    <t xml:space="preserve">95830</t>
  </si>
  <si>
    <t xml:space="preserve">95831</t>
  </si>
  <si>
    <t xml:space="preserve">Greenhaven; Pocket; Z'berg Park</t>
  </si>
  <si>
    <t xml:space="preserve">95832</t>
  </si>
  <si>
    <t xml:space="preserve">95833</t>
  </si>
  <si>
    <t xml:space="preserve">Gardenland; River Gardens</t>
  </si>
  <si>
    <t xml:space="preserve">95834</t>
  </si>
  <si>
    <t xml:space="preserve">Gateway West; Natomas Crossing; Northgate; South Natomas; Sundance Lake</t>
  </si>
  <si>
    <t xml:space="preserve">95835</t>
  </si>
  <si>
    <t xml:space="preserve">Creekside; Natomas Creek; Northlake; Westlake</t>
  </si>
  <si>
    <t xml:space="preserve">95837</t>
  </si>
  <si>
    <t xml:space="preserve">95838</t>
  </si>
  <si>
    <t xml:space="preserve">95841</t>
  </si>
  <si>
    <t xml:space="preserve">95842</t>
  </si>
  <si>
    <t xml:space="preserve">95843</t>
  </si>
  <si>
    <t xml:space="preserve">Antelope</t>
  </si>
  <si>
    <t xml:space="preserve">95864</t>
  </si>
  <si>
    <t xml:space="preserve">Arden-Arcade</t>
  </si>
  <si>
    <t xml:space="preserve">95901</t>
  </si>
  <si>
    <t xml:space="preserve">Marysville</t>
  </si>
  <si>
    <t xml:space="preserve">95903</t>
  </si>
  <si>
    <t xml:space="preserve">Beale Afb</t>
  </si>
  <si>
    <t xml:space="preserve">Waldo Junction</t>
  </si>
  <si>
    <t xml:space="preserve">95910</t>
  </si>
  <si>
    <t xml:space="preserve">Alleghany</t>
  </si>
  <si>
    <t xml:space="preserve">Sierra</t>
  </si>
  <si>
    <t xml:space="preserve">95912</t>
  </si>
  <si>
    <t xml:space="preserve">Arbuckle</t>
  </si>
  <si>
    <t xml:space="preserve">Colusa</t>
  </si>
  <si>
    <t xml:space="preserve">Genevra</t>
  </si>
  <si>
    <t xml:space="preserve">95914</t>
  </si>
  <si>
    <t xml:space="preserve">Bangor</t>
  </si>
  <si>
    <t xml:space="preserve">Butte</t>
  </si>
  <si>
    <t xml:space="preserve">Chico, CA</t>
  </si>
  <si>
    <t xml:space="preserve">Bangor; Rackerby</t>
  </si>
  <si>
    <t xml:space="preserve">Sunnyslope</t>
  </si>
  <si>
    <t xml:space="preserve">95915</t>
  </si>
  <si>
    <t xml:space="preserve">Virgilia</t>
  </si>
  <si>
    <t xml:space="preserve">Plumas</t>
  </si>
  <si>
    <t xml:space="preserve">95916</t>
  </si>
  <si>
    <t xml:space="preserve">Berry Creek</t>
  </si>
  <si>
    <t xml:space="preserve">Brush Creek</t>
  </si>
  <si>
    <t xml:space="preserve">95917</t>
  </si>
  <si>
    <t xml:space="preserve">Biggs</t>
  </si>
  <si>
    <t xml:space="preserve">95918</t>
  </si>
  <si>
    <t xml:space="preserve">Browns Valley</t>
  </si>
  <si>
    <t xml:space="preserve">Browns Valley; Oregon House</t>
  </si>
  <si>
    <t xml:space="preserve">Stanfield Hill</t>
  </si>
  <si>
    <t xml:space="preserve">95919</t>
  </si>
  <si>
    <t xml:space="preserve">Brownsville</t>
  </si>
  <si>
    <t xml:space="preserve">Brownsville; Dobbins</t>
  </si>
  <si>
    <t xml:space="preserve">95920</t>
  </si>
  <si>
    <t xml:space="preserve">Butte City</t>
  </si>
  <si>
    <t xml:space="preserve">Glenn</t>
  </si>
  <si>
    <t xml:space="preserve">95922</t>
  </si>
  <si>
    <t xml:space="preserve">Camptonville</t>
  </si>
  <si>
    <t xml:space="preserve">Weeds Point</t>
  </si>
  <si>
    <t xml:space="preserve">95923</t>
  </si>
  <si>
    <t xml:space="preserve">Seneca</t>
  </si>
  <si>
    <t xml:space="preserve">95925</t>
  </si>
  <si>
    <t xml:space="preserve">Challenge</t>
  </si>
  <si>
    <t xml:space="preserve">Challenge; Clipper Mills</t>
  </si>
  <si>
    <t xml:space="preserve">Greenville</t>
  </si>
  <si>
    <t xml:space="preserve">95926</t>
  </si>
  <si>
    <t xml:space="preserve">Chico</t>
  </si>
  <si>
    <t xml:space="preserve">95928</t>
  </si>
  <si>
    <t xml:space="preserve">No sidewalk riding district; City Plaza; Rotary Plaza</t>
  </si>
  <si>
    <t xml:space="preserve">95930</t>
  </si>
  <si>
    <t xml:space="preserve">Strawberry Valley</t>
  </si>
  <si>
    <t xml:space="preserve">Strawberry Valley; Clipper Mills</t>
  </si>
  <si>
    <t xml:space="preserve">Clipper Mills</t>
  </si>
  <si>
    <t xml:space="preserve">95932</t>
  </si>
  <si>
    <t xml:space="preserve">95934</t>
  </si>
  <si>
    <t xml:space="preserve">Moccasin</t>
  </si>
  <si>
    <t xml:space="preserve">95935</t>
  </si>
  <si>
    <t xml:space="preserve">Dobbins</t>
  </si>
  <si>
    <t xml:space="preserve">95936</t>
  </si>
  <si>
    <t xml:space="preserve">Downieville</t>
  </si>
  <si>
    <t xml:space="preserve">95937</t>
  </si>
  <si>
    <t xml:space="preserve">Dunnigan</t>
  </si>
  <si>
    <t xml:space="preserve">95938</t>
  </si>
  <si>
    <t xml:space="preserve">Durham</t>
  </si>
  <si>
    <t xml:space="preserve">Esquon</t>
  </si>
  <si>
    <t xml:space="preserve">95939</t>
  </si>
  <si>
    <t xml:space="preserve">Elk Creek</t>
  </si>
  <si>
    <t xml:space="preserve">95941</t>
  </si>
  <si>
    <t xml:space="preserve">Forbestown</t>
  </si>
  <si>
    <t xml:space="preserve">95942</t>
  </si>
  <si>
    <t xml:space="preserve">Forest Ranch</t>
  </si>
  <si>
    <t xml:space="preserve">Forest Ranch; Butte Meadows</t>
  </si>
  <si>
    <t xml:space="preserve">Glenburn</t>
  </si>
  <si>
    <t xml:space="preserve">95943</t>
  </si>
  <si>
    <t xml:space="preserve">Bayliss</t>
  </si>
  <si>
    <t xml:space="preserve">95944</t>
  </si>
  <si>
    <t xml:space="preserve">Goodyears Bar</t>
  </si>
  <si>
    <t xml:space="preserve">Cal-Ida</t>
  </si>
  <si>
    <t xml:space="preserve">95945</t>
  </si>
  <si>
    <t xml:space="preserve">Grass Valley</t>
  </si>
  <si>
    <t xml:space="preserve">Nevada</t>
  </si>
  <si>
    <t xml:space="preserve">95946</t>
  </si>
  <si>
    <t xml:space="preserve">Penn Valley</t>
  </si>
  <si>
    <t xml:space="preserve">Lake Wildwood</t>
  </si>
  <si>
    <t xml:space="preserve">95947</t>
  </si>
  <si>
    <t xml:space="preserve">Crescent Mills</t>
  </si>
  <si>
    <t xml:space="preserve">95948</t>
  </si>
  <si>
    <t xml:space="preserve">Gridley</t>
  </si>
  <si>
    <t xml:space="preserve">95949</t>
  </si>
  <si>
    <t xml:space="preserve">Cascade Crossing; Round Valley Estates</t>
  </si>
  <si>
    <t xml:space="preserve">95950</t>
  </si>
  <si>
    <t xml:space="preserve">Grimes</t>
  </si>
  <si>
    <t xml:space="preserve">Graino</t>
  </si>
  <si>
    <t xml:space="preserve">95951</t>
  </si>
  <si>
    <t xml:space="preserve">Hamilton City</t>
  </si>
  <si>
    <t xml:space="preserve">95953</t>
  </si>
  <si>
    <t xml:space="preserve">Live Oak</t>
  </si>
  <si>
    <t xml:space="preserve">95954</t>
  </si>
  <si>
    <t xml:space="preserve">Magalia</t>
  </si>
  <si>
    <t xml:space="preserve">Paradise</t>
  </si>
  <si>
    <t xml:space="preserve">95955</t>
  </si>
  <si>
    <t xml:space="preserve">Maxwell</t>
  </si>
  <si>
    <t xml:space="preserve">95956</t>
  </si>
  <si>
    <t xml:space="preserve">Paulson Place</t>
  </si>
  <si>
    <t xml:space="preserve">95957</t>
  </si>
  <si>
    <t xml:space="preserve">Meridian</t>
  </si>
  <si>
    <t xml:space="preserve">Progress</t>
  </si>
  <si>
    <t xml:space="preserve">95959</t>
  </si>
  <si>
    <t xml:space="preserve">Nevada City</t>
  </si>
  <si>
    <t xml:space="preserve">Banner Crest; Forest Knolls; Forest Knolls Estates; Timber Trails Estates</t>
  </si>
  <si>
    <t xml:space="preserve">95960</t>
  </si>
  <si>
    <t xml:space="preserve">North San Juan</t>
  </si>
  <si>
    <t xml:space="preserve">North San Juan; Camptonville; Pike</t>
  </si>
  <si>
    <t xml:space="preserve">Nelson Mill</t>
  </si>
  <si>
    <t xml:space="preserve">95961</t>
  </si>
  <si>
    <t xml:space="preserve">95962</t>
  </si>
  <si>
    <t xml:space="preserve">Oregon House</t>
  </si>
  <si>
    <t xml:space="preserve">Oregon House; Dobbins</t>
  </si>
  <si>
    <t xml:space="preserve">95963</t>
  </si>
  <si>
    <t xml:space="preserve">Orland</t>
  </si>
  <si>
    <t xml:space="preserve">95965</t>
  </si>
  <si>
    <t xml:space="preserve">Oroville</t>
  </si>
  <si>
    <t xml:space="preserve">95966</t>
  </si>
  <si>
    <t xml:space="preserve">95968</t>
  </si>
  <si>
    <t xml:space="preserve">Palermo</t>
  </si>
  <si>
    <t xml:space="preserve">95969</t>
  </si>
  <si>
    <t xml:space="preserve">95970</t>
  </si>
  <si>
    <t xml:space="preserve">Princeton</t>
  </si>
  <si>
    <t xml:space="preserve">95971</t>
  </si>
  <si>
    <t xml:space="preserve">Quincy</t>
  </si>
  <si>
    <t xml:space="preserve">95972</t>
  </si>
  <si>
    <t xml:space="preserve">95973</t>
  </si>
  <si>
    <t xml:space="preserve">95974</t>
  </si>
  <si>
    <t xml:space="preserve">Richvale</t>
  </si>
  <si>
    <t xml:space="preserve">95975</t>
  </si>
  <si>
    <t xml:space="preserve">Rough And Ready</t>
  </si>
  <si>
    <t xml:space="preserve">Rough and Ready</t>
  </si>
  <si>
    <t xml:space="preserve">95976</t>
  </si>
  <si>
    <t xml:space="preserve">95977</t>
  </si>
  <si>
    <t xml:space="preserve">Smartsville</t>
  </si>
  <si>
    <t xml:space="preserve">95978</t>
  </si>
  <si>
    <t xml:space="preserve">Stirling City</t>
  </si>
  <si>
    <t xml:space="preserve">95979</t>
  </si>
  <si>
    <t xml:space="preserve">Stonyford</t>
  </si>
  <si>
    <t xml:space="preserve">Lodoga</t>
  </si>
  <si>
    <t xml:space="preserve">95981</t>
  </si>
  <si>
    <t xml:space="preserve">Pancake Bay Properties</t>
  </si>
  <si>
    <t xml:space="preserve">La Porte</t>
  </si>
  <si>
    <t xml:space="preserve">95982</t>
  </si>
  <si>
    <t xml:space="preserve">Tarke</t>
  </si>
  <si>
    <t xml:space="preserve">95983</t>
  </si>
  <si>
    <t xml:space="preserve">Genesee</t>
  </si>
  <si>
    <t xml:space="preserve">95984</t>
  </si>
  <si>
    <t xml:space="preserve">Caribou</t>
  </si>
  <si>
    <t xml:space="preserve">95986</t>
  </si>
  <si>
    <t xml:space="preserve">Omega</t>
  </si>
  <si>
    <t xml:space="preserve">95987</t>
  </si>
  <si>
    <t xml:space="preserve">Williams</t>
  </si>
  <si>
    <t xml:space="preserve">95988</t>
  </si>
  <si>
    <t xml:space="preserve">Willows</t>
  </si>
  <si>
    <t xml:space="preserve">95991</t>
  </si>
  <si>
    <t xml:space="preserve">Yuba City</t>
  </si>
  <si>
    <t xml:space="preserve">95993</t>
  </si>
  <si>
    <t xml:space="preserve">96001</t>
  </si>
  <si>
    <t xml:space="preserve">Redding</t>
  </si>
  <si>
    <t xml:space="preserve">Bonnyview Estates; Englands Subdivision; Kutras Tract; Nicolet Estates; Oak Ridge Subdivision; Pioneer Park; Westwood Manor; Wilsey Subdivision; Magnolia; Mary Lake</t>
  </si>
  <si>
    <t xml:space="preserve">96002</t>
  </si>
  <si>
    <t xml:space="preserve">Alta Mesa; Saratoga; Clover Acres; Clover Creek Village; Eastwood; Greenway; Le Mesa; Meridian Point; Oak Haven; Pacific Heights; Parkside Manor; Parsons; Penn Acres; Potter Manor; Riverview Estates; Roesner Subdivision; Rothers Riverside Subdivision; Shasta Pines; Terra Vista; Vicking Village; Victor Estates; Woodside Meadows; Star View</t>
  </si>
  <si>
    <t xml:space="preserve">96003</t>
  </si>
  <si>
    <t xml:space="preserve">Brooks Valley; Chapparral Terrace; Dogwood; Keswick Estates; Lancer Hills Estates; Los Robles; Meadow Wood; Monterey Springs; Mount Vista; Mountain Shadows; Mt. Shasta Heights; Patterson Subdivision; Quail Hollow; Quail Ridge; Redwood Meadows; The Redwoods; Buckeye; Clay Street; Sundial Bridge North Plaza</t>
  </si>
  <si>
    <t xml:space="preserve">96006</t>
  </si>
  <si>
    <t xml:space="preserve">Adin</t>
  </si>
  <si>
    <t xml:space="preserve">Lassen</t>
  </si>
  <si>
    <t xml:space="preserve">Susanville, CA</t>
  </si>
  <si>
    <t xml:space="preserve">96007</t>
  </si>
  <si>
    <t xml:space="preserve">Anderson</t>
  </si>
  <si>
    <t xml:space="preserve">96008</t>
  </si>
  <si>
    <t xml:space="preserve">Bella Vista</t>
  </si>
  <si>
    <t xml:space="preserve">Ingot</t>
  </si>
  <si>
    <t xml:space="preserve">96009</t>
  </si>
  <si>
    <t xml:space="preserve">Leonard</t>
  </si>
  <si>
    <t xml:space="preserve">96010</t>
  </si>
  <si>
    <t xml:space="preserve">Big Bar</t>
  </si>
  <si>
    <t xml:space="preserve">Big Bar; Del Loma; Big Flat</t>
  </si>
  <si>
    <t xml:space="preserve">Denny</t>
  </si>
  <si>
    <t xml:space="preserve">96011</t>
  </si>
  <si>
    <t xml:space="preserve">Big Bend</t>
  </si>
  <si>
    <t xml:space="preserve">96013</t>
  </si>
  <si>
    <t xml:space="preserve">Burney</t>
  </si>
  <si>
    <t xml:space="preserve">Four Corners</t>
  </si>
  <si>
    <t xml:space="preserve">96014</t>
  </si>
  <si>
    <t xml:space="preserve">Callahan</t>
  </si>
  <si>
    <t xml:space="preserve">postal city of 81% of address points</t>
  </si>
  <si>
    <t xml:space="preserve">Callahan; Etna</t>
  </si>
  <si>
    <t xml:space="preserve">96015</t>
  </si>
  <si>
    <t xml:space="preserve">Ambrose</t>
  </si>
  <si>
    <t xml:space="preserve">Modoc</t>
  </si>
  <si>
    <t xml:space="preserve">96016</t>
  </si>
  <si>
    <t xml:space="preserve">Cassel</t>
  </si>
  <si>
    <t xml:space="preserve">96017</t>
  </si>
  <si>
    <t xml:space="preserve">Castella</t>
  </si>
  <si>
    <t xml:space="preserve">96019</t>
  </si>
  <si>
    <t xml:space="preserve">City Of Shasta Lake</t>
  </si>
  <si>
    <t xml:space="preserve">Windsor Estates; deer Creek Manor</t>
  </si>
  <si>
    <t xml:space="preserve">Shasta Lake</t>
  </si>
  <si>
    <t xml:space="preserve">96020</t>
  </si>
  <si>
    <t xml:space="preserve">Chester</t>
  </si>
  <si>
    <t xml:space="preserve">Warner Valley; Willow Creek Summer Homes</t>
  </si>
  <si>
    <t xml:space="preserve">96021</t>
  </si>
  <si>
    <t xml:space="preserve">Corning</t>
  </si>
  <si>
    <t xml:space="preserve">96022</t>
  </si>
  <si>
    <t xml:space="preserve">Cottonwood</t>
  </si>
  <si>
    <t xml:space="preserve">96023</t>
  </si>
  <si>
    <t xml:space="preserve">Dorris</t>
  </si>
  <si>
    <t xml:space="preserve">96024</t>
  </si>
  <si>
    <t xml:space="preserve">Douglas City</t>
  </si>
  <si>
    <t xml:space="preserve">Deer Lick Springs</t>
  </si>
  <si>
    <t xml:space="preserve">96025</t>
  </si>
  <si>
    <t xml:space="preserve">Dunsmuir</t>
  </si>
  <si>
    <t xml:space="preserve">Shasta Retreat</t>
  </si>
  <si>
    <t xml:space="preserve">96027</t>
  </si>
  <si>
    <t xml:space="preserve">Etna</t>
  </si>
  <si>
    <t xml:space="preserve">96028</t>
  </si>
  <si>
    <t xml:space="preserve">Fall River Mills</t>
  </si>
  <si>
    <t xml:space="preserve">96031</t>
  </si>
  <si>
    <t xml:space="preserve">Forks Of Salmon</t>
  </si>
  <si>
    <t xml:space="preserve">Cecilville</t>
  </si>
  <si>
    <t xml:space="preserve">96032</t>
  </si>
  <si>
    <t xml:space="preserve">96033</t>
  </si>
  <si>
    <t xml:space="preserve">French Gulch</t>
  </si>
  <si>
    <t xml:space="preserve">96034</t>
  </si>
  <si>
    <t xml:space="preserve">Gazelle</t>
  </si>
  <si>
    <t xml:space="preserve">Gazelle; Grenada</t>
  </si>
  <si>
    <t xml:space="preserve">96035</t>
  </si>
  <si>
    <t xml:space="preserve">Gerber</t>
  </si>
  <si>
    <t xml:space="preserve">96037</t>
  </si>
  <si>
    <t xml:space="preserve">Greenview</t>
  </si>
  <si>
    <t xml:space="preserve">96038</t>
  </si>
  <si>
    <t xml:space="preserve">Grenada</t>
  </si>
  <si>
    <t xml:space="preserve">96039</t>
  </si>
  <si>
    <t xml:space="preserve">Happy Camp</t>
  </si>
  <si>
    <t xml:space="preserve">Clear Creek</t>
  </si>
  <si>
    <t xml:space="preserve">96041</t>
  </si>
  <si>
    <t xml:space="preserve">Hayfork</t>
  </si>
  <si>
    <t xml:space="preserve">Hayfork; Post Mountain</t>
  </si>
  <si>
    <t xml:space="preserve">Peanut</t>
  </si>
  <si>
    <t xml:space="preserve">96044</t>
  </si>
  <si>
    <t xml:space="preserve">Hornbrook</t>
  </si>
  <si>
    <t xml:space="preserve">96046</t>
  </si>
  <si>
    <t xml:space="preserve">Hyampom</t>
  </si>
  <si>
    <t xml:space="preserve">96047</t>
  </si>
  <si>
    <t xml:space="preserve">Igo</t>
  </si>
  <si>
    <t xml:space="preserve">Igo; Ono</t>
  </si>
  <si>
    <t xml:space="preserve">Ono</t>
  </si>
  <si>
    <t xml:space="preserve">96048</t>
  </si>
  <si>
    <t xml:space="preserve">Junction City</t>
  </si>
  <si>
    <t xml:space="preserve">Dedrick</t>
  </si>
  <si>
    <t xml:space="preserve">96049</t>
  </si>
  <si>
    <t xml:space="preserve">96050</t>
  </si>
  <si>
    <t xml:space="preserve">Klamath River</t>
  </si>
  <si>
    <t xml:space="preserve">postal city of 80% of address points</t>
  </si>
  <si>
    <t xml:space="preserve">Klamath River; Horse Creek</t>
  </si>
  <si>
    <t xml:space="preserve">Horse Creek</t>
  </si>
  <si>
    <t xml:space="preserve">96051</t>
  </si>
  <si>
    <t xml:space="preserve">Lakehead</t>
  </si>
  <si>
    <t xml:space="preserve">Delta</t>
  </si>
  <si>
    <t xml:space="preserve">96052</t>
  </si>
  <si>
    <t xml:space="preserve">Lewiston</t>
  </si>
  <si>
    <t xml:space="preserve">96054</t>
  </si>
  <si>
    <t xml:space="preserve">Lookout</t>
  </si>
  <si>
    <t xml:space="preserve">96055</t>
  </si>
  <si>
    <t xml:space="preserve">Los Molinos</t>
  </si>
  <si>
    <t xml:space="preserve">96056</t>
  </si>
  <si>
    <t xml:space="preserve">Mcarthur</t>
  </si>
  <si>
    <t xml:space="preserve">Pittville</t>
  </si>
  <si>
    <t xml:space="preserve">96057</t>
  </si>
  <si>
    <t xml:space="preserve">Mccloud</t>
  </si>
  <si>
    <t xml:space="preserve">Bartle</t>
  </si>
  <si>
    <t xml:space="preserve">96058</t>
  </si>
  <si>
    <t xml:space="preserve">Macdoel</t>
  </si>
  <si>
    <t xml:space="preserve">96059</t>
  </si>
  <si>
    <t xml:space="preserve">Manton</t>
  </si>
  <si>
    <t xml:space="preserve">96061</t>
  </si>
  <si>
    <t xml:space="preserve">Mill Creek</t>
  </si>
  <si>
    <t xml:space="preserve">Childs Meadows</t>
  </si>
  <si>
    <t xml:space="preserve">96062</t>
  </si>
  <si>
    <t xml:space="preserve">Millville</t>
  </si>
  <si>
    <t xml:space="preserve">Wagoner</t>
  </si>
  <si>
    <t xml:space="preserve">96063</t>
  </si>
  <si>
    <t xml:space="preserve">Mineral</t>
  </si>
  <si>
    <t xml:space="preserve">96064</t>
  </si>
  <si>
    <t xml:space="preserve">Montague</t>
  </si>
  <si>
    <t xml:space="preserve">96065</t>
  </si>
  <si>
    <t xml:space="preserve">Montgomery Creek</t>
  </si>
  <si>
    <t xml:space="preserve">Hillcrest</t>
  </si>
  <si>
    <t xml:space="preserve">96067</t>
  </si>
  <si>
    <t xml:space="preserve">Mount Shasta</t>
  </si>
  <si>
    <t xml:space="preserve">96068</t>
  </si>
  <si>
    <t xml:space="preserve">Nubieber</t>
  </si>
  <si>
    <t xml:space="preserve">96069</t>
  </si>
  <si>
    <t xml:space="preserve">Oak Run</t>
  </si>
  <si>
    <t xml:space="preserve">96071</t>
  </si>
  <si>
    <t xml:space="preserve">96073</t>
  </si>
  <si>
    <t xml:space="preserve">Palo Cedro</t>
  </si>
  <si>
    <t xml:space="preserve">96074</t>
  </si>
  <si>
    <t xml:space="preserve">Paskenta</t>
  </si>
  <si>
    <t xml:space="preserve">96075</t>
  </si>
  <si>
    <t xml:space="preserve">Paynes Creek</t>
  </si>
  <si>
    <t xml:space="preserve">96076</t>
  </si>
  <si>
    <t xml:space="preserve">Wildwood</t>
  </si>
  <si>
    <t xml:space="preserve">Wildwood; Platina</t>
  </si>
  <si>
    <t xml:space="preserve">Knob</t>
  </si>
  <si>
    <t xml:space="preserve">96080</t>
  </si>
  <si>
    <t xml:space="preserve">Red Bluff</t>
  </si>
  <si>
    <t xml:space="preserve">96084</t>
  </si>
  <si>
    <t xml:space="preserve">Round Mountain</t>
  </si>
  <si>
    <t xml:space="preserve">96085</t>
  </si>
  <si>
    <t xml:space="preserve">Scott Bar</t>
  </si>
  <si>
    <t xml:space="preserve">Scott Bar; Fort Jones</t>
  </si>
  <si>
    <t xml:space="preserve">96086</t>
  </si>
  <si>
    <t xml:space="preserve">Seiad Valley</t>
  </si>
  <si>
    <t xml:space="preserve">Walker Creek</t>
  </si>
  <si>
    <t xml:space="preserve">Seiad Valley; Happy Camp; Horse Creek</t>
  </si>
  <si>
    <t xml:space="preserve">96087</t>
  </si>
  <si>
    <t xml:space="preserve">96088</t>
  </si>
  <si>
    <t xml:space="preserve">Shingletown</t>
  </si>
  <si>
    <t xml:space="preserve">96089</t>
  </si>
  <si>
    <t xml:space="preserve">96090</t>
  </si>
  <si>
    <t xml:space="preserve">96091</t>
  </si>
  <si>
    <t xml:space="preserve">Coffee</t>
  </si>
  <si>
    <t xml:space="preserve">96092</t>
  </si>
  <si>
    <t xml:space="preserve">Copeland</t>
  </si>
  <si>
    <t xml:space="preserve">96093</t>
  </si>
  <si>
    <t xml:space="preserve">Weaverville</t>
  </si>
  <si>
    <t xml:space="preserve">Weaverville Historic District</t>
  </si>
  <si>
    <t xml:space="preserve">96094</t>
  </si>
  <si>
    <t xml:space="preserve">Weed</t>
  </si>
  <si>
    <t xml:space="preserve">96096</t>
  </si>
  <si>
    <t xml:space="preserve">Whitmore</t>
  </si>
  <si>
    <t xml:space="preserve">96097</t>
  </si>
  <si>
    <t xml:space="preserve">Yreka</t>
  </si>
  <si>
    <t xml:space="preserve">96101</t>
  </si>
  <si>
    <t xml:space="preserve">Alturas</t>
  </si>
  <si>
    <t xml:space="preserve">96103</t>
  </si>
  <si>
    <t xml:space="preserve">Plumas Eureka</t>
  </si>
  <si>
    <t xml:space="preserve">Feather River Park; Graeagle Meadows</t>
  </si>
  <si>
    <t xml:space="preserve">96104</t>
  </si>
  <si>
    <t xml:space="preserve">Cedarville</t>
  </si>
  <si>
    <t xml:space="preserve">96105</t>
  </si>
  <si>
    <t xml:space="preserve">Doyle</t>
  </si>
  <si>
    <t xml:space="preserve">96106</t>
  </si>
  <si>
    <t xml:space="preserve">Clio</t>
  </si>
  <si>
    <t xml:space="preserve">Valley Ranch; Villas At Nakoma; Whitehawk</t>
  </si>
  <si>
    <t xml:space="preserve">96107</t>
  </si>
  <si>
    <t xml:space="preserve">96108</t>
  </si>
  <si>
    <t xml:space="preserve">Davis Creek</t>
  </si>
  <si>
    <t xml:space="preserve">96109</t>
  </si>
  <si>
    <t xml:space="preserve">Omira</t>
  </si>
  <si>
    <t xml:space="preserve">96110</t>
  </si>
  <si>
    <t xml:space="preserve">Menlo Baths</t>
  </si>
  <si>
    <t xml:space="preserve">96111</t>
  </si>
  <si>
    <t xml:space="preserve">Floriston</t>
  </si>
  <si>
    <t xml:space="preserve">96112</t>
  </si>
  <si>
    <t xml:space="preserve">Fort Bidwell</t>
  </si>
  <si>
    <t xml:space="preserve">96113</t>
  </si>
  <si>
    <t xml:space="preserve">Herlong</t>
  </si>
  <si>
    <t xml:space="preserve">96114</t>
  </si>
  <si>
    <t xml:space="preserve">Janesville</t>
  </si>
  <si>
    <t xml:space="preserve">Buntingville</t>
  </si>
  <si>
    <t xml:space="preserve">96115</t>
  </si>
  <si>
    <t xml:space="preserve">Lake City</t>
  </si>
  <si>
    <t xml:space="preserve">96116</t>
  </si>
  <si>
    <t xml:space="preserve">Kauffman</t>
  </si>
  <si>
    <t xml:space="preserve">96117</t>
  </si>
  <si>
    <t xml:space="preserve">Litchfield</t>
  </si>
  <si>
    <t xml:space="preserve">Karlo</t>
  </si>
  <si>
    <t xml:space="preserve">96118</t>
  </si>
  <si>
    <t xml:space="preserve">Loyalton</t>
  </si>
  <si>
    <t xml:space="preserve">Sierra Brooks</t>
  </si>
  <si>
    <t xml:space="preserve">Loyalton; Sierra Brooks</t>
  </si>
  <si>
    <t xml:space="preserve">96119</t>
  </si>
  <si>
    <t xml:space="preserve">Madeline</t>
  </si>
  <si>
    <t xml:space="preserve">96120</t>
  </si>
  <si>
    <t xml:space="preserve">Woodfords</t>
  </si>
  <si>
    <t xml:space="preserve">Marklee Village; Shay Creek Summer Home Area; Sierra Pines Mobile Home Park</t>
  </si>
  <si>
    <t xml:space="preserve">96121</t>
  </si>
  <si>
    <t xml:space="preserve">Milford</t>
  </si>
  <si>
    <t xml:space="preserve">96122</t>
  </si>
  <si>
    <t xml:space="preserve">Portola</t>
  </si>
  <si>
    <t xml:space="preserve">96123</t>
  </si>
  <si>
    <t xml:space="preserve">Ravendale</t>
  </si>
  <si>
    <t xml:space="preserve">Crest</t>
  </si>
  <si>
    <t xml:space="preserve">96124</t>
  </si>
  <si>
    <t xml:space="preserve">Calpine</t>
  </si>
  <si>
    <t xml:space="preserve">Calpine; Sattley</t>
  </si>
  <si>
    <t xml:space="preserve">Sattley</t>
  </si>
  <si>
    <t xml:space="preserve">96125</t>
  </si>
  <si>
    <t xml:space="preserve">Sierra City</t>
  </si>
  <si>
    <t xml:space="preserve">Sierra City; Acres</t>
  </si>
  <si>
    <t xml:space="preserve">Loganville</t>
  </si>
  <si>
    <t xml:space="preserve">96126</t>
  </si>
  <si>
    <t xml:space="preserve">Sierraville</t>
  </si>
  <si>
    <t xml:space="preserve">96128</t>
  </si>
  <si>
    <t xml:space="preserve">Standish</t>
  </si>
  <si>
    <t xml:space="preserve">96129</t>
  </si>
  <si>
    <t xml:space="preserve">Beckwourth</t>
  </si>
  <si>
    <t xml:space="preserve">96130</t>
  </si>
  <si>
    <t xml:space="preserve">Susanville</t>
  </si>
  <si>
    <t xml:space="preserve">96132</t>
  </si>
  <si>
    <t xml:space="preserve">Termo</t>
  </si>
  <si>
    <t xml:space="preserve">Brockman</t>
  </si>
  <si>
    <t xml:space="preserve">96133</t>
  </si>
  <si>
    <t xml:space="preserve">Coleville</t>
  </si>
  <si>
    <t xml:space="preserve">Coleville; Topaz</t>
  </si>
  <si>
    <t xml:space="preserve">Topaz</t>
  </si>
  <si>
    <t xml:space="preserve">96134</t>
  </si>
  <si>
    <t xml:space="preserve">Tulelake</t>
  </si>
  <si>
    <t xml:space="preserve">96135</t>
  </si>
  <si>
    <t xml:space="preserve">Vinton</t>
  </si>
  <si>
    <t xml:space="preserve">96136</t>
  </si>
  <si>
    <t xml:space="preserve">Wendel</t>
  </si>
  <si>
    <t xml:space="preserve">96137</t>
  </si>
  <si>
    <t xml:space="preserve">Westwood</t>
  </si>
  <si>
    <t xml:space="preserve">Pine Town</t>
  </si>
  <si>
    <t xml:space="preserve">96150</t>
  </si>
  <si>
    <t xml:space="preserve">South Lake Tahoe</t>
  </si>
  <si>
    <t xml:space="preserve">Bijou; Tahoe Valley; Aloha Isle; American Legion Tract; Angora Highlands; Armstrong; Barton Tract; Bavarian Isel; Bijou Pines; Country Club Estates; Gardner Mountain; Grass Lake Creek; Harlow Acres; Highland Woods; Jameson Beach Club; Johnson Acres; Juniper Park; Keller Park; Lake Christopher; Lake Tahoe Subdivision; Lake Valley; Lakeshore Manor; Lakeside Lodge; Lakeside Park; Lakeview Lodge; Lakeview Pines; Lodi Pines; Lukins Tract; Makai Isle; Meadow Heights; Meadow Lakes; Montgomery Estates; Mount Tallac Village; Mountain View Estates; Pentagon Tract; Pinestone; Pinewood Heights; Pinewood Park; Pinewood Terrace; Pioneer Village; Rainbow Recreation Residence Tract; Rancho Bijou; River Park Estates; Rolling Wood Heights; Saint Moritz Isle; Sierra Meadows; South Gate; Spring Creek Recreation Residence Tract; Tahoe Meadows; Tahoe Paradise Addition; Tahoe Valley Center; Tallack Park; Tamarack Subdivision; Al Tahoe; Bijou Park; Christmas Valley; Heavenly Valley; Stateline; Tahoe Island Park; Tahoe Keys; Tahoe Paradise; Tahoe Sierra</t>
  </si>
  <si>
    <t xml:space="preserve">96155</t>
  </si>
  <si>
    <t xml:space="preserve">Audrain Subdivision; Huckleberry Ridge Estates</t>
  </si>
  <si>
    <t xml:space="preserve">Focus regions and every California county (live counts from 'All ZIPs')</t>
  </si>
  <si>
    <t xml:space="preserve">Region / county</t>
  </si>
  <si>
    <t xml:space="preserve">Counties</t>
  </si>
  <si>
    <t xml:space="preserve">ZIPs</t>
  </si>
  <si>
    <t xml:space="preserve">Tier 1 ZIPs</t>
  </si>
  <si>
    <t xml:space="preserve">Tier 2 ZIPs</t>
  </si>
  <si>
    <t xml:space="preserve">Tier 3 ZIPs</t>
  </si>
  <si>
    <t xml:space="preserve">Any-tier ZIPs</t>
  </si>
  <si>
    <t xml:space="preserve">SFR homes sold 12 mo (tiered ZIPs)</t>
  </si>
  <si>
    <t xml:space="preserve">Median of ZIP $/sq ft</t>
  </si>
  <si>
    <t xml:space="preserve">Parcel data status</t>
  </si>
  <si>
    <t xml:space="preserve">FOCUS REGIONS</t>
  </si>
  <si>
    <t xml:space="preserve">Orange: NO DATA ('portal' source needs a manual export to data/parcels/orange.gpkg)</t>
  </si>
  <si>
    <t xml:space="preserve">Los Angeles: NO DATA (BLOCKED by this environment's network policy (proxy 403))</t>
  </si>
  <si>
    <t xml:space="preserve">San Francisco: NO DATA ('portal' source needs a manual export to data/parcels/san_francisco.gpkg)</t>
  </si>
  <si>
    <t xml:space="preserve">Alameda: NO DATA ('portal' source needs a manual export to data/parcels/alameda.gpkg)</t>
  </si>
  <si>
    <t xml:space="preserve">Santa Clara, San Mateo</t>
  </si>
  <si>
    <t xml:space="preserve">Santa Clara: NO DATA ('portal' source needs a manual export to data/parcels/santa_clara.gpkg); San Mateo: NO DATA ('portal' source needs a manual export to data/parcels/san_mateo.gpkg)</t>
  </si>
  <si>
    <t xml:space="preserve">Marin: NO DATA ('portal' source needs a manual export to data/parcels/marin.gpkg)</t>
  </si>
  <si>
    <t xml:space="preserve">San Diego: NO DATA (BLOCKED by this environment's network policy (proxy 403))</t>
  </si>
  <si>
    <t xml:space="preserve">Ventura: NO DATA ('portal' source needs a manual export to data/parcels/ventura.gpkg)</t>
  </si>
  <si>
    <t xml:space="preserve">Sacramento: NO DATA ('portal' source needs a manual export to data/parcels/sacramento.gpkg)</t>
  </si>
  <si>
    <t xml:space="preserve">Riverside, San Bernardino</t>
  </si>
  <si>
    <t xml:space="preserve">Riverside: NO DATA ('portal' source needs a manual export to data/parcels/riverside.gpkg); San Bernardino: NO DATA ('portal' source needs a manual export to data/parcels/san_bernardino.gpkg)</t>
  </si>
  <si>
    <t xml:space="preserve">all other counties</t>
  </si>
  <si>
    <t xml:space="preserve">all other counties: n/a</t>
  </si>
  <si>
    <t xml:space="preserve">ALL COUNTIES</t>
  </si>
  <si>
    <t xml:space="preserve">(no ZCTA: PO-box / unique ZIP): n/a</t>
  </si>
  <si>
    <t xml:space="preserve">Alpine: NO DATA (no automated source configured; place a county or Regrid export at data/parcels/alpine.gpkg)</t>
  </si>
  <si>
    <t xml:space="preserve">Amador: NO DATA (no automated source configured; place a county or Regrid export at data/parcels/amador.gpkg)</t>
  </si>
  <si>
    <t xml:space="preserve">Butte: NO DATA (no automated source configured; place a county or Regrid export at data/parcels/butte.gpkg)</t>
  </si>
  <si>
    <t xml:space="preserve">Calaveras: NO DATA (no automated source configured; place a county or Regrid export at data/parcels/calaveras.gpkg)</t>
  </si>
  <si>
    <t xml:space="preserve">Colusa: NO DATA (no automated source configured; place a county or Regrid export at data/parcels/colusa.gpkg)</t>
  </si>
  <si>
    <t xml:space="preserve">Contra Costa: NO DATA (SFR use-code rule unverified for this source; not processed)</t>
  </si>
  <si>
    <t xml:space="preserve">Del Norte: NO DATA (no automated source configured; place a county or Regrid export at data/parcels/del_norte.gpkg)</t>
  </si>
  <si>
    <t xml:space="preserve">El Dorado: NO DATA (no automated source configured; place a county or Regrid export at data/parcels/el_dorado.gpkg)</t>
  </si>
  <si>
    <t xml:space="preserve">Fresno: NO DATA (no automated source configured; place a county or Regrid export at data/parcels/fresno.gpkg)</t>
  </si>
  <si>
    <t xml:space="preserve">Glenn: NO DATA (no automated source configured; place a county or Regrid export at data/parcels/glenn.gpkg)</t>
  </si>
  <si>
    <t xml:space="preserve">Humboldt: NO DATA (no automated source configured; place a county or Regrid export at data/parcels/humboldt.gpkg)</t>
  </si>
  <si>
    <t xml:space="preserve">Imperial: NO DATA (no automated source configured; place a county or Regrid export at data/parcels/imperial.gpkg)</t>
  </si>
  <si>
    <t xml:space="preserve">Inyo: NO DATA (no automated source configured; place a county or Regrid export at data/parcels/inyo.gpkg)</t>
  </si>
  <si>
    <t xml:space="preserve">Kern: NO DATA (no automated source configured; place a county or Regrid export at data/parcels/kern.gpkg)</t>
  </si>
  <si>
    <t xml:space="preserve">Kings: NO DATA (no automated source configured; place a county or Regrid export at data/parcels/kings.gpkg)</t>
  </si>
  <si>
    <t xml:space="preserve">Lake: NO DATA (no automated source configured; place a county or Regrid export at data/parcels/lake.gpkg)</t>
  </si>
  <si>
    <t xml:space="preserve">Lassen: NO DATA (no automated source configured; place a county or Regrid export at data/parcels/lassen.gpkg)</t>
  </si>
  <si>
    <t xml:space="preserve">Madera: NO DATA (no automated source configured; place a county or Regrid export at data/parcels/madera.gpkg)</t>
  </si>
  <si>
    <t xml:space="preserve">Mariposa: NO DATA (no automated source configured; place a county or Regrid export at data/parcels/mariposa.gpkg)</t>
  </si>
  <si>
    <t xml:space="preserve">Mendocino: NO DATA (no automated source configured; place a county or Regrid export at data/parcels/mendocino.gpkg)</t>
  </si>
  <si>
    <t xml:space="preserve">Merced: NO DATA (no automated source configured; place a county or Regrid export at data/parcels/merced.gpkg)</t>
  </si>
  <si>
    <t xml:space="preserve">Modoc: NO DATA (no automated source configured; place a county or Regrid export at data/parcels/modoc.gpkg)</t>
  </si>
  <si>
    <t xml:space="preserve">Mono: NO DATA (no automated source configured; place a county or Regrid export at data/parcels/mono.gpkg)</t>
  </si>
  <si>
    <t xml:space="preserve">Monterey: NO DATA (no automated source configured; place a county or Regrid export at data/parcels/monterey.gpkg)</t>
  </si>
  <si>
    <t xml:space="preserve">Napa: NO DATA (no automated source configured; place a county or Regrid export at data/parcels/napa.gpkg)</t>
  </si>
  <si>
    <t xml:space="preserve">Nevada: NO DATA (no automated source configured; place a county or Regrid export at data/parcels/nevada.gpkg)</t>
  </si>
  <si>
    <t xml:space="preserve">Placer: NO DATA (no automated source configured; place a county or Regrid export at data/parcels/placer.gpkg)</t>
  </si>
  <si>
    <t xml:space="preserve">Plumas: NO DATA (no automated source configured; place a county or Regrid export at data/parcels/plumas.gpkg)</t>
  </si>
  <si>
    <t xml:space="preserve">Riverside: NO DATA ('portal' source needs a manual export to data/parcels/riverside.gpkg)</t>
  </si>
  <si>
    <t xml:space="preserve">San Benito: NO DATA (no automated source configured; place a county or Regrid export at data/parcels/san_benito.gpkg)</t>
  </si>
  <si>
    <t xml:space="preserve">San Bernardino: NO DATA ('portal' source needs a manual export to data/parcels/san_bernardino.gpkg)</t>
  </si>
  <si>
    <t xml:space="preserve">San Joaquin: NO DATA (no automated source configured; place a county or Regrid export at data/parcels/san_joaquin.gpkg)</t>
  </si>
  <si>
    <t xml:space="preserve">San Luis Obispo: NO DATA (no automated source configured; place a county or Regrid export at data/parcels/san_luis_obispo.gpkg)</t>
  </si>
  <si>
    <t xml:space="preserve">San Mateo: NO DATA ('portal' source needs a manual export to data/parcels/san_mateo.gpkg)</t>
  </si>
  <si>
    <t xml:space="preserve">Santa Barbara: NO DATA (no automated source configured; place a county or Regrid export at data/parcels/santa_barbara.gpkg)</t>
  </si>
  <si>
    <t xml:space="preserve">Santa Clara: NO DATA ('portal' source needs a manual export to data/parcels/santa_clara.gpkg)</t>
  </si>
  <si>
    <t xml:space="preserve">Santa Cruz: NO DATA (no automated source configured; place a county or Regrid export at data/parcels/santa_cruz.gpkg)</t>
  </si>
  <si>
    <t xml:space="preserve">Shasta: NO DATA (no automated source configured; place a county or Regrid export at data/parcels/shasta.gpkg)</t>
  </si>
  <si>
    <t xml:space="preserve">Sierra: NO DATA (no automated source configured; place a county or Regrid export at data/parcels/sierra.gpkg)</t>
  </si>
  <si>
    <t xml:space="preserve">Siskiyou: NO DATA (no automated source configured; place a county or Regrid export at data/parcels/siskiyou.gpkg)</t>
  </si>
  <si>
    <t xml:space="preserve">Solano: NO DATA (no automated source configured; place a county or Regrid export at data/parcels/solano.gpkg)</t>
  </si>
  <si>
    <t xml:space="preserve">Sonoma: NO DATA (no automated source configured; place a county or Regrid export at data/parcels/sonoma.gpkg)</t>
  </si>
  <si>
    <t xml:space="preserve">Stanislaus: NO DATA (no automated source configured; place a county or Regrid export at data/parcels/stanislaus.gpkg)</t>
  </si>
  <si>
    <t xml:space="preserve">Sutter: NO DATA (no automated source configured; place a county or Regrid export at data/parcels/sutter.gpkg)</t>
  </si>
  <si>
    <t xml:space="preserve">Tehama: NO DATA (no automated source configured; place a county or Regrid export at data/parcels/tehama.gpkg)</t>
  </si>
  <si>
    <t xml:space="preserve">Trinity: NO DATA (no automated source configured; place a county or Regrid export at data/parcels/trinity.gpkg)</t>
  </si>
  <si>
    <t xml:space="preserve">Tulare: NO DATA (no automated source configured; place a county or Regrid export at data/parcels/tulare.gpkg)</t>
  </si>
  <si>
    <t xml:space="preserve">Tuolumne: NO DATA (no automated source configured; place a county or Regrid export at data/parcels/tuolumne.gpkg)</t>
  </si>
  <si>
    <t xml:space="preserve">Yolo: NO DATA (no automated source configured; place a county or Regrid export at data/parcels/yolo.gpkg)</t>
  </si>
  <si>
    <t xml:space="preserve">Yuba: NO DATA (no automated source configured; place a county or Regrid export at data/parcels/yuba.gpkg)</t>
  </si>
  <si>
    <t xml:space="preserve">Median of ZIP $/sq ft is a static value at build time; other counts are live formulas.</t>
  </si>
  <si>
    <t xml:space="preserve">Neighborhood</t>
  </si>
  <si>
    <t xml:space="preserve">Overture place type</t>
  </si>
  <si>
    <t xml:space="preserve">ZIP rank</t>
  </si>
  <si>
    <t xml:space="preserve">El Niguel Heights</t>
  </si>
  <si>
    <t xml:space="preserve">neighborhood</t>
  </si>
  <si>
    <t xml:space="preserve">Niguel Summit</t>
  </si>
  <si>
    <t xml:space="preserve">Livermorium Plaza / Mills Square Park</t>
  </si>
  <si>
    <t xml:space="preserve">microhood</t>
  </si>
  <si>
    <t xml:space="preserve">Lizzie Fountain Plaza</t>
  </si>
  <si>
    <t xml:space="preserve">Sandhurst</t>
  </si>
  <si>
    <t xml:space="preserve">The Grove</t>
  </si>
  <si>
    <t xml:space="preserve">Village II</t>
  </si>
  <si>
    <t xml:space="preserve">Vinsanto II</t>
  </si>
  <si>
    <t xml:space="preserve">Dry Creek</t>
  </si>
  <si>
    <t xml:space="preserve">macrohood</t>
  </si>
  <si>
    <t xml:space="preserve">Willow Glen</t>
  </si>
  <si>
    <t xml:space="preserve">Downtown Encinitas</t>
  </si>
  <si>
    <t xml:space="preserve">Encinitas Highlands</t>
  </si>
  <si>
    <t xml:space="preserve">Encinitas Ranch</t>
  </si>
  <si>
    <t xml:space="preserve">Fox Point Farms</t>
  </si>
  <si>
    <t xml:space="preserve">Leucadia</t>
  </si>
  <si>
    <t xml:space="preserve">Manzanita Cove</t>
  </si>
  <si>
    <t xml:space="preserve">New Encinitas</t>
  </si>
  <si>
    <t xml:space="preserve">Old Encinitas</t>
  </si>
  <si>
    <t xml:space="preserve">Olivenhain</t>
  </si>
  <si>
    <t xml:space="preserve">Pacific Serena</t>
  </si>
  <si>
    <t xml:space="preserve">Poinsettia Heights</t>
  </si>
  <si>
    <t xml:space="preserve">Quail Gardens</t>
  </si>
  <si>
    <t xml:space="preserve">Rancho Encinitas</t>
  </si>
  <si>
    <t xml:space="preserve">Val Sereno</t>
  </si>
  <si>
    <t xml:space="preserve">Village Park</t>
  </si>
  <si>
    <t xml:space="preserve">Armstrong</t>
  </si>
  <si>
    <t xml:space="preserve">Blitz Tract</t>
  </si>
  <si>
    <t xml:space="preserve">Cambridge Estates</t>
  </si>
  <si>
    <t xml:space="preserve">Donner Crest</t>
  </si>
  <si>
    <t xml:space="preserve">Donner Lake Village</t>
  </si>
  <si>
    <t xml:space="preserve">Donner Pines Tract</t>
  </si>
  <si>
    <t xml:space="preserve">Donner Ski Haven</t>
  </si>
  <si>
    <t xml:space="preserve">Donner Tract</t>
  </si>
  <si>
    <t xml:space="preserve">Donner Trail</t>
  </si>
  <si>
    <t xml:space="preserve">Donner Woods</t>
  </si>
  <si>
    <t xml:space="preserve">Emmons Tract</t>
  </si>
  <si>
    <t xml:space="preserve">Gateway</t>
  </si>
  <si>
    <t xml:space="preserve">Gateway Park</t>
  </si>
  <si>
    <t xml:space="preserve">Glenshire</t>
  </si>
  <si>
    <t xml:space="preserve">Glenshire-Devonshire</t>
  </si>
  <si>
    <t xml:space="preserve">Gray's Crossing</t>
  </si>
  <si>
    <t xml:space="preserve">Juniper Creek Ranch</t>
  </si>
  <si>
    <t xml:space="preserve">Juniper Heights</t>
  </si>
  <si>
    <t xml:space="preserve">Juniper Hill</t>
  </si>
  <si>
    <t xml:space="preserve">Klondike Flat</t>
  </si>
  <si>
    <t xml:space="preserve">Lahontan</t>
  </si>
  <si>
    <t xml:space="preserve">Lakeview</t>
  </si>
  <si>
    <t xml:space="preserve">Martis Camp</t>
  </si>
  <si>
    <t xml:space="preserve">Martis Peak</t>
  </si>
  <si>
    <t xml:space="preserve">Martiswood Estates</t>
  </si>
  <si>
    <t xml:space="preserve">Meadow Lake Park</t>
  </si>
  <si>
    <t xml:space="preserve">Old Greenwood</t>
  </si>
  <si>
    <t xml:space="preserve">Olympic Heights</t>
  </si>
  <si>
    <t xml:space="preserve">Plavada Woodlands</t>
  </si>
  <si>
    <t xml:space="preserve">Ponderosa Fairway Estates</t>
  </si>
  <si>
    <t xml:space="preserve">Ponderosa Palisades</t>
  </si>
  <si>
    <t xml:space="preserve">Ponderosa Ranchos</t>
  </si>
  <si>
    <t xml:space="preserve">Prosser Lake Heights</t>
  </si>
  <si>
    <t xml:space="preserve">Prosser Lakeview Estates</t>
  </si>
  <si>
    <t xml:space="preserve">Schaffer's Mill</t>
  </si>
  <si>
    <t xml:space="preserve">Sierra Bluff</t>
  </si>
  <si>
    <t xml:space="preserve">Sierra Meadows</t>
  </si>
  <si>
    <t xml:space="preserve">Southside Highlands</t>
  </si>
  <si>
    <t xml:space="preserve">Tahoe Donner</t>
  </si>
  <si>
    <t xml:space="preserve">The Meadows</t>
  </si>
  <si>
    <t xml:space="preserve">Weeks Tract</t>
  </si>
  <si>
    <t xml:space="preserve">West End Donner</t>
  </si>
  <si>
    <t xml:space="preserve">Alcott Estates</t>
  </si>
  <si>
    <t xml:space="preserve">Bay Ho</t>
  </si>
  <si>
    <t xml:space="preserve">Clairemont</t>
  </si>
  <si>
    <t xml:space="preserve">Clairemont Mesa Gateway</t>
  </si>
  <si>
    <t xml:space="preserve">Clairemont Village</t>
  </si>
  <si>
    <t xml:space="preserve">Diane Village</t>
  </si>
  <si>
    <t xml:space="preserve">East Clairemont</t>
  </si>
  <si>
    <t xml:space="preserve">Eureka Lemon</t>
  </si>
  <si>
    <t xml:space="preserve">North Clairemont</t>
  </si>
  <si>
    <t xml:space="preserve">North Mount Estates</t>
  </si>
  <si>
    <t xml:space="preserve">Riviera Highlands</t>
  </si>
  <si>
    <t xml:space="preserve">Triumph</t>
  </si>
  <si>
    <t xml:space="preserve">Crocker-Amazon</t>
  </si>
  <si>
    <t xml:space="preserve">Excelsior</t>
  </si>
  <si>
    <t xml:space="preserve">Ingleside</t>
  </si>
  <si>
    <t xml:space="preserve">Ocean View</t>
  </si>
  <si>
    <t xml:space="preserve">Outer Mission</t>
  </si>
  <si>
    <t xml:space="preserve">St. Mary's Park</t>
  </si>
  <si>
    <t xml:space="preserve">Westwood Park</t>
  </si>
  <si>
    <t xml:space="preserve">Burlingame Hills</t>
  </si>
  <si>
    <t xml:space="preserve">Burlingame Town Square</t>
  </si>
  <si>
    <t xml:space="preserve">Burlingame Village</t>
  </si>
  <si>
    <t xml:space="preserve">Hacker Square</t>
  </si>
  <si>
    <t xml:space="preserve">Stanford Hills</t>
  </si>
  <si>
    <t xml:space="preserve">Stanford Weekend Acres</t>
  </si>
  <si>
    <t xml:space="preserve">Culver Garden</t>
  </si>
  <si>
    <t xml:space="preserve">Mar Vista</t>
  </si>
  <si>
    <t xml:space="preserve">Westdale</t>
  </si>
  <si>
    <t xml:space="preserve">Del Prado</t>
  </si>
  <si>
    <t xml:space="preserve">Irby Ranch</t>
  </si>
  <si>
    <t xml:space="preserve">Ruby Hill</t>
  </si>
  <si>
    <t xml:space="preserve">Shadow Cliffs</t>
  </si>
  <si>
    <t xml:space="preserve">Centerville District</t>
  </si>
  <si>
    <t xml:space="preserve">Niles District</t>
  </si>
  <si>
    <t xml:space="preserve">Niles Junction</t>
  </si>
  <si>
    <t xml:space="preserve">Shinn</t>
  </si>
  <si>
    <t xml:space="preserve">Beach Barber Tract</t>
  </si>
  <si>
    <t xml:space="preserve">Biology Field Station</t>
  </si>
  <si>
    <t xml:space="preserve">Bird Rock</t>
  </si>
  <si>
    <t xml:space="preserve">Campus Services Complex</t>
  </si>
  <si>
    <t xml:space="preserve">Earl Warren College</t>
  </si>
  <si>
    <t xml:space="preserve">Eleanor Roosevelt College</t>
  </si>
  <si>
    <t xml:space="preserve">Executive Square</t>
  </si>
  <si>
    <t xml:space="preserve">Golden Triangle</t>
  </si>
  <si>
    <t xml:space="preserve">Hidden Valley</t>
  </si>
  <si>
    <t xml:space="preserve">John Muir College</t>
  </si>
  <si>
    <t xml:space="preserve">Katzin Courtyard</t>
  </si>
  <si>
    <t xml:space="preserve">La Jolla Alta</t>
  </si>
  <si>
    <t xml:space="preserve">La Jolla Country Club</t>
  </si>
  <si>
    <t xml:space="preserve">La Jolla Farms</t>
  </si>
  <si>
    <t xml:space="preserve">La Jolla Heights</t>
  </si>
  <si>
    <t xml:space="preserve">La Jolla Hermosa</t>
  </si>
  <si>
    <t xml:space="preserve">La Jolla Mesa</t>
  </si>
  <si>
    <t xml:space="preserve">La Jolla Shores</t>
  </si>
  <si>
    <t xml:space="preserve">La Jolla Village</t>
  </si>
  <si>
    <t xml:space="preserve">Lower Hermosa</t>
  </si>
  <si>
    <t xml:space="preserve">Matthews Quadrangle</t>
  </si>
  <si>
    <t xml:space="preserve">Miurlands West</t>
  </si>
  <si>
    <t xml:space="preserve">Mount La Jolla</t>
  </si>
  <si>
    <t xml:space="preserve">North Campus</t>
  </si>
  <si>
    <t xml:space="preserve">Pepper Canyon</t>
  </si>
  <si>
    <t xml:space="preserve">Revelle College</t>
  </si>
  <si>
    <t xml:space="preserve">Ridge Walk North Living and Learning Neighborhood</t>
  </si>
  <si>
    <t xml:space="preserve">Ridgegate</t>
  </si>
  <si>
    <t xml:space="preserve">Science Research Park</t>
  </si>
  <si>
    <t xml:space="preserve">Seventh College at the Village</t>
  </si>
  <si>
    <t xml:space="preserve">Sixth College</t>
  </si>
  <si>
    <t xml:space="preserve">Soledad South</t>
  </si>
  <si>
    <t xml:space="preserve">The Muirlands</t>
  </si>
  <si>
    <t xml:space="preserve">Thurgood Marshall College</t>
  </si>
  <si>
    <t xml:space="preserve">University Center</t>
  </si>
  <si>
    <t xml:space="preserve">Upper Hermosa</t>
  </si>
  <si>
    <t xml:space="preserve">Village of La Jolla</t>
  </si>
  <si>
    <t xml:space="preserve">Windansea Beach</t>
  </si>
  <si>
    <t xml:space="preserve">Windemere</t>
  </si>
  <si>
    <t xml:space="preserve">Bressi Ranch</t>
  </si>
  <si>
    <t xml:space="preserve">La Costa</t>
  </si>
  <si>
    <t xml:space="preserve">La Costa Greens</t>
  </si>
  <si>
    <t xml:space="preserve">La Costa Oaks</t>
  </si>
  <si>
    <t xml:space="preserve">La Costa Ridge</t>
  </si>
  <si>
    <t xml:space="preserve">La Costa Valley</t>
  </si>
  <si>
    <t xml:space="preserve">Rancho Carrillo</t>
  </si>
  <si>
    <t xml:space="preserve">Adobe Bluffs</t>
  </si>
  <si>
    <t xml:space="preserve">Canyon Hills</t>
  </si>
  <si>
    <t xml:space="preserve">Greystone Torrey Highlands</t>
  </si>
  <si>
    <t xml:space="preserve">Heritage Bluffs</t>
  </si>
  <si>
    <t xml:space="preserve">Merge 56</t>
  </si>
  <si>
    <t xml:space="preserve">Park Village</t>
  </si>
  <si>
    <t xml:space="preserve">Penasquitos Creek</t>
  </si>
  <si>
    <t xml:space="preserve">Penasquitos Village</t>
  </si>
  <si>
    <t xml:space="preserve">Peñasquitos Point</t>
  </si>
  <si>
    <t xml:space="preserve">Rancho Peñasquitos</t>
  </si>
  <si>
    <t xml:space="preserve">Rancho Peñasquitos Town Center</t>
  </si>
  <si>
    <t xml:space="preserve">Rhodes Crossing</t>
  </si>
  <si>
    <t xml:space="preserve">Ridgewood</t>
  </si>
  <si>
    <t xml:space="preserve">Rolling Hills</t>
  </si>
  <si>
    <t xml:space="preserve">Sun Ridge Vista</t>
  </si>
  <si>
    <t xml:space="preserve">Sunset Hills</t>
  </si>
  <si>
    <t xml:space="preserve">Terramar</t>
  </si>
  <si>
    <t xml:space="preserve">Torrey Del Mar</t>
  </si>
  <si>
    <t xml:space="preserve">Torrey Glenn</t>
  </si>
  <si>
    <t xml:space="preserve">Torrey Highlands</t>
  </si>
  <si>
    <t xml:space="preserve">Torrey Meadows</t>
  </si>
  <si>
    <t xml:space="preserve">Torrey Ranch</t>
  </si>
  <si>
    <t xml:space="preserve">Torrey Santa Fe</t>
  </si>
  <si>
    <t xml:space="preserve">Twin Trails</t>
  </si>
  <si>
    <t xml:space="preserve">Brentwood Glen</t>
  </si>
  <si>
    <t xml:space="preserve">Brentwood Heights</t>
  </si>
  <si>
    <t xml:space="preserve">Brentwood Park</t>
  </si>
  <si>
    <t xml:space="preserve">Brentwood Village</t>
  </si>
  <si>
    <t xml:space="preserve">Republic of Artsakh Square</t>
  </si>
  <si>
    <t xml:space="preserve">Westgate Heights</t>
  </si>
  <si>
    <t xml:space="preserve">Burton Valley</t>
  </si>
  <si>
    <t xml:space="preserve">Reliez Valley</t>
  </si>
  <si>
    <t xml:space="preserve">Canyon Crest</t>
  </si>
  <si>
    <t xml:space="preserve">Casta del Sol</t>
  </si>
  <si>
    <t xml:space="preserve">Mallorca</t>
  </si>
  <si>
    <t xml:space="preserve">Pinecrest</t>
  </si>
  <si>
    <t xml:space="preserve">East Manhattan Beach</t>
  </si>
  <si>
    <t xml:space="preserve">Hill Section</t>
  </si>
  <si>
    <t xml:space="preserve">Manhattan Village</t>
  </si>
  <si>
    <t xml:space="preserve">Tree Section</t>
  </si>
  <si>
    <t xml:space="preserve">Grandview Crest</t>
  </si>
  <si>
    <t xml:space="preserve">Lake Park West</t>
  </si>
  <si>
    <t xml:space="preserve">Lower Greenridge</t>
  </si>
  <si>
    <t xml:space="preserve">Lower Heatherview</t>
  </si>
  <si>
    <t xml:space="preserve">Montbury</t>
  </si>
  <si>
    <t xml:space="preserve">Park Place Ranchwood</t>
  </si>
  <si>
    <t xml:space="preserve">Parkwood Estates II</t>
  </si>
  <si>
    <t xml:space="preserve">San Rita</t>
  </si>
  <si>
    <t xml:space="preserve">Summit Crest</t>
  </si>
  <si>
    <t xml:space="preserve">Sunset Ridge</t>
  </si>
  <si>
    <t xml:space="preserve">Sycamore Creek</t>
  </si>
  <si>
    <t xml:space="preserve">Upper Greenridge</t>
  </si>
  <si>
    <t xml:space="preserve">Upper Heatherview</t>
  </si>
  <si>
    <t xml:space="preserve">Concord Place</t>
  </si>
  <si>
    <t xml:space="preserve">Fountain Plaza</t>
  </si>
  <si>
    <t xml:space="preserve">Fountain Valley Commercial Area</t>
  </si>
  <si>
    <t xml:space="preserve">Bernal Heights</t>
  </si>
  <si>
    <t xml:space="preserve">Mission</t>
  </si>
  <si>
    <t xml:space="preserve">Broadway Auto Row</t>
  </si>
  <si>
    <t xml:space="preserve">Harrison/Oakland</t>
  </si>
  <si>
    <t xml:space="preserve">Oak Glen Park</t>
  </si>
  <si>
    <t xml:space="preserve">Piedmont Avenue</t>
  </si>
  <si>
    <t xml:space="preserve">Piedmont Pines</t>
  </si>
  <si>
    <t xml:space="preserve">Bayside Village</t>
  </si>
  <si>
    <t xml:space="preserve">Belcourt</t>
  </si>
  <si>
    <t xml:space="preserve">Big Canyon</t>
  </si>
  <si>
    <t xml:space="preserve">Bonita Canyon</t>
  </si>
  <si>
    <t xml:space="preserve">Castaways</t>
  </si>
  <si>
    <t xml:space="preserve">Dover Shores</t>
  </si>
  <si>
    <t xml:space="preserve">Eastbluff</t>
  </si>
  <si>
    <t xml:space="preserve">Granville</t>
  </si>
  <si>
    <t xml:space="preserve">Harbor Cove</t>
  </si>
  <si>
    <t xml:space="preserve">Harbor Hill</t>
  </si>
  <si>
    <t xml:space="preserve">Harbor Island</t>
  </si>
  <si>
    <t xml:space="preserve">Harbor Ridge</t>
  </si>
  <si>
    <t xml:space="preserve">Harbor View</t>
  </si>
  <si>
    <t xml:space="preserve">Harbor View Knoll</t>
  </si>
  <si>
    <t xml:space="preserve">Island Lagoon</t>
  </si>
  <si>
    <t xml:space="preserve">Newport Hills</t>
  </si>
  <si>
    <t xml:space="preserve">Newport North</t>
  </si>
  <si>
    <t xml:space="preserve">Newport Ridge</t>
  </si>
  <si>
    <t xml:space="preserve">North Bluff</t>
  </si>
  <si>
    <t xml:space="preserve">One Ford Road</t>
  </si>
  <si>
    <t xml:space="preserve">Sea View</t>
  </si>
  <si>
    <t xml:space="preserve">Seawind</t>
  </si>
  <si>
    <t xml:space="preserve">The Bluffs</t>
  </si>
  <si>
    <t xml:space="preserve">The Plaza</t>
  </si>
  <si>
    <t xml:space="preserve">UCI - North Campus</t>
  </si>
  <si>
    <t xml:space="preserve">Upper Bay</t>
  </si>
  <si>
    <t xml:space="preserve">Villa Point</t>
  </si>
  <si>
    <t xml:space="preserve">4S Commons</t>
  </si>
  <si>
    <t xml:space="preserve">4S Ranch Business Park</t>
  </si>
  <si>
    <t xml:space="preserve">Auberge</t>
  </si>
  <si>
    <t xml:space="preserve">Bel Etage</t>
  </si>
  <si>
    <t xml:space="preserve">Black Mountain Ranch</t>
  </si>
  <si>
    <t xml:space="preserve">Camino Bernardo</t>
  </si>
  <si>
    <t xml:space="preserve">Deer Ridge</t>
  </si>
  <si>
    <t xml:space="preserve">Del Sur</t>
  </si>
  <si>
    <t xml:space="preserve">Dove Canyon</t>
  </si>
  <si>
    <t xml:space="preserve">Ivygate</t>
  </si>
  <si>
    <t xml:space="preserve">Nicole Ridge</t>
  </si>
  <si>
    <t xml:space="preserve">North 4S Ranch</t>
  </si>
  <si>
    <t xml:space="preserve">Paseo Montenero</t>
  </si>
  <si>
    <t xml:space="preserve">Rancho Bernardo Business Park</t>
  </si>
  <si>
    <t xml:space="preserve">Santaluz</t>
  </si>
  <si>
    <t xml:space="preserve">South 4S Ranch</t>
  </si>
  <si>
    <t xml:space="preserve">Stone Ranch</t>
  </si>
  <si>
    <t xml:space="preserve">Tanner Ridge</t>
  </si>
  <si>
    <t xml:space="preserve">Verrazano</t>
  </si>
  <si>
    <t xml:space="preserve">Village Green</t>
  </si>
  <si>
    <t xml:space="preserve">Avocado Glen</t>
  </si>
  <si>
    <t xml:space="preserve">Bridlewood</t>
  </si>
  <si>
    <t xml:space="preserve">Bridlewood Country Estates</t>
  </si>
  <si>
    <t xml:space="preserve">Bridlewood Lakeside</t>
  </si>
  <si>
    <t xml:space="preserve">Carriage Heights</t>
  </si>
  <si>
    <t xml:space="preserve">Casa Real Poway</t>
  </si>
  <si>
    <t xml:space="preserve">Cicero</t>
  </si>
  <si>
    <t xml:space="preserve">Colony</t>
  </si>
  <si>
    <t xml:space="preserve">Country Squire Estates</t>
  </si>
  <si>
    <t xml:space="preserve">Cree</t>
  </si>
  <si>
    <t xml:space="preserve">Espola Verde</t>
  </si>
  <si>
    <t xml:space="preserve">Flair</t>
  </si>
  <si>
    <t xml:space="preserve">Gate</t>
  </si>
  <si>
    <t xml:space="preserve">Golden City</t>
  </si>
  <si>
    <t xml:space="preserve">Green Valley</t>
  </si>
  <si>
    <t xml:space="preserve">Green Valley Estates North</t>
  </si>
  <si>
    <t xml:space="preserve">Green Valley Estates South</t>
  </si>
  <si>
    <t xml:space="preserve">Green Valley Summit</t>
  </si>
  <si>
    <t xml:space="preserve">Hickory</t>
  </si>
  <si>
    <t xml:space="preserve">Holiday Estates</t>
  </si>
  <si>
    <t xml:space="preserve">Holland</t>
  </si>
  <si>
    <t xml:space="preserve">Huntington Gate</t>
  </si>
  <si>
    <t xml:space="preserve">Kentfield</t>
  </si>
  <si>
    <t xml:space="preserve">La Paz Village</t>
  </si>
  <si>
    <t xml:space="preserve">Ladera Piedra</t>
  </si>
  <si>
    <t xml:space="preserve">Las Cadenas</t>
  </si>
  <si>
    <t xml:space="preserve">Midland Estates</t>
  </si>
  <si>
    <t xml:space="preserve">Midland Grove</t>
  </si>
  <si>
    <t xml:space="preserve">O'Reno</t>
  </si>
  <si>
    <t xml:space="preserve">Old Coach</t>
  </si>
  <si>
    <t xml:space="preserve">Old Poway</t>
  </si>
  <si>
    <t xml:space="preserve">Padre Woods</t>
  </si>
  <si>
    <t xml:space="preserve">Parkway Business Centre</t>
  </si>
  <si>
    <t xml:space="preserve">Piermont</t>
  </si>
  <si>
    <t xml:space="preserve">Pomerado Business Park</t>
  </si>
  <si>
    <t xml:space="preserve">Pomerado Gardens</t>
  </si>
  <si>
    <t xml:space="preserve">Poway Corporate Center</t>
  </si>
  <si>
    <t xml:space="preserve">Poway Grove Park</t>
  </si>
  <si>
    <t xml:space="preserve">Poway Mesa North</t>
  </si>
  <si>
    <t xml:space="preserve">Poway Mesa South</t>
  </si>
  <si>
    <t xml:space="preserve">Poway Portals</t>
  </si>
  <si>
    <t xml:space="preserve">Poway Town Center</t>
  </si>
  <si>
    <t xml:space="preserve">Poway Woods</t>
  </si>
  <si>
    <t xml:space="preserve">Rancho Arbolitos</t>
  </si>
  <si>
    <t xml:space="preserve">Rancho Arbolitos Palisades</t>
  </si>
  <si>
    <t xml:space="preserve">Rancho Arbolitos Parkside</t>
  </si>
  <si>
    <t xml:space="preserve">Rancho Arbolitos Woodside</t>
  </si>
  <si>
    <t xml:space="preserve">Rancho La Paz</t>
  </si>
  <si>
    <t xml:space="preserve">Rancho Poway</t>
  </si>
  <si>
    <t xml:space="preserve">Rancho Verde</t>
  </si>
  <si>
    <t xml:space="preserve">Range View Estates</t>
  </si>
  <si>
    <t xml:space="preserve">Rayo Del Sol</t>
  </si>
  <si>
    <t xml:space="preserve">Rollin Glen</t>
  </si>
  <si>
    <t xml:space="preserve">South Poway Business Park</t>
  </si>
  <si>
    <t xml:space="preserve">Stone Canyon Ranch</t>
  </si>
  <si>
    <t xml:space="preserve">Stoneridge Chateaus</t>
  </si>
  <si>
    <t xml:space="preserve">Summerfield Estates</t>
  </si>
  <si>
    <t xml:space="preserve">Sunrise Ranch</t>
  </si>
  <si>
    <t xml:space="preserve">Taunt</t>
  </si>
  <si>
    <t xml:space="preserve">Temple</t>
  </si>
  <si>
    <t xml:space="preserve">The Ranch</t>
  </si>
  <si>
    <t xml:space="preserve">Twin Circle</t>
  </si>
  <si>
    <t xml:space="preserve">Valle Del Norte</t>
  </si>
  <si>
    <t xml:space="preserve">Valle Verde Estates</t>
  </si>
  <si>
    <t xml:space="preserve">Portola Hills</t>
  </si>
  <si>
    <t xml:space="preserve">Robinson Ranch</t>
  </si>
  <si>
    <t xml:space="preserve">Beachwood Canyon</t>
  </si>
  <si>
    <t xml:space="preserve">Hollywood Dell</t>
  </si>
  <si>
    <t xml:space="preserve">Hollywood Hills</t>
  </si>
  <si>
    <t xml:space="preserve">Whitley Heights Historic District</t>
  </si>
  <si>
    <t xml:space="preserve">Beverly Crest</t>
  </si>
  <si>
    <t xml:space="preserve">The Flats</t>
  </si>
  <si>
    <t xml:space="preserve">Trousdale Estates</t>
  </si>
  <si>
    <t xml:space="preserve">College Park</t>
  </si>
  <si>
    <t xml:space="preserve">Mesa Verde</t>
  </si>
  <si>
    <t xml:space="preserve">Alvarado</t>
  </si>
  <si>
    <t xml:space="preserve">Colt Court</t>
  </si>
  <si>
    <t xml:space="preserve">Contempo</t>
  </si>
  <si>
    <t xml:space="preserve">Decoto</t>
  </si>
  <si>
    <t xml:space="preserve">Rolling Hills Estates</t>
  </si>
  <si>
    <t xml:space="preserve">Anderson Ranch</t>
  </si>
  <si>
    <t xml:space="preserve">Brookview</t>
  </si>
  <si>
    <t xml:space="preserve">California Chateau</t>
  </si>
  <si>
    <t xml:space="preserve">Crow Canyon Heights</t>
  </si>
  <si>
    <t xml:space="preserve">Danville Ranch</t>
  </si>
  <si>
    <t xml:space="preserve">Diablo Highlands</t>
  </si>
  <si>
    <t xml:space="preserve">Diablo West</t>
  </si>
  <si>
    <t xml:space="preserve">Osborn Estates</t>
  </si>
  <si>
    <t xml:space="preserve">Sycamore Homes</t>
  </si>
  <si>
    <t xml:space="preserve">Windstream</t>
  </si>
  <si>
    <t xml:space="preserve">Emerald Lake Hills</t>
  </si>
  <si>
    <t xml:space="preserve">Kensington Square</t>
  </si>
  <si>
    <t xml:space="preserve">Alvarado Estates</t>
  </si>
  <si>
    <t xml:space="preserve">Baja Canyon</t>
  </si>
  <si>
    <t xml:space="preserve">Colina Park</t>
  </si>
  <si>
    <t xml:space="preserve">College View Estates</t>
  </si>
  <si>
    <t xml:space="preserve">Darnall</t>
  </si>
  <si>
    <t xml:space="preserve">El Cerrito Heights</t>
  </si>
  <si>
    <t xml:space="preserve">Mesa Colony</t>
  </si>
  <si>
    <t xml:space="preserve">Mid-City</t>
  </si>
  <si>
    <t xml:space="preserve">Montezuma Mesa</t>
  </si>
  <si>
    <t xml:space="preserve">Rolando</t>
  </si>
  <si>
    <t xml:space="preserve">Rolando Park</t>
  </si>
  <si>
    <t xml:space="preserve">Talmadge</t>
  </si>
  <si>
    <t xml:space="preserve">The Triangle</t>
  </si>
  <si>
    <t xml:space="preserve">Castle Hill</t>
  </si>
  <si>
    <t xml:space="preserve">Edgemar</t>
  </si>
  <si>
    <t xml:space="preserve">Fairway Park</t>
  </si>
  <si>
    <t xml:space="preserve">Hilton Heights</t>
  </si>
  <si>
    <t xml:space="preserve">Linda Mar</t>
  </si>
  <si>
    <t xml:space="preserve">Pacific Manor</t>
  </si>
  <si>
    <t xml:space="preserve">Pedro Valley</t>
  </si>
  <si>
    <t xml:space="preserve">Rockaway Beach</t>
  </si>
  <si>
    <t xml:space="preserve">Sharp Park</t>
  </si>
  <si>
    <t xml:space="preserve">Vallemar</t>
  </si>
  <si>
    <t xml:space="preserve">Mission San Jose District</t>
  </si>
  <si>
    <t xml:space="preserve">Warm Springs District</t>
  </si>
  <si>
    <t xml:space="preserve">Rancho Mission Viejo</t>
  </si>
  <si>
    <t xml:space="preserve">Rienda</t>
  </si>
  <si>
    <t xml:space="preserve">Bay Cliff Village</t>
  </si>
  <si>
    <t xml:space="preserve">Colony Cove</t>
  </si>
  <si>
    <t xml:space="preserve">Sea Summit</t>
  </si>
  <si>
    <t xml:space="preserve">Canal</t>
  </si>
  <si>
    <t xml:space="preserve">Chicken Point</t>
  </si>
  <si>
    <t xml:space="preserve">Dominican</t>
  </si>
  <si>
    <t xml:space="preserve">Westchester</t>
  </si>
  <si>
    <t xml:space="preserve">Westchester Triangle</t>
  </si>
  <si>
    <t xml:space="preserve">50 Beale Street Plaza</t>
  </si>
  <si>
    <t xml:space="preserve">560 Mission Street Plaza</t>
  </si>
  <si>
    <t xml:space="preserve">Foundry Square</t>
  </si>
  <si>
    <t xml:space="preserve">Rincon Hill</t>
  </si>
  <si>
    <t xml:space="preserve">Serramonte</t>
  </si>
  <si>
    <t xml:space="preserve">Glorietta</t>
  </si>
  <si>
    <t xml:space="preserve">Orinda Theatre Square</t>
  </si>
  <si>
    <t xml:space="preserve">Wilder</t>
  </si>
  <si>
    <t xml:space="preserve">Forest Hill</t>
  </si>
  <si>
    <t xml:space="preserve">Golden Gate Heights</t>
  </si>
  <si>
    <t xml:space="preserve">Parkside</t>
  </si>
  <si>
    <t xml:space="preserve">Bobby Brown Uptown Gay and Lesbian Alliance Square</t>
  </si>
  <si>
    <t xml:space="preserve">Cypress Park</t>
  </si>
  <si>
    <t xml:space="preserve">Dayton Avenue</t>
  </si>
  <si>
    <t xml:space="preserve">Glassell Park</t>
  </si>
  <si>
    <t xml:space="preserve">Mount Washington</t>
  </si>
  <si>
    <t xml:space="preserve">Country Club</t>
  </si>
  <si>
    <t xml:space="preserve">Fairlynn</t>
  </si>
  <si>
    <t xml:space="preserve">Cowan Heights</t>
  </si>
  <si>
    <t xml:space="preserve">Fairbridge Square</t>
  </si>
  <si>
    <t xml:space="preserve">Lemon Heights</t>
  </si>
  <si>
    <t xml:space="preserve">Lyon Street</t>
  </si>
  <si>
    <t xml:space="preserve">North Tustin</t>
  </si>
  <si>
    <t xml:space="preserve">Panorama Heights</t>
  </si>
  <si>
    <t xml:space="preserve">Young Square</t>
  </si>
  <si>
    <t xml:space="preserve">Diamond Heights</t>
  </si>
  <si>
    <t xml:space="preserve">Glen Park</t>
  </si>
  <si>
    <t xml:space="preserve">Sunnyside</t>
  </si>
  <si>
    <t xml:space="preserve">Dimond District</t>
  </si>
  <si>
    <t xml:space="preserve">Glenview</t>
  </si>
  <si>
    <t xml:space="preserve">Oakland Hills</t>
  </si>
  <si>
    <t xml:space="preserve">Oakmore Highlands</t>
  </si>
  <si>
    <t xml:space="preserve">Inner Sunset</t>
  </si>
  <si>
    <t xml:space="preserve">Outer Sunset</t>
  </si>
  <si>
    <t xml:space="preserve">Sunset District</t>
  </si>
  <si>
    <t xml:space="preserve">Silver Triangle</t>
  </si>
  <si>
    <t xml:space="preserve">Studio City Neighborhood Council District</t>
  </si>
  <si>
    <t xml:space="preserve">California Shadowhawk</t>
  </si>
  <si>
    <t xml:space="preserve">Meadow Creek</t>
  </si>
  <si>
    <t xml:space="preserve">Northridge Estates</t>
  </si>
  <si>
    <t xml:space="preserve">Woodside Oaks</t>
  </si>
  <si>
    <t xml:space="preserve">Academic Quad</t>
  </si>
  <si>
    <t xml:space="preserve">Cupertino Civic Center</t>
  </si>
  <si>
    <t xml:space="preserve">Olive Court</t>
  </si>
  <si>
    <t xml:space="preserve">Rally Court</t>
  </si>
  <si>
    <t xml:space="preserve">Rancho Rinconada</t>
  </si>
  <si>
    <t xml:space="preserve">Wilson Park</t>
  </si>
  <si>
    <t xml:space="preserve">Campbell Courtyard</t>
  </si>
  <si>
    <t xml:space="preserve">Quad</t>
  </si>
  <si>
    <t xml:space="preserve">San Tomas</t>
  </si>
  <si>
    <t xml:space="preserve">Compass Pointe</t>
  </si>
  <si>
    <t xml:space="preserve">El Encanto</t>
  </si>
  <si>
    <t xml:space="preserve">Flora Vista</t>
  </si>
  <si>
    <t xml:space="preserve">Portofino</t>
  </si>
  <si>
    <t xml:space="preserve">San Angelo</t>
  </si>
  <si>
    <t xml:space="preserve">Talega</t>
  </si>
  <si>
    <t xml:space="preserve">Altair</t>
  </si>
  <si>
    <t xml:space="preserve">Cypress Village</t>
  </si>
  <si>
    <t xml:space="preserve">Great Park</t>
  </si>
  <si>
    <t xml:space="preserve">Irvine Spectrum</t>
  </si>
  <si>
    <t xml:space="preserve">Laguna Altura</t>
  </si>
  <si>
    <t xml:space="preserve">Lambert Ranch</t>
  </si>
  <si>
    <t xml:space="preserve">Oak Creek</t>
  </si>
  <si>
    <t xml:space="preserve">Portola Springs</t>
  </si>
  <si>
    <t xml:space="preserve">Travata</t>
  </si>
  <si>
    <t xml:space="preserve">Woodbury East</t>
  </si>
  <si>
    <t xml:space="preserve">Woodbury Place Apartments</t>
  </si>
  <si>
    <t xml:space="preserve">East End</t>
  </si>
  <si>
    <t xml:space="preserve">Fernside</t>
  </si>
  <si>
    <t xml:space="preserve">Gold Coast</t>
  </si>
  <si>
    <t xml:space="preserve">South Shore</t>
  </si>
  <si>
    <t xml:space="preserve">West End</t>
  </si>
  <si>
    <t xml:space="preserve">Woodstock</t>
  </si>
  <si>
    <t xml:space="preserve">Bridgehaven</t>
  </si>
  <si>
    <t xml:space="preserve">First Neighborhood</t>
  </si>
  <si>
    <t xml:space="preserve">Westlake Bay</t>
  </si>
  <si>
    <t xml:space="preserve">Westshore</t>
  </si>
  <si>
    <t xml:space="preserve">Chapman Woods</t>
  </si>
  <si>
    <t xml:space="preserve">Lamanda Park</t>
  </si>
  <si>
    <t xml:space="preserve">San Pasqual</t>
  </si>
  <si>
    <t xml:space="preserve">Downtown</t>
  </si>
  <si>
    <t xml:space="preserve">Mission Hill Historic District</t>
  </si>
  <si>
    <t xml:space="preserve">Ashley Falls</t>
  </si>
  <si>
    <t xml:space="preserve">Bosque Del Mar</t>
  </si>
  <si>
    <t xml:space="preserve">Bougainvillea</t>
  </si>
  <si>
    <t xml:space="preserve">Carmel Center</t>
  </si>
  <si>
    <t xml:space="preserve">Carmel Country Highlands</t>
  </si>
  <si>
    <t xml:space="preserve">Carmel Creek</t>
  </si>
  <si>
    <t xml:space="preserve">Carmel Del Mar</t>
  </si>
  <si>
    <t xml:space="preserve">Carmel Knolls</t>
  </si>
  <si>
    <t xml:space="preserve">Carmel Valley Creek</t>
  </si>
  <si>
    <t xml:space="preserve">Carmel Valley Neighborhood 8b</t>
  </si>
  <si>
    <t xml:space="preserve">Carmel View</t>
  </si>
  <si>
    <t xml:space="preserve">Del Mar Highlands</t>
  </si>
  <si>
    <t xml:space="preserve">Del Mar Mesa</t>
  </si>
  <si>
    <t xml:space="preserve">Del Mar Mesa Estates</t>
  </si>
  <si>
    <t xml:space="preserve">Del Mar Trails</t>
  </si>
  <si>
    <t xml:space="preserve">Duck Pond Ranch</t>
  </si>
  <si>
    <t xml:space="preserve">Fairbanks Ranch Country Club</t>
  </si>
  <si>
    <t xml:space="preserve">Gonzales Canyon</t>
  </si>
  <si>
    <t xml:space="preserve">Greenbriar</t>
  </si>
  <si>
    <t xml:space="preserve">Ocean Air</t>
  </si>
  <si>
    <t xml:space="preserve">Pacific Highlands Ranch</t>
  </si>
  <si>
    <t xml:space="preserve">Pacific Highlands Ranch Village</t>
  </si>
  <si>
    <t xml:space="preserve">Palacio Del Mar</t>
  </si>
  <si>
    <t xml:space="preserve">Rancho Pacifica</t>
  </si>
  <si>
    <t xml:space="preserve">Rancho del Sol</t>
  </si>
  <si>
    <t xml:space="preserve">San Dieguito (NCFUA Subarea-II)</t>
  </si>
  <si>
    <t xml:space="preserve">Santa Fe Summit</t>
  </si>
  <si>
    <t xml:space="preserve">Solana Highlands</t>
  </si>
  <si>
    <t xml:space="preserve">Sycramore Ridge</t>
  </si>
  <si>
    <t xml:space="preserve">The Preserve at Del Mar Mesa</t>
  </si>
  <si>
    <t xml:space="preserve">Torrey Glen</t>
  </si>
  <si>
    <t xml:space="preserve">Torrey Hills</t>
  </si>
  <si>
    <t xml:space="preserve">Southwood</t>
  </si>
  <si>
    <t xml:space="preserve">Walteria</t>
  </si>
  <si>
    <t xml:space="preserve">Buccaneer Beach</t>
  </si>
  <si>
    <t xml:space="preserve">Crown Heights</t>
  </si>
  <si>
    <t xml:space="preserve">Downtown Oceanside</t>
  </si>
  <si>
    <t xml:space="preserve">Escondido Junction</t>
  </si>
  <si>
    <t xml:space="preserve">Fire Mountain</t>
  </si>
  <si>
    <t xml:space="preserve">South Oceanside</t>
  </si>
  <si>
    <t xml:space="preserve">Branham</t>
  </si>
  <si>
    <t xml:space="preserve">Communications Hill</t>
  </si>
  <si>
    <t xml:space="preserve">Chelsea Pointe</t>
  </si>
  <si>
    <t xml:space="preserve">Niguel Shores</t>
  </si>
  <si>
    <t xml:space="preserve">South Cove</t>
  </si>
  <si>
    <t xml:space="preserve">Bernardo Heights</t>
  </si>
  <si>
    <t xml:space="preserve">Bernardo Vista Del Lago</t>
  </si>
  <si>
    <t xml:space="preserve">Carmel Heights</t>
  </si>
  <si>
    <t xml:space="preserve">Carmel Mountain Ranch</t>
  </si>
  <si>
    <t xml:space="preserve">Highland Ranch</t>
  </si>
  <si>
    <t xml:space="preserve">Montelena</t>
  </si>
  <si>
    <t xml:space="preserve">North Creek</t>
  </si>
  <si>
    <t xml:space="preserve">Oaks North</t>
  </si>
  <si>
    <t xml:space="preserve">Rancho Bernardo</t>
  </si>
  <si>
    <t xml:space="preserve">Sabre Springs</t>
  </si>
  <si>
    <t xml:space="preserve">Sabre Springs Town Center</t>
  </si>
  <si>
    <t xml:space="preserve">South Creek</t>
  </si>
  <si>
    <t xml:space="preserve">Walden</t>
  </si>
  <si>
    <t xml:space="preserve">Woodland Hills-Warner Center Neighborhood Council District</t>
  </si>
  <si>
    <t xml:space="preserve">Alcala Knolls</t>
  </si>
  <si>
    <t xml:space="preserve">Chesterton</t>
  </si>
  <si>
    <t xml:space="preserve">Convoy District</t>
  </si>
  <si>
    <t xml:space="preserve">Fashion Heights</t>
  </si>
  <si>
    <t xml:space="preserve">Friars Village</t>
  </si>
  <si>
    <t xml:space="preserve">Kearny Mesa</t>
  </si>
  <si>
    <t xml:space="preserve">Linda Vista</t>
  </si>
  <si>
    <t xml:space="preserve">Linda Vista Hills</t>
  </si>
  <si>
    <t xml:space="preserve">Mesa College Area</t>
  </si>
  <si>
    <t xml:space="preserve">Mission Heights</t>
  </si>
  <si>
    <t xml:space="preserve">North Rim</t>
  </si>
  <si>
    <t xml:space="preserve">South Mount Estates</t>
  </si>
  <si>
    <t xml:space="preserve">University Canyon</t>
  </si>
  <si>
    <t xml:space="preserve">Wheatley</t>
  </si>
  <si>
    <t xml:space="preserve">Curtner</t>
  </si>
  <si>
    <t xml:space="preserve">Downtown Plaza</t>
  </si>
  <si>
    <t xml:space="preserve">Irvington District</t>
  </si>
  <si>
    <t xml:space="preserve">Snoboy</t>
  </si>
  <si>
    <t xml:space="preserve">State Street Plaza</t>
  </si>
  <si>
    <t xml:space="preserve">Santa Ana Country Club</t>
  </si>
  <si>
    <t xml:space="preserve">South Mesa</t>
  </si>
  <si>
    <t xml:space="preserve">Bancroft Village</t>
  </si>
  <si>
    <t xml:space="preserve">Heather Farms</t>
  </si>
  <si>
    <t xml:space="preserve">Shell Ridge</t>
  </si>
  <si>
    <t xml:space="preserve">Atwater Village</t>
  </si>
  <si>
    <t xml:space="preserve">Elysian Valley</t>
  </si>
  <si>
    <t xml:space="preserve">Silver Lake Heights</t>
  </si>
  <si>
    <t xml:space="preserve">West Glendale</t>
  </si>
  <si>
    <t xml:space="preserve">Castro District</t>
  </si>
  <si>
    <t xml:space="preserve">Duboce Triangle</t>
  </si>
  <si>
    <t xml:space="preserve">Noe Valley</t>
  </si>
  <si>
    <t xml:space="preserve">Balboa Terrace</t>
  </si>
  <si>
    <t xml:space="preserve">Ingleside Terraces</t>
  </si>
  <si>
    <t xml:space="preserve">Midtown Terrace</t>
  </si>
  <si>
    <t xml:space="preserve">Mount Davidson Manor</t>
  </si>
  <si>
    <t xml:space="preserve">Saint Francis Wood</t>
  </si>
  <si>
    <t xml:space="preserve">West Portal</t>
  </si>
  <si>
    <t xml:space="preserve">Doria</t>
  </si>
  <si>
    <t xml:space="preserve">Eastwood</t>
  </si>
  <si>
    <t xml:space="preserve">Frances</t>
  </si>
  <si>
    <t xml:space="preserve">Kathryn</t>
  </si>
  <si>
    <t xml:space="preserve">Mirasol</t>
  </si>
  <si>
    <t xml:space="preserve">Mirasol Apartments</t>
  </si>
  <si>
    <t xml:space="preserve">Northwood</t>
  </si>
  <si>
    <t xml:space="preserve">Northwood Pointe</t>
  </si>
  <si>
    <t xml:space="preserve">Palmeras</t>
  </si>
  <si>
    <t xml:space="preserve">Stonegate</t>
  </si>
  <si>
    <t xml:space="preserve">Stonegate East</t>
  </si>
  <si>
    <t xml:space="preserve">The Groves</t>
  </si>
  <si>
    <t xml:space="preserve">Woodbury</t>
  </si>
  <si>
    <t xml:space="preserve">Woodbury Lane</t>
  </si>
  <si>
    <t xml:space="preserve">Woodbury Square</t>
  </si>
  <si>
    <t xml:space="preserve">Dougherty Valley</t>
  </si>
  <si>
    <t xml:space="preserve">Gale Ranch</t>
  </si>
  <si>
    <t xml:space="preserve">Venice Canal Historic District</t>
  </si>
  <si>
    <t xml:space="preserve">Barrio</t>
  </si>
  <si>
    <t xml:space="preserve">Carlsbad Ranch</t>
  </si>
  <si>
    <t xml:space="preserve">Carlsbad Village</t>
  </si>
  <si>
    <t xml:space="preserve">Downtown Carlsbad</t>
  </si>
  <si>
    <t xml:space="preserve">Farr</t>
  </si>
  <si>
    <t xml:space="preserve">Hedionda Point</t>
  </si>
  <si>
    <t xml:space="preserve">Kelly Ranch</t>
  </si>
  <si>
    <t xml:space="preserve">Olde Carlsbad</t>
  </si>
  <si>
    <t xml:space="preserve">Bungalow Heaven</t>
  </si>
  <si>
    <t xml:space="preserve">Craftsman Heights</t>
  </si>
  <si>
    <t xml:space="preserve">Normandie Heights</t>
  </si>
  <si>
    <t xml:space="preserve">Orange Heights</t>
  </si>
  <si>
    <t xml:space="preserve">Washington Square</t>
  </si>
  <si>
    <t xml:space="preserve">Duveneck - St. Francis</t>
  </si>
  <si>
    <t xml:space="preserve">Embarcadero Oaks</t>
  </si>
  <si>
    <t xml:space="preserve">Garland</t>
  </si>
  <si>
    <t xml:space="preserve">Green Gables</t>
  </si>
  <si>
    <t xml:space="preserve">Leland Manor</t>
  </si>
  <si>
    <t xml:space="preserve">Midtown</t>
  </si>
  <si>
    <t xml:space="preserve">Triple El</t>
  </si>
  <si>
    <t xml:space="preserve">California Country Club Estates</t>
  </si>
  <si>
    <t xml:space="preserve">Cheviot Hills</t>
  </si>
  <si>
    <t xml:space="preserve">Rancho Park</t>
  </si>
  <si>
    <t xml:space="preserve">Hamer</t>
  </si>
  <si>
    <t xml:space="preserve">Old Town Placentia</t>
  </si>
  <si>
    <t xml:space="preserve">Angeleno Heights</t>
  </si>
  <si>
    <t xml:space="preserve">Echo Park</t>
  </si>
  <si>
    <t xml:space="preserve">Hathaway Hills Estates</t>
  </si>
  <si>
    <t xml:space="preserve">Historic Filipinotown</t>
  </si>
  <si>
    <t xml:space="preserve">Plaza José Martí</t>
  </si>
  <si>
    <t xml:space="preserve">Silver Lake</t>
  </si>
  <si>
    <t xml:space="preserve">Encino Neighborhood Council District</t>
  </si>
  <si>
    <t xml:space="preserve">Little Beverly Hills</t>
  </si>
  <si>
    <t xml:space="preserve">Twin Palms</t>
  </si>
  <si>
    <t xml:space="preserve">Warm Sands</t>
  </si>
  <si>
    <t xml:space="preserve">Alamo Crest</t>
  </si>
  <si>
    <t xml:space="preserve">Alamo Oaks</t>
  </si>
  <si>
    <t xml:space="preserve">Creeks of Alamo</t>
  </si>
  <si>
    <t xml:space="preserve">Monte Sereno</t>
  </si>
  <si>
    <t xml:space="preserve">Vista De Alamo</t>
  </si>
  <si>
    <t xml:space="preserve">Altamar Meadows</t>
  </si>
  <si>
    <t xml:space="preserve">Amber Ridge</t>
  </si>
  <si>
    <t xml:space="preserve">Arrowhead Estates</t>
  </si>
  <si>
    <t xml:space="preserve">Autumn Springs</t>
  </si>
  <si>
    <t xml:space="preserve">California Mountain View</t>
  </si>
  <si>
    <t xml:space="preserve">California Promenade</t>
  </si>
  <si>
    <t xml:space="preserve">California Ranch</t>
  </si>
  <si>
    <t xml:space="preserve">Centra</t>
  </si>
  <si>
    <t xml:space="preserve">Creekside</t>
  </si>
  <si>
    <t xml:space="preserve">Danbury Park</t>
  </si>
  <si>
    <t xml:space="preserve">Danbury Park II</t>
  </si>
  <si>
    <t xml:space="preserve">Dover Place</t>
  </si>
  <si>
    <t xml:space="preserve">Driftwood Gardens Apartments</t>
  </si>
  <si>
    <t xml:space="preserve">Forget Me Not</t>
  </si>
  <si>
    <t xml:space="preserve">Greenville North</t>
  </si>
  <si>
    <t xml:space="preserve">Magnolia Place</t>
  </si>
  <si>
    <t xml:space="preserve">Maralisa</t>
  </si>
  <si>
    <t xml:space="preserve">Maralisa Courtyard</t>
  </si>
  <si>
    <t xml:space="preserve">Parklane Estates</t>
  </si>
  <si>
    <t xml:space="preserve">Portola Glen</t>
  </si>
  <si>
    <t xml:space="preserve">Portola Meadows</t>
  </si>
  <si>
    <t xml:space="preserve">Proud Country</t>
  </si>
  <si>
    <t xml:space="preserve">Regency</t>
  </si>
  <si>
    <t xml:space="preserve">Rose Gate Common</t>
  </si>
  <si>
    <t xml:space="preserve">Saddleback</t>
  </si>
  <si>
    <t xml:space="preserve">Scenic Links</t>
  </si>
  <si>
    <t xml:space="preserve">Springtown</t>
  </si>
  <si>
    <t xml:space="preserve">Sun Valley Mobile Estates</t>
  </si>
  <si>
    <t xml:space="preserve">Sunrise Mobile Home Park</t>
  </si>
  <si>
    <t xml:space="preserve">The Cottages</t>
  </si>
  <si>
    <t xml:space="preserve">The Estate Collection</t>
  </si>
  <si>
    <t xml:space="preserve">The Reserve</t>
  </si>
  <si>
    <t xml:space="preserve">Trevarno</t>
  </si>
  <si>
    <t xml:space="preserve">Villa Chardonnay</t>
  </si>
  <si>
    <t xml:space="preserve">Del Amo</t>
  </si>
  <si>
    <t xml:space="preserve">Delthorne</t>
  </si>
  <si>
    <t xml:space="preserve">Madrona</t>
  </si>
  <si>
    <t xml:space="preserve">The Highlands of Los Gatos</t>
  </si>
  <si>
    <t xml:space="preserve">Vasona Junction</t>
  </si>
  <si>
    <t xml:space="preserve">Belmont Shore</t>
  </si>
  <si>
    <t xml:space="preserve">Marina Pacifica</t>
  </si>
  <si>
    <t xml:space="preserve">Naples</t>
  </si>
  <si>
    <t xml:space="preserve">Adams Point</t>
  </si>
  <si>
    <t xml:space="preserve">Grand Lake</t>
  </si>
  <si>
    <t xml:space="preserve">Trestle Glen</t>
  </si>
  <si>
    <t xml:space="preserve">3Roots</t>
  </si>
  <si>
    <t xml:space="preserve">Camino Village</t>
  </si>
  <si>
    <t xml:space="preserve">Carroll Canyon Gateway</t>
  </si>
  <si>
    <t xml:space="preserve">Little India</t>
  </si>
  <si>
    <t xml:space="preserve">Lopez Ridge</t>
  </si>
  <si>
    <t xml:space="preserve">Mira Mesa</t>
  </si>
  <si>
    <t xml:space="preserve">Mira Mesa Gateway</t>
  </si>
  <si>
    <t xml:space="preserve">Mira Mesa Town Center</t>
  </si>
  <si>
    <t xml:space="preserve">Miramar</t>
  </si>
  <si>
    <t xml:space="preserve">Miramar Gateway</t>
  </si>
  <si>
    <t xml:space="preserve">Parkdale</t>
  </si>
  <si>
    <t xml:space="preserve">Sorrento Heights</t>
  </si>
  <si>
    <t xml:space="preserve">Westview</t>
  </si>
  <si>
    <t xml:space="preserve">Del Monte</t>
  </si>
  <si>
    <t xml:space="preserve">Downtown Monterey</t>
  </si>
  <si>
    <t xml:space="preserve">New Monterey</t>
  </si>
  <si>
    <t xml:space="preserve">Ocean View Plaza</t>
  </si>
  <si>
    <t xml:space="preserve">Old Monterey</t>
  </si>
  <si>
    <t xml:space="preserve">Skyline</t>
  </si>
  <si>
    <t xml:space="preserve">Spaghetti Hill (Old Town)</t>
  </si>
  <si>
    <t xml:space="preserve">York Quad</t>
  </si>
  <si>
    <t xml:space="preserve">Arbor Real</t>
  </si>
  <si>
    <t xml:space="preserve">Barron Park</t>
  </si>
  <si>
    <t xml:space="preserve">Buena Vista Mobile Home Park</t>
  </si>
  <si>
    <t xml:space="preserve">Charleston Meadows</t>
  </si>
  <si>
    <t xml:space="preserve">College Terrace</t>
  </si>
  <si>
    <t xml:space="preserve">Evergreen Park</t>
  </si>
  <si>
    <t xml:space="preserve">Fairmeadow</t>
  </si>
  <si>
    <t xml:space="preserve">South of Midtown</t>
  </si>
  <si>
    <t xml:space="preserve">Southgate</t>
  </si>
  <si>
    <t xml:space="preserve">Hyde Park</t>
  </si>
  <si>
    <t xml:space="preserve">Windsor Hills</t>
  </si>
  <si>
    <t xml:space="preserve">Fleetridge</t>
  </si>
  <si>
    <t xml:space="preserve">Fort Rosecrans</t>
  </si>
  <si>
    <t xml:space="preserve">La Playa</t>
  </si>
  <si>
    <t xml:space="preserve">Liberty Station</t>
  </si>
  <si>
    <t xml:space="preserve">Loma Portal</t>
  </si>
  <si>
    <t xml:space="preserve">Point Loma Naval Base</t>
  </si>
  <si>
    <t xml:space="preserve">Point Loma Naval Station</t>
  </si>
  <si>
    <t xml:space="preserve">Wooded Area</t>
  </si>
  <si>
    <t xml:space="preserve">Ernani Bernardi Plaza</t>
  </si>
  <si>
    <t xml:space="preserve">Greater Valley Glen Neighborhood Council District</t>
  </si>
  <si>
    <t xml:space="preserve">Van Nuys Neighborhood Council District</t>
  </si>
  <si>
    <t xml:space="preserve">East Petaluma</t>
  </si>
  <si>
    <t xml:space="preserve">Old Adams District</t>
  </si>
  <si>
    <t xml:space="preserve">Altamira</t>
  </si>
  <si>
    <t xml:space="preserve">Aviara</t>
  </si>
  <si>
    <t xml:space="preserve">Cantamar</t>
  </si>
  <si>
    <t xml:space="preserve">Cottage Row Carlsbad</t>
  </si>
  <si>
    <t xml:space="preserve">Emerald Point Estates</t>
  </si>
  <si>
    <t xml:space="preserve">Harbor Pointe</t>
  </si>
  <si>
    <t xml:space="preserve">Las Playas</t>
  </si>
  <si>
    <t xml:space="preserve">Laurel Tree Apartments</t>
  </si>
  <si>
    <t xml:space="preserve">Marbrisa</t>
  </si>
  <si>
    <t xml:space="preserve">Mariners</t>
  </si>
  <si>
    <t xml:space="preserve">Mariners Point</t>
  </si>
  <si>
    <t xml:space="preserve">Morning Ridge</t>
  </si>
  <si>
    <t xml:space="preserve">Pavoreal</t>
  </si>
  <si>
    <t xml:space="preserve">Poinsettia</t>
  </si>
  <si>
    <t xml:space="preserve">Ponto</t>
  </si>
  <si>
    <t xml:space="preserve">Saltaire</t>
  </si>
  <si>
    <t xml:space="preserve">Seabright</t>
  </si>
  <si>
    <t xml:space="preserve">Seagate</t>
  </si>
  <si>
    <t xml:space="preserve">Seaside Heights</t>
  </si>
  <si>
    <t xml:space="preserve">Shorepointe</t>
  </si>
  <si>
    <t xml:space="preserve">The Cove</t>
  </si>
  <si>
    <t xml:space="preserve">Egyptian Quarter</t>
  </si>
  <si>
    <t xml:space="preserve">Mission Hills</t>
  </si>
  <si>
    <t xml:space="preserve">Pride Square</t>
  </si>
  <si>
    <t xml:space="preserve">University Heights</t>
  </si>
  <si>
    <t xml:space="preserve">Uptown Medical Complex</t>
  </si>
  <si>
    <t xml:space="preserve">Community Center</t>
  </si>
  <si>
    <t xml:space="preserve">Crescent Park</t>
  </si>
  <si>
    <t xml:space="preserve">Downtown North</t>
  </si>
  <si>
    <t xml:space="preserve">Old Palo Alto</t>
  </si>
  <si>
    <t xml:space="preserve">Professorville</t>
  </si>
  <si>
    <t xml:space="preserve">University South</t>
  </si>
  <si>
    <t xml:space="preserve">Berkeley Hills</t>
  </si>
  <si>
    <t xml:space="preserve">Cragmont</t>
  </si>
  <si>
    <t xml:space="preserve">La Loma Park</t>
  </si>
  <si>
    <t xml:space="preserve">Hensley Historic District</t>
  </si>
  <si>
    <t xml:space="preserve">Horace Mann</t>
  </si>
  <si>
    <t xml:space="preserve">Japantown</t>
  </si>
  <si>
    <t xml:space="preserve">Luna Park</t>
  </si>
  <si>
    <t xml:space="preserve">Naglee Park</t>
  </si>
  <si>
    <t xml:space="preserve">Saint James Square Historic District</t>
  </si>
  <si>
    <t xml:space="preserve">Spartan Keyes</t>
  </si>
  <si>
    <t xml:space="preserve">Mulford</t>
  </si>
  <si>
    <t xml:space="preserve">Mulford Gardens</t>
  </si>
  <si>
    <t xml:space="preserve">El Corazon</t>
  </si>
  <si>
    <t xml:space="preserve">Ocean Hills</t>
  </si>
  <si>
    <t xml:space="preserve">Peacock Hills</t>
  </si>
  <si>
    <t xml:space="preserve">Rancho del Oro</t>
  </si>
  <si>
    <t xml:space="preserve">Talich</t>
  </si>
  <si>
    <t xml:space="preserve">Tri-City</t>
  </si>
  <si>
    <t xml:space="preserve">East Morrissey</t>
  </si>
  <si>
    <t xml:space="preserve">Eastside</t>
  </si>
  <si>
    <t xml:space="preserve">Allied Gardens</t>
  </si>
  <si>
    <t xml:space="preserve">Del Cerro</t>
  </si>
  <si>
    <t xml:space="preserve">Grantville</t>
  </si>
  <si>
    <t xml:space="preserve">Navajo</t>
  </si>
  <si>
    <t xml:space="preserve">Little Armenia</t>
  </si>
  <si>
    <t xml:space="preserve">Los Feliz</t>
  </si>
  <si>
    <t xml:space="preserve">Los Feliz Neighborhood Council District</t>
  </si>
  <si>
    <t xml:space="preserve">Thai Town</t>
  </si>
  <si>
    <t xml:space="preserve">Acacia Knolls</t>
  </si>
  <si>
    <t xml:space="preserve">North Laguna Hills</t>
  </si>
  <si>
    <t xml:space="preserve">Malibu Country Estates</t>
  </si>
  <si>
    <t xml:space="preserve">Malibu Riviera</t>
  </si>
  <si>
    <t xml:space="preserve">Camelback</t>
  </si>
  <si>
    <t xml:space="preserve">Diablo Valley Estates</t>
  </si>
  <si>
    <t xml:space="preserve">Ellinwood</t>
  </si>
  <si>
    <t xml:space="preserve">Grayson Woods</t>
  </si>
  <si>
    <t xml:space="preserve">Gregory Gardens</t>
  </si>
  <si>
    <t xml:space="preserve">Greyson Place</t>
  </si>
  <si>
    <t xml:space="preserve">Hillsdale</t>
  </si>
  <si>
    <t xml:space="preserve">Oak Gate Place</t>
  </si>
  <si>
    <t xml:space="preserve">Pleasant Valley</t>
  </si>
  <si>
    <t xml:space="preserve">Poet's Corner</t>
  </si>
  <si>
    <t xml:space="preserve">Ridgeview</t>
  </si>
  <si>
    <t xml:space="preserve">Shannon Hills</t>
  </si>
  <si>
    <t xml:space="preserve">Sherman Acres</t>
  </si>
  <si>
    <t xml:space="preserve">Valhalla</t>
  </si>
  <si>
    <t xml:space="preserve">Valley High</t>
  </si>
  <si>
    <t xml:space="preserve">Village Square</t>
  </si>
  <si>
    <t xml:space="preserve">West Sherman Acres</t>
  </si>
  <si>
    <t xml:space="preserve">Woodside Meadows</t>
  </si>
  <si>
    <t xml:space="preserve">Braemar</t>
  </si>
  <si>
    <t xml:space="preserve">Crown Point</t>
  </si>
  <si>
    <t xml:space="preserve">Dana Landing</t>
  </si>
  <si>
    <t xml:space="preserve">Floral Terrace</t>
  </si>
  <si>
    <t xml:space="preserve">Marina Village</t>
  </si>
  <si>
    <t xml:space="preserve">Mission Beach</t>
  </si>
  <si>
    <t xml:space="preserve">North Pacific Beach</t>
  </si>
  <si>
    <t xml:space="preserve">Pacific Beach</t>
  </si>
  <si>
    <t xml:space="preserve">Riviera Shores</t>
  </si>
  <si>
    <t xml:space="preserve">Rose Canyon Gateway</t>
  </si>
  <si>
    <t xml:space="preserve">Sail Bay</t>
  </si>
  <si>
    <t xml:space="preserve">Soledad Terrace</t>
  </si>
  <si>
    <t xml:space="preserve">South Mission Beach</t>
  </si>
  <si>
    <t xml:space="preserve">Vacation Isle</t>
  </si>
  <si>
    <t xml:space="preserve">Kensington</t>
  </si>
  <si>
    <t xml:space="preserve">Normal Heights</t>
  </si>
  <si>
    <t xml:space="preserve">Hollywood Riviera</t>
  </si>
  <si>
    <t xml:space="preserve">Riviera Village</t>
  </si>
  <si>
    <t xml:space="preserve">Cherokee Point</t>
  </si>
  <si>
    <t xml:space="preserve">Corridor</t>
  </si>
  <si>
    <t xml:space="preserve">Latine Corridor</t>
  </si>
  <si>
    <t xml:space="preserve">North Park</t>
  </si>
  <si>
    <t xml:space="preserve">Edenvale</t>
  </si>
  <si>
    <t xml:space="preserve">Seven Trees</t>
  </si>
  <si>
    <t xml:space="preserve">Little Italy</t>
  </si>
  <si>
    <t xml:space="preserve">Mill Street District</t>
  </si>
  <si>
    <t xml:space="preserve">Railroad District</t>
  </si>
  <si>
    <t xml:space="preserve">San Luis Country Club Estates</t>
  </si>
  <si>
    <t xml:space="preserve">South Morros</t>
  </si>
  <si>
    <t xml:space="preserve">Vinifera</t>
  </si>
  <si>
    <t xml:space="preserve">Lower Peters Canyon</t>
  </si>
  <si>
    <t xml:space="preserve">Myford</t>
  </si>
  <si>
    <t xml:space="preserve">Orchard Hills</t>
  </si>
  <si>
    <t xml:space="preserve">Outer Richmond</t>
  </si>
  <si>
    <t xml:space="preserve">Seacliff</t>
  </si>
  <si>
    <t xml:space="preserve">Laurel</t>
  </si>
  <si>
    <t xml:space="preserve">Maxwell Park</t>
  </si>
  <si>
    <t xml:space="preserve">Castle Heights</t>
  </si>
  <si>
    <t xml:space="preserve">Palms</t>
  </si>
  <si>
    <t xml:space="preserve">Reynier Village</t>
  </si>
  <si>
    <t xml:space="preserve">Westside Village</t>
  </si>
  <si>
    <t xml:space="preserve">Azure Vista</t>
  </si>
  <si>
    <t xml:space="preserve">Loma Alta</t>
  </si>
  <si>
    <t xml:space="preserve">Mariner's Cove</t>
  </si>
  <si>
    <t xml:space="preserve">Ocean Beach</t>
  </si>
  <si>
    <t xml:space="preserve">Ocean Beach Highlands</t>
  </si>
  <si>
    <t xml:space="preserve">Point Loma</t>
  </si>
  <si>
    <t xml:space="preserve">Point Loma Heights</t>
  </si>
  <si>
    <t xml:space="preserve">Sunset Cliffs</t>
  </si>
  <si>
    <t xml:space="preserve">Bayshores</t>
  </si>
  <si>
    <t xml:space="preserve">Cliff Haven</t>
  </si>
  <si>
    <t xml:space="preserve">Harbor Heights</t>
  </si>
  <si>
    <t xml:space="preserve">Lido Isle</t>
  </si>
  <si>
    <t xml:space="preserve">Newport Heights</t>
  </si>
  <si>
    <t xml:space="preserve">Newport Shores</t>
  </si>
  <si>
    <t xml:space="preserve">Newport Village</t>
  </si>
  <si>
    <t xml:space="preserve">Superior Heights</t>
  </si>
  <si>
    <t xml:space="preserve">West Newport</t>
  </si>
  <si>
    <t xml:space="preserve">Little Hollywood</t>
  </si>
  <si>
    <t xml:space="preserve">Visitacion Valley</t>
  </si>
  <si>
    <t xml:space="preserve">Cameo Woods</t>
  </si>
  <si>
    <t xml:space="preserve">Mid-City Heights</t>
  </si>
  <si>
    <t xml:space="preserve">Sentous</t>
  </si>
  <si>
    <t xml:space="preserve">West Adams</t>
  </si>
  <si>
    <t xml:space="preserve">Bayshore</t>
  </si>
  <si>
    <t xml:space="preserve">Top of the Hill</t>
  </si>
  <si>
    <t xml:space="preserve">Arlington Heights</t>
  </si>
  <si>
    <t xml:space="preserve">Country Club Park</t>
  </si>
  <si>
    <t xml:space="preserve">Lafayette Park Square</t>
  </si>
  <si>
    <t xml:space="preserve">Little Ethiopia</t>
  </si>
  <si>
    <t xml:space="preserve">Mid-Wilshire</t>
  </si>
  <si>
    <t xml:space="preserve">Oxford Square</t>
  </si>
  <si>
    <t xml:space="preserve">Victoria Park</t>
  </si>
  <si>
    <t xml:space="preserve">Sherman Oaks Neighborhood Council District</t>
  </si>
  <si>
    <t xml:space="preserve">Rockridge</t>
  </si>
  <si>
    <t xml:space="preserve">Upper Rockridge</t>
  </si>
  <si>
    <t xml:space="preserve">El Modena</t>
  </si>
  <si>
    <t xml:space="preserve">North El Modena</t>
  </si>
  <si>
    <t xml:space="preserve">Orange Park Acres</t>
  </si>
  <si>
    <t xml:space="preserve">Country Hills</t>
  </si>
  <si>
    <t xml:space="preserve">Downtown Brea</t>
  </si>
  <si>
    <t xml:space="preserve">Bel Air</t>
  </si>
  <si>
    <t xml:space="preserve">Beverly Glen</t>
  </si>
  <si>
    <t xml:space="preserve">Coronado Beaches</t>
  </si>
  <si>
    <t xml:space="preserve">Coronado Cays</t>
  </si>
  <si>
    <t xml:space="preserve">Coronado Ferry Landing</t>
  </si>
  <si>
    <t xml:space="preserve">Coronado Shores</t>
  </si>
  <si>
    <t xml:space="preserve">Crown Island</t>
  </si>
  <si>
    <t xml:space="preserve">Downtown Coronado</t>
  </si>
  <si>
    <t xml:space="preserve">Glorietta Bay</t>
  </si>
  <si>
    <t xml:space="preserve">Silver Strand</t>
  </si>
  <si>
    <t xml:space="preserve">Meadowfair</t>
  </si>
  <si>
    <t xml:space="preserve">Broadmoor Hills</t>
  </si>
  <si>
    <t xml:space="preserve">Cameo Cliffs</t>
  </si>
  <si>
    <t xml:space="preserve">Cameo Highlands</t>
  </si>
  <si>
    <t xml:space="preserve">Corona Highlands</t>
  </si>
  <si>
    <t xml:space="preserve">Corona del Mar</t>
  </si>
  <si>
    <t xml:space="preserve">Corona del Mar Village</t>
  </si>
  <si>
    <t xml:space="preserve">Harbor View Hills</t>
  </si>
  <si>
    <t xml:space="preserve">Harbor View Hills South</t>
  </si>
  <si>
    <t xml:space="preserve">Harbor Woods</t>
  </si>
  <si>
    <t xml:space="preserve">Irvine Terrace</t>
  </si>
  <si>
    <t xml:space="preserve">Jasmine Creek</t>
  </si>
  <si>
    <t xml:space="preserve">Pointe del Mar</t>
  </si>
  <si>
    <t xml:space="preserve">Sailhouse</t>
  </si>
  <si>
    <t xml:space="preserve">Sandcastle</t>
  </si>
  <si>
    <t xml:space="preserve">Shore Cliffs</t>
  </si>
  <si>
    <t xml:space="preserve">Spyglass Hill</t>
  </si>
  <si>
    <t xml:space="preserve">Spyglass Ridge</t>
  </si>
  <si>
    <t xml:space="preserve">The Terraces</t>
  </si>
  <si>
    <t xml:space="preserve">The View</t>
  </si>
  <si>
    <t xml:space="preserve">Alhambra Valley</t>
  </si>
  <si>
    <t xml:space="preserve">Virginia Hills</t>
  </si>
  <si>
    <t xml:space="preserve">Baird Park</t>
  </si>
  <si>
    <t xml:space="preserve">El Sereno</t>
  </si>
  <si>
    <t xml:space="preserve">Newton Park</t>
  </si>
  <si>
    <t xml:space="preserve">Omaha Heights</t>
  </si>
  <si>
    <t xml:space="preserve">Rose Hill</t>
  </si>
  <si>
    <t xml:space="preserve">University Hills</t>
  </si>
  <si>
    <t xml:space="preserve">65 Block</t>
  </si>
  <si>
    <t xml:space="preserve">66 Block</t>
  </si>
  <si>
    <t xml:space="preserve">67 Block</t>
  </si>
  <si>
    <t xml:space="preserve">68 Block</t>
  </si>
  <si>
    <t xml:space="preserve">El Encanto Heights</t>
  </si>
  <si>
    <t xml:space="preserve">Ellwood</t>
  </si>
  <si>
    <t xml:space="preserve">Arbor Hills</t>
  </si>
  <si>
    <t xml:space="preserve">Brighton Lane</t>
  </si>
  <si>
    <t xml:space="preserve">San Alicia</t>
  </si>
  <si>
    <t xml:space="preserve">Costa Verde</t>
  </si>
  <si>
    <t xml:space="preserve">Genesee Highlands</t>
  </si>
  <si>
    <t xml:space="preserve">Governor Park</t>
  </si>
  <si>
    <t xml:space="preserve">La Jolla Colony</t>
  </si>
  <si>
    <t xml:space="preserve">Pennant Village</t>
  </si>
  <si>
    <t xml:space="preserve">Rennaissance</t>
  </si>
  <si>
    <t xml:space="preserve">University City</t>
  </si>
  <si>
    <t xml:space="preserve">University Gardens</t>
  </si>
  <si>
    <t xml:space="preserve">University Square</t>
  </si>
  <si>
    <t xml:space="preserve">University Towne Center</t>
  </si>
  <si>
    <t xml:space="preserve">University Village</t>
  </si>
  <si>
    <t xml:space="preserve">Chantemar</t>
  </si>
  <si>
    <t xml:space="preserve">Crown Pointe</t>
  </si>
  <si>
    <t xml:space="preserve">Cypress Canyon</t>
  </si>
  <si>
    <t xml:space="preserve">Fairbrook</t>
  </si>
  <si>
    <t xml:space="preserve">Jerabek</t>
  </si>
  <si>
    <t xml:space="preserve">Miramar Ranch North</t>
  </si>
  <si>
    <t xml:space="preserve">Scripps Gateway</t>
  </si>
  <si>
    <t xml:space="preserve">Scripps Highlands</t>
  </si>
  <si>
    <t xml:space="preserve">Scripps Mesa</t>
  </si>
  <si>
    <t xml:space="preserve">Scripps Miramar Ranch</t>
  </si>
  <si>
    <t xml:space="preserve">Scripps Ranch</t>
  </si>
  <si>
    <t xml:space="preserve">Scripps Ranch Business Park</t>
  </si>
  <si>
    <t xml:space="preserve">Scripps Ranch Technology Park</t>
  </si>
  <si>
    <t xml:space="preserve">Whispering Ridge</t>
  </si>
  <si>
    <t xml:space="preserve">Castellammare</t>
  </si>
  <si>
    <t xml:space="preserve">Riviera</t>
  </si>
  <si>
    <t xml:space="preserve">Garnsey</t>
  </si>
  <si>
    <t xml:space="preserve">Valley Village Neighborhood Council District</t>
  </si>
  <si>
    <t xml:space="preserve">Inner Richmond</t>
  </si>
  <si>
    <t xml:space="preserve">Jordan Park</t>
  </si>
  <si>
    <t xml:space="preserve">Laurel Heights</t>
  </si>
  <si>
    <t xml:space="preserve">Presidio Heights</t>
  </si>
  <si>
    <t xml:space="preserve">Presidio Terrace</t>
  </si>
  <si>
    <t xml:space="preserve">Richmond District</t>
  </si>
  <si>
    <t xml:space="preserve">Grossmont</t>
  </si>
  <si>
    <t xml:space="preserve">La Mesa Colony</t>
  </si>
  <si>
    <t xml:space="preserve">Lake Murray</t>
  </si>
  <si>
    <t xml:space="preserve">Rasonia</t>
  </si>
  <si>
    <t xml:space="preserve">Rolando Knolls</t>
  </si>
  <si>
    <t xml:space="preserve">Severin Grossmont Hills</t>
  </si>
  <si>
    <t xml:space="preserve">Cagney Ranch Estates</t>
  </si>
  <si>
    <t xml:space="preserve">Granada Hills North Neighborhood Council District</t>
  </si>
  <si>
    <t xml:space="preserve">Granada Hills South Neighborhood Council District</t>
  </si>
  <si>
    <t xml:space="preserve">Knollwood Country Club Estates</t>
  </si>
  <si>
    <t xml:space="preserve">Northbrae</t>
  </si>
  <si>
    <t xml:space="preserve">Carlton Hills</t>
  </si>
  <si>
    <t xml:space="preserve">Carlton Oaks</t>
  </si>
  <si>
    <t xml:space="preserve">Santee Trolley Square</t>
  </si>
  <si>
    <t xml:space="preserve">Sky Ranch</t>
  </si>
  <si>
    <t xml:space="preserve">Bixby Knolls</t>
  </si>
  <si>
    <t xml:space="preserve">California Heights</t>
  </si>
  <si>
    <t xml:space="preserve">Fox Hills</t>
  </si>
  <si>
    <t xml:space="preserve">Sunkist Park</t>
  </si>
  <si>
    <t xml:space="preserve">Emerald Isle</t>
  </si>
  <si>
    <t xml:space="preserve">Glendale Civic Center</t>
  </si>
  <si>
    <t xml:space="preserve">Tarzana Neighborhood Council District</t>
  </si>
  <si>
    <t xml:space="preserve">Walnut Heights</t>
  </si>
  <si>
    <t xml:space="preserve">Buena Vista</t>
  </si>
  <si>
    <t xml:space="preserve">Fruitdale</t>
  </si>
  <si>
    <t xml:space="preserve">Gardner</t>
  </si>
  <si>
    <t xml:space="preserve">Rose Garden</t>
  </si>
  <si>
    <t xml:space="preserve">East Whittier</t>
  </si>
  <si>
    <t xml:space="preserve">Friendly Hills</t>
  </si>
  <si>
    <t xml:space="preserve">Eastmont</t>
  </si>
  <si>
    <t xml:space="preserve">Millsmont</t>
  </si>
  <si>
    <t xml:space="preserve">Seminary Park</t>
  </si>
  <si>
    <t xml:space="preserve">Ayers Ranch</t>
  </si>
  <si>
    <t xml:space="preserve">Canterbury Village</t>
  </si>
  <si>
    <t xml:space="preserve">Canyon Creek</t>
  </si>
  <si>
    <t xml:space="preserve">Clayton Valley Highlands</t>
  </si>
  <si>
    <t xml:space="preserve">Rose Glen</t>
  </si>
  <si>
    <t xml:space="preserve">Turtle Creek</t>
  </si>
  <si>
    <t xml:space="preserve">Vista Heights</t>
  </si>
  <si>
    <t xml:space="preserve">Walnut Country</t>
  </si>
  <si>
    <t xml:space="preserve">Bridgedale</t>
  </si>
  <si>
    <t xml:space="preserve">La Fresa</t>
  </si>
  <si>
    <t xml:space="preserve">Moneta</t>
  </si>
  <si>
    <t xml:space="preserve">Carey Ranch</t>
  </si>
  <si>
    <t xml:space="preserve">El Merrie Del</t>
  </si>
  <si>
    <t xml:space="preserve">Lake View Terrace</t>
  </si>
  <si>
    <t xml:space="preserve">Lopez/Kagel Canyons</t>
  </si>
  <si>
    <t xml:space="preserve">Rancho Cascades</t>
  </si>
  <si>
    <t xml:space="preserve">Shadow Glen Estates</t>
  </si>
  <si>
    <t xml:space="preserve">Sylmar Acres</t>
  </si>
  <si>
    <t xml:space="preserve">Sylmar Neighborhood Council District</t>
  </si>
  <si>
    <t xml:space="preserve">The Legends at Cascades</t>
  </si>
  <si>
    <t xml:space="preserve">Pacific Estates</t>
  </si>
  <si>
    <t xml:space="preserve">Pismo Marsh</t>
  </si>
  <si>
    <t xml:space="preserve">Pismo Oaks</t>
  </si>
  <si>
    <t xml:space="preserve">Sunset Palisades</t>
  </si>
  <si>
    <t xml:space="preserve">Toucan Terrace</t>
  </si>
  <si>
    <t xml:space="preserve">Camarillo Heights</t>
  </si>
  <si>
    <t xml:space="preserve">Las Posas Estates</t>
  </si>
  <si>
    <t xml:space="preserve">Spanish Hills</t>
  </si>
  <si>
    <t xml:space="preserve">Sterling Hills</t>
  </si>
  <si>
    <t xml:space="preserve">Rancho San Rafael</t>
  </si>
  <si>
    <t xml:space="preserve">Sparr Heights</t>
  </si>
  <si>
    <t xml:space="preserve">Greater Toluca Lake Neighborhood Council District</t>
  </si>
  <si>
    <t xml:space="preserve">Toluca Estates</t>
  </si>
  <si>
    <t xml:space="preserve">Toluca Lake</t>
  </si>
  <si>
    <t xml:space="preserve">Bay Park</t>
  </si>
  <si>
    <t xml:space="preserve">Loma Palisades</t>
  </si>
  <si>
    <t xml:space="preserve">Loma Riviera</t>
  </si>
  <si>
    <t xml:space="preserve">Midway District</t>
  </si>
  <si>
    <t xml:space="preserve">Morena</t>
  </si>
  <si>
    <t xml:space="preserve">Overlook Heights</t>
  </si>
  <si>
    <t xml:space="preserve">Silver Terrace</t>
  </si>
  <si>
    <t xml:space="preserve">Strata Plaza</t>
  </si>
  <si>
    <t xml:space="preserve">Tecolote Gateway</t>
  </si>
  <si>
    <t xml:space="preserve">Western Hills</t>
  </si>
  <si>
    <t xml:space="preserve">Camino Ruiz Square</t>
  </si>
  <si>
    <t xml:space="preserve">Leisure Village</t>
  </si>
  <si>
    <t xml:space="preserve">Mission Oaks</t>
  </si>
  <si>
    <t xml:space="preserve">Hancock Park</t>
  </si>
  <si>
    <t xml:space="preserve">Larchmont</t>
  </si>
  <si>
    <t xml:space="preserve">Little Bangladesh</t>
  </si>
  <si>
    <t xml:space="preserve">Wilton Historic District</t>
  </si>
  <si>
    <t xml:space="preserve">Windsor Square</t>
  </si>
  <si>
    <t xml:space="preserve">Acacia at The Preserve</t>
  </si>
  <si>
    <t xml:space="preserve">Agave at The Preserve</t>
  </si>
  <si>
    <t xml:space="preserve">Blue Sage at The Preserve</t>
  </si>
  <si>
    <t xml:space="preserve">Calavera Hills</t>
  </si>
  <si>
    <t xml:space="preserve">Capistrano</t>
  </si>
  <si>
    <t xml:space="preserve">Cypress at The Preserve</t>
  </si>
  <si>
    <t xml:space="preserve">Mystic Point</t>
  </si>
  <si>
    <t xml:space="preserve">Rancho Carlsbad</t>
  </si>
  <si>
    <t xml:space="preserve">Ravinia</t>
  </si>
  <si>
    <t xml:space="preserve">Robertson Ranch</t>
  </si>
  <si>
    <t xml:space="preserve">Shefield</t>
  </si>
  <si>
    <t xml:space="preserve">Summerhouse</t>
  </si>
  <si>
    <t xml:space="preserve">Sunny Creek</t>
  </si>
  <si>
    <t xml:space="preserve">Tamarack Point</t>
  </si>
  <si>
    <t xml:space="preserve">The Cliffs at Calavera Hills</t>
  </si>
  <si>
    <t xml:space="preserve">The Foothills</t>
  </si>
  <si>
    <t xml:space="preserve">The Knolls of Calavera Hills</t>
  </si>
  <si>
    <t xml:space="preserve">The Trails at Calavera Hills</t>
  </si>
  <si>
    <t xml:space="preserve">Beach Colony</t>
  </si>
  <si>
    <t xml:space="preserve">Del Mar Bluffs</t>
  </si>
  <si>
    <t xml:space="preserve">Del Mar Estates</t>
  </si>
  <si>
    <t xml:space="preserve">Del Mar Heights</t>
  </si>
  <si>
    <t xml:space="preserve">Del Mar Woods</t>
  </si>
  <si>
    <t xml:space="preserve">Flower Hill</t>
  </si>
  <si>
    <t xml:space="preserve">Rancho Del Mar</t>
  </si>
  <si>
    <t xml:space="preserve">Torrey Pines Terrace</t>
  </si>
  <si>
    <t xml:space="preserve">Via de la Valle</t>
  </si>
  <si>
    <t xml:space="preserve">La Rambla</t>
  </si>
  <si>
    <t xml:space="preserve">Piazza Miramare</t>
  </si>
  <si>
    <t xml:space="preserve">San Pedro Arts and Cultural District</t>
  </si>
  <si>
    <t xml:space="preserve">Creek District</t>
  </si>
  <si>
    <t xml:space="preserve">Discovery Hills</t>
  </si>
  <si>
    <t xml:space="preserve">North City</t>
  </si>
  <si>
    <t xml:space="preserve">Old Creek Ranch</t>
  </si>
  <si>
    <t xml:space="preserve">Quail Hill</t>
  </si>
  <si>
    <t xml:space="preserve">Rancho Tesoro</t>
  </si>
  <si>
    <t xml:space="preserve">San Elijo Hills</t>
  </si>
  <si>
    <t xml:space="preserve">Alta Vista</t>
  </si>
  <si>
    <t xml:space="preserve">Bay Terraces</t>
  </si>
  <si>
    <t xml:space="preserve">Black Arts &amp; Culture District</t>
  </si>
  <si>
    <t xml:space="preserve">Broadway Heights</t>
  </si>
  <si>
    <t xml:space="preserve">Emerald Hills</t>
  </si>
  <si>
    <t xml:space="preserve">Encanto</t>
  </si>
  <si>
    <t xml:space="preserve">Jamacha</t>
  </si>
  <si>
    <t xml:space="preserve">North Bay Terraces</t>
  </si>
  <si>
    <t xml:space="preserve">O'Farrell</t>
  </si>
  <si>
    <t xml:space="preserve">South Chollas Valley</t>
  </si>
  <si>
    <t xml:space="preserve">South Encanto</t>
  </si>
  <si>
    <t xml:space="preserve">Valencia Park</t>
  </si>
  <si>
    <t xml:space="preserve">Miracle Mile</t>
  </si>
  <si>
    <t xml:space="preserve">Park La Brea</t>
  </si>
  <si>
    <t xml:space="preserve">Beverly Grove</t>
  </si>
  <si>
    <t xml:space="preserve">Carthay</t>
  </si>
  <si>
    <t xml:space="preserve">Glencrest Hills</t>
  </si>
  <si>
    <t xml:space="preserve">Hagop Terpanjian Plaza</t>
  </si>
  <si>
    <t xml:space="preserve">Harmon Tract</t>
  </si>
  <si>
    <t xml:space="preserve">Poets Corner</t>
  </si>
  <si>
    <t xml:space="preserve">San Pablo Park</t>
  </si>
  <si>
    <t xml:space="preserve">Westbrae</t>
  </si>
  <si>
    <t xml:space="preserve">North Island</t>
  </si>
  <si>
    <t xml:space="preserve">Thornton Park</t>
  </si>
  <si>
    <t xml:space="preserve">Azalea Park</t>
  </si>
  <si>
    <t xml:space="preserve">Bayridge</t>
  </si>
  <si>
    <t xml:space="preserve">Castle</t>
  </si>
  <si>
    <t xml:space="preserve">Chollas Creek</t>
  </si>
  <si>
    <t xml:space="preserve">City Heights</t>
  </si>
  <si>
    <t xml:space="preserve">East San Diego</t>
  </si>
  <si>
    <t xml:space="preserve">Fairmount Park</t>
  </si>
  <si>
    <t xml:space="preserve">Fox Canyon</t>
  </si>
  <si>
    <t xml:space="preserve">Hollywood Park</t>
  </si>
  <si>
    <t xml:space="preserve">Islenair</t>
  </si>
  <si>
    <t xml:space="preserve">Somali Town</t>
  </si>
  <si>
    <t xml:space="preserve">Swan Canyon</t>
  </si>
  <si>
    <t xml:space="preserve">Teralta</t>
  </si>
  <si>
    <t xml:space="preserve">Las Flores Villas</t>
  </si>
  <si>
    <t xml:space="preserve">North Ranch Country Club Estates</t>
  </si>
  <si>
    <t xml:space="preserve">Oakbrook Townhomes</t>
  </si>
  <si>
    <t xml:space="preserve">Renaissance</t>
  </si>
  <si>
    <t xml:space="preserve">The Woodlands</t>
  </si>
  <si>
    <t xml:space="preserve">Westlake Hills</t>
  </si>
  <si>
    <t xml:space="preserve">Brookside</t>
  </si>
  <si>
    <t xml:space="preserve">Calavo Gardens</t>
  </si>
  <si>
    <t xml:space="preserve">Howard Gilmore Terrace</t>
  </si>
  <si>
    <t xml:space="preserve">La Mesa Highlands</t>
  </si>
  <si>
    <t xml:space="preserve">Mount Nebo</t>
  </si>
  <si>
    <t xml:space="preserve">Vista La Mesa</t>
  </si>
  <si>
    <t xml:space="preserve">Aldea at Porter Ranch</t>
  </si>
  <si>
    <t xml:space="preserve">Highlands</t>
  </si>
  <si>
    <t xml:space="preserve">Hillcrest at Porter Ranch</t>
  </si>
  <si>
    <t xml:space="preserve">Porter Ranch Neighborhood Council District</t>
  </si>
  <si>
    <t xml:space="preserve">Tesoro at Porter Ranch</t>
  </si>
  <si>
    <t xml:space="preserve">The Canyons at Porter Ranch</t>
  </si>
  <si>
    <t xml:space="preserve">The Heights at Porter Ranch</t>
  </si>
  <si>
    <t xml:space="preserve">The Vineyards Apartments at Porter Ranch</t>
  </si>
  <si>
    <t xml:space="preserve">Tuscany at Porter Ranch</t>
  </si>
  <si>
    <t xml:space="preserve">Ventana at Porter Ranch</t>
  </si>
  <si>
    <t xml:space="preserve">Westcliffe at Porter Ranch</t>
  </si>
  <si>
    <t xml:space="preserve">Elmwood</t>
  </si>
  <si>
    <t xml:space="preserve">Albany Hill</t>
  </si>
  <si>
    <t xml:space="preserve">Alpine Peaks</t>
  </si>
  <si>
    <t xml:space="preserve">Cathedral Forest</t>
  </si>
  <si>
    <t xml:space="preserve">Comstock Acres</t>
  </si>
  <si>
    <t xml:space="preserve">Dollar Point</t>
  </si>
  <si>
    <t xml:space="preserve">Heritage Plaza</t>
  </si>
  <si>
    <t xml:space="preserve">Pineland</t>
  </si>
  <si>
    <t xml:space="preserve">Tahoe Park</t>
  </si>
  <si>
    <t xml:space="preserve">Tahoe Sierra Estates</t>
  </si>
  <si>
    <t xml:space="preserve">Tahoe Tavern Heights</t>
  </si>
  <si>
    <t xml:space="preserve">Tahoe Woods</t>
  </si>
  <si>
    <t xml:space="preserve">Talmont Estates</t>
  </si>
  <si>
    <t xml:space="preserve">Twin Peaks Estates</t>
  </si>
  <si>
    <t xml:space="preserve">Ward Creek Subdivision</t>
  </si>
  <si>
    <t xml:space="preserve">Civita</t>
  </si>
  <si>
    <t xml:space="preserve">Election Plaza</t>
  </si>
  <si>
    <t xml:space="preserve">Serra Mesa</t>
  </si>
  <si>
    <t xml:space="preserve">Spectrum Center</t>
  </si>
  <si>
    <t xml:space="preserve">StoneCrest</t>
  </si>
  <si>
    <t xml:space="preserve">Bostonia</t>
  </si>
  <si>
    <t xml:space="preserve">Johnstown</t>
  </si>
  <si>
    <t xml:space="preserve">La Cresta</t>
  </si>
  <si>
    <t xml:space="preserve">Suncrest</t>
  </si>
  <si>
    <t xml:space="preserve">Funk Zone</t>
  </si>
  <si>
    <t xml:space="preserve">Waterfront</t>
  </si>
  <si>
    <t xml:space="preserve">Cow Hollow</t>
  </si>
  <si>
    <t xml:space="preserve">Marina District</t>
  </si>
  <si>
    <t xml:space="preserve">Baumberg</t>
  </si>
  <si>
    <t xml:space="preserve">Russell City</t>
  </si>
  <si>
    <t xml:space="preserve">Chollas View</t>
  </si>
  <si>
    <t xml:space="preserve">Golden Hill</t>
  </si>
  <si>
    <t xml:space="preserve">Grant Hill</t>
  </si>
  <si>
    <t xml:space="preserve">Lincoln Park</t>
  </si>
  <si>
    <t xml:space="preserve">Mount Hope</t>
  </si>
  <si>
    <t xml:space="preserve">Sherman Heights</t>
  </si>
  <si>
    <t xml:space="preserve">South Park</t>
  </si>
  <si>
    <t xml:space="preserve">Webster</t>
  </si>
  <si>
    <t xml:space="preserve">Berry Gardens</t>
  </si>
  <si>
    <t xml:space="preserve">Chesterfield Square</t>
  </si>
  <si>
    <t xml:space="preserve">Gramercy Park</t>
  </si>
  <si>
    <t xml:space="preserve">Harvard Park</t>
  </si>
  <si>
    <t xml:space="preserve">Manchester Square</t>
  </si>
  <si>
    <t xml:space="preserve">Van Ness</t>
  </si>
  <si>
    <t xml:space="preserve">Westmont</t>
  </si>
  <si>
    <t xml:space="preserve">Rosemead Trailer Park</t>
  </si>
  <si>
    <t xml:space="preserve">South San Gabriel</t>
  </si>
  <si>
    <t xml:space="preserve">Granite Hills</t>
  </si>
  <si>
    <t xml:space="preserve">Jamacha Junction</t>
  </si>
  <si>
    <t xml:space="preserve">Lakeside Park</t>
  </si>
  <si>
    <t xml:space="preserve">Woodland Park Estates</t>
  </si>
  <si>
    <t xml:space="preserve">Lincoln Heights</t>
  </si>
  <si>
    <t xml:space="preserve">Montecito Heights</t>
  </si>
  <si>
    <t xml:space="preserve">North Hollywood Neighborhood Council District</t>
  </si>
  <si>
    <t xml:space="preserve">Altezza</t>
  </si>
  <si>
    <t xml:space="preserve">Campobello</t>
  </si>
  <si>
    <t xml:space="preserve">Crystal Cove</t>
  </si>
  <si>
    <t xml:space="preserve">Los Trancos</t>
  </si>
  <si>
    <t xml:space="preserve">Monsterrat</t>
  </si>
  <si>
    <t xml:space="preserve">Newport Coast</t>
  </si>
  <si>
    <t xml:space="preserve">Newport Ridge Apartments</t>
  </si>
  <si>
    <t xml:space="preserve">Newport Ridge Estates</t>
  </si>
  <si>
    <t xml:space="preserve">Newport Ridge North</t>
  </si>
  <si>
    <t xml:space="preserve">Newport Ridge Summit</t>
  </si>
  <si>
    <t xml:space="preserve">Newport Ridge Villas</t>
  </si>
  <si>
    <t xml:space="preserve">Ocean Heights</t>
  </si>
  <si>
    <t xml:space="preserve">Pacific Ridge</t>
  </si>
  <si>
    <t xml:space="preserve">Pelican Crest</t>
  </si>
  <si>
    <t xml:space="preserve">Pelican Heights</t>
  </si>
  <si>
    <t xml:space="preserve">Pelican Hill</t>
  </si>
  <si>
    <t xml:space="preserve">Pelican Point</t>
  </si>
  <si>
    <t xml:space="preserve">Pelican Ridge</t>
  </si>
  <si>
    <t xml:space="preserve">Saint Laurent</t>
  </si>
  <si>
    <t xml:space="preserve">Saint Michael</t>
  </si>
  <si>
    <t xml:space="preserve">Sancerre</t>
  </si>
  <si>
    <t xml:space="preserve">Santa Lucia</t>
  </si>
  <si>
    <t xml:space="preserve">Tesoro</t>
  </si>
  <si>
    <t xml:space="preserve">The Pointe</t>
  </si>
  <si>
    <t xml:space="preserve">Trovare</t>
  </si>
  <si>
    <t xml:space="preserve">Ziani</t>
  </si>
  <si>
    <t xml:space="preserve">Hoover-Foster</t>
  </si>
  <si>
    <t xml:space="preserve">Idora Park</t>
  </si>
  <si>
    <t xml:space="preserve">Koreatown Northgate</t>
  </si>
  <si>
    <t xml:space="preserve">Mosswood</t>
  </si>
  <si>
    <t xml:space="preserve">North Oakland</t>
  </si>
  <si>
    <t xml:space="preserve">Pill Hill</t>
  </si>
  <si>
    <t xml:space="preserve">Temescal</t>
  </si>
  <si>
    <t xml:space="preserve">Bay View Community</t>
  </si>
  <si>
    <t xml:space="preserve">El Camino Real</t>
  </si>
  <si>
    <t xml:space="preserve">East Side</t>
  </si>
  <si>
    <t xml:space="preserve">Baldwin Hills</t>
  </si>
  <si>
    <t xml:space="preserve">Crenshaw</t>
  </si>
  <si>
    <t xml:space="preserve">Leimert Park</t>
  </si>
  <si>
    <t xml:space="preserve">Leimert Park Village</t>
  </si>
  <si>
    <t xml:space="preserve">View Park-Windsor Hills</t>
  </si>
  <si>
    <t xml:space="preserve">Colache Town</t>
  </si>
  <si>
    <t xml:space="preserve">Los Barrancos de Aptos</t>
  </si>
  <si>
    <t xml:space="preserve">Royal Oaks</t>
  </si>
  <si>
    <t xml:space="preserve">Upper Highlands</t>
  </si>
  <si>
    <t xml:space="preserve">Calabria</t>
  </si>
  <si>
    <t xml:space="preserve">Canyon Villas</t>
  </si>
  <si>
    <t xml:space="preserve">Islands</t>
  </si>
  <si>
    <t xml:space="preserve">Villas South</t>
  </si>
  <si>
    <t xml:space="preserve">Bedford Square</t>
  </si>
  <si>
    <t xml:space="preserve">Whisman Station</t>
  </si>
  <si>
    <t xml:space="preserve">Curtis Park</t>
  </si>
  <si>
    <t xml:space="preserve">Land Park</t>
  </si>
  <si>
    <t xml:space="preserve">Land Park Terrace</t>
  </si>
  <si>
    <t xml:space="preserve">Richmond Grove</t>
  </si>
  <si>
    <t xml:space="preserve">SCC</t>
  </si>
  <si>
    <t xml:space="preserve">Sacramento City College</t>
  </si>
  <si>
    <t xml:space="preserve">Southside Park</t>
  </si>
  <si>
    <t xml:space="preserve">Swanston Palms</t>
  </si>
  <si>
    <t xml:space="preserve">Upper Land Park</t>
  </si>
  <si>
    <t xml:space="preserve">Browning Station</t>
  </si>
  <si>
    <t xml:space="preserve">Tustin Ranch</t>
  </si>
  <si>
    <t xml:space="preserve">Vidorra</t>
  </si>
  <si>
    <t xml:space="preserve">Lower Nob Hill</t>
  </si>
  <si>
    <t xml:space="preserve">Nob Hill</t>
  </si>
  <si>
    <t xml:space="preserve">Polk Gulch</t>
  </si>
  <si>
    <t xml:space="preserve">Reseda Ranch</t>
  </si>
  <si>
    <t xml:space="preserve">Lincoln/Glassell</t>
  </si>
  <si>
    <t xml:space="preserve">Olive</t>
  </si>
  <si>
    <t xml:space="preserve">Golden Gate</t>
  </si>
  <si>
    <t xml:space="preserve">Longfellow</t>
  </si>
  <si>
    <t xml:space="preserve">Boal</t>
  </si>
  <si>
    <t xml:space="preserve">Castle Park</t>
  </si>
  <si>
    <t xml:space="preserve">Greg Rogers</t>
  </si>
  <si>
    <t xml:space="preserve">Harbor Side</t>
  </si>
  <si>
    <t xml:space="preserve">Loma Verde</t>
  </si>
  <si>
    <t xml:space="preserve">Otay</t>
  </si>
  <si>
    <t xml:space="preserve">Sunbow</t>
  </si>
  <si>
    <t xml:space="preserve">Woodlawn Park</t>
  </si>
  <si>
    <t xml:space="preserve">Cajon Heights</t>
  </si>
  <si>
    <t xml:space="preserve">Fletcher Hills</t>
  </si>
  <si>
    <t xml:space="preserve">Little Baghdad</t>
  </si>
  <si>
    <t xml:space="preserve">Lake Balboa</t>
  </si>
  <si>
    <t xml:space="preserve">Lake Balboa Neighborhood Council District</t>
  </si>
  <si>
    <t xml:space="preserve">Vanowen Place</t>
  </si>
  <si>
    <t xml:space="preserve">Arleta</t>
  </si>
  <si>
    <t xml:space="preserve">Arleta Neighborhood Council District</t>
  </si>
  <si>
    <t xml:space="preserve">Pacoima Neighborhood Council</t>
  </si>
  <si>
    <t xml:space="preserve">San Fernando Gardens</t>
  </si>
  <si>
    <t xml:space="preserve">Alamo Square</t>
  </si>
  <si>
    <t xml:space="preserve">Cole Valley</t>
  </si>
  <si>
    <t xml:space="preserve">Haight-Ashbury</t>
  </si>
  <si>
    <t xml:space="preserve">Lower Haight</t>
  </si>
  <si>
    <t xml:space="preserve">North of Panhandle</t>
  </si>
  <si>
    <t xml:space="preserve">Panhandle</t>
  </si>
  <si>
    <t xml:space="preserve">Dolanco Junction</t>
  </si>
  <si>
    <t xml:space="preserve">Harbor Gateway</t>
  </si>
  <si>
    <t xml:space="preserve">Old Torrance</t>
  </si>
  <si>
    <t xml:space="preserve">Furniture Row</t>
  </si>
  <si>
    <t xml:space="preserve">Nordahl</t>
  </si>
  <si>
    <t xml:space="preserve">Rancho Santalina</t>
  </si>
  <si>
    <t xml:space="preserve">Richland</t>
  </si>
  <si>
    <t xml:space="preserve">Richmar</t>
  </si>
  <si>
    <t xml:space="preserve">Santa Fe Hills</t>
  </si>
  <si>
    <t xml:space="preserve">Twin Oaks</t>
  </si>
  <si>
    <t xml:space="preserve">Villa Vista Estates Mobil Home Park</t>
  </si>
  <si>
    <t xml:space="preserve">Remington Place</t>
  </si>
  <si>
    <t xml:space="preserve">Highlands Garden</t>
  </si>
  <si>
    <t xml:space="preserve">Rainbow Ridge</t>
  </si>
  <si>
    <t xml:space="preserve">Shady Canyon</t>
  </si>
  <si>
    <t xml:space="preserve">Skyview</t>
  </si>
  <si>
    <t xml:space="preserve">The Highlands</t>
  </si>
  <si>
    <t xml:space="preserve">Turtle Ridge</t>
  </si>
  <si>
    <t xml:space="preserve">Turtle Rock</t>
  </si>
  <si>
    <t xml:space="preserve">Turtle Rock Crest</t>
  </si>
  <si>
    <t xml:space="preserve">Turtle Rock Ridge Garden</t>
  </si>
  <si>
    <t xml:space="preserve">Turtle Rock Summit</t>
  </si>
  <si>
    <t xml:space="preserve">Central Berkeley</t>
  </si>
  <si>
    <t xml:space="preserve">Lorin</t>
  </si>
  <si>
    <t xml:space="preserve">South Berkeley</t>
  </si>
  <si>
    <t xml:space="preserve">Creekbridge</t>
  </si>
  <si>
    <t xml:space="preserve">Gabilan Creek</t>
  </si>
  <si>
    <t xml:space="preserve">Harden Ranch</t>
  </si>
  <si>
    <t xml:space="preserve">Natividad</t>
  </si>
  <si>
    <t xml:space="preserve">North Salinas</t>
  </si>
  <si>
    <t xml:space="preserve">Santa Rita</t>
  </si>
  <si>
    <t xml:space="preserve">Beverlywood</t>
  </si>
  <si>
    <t xml:space="preserve">Pico-Robertson</t>
  </si>
  <si>
    <t xml:space="preserve">South Carthay</t>
  </si>
  <si>
    <t xml:space="preserve">Anza Vista</t>
  </si>
  <si>
    <t xml:space="preserve">Fillmore District</t>
  </si>
  <si>
    <t xml:space="preserve">Lower Pacific Heights</t>
  </si>
  <si>
    <t xml:space="preserve">Pacific Heights</t>
  </si>
  <si>
    <t xml:space="preserve">Western Addition</t>
  </si>
  <si>
    <t xml:space="preserve">Concordia East</t>
  </si>
  <si>
    <t xml:space="preserve">Concordia West</t>
  </si>
  <si>
    <t xml:space="preserve">Rancho San Joaquin</t>
  </si>
  <si>
    <t xml:space="preserve">San Joaquin Marsh</t>
  </si>
  <si>
    <t xml:space="preserve">Turtle Rock Pointe</t>
  </si>
  <si>
    <t xml:space="preserve">Turtle Rock Vista</t>
  </si>
  <si>
    <t xml:space="preserve">University Park</t>
  </si>
  <si>
    <t xml:space="preserve">University Town Center</t>
  </si>
  <si>
    <t xml:space="preserve">Edna Park</t>
  </si>
  <si>
    <t xml:space="preserve">Mar-Les</t>
  </si>
  <si>
    <t xml:space="preserve">Riverglen</t>
  </si>
  <si>
    <t xml:space="preserve">Santa Ana Triangle</t>
  </si>
  <si>
    <t xml:space="preserve">Cardiff Cove</t>
  </si>
  <si>
    <t xml:space="preserve">Cardiff Highlands</t>
  </si>
  <si>
    <t xml:space="preserve">Cardiff-by-the-Sea</t>
  </si>
  <si>
    <t xml:space="preserve">Composer District</t>
  </si>
  <si>
    <t xml:space="preserve">San Elijo</t>
  </si>
  <si>
    <t xml:space="preserve">Chula Vista Bayfront</t>
  </si>
  <si>
    <t xml:space="preserve">Halecrest</t>
  </si>
  <si>
    <t xml:space="preserve">Hilltop</t>
  </si>
  <si>
    <t xml:space="preserve">Hilltop Vista</t>
  </si>
  <si>
    <t xml:space="preserve">Lynwood Hills</t>
  </si>
  <si>
    <t xml:space="preserve">Rancho del Rey</t>
  </si>
  <si>
    <t xml:space="preserve">Rosebank</t>
  </si>
  <si>
    <t xml:space="preserve">Sunny Vista</t>
  </si>
  <si>
    <t xml:space="preserve">Telegraph Canyon</t>
  </si>
  <si>
    <t xml:space="preserve">Terra Nova</t>
  </si>
  <si>
    <t xml:space="preserve">Third Avenue Village</t>
  </si>
  <si>
    <t xml:space="preserve">Adams-Normandie</t>
  </si>
  <si>
    <t xml:space="preserve">Exposition Park</t>
  </si>
  <si>
    <t xml:space="preserve">Jefferson Park</t>
  </si>
  <si>
    <t xml:space="preserve">Winnetka Neighborhood Council District</t>
  </si>
  <si>
    <t xml:space="preserve">Easter Hill Village</t>
  </si>
  <si>
    <t xml:space="preserve">Marina Bay</t>
  </si>
  <si>
    <t xml:space="preserve">Richmond Annex</t>
  </si>
  <si>
    <t xml:space="preserve">Cedros Ave Design District</t>
  </si>
  <si>
    <t xml:space="preserve">Del Mar Downs</t>
  </si>
  <si>
    <t xml:space="preserve">Eden Gardens</t>
  </si>
  <si>
    <t xml:space="preserve">Lomas Santa Fe</t>
  </si>
  <si>
    <t xml:space="preserve">Solana Beach Bluffs</t>
  </si>
  <si>
    <t xml:space="preserve">Solana Palisades</t>
  </si>
  <si>
    <t xml:space="preserve">Triple Crown Del Mar</t>
  </si>
  <si>
    <t xml:space="preserve">North Hills East</t>
  </si>
  <si>
    <t xml:space="preserve">North Hills East Neighborhood Council District</t>
  </si>
  <si>
    <t xml:space="preserve">North Hills West Neighborhood Council District</t>
  </si>
  <si>
    <t xml:space="preserve">Oak Pointe</t>
  </si>
  <si>
    <t xml:space="preserve">Bayview District</t>
  </si>
  <si>
    <t xml:space="preserve">Hunters Point</t>
  </si>
  <si>
    <t xml:space="preserve">Entrada North</t>
  </si>
  <si>
    <t xml:space="preserve">Mission Village</t>
  </si>
  <si>
    <t xml:space="preserve">The Bungalows</t>
  </si>
  <si>
    <t xml:space="preserve">Monte Fiore</t>
  </si>
  <si>
    <t xml:space="preserve">Skypark</t>
  </si>
  <si>
    <t xml:space="preserve">The Vineyards</t>
  </si>
  <si>
    <t xml:space="preserve">Whispering Pines</t>
  </si>
  <si>
    <t xml:space="preserve">Culver City Arts District</t>
  </si>
  <si>
    <t xml:space="preserve">Downtown Culver City</t>
  </si>
  <si>
    <t xml:space="preserve">Hayden Tract</t>
  </si>
  <si>
    <t xml:space="preserve">Rowland</t>
  </si>
  <si>
    <t xml:space="preserve">Holmby Hills</t>
  </si>
  <si>
    <t xml:space="preserve">Persian Square</t>
  </si>
  <si>
    <t xml:space="preserve">Tehrangeles</t>
  </si>
  <si>
    <t xml:space="preserve">Westwood Village</t>
  </si>
  <si>
    <t xml:space="preserve">Fruitbowl</t>
  </si>
  <si>
    <t xml:space="preserve">Kelly Glen Estates</t>
  </si>
  <si>
    <t xml:space="preserve">Limeridge</t>
  </si>
  <si>
    <t xml:space="preserve">Peppertree</t>
  </si>
  <si>
    <t xml:space="preserve">The Palms</t>
  </si>
  <si>
    <t xml:space="preserve">Ygnacio Hills</t>
  </si>
  <si>
    <t xml:space="preserve">Ygnacio Wood</t>
  </si>
  <si>
    <t xml:space="preserve">Ygnacio Woods</t>
  </si>
  <si>
    <t xml:space="preserve">East La Mirada</t>
  </si>
  <si>
    <t xml:space="preserve">South Whittier</t>
  </si>
  <si>
    <t xml:space="preserve">Breeze Hill</t>
  </si>
  <si>
    <t xml:space="preserve">Melrose Village</t>
  </si>
  <si>
    <t xml:space="preserve">Shadowridge</t>
  </si>
  <si>
    <t xml:space="preserve">Soltaire</t>
  </si>
  <si>
    <t xml:space="preserve">Vista Business Park</t>
  </si>
  <si>
    <t xml:space="preserve">Sawtelle</t>
  </si>
  <si>
    <t xml:space="preserve">Sawtelle Japantown</t>
  </si>
  <si>
    <t xml:space="preserve">West Los Angeles</t>
  </si>
  <si>
    <t xml:space="preserve">Aero Ridge</t>
  </si>
  <si>
    <t xml:space="preserve">Canyon View</t>
  </si>
  <si>
    <t xml:space="preserve">Murphy Canyon Heights</t>
  </si>
  <si>
    <t xml:space="preserve">Orleck Heights</t>
  </si>
  <si>
    <t xml:space="preserve">Santo Terrace</t>
  </si>
  <si>
    <t xml:space="preserve">Summerton Hills</t>
  </si>
  <si>
    <t xml:space="preserve">Tierrasanta</t>
  </si>
  <si>
    <t xml:space="preserve">Tierrasanta Norte</t>
  </si>
  <si>
    <t xml:space="preserve">Tierrasanta Ridge</t>
  </si>
  <si>
    <t xml:space="preserve">Tierrasanta Town Center</t>
  </si>
  <si>
    <t xml:space="preserve">Villa Antigua</t>
  </si>
  <si>
    <t xml:space="preserve">Villa Barbados</t>
  </si>
  <si>
    <t xml:space="preserve">Villa Dominique</t>
  </si>
  <si>
    <t xml:space="preserve">Villa Granada</t>
  </si>
  <si>
    <t xml:space="preserve">Villa Majorca</t>
  </si>
  <si>
    <t xml:space="preserve">Villa Martinique</t>
  </si>
  <si>
    <t xml:space="preserve">Villa Monserate</t>
  </si>
  <si>
    <t xml:space="preserve">Villa Monterey</t>
  </si>
  <si>
    <t xml:space="preserve">Villa Portofino</t>
  </si>
  <si>
    <t xml:space="preserve">Villa Trinidad</t>
  </si>
  <si>
    <t xml:space="preserve">Villa Vista</t>
  </si>
  <si>
    <t xml:space="preserve">Felicita</t>
  </si>
  <si>
    <t xml:space="preserve">Kit Carson</t>
  </si>
  <si>
    <t xml:space="preserve">Los Arboles</t>
  </si>
  <si>
    <t xml:space="preserve">Mission Park</t>
  </si>
  <si>
    <t xml:space="preserve">Old Escondido</t>
  </si>
  <si>
    <t xml:space="preserve">Madison Heights</t>
  </si>
  <si>
    <t xml:space="preserve">Oak Knoll</t>
  </si>
  <si>
    <t xml:space="preserve">Bayview</t>
  </si>
  <si>
    <t xml:space="preserve">Central</t>
  </si>
  <si>
    <t xml:space="preserve">Oneonta</t>
  </si>
  <si>
    <t xml:space="preserve">Seacoast</t>
  </si>
  <si>
    <t xml:space="preserve">Seaside Point</t>
  </si>
  <si>
    <t xml:space="preserve">South Seacoast</t>
  </si>
  <si>
    <t xml:space="preserve">Dresden Palms</t>
  </si>
  <si>
    <t xml:space="preserve">West Anaheim</t>
  </si>
  <si>
    <t xml:space="preserve">Centre Pointe</t>
  </si>
  <si>
    <t xml:space="preserve">Penny Lane</t>
  </si>
  <si>
    <t xml:space="preserve">Wisteria</t>
  </si>
  <si>
    <t xml:space="preserve">East Sacramento</t>
  </si>
  <si>
    <t xml:space="preserve">Elmhurst</t>
  </si>
  <si>
    <t xml:space="preserve">McKinley Village</t>
  </si>
  <si>
    <t xml:space="preserve">River Park</t>
  </si>
  <si>
    <t xml:space="preserve">5th Street Plaza</t>
  </si>
  <si>
    <t xml:space="preserve">Mission Bay</t>
  </si>
  <si>
    <t xml:space="preserve">Pier 70</t>
  </si>
  <si>
    <t xml:space="preserve">Northridge East Neighborhood Council District</t>
  </si>
  <si>
    <t xml:space="preserve">Northridge South Neighborhood Council District</t>
  </si>
  <si>
    <t xml:space="preserve">Sherwood Forest</t>
  </si>
  <si>
    <t xml:space="preserve">Vista del Mar</t>
  </si>
  <si>
    <t xml:space="preserve">Willowville</t>
  </si>
  <si>
    <t xml:space="preserve">Bay Farm Island</t>
  </si>
  <si>
    <t xml:space="preserve">Centre Court</t>
  </si>
  <si>
    <t xml:space="preserve">Civic Center</t>
  </si>
  <si>
    <t xml:space="preserve">McEntee Plaza</t>
  </si>
  <si>
    <t xml:space="preserve">Washington</t>
  </si>
  <si>
    <t xml:space="preserve">Woz Way Plaza</t>
  </si>
  <si>
    <t xml:space="preserve">Glenridge</t>
  </si>
  <si>
    <t xml:space="preserve">Rubicon Properties</t>
  </si>
  <si>
    <t xml:space="preserve">Rubicon South</t>
  </si>
  <si>
    <t xml:space="preserve">Tahoe Hills</t>
  </si>
  <si>
    <t xml:space="preserve">Vermont Knolls</t>
  </si>
  <si>
    <t xml:space="preserve">Vermont Vista</t>
  </si>
  <si>
    <t xml:space="preserve">Vermont-Slauson</t>
  </si>
  <si>
    <t xml:space="preserve">West Athens</t>
  </si>
  <si>
    <t xml:space="preserve">Avalon Village</t>
  </si>
  <si>
    <t xml:space="preserve">Keystone</t>
  </si>
  <si>
    <t xml:space="preserve">Cypress Knolls</t>
  </si>
  <si>
    <t xml:space="preserve">Preston Park</t>
  </si>
  <si>
    <t xml:space="preserve">Balboa Peninsula</t>
  </si>
  <si>
    <t xml:space="preserve">Balboa Village</t>
  </si>
  <si>
    <t xml:space="preserve">Cedar Evergreen</t>
  </si>
  <si>
    <t xml:space="preserve">Cornerstone Village</t>
  </si>
  <si>
    <t xml:space="preserve">Madison Park</t>
  </si>
  <si>
    <t xml:space="preserve">Santa Ana Memorial Park</t>
  </si>
  <si>
    <t xml:space="preserve">South Coast</t>
  </si>
  <si>
    <t xml:space="preserve">Wilshire Square</t>
  </si>
  <si>
    <t xml:space="preserve">Greenwood Tustin Legacy</t>
  </si>
  <si>
    <t xml:space="preserve">Tustin Legacy</t>
  </si>
  <si>
    <t xml:space="preserve">Westpark</t>
  </si>
  <si>
    <t xml:space="preserve">Monterey Heights</t>
  </si>
  <si>
    <t xml:space="preserve">San Altos</t>
  </si>
  <si>
    <t xml:space="preserve">Sonka Urban Heights</t>
  </si>
  <si>
    <t xml:space="preserve">Arrowhead Ranch</t>
  </si>
  <si>
    <t xml:space="preserve">Berta Canyon</t>
  </si>
  <si>
    <t xml:space="preserve">Berta Meadow</t>
  </si>
  <si>
    <t xml:space="preserve">Berta Views</t>
  </si>
  <si>
    <t xml:space="preserve">Blackie Meadows Estates</t>
  </si>
  <si>
    <t xml:space="preserve">C. F. Langley Subdivision</t>
  </si>
  <si>
    <t xml:space="preserve">Castello Knolls</t>
  </si>
  <si>
    <t xml:space="preserve">Green Valley Acres</t>
  </si>
  <si>
    <t xml:space="preserve">Grey Eagle</t>
  </si>
  <si>
    <t xml:space="preserve">Hidden Woods</t>
  </si>
  <si>
    <t xml:space="preserve">Holly Hill</t>
  </si>
  <si>
    <t xml:space="preserve">Laurel West</t>
  </si>
  <si>
    <t xml:space="preserve">Manzanita Estates</t>
  </si>
  <si>
    <t xml:space="preserve">Matterhorn Estates</t>
  </si>
  <si>
    <t xml:space="preserve">Pacifico View Estates</t>
  </si>
  <si>
    <t xml:space="preserve">Rancho Borromeo</t>
  </si>
  <si>
    <t xml:space="preserve">Rollin J. Vierra Tract</t>
  </si>
  <si>
    <t xml:space="preserve">Roma Oaks</t>
  </si>
  <si>
    <t xml:space="preserve">Vierra Canyon Knolls</t>
  </si>
  <si>
    <t xml:space="preserve">Vierra Estates</t>
  </si>
  <si>
    <t xml:space="preserve">Vierra Meadows</t>
  </si>
  <si>
    <t xml:space="preserve">Wild Horse Ranch</t>
  </si>
  <si>
    <t xml:space="preserve">Alpine Meadows Estates</t>
  </si>
  <si>
    <t xml:space="preserve">Bear Creek Association</t>
  </si>
  <si>
    <t xml:space="preserve">Juniper Mountain</t>
  </si>
  <si>
    <t xml:space="preserve">Green Meadows</t>
  </si>
  <si>
    <t xml:space="preserve">Watts</t>
  </si>
  <si>
    <t xml:space="preserve">303 Second Street Plaza</t>
  </si>
  <si>
    <t xml:space="preserve">Dogpatch</t>
  </si>
  <si>
    <t xml:space="preserve">Potrero Hill</t>
  </si>
  <si>
    <t xml:space="preserve">Potrero Terrace</t>
  </si>
  <si>
    <t xml:space="preserve">South Beach</t>
  </si>
  <si>
    <t xml:space="preserve">South of Market</t>
  </si>
  <si>
    <t xml:space="preserve">Everglades Cabins</t>
  </si>
  <si>
    <t xml:space="preserve">Frontier Cabins</t>
  </si>
  <si>
    <t xml:space="preserve">Ridgeway Cabins</t>
  </si>
  <si>
    <t xml:space="preserve">Surfside Cabins</t>
  </si>
  <si>
    <t xml:space="preserve">Hewitt</t>
  </si>
  <si>
    <t xml:space="preserve">North Hollywood Northeast Neighborhood Council District</t>
  </si>
  <si>
    <t xml:space="preserve">North Hollywood West Neighborhood Council District</t>
  </si>
  <si>
    <t xml:space="preserve">Chinatown</t>
  </si>
  <si>
    <t xml:space="preserve">Maple Park</t>
  </si>
  <si>
    <t xml:space="preserve">Oldtown Salinas</t>
  </si>
  <si>
    <t xml:space="preserve">South Salinas</t>
  </si>
  <si>
    <t xml:space="preserve">Spreckels Junction</t>
  </si>
  <si>
    <t xml:space="preserve">West Salinas</t>
  </si>
  <si>
    <t xml:space="preserve">Brookview Park</t>
  </si>
  <si>
    <t xml:space="preserve">Sun Terrace</t>
  </si>
  <si>
    <t xml:space="preserve">Fisherman's Wharf</t>
  </si>
  <si>
    <t xml:space="preserve">North Beach</t>
  </si>
  <si>
    <t xml:space="preserve">Russian Hill</t>
  </si>
  <si>
    <t xml:space="preserve">Telegraph Hill</t>
  </si>
  <si>
    <t xml:space="preserve">Berkeley Marina</t>
  </si>
  <si>
    <t xml:space="preserve">West Berkeley</t>
  </si>
  <si>
    <t xml:space="preserve">Devonshire Country Estates</t>
  </si>
  <si>
    <t xml:space="preserve">Devonshire Highlands</t>
  </si>
  <si>
    <t xml:space="preserve">Northridge West Neighborhood Council District</t>
  </si>
  <si>
    <t xml:space="preserve">Canoga Park Neighborhood Council District</t>
  </si>
  <si>
    <t xml:space="preserve">Rose Hills</t>
  </si>
  <si>
    <t xml:space="preserve">Bonita Long Canyon</t>
  </si>
  <si>
    <t xml:space="preserve">Plaza Bonita</t>
  </si>
  <si>
    <t xml:space="preserve">Panorama City Neighborhood Council District</t>
  </si>
  <si>
    <t xml:space="preserve">Paradise Hills</t>
  </si>
  <si>
    <t xml:space="preserve">South Bay Terraces</t>
  </si>
  <si>
    <t xml:space="preserve">Agate Bay</t>
  </si>
  <si>
    <t xml:space="preserve">Carnelian Heights</t>
  </si>
  <si>
    <t xml:space="preserve">Fulton Acres</t>
  </si>
  <si>
    <t xml:space="preserve">Tahoe Marina Estates</t>
  </si>
  <si>
    <t xml:space="preserve">Alla</t>
  </si>
  <si>
    <t xml:space="preserve">Marina del Rey</t>
  </si>
  <si>
    <t xml:space="preserve">Avenida Espana</t>
  </si>
  <si>
    <t xml:space="preserve">Chantilley</t>
  </si>
  <si>
    <t xml:space="preserve">Santa Teresa</t>
  </si>
  <si>
    <t xml:space="preserve">Broadway-Manchester</t>
  </si>
  <si>
    <t xml:space="preserve">Florence</t>
  </si>
  <si>
    <t xml:space="preserve">Alhambra Triangle</t>
  </si>
  <si>
    <t xml:space="preserve">Marshall School</t>
  </si>
  <si>
    <t xml:space="preserve">New Era Park</t>
  </si>
  <si>
    <t xml:space="preserve">Newton Booth</t>
  </si>
  <si>
    <t xml:space="preserve">Brockway Vista</t>
  </si>
  <si>
    <t xml:space="preserve">Kingswood</t>
  </si>
  <si>
    <t xml:space="preserve">Woodvista</t>
  </si>
  <si>
    <t xml:space="preserve">Cypress Glen</t>
  </si>
  <si>
    <t xml:space="preserve">Education Village</t>
  </si>
  <si>
    <t xml:space="preserve">El Toyon</t>
  </si>
  <si>
    <t xml:space="preserve">Harbor District</t>
  </si>
  <si>
    <t xml:space="preserve">Heritage Square</t>
  </si>
  <si>
    <t xml:space="preserve">Ira Harbison</t>
  </si>
  <si>
    <t xml:space="preserve">John Otis</t>
  </si>
  <si>
    <t xml:space="preserve">Las Palmas</t>
  </si>
  <si>
    <t xml:space="preserve">Lincoln Acres</t>
  </si>
  <si>
    <t xml:space="preserve">Lower Sweetwater</t>
  </si>
  <si>
    <t xml:space="preserve">Marina Gateway</t>
  </si>
  <si>
    <t xml:space="preserve">Mile of Cars</t>
  </si>
  <si>
    <t xml:space="preserve">Morgan Square</t>
  </si>
  <si>
    <t xml:space="preserve">Old Town National City</t>
  </si>
  <si>
    <t xml:space="preserve">Olivewood</t>
  </si>
  <si>
    <t xml:space="preserve">Paradise Creek Gateway</t>
  </si>
  <si>
    <t xml:space="preserve">Rancho de la Nación</t>
  </si>
  <si>
    <t xml:space="preserve">South Bay Plaza</t>
  </si>
  <si>
    <t xml:space="preserve">Sweetwater Heights</t>
  </si>
  <si>
    <t xml:space="preserve">Barrio Logan</t>
  </si>
  <si>
    <t xml:space="preserve">Historic Logan Avenue</t>
  </si>
  <si>
    <t xml:space="preserve">Logan Heights</t>
  </si>
  <si>
    <t xml:space="preserve">Mercado District</t>
  </si>
  <si>
    <t xml:space="preserve">Shelltown</t>
  </si>
  <si>
    <t xml:space="preserve">South Crest</t>
  </si>
  <si>
    <t xml:space="preserve">French Court</t>
  </si>
  <si>
    <t xml:space="preserve">French Park</t>
  </si>
  <si>
    <t xml:space="preserve">Grand Sunrise</t>
  </si>
  <si>
    <t xml:space="preserve">Heninger Park</t>
  </si>
  <si>
    <t xml:space="preserve">Logan</t>
  </si>
  <si>
    <t xml:space="preserve">Mabury Park</t>
  </si>
  <si>
    <t xml:space="preserve">Pacific Park</t>
  </si>
  <si>
    <t xml:space="preserve">Saddleback View</t>
  </si>
  <si>
    <t xml:space="preserve">Hannalei Hills</t>
  </si>
  <si>
    <t xml:space="preserve">Pala Vista</t>
  </si>
  <si>
    <t xml:space="preserve">Kingswood West</t>
  </si>
  <si>
    <t xml:space="preserve">Tahoe Estates</t>
  </si>
  <si>
    <t xml:space="preserve">American Gold Star Manor</t>
  </si>
  <si>
    <t xml:space="preserve">Dominguez</t>
  </si>
  <si>
    <t xml:space="preserve">Lincoln Village</t>
  </si>
  <si>
    <t xml:space="preserve">Harbor Pines</t>
  </si>
  <si>
    <t xml:space="preserve">Ironsides</t>
  </si>
  <si>
    <t xml:space="preserve">Mission Hills Neighborhood Council District</t>
  </si>
  <si>
    <t xml:space="preserve">Bicycle District</t>
  </si>
  <si>
    <t xml:space="preserve">East Hollywood</t>
  </si>
  <si>
    <t xml:space="preserve">Melrose Hill</t>
  </si>
  <si>
    <t xml:space="preserve">Melrose Hill Historic Preservation Overlay Zone</t>
  </si>
  <si>
    <t xml:space="preserve">Sunset Junction</t>
  </si>
  <si>
    <t xml:space="preserve">Virgil Village</t>
  </si>
  <si>
    <t xml:space="preserve">SM entertainment Square</t>
  </si>
  <si>
    <t xml:space="preserve">Fallbrook Junction</t>
  </si>
  <si>
    <t xml:space="preserve">Mar Lado Highlands</t>
  </si>
  <si>
    <t xml:space="preserve">Posole</t>
  </si>
  <si>
    <t xml:space="preserve">San Luis Rey</t>
  </si>
  <si>
    <t xml:space="preserve">Stuart</t>
  </si>
  <si>
    <t xml:space="preserve">Chamberlands Estates</t>
  </si>
  <si>
    <t xml:space="preserve">Nielsen Subdivision</t>
  </si>
  <si>
    <t xml:space="preserve">Skyland</t>
  </si>
  <si>
    <t xml:space="preserve">Tahoe Swiss Village</t>
  </si>
  <si>
    <t xml:space="preserve">Tahoma Meadows</t>
  </si>
  <si>
    <t xml:space="preserve">Timberland</t>
  </si>
  <si>
    <t xml:space="preserve">Central-Alameda</t>
  </si>
  <si>
    <t xml:space="preserve">Historic South-Central</t>
  </si>
  <si>
    <t xml:space="preserve">Jefferson</t>
  </si>
  <si>
    <t xml:space="preserve">Nevin</t>
  </si>
  <si>
    <t xml:space="preserve">Whispering Palms</t>
  </si>
  <si>
    <t xml:space="preserve">Downtown Berkeley</t>
  </si>
  <si>
    <t xml:space="preserve">LeConte</t>
  </si>
  <si>
    <t xml:space="preserve">Panoramic Hill</t>
  </si>
  <si>
    <t xml:space="preserve">Southside</t>
  </si>
  <si>
    <t xml:space="preserve">Apostle William T. Broadus Square</t>
  </si>
  <si>
    <t xml:space="preserve">Crouch Family Legacy Square</t>
  </si>
  <si>
    <t xml:space="preserve">Parkside Industrial Center</t>
  </si>
  <si>
    <t xml:space="preserve">San Fernando Mall</t>
  </si>
  <si>
    <t xml:space="preserve">Saul López Square</t>
  </si>
  <si>
    <t xml:space="preserve">Downtown Historic District</t>
  </si>
  <si>
    <t xml:space="preserve">Qmunity District</t>
  </si>
  <si>
    <t xml:space="preserve">SoFA</t>
  </si>
  <si>
    <t xml:space="preserve">Gourmet Ghetto</t>
  </si>
  <si>
    <t xml:space="preserve">North Berkeley</t>
  </si>
  <si>
    <t xml:space="preserve">Northside</t>
  </si>
  <si>
    <t xml:space="preserve">Eagle Plaza</t>
  </si>
  <si>
    <t xml:space="preserve">Margaret Douglas Plaza</t>
  </si>
  <si>
    <t xml:space="preserve">Market Courtyard</t>
  </si>
  <si>
    <t xml:space="preserve">Piazza Angelo</t>
  </si>
  <si>
    <t xml:space="preserve">West SoMa</t>
  </si>
  <si>
    <t xml:space="preserve">Yerba Buena Public Square</t>
  </si>
  <si>
    <t xml:space="preserve">Fashion Valley</t>
  </si>
  <si>
    <t xml:space="preserve">Hotel Circle</t>
  </si>
  <si>
    <t xml:space="preserve">Mission Center</t>
  </si>
  <si>
    <t xml:space="preserve">Mission City</t>
  </si>
  <si>
    <t xml:space="preserve">Mission San Diego</t>
  </si>
  <si>
    <t xml:space="preserve">Mission Valley</t>
  </si>
  <si>
    <t xml:space="preserve">Westlake South</t>
  </si>
  <si>
    <t xml:space="preserve">Arts District</t>
  </si>
  <si>
    <t xml:space="preserve">Gallery Row</t>
  </si>
  <si>
    <t xml:space="preserve">Historic Core</t>
  </si>
  <si>
    <t xml:space="preserve">Skid Row</t>
  </si>
  <si>
    <t xml:space="preserve">Toy District</t>
  </si>
  <si>
    <t xml:space="preserve">Hallidie Plaza</t>
  </si>
  <si>
    <t xml:space="preserve">Hayes Valley</t>
  </si>
  <si>
    <t xml:space="preserve">Tenderloin</t>
  </si>
  <si>
    <t xml:space="preserve">Union Square</t>
  </si>
  <si>
    <t xml:space="preserve">United Nations Plaza</t>
  </si>
  <si>
    <t xml:space="preserve">Little Tokyo</t>
  </si>
  <si>
    <t xml:space="preserve">New Chinatown</t>
  </si>
  <si>
    <t xml:space="preserve">Pueblo de Los Ángeles</t>
  </si>
  <si>
    <t xml:space="preserve">Pueblo de Los Ángeles Historical Monument</t>
  </si>
  <si>
    <t xml:space="preserve">Beyer Hills</t>
  </si>
  <si>
    <t xml:space="preserve">Border Village</t>
  </si>
  <si>
    <t xml:space="preserve">Coral Gate</t>
  </si>
  <si>
    <t xml:space="preserve">El Pueblito Viejo</t>
  </si>
  <si>
    <t xml:space="preserve">Park Haven</t>
  </si>
  <si>
    <t xml:space="preserve">Sunset</t>
  </si>
  <si>
    <t xml:space="preserve">Boyle Heights</t>
  </si>
  <si>
    <t xml:space="preserve">Mariachi Plaza</t>
  </si>
  <si>
    <t xml:space="preserve">Ramona Gardens</t>
  </si>
  <si>
    <t xml:space="preserve">Armenian Genocide Memorial Square</t>
  </si>
  <si>
    <t xml:space="preserve">Celia Cruz Square</t>
  </si>
  <si>
    <t xml:space="preserve">Hollywood</t>
  </si>
  <si>
    <t xml:space="preserve">Yucca Corridor</t>
  </si>
  <si>
    <t xml:space="preserve">Barnes Canyon</t>
  </si>
  <si>
    <t xml:space="preserve">Campus Point</t>
  </si>
  <si>
    <t xml:space="preserve">Carroll Canyon</t>
  </si>
  <si>
    <t xml:space="preserve">Nancy Ridge</t>
  </si>
  <si>
    <t xml:space="preserve">Plaza Sorrento</t>
  </si>
  <si>
    <t xml:space="preserve">Sorrento Canyon</t>
  </si>
  <si>
    <t xml:space="preserve">Sorrento Mesa</t>
  </si>
  <si>
    <t xml:space="preserve">Sorrento Mesa Rim Trail</t>
  </si>
  <si>
    <t xml:space="preserve">Sorrento Ridge</t>
  </si>
  <si>
    <t xml:space="preserve">Sorrento Valley</t>
  </si>
  <si>
    <t xml:space="preserve">Sorrento West</t>
  </si>
  <si>
    <t xml:space="preserve">Torrey Pines</t>
  </si>
  <si>
    <t xml:space="preserve">Wateridge</t>
  </si>
  <si>
    <t xml:space="preserve">A.P. Giannini Plaza</t>
  </si>
  <si>
    <t xml:space="preserve">Bush Plaza</t>
  </si>
  <si>
    <t xml:space="preserve">Apple Mini Park</t>
  </si>
  <si>
    <t xml:space="preserve">Portsmouth Square</t>
  </si>
  <si>
    <t xml:space="preserve">Atwood Tract</t>
  </si>
  <si>
    <t xml:space="preserve">Echo Road Tract</t>
  </si>
  <si>
    <t xml:space="preserve">Phillips Park</t>
  </si>
  <si>
    <t xml:space="preserve">Sayles Canyon Tract</t>
  </si>
  <si>
    <t xml:space="preserve">Sierra Pines-Mount Ralston</t>
  </si>
  <si>
    <t xml:space="preserve">Tamarack Park</t>
  </si>
  <si>
    <t xml:space="preserve">Flower District</t>
  </si>
  <si>
    <t xml:space="preserve">Jewelry District</t>
  </si>
  <si>
    <t xml:space="preserve">Asian Pacific Thematic Historic District</t>
  </si>
  <si>
    <t xml:space="preserve">Banker's Hill</t>
  </si>
  <si>
    <t xml:space="preserve">California Quadrangle</t>
  </si>
  <si>
    <t xml:space="preserve">Core–Columbia</t>
  </si>
  <si>
    <t xml:space="preserve">Cortez Hill</t>
  </si>
  <si>
    <t xml:space="preserve">Downtown San Diego</t>
  </si>
  <si>
    <t xml:space="preserve">Gallagher Square</t>
  </si>
  <si>
    <t xml:space="preserve">Gaslamp Quarter</t>
  </si>
  <si>
    <t xml:space="preserve">Harborview</t>
  </si>
  <si>
    <t xml:space="preserve">Marriot Marquis Square</t>
  </si>
  <si>
    <t xml:space="preserve">Pan American Plaza</t>
  </si>
  <si>
    <t xml:space="preserve">Piazza Basilone</t>
  </si>
  <si>
    <t xml:space="preserve">Piazza Giannini</t>
  </si>
  <si>
    <t xml:space="preserve">Piazza Pescatore</t>
  </si>
  <si>
    <t xml:space="preserve">Plaza de Panama</t>
  </si>
  <si>
    <t xml:space="preserve">Stock Exchange Square</t>
  </si>
  <si>
    <t xml:space="preserve">Fashion District</t>
  </si>
  <si>
    <t xml:space="preserve">University Research Center</t>
  </si>
  <si>
    <t xml:space="preserve">University of California, Irvine</t>
  </si>
  <si>
    <t xml:space="preserve">Iteland</t>
  </si>
  <si>
    <t xml:space="preserve">Slaughter Flat</t>
  </si>
  <si>
    <t xml:space="preserve">Alvarado Terrace Historic District</t>
  </si>
  <si>
    <t xml:space="preserve">Below $500/sf</t>
  </si>
  <si>
    <t xml:space="preserve">Harvard Heights</t>
  </si>
  <si>
    <t xml:space="preserve">Monseñor Óscar Arnulfo Romero Square</t>
  </si>
  <si>
    <t xml:space="preserve">Pico-Union</t>
  </si>
  <si>
    <t xml:space="preserve">Saint James Park</t>
  </si>
  <si>
    <t xml:space="preserve">Bank of America Plaza</t>
  </si>
  <si>
    <t xml:space="preserve">Bunker Hill</t>
  </si>
  <si>
    <t xml:space="preserve">Chatsworth Neighborhood Council District</t>
  </si>
  <si>
    <t xml:space="preserve">Deerlake Ranch</t>
  </si>
  <si>
    <t xml:space="preserve">Brock Billa</t>
  </si>
  <si>
    <t xml:space="preserve">Plum Canyon</t>
  </si>
  <si>
    <t xml:space="preserve">Saugus</t>
  </si>
  <si>
    <t xml:space="preserve">Honby</t>
  </si>
  <si>
    <t xml:space="preserve">Entrada South</t>
  </si>
  <si>
    <t xml:space="preserve">Homestead</t>
  </si>
  <si>
    <t xml:space="preserve">Landmark Village</t>
  </si>
  <si>
    <t xml:space="preserve">Southern Oaks</t>
  </si>
  <si>
    <t xml:space="preserve">Sunset Pointe</t>
  </si>
  <si>
    <t xml:space="preserve">Hasley Canyon</t>
  </si>
  <si>
    <t xml:space="preserve">Paradise Ranch Mobile Home Park</t>
  </si>
  <si>
    <t xml:space="preserve">Mint Canyon</t>
  </si>
  <si>
    <t xml:space="preserve">Sand Canyon</t>
  </si>
  <si>
    <t xml:space="preserve">Central North</t>
  </si>
  <si>
    <t xml:space="preserve">Central South</t>
  </si>
  <si>
    <t xml:space="preserve">Cucamonga</t>
  </si>
  <si>
    <t xml:space="preserve">Red Hill</t>
  </si>
  <si>
    <t xml:space="preserve">Rochester</t>
  </si>
  <si>
    <t xml:space="preserve">Southeast</t>
  </si>
  <si>
    <t xml:space="preserve">Alta Loma</t>
  </si>
  <si>
    <t xml:space="preserve">Etiwanda Heights Town Center</t>
  </si>
  <si>
    <t xml:space="preserve">Etiwanda</t>
  </si>
  <si>
    <t xml:space="preserve">Mira Loma</t>
  </si>
  <si>
    <t xml:space="preserve">Stalder</t>
  </si>
  <si>
    <t xml:space="preserve">Guasti</t>
  </si>
  <si>
    <t xml:space="preserve">Ontario Ranch</t>
  </si>
  <si>
    <t xml:space="preserve">Racimo</t>
  </si>
  <si>
    <t xml:space="preserve">Downtown Ontario</t>
  </si>
  <si>
    <t xml:space="preserve">North Ontario</t>
  </si>
  <si>
    <t xml:space="preserve">Downtown Upland</t>
  </si>
  <si>
    <t xml:space="preserve">Alpine Heights</t>
  </si>
  <si>
    <t xml:space="preserve">Glen Oaks</t>
  </si>
  <si>
    <t xml:space="preserve">The Willows</t>
  </si>
  <si>
    <t xml:space="preserve">Cockatoo Grove</t>
  </si>
  <si>
    <t xml:space="preserve">Cota Vera</t>
  </si>
  <si>
    <t xml:space="preserve">Escaya</t>
  </si>
  <si>
    <t xml:space="preserve">Heritage Village</t>
  </si>
  <si>
    <t xml:space="preserve">Santa Cora</t>
  </si>
  <si>
    <t xml:space="preserve">Santa Venetia</t>
  </si>
  <si>
    <t xml:space="preserve">Wolf Canyon</t>
  </si>
  <si>
    <t xml:space="preserve">Eastlake</t>
  </si>
  <si>
    <t xml:space="preserve">Eastlake Woods</t>
  </si>
  <si>
    <t xml:space="preserve">Rolling Hills Ranch</t>
  </si>
  <si>
    <t xml:space="preserve">San Miguel Ranch</t>
  </si>
  <si>
    <t xml:space="preserve">Eastlake Greens</t>
  </si>
  <si>
    <t xml:space="preserve">Eastlake Trails</t>
  </si>
  <si>
    <t xml:space="preserve">Eastlake Vistas</t>
  </si>
  <si>
    <t xml:space="preserve">Millenia</t>
  </si>
  <si>
    <t xml:space="preserve">Otay Ranch</t>
  </si>
  <si>
    <t xml:space="preserve">WindingWalk</t>
  </si>
  <si>
    <t xml:space="preserve">Indian Springs</t>
  </si>
  <si>
    <t xml:space="preserve">North Jamul</t>
  </si>
  <si>
    <t xml:space="preserve">Borrego</t>
  </si>
  <si>
    <t xml:space="preserve">Ram's Hill</t>
  </si>
  <si>
    <t xml:space="preserve">Emerald Heights</t>
  </si>
  <si>
    <t xml:space="preserve">North Broadway</t>
  </si>
  <si>
    <t xml:space="preserve">East Valley</t>
  </si>
  <si>
    <t xml:space="preserve">Eureka Springs</t>
  </si>
  <si>
    <t xml:space="preserve">Hidden Trails</t>
  </si>
  <si>
    <t xml:space="preserve">Oak Hill</t>
  </si>
  <si>
    <t xml:space="preserve">Orange Glen</t>
  </si>
  <si>
    <t xml:space="preserve">Rancho San Pasqual</t>
  </si>
  <si>
    <t xml:space="preserve">San Pasqual Valley</t>
  </si>
  <si>
    <t xml:space="preserve">Horse Creek Ridge</t>
  </si>
  <si>
    <t xml:space="preserve">Rancho Viejo</t>
  </si>
  <si>
    <t xml:space="preserve">Lakeside Farms</t>
  </si>
  <si>
    <t xml:space="preserve">Moreno</t>
  </si>
  <si>
    <t xml:space="preserve">Riverview</t>
  </si>
  <si>
    <t xml:space="preserve">Riverview Farms</t>
  </si>
  <si>
    <t xml:space="preserve">Arrowood</t>
  </si>
  <si>
    <t xml:space="preserve">Guajome</t>
  </si>
  <si>
    <t xml:space="preserve">Ivey Ranch</t>
  </si>
  <si>
    <t xml:space="preserve">Libby Lake</t>
  </si>
  <si>
    <t xml:space="preserve">Mission Meadows</t>
  </si>
  <si>
    <t xml:space="preserve">Morro Hills</t>
  </si>
  <si>
    <t xml:space="preserve">North River Farms</t>
  </si>
  <si>
    <t xml:space="preserve">Oceana</t>
  </si>
  <si>
    <t xml:space="preserve">Downtown Vista</t>
  </si>
  <si>
    <t xml:space="preserve">Dennery Ranch</t>
  </si>
  <si>
    <t xml:space="preserve">Egger Highlands</t>
  </si>
  <si>
    <t xml:space="preserve">Nestor</t>
  </si>
  <si>
    <t xml:space="preserve">Ocean View Hills</t>
  </si>
  <si>
    <t xml:space="preserve">Otay International Center</t>
  </si>
  <si>
    <t xml:space="preserve">Otay Mesa</t>
  </si>
  <si>
    <t xml:space="preserve">Otay Mesa West</t>
  </si>
  <si>
    <t xml:space="preserve">Palm City</t>
  </si>
  <si>
    <t xml:space="preserve">Palm Ridge</t>
  </si>
  <si>
    <t xml:space="preserve">Ream Field</t>
  </si>
  <si>
    <t xml:space="preserve">Remington Hills</t>
  </si>
  <si>
    <t xml:space="preserve">Riviera Del Sol</t>
  </si>
  <si>
    <t xml:space="preserve">Robinhood Ridge</t>
  </si>
  <si>
    <t xml:space="preserve">South San Diego</t>
  </si>
  <si>
    <t xml:space="preserve">The Landing at Ocean View Hills</t>
  </si>
  <si>
    <t xml:space="preserve">Tijuana River Valley</t>
  </si>
  <si>
    <t xml:space="preserve">Vista del Pacifico</t>
  </si>
  <si>
    <t xml:space="preserve">Bella Vida</t>
  </si>
  <si>
    <t xml:space="preserve">Estacio</t>
  </si>
  <si>
    <t xml:space="preserve">Indian Palms Country Club &amp; Resort</t>
  </si>
  <si>
    <t xml:space="preserve">Rincon</t>
  </si>
  <si>
    <t xml:space="preserve">The Bridge</t>
  </si>
  <si>
    <t xml:space="preserve">The Orchard</t>
  </si>
  <si>
    <t xml:space="preserve">Aspen Creek</t>
  </si>
  <si>
    <t xml:space="preserve">Highland Springs Country Club</t>
  </si>
  <si>
    <t xml:space="preserve">Highland Springs Village</t>
  </si>
  <si>
    <t xml:space="preserve">Caliente Sands</t>
  </si>
  <si>
    <t xml:space="preserve">Royal Palms</t>
  </si>
  <si>
    <t xml:space="preserve">Joshua Cove</t>
  </si>
  <si>
    <t xml:space="preserve">Joshua Tree Highlands</t>
  </si>
  <si>
    <t xml:space="preserve">Monument Manor</t>
  </si>
  <si>
    <t xml:space="preserve">El Mirador</t>
  </si>
  <si>
    <t xml:space="preserve">Old Las Palmas</t>
  </si>
  <si>
    <t xml:space="preserve">Racquet Club Estates</t>
  </si>
  <si>
    <t xml:space="preserve">Section 14</t>
  </si>
  <si>
    <t xml:space="preserve">The Movie Colony</t>
  </si>
  <si>
    <t xml:space="preserve">Bitter Springs</t>
  </si>
  <si>
    <t xml:space="preserve">Cactus Cove</t>
  </si>
  <si>
    <t xml:space="preserve">Calico Estates</t>
  </si>
  <si>
    <t xml:space="preserve">Coyote Springs</t>
  </si>
  <si>
    <t xml:space="preserve">Crackerjack Flats</t>
  </si>
  <si>
    <t xml:space="preserve">Desert Winds</t>
  </si>
  <si>
    <t xml:space="preserve">Dove Gulch</t>
  </si>
  <si>
    <t xml:space="preserve">Granite Canyon</t>
  </si>
  <si>
    <t xml:space="preserve">Mojave Village</t>
  </si>
  <si>
    <t xml:space="preserve">Sage Brush</t>
  </si>
  <si>
    <t xml:space="preserve">Sandy Basin</t>
  </si>
  <si>
    <t xml:space="preserve">Sleepy Hollow</t>
  </si>
  <si>
    <t xml:space="preserve">Tiefort View</t>
  </si>
  <si>
    <t xml:space="preserve">Desert View Housing Area</t>
  </si>
  <si>
    <t xml:space="preserve">Nebo Center</t>
  </si>
  <si>
    <t xml:space="preserve">North Barstow</t>
  </si>
  <si>
    <t xml:space="preserve">Downtown Fontana</t>
  </si>
  <si>
    <t xml:space="preserve">Lifestyle</t>
  </si>
  <si>
    <t xml:space="preserve">Beech Avenue Logistics Center</t>
  </si>
  <si>
    <t xml:space="preserve">Coyote Canyon</t>
  </si>
  <si>
    <t xml:space="preserve">Gabion Ranch</t>
  </si>
  <si>
    <t xml:space="preserve">Hunters Ridge</t>
  </si>
  <si>
    <t xml:space="preserve">Rancho Fontana</t>
  </si>
  <si>
    <t xml:space="preserve">Sierra Lakes</t>
  </si>
  <si>
    <t xml:space="preserve">Summit Heights</t>
  </si>
  <si>
    <t xml:space="preserve">The Arboretum</t>
  </si>
  <si>
    <t xml:space="preserve">The Landings</t>
  </si>
  <si>
    <t xml:space="preserve">Village of Heritage</t>
  </si>
  <si>
    <t xml:space="preserve">Walnut Village</t>
  </si>
  <si>
    <t xml:space="preserve">Southridge Village</t>
  </si>
  <si>
    <t xml:space="preserve">Southwest Industrial Park</t>
  </si>
  <si>
    <t xml:space="preserve">Friendly Hills Mobile Estates</t>
  </si>
  <si>
    <t xml:space="preserve">Sandstone</t>
  </si>
  <si>
    <t xml:space="preserve">Villa De Valencia Town Homes</t>
  </si>
  <si>
    <t xml:space="preserve">Aha Macav California Village</t>
  </si>
  <si>
    <t xml:space="preserve">Rio Buena Vista</t>
  </si>
  <si>
    <t xml:space="preserve">Redlands Heights</t>
  </si>
  <si>
    <t xml:space="preserve">Smiley Heights</t>
  </si>
  <si>
    <t xml:space="preserve">Duncan Corners</t>
  </si>
  <si>
    <t xml:space="preserve">Eagle Ranch</t>
  </si>
  <si>
    <t xml:space="preserve">Artisan</t>
  </si>
  <si>
    <t xml:space="preserve">Campus Plaza</t>
  </si>
  <si>
    <t xml:space="preserve">Mountain Gate</t>
  </si>
  <si>
    <t xml:space="preserve">Whisper Ridge</t>
  </si>
  <si>
    <t xml:space="preserve">Downtown Riverside</t>
  </si>
  <si>
    <t xml:space="preserve">Tilden-Coil Constructors Plaza</t>
  </si>
  <si>
    <t xml:space="preserve">Arlanza</t>
  </si>
  <si>
    <t xml:space="preserve">Arlington</t>
  </si>
  <si>
    <t xml:space="preserve">Arlington South</t>
  </si>
  <si>
    <t xml:space="preserve">Arlington Station</t>
  </si>
  <si>
    <t xml:space="preserve">La Sierra South</t>
  </si>
  <si>
    <t xml:space="preserve">May</t>
  </si>
  <si>
    <t xml:space="preserve">Casa Blanca</t>
  </si>
  <si>
    <t xml:space="preserve">Grand</t>
  </si>
  <si>
    <t xml:space="preserve">Magnolia Avenue</t>
  </si>
  <si>
    <t xml:space="preserve">Prenda</t>
  </si>
  <si>
    <t xml:space="preserve">Presidential Park</t>
  </si>
  <si>
    <t xml:space="preserve">Woodcrest</t>
  </si>
  <si>
    <t xml:space="preserve">La Sierra</t>
  </si>
  <si>
    <t xml:space="preserve">La Sierra Acres</t>
  </si>
  <si>
    <t xml:space="preserve">La Sierra Hills</t>
  </si>
  <si>
    <t xml:space="preserve">Alessandro Heights</t>
  </si>
  <si>
    <t xml:space="preserve">Hawarden Hills</t>
  </si>
  <si>
    <t xml:space="preserve">Magnolia Center</t>
  </si>
  <si>
    <t xml:space="preserve">Pachappa</t>
  </si>
  <si>
    <t xml:space="preserve">Upper Campus</t>
  </si>
  <si>
    <t xml:space="preserve">Victoria</t>
  </si>
  <si>
    <t xml:space="preserve">Wood Streets</t>
  </si>
  <si>
    <t xml:space="preserve">Bannockburn Village</t>
  </si>
  <si>
    <t xml:space="preserve">Belvedere Heights</t>
  </si>
  <si>
    <t xml:space="preserve">Hunter Industrial Park</t>
  </si>
  <si>
    <t xml:space="preserve">Sycamore Canyon Park</t>
  </si>
  <si>
    <t xml:space="preserve">Sycamore Canyon/Canyon Springs</t>
  </si>
  <si>
    <t xml:space="preserve">University</t>
  </si>
  <si>
    <t xml:space="preserve">Mission Grove</t>
  </si>
  <si>
    <t xml:space="preserve">Orangecrest</t>
  </si>
  <si>
    <t xml:space="preserve">Belltown</t>
  </si>
  <si>
    <t xml:space="preserve">Bly</t>
  </si>
  <si>
    <t xml:space="preserve">De Anza Village</t>
  </si>
  <si>
    <t xml:space="preserve">Ennis</t>
  </si>
  <si>
    <t xml:space="preserve">Glen Avon</t>
  </si>
  <si>
    <t xml:space="preserve">Henshaw</t>
  </si>
  <si>
    <t xml:space="preserve">Ormand</t>
  </si>
  <si>
    <t xml:space="preserve">Pedley</t>
  </si>
  <si>
    <t xml:space="preserve">Rubidoux</t>
  </si>
  <si>
    <t xml:space="preserve">Alessandro</t>
  </si>
  <si>
    <t xml:space="preserve">West March</t>
  </si>
  <si>
    <t xml:space="preserve">Alberhill Ranch</t>
  </si>
  <si>
    <t xml:space="preserve">Ballpark District</t>
  </si>
  <si>
    <t xml:space="preserve">Business District</t>
  </si>
  <si>
    <t xml:space="preserve">Country Club Heights</t>
  </si>
  <si>
    <t xml:space="preserve">East Lake</t>
  </si>
  <si>
    <t xml:space="preserve">El Cariso Village</t>
  </si>
  <si>
    <t xml:space="preserve">Historic District</t>
  </si>
  <si>
    <t xml:space="preserve">Historic Downtown Lake Elsinore</t>
  </si>
  <si>
    <t xml:space="preserve">Lake Edge District</t>
  </si>
  <si>
    <t xml:space="preserve">Lake View</t>
  </si>
  <si>
    <t xml:space="preserve">Lakeland Village</t>
  </si>
  <si>
    <t xml:space="preserve">North Elsinore</t>
  </si>
  <si>
    <t xml:space="preserve">Ortega Oaks</t>
  </si>
  <si>
    <t xml:space="preserve">Sedco Hills</t>
  </si>
  <si>
    <t xml:space="preserve">Summerly</t>
  </si>
  <si>
    <t xml:space="preserve">Terra Cotta</t>
  </si>
  <si>
    <t xml:space="preserve">Audie Murphy Ranch</t>
  </si>
  <si>
    <t xml:space="preserve">Lake Elsinore Hills</t>
  </si>
  <si>
    <t xml:space="preserve">Downtown Hemet</t>
  </si>
  <si>
    <t xml:space="preserve">McSweeny Farms</t>
  </si>
  <si>
    <t xml:space="preserve">Lincoln View</t>
  </si>
  <si>
    <t xml:space="preserve">Saratoga Ranch</t>
  </si>
  <si>
    <t xml:space="preserve">Belmonte - Seville Community Association</t>
  </si>
  <si>
    <t xml:space="preserve">Egan</t>
  </si>
  <si>
    <t xml:space="preserve">Four Seasons</t>
  </si>
  <si>
    <t xml:space="preserve">Maze Stone Village MHP</t>
  </si>
  <si>
    <t xml:space="preserve">Mountain Shadows RV Resort Community</t>
  </si>
  <si>
    <t xml:space="preserve">Mountains Edge</t>
  </si>
  <si>
    <t xml:space="preserve">Saddle Point</t>
  </si>
  <si>
    <t xml:space="preserve">Stoney Mountain Ranch</t>
  </si>
  <si>
    <t xml:space="preserve">Willowwalk</t>
  </si>
  <si>
    <t xml:space="preserve">Winchester Trails</t>
  </si>
  <si>
    <t xml:space="preserve">Countryview</t>
  </si>
  <si>
    <t xml:space="preserve">Highland Palms Mobile Home Park</t>
  </si>
  <si>
    <t xml:space="preserve">Panorama Cove</t>
  </si>
  <si>
    <t xml:space="preserve">Edgemont</t>
  </si>
  <si>
    <t xml:space="preserve">Sunnymead</t>
  </si>
  <si>
    <t xml:space="preserve">Cobblestone</t>
  </si>
  <si>
    <t xml:space="preserve">Goldenfields</t>
  </si>
  <si>
    <t xml:space="preserve">Serrano Heights</t>
  </si>
  <si>
    <t xml:space="preserve">Summerfield</t>
  </si>
  <si>
    <t xml:space="preserve">Bear Creek</t>
  </si>
  <si>
    <t xml:space="preserve">California Oaks</t>
  </si>
  <si>
    <t xml:space="preserve">Greer Ranch</t>
  </si>
  <si>
    <t xml:space="preserve">Linda Rosa</t>
  </si>
  <si>
    <t xml:space="preserve">Santa Rosa West</t>
  </si>
  <si>
    <t xml:space="preserve">The Trails</t>
  </si>
  <si>
    <t xml:space="preserve">Antelope Hills</t>
  </si>
  <si>
    <t xml:space="preserve">Murrieta Hot Springs</t>
  </si>
  <si>
    <t xml:space="preserve">Rancho Bella Vista</t>
  </si>
  <si>
    <t xml:space="preserve">Spencer's Crossing</t>
  </si>
  <si>
    <t xml:space="preserve">Nuevo Meadows</t>
  </si>
  <si>
    <t xml:space="preserve">Nuevo Ranch</t>
  </si>
  <si>
    <t xml:space="preserve">Villages of Lakeview</t>
  </si>
  <si>
    <t xml:space="preserve">Ellis</t>
  </si>
  <si>
    <t xml:space="preserve">North Peak</t>
  </si>
  <si>
    <t xml:space="preserve">Amelia Square</t>
  </si>
  <si>
    <t xml:space="preserve">Olive Grove</t>
  </si>
  <si>
    <t xml:space="preserve">Rancho las Perris</t>
  </si>
  <si>
    <t xml:space="preserve">Stratford Place</t>
  </si>
  <si>
    <t xml:space="preserve">Val Verde</t>
  </si>
  <si>
    <t xml:space="preserve">Vicenza</t>
  </si>
  <si>
    <t xml:space="preserve">Villages of Avalon</t>
  </si>
  <si>
    <t xml:space="preserve">Vista Creek</t>
  </si>
  <si>
    <t xml:space="preserve">Westerly Place</t>
  </si>
  <si>
    <t xml:space="preserve">Willowbend</t>
  </si>
  <si>
    <t xml:space="preserve">Ashford Pointe</t>
  </si>
  <si>
    <t xml:space="preserve">Canterwood</t>
  </si>
  <si>
    <t xml:space="preserve">Esplanade</t>
  </si>
  <si>
    <t xml:space="preserve">Mosaico</t>
  </si>
  <si>
    <t xml:space="preserve">Parkside North</t>
  </si>
  <si>
    <t xml:space="preserve">Parkside Village</t>
  </si>
  <si>
    <t xml:space="preserve">Rancho Madrina</t>
  </si>
  <si>
    <t xml:space="preserve">Stallons Crossing</t>
  </si>
  <si>
    <t xml:space="preserve">luz del sol</t>
  </si>
  <si>
    <t xml:space="preserve">American Village Senior Community</t>
  </si>
  <si>
    <t xml:space="preserve">Belicia Ranch</t>
  </si>
  <si>
    <t xml:space="preserve">Century South</t>
  </si>
  <si>
    <t xml:space="preserve">Mountain Bridge North</t>
  </si>
  <si>
    <t xml:space="preserve">Pheasant Pointe</t>
  </si>
  <si>
    <t xml:space="preserve">Quandt Ranch</t>
  </si>
  <si>
    <t xml:space="preserve">Villa del Monte Mobile Home Park</t>
  </si>
  <si>
    <t xml:space="preserve">Mapleton</t>
  </si>
  <si>
    <t xml:space="preserve">Menifee Lakes</t>
  </si>
  <si>
    <t xml:space="preserve">Pacific Melrose</t>
  </si>
  <si>
    <t xml:space="preserve">Paloma</t>
  </si>
  <si>
    <t xml:space="preserve">Romoland</t>
  </si>
  <si>
    <t xml:space="preserve">Crystal Ridge</t>
  </si>
  <si>
    <t xml:space="preserve">North Jefferson</t>
  </si>
  <si>
    <t xml:space="preserve">Old Town Temecula</t>
  </si>
  <si>
    <t xml:space="preserve">Portola Terrace</t>
  </si>
  <si>
    <t xml:space="preserve">Rancho California</t>
  </si>
  <si>
    <t xml:space="preserve">Rancho Creek</t>
  </si>
  <si>
    <t xml:space="preserve">Rancho West</t>
  </si>
  <si>
    <t xml:space="preserve">Renaissance Estates</t>
  </si>
  <si>
    <t xml:space="preserve">Riverbank Village</t>
  </si>
  <si>
    <t xml:space="preserve">Shearwater Creek</t>
  </si>
  <si>
    <t xml:space="preserve">Villa Del Sol</t>
  </si>
  <si>
    <t xml:space="preserve">Willow Brook</t>
  </si>
  <si>
    <t xml:space="preserve">Aberdeen</t>
  </si>
  <si>
    <t xml:space="preserve">Acacia Park</t>
  </si>
  <si>
    <t xml:space="preserve">Amberwood</t>
  </si>
  <si>
    <t xml:space="preserve">Ashville</t>
  </si>
  <si>
    <t xml:space="preserve">Auburn Lane</t>
  </si>
  <si>
    <t xml:space="preserve">Avondale</t>
  </si>
  <si>
    <t xml:space="preserve">Barrington</t>
  </si>
  <si>
    <t xml:space="preserve">Cambridge</t>
  </si>
  <si>
    <t xml:space="preserve">Cape May</t>
  </si>
  <si>
    <t xml:space="preserve">Castle Pines</t>
  </si>
  <si>
    <t xml:space="preserve">Chantemar Estates</t>
  </si>
  <si>
    <t xml:space="preserve">Charleston</t>
  </si>
  <si>
    <t xml:space="preserve">Costain Signet</t>
  </si>
  <si>
    <t xml:space="preserve">Cypress Point</t>
  </si>
  <si>
    <t xml:space="preserve">Emery Place</t>
  </si>
  <si>
    <t xml:space="preserve">FountainGlen</t>
  </si>
  <si>
    <t xml:space="preserve">Harveston</t>
  </si>
  <si>
    <t xml:space="preserve">Heritage</t>
  </si>
  <si>
    <t xml:space="preserve">Hudson Court Park</t>
  </si>
  <si>
    <t xml:space="preserve">La Serena</t>
  </si>
  <si>
    <t xml:space="preserve">Martinique</t>
  </si>
  <si>
    <t xml:space="preserve">Meadowview</t>
  </si>
  <si>
    <t xml:space="preserve">Miranda</t>
  </si>
  <si>
    <t xml:space="preserve">Monte Vista</t>
  </si>
  <si>
    <t xml:space="preserve">Montego</t>
  </si>
  <si>
    <t xml:space="preserve">Nicolas Valley</t>
  </si>
  <si>
    <t xml:space="preserve">Oak Tree</t>
  </si>
  <si>
    <t xml:space="preserve">Palm Valley</t>
  </si>
  <si>
    <t xml:space="preserve">Promenade</t>
  </si>
  <si>
    <t xml:space="preserve">Rancho Bahamas</t>
  </si>
  <si>
    <t xml:space="preserve">Rancho Solano</t>
  </si>
  <si>
    <t xml:space="preserve">Roripaugh Hills</t>
  </si>
  <si>
    <t xml:space="preserve">Roripaugh Ranch</t>
  </si>
  <si>
    <t xml:space="preserve">Saddlewood</t>
  </si>
  <si>
    <t xml:space="preserve">Sage Canyon</t>
  </si>
  <si>
    <t xml:space="preserve">Savannah</t>
  </si>
  <si>
    <t xml:space="preserve">Serena Hills</t>
  </si>
  <si>
    <t xml:space="preserve">Signature Series</t>
  </si>
  <si>
    <t xml:space="preserve">Silverwood</t>
  </si>
  <si>
    <t xml:space="preserve">Solana Ridge</t>
  </si>
  <si>
    <t xml:space="preserve">Solana Vista</t>
  </si>
  <si>
    <t xml:space="preserve">Sorrento</t>
  </si>
  <si>
    <t xml:space="preserve">Stonewood</t>
  </si>
  <si>
    <t xml:space="preserve">Sutton Place</t>
  </si>
  <si>
    <t xml:space="preserve">Sycamore Terrace</t>
  </si>
  <si>
    <t xml:space="preserve">Temeku Hills</t>
  </si>
  <si>
    <t xml:space="preserve">The Chateau</t>
  </si>
  <si>
    <t xml:space="preserve">The Pinnacle</t>
  </si>
  <si>
    <t xml:space="preserve">The Vineyard</t>
  </si>
  <si>
    <t xml:space="preserve">Tierra Brisa</t>
  </si>
  <si>
    <t xml:space="preserve">Tuscany Ridge</t>
  </si>
  <si>
    <t xml:space="preserve">Valdemosa</t>
  </si>
  <si>
    <t xml:space="preserve">Verano</t>
  </si>
  <si>
    <t xml:space="preserve">Winchester Creek</t>
  </si>
  <si>
    <t xml:space="preserve">Winchester Highlands</t>
  </si>
  <si>
    <t xml:space="preserve">Woodcrest Country</t>
  </si>
  <si>
    <t xml:space="preserve">Advantage</t>
  </si>
  <si>
    <t xml:space="preserve">Aldea</t>
  </si>
  <si>
    <t xml:space="preserve">Alegre</t>
  </si>
  <si>
    <t xml:space="preserve">Arroyo</t>
  </si>
  <si>
    <t xml:space="preserve">Artessa</t>
  </si>
  <si>
    <t xml:space="preserve">Atria</t>
  </si>
  <si>
    <t xml:space="preserve">BelVista</t>
  </si>
  <si>
    <t xml:space="preserve">Biscay</t>
  </si>
  <si>
    <t xml:space="preserve">Blackstone</t>
  </si>
  <si>
    <t xml:space="preserve">California Legacy</t>
  </si>
  <si>
    <t xml:space="preserve">California Reflections</t>
  </si>
  <si>
    <t xml:space="preserve">California Sunset</t>
  </si>
  <si>
    <t xml:space="preserve">Careyes</t>
  </si>
  <si>
    <t xml:space="preserve">Chelsea Estates</t>
  </si>
  <si>
    <t xml:space="preserve">Costain Collection</t>
  </si>
  <si>
    <t xml:space="preserve">Country Manor Estates</t>
  </si>
  <si>
    <t xml:space="preserve">Country Road Estates</t>
  </si>
  <si>
    <t xml:space="preserve">Cristal</t>
  </si>
  <si>
    <t xml:space="preserve">Crowne Hill</t>
  </si>
  <si>
    <t xml:space="preserve">Eagle Point</t>
  </si>
  <si>
    <t xml:space="preserve">Eastridge</t>
  </si>
  <si>
    <t xml:space="preserve">Estates</t>
  </si>
  <si>
    <t xml:space="preserve">Home Coming</t>
  </si>
  <si>
    <t xml:space="preserve">La Posada</t>
  </si>
  <si>
    <t xml:space="preserve">Lake Village</t>
  </si>
  <si>
    <t xml:space="preserve">Las Sendas</t>
  </si>
  <si>
    <t xml:space="preserve">Legacy</t>
  </si>
  <si>
    <t xml:space="preserve">Los Ranchitos</t>
  </si>
  <si>
    <t xml:space="preserve">Madera Vista</t>
  </si>
  <si>
    <t xml:space="preserve">Marbella</t>
  </si>
  <si>
    <t xml:space="preserve">Marianna</t>
  </si>
  <si>
    <t xml:space="preserve">Mendicino</t>
  </si>
  <si>
    <t xml:space="preserve">Milano</t>
  </si>
  <si>
    <t xml:space="preserve">Montevina</t>
  </si>
  <si>
    <t xml:space="preserve">Morgan Heights</t>
  </si>
  <si>
    <t xml:space="preserve">New Visions</t>
  </si>
  <si>
    <t xml:space="preserve">Olde Orchard</t>
  </si>
  <si>
    <t xml:space="preserve">Paloma del Sol</t>
  </si>
  <si>
    <t xml:space="preserve">Paseo del Sol</t>
  </si>
  <si>
    <t xml:space="preserve">Quintana</t>
  </si>
  <si>
    <t xml:space="preserve">Rancho Highlands</t>
  </si>
  <si>
    <t xml:space="preserve">Rancho Meadows</t>
  </si>
  <si>
    <t xml:space="preserve">Rancho Vista</t>
  </si>
  <si>
    <t xml:space="preserve">Redhawk</t>
  </si>
  <si>
    <t xml:space="preserve">Reserve</t>
  </si>
  <si>
    <t xml:space="preserve">Ruffino</t>
  </si>
  <si>
    <t xml:space="preserve">Santiago Ranchos</t>
  </si>
  <si>
    <t xml:space="preserve">Saratoga Ridge</t>
  </si>
  <si>
    <t xml:space="preserve">Sombrosa</t>
  </si>
  <si>
    <t xml:space="preserve">Sommerset</t>
  </si>
  <si>
    <t xml:space="preserve">Springside</t>
  </si>
  <si>
    <t xml:space="preserve">Summer Breeze</t>
  </si>
  <si>
    <t xml:space="preserve">Summerhill</t>
  </si>
  <si>
    <t xml:space="preserve">Temecula Creek Village</t>
  </si>
  <si>
    <t xml:space="preserve">Temecula Gardens</t>
  </si>
  <si>
    <t xml:space="preserve">Temecula Ridge</t>
  </si>
  <si>
    <t xml:space="preserve">Temecula Valley Wine Country</t>
  </si>
  <si>
    <t xml:space="preserve">Terracina</t>
  </si>
  <si>
    <t xml:space="preserve">The Fairways</t>
  </si>
  <si>
    <t xml:space="preserve">Toscano</t>
  </si>
  <si>
    <t xml:space="preserve">Vail Creek</t>
  </si>
  <si>
    <t xml:space="preserve">Vail Ranch</t>
  </si>
  <si>
    <t xml:space="preserve">Ventana</t>
  </si>
  <si>
    <t xml:space="preserve">Veranda</t>
  </si>
  <si>
    <t xml:space="preserve">Vernaccia</t>
  </si>
  <si>
    <t xml:space="preserve">Villa Avanti</t>
  </si>
  <si>
    <t xml:space="preserve">Villa Hermosa</t>
  </si>
  <si>
    <t xml:space="preserve">Village Grove</t>
  </si>
  <si>
    <t xml:space="preserve">Villas</t>
  </si>
  <si>
    <t xml:space="preserve">Vintage</t>
  </si>
  <si>
    <t xml:space="preserve">Vintage Hills</t>
  </si>
  <si>
    <t xml:space="preserve">Vintage View</t>
  </si>
  <si>
    <t xml:space="preserve">Windsor Crest</t>
  </si>
  <si>
    <t xml:space="preserve">Wolf Creek</t>
  </si>
  <si>
    <t xml:space="preserve">Acacia</t>
  </si>
  <si>
    <t xml:space="preserve">Arborly</t>
  </si>
  <si>
    <t xml:space="preserve">Canopy</t>
  </si>
  <si>
    <t xml:space="preserve">Canvas</t>
  </si>
  <si>
    <t xml:space="preserve">Domenigoni Valley</t>
  </si>
  <si>
    <t xml:space="preserve">Downtown Winchester</t>
  </si>
  <si>
    <t xml:space="preserve">Dutch Village</t>
  </si>
  <si>
    <t xml:space="preserve">Mahogany Hills</t>
  </si>
  <si>
    <t xml:space="preserve">Medley</t>
  </si>
  <si>
    <t xml:space="preserve">Morningstar Ranch</t>
  </si>
  <si>
    <t xml:space="preserve">Sommers Bend</t>
  </si>
  <si>
    <t xml:space="preserve">Upton</t>
  </si>
  <si>
    <t xml:space="preserve">Willow</t>
  </si>
  <si>
    <t xml:space="preserve">Winchester Ranch</t>
  </si>
  <si>
    <t xml:space="preserve">Home Gardens</t>
  </si>
  <si>
    <t xml:space="preserve">Jasmine Springs</t>
  </si>
  <si>
    <t xml:space="preserve">Corona Spectrum</t>
  </si>
  <si>
    <t xml:space="preserve">Pepper Corner</t>
  </si>
  <si>
    <t xml:space="preserve">Alberhill</t>
  </si>
  <si>
    <t xml:space="preserve">Arcilla</t>
  </si>
  <si>
    <t xml:space="preserve">Dos Lagos</t>
  </si>
  <si>
    <t xml:space="preserve">Horsethief Canyon Ranch</t>
  </si>
  <si>
    <t xml:space="preserve">Terramor</t>
  </si>
  <si>
    <t xml:space="preserve">Auburn Lane Community (Holiday Lights)</t>
  </si>
  <si>
    <t xml:space="preserve">Savannah Oaks</t>
  </si>
  <si>
    <t xml:space="preserve">White Oak</t>
  </si>
  <si>
    <t xml:space="preserve">White Oak Creek</t>
  </si>
  <si>
    <t xml:space="preserve">Ashland Acres</t>
  </si>
  <si>
    <t xml:space="preserve">Canal Gardens</t>
  </si>
  <si>
    <t xml:space="preserve">Citrus Gardens</t>
  </si>
  <si>
    <t xml:space="preserve">Langford Tract</t>
  </si>
  <si>
    <t xml:space="preserve">Lewis Estates</t>
  </si>
  <si>
    <t xml:space="preserve">Mayfair Manor</t>
  </si>
  <si>
    <t xml:space="preserve">Melody Park</t>
  </si>
  <si>
    <t xml:space="preserve">Miller Estates</t>
  </si>
  <si>
    <t xml:space="preserve">Orchard Estates</t>
  </si>
  <si>
    <t xml:space="preserve">Sierra Woods</t>
  </si>
  <si>
    <t xml:space="preserve">Walnut Wood Estates</t>
  </si>
  <si>
    <t xml:space="preserve">Woodcrest Estates</t>
  </si>
  <si>
    <t xml:space="preserve">Autumn Hills Estates</t>
  </si>
  <si>
    <t xml:space="preserve">Clintwood Highlands</t>
  </si>
  <si>
    <t xml:space="preserve">Heritage Park</t>
  </si>
  <si>
    <t xml:space="preserve">Lea Ranch Estates</t>
  </si>
  <si>
    <t xml:space="preserve">Maple Valley Estates</t>
  </si>
  <si>
    <t xml:space="preserve">Monte Vista Estates</t>
  </si>
  <si>
    <t xml:space="preserve">Nanceville</t>
  </si>
  <si>
    <t xml:space="preserve">Westfield</t>
  </si>
  <si>
    <t xml:space="preserve">Myricks Corner</t>
  </si>
  <si>
    <t xml:space="preserve">North Shafter</t>
  </si>
  <si>
    <t xml:space="preserve">South Taft</t>
  </si>
  <si>
    <t xml:space="preserve">Taft Heights</t>
  </si>
  <si>
    <t xml:space="preserve">Matheny</t>
  </si>
  <si>
    <t xml:space="preserve">Sunrise Estates</t>
  </si>
  <si>
    <t xml:space="preserve">Tesori Estates</t>
  </si>
  <si>
    <t xml:space="preserve">Brookside Estates</t>
  </si>
  <si>
    <t xml:space="preserve">Caldwell Ranch</t>
  </si>
  <si>
    <t xml:space="preserve">Caldwell West Estates</t>
  </si>
  <si>
    <t xml:space="preserve">Cameron Creek Ranch</t>
  </si>
  <si>
    <t xml:space="preserve">Copper Creek</t>
  </si>
  <si>
    <t xml:space="preserve">Covington Park</t>
  </si>
  <si>
    <t xml:space="preserve">Crestwood</t>
  </si>
  <si>
    <t xml:space="preserve">Fontana Estates</t>
  </si>
  <si>
    <t xml:space="preserve">Garden Estates</t>
  </si>
  <si>
    <t xml:space="preserve">Gold Creek</t>
  </si>
  <si>
    <t xml:space="preserve">Hidden Acres</t>
  </si>
  <si>
    <t xml:space="preserve">Linwood Ranch</t>
  </si>
  <si>
    <t xml:space="preserve">Lisendra Heights</t>
  </si>
  <si>
    <t xml:space="preserve">Oak Meadow Estates</t>
  </si>
  <si>
    <t xml:space="preserve">Oakcrest</t>
  </si>
  <si>
    <t xml:space="preserve">Packwood Creek Estates</t>
  </si>
  <si>
    <t xml:space="preserve">Rosswood Estates</t>
  </si>
  <si>
    <t xml:space="preserve">Salierno Estates</t>
  </si>
  <si>
    <t xml:space="preserve">Savannah Heights</t>
  </si>
  <si>
    <t xml:space="preserve">Savannah Place</t>
  </si>
  <si>
    <t xml:space="preserve">Sunset West</t>
  </si>
  <si>
    <t xml:space="preserve">Turnberry Place</t>
  </si>
  <si>
    <t xml:space="preserve">Valley Oak</t>
  </si>
  <si>
    <t xml:space="preserve">Village West</t>
  </si>
  <si>
    <t xml:space="preserve">Westport Village</t>
  </si>
  <si>
    <t xml:space="preserve">Westwind</t>
  </si>
  <si>
    <t xml:space="preserve">Amber Crossing</t>
  </si>
  <si>
    <t xml:space="preserve">Ashley Grove</t>
  </si>
  <si>
    <t xml:space="preserve">Ashton Park</t>
  </si>
  <si>
    <t xml:space="preserve">Border Links West</t>
  </si>
  <si>
    <t xml:space="preserve">Cobblestone Estates</t>
  </si>
  <si>
    <t xml:space="preserve">Cobblestone Estates II</t>
  </si>
  <si>
    <t xml:space="preserve">Da Vinci at Bella Sera</t>
  </si>
  <si>
    <t xml:space="preserve">Di Mello Toscana</t>
  </si>
  <si>
    <t xml:space="preserve">Eagle Creek</t>
  </si>
  <si>
    <t xml:space="preserve">Fieldstone Oaks</t>
  </si>
  <si>
    <t xml:space="preserve">Foxwood Estates</t>
  </si>
  <si>
    <t xml:space="preserve">Kayenta Crossing</t>
  </si>
  <si>
    <t xml:space="preserve">La Valencia</t>
  </si>
  <si>
    <t xml:space="preserve">Luisi Ranch</t>
  </si>
  <si>
    <t xml:space="preserve">Marseille</t>
  </si>
  <si>
    <t xml:space="preserve">Northgate Estates</t>
  </si>
  <si>
    <t xml:space="preserve">Oakwood</t>
  </si>
  <si>
    <t xml:space="preserve">Pheasant Ridge</t>
  </si>
  <si>
    <t xml:space="preserve">Quail Run</t>
  </si>
  <si>
    <t xml:space="preserve">Rancho Santa Barbara</t>
  </si>
  <si>
    <t xml:space="preserve">Riggin Ranch</t>
  </si>
  <si>
    <t xml:space="preserve">River Island Ranch</t>
  </si>
  <si>
    <t xml:space="preserve">Serenata</t>
  </si>
  <si>
    <t xml:space="preserve">Shannon Ranch</t>
  </si>
  <si>
    <t xml:space="preserve">Silver Oaks</t>
  </si>
  <si>
    <t xml:space="preserve">Sterling Oaks</t>
  </si>
  <si>
    <t xml:space="preserve">The Lakes</t>
  </si>
  <si>
    <t xml:space="preserve">The Siena</t>
  </si>
  <si>
    <t xml:space="preserve">The Villas at Bella Sera</t>
  </si>
  <si>
    <t xml:space="preserve">Tumble Rose</t>
  </si>
  <si>
    <t xml:space="preserve">Valley Palms</t>
  </si>
  <si>
    <t xml:space="preserve">Ambler</t>
  </si>
  <si>
    <t xml:space="preserve">Bonaventure</t>
  </si>
  <si>
    <t xml:space="preserve">Briarwood Estates</t>
  </si>
  <si>
    <t xml:space="preserve">Cainwood Estates</t>
  </si>
  <si>
    <t xml:space="preserve">Campo Estates</t>
  </si>
  <si>
    <t xml:space="preserve">Candelas</t>
  </si>
  <si>
    <t xml:space="preserve">Casablanca</t>
  </si>
  <si>
    <t xml:space="preserve">Crossroads</t>
  </si>
  <si>
    <t xml:space="preserve">Diamond Creek Estates</t>
  </si>
  <si>
    <t xml:space="preserve">Eagle Glen</t>
  </si>
  <si>
    <t xml:space="preserve">East Oak Estates</t>
  </si>
  <si>
    <t xml:space="preserve">El Rio Estates</t>
  </si>
  <si>
    <t xml:space="preserve">Emerald Creek</t>
  </si>
  <si>
    <t xml:space="preserve">Los Rios</t>
  </si>
  <si>
    <t xml:space="preserve">McAuliff Ranch</t>
  </si>
  <si>
    <t xml:space="preserve">Park Place</t>
  </si>
  <si>
    <t xml:space="preserve">Pine River Ranch Estates</t>
  </si>
  <si>
    <t xml:space="preserve">Rancho Santa Fe Estates</t>
  </si>
  <si>
    <t xml:space="preserve">Reimer</t>
  </si>
  <si>
    <t xml:space="preserve">Riverwood Estates</t>
  </si>
  <si>
    <t xml:space="preserve">South Point Estates</t>
  </si>
  <si>
    <t xml:space="preserve">Sunrise Park</t>
  </si>
  <si>
    <t xml:space="preserve">Sunrise Pointe</t>
  </si>
  <si>
    <t xml:space="preserve">Vista del Sol</t>
  </si>
  <si>
    <t xml:space="preserve">Walnut Breeze</t>
  </si>
  <si>
    <t xml:space="preserve">Wood Ranch</t>
  </si>
  <si>
    <t xml:space="preserve">Dove Creek</t>
  </si>
  <si>
    <t xml:space="preserve">Las Lomas Village</t>
  </si>
  <si>
    <t xml:space="preserve">Vista Dorada</t>
  </si>
  <si>
    <t xml:space="preserve">Woodridge</t>
  </si>
  <si>
    <t xml:space="preserve">Foothill Estates</t>
  </si>
  <si>
    <t xml:space="preserve">Lompoc Village</t>
  </si>
  <si>
    <t xml:space="preserve">Old Wilkerson</t>
  </si>
  <si>
    <t xml:space="preserve">Rocking K</t>
  </si>
  <si>
    <t xml:space="preserve">Rovana</t>
  </si>
  <si>
    <t xml:space="preserve">Starlite Estates</t>
  </si>
  <si>
    <t xml:space="preserve">West Bishop</t>
  </si>
  <si>
    <t xml:space="preserve">Lower Rock Creek Summer Home Tract</t>
  </si>
  <si>
    <t xml:space="preserve">Old Mammoth</t>
  </si>
  <si>
    <t xml:space="preserve">Pine Glade Summer Home Tract</t>
  </si>
  <si>
    <t xml:space="preserve">The Ranches at Snowcreek</t>
  </si>
  <si>
    <t xml:space="preserve">China Lake</t>
  </si>
  <si>
    <t xml:space="preserve">Lodge District</t>
  </si>
  <si>
    <t xml:space="preserve">Riverstone</t>
  </si>
  <si>
    <t xml:space="preserve">Tesoro Viejo</t>
  </si>
  <si>
    <t xml:space="preserve">Herndon</t>
  </si>
  <si>
    <t xml:space="preserve">Highway City</t>
  </si>
  <si>
    <t xml:space="preserve">Alisal</t>
  </si>
  <si>
    <t xml:space="preserve">Williams Ranch</t>
  </si>
  <si>
    <t xml:space="preserve">Crown</t>
  </si>
  <si>
    <t xml:space="preserve">Deer Creek</t>
  </si>
  <si>
    <t xml:space="preserve">East Ranch Business Park</t>
  </si>
  <si>
    <t xml:space="preserve">Forden</t>
  </si>
  <si>
    <t xml:space="preserve">Highland Hills</t>
  </si>
  <si>
    <t xml:space="preserve">Jayne Street</t>
  </si>
  <si>
    <t xml:space="preserve">King City Town Square</t>
  </si>
  <si>
    <t xml:space="preserve">Mesa Business Park</t>
  </si>
  <si>
    <t xml:space="preserve">Millers Ranch</t>
  </si>
  <si>
    <t xml:space="preserve">Mills Ranch</t>
  </si>
  <si>
    <t xml:space="preserve">North Vanderhurst</t>
  </si>
  <si>
    <t xml:space="preserve">Oak Hills</t>
  </si>
  <si>
    <t xml:space="preserve">Pine Meadows</t>
  </si>
  <si>
    <t xml:space="preserve">South Mildred Avenue</t>
  </si>
  <si>
    <t xml:space="preserve">South Third Street</t>
  </si>
  <si>
    <t xml:space="preserve">Sussex Tract</t>
  </si>
  <si>
    <t xml:space="preserve">Via Canada</t>
  </si>
  <si>
    <t xml:space="preserve">Willow Street</t>
  </si>
  <si>
    <t xml:space="preserve">Cimarron Hills</t>
  </si>
  <si>
    <t xml:space="preserve">Country Club Crest</t>
  </si>
  <si>
    <t xml:space="preserve">Glen Cove</t>
  </si>
  <si>
    <t xml:space="preserve">Hunter Ranch</t>
  </si>
  <si>
    <t xml:space="preserve">Northgate</t>
  </si>
  <si>
    <t xml:space="preserve">Somerset Highlands</t>
  </si>
  <si>
    <t xml:space="preserve">East Oakland</t>
  </si>
  <si>
    <t xml:space="preserve">Fruitvale</t>
  </si>
  <si>
    <t xml:space="preserve">Jingletown</t>
  </si>
  <si>
    <t xml:space="preserve">Melrose</t>
  </si>
  <si>
    <t xml:space="preserve">Cleveland Heights</t>
  </si>
  <si>
    <t xml:space="preserve">Clinton</t>
  </si>
  <si>
    <t xml:space="preserve">San Antonio</t>
  </si>
  <si>
    <t xml:space="preserve">7th Street Historic District</t>
  </si>
  <si>
    <t xml:space="preserve">Jack London Square</t>
  </si>
  <si>
    <t xml:space="preserve">Lower Bottoms</t>
  </si>
  <si>
    <t xml:space="preserve">Old Oakland Historic District</t>
  </si>
  <si>
    <t xml:space="preserve">South Prescott</t>
  </si>
  <si>
    <t xml:space="preserve">West Oakland</t>
  </si>
  <si>
    <t xml:space="preserve">Downtown Oakland</t>
  </si>
  <si>
    <t xml:space="preserve">Northlake</t>
  </si>
  <si>
    <t xml:space="preserve">San Pablo Gateway</t>
  </si>
  <si>
    <t xml:space="preserve">Uptown</t>
  </si>
  <si>
    <t xml:space="preserve">Lockwood Gardens</t>
  </si>
  <si>
    <t xml:space="preserve">Atchison Village</t>
  </si>
  <si>
    <t xml:space="preserve">Iron Triangle</t>
  </si>
  <si>
    <t xml:space="preserve">Rheem</t>
  </si>
  <si>
    <t xml:space="preserve">Crown Lower Quad</t>
  </si>
  <si>
    <t xml:space="preserve">Friendly Village</t>
  </si>
  <si>
    <t xml:space="preserve">Imperial Stockton</t>
  </si>
  <si>
    <t xml:space="preserve">Big Trees Village</t>
  </si>
  <si>
    <t xml:space="preserve">Snowshoe Springs</t>
  </si>
  <si>
    <t xml:space="preserve">Rocky Hill</t>
  </si>
  <si>
    <t xml:space="preserve">Wyldewood</t>
  </si>
  <si>
    <t xml:space="preserve">Elissagaray Ranch</t>
  </si>
  <si>
    <t xml:space="preserve">Hidden Lake</t>
  </si>
  <si>
    <t xml:space="preserve">Yosemite Vista</t>
  </si>
  <si>
    <t xml:space="preserve">Bob Hart Square</t>
  </si>
  <si>
    <t xml:space="preserve">Ragsdale</t>
  </si>
  <si>
    <t xml:space="preserve">Spaghetti Acres</t>
  </si>
  <si>
    <t xml:space="preserve">Bellevue Ranch</t>
  </si>
  <si>
    <t xml:space="preserve">Bellview Ranch</t>
  </si>
  <si>
    <t xml:space="preserve">Bystrom</t>
  </si>
  <si>
    <t xml:space="preserve">Shackelford</t>
  </si>
  <si>
    <t xml:space="preserve">Browns Flat</t>
  </si>
  <si>
    <t xml:space="preserve">Cuesta Oaks</t>
  </si>
  <si>
    <t xml:space="preserve">East Sonora</t>
  </si>
  <si>
    <t xml:space="preserve">Greenley Oaks</t>
  </si>
  <si>
    <t xml:space="preserve">Knox Hill</t>
  </si>
  <si>
    <t xml:space="preserve">Saratoga Acres</t>
  </si>
  <si>
    <t xml:space="preserve">Sonora Hills</t>
  </si>
  <si>
    <t xml:space="preserve">Sonora Knolls</t>
  </si>
  <si>
    <t xml:space="preserve">Alden Glen</t>
  </si>
  <si>
    <t xml:space="preserve">Almondwood</t>
  </si>
  <si>
    <t xml:space="preserve">Arbordale</t>
  </si>
  <si>
    <t xml:space="preserve">Arnaudo Village</t>
  </si>
  <si>
    <t xml:space="preserve">Blossom Valley</t>
  </si>
  <si>
    <t xml:space="preserve">Britanny</t>
  </si>
  <si>
    <t xml:space="preserve">Cabrillo Park</t>
  </si>
  <si>
    <t xml:space="preserve">California Marquis</t>
  </si>
  <si>
    <t xml:space="preserve">California Mirage</t>
  </si>
  <si>
    <t xml:space="preserve">Centennial</t>
  </si>
  <si>
    <t xml:space="preserve">Chaparral</t>
  </si>
  <si>
    <t xml:space="preserve">Circle B Ranch</t>
  </si>
  <si>
    <t xml:space="preserve">Corral Hollow Estates</t>
  </si>
  <si>
    <t xml:space="preserve">Countrywood</t>
  </si>
  <si>
    <t xml:space="preserve">Eastgate</t>
  </si>
  <si>
    <t xml:space="preserve">Fine</t>
  </si>
  <si>
    <t xml:space="preserve">Forest Glen</t>
  </si>
  <si>
    <t xml:space="preserve">Fox Hollow</t>
  </si>
  <si>
    <t xml:space="preserve">Greenleaf</t>
  </si>
  <si>
    <t xml:space="preserve">Harvest Landing</t>
  </si>
  <si>
    <t xml:space="preserve">Harvest Ridge</t>
  </si>
  <si>
    <t xml:space="preserve">Hearthstone</t>
  </si>
  <si>
    <t xml:space="preserve">La Bonita Park</t>
  </si>
  <si>
    <t xml:space="preserve">Larkspur Estates</t>
  </si>
  <si>
    <t xml:space="preserve">Meadow Glen</t>
  </si>
  <si>
    <t xml:space="preserve">Mountain View Acres</t>
  </si>
  <si>
    <t xml:space="preserve">Newport Place</t>
  </si>
  <si>
    <t xml:space="preserve">Parker</t>
  </si>
  <si>
    <t xml:space="preserve">Primrose</t>
  </si>
  <si>
    <t xml:space="preserve">Quail Meadows</t>
  </si>
  <si>
    <t xml:space="preserve">Rancho Pacific</t>
  </si>
  <si>
    <t xml:space="preserve">Regency Square</t>
  </si>
  <si>
    <t xml:space="preserve">Rosedale</t>
  </si>
  <si>
    <t xml:space="preserve">Ryland Junction</t>
  </si>
  <si>
    <t xml:space="preserve">Santana</t>
  </si>
  <si>
    <t xml:space="preserve">Schulte Ranch</t>
  </si>
  <si>
    <t xml:space="preserve">Sienna Park</t>
  </si>
  <si>
    <t xml:space="preserve">Spring Meadows</t>
  </si>
  <si>
    <t xml:space="preserve">Summergate</t>
  </si>
  <si>
    <t xml:space="preserve">Sunset Park</t>
  </si>
  <si>
    <t xml:space="preserve">Sycamore Village</t>
  </si>
  <si>
    <t xml:space="preserve">Tennis Village</t>
  </si>
  <si>
    <t xml:space="preserve">Tennis Vista</t>
  </si>
  <si>
    <t xml:space="preserve">The Classics</t>
  </si>
  <si>
    <t xml:space="preserve">Tiburon Village</t>
  </si>
  <si>
    <t xml:space="preserve">Tracy Park</t>
  </si>
  <si>
    <t xml:space="preserve">West Park</t>
  </si>
  <si>
    <t xml:space="preserve">Westchester Green</t>
  </si>
  <si>
    <t xml:space="preserve">Alden Meadows</t>
  </si>
  <si>
    <t xml:space="preserve">Barcelona</t>
  </si>
  <si>
    <t xml:space="preserve">Belconte</t>
  </si>
  <si>
    <t xml:space="preserve">Bridle Creek</t>
  </si>
  <si>
    <t xml:space="preserve">Buena Vista Estates</t>
  </si>
  <si>
    <t xml:space="preserve">Edgewood</t>
  </si>
  <si>
    <t xml:space="preserve">Fairhaven</t>
  </si>
  <si>
    <t xml:space="preserve">Foothill Vista</t>
  </si>
  <si>
    <t xml:space="preserve">Gabriel Estates</t>
  </si>
  <si>
    <t xml:space="preserve">Garden Square</t>
  </si>
  <si>
    <t xml:space="preserve">Glen Creek</t>
  </si>
  <si>
    <t xml:space="preserve">Glenbriar Estates</t>
  </si>
  <si>
    <t xml:space="preserve">Harvest Glen</t>
  </si>
  <si>
    <t xml:space="preserve">Heartland</t>
  </si>
  <si>
    <t xml:space="preserve">Laurelbrook</t>
  </si>
  <si>
    <t xml:space="preserve">Lyon Crossroads</t>
  </si>
  <si>
    <t xml:space="preserve">Pebblebrook</t>
  </si>
  <si>
    <t xml:space="preserve">Pheasant Run</t>
  </si>
  <si>
    <t xml:space="preserve">Presidio</t>
  </si>
  <si>
    <t xml:space="preserve">Redbridge</t>
  </si>
  <si>
    <t xml:space="preserve">San Marco</t>
  </si>
  <si>
    <t xml:space="preserve">Santosha</t>
  </si>
  <si>
    <t xml:space="preserve">Sterling Park</t>
  </si>
  <si>
    <t xml:space="preserve">Tracy Hills</t>
  </si>
  <si>
    <t xml:space="preserve">Victoria Greens</t>
  </si>
  <si>
    <t xml:space="preserve">Westgate</t>
  </si>
  <si>
    <t xml:space="preserve">Altamont</t>
  </si>
  <si>
    <t xml:space="preserve">Bethany</t>
  </si>
  <si>
    <t xml:space="preserve">Cordes</t>
  </si>
  <si>
    <t xml:space="preserve">Hansen</t>
  </si>
  <si>
    <t xml:space="preserve">Questa</t>
  </si>
  <si>
    <t xml:space="preserve">Wicklund</t>
  </si>
  <si>
    <t xml:space="preserve">Cherry Creek</t>
  </si>
  <si>
    <t xml:space="preserve">Clover Creek</t>
  </si>
  <si>
    <t xml:space="preserve">Clover Springs</t>
  </si>
  <si>
    <t xml:space="preserve">Cloverleaf Estates</t>
  </si>
  <si>
    <t xml:space="preserve">Ioli Ranch</t>
  </si>
  <si>
    <t xml:space="preserve">Jefferson Springs</t>
  </si>
  <si>
    <t xml:space="preserve">Jefferson Villas</t>
  </si>
  <si>
    <t xml:space="preserve">Kings Valley</t>
  </si>
  <si>
    <t xml:space="preserve">Rancho De Amigos</t>
  </si>
  <si>
    <t xml:space="preserve">Solar Park</t>
  </si>
  <si>
    <t xml:space="preserve">Sunrise Hills</t>
  </si>
  <si>
    <t xml:space="preserve">Vista Oaks</t>
  </si>
  <si>
    <t xml:space="preserve">Alexander Estates</t>
  </si>
  <si>
    <t xml:space="preserve">Asylum</t>
  </si>
  <si>
    <t xml:space="preserve">Deerwood</t>
  </si>
  <si>
    <t xml:space="preserve">Downtown Ukiah</t>
  </si>
  <si>
    <t xml:space="preserve">El Dorado Estates</t>
  </si>
  <si>
    <t xml:space="preserve">Las Casas Estates</t>
  </si>
  <si>
    <t xml:space="preserve">North Ukiah</t>
  </si>
  <si>
    <t xml:space="preserve">Oak Manor</t>
  </si>
  <si>
    <t xml:space="preserve">Presswood</t>
  </si>
  <si>
    <t xml:space="preserve">Rogina Heights</t>
  </si>
  <si>
    <t xml:space="preserve">Summercreek Village</t>
  </si>
  <si>
    <t xml:space="preserve">The Forks</t>
  </si>
  <si>
    <t xml:space="preserve">Vichy Estates</t>
  </si>
  <si>
    <t xml:space="preserve">Wagenseller</t>
  </si>
  <si>
    <t xml:space="preserve">Muir</t>
  </si>
  <si>
    <t xml:space="preserve">Simerson</t>
  </si>
  <si>
    <t xml:space="preserve">Broadway</t>
  </si>
  <si>
    <t xml:space="preserve">Madaket Plaza</t>
  </si>
  <si>
    <t xml:space="preserve">The West Side</t>
  </si>
  <si>
    <t xml:space="preserve">Eureka Mall Region</t>
  </si>
  <si>
    <t xml:space="preserve">South California</t>
  </si>
  <si>
    <t xml:space="preserve">Gathering Place</t>
  </si>
  <si>
    <t xml:space="preserve">Outdoor Classroom</t>
  </si>
  <si>
    <t xml:space="preserve">Central Davis</t>
  </si>
  <si>
    <t xml:space="preserve">East Davis</t>
  </si>
  <si>
    <t xml:space="preserve">West Davis</t>
  </si>
  <si>
    <t xml:space="preserve">Briggs Ranch</t>
  </si>
  <si>
    <t xml:space="preserve">Empire Ranch</t>
  </si>
  <si>
    <t xml:space="preserve">Folsom Meadows</t>
  </si>
  <si>
    <t xml:space="preserve">Folsom Ranch</t>
  </si>
  <si>
    <t xml:space="preserve">Lexington Hills</t>
  </si>
  <si>
    <t xml:space="preserve">Natoma Station</t>
  </si>
  <si>
    <t xml:space="preserve">Old Town Folsom</t>
  </si>
  <si>
    <t xml:space="preserve">Prairie Oaks</t>
  </si>
  <si>
    <t xml:space="preserve">Represa</t>
  </si>
  <si>
    <t xml:space="preserve">The Parkway</t>
  </si>
  <si>
    <t xml:space="preserve">Brighton Landing</t>
  </si>
  <si>
    <t xml:space="preserve">Leisure Town</t>
  </si>
  <si>
    <t xml:space="preserve">Gold Ridge Forest</t>
  </si>
  <si>
    <t xml:space="preserve">Lakewood Sierra</t>
  </si>
  <si>
    <t xml:space="preserve">Pyramid Creek Tract</t>
  </si>
  <si>
    <t xml:space="preserve">Sciots Camp</t>
  </si>
  <si>
    <t xml:space="preserve">Strawberry Creek Tract</t>
  </si>
  <si>
    <t xml:space="preserve">Strawberry Heights</t>
  </si>
  <si>
    <t xml:space="preserve">Strawberry Meadows</t>
  </si>
  <si>
    <t xml:space="preserve">Strawberry Tract</t>
  </si>
  <si>
    <t xml:space="preserve">Twin Bridges Tract</t>
  </si>
  <si>
    <t xml:space="preserve">Fiddyment Farm</t>
  </si>
  <si>
    <t xml:space="preserve">Solaire</t>
  </si>
  <si>
    <t xml:space="preserve">Seasons at Sterling Meadows</t>
  </si>
  <si>
    <t xml:space="preserve">The Elements at Sterling Meadows</t>
  </si>
  <si>
    <t xml:space="preserve">Crescent Ridge Village</t>
  </si>
  <si>
    <t xml:space="preserve">El Dorado Hills</t>
  </si>
  <si>
    <t xml:space="preserve">La Cresta Village</t>
  </si>
  <si>
    <t xml:space="preserve">Lake Hills Estates</t>
  </si>
  <si>
    <t xml:space="preserve">Ridgeview Village</t>
  </si>
  <si>
    <t xml:space="preserve">Summit Village</t>
  </si>
  <si>
    <t xml:space="preserve">Boulevard Park</t>
  </si>
  <si>
    <t xml:space="preserve">Lavender Heights</t>
  </si>
  <si>
    <t xml:space="preserve">Alkali Flat</t>
  </si>
  <si>
    <t xml:space="preserve">Mansion Flats</t>
  </si>
  <si>
    <t xml:space="preserve">Old Sacramento</t>
  </si>
  <si>
    <t xml:space="preserve">Central Oak Park</t>
  </si>
  <si>
    <t xml:space="preserve">Fairgrounds</t>
  </si>
  <si>
    <t xml:space="preserve">Med Center</t>
  </si>
  <si>
    <t xml:space="preserve">North Oak Park</t>
  </si>
  <si>
    <t xml:space="preserve">Colonial Heights</t>
  </si>
  <si>
    <t xml:space="preserve">Colonial Manor</t>
  </si>
  <si>
    <t xml:space="preserve">Colonial Village</t>
  </si>
  <si>
    <t xml:space="preserve">Lawrence Park</t>
  </si>
  <si>
    <t xml:space="preserve">North City Farms</t>
  </si>
  <si>
    <t xml:space="preserve">South Oak Park</t>
  </si>
  <si>
    <t xml:space="preserve">Tahoe Park East</t>
  </si>
  <si>
    <t xml:space="preserve">Tahoe Park South</t>
  </si>
  <si>
    <t xml:space="preserve">Tallac Village</t>
  </si>
  <si>
    <t xml:space="preserve">West Tahoe Park</t>
  </si>
  <si>
    <t xml:space="preserve">Alpine Apartments</t>
  </si>
  <si>
    <t xml:space="preserve">Country Club Apartments</t>
  </si>
  <si>
    <t xml:space="preserve">Carleton Tract</t>
  </si>
  <si>
    <t xml:space="preserve">Freeport Manor</t>
  </si>
  <si>
    <t xml:space="preserve">Golf Course Terrace</t>
  </si>
  <si>
    <t xml:space="preserve">Little Pocket</t>
  </si>
  <si>
    <t xml:space="preserve">Mangan Park</t>
  </si>
  <si>
    <t xml:space="preserve">South Land Park</t>
  </si>
  <si>
    <t xml:space="preserve">Woodbine</t>
  </si>
  <si>
    <t xml:space="preserve">Parkway</t>
  </si>
  <si>
    <t xml:space="preserve">Valley Hi / North Laguna</t>
  </si>
  <si>
    <t xml:space="preserve">Elder Creek</t>
  </si>
  <si>
    <t xml:space="preserve">Fruitridge Manor</t>
  </si>
  <si>
    <t xml:space="preserve">Parkway-South Sacramento</t>
  </si>
  <si>
    <t xml:space="preserve">South City Farms</t>
  </si>
  <si>
    <t xml:space="preserve">Campus Commons</t>
  </si>
  <si>
    <t xml:space="preserve">La Villita</t>
  </si>
  <si>
    <t xml:space="preserve">Sierra Oaks</t>
  </si>
  <si>
    <t xml:space="preserve">Belvedere</t>
  </si>
  <si>
    <t xml:space="preserve">College Town</t>
  </si>
  <si>
    <t xml:space="preserve">College/Glen</t>
  </si>
  <si>
    <t xml:space="preserve">Granite Regional Park</t>
  </si>
  <si>
    <t xml:space="preserve">New Brighton</t>
  </si>
  <si>
    <t xml:space="preserve">Power Ridge</t>
  </si>
  <si>
    <t xml:space="preserve">Ramona Village</t>
  </si>
  <si>
    <t xml:space="preserve">Rosemont</t>
  </si>
  <si>
    <t xml:space="preserve">Depot Park</t>
  </si>
  <si>
    <t xml:space="preserve">Florin Fruitridge Industrial Park</t>
  </si>
  <si>
    <t xml:space="preserve">Glen Elder</t>
  </si>
  <si>
    <t xml:space="preserve">Morrison Creek</t>
  </si>
  <si>
    <t xml:space="preserve">Southeast Village</t>
  </si>
  <si>
    <t xml:space="preserve">Greenhaven</t>
  </si>
  <si>
    <t xml:space="preserve">Pocket</t>
  </si>
  <si>
    <t xml:space="preserve">Z'berg Park</t>
  </si>
  <si>
    <t xml:space="preserve">Gardenland</t>
  </si>
  <si>
    <t xml:space="preserve">River Gardens</t>
  </si>
  <si>
    <t xml:space="preserve">Gateway West</t>
  </si>
  <si>
    <t xml:space="preserve">Natomas Crossing</t>
  </si>
  <si>
    <t xml:space="preserve">South Natomas</t>
  </si>
  <si>
    <t xml:space="preserve">Sundance Lake</t>
  </si>
  <si>
    <t xml:space="preserve">Natomas Creek</t>
  </si>
  <si>
    <t xml:space="preserve">City Plaza</t>
  </si>
  <si>
    <t xml:space="preserve">No sidewalk riding district</t>
  </si>
  <si>
    <t xml:space="preserve">Rotary Plaza</t>
  </si>
  <si>
    <t xml:space="preserve">Cascade Crossing</t>
  </si>
  <si>
    <t xml:space="preserve">Round Valley Estates</t>
  </si>
  <si>
    <t xml:space="preserve">Banner Crest</t>
  </si>
  <si>
    <t xml:space="preserve">Forest Knolls Estates</t>
  </si>
  <si>
    <t xml:space="preserve">Timber Trails Estates</t>
  </si>
  <si>
    <t xml:space="preserve">Bonnyview Estates</t>
  </si>
  <si>
    <t xml:space="preserve">Englands Subdivision</t>
  </si>
  <si>
    <t xml:space="preserve">Kutras Tract</t>
  </si>
  <si>
    <t xml:space="preserve">Magnolia</t>
  </si>
  <si>
    <t xml:space="preserve">Mary Lake</t>
  </si>
  <si>
    <t xml:space="preserve">Nicolet Estates</t>
  </si>
  <si>
    <t xml:space="preserve">Oak Ridge Subdivision</t>
  </si>
  <si>
    <t xml:space="preserve">Pioneer Park</t>
  </si>
  <si>
    <t xml:space="preserve">Westwood Manor</t>
  </si>
  <si>
    <t xml:space="preserve">Wilsey Subdivision</t>
  </si>
  <si>
    <t xml:space="preserve">Alta Mesa</t>
  </si>
  <si>
    <t xml:space="preserve">Clover Acres</t>
  </si>
  <si>
    <t xml:space="preserve">Clover Creek Village</t>
  </si>
  <si>
    <t xml:space="preserve">Greenway</t>
  </si>
  <si>
    <t xml:space="preserve">Le Mesa</t>
  </si>
  <si>
    <t xml:space="preserve">Meridian Point</t>
  </si>
  <si>
    <t xml:space="preserve">Oak Haven</t>
  </si>
  <si>
    <t xml:space="preserve">Parkside Manor</t>
  </si>
  <si>
    <t xml:space="preserve">Parsons</t>
  </si>
  <si>
    <t xml:space="preserve">Penn Acres</t>
  </si>
  <si>
    <t xml:space="preserve">Potter Manor</t>
  </si>
  <si>
    <t xml:space="preserve">Riverview Estates</t>
  </si>
  <si>
    <t xml:space="preserve">Roesner Subdivision</t>
  </si>
  <si>
    <t xml:space="preserve">Rothers Riverside Subdivision</t>
  </si>
  <si>
    <t xml:space="preserve">Shasta Pines</t>
  </si>
  <si>
    <t xml:space="preserve">Star View</t>
  </si>
  <si>
    <t xml:space="preserve">Terra Vista</t>
  </si>
  <si>
    <t xml:space="preserve">Vicking Village</t>
  </si>
  <si>
    <t xml:space="preserve">Victor Estates</t>
  </si>
  <si>
    <t xml:space="preserve">Brooks Valley</t>
  </si>
  <si>
    <t xml:space="preserve">Buckeye</t>
  </si>
  <si>
    <t xml:space="preserve">Chapparral Terrace</t>
  </si>
  <si>
    <t xml:space="preserve">Clay Street</t>
  </si>
  <si>
    <t xml:space="preserve">Dogwood</t>
  </si>
  <si>
    <t xml:space="preserve">Keswick Estates</t>
  </si>
  <si>
    <t xml:space="preserve">Lancer Hills Estates</t>
  </si>
  <si>
    <t xml:space="preserve">Los Robles</t>
  </si>
  <si>
    <t xml:space="preserve">Meadow Wood</t>
  </si>
  <si>
    <t xml:space="preserve">Monterey Springs</t>
  </si>
  <si>
    <t xml:space="preserve">Mount Vista</t>
  </si>
  <si>
    <t xml:space="preserve">Mountain Shadows</t>
  </si>
  <si>
    <t xml:space="preserve">Mt. Shasta Heights</t>
  </si>
  <si>
    <t xml:space="preserve">Patterson Subdivision</t>
  </si>
  <si>
    <t xml:space="preserve">Quail Hollow</t>
  </si>
  <si>
    <t xml:space="preserve">Quail Ridge</t>
  </si>
  <si>
    <t xml:space="preserve">Redwood Meadows</t>
  </si>
  <si>
    <t xml:space="preserve">Sundial Bridge North Plaza</t>
  </si>
  <si>
    <t xml:space="preserve">The Redwoods</t>
  </si>
  <si>
    <t xml:space="preserve">Windsor Estates</t>
  </si>
  <si>
    <t xml:space="preserve">deer Creek Manor</t>
  </si>
  <si>
    <t xml:space="preserve">Warner Valley</t>
  </si>
  <si>
    <t xml:space="preserve">Willow Creek Summer Homes</t>
  </si>
  <si>
    <t xml:space="preserve">Feather River Park</t>
  </si>
  <si>
    <t xml:space="preserve">Graeagle Meadows</t>
  </si>
  <si>
    <t xml:space="preserve">Valley Ranch</t>
  </si>
  <si>
    <t xml:space="preserve">Villas At Nakoma</t>
  </si>
  <si>
    <t xml:space="preserve">Whitehawk</t>
  </si>
  <si>
    <t xml:space="preserve">Marklee Village</t>
  </si>
  <si>
    <t xml:space="preserve">Shay Creek Summer Home Area</t>
  </si>
  <si>
    <t xml:space="preserve">Sierra Pines Mobile Home Park</t>
  </si>
  <si>
    <t xml:space="preserve">Al Tahoe</t>
  </si>
  <si>
    <t xml:space="preserve">Aloha Isle</t>
  </si>
  <si>
    <t xml:space="preserve">American Legion Tract</t>
  </si>
  <si>
    <t xml:space="preserve">Angora Highlands</t>
  </si>
  <si>
    <t xml:space="preserve">Barton Tract</t>
  </si>
  <si>
    <t xml:space="preserve">Bavarian Isel</t>
  </si>
  <si>
    <t xml:space="preserve">Bijou</t>
  </si>
  <si>
    <t xml:space="preserve">Bijou Park</t>
  </si>
  <si>
    <t xml:space="preserve">Bijou Pines</t>
  </si>
  <si>
    <t xml:space="preserve">Christmas Valley</t>
  </si>
  <si>
    <t xml:space="preserve">Country Club Estates</t>
  </si>
  <si>
    <t xml:space="preserve">Gardner Mountain</t>
  </si>
  <si>
    <t xml:space="preserve">Grass Lake Creek</t>
  </si>
  <si>
    <t xml:space="preserve">Harlow Acres</t>
  </si>
  <si>
    <t xml:space="preserve">Heavenly Valley</t>
  </si>
  <si>
    <t xml:space="preserve">Highland Woods</t>
  </si>
  <si>
    <t xml:space="preserve">Jameson Beach Club</t>
  </si>
  <si>
    <t xml:space="preserve">Johnson Acres</t>
  </si>
  <si>
    <t xml:space="preserve">Juniper Park</t>
  </si>
  <si>
    <t xml:space="preserve">Keller Park</t>
  </si>
  <si>
    <t xml:space="preserve">Lake Christopher</t>
  </si>
  <si>
    <t xml:space="preserve">Lake Tahoe Subdivision</t>
  </si>
  <si>
    <t xml:space="preserve">Lake Valley</t>
  </si>
  <si>
    <t xml:space="preserve">Lakeshore Manor</t>
  </si>
  <si>
    <t xml:space="preserve">Lakeside Lodge</t>
  </si>
  <si>
    <t xml:space="preserve">Lakeview Lodge</t>
  </si>
  <si>
    <t xml:space="preserve">Lakeview Pines</t>
  </si>
  <si>
    <t xml:space="preserve">Lodi Pines</t>
  </si>
  <si>
    <t xml:space="preserve">Lukins Tract</t>
  </si>
  <si>
    <t xml:space="preserve">Makai Isle</t>
  </si>
  <si>
    <t xml:space="preserve">Meadow Heights</t>
  </si>
  <si>
    <t xml:space="preserve">Meadow Lakes</t>
  </si>
  <si>
    <t xml:space="preserve">Montgomery Estates</t>
  </si>
  <si>
    <t xml:space="preserve">Mount Tallac Village</t>
  </si>
  <si>
    <t xml:space="preserve">Mountain View Estates</t>
  </si>
  <si>
    <t xml:space="preserve">Pentagon Tract</t>
  </si>
  <si>
    <t xml:space="preserve">Pinestone</t>
  </si>
  <si>
    <t xml:space="preserve">Pinewood Heights</t>
  </si>
  <si>
    <t xml:space="preserve">Pinewood Park</t>
  </si>
  <si>
    <t xml:space="preserve">Pinewood Terrace</t>
  </si>
  <si>
    <t xml:space="preserve">Pioneer Village</t>
  </si>
  <si>
    <t xml:space="preserve">Rainbow Recreation Residence Tract</t>
  </si>
  <si>
    <t xml:space="preserve">Rancho Bijou</t>
  </si>
  <si>
    <t xml:space="preserve">River Park Estates</t>
  </si>
  <si>
    <t xml:space="preserve">Rolling Wood Heights</t>
  </si>
  <si>
    <t xml:space="preserve">Saint Moritz Isle</t>
  </si>
  <si>
    <t xml:space="preserve">Spring Creek Recreation Residence Tract</t>
  </si>
  <si>
    <t xml:space="preserve">Stateline</t>
  </si>
  <si>
    <t xml:space="preserve">Tahoe Island Park</t>
  </si>
  <si>
    <t xml:space="preserve">Tahoe Keys</t>
  </si>
  <si>
    <t xml:space="preserve">Tahoe Meadows</t>
  </si>
  <si>
    <t xml:space="preserve">Tahoe Paradise</t>
  </si>
  <si>
    <t xml:space="preserve">Tahoe Paradise Addition</t>
  </si>
  <si>
    <t xml:space="preserve">Tahoe Sierra</t>
  </si>
  <si>
    <t xml:space="preserve">Tahoe Valley</t>
  </si>
  <si>
    <t xml:space="preserve">Tahoe Valley Center</t>
  </si>
  <si>
    <t xml:space="preserve">Tallack Park</t>
  </si>
  <si>
    <t xml:space="preserve">Tamarack Subdivision</t>
  </si>
  <si>
    <t xml:space="preserve">Audrain Subdivision</t>
  </si>
  <si>
    <t xml:space="preserve">Huckleberry Ridge Estates</t>
  </si>
  <si>
    <t xml:space="preserve">Neighborhood points (Overture divisions: macrohood / neighborhood / microhood) joined to ZIP polygons by point-in-polygon. ZIPs with no named neighborhood are listed on 'All ZIPs' with a blank Neighborhoods cell.</t>
  </si>
  <si>
    <t xml:space="preserve">Qualifying household estimate</t>
  </si>
  <si>
    <t xml:space="preserve">Estimate basis</t>
  </si>
  <si>
    <t xml:space="preserve">Parcel data unavailable for this county; count pending (see Source Inventory)</t>
  </si>
  <si>
    <t xml:space="preserve">Sandhurst; The Grove; Village II</t>
  </si>
  <si>
    <t xml:space="preserve">Leucadia; Olivenhain; Downtown Encinitas</t>
  </si>
  <si>
    <t xml:space="preserve">Glenshire-Devonshire; Tahoe Donner; Armstrong</t>
  </si>
  <si>
    <t xml:space="preserve">Bay Ho; Clairemont; Clairemont Mesa Gateway</t>
  </si>
  <si>
    <t xml:space="preserve">Ocean View; Outer Mission; St. Mary's Park</t>
  </si>
  <si>
    <t xml:space="preserve">Mar Vista; Culver Garden; Westdale</t>
  </si>
  <si>
    <t xml:space="preserve">Del Prado; Irby Ranch; Ruby Hill</t>
  </si>
  <si>
    <t xml:space="preserve">Centerville District; Niles District; Niles Junction</t>
  </si>
  <si>
    <t xml:space="preserve">La Jolla; Biology Field Station; Campus Services Complex</t>
  </si>
  <si>
    <t xml:space="preserve">La Costa; Bressi Ranch; La Costa Greens</t>
  </si>
  <si>
    <t xml:space="preserve">Rancho Peñasquitos; Torrey Highlands; Greystone Torrey Highlands</t>
  </si>
  <si>
    <t xml:space="preserve">Brentwood; Brentwood Glen; Brentwood Heights</t>
  </si>
  <si>
    <t xml:space="preserve">Pinecrest; Canyon Crest; Casta del Sol</t>
  </si>
  <si>
    <t xml:space="preserve">East Manhattan Beach; Hill Section; Manhattan Village</t>
  </si>
  <si>
    <t xml:space="preserve">Cedar Glen; Grandview Crest; Indian Hills</t>
  </si>
  <si>
    <t xml:space="preserve">Concord Place; Fountain Plaza; Fountain Valley Commercial Area</t>
  </si>
  <si>
    <t xml:space="preserve">Broadway Auto Row; Harrison/Oakland; Montclair</t>
  </si>
  <si>
    <t xml:space="preserve">UCI - North Campus; Bayside Village; Belcourt</t>
  </si>
  <si>
    <t xml:space="preserve">Black Mountain Ranch; 4S Commons; Auberge</t>
  </si>
  <si>
    <t xml:space="preserve">Bridlewood; Bridlewood Country Estates; Bridlewood Lakeside</t>
  </si>
  <si>
    <t xml:space="preserve">Beachwood Canyon; Hollywood Dell; Whitley Heights Historic District</t>
  </si>
  <si>
    <t xml:space="preserve">Alvarado; Decoto; Contempo</t>
  </si>
  <si>
    <t xml:space="preserve">Anderson Ranch; Brookview; California Chateau</t>
  </si>
  <si>
    <t xml:space="preserve">Mid-City; Montezuma Mesa; Alvarado Estates</t>
  </si>
  <si>
    <t xml:space="preserve">Castle Hill; Edgemar; Fairway Park</t>
  </si>
  <si>
    <t xml:space="preserve">Rincon Hill; 50 Beale Street Plaza; 560 Mission Street Plaza</t>
  </si>
  <si>
    <t xml:space="preserve">Dayton Avenue; Glassell Park; Mount Washington</t>
  </si>
  <si>
    <t xml:space="preserve">Cowan Heights; Fairbridge Square; Lemon Heights</t>
  </si>
  <si>
    <t xml:space="preserve">Diamond Heights; Forest Knolls; Sunnyside</t>
  </si>
  <si>
    <t xml:space="preserve">Oakland Hills; Dimond District; Glenview</t>
  </si>
  <si>
    <t xml:space="preserve">California Shadowhawk; Meadow Creek; Northridge Estates</t>
  </si>
  <si>
    <t xml:space="preserve">Rancho Rinconada; Wilson Park; Academic Quad</t>
  </si>
  <si>
    <t xml:space="preserve">Portofino; San Rafael; Compass Pointe</t>
  </si>
  <si>
    <t xml:space="preserve">Altair; Cypress Village; Great Park</t>
  </si>
  <si>
    <t xml:space="preserve">East End; Fernside; Gold Coast</t>
  </si>
  <si>
    <t xml:space="preserve">Bridgehaven; First Neighborhood; Westlake Bay</t>
  </si>
  <si>
    <t xml:space="preserve">Carmel Valley; Pacific Highlands Ranch; Torrey Hills</t>
  </si>
  <si>
    <t xml:space="preserve">Buccaneer Beach; Escondido Junction; Crown Heights</t>
  </si>
  <si>
    <t xml:space="preserve">Carmel Mountain Ranch; Rancho Bernardo; Sabre Springs</t>
  </si>
  <si>
    <t xml:space="preserve">Kearny Mesa; Linda Vista; Alcala Knolls</t>
  </si>
  <si>
    <t xml:space="preserve">Irvington District; Curtner; Snoboy</t>
  </si>
  <si>
    <t xml:space="preserve">Silver Lake Heights; Atwater Village; Elysian Valley</t>
  </si>
  <si>
    <t xml:space="preserve">Balboa Terrace; Ingleside Terraces; Midtown Terrace</t>
  </si>
  <si>
    <t xml:space="preserve">Eastwood; Frances; Kathryn</t>
  </si>
  <si>
    <t xml:space="preserve">Downtown Carlsbad; Farr; Barrio</t>
  </si>
  <si>
    <t xml:space="preserve">Bungalow Heaven; Craftsman Heights; Normandie Heights</t>
  </si>
  <si>
    <t xml:space="preserve">Duveneck - St. Francis; Embarcadero Oaks; Garland</t>
  </si>
  <si>
    <t xml:space="preserve">Echo Park; Hathaway Hills Estates; Angeleno Heights</t>
  </si>
  <si>
    <t xml:space="preserve">Little Beverly Hills; The Mesa; Twin Palms</t>
  </si>
  <si>
    <t xml:space="preserve">Alamo Crest; Alamo Oaks; Creeks of Alamo</t>
  </si>
  <si>
    <t xml:space="preserve">Altamar Meadows; Amber Ridge; Arrowhead Estates</t>
  </si>
  <si>
    <t xml:space="preserve">Adams Point; Grand Lake; Lakeshore</t>
  </si>
  <si>
    <t xml:space="preserve">Mira Mesa; Miramar; Carroll Canyon Gateway</t>
  </si>
  <si>
    <t xml:space="preserve">Del Monte; New Monterey; Downtown Monterey</t>
  </si>
  <si>
    <t xml:space="preserve">Arbor Real; Barron Park; Buena Vista Mobile Home Park</t>
  </si>
  <si>
    <t xml:space="preserve">Fort Rosecrans; Little Portugal; Point Loma Naval Base</t>
  </si>
  <si>
    <t xml:space="preserve">Van Nuys; Van Nuys Neighborhood Council District; Greater Valley Glen Neighborhood Council District</t>
  </si>
  <si>
    <t xml:space="preserve">Altamira; Cantamar; Cottage Row Carlsbad</t>
  </si>
  <si>
    <t xml:space="preserve">Hillcrest; Middletown; Mission Hills</t>
  </si>
  <si>
    <t xml:space="preserve">Community Center; Crescent Park; Downtown North</t>
  </si>
  <si>
    <t xml:space="preserve">Japantown; Luna Park; Hensley Historic District</t>
  </si>
  <si>
    <t xml:space="preserve">El Corazon; Talich; Ocean Hills</t>
  </si>
  <si>
    <t xml:space="preserve">Allied Gardens; Del Cerro; Grantville</t>
  </si>
  <si>
    <t xml:space="preserve">Los Feliz; Little Armenia; Thai Town</t>
  </si>
  <si>
    <t xml:space="preserve">Camelback; College Park; Diablo Valley Estates</t>
  </si>
  <si>
    <t xml:space="preserve">Mission Beach; Pacific Beach; Braemar</t>
  </si>
  <si>
    <t xml:space="preserve">North Park; Latine Corridor; Altadena</t>
  </si>
  <si>
    <t xml:space="preserve">Downtown; Japantown; Little Italy</t>
  </si>
  <si>
    <t xml:space="preserve">Palms; Castle Heights; Reynier Village</t>
  </si>
  <si>
    <t xml:space="preserve">Ocean Beach; Point Loma; Azure Vista</t>
  </si>
  <si>
    <t xml:space="preserve">Bayshores; Harbor Heights; Newport Shores</t>
  </si>
  <si>
    <t xml:space="preserve">Mid-City; West Adams; Cameo Woods</t>
  </si>
  <si>
    <t xml:space="preserve">Mid-Wilshire; Country Club Park; Lafayette Park Square</t>
  </si>
  <si>
    <t xml:space="preserve">Coronado Cays; Crown Island; Coronado Beaches</t>
  </si>
  <si>
    <t xml:space="preserve">Broadmoor; Broadmoor Hills; Cameo Cliffs</t>
  </si>
  <si>
    <t xml:space="preserve">Baird Park; Newton Park; Omaha Heights</t>
  </si>
  <si>
    <t xml:space="preserve">65 Block; 66 Block; 67 Block</t>
  </si>
  <si>
    <t xml:space="preserve">Newbury Park; Arbor Hills; Brighton Lane</t>
  </si>
  <si>
    <t xml:space="preserve">University City; Costa Verde; Genesee Highlands</t>
  </si>
  <si>
    <t xml:space="preserve">Scripps Ranch; Chantemar; Crown Pointe</t>
  </si>
  <si>
    <t xml:space="preserve">Richmond District; Jordan Park; Laurel Heights</t>
  </si>
  <si>
    <t xml:space="preserve">Grossmont; Lake Murray; Rasonia</t>
  </si>
  <si>
    <t xml:space="preserve">Granada Hills; Cagney Ranch Estates; Granada Hills North Neighborhood Council District</t>
  </si>
  <si>
    <t xml:space="preserve">Carlton Hills; Carlton Oaks; Santee Trolley Square</t>
  </si>
  <si>
    <t xml:space="preserve">Buena Vista; Rose Garden; College Park</t>
  </si>
  <si>
    <t xml:space="preserve">Ayers Ranch; Canterbury Village; Canyon Creek</t>
  </si>
  <si>
    <t xml:space="preserve">Lopez/Kagel Canyons; Sylmar; Carey Ranch</t>
  </si>
  <si>
    <t xml:space="preserve">Pacific Estates; Pismo Marsh; Pismo Oaks</t>
  </si>
  <si>
    <t xml:space="preserve">Camarillo Heights; Las Posas Estates; Old Town</t>
  </si>
  <si>
    <t xml:space="preserve">Bay Park; Midway District; Morena</t>
  </si>
  <si>
    <t xml:space="preserve">Larchmont; Little Bangladesh; Wilton Historic District</t>
  </si>
  <si>
    <t xml:space="preserve">Acacia at The Preserve; Agave at The Preserve; Blue Sage at The Preserve</t>
  </si>
  <si>
    <t xml:space="preserve">Del Mar Heights; Del Mar Estates; Del Mar Woods</t>
  </si>
  <si>
    <t xml:space="preserve">San Pedro; La Rambla; Little Italy</t>
  </si>
  <si>
    <t xml:space="preserve">San Elijo Hills; Quail Hill; Creek District</t>
  </si>
  <si>
    <t xml:space="preserve">Bay Terraces; Encanto; Skyline</t>
  </si>
  <si>
    <t xml:space="preserve">Harmon Tract; Poets Corner; San Pablo Park</t>
  </si>
  <si>
    <t xml:space="preserve">City Heights; Somali Town; Azalea Park</t>
  </si>
  <si>
    <t xml:space="preserve">Las Flores Villas; North Ranch Country Club Estates; Oakbrook Townhomes</t>
  </si>
  <si>
    <t xml:space="preserve">Brookside; Calavo Gardens; Howard Gilmore Terrace</t>
  </si>
  <si>
    <t xml:space="preserve">Porter Ranch; Porter Ranch Neighborhood Council District; Aldea at Porter Ranch</t>
  </si>
  <si>
    <t xml:space="preserve">Alpine Peaks; Cathedral Forest; Comstock Acres</t>
  </si>
  <si>
    <t xml:space="preserve">Serra Mesa; Birdland; Civita</t>
  </si>
  <si>
    <t xml:space="preserve">Bostonia; Johnstown; La Cresta</t>
  </si>
  <si>
    <t xml:space="preserve">Golden Hill; Valencia Park; Chollas View</t>
  </si>
  <si>
    <t xml:space="preserve">Westmont; Chesterfield Square; Harvard Park</t>
  </si>
  <si>
    <t xml:space="preserve">Jamacha; Hillsdale; Jamacha Junction</t>
  </si>
  <si>
    <t xml:space="preserve">Altezza; Campobello; Los Trancos</t>
  </si>
  <si>
    <t xml:space="preserve">North Oakland; Hoover-Foster; Idora Park</t>
  </si>
  <si>
    <t xml:space="preserve">View Park-Windsor Hills; Leimert Park Village; Baldwin Hills</t>
  </si>
  <si>
    <t xml:space="preserve">Los Barrancos de Aptos; Royal Oaks; Upper Highlands</t>
  </si>
  <si>
    <t xml:space="preserve">Calabria; Canyon Villas; Islands</t>
  </si>
  <si>
    <t xml:space="preserve">Curtis Park; Land Park; Land Park Terrace</t>
  </si>
  <si>
    <t xml:space="preserve">Little Saigon; Lower Nob Hill; Polk Gulch</t>
  </si>
  <si>
    <t xml:space="preserve">Castle Park; Otay; Sunbow</t>
  </si>
  <si>
    <t xml:space="preserve">Arleta; Arleta Neighborhood Council District; Pacoima</t>
  </si>
  <si>
    <t xml:space="preserve">Alamo Square; Cole Valley; Lower Haight</t>
  </si>
  <si>
    <t xml:space="preserve">Furniture Row; Rancho Santalina; Villa Vista Estates Mobil Home Park</t>
  </si>
  <si>
    <t xml:space="preserve">Quail Hill; Shady Canyon; Turtle Ridge</t>
  </si>
  <si>
    <t xml:space="preserve">Creekbridge; North Salinas; Northridge</t>
  </si>
  <si>
    <t xml:space="preserve">Western Addition; Anza Vista; Fillmore District</t>
  </si>
  <si>
    <t xml:space="preserve">Rancho San Joaquin; San Joaquin Marsh; University Park</t>
  </si>
  <si>
    <t xml:space="preserve">Edna Park; Santa Ana Triangle; Mar-Les</t>
  </si>
  <si>
    <t xml:space="preserve">Cardiff-by-the-Sea; Cardiff Cove; Cardiff Highlands</t>
  </si>
  <si>
    <t xml:space="preserve">Hilltop; Rancho del Rey; Halecrest</t>
  </si>
  <si>
    <t xml:space="preserve">Cedros Ave Design District; Del Mar Downs; Triple Crown Del Mar</t>
  </si>
  <si>
    <t xml:space="preserve">North Hills; North Hills East; North Hills East Neighborhood Council District</t>
  </si>
  <si>
    <t xml:space="preserve">Valencia; The Bungalows; Entrada North</t>
  </si>
  <si>
    <t xml:space="preserve">Monte Fiore; Skypark; The Vineyards</t>
  </si>
  <si>
    <t xml:space="preserve">Westwood; Holmby Hills; Tehrangeles</t>
  </si>
  <si>
    <t xml:space="preserve">Fruitbowl; Kelly Glen Estates; Limeridge</t>
  </si>
  <si>
    <t xml:space="preserve">Melrose Village; Soltaire; Breeze Hill</t>
  </si>
  <si>
    <t xml:space="preserve">Tierrasanta; Aero Ridge; Canyon View</t>
  </si>
  <si>
    <t xml:space="preserve">Downtown; Kit Carson; Los Arboles</t>
  </si>
  <si>
    <t xml:space="preserve">Bayview; Central; Mar Vista</t>
  </si>
  <si>
    <t xml:space="preserve">East Sacramento; McKinley Village; Elmhurst</t>
  </si>
  <si>
    <t xml:space="preserve">Civic Center; Little Italy; Washington</t>
  </si>
  <si>
    <t xml:space="preserve">Glenridge; Rubicon Properties; Rubicon South</t>
  </si>
  <si>
    <t xml:space="preserve">Vermont Knolls; Vermont Vista; Vermont-Slauson</t>
  </si>
  <si>
    <t xml:space="preserve">Cedar Evergreen; Cornerstone Village; Delhi</t>
  </si>
  <si>
    <t xml:space="preserve">Tustin Legacy; Walnut; Westpark</t>
  </si>
  <si>
    <t xml:space="preserve">Laurel West; Arrowhead Ranch; Berta Canyon</t>
  </si>
  <si>
    <t xml:space="preserve">Dogpatch; Potrero Terrace; South Beach</t>
  </si>
  <si>
    <t xml:space="preserve">Everglades Cabins; Frontier Cabins; Ridgeway Cabins</t>
  </si>
  <si>
    <t xml:space="preserve">Sun Valley; Hewitt; North Hollywood Northeast Neighborhood Council District</t>
  </si>
  <si>
    <t xml:space="preserve">Maple Park; Oldtown Salinas; South Salinas</t>
  </si>
  <si>
    <t xml:space="preserve">Fisherman's Wharf; Russian Hill; Telegraph Hill</t>
  </si>
  <si>
    <t xml:space="preserve">Northridge; Devonshire Country Estates; Devonshire Highlands</t>
  </si>
  <si>
    <t xml:space="preserve">Agate Bay; Carnelian Heights; Fulton Acres</t>
  </si>
  <si>
    <t xml:space="preserve">Midtown; Alhambra Triangle; Marshall School</t>
  </si>
  <si>
    <t xml:space="preserve">El Toyon; Las Palmas; Cypress Glen</t>
  </si>
  <si>
    <t xml:space="preserve">Barrio Logan; Logan Heights; Mercado District</t>
  </si>
  <si>
    <t xml:space="preserve">French Court; French Park; Grand Sunrise</t>
  </si>
  <si>
    <t xml:space="preserve">Bicycle District; Melrose Hill; Melrose Hill Historic Preservation Overlay Zone</t>
  </si>
  <si>
    <t xml:space="preserve">Capistrano; Fallbrook Junction; Stuart</t>
  </si>
  <si>
    <t xml:space="preserve">Chamberlands Estates; Nielsen Subdivision; Skyland</t>
  </si>
  <si>
    <t xml:space="preserve">Central-Alameda; Historic South-Central; South Park</t>
  </si>
  <si>
    <t xml:space="preserve">Downtown Berkeley; LeConte; Panoramic Hill</t>
  </si>
  <si>
    <t xml:space="preserve">Parkside Industrial Center; San Fernando Mall; Apostle William T. Broadus Square</t>
  </si>
  <si>
    <t xml:space="preserve">West SoMa; Eagle Plaza; Margaret Douglas Plaza</t>
  </si>
  <si>
    <t xml:space="preserve">Mission Valley; Fashion Valley; Hotel Circle</t>
  </si>
  <si>
    <t xml:space="preserve">Downtown; Gallery Row; Toy District</t>
  </si>
  <si>
    <t xml:space="preserve">Hayes Valley; Union Square; Civic Center</t>
  </si>
  <si>
    <t xml:space="preserve">Chinatown; Dogtown; New Chinatown</t>
  </si>
  <si>
    <t xml:space="preserve">San Ysidro; Beyer Hills; Coral Gate</t>
  </si>
  <si>
    <t xml:space="preserve">Hollywood; Yucca Corridor; Armenian Genocide Memorial Square</t>
  </si>
  <si>
    <t xml:space="preserve">Sorrento Mesa; Sorrento Valley; Torrey Pines</t>
  </si>
  <si>
    <t xml:space="preserve">Atwood Tract; Echo Road Tract; Phillips Park</t>
  </si>
  <si>
    <t xml:space="preserve">Banker's Hill; Downtown San Diego; Asian Pacific Thematic Historic District</t>
  </si>
  <si>
    <t xml:space="preserve">Source</t>
  </si>
  <si>
    <t xml:space="preserve">URL</t>
  </si>
  <si>
    <t xml:space="preserve">Status from build environment</t>
  </si>
  <si>
    <t xml:space="preserve">Data vintage</t>
  </si>
  <si>
    <t xml:space="preserve">Lot size field</t>
  </si>
  <si>
    <t xml:space="preserve">Use code field</t>
  </si>
  <si>
    <t xml:space="preserve">SFR rule</t>
  </si>
  <si>
    <t xml:space="preserve">Coverage %</t>
  </si>
  <si>
    <t xml:space="preserve">Notes</t>
  </si>
  <si>
    <t xml:space="preserve">Statewide</t>
  </si>
  <si>
    <t xml:space="preserve">Redfin Data Center ZIP market tracker</t>
  </si>
  <si>
    <t xml:space="preserve">https://redfin-public-data.s3.us-west-2.amazonaws.com/redfin_market_tracker/zip_code_market_tracker.tsv000.gz</t>
  </si>
  <si>
    <t xml:space="preserve">LIVE (downloaded)</t>
  </si>
  <si>
    <t xml:space="preserve">periods to 2026-05-31; file updated 2026-06-02 14:33:24.470 Z</t>
  </si>
  <si>
    <t xml:space="preserve">n/a</t>
  </si>
  <si>
    <t xml:space="preserve">1620 CA ZIPs with sales in trailing 12 mo</t>
  </si>
  <si>
    <t xml:space="preserve">USED: $/sf tiers, sale price, homes sold</t>
  </si>
  <si>
    <t xml:space="preserve">Zillow Research ZHVI (ZIP, single-family)</t>
  </si>
  <si>
    <t xml:space="preserve">https://files.zillowstatic.com/research/public_csvs/zhvi/Zip_zhvi_uc_sfr_sm_sa_month.csv</t>
  </si>
  <si>
    <t xml:space="preserve">UNREACHABLE (BLOCKED by this environment's network policy (proxy 403))</t>
  </si>
  <si>
    <t xml:space="preserve">unverified</t>
  </si>
  <si>
    <t xml:space="preserve">0%</t>
  </si>
  <si>
    <t xml:space="preserve">NOT USED - BLOCKED by this environment's network policy; cross-check pending</t>
  </si>
  <si>
    <t xml:space="preserve">Census ZCTA boundaries (2024 TIGER, preferred)</t>
  </si>
  <si>
    <t xml:space="preserve">https://www2.census.gov/geo/tiger/TIGER2024/ZCTA520/tl_2024_us_zcta520.zip</t>
  </si>
  <si>
    <t xml:space="preserve">2024</t>
  </si>
  <si>
    <t xml:space="preserve">ZIP polygons</t>
  </si>
  <si>
    <t xml:space="preserve">Census ZCTA boundaries (USED - 2010 TIGER ZCTA mirror)</t>
  </si>
  <si>
    <t xml:space="preserve">https://raw.githubusercontent.com/OpenDataDE/State-zip-code-GeoJSON/master/ca_california_zip_codes_geo.min.json</t>
  </si>
  <si>
    <t xml:space="preserve">LIVE (HTTP 200)</t>
  </si>
  <si>
    <t xml:space="preserve">2010 ZCTA vintage</t>
  </si>
  <si>
    <t xml:space="preserve">1763 CA ZCTAs</t>
  </si>
  <si>
    <t xml:space="preserve">Microsoft US Building Footprints (direct)</t>
  </si>
  <si>
    <t xml:space="preserve">https://minedbuildings.z5.web.core.windows.net/legacy/usbuildings-v2/California.geojson.zip</t>
  </si>
  <si>
    <t xml:space="preserve">direct host unreachable; same Microsoft footprints taken via Overture (below)</t>
  </si>
  <si>
    <t xml:space="preserve">Overture Maps buildings + divisions, release 2026-10-21.0 (AWS S3)</t>
  </si>
  <si>
    <t xml:space="preserve">s3://overturemaps-us-west-2/release/2026-10-21.0/</t>
  </si>
  <si>
    <t xml:space="preserve">2026-10-21.0</t>
  </si>
  <si>
    <t xml:space="preserve">13,668,798 CA footprints assigned to ZIPs</t>
  </si>
  <si>
    <t xml:space="preserve">USED: footprints (incl. Microsoft ML), county / city / neighborhood names</t>
  </si>
  <si>
    <t xml:space="preserve">CA DWR i15_Parcels_Assessor_Lightbox (statewide, 58 counties)</t>
  </si>
  <si>
    <t xml:space="preserve">https://gis.water.ca.gov/arcgis/rest/services/Planning/i15_Parcels_Assessor_Lightbox/MapServer/0</t>
  </si>
  <si>
    <t xml:space="preserve">metadata 2021-07-12; 'updated quarterly' per description (current refresh unverified)</t>
  </si>
  <si>
    <t xml:space="preserve">none (geometry only)</t>
  </si>
  <si>
    <t xml:space="preserve">none</t>
  </si>
  <si>
    <t xml:space="preserve">fields OBJECTID, PARCEL_APN, COUNTYNAME, TAXAPN, SITE_ADDR -&gt; cannot identify SFR</t>
  </si>
  <si>
    <t xml:space="preserve">Regrid (paid fallback for every 'no data' county)</t>
  </si>
  <si>
    <t xml:space="preserve">https://app.regrid.com/store/us/ca</t>
  </si>
  <si>
    <t xml:space="preserve">per county; 58/58 CA counties online</t>
  </si>
  <si>
    <t xml:space="preserve">ll_gissqft (Regrid standard schema)</t>
  </si>
  <si>
    <t xml:space="preserve">usecode / usedesc, lbcs_activity</t>
  </si>
  <si>
    <t xml:space="preserve">2023 list prices: $300/county standard, $8,000 statewide (2026 pricing unverified)</t>
  </si>
  <si>
    <t xml:space="preserve">Alameda County Open Data Hub - Parcels</t>
  </si>
  <si>
    <t xml:space="preserve">https://data.acgov.org/datasets/2b026350b5dd40b18ed7a321fdcdba81</t>
  </si>
  <si>
    <t xml:space="preserve">NO DATA ('portal' source needs a manual export to data/parcels/alameda.gpkg)</t>
  </si>
  <si>
    <t xml:space="preserve">Data Updated 2026-10-04 (hub page snippet)</t>
  </si>
  <si>
    <t xml:space="preserve">none -&gt; polygon area (n/a)</t>
  </si>
  <si>
    <t xml:space="preserve">UseCode</t>
  </si>
  <si>
    <t xml:space="preserve">^1100$</t>
  </si>
  <si>
    <t xml:space="preserve">0% (no data)</t>
  </si>
  <si>
    <t xml:space="preserve">no license stated. Evidence: record count + vintage from hub snippet; UseCode/SitusCity per third-party guide; 1100 = SFR from propinfo.acgov.org/UseCodeList</t>
  </si>
  <si>
    <t xml:space="preserve">none found</t>
  </si>
  <si>
    <t xml:space="preserve">NO DATA (no automated source configured; place a county or Regrid export at data/parcels/alpine.gpkg)</t>
  </si>
  <si>
    <t xml:space="preserve">no free parcel source found (paid/viewer only). Fallback: Regrid</t>
  </si>
  <si>
    <t xml:space="preserve">county parcels (archive)</t>
  </si>
  <si>
    <t xml:space="preserve">NO DATA (no automated source configured; place a county or Regrid export at data/parcels/amador.gpkg)</t>
  </si>
  <si>
    <t xml:space="preserve">viewer only; state-server copy through May 2021. Fallback: Regrid</t>
  </si>
  <si>
    <t xml:space="preserve">NO DATA (no automated source configured; place a county or Regrid export at data/parcels/butte.gpkg)</t>
  </si>
  <si>
    <t xml:space="preserve">2016 copy, license agreement. Fallback: Regrid</t>
  </si>
  <si>
    <t xml:space="preserve">county parcels (portal)</t>
  </si>
  <si>
    <t xml:space="preserve">https://gisdept.calaverasgov.us/FAQs</t>
  </si>
  <si>
    <t xml:space="preserve">NO DATA (no automated source configured; place a county or Regrid export at data/parcels/calaveras.gpkg)</t>
  </si>
  <si>
    <t xml:space="preserve">last updated 2019-01-04 (2020 capture). Fallback: Regrid</t>
  </si>
  <si>
    <t xml:space="preserve">NO DATA (no automated source configured; place a county or Regrid export at data/parcels/colusa.gpkg)</t>
  </si>
  <si>
    <t xml:space="preserve">Contra Costa County GIS Downloads - Assessor Parcels_Public shapefile (monthly)</t>
  </si>
  <si>
    <t xml:space="preserve">https://gis.cccounty.us/Downloads/Assessor/</t>
  </si>
  <si>
    <t xml:space="preserve">NO DATA (SFR use-code rule unverified for this source; not processed)</t>
  </si>
  <si>
    <t xml:space="preserve">monthly; cached listing showed Parcels_Public_September2025.zip</t>
  </si>
  <si>
    <t xml:space="preserve">ACREAGE (acres)</t>
  </si>
  <si>
    <t xml:space="preserve">USE_CODE</t>
  </si>
  <si>
    <t xml:space="preserve">unverified / none</t>
  </si>
  <si>
    <t xml:space="preserve">free; owner not exposed. Evidence: field names per third-party guide</t>
  </si>
  <si>
    <t xml:space="preserve">NO DATA (no automated source configured; place a county or Regrid export at data/parcels/del_norte.gpkg)</t>
  </si>
  <si>
    <t xml:space="preserve">county parcels (arcgis)</t>
  </si>
  <si>
    <t xml:space="preserve">https://gis.eldoradocounty.ca.gov/mapping/rest/services/Property/Parcels/FeatureServer/0</t>
  </si>
  <si>
    <t xml:space="preserve">NO DATA (no automated source configured; place a county or Regrid export at data/parcels/el_dorado.gpkg)</t>
  </si>
  <si>
    <t xml:space="preserve">. Fallback: Regrid</t>
  </si>
  <si>
    <t xml:space="preserve">https://www.fresnocountyca.gov/Departments/Public-Works-and-Planning/maps-and-gis-information</t>
  </si>
  <si>
    <t xml:space="preserve">NO DATA (no automated source configured; place a county or Regrid export at data/parcels/fresno.gpkg)</t>
  </si>
  <si>
    <t xml:space="preserve">shapefile downloads; attributes unverified. Fallback: Regrid</t>
  </si>
  <si>
    <t xml:space="preserve">NO DATA (no automated source configured; place a county or Regrid export at data/parcels/glenn.gpkg)</t>
  </si>
  <si>
    <t xml:space="preserve">https://humboldtgov.org/276/GIS-Data-Download</t>
  </si>
  <si>
    <t xml:space="preserve">NO DATA (no automated source configured; place a county or Regrid export at data/parcels/humboldt.gpkg)</t>
  </si>
  <si>
    <t xml:space="preserve">archived 2015 copy. Fallback: Regrid</t>
  </si>
  <si>
    <t xml:space="preserve">NO DATA (no automated source configured; place a county or Regrid export at data/parcels/imperial.gpkg)</t>
  </si>
  <si>
    <t xml:space="preserve">https://gis.inyo.gov/server/rest/services/ParcelsPublic/MapServer</t>
  </si>
  <si>
    <t xml:space="preserve">NO DATA (no automated source configured; place a county or Regrid export at data/parcels/inyo.gpkg)</t>
  </si>
  <si>
    <t xml:space="preserve">county parcels (paid)</t>
  </si>
  <si>
    <t xml:space="preserve">NO DATA (no automated source configured; place a county or Regrid export at data/parcels/kern.gpkg)</t>
  </si>
  <si>
    <t xml:space="preserve">only a 2013 UCSB archive; Assessor codes 0100-0106 = SFR. Fallback: Regrid</t>
  </si>
  <si>
    <t xml:space="preserve">county parcels (unverified)</t>
  </si>
  <si>
    <t xml:space="preserve">NO DATA (no automated source configured; place a county or Regrid export at data/parcels/kings.gpkg)</t>
  </si>
  <si>
    <t xml:space="preserve">county GIS page; parcel availability unconfirmed. Fallback: Regrid</t>
  </si>
  <si>
    <t xml:space="preserve">NO DATA (no automated source configured; place a county or Regrid export at data/parcels/lake.gpkg)</t>
  </si>
  <si>
    <t xml:space="preserve">NO DATA (no automated source configured; place a county or Regrid export at data/parcels/lassen.gpkg)</t>
  </si>
  <si>
    <t xml:space="preserve">LA County Parcels (LACounty_Cache/LACounty_Parcel MapServer/0)</t>
  </si>
  <si>
    <t xml:space="preserve">https://public.gis.lacounty.gov/public/rest/services/LACounty_Cache/LACounty_Parcel/MapServer/0</t>
  </si>
  <si>
    <t xml:space="preserve">NO DATA (BLOCKED by this environment's network policy (proxy 403))</t>
  </si>
  <si>
    <t xml:space="preserve">^01</t>
  </si>
  <si>
    <t xml:space="preserve">none found; owner names not exposed. Evidence: field names from search-indexed layer pages and the City of Pasadena hub mirror; 0100 = SFR from the LA County Assessor portal</t>
  </si>
  <si>
    <t xml:space="preserve">NO DATA (no automated source configured; place a county or Regrid export at data/parcels/madera.gpkg)</t>
  </si>
  <si>
    <t xml:space="preserve">Marin County GIS Open Data - Parcels</t>
  </si>
  <si>
    <t xml:space="preserve">https://gisopendata.marincounty.gov/datasets/marincounty::parcels/about</t>
  </si>
  <si>
    <t xml:space="preserve">NO DATA ('portal' source needs a manual export to data/parcels/marin.gpkg)</t>
  </si>
  <si>
    <t xml:space="preserve">last updated June 2026 per snippet (monthly)</t>
  </si>
  <si>
    <t xml:space="preserve">^11$</t>
  </si>
  <si>
    <t xml:space="preserve">not survey-accurate. Evidence: use-code field name unverified; code 11 from an obsolete Assessor page</t>
  </si>
  <si>
    <t xml:space="preserve">https://services2.arcgis.com/wEula7SYiezXcdRv/ArcGIS/rest/services/Parcels_Public_View/FeatureServer</t>
  </si>
  <si>
    <t xml:space="preserve">NO DATA (no automated source configured; place a county or Regrid export at data/parcels/mariposa.gpkg)</t>
  </si>
  <si>
    <t xml:space="preserve">daily refresh. Fallback: Regrid</t>
  </si>
  <si>
    <t xml:space="preserve">NO DATA (no automated source configured; place a county or Regrid export at data/parcels/mendocino.gpkg)</t>
  </si>
  <si>
    <t xml:space="preserve">county ArcGIS service mentioned, URL unverified. Fallback: Regrid</t>
  </si>
  <si>
    <t xml:space="preserve">NO DATA (no automated source configured; place a county or Regrid export at data/parcels/merced.gpkg)</t>
  </si>
  <si>
    <t xml:space="preserve">2019 copy. Fallback: Regrid</t>
  </si>
  <si>
    <t xml:space="preserve">NO DATA (no automated source configured; place a county or Regrid export at data/parcels/modoc.gpkg)</t>
  </si>
  <si>
    <t xml:space="preserve">NO DATA (no automated source configured; place a county or Regrid export at data/parcels/mono.gpkg)</t>
  </si>
  <si>
    <t xml:space="preserve">gis.mono.ca.gov, 2014 metadata. Fallback: Regrid</t>
  </si>
  <si>
    <t xml:space="preserve">NO DATA (no automated source configured; place a county or Regrid export at data/parcels/monterey.gpkg)</t>
  </si>
  <si>
    <t xml:space="preserve">NO DATA (no automated source configured; place a county or Regrid export at data/parcels/napa.gpkg)</t>
  </si>
  <si>
    <t xml:space="preserve">registration download, unconfirmed. Fallback: Regrid</t>
  </si>
  <si>
    <t xml:space="preserve">NO DATA (no automated source configured; place a county or Regrid export at data/parcels/nevada.gpkg)</t>
  </si>
  <si>
    <t xml:space="preserve">2020 copy, CC-BY. Fallback: Regrid</t>
  </si>
  <si>
    <t xml:space="preserve">SCAG 2019 Annual Land Use - Orange County (LU19 + ACRES); OC Landbase has no use code</t>
  </si>
  <si>
    <t xml:space="preserve">https://hub.scag.ca.gov/datasets/b56dfdbd6770497ca800506928f36f1e_0</t>
  </si>
  <si>
    <t xml:space="preserve">NO DATA ('portal' source needs a manual export to data/parcels/orange.gpkg)</t>
  </si>
  <si>
    <t xml:space="preserve">2019 parcels / tax roll (collected late 2019-early 2020)</t>
  </si>
  <si>
    <t xml:space="preserve">ACRES (acres)</t>
  </si>
  <si>
    <t xml:space="preserve">LU19</t>
  </si>
  <si>
    <t xml:space="preserve">^111</t>
  </si>
  <si>
    <t xml:space="preserve">no free OC Assessor roll with use codes; county refers to ParcelQuest (paid). Evidence: SCAG hub listing + legend via search snippets; stale (2019)</t>
  </si>
  <si>
    <t xml:space="preserve">NO DATA (no automated source configured; place a county or Regrid export at data/parcels/placer.gpkg)</t>
  </si>
  <si>
    <t xml:space="preserve">2020 Stanford copy. Fallback: Regrid</t>
  </si>
  <si>
    <t xml:space="preserve">county parcels (request)</t>
  </si>
  <si>
    <t xml:space="preserve">https://ca-plumascounty.civicplus.com/2299</t>
  </si>
  <si>
    <t xml:space="preserve">NO DATA (no automated source configured; place a county or Regrid export at data/parcels/plumas.gpkg)</t>
  </si>
  <si>
    <t xml:space="preserve">request-only; data use terms. Fallback: Regrid</t>
  </si>
  <si>
    <t xml:space="preserve">Riverside County OpenData Assessor MapServer / Parcels CREST</t>
  </si>
  <si>
    <t xml:space="preserve">https://gis.countyofriverside.us/arcgis_mapping/rest/services/OpenData/Assessor/MapServer</t>
  </si>
  <si>
    <t xml:space="preserve">NO DATA ('portal' source needs a manual export to data/parcels/riverside.gpkg)</t>
  </si>
  <si>
    <t xml:space="preserve">CLASS_CODE</t>
  </si>
  <si>
    <t xml:space="preserve">bulk owner data paid. Evidence: field names from a City of Palm Springs mirror; layer id unverified</t>
  </si>
  <si>
    <t xml:space="preserve">Sacramento County Open Data - Parcels</t>
  </si>
  <si>
    <t xml:space="preserve">https://data-sacramentocounty.opendata.arcgis.com/datasets/sacramentocounty::parcels</t>
  </si>
  <si>
    <t xml:space="preserve">NO DATA ('portal' source needs a manual export to data/parcels/sacramento.gpkg)</t>
  </si>
  <si>
    <t xml:space="preserve">none -&gt; polygon area (unverified)</t>
  </si>
  <si>
    <t xml:space="preserve">none found. Evidence: display labels only via snippet</t>
  </si>
  <si>
    <t xml:space="preserve">NO DATA (no automated source configured; place a county or Regrid export at data/parcels/san_benito.gpkg)</t>
  </si>
  <si>
    <t xml:space="preserve">2016 copy. Fallback: Regrid</t>
  </si>
  <si>
    <t xml:space="preserve">San Bernardino County Parcel Dataset (open.sbcounty.gov)</t>
  </si>
  <si>
    <t xml:space="preserve">https://open.sbcounty.gov/datasets/san-bernardino-county-parcel-dataset/about</t>
  </si>
  <si>
    <t xml:space="preserve">NO DATA ('portal' source needs a manual export to data/parcels/san_bernardino.gpkg)</t>
  </si>
  <si>
    <t xml:space="preserve">custom license; address/owner redacted (AB 1785). Evidence: attributes unverified; SCAG 2019 covers land use</t>
  </si>
  <si>
    <t xml:space="preserve">SANDAG/SanGIS Parcels (Hosted FeatureServer)</t>
  </si>
  <si>
    <t xml:space="preserve">https://geo.sandag.org/server/rest/services/Hosted/Parcels/FeatureServer/0</t>
  </si>
  <si>
    <t xml:space="preserve">unverified (attributes refreshed weekly per SanGIS)</t>
  </si>
  <si>
    <t xml:space="preserve">acreage (acres)</t>
  </si>
  <si>
    <t xml:space="preserve">nucleus_use_cd</t>
  </si>
  <si>
    <t xml:space="preserve">^11[01]$</t>
  </si>
  <si>
    <t xml:space="preserve">public version excludes owner fields; stacked condo parcels. Evidence: field names via search snippets; 110/111 SFR from a City of San Diego document, not the Assessor</t>
  </si>
  <si>
    <t xml:space="preserve">Assessor Historical Secured Property Tax Rolls (wv5m-vpq2) + Parcels Active and Retired (acdm-wktn)</t>
  </si>
  <si>
    <t xml:space="preserve">https://data.sf.gov/Housing-and-Buildings/Assessor-Historical-Secured-Property-Tax-Rolls/wv5m-vpq2</t>
  </si>
  <si>
    <t xml:space="preserve">NO DATA ('portal' source needs a manual export to data/parcels/san_francisco.gpkg)</t>
  </si>
  <si>
    <t xml:space="preserve">rolls 2007-2024 per page snippet; parcels layer updated 2026-05-24 (data.gov catalog)</t>
  </si>
  <si>
    <t xml:space="preserve">lot_area (unverified)</t>
  </si>
  <si>
    <t xml:space="preserve">use_code</t>
  </si>
  <si>
    <t xml:space="preserve">none found; domain moved data.sfgov.org -&gt; data.sf.gov 2026-09-01. Evidence: Socrata page snippets; SFR code table pa56-ek2h not checked</t>
  </si>
  <si>
    <t xml:space="preserve">county parcels (file)</t>
  </si>
  <si>
    <t xml:space="preserve">https://sjmap.org/GISDataDownload.htm</t>
  </si>
  <si>
    <t xml:space="preserve">NO DATA (no automated source configured; place a county or Regrid export at data/parcels/san_joaquin.gpkg)</t>
  </si>
  <si>
    <t xml:space="preserve">extracts Jan/Jul; latest noted 2025-01-06. Fallback: Regrid</t>
  </si>
  <si>
    <t xml:space="preserve">NO DATA (no automated source configured; place a county or Regrid export at data/parcels/san_luis_obispo.gpkg)</t>
  </si>
  <si>
    <t xml:space="preserve">county refers parcel requests to ParcelQuest. Fallback: Regrid</t>
  </si>
  <si>
    <t xml:space="preserve">San Mateo County GIS Data Download - Active Parcels</t>
  </si>
  <si>
    <t xml:space="preserve">https://www.smcgov.org/tsd/gis-data-download</t>
  </si>
  <si>
    <t xml:space="preserve">NO DATA ('portal' source needs a manual export to data/parcels/san_mateo.gpkg)</t>
  </si>
  <si>
    <t xml:space="preserve">exported daily (per page)</t>
  </si>
  <si>
    <t xml:space="preserve">none found. Evidence: attribute list not verifiable</t>
  </si>
  <si>
    <t xml:space="preserve">https://services3.arcgis.com/hMpg7vsYb74pEKjX</t>
  </si>
  <si>
    <t xml:space="preserve">NO DATA (no automated source configured; place a county or Regrid export at data/parcels/santa_barbara.gpkg)</t>
  </si>
  <si>
    <t xml:space="preserve">unattributed ParcelBaseMap FeatureServer, last edit 2024-06-03. Fallback: Regrid</t>
  </si>
  <si>
    <t xml:space="preserve">County of Santa Clara Open Data - Parcels (ubcd-cewv)</t>
  </si>
  <si>
    <t xml:space="preserve">https://data.sccgov.org/Government/Parcels/ubcd-cewv</t>
  </si>
  <si>
    <t xml:space="preserve">NO DATA ('portal' source needs a manual export to data/parcels/santa_clara.gpkg)</t>
  </si>
  <si>
    <t xml:space="preserve">as of FY 2025 (annual, ~August)</t>
  </si>
  <si>
    <t xml:space="preserve">as-is. Evidence: CSV header via search snippet: no use code -&gt; SFR cannot be identified from free data</t>
  </si>
  <si>
    <t xml:space="preserve">NO DATA (no automated source configured; place a county or Regrid export at data/parcels/santa_cruz.gpkg)</t>
  </si>
  <si>
    <t xml:space="preserve">2015 copy. Fallback: Regrid</t>
  </si>
  <si>
    <t xml:space="preserve">https://gis.shastacounty.gov/arcgis/rest/services/OpenData/Parcels/MapServer/0</t>
  </si>
  <si>
    <t xml:space="preserve">NO DATA (no automated source configured; place a county or Regrid export at data/parcels/shasta.gpkg)</t>
  </si>
  <si>
    <t xml:space="preserve">last updated July 2025. Fallback: Regrid</t>
  </si>
  <si>
    <t xml:space="preserve">NO DATA (no automated source configured; place a county or Regrid export at data/parcels/sierra.gpkg)</t>
  </si>
  <si>
    <t xml:space="preserve">https://www.siskiyoucounty.gov/planning/webform/gis-data-download</t>
  </si>
  <si>
    <t xml:space="preserve">NO DATA (no automated source configured; place a county or Regrid export at data/parcels/siskiyou.gpkg)</t>
  </si>
  <si>
    <t xml:space="preserve">acreage fields; disclaimer. Fallback: Regrid</t>
  </si>
  <si>
    <t xml:space="preserve">https://regis.solanocounty.com/apps</t>
  </si>
  <si>
    <t xml:space="preserve">NO DATA (no automated source configured; place a county or Regrid export at data/parcels/solano.gpkg)</t>
  </si>
  <si>
    <t xml:space="preserve">possible lotsize/usecode on Parcels_Public_Aumentum; ownership unconfirmed. Fallback: Regrid</t>
  </si>
  <si>
    <t xml:space="preserve">https://sonomacounty.gov/administrative-support-and-fiscal-services/clerk-recorder-assessor/assessor/property-data-for-sale-to-the-public</t>
  </si>
  <si>
    <t xml:space="preserve">NO DATA (no automated source configured; place a county or Regrid export at data/parcels/sonoma.gpkg)</t>
  </si>
  <si>
    <t xml:space="preserve">free Parcels Base (no owner); fuller attributes sold. Fallback: Regrid</t>
  </si>
  <si>
    <t xml:space="preserve">https://open-data-stancounty-gis.hub.arcgis.com/</t>
  </si>
  <si>
    <t xml:space="preserve">NO DATA (no automated source configured; place a county or Regrid export at data/parcels/stanislaus.gpkg)</t>
  </si>
  <si>
    <t xml:space="preserve">2019 copy on Berkeley GeoData. Fallback: Regrid</t>
  </si>
  <si>
    <t xml:space="preserve">NO DATA (no automated source configured; place a county or Regrid export at data/parcels/sutter.gpkg)</t>
  </si>
  <si>
    <t xml:space="preserve">NO DATA (no automated source configured; place a county or Regrid export at data/parcels/tehama.gpkg)</t>
  </si>
  <si>
    <t xml:space="preserve">https://services2.arcgis.com/32siQkg0O6da8zFF/ArcGIS/rest/services/Parcel_Service/FeatureServer</t>
  </si>
  <si>
    <t xml:space="preserve">NO DATA (no automated source configured; place a county or Regrid export at data/parcels/trinity.gpkg)</t>
  </si>
  <si>
    <t xml:space="preserve">maxRecordCount 1000. Fallback: Regrid</t>
  </si>
  <si>
    <t xml:space="preserve">NO DATA (no automated source configured; place a county or Regrid export at data/parcels/tulare.gpkg)</t>
  </si>
  <si>
    <t xml:space="preserve">https://tuolumnecounty.ca.gov/385</t>
  </si>
  <si>
    <t xml:space="preserve">NO DATA (no automated source configured; place a county or Regrid export at data/parcels/tuolumne.gpkg)</t>
  </si>
  <si>
    <t xml:space="preserve">free after File Access Request Form. Fallback: Regrid</t>
  </si>
  <si>
    <t xml:space="preserve">Ventura County Parcels Monthly (geometry only) + SCAG 2019 land use for SFR</t>
  </si>
  <si>
    <t xml:space="preserve">https://venturacountydatadownloads-vcitsgis.hub.arcgis.com/datasets/parcels-monthly</t>
  </si>
  <si>
    <t xml:space="preserve">NO DATA ('portal' source needs a manual export to data/parcels/ventura.gpkg)</t>
  </si>
  <si>
    <t xml:space="preserve">monthly per page; preview ~2 years old</t>
  </si>
  <si>
    <t xml:space="preserve">one snippet labels the item 'Private Member'. Evidence: preview fields via snippet</t>
  </si>
  <si>
    <t xml:space="preserve">https://data.sacog.org/datasets/867d6a5e7a2c44c7a4f6e996b2d89561_0</t>
  </si>
  <si>
    <t xml:space="preserve">NO DATA (no automated source configured; place a county or Regrid export at data/parcels/yolo.gpkg)</t>
  </si>
  <si>
    <t xml:space="preserve">SACOG mirror. Fallback: Regrid</t>
  </si>
  <si>
    <t xml:space="preserve">NO DATA (no automated source configured; place a county or Regrid export at data/parcels/yuba.gpkg)</t>
  </si>
  <si>
    <t xml:space="preserve">county GIS catalog; parcel availability unconfirmed. Fallback: Regrid</t>
  </si>
  <si>
    <t xml:space="preserve">Assumptions and configurable thresholds</t>
  </si>
  <si>
    <t xml:space="preserve">Yellow cells drive the live formulas on 'All ZIPs' (tier, weight, scores) and 'By County'. Every value also lives in adu_campaign/config.py; re-run the script to refresh Summary and Valpak.</t>
  </si>
  <si>
    <t xml:space="preserve">Parameter</t>
  </si>
  <si>
    <t xml:space="preserve">Value</t>
  </si>
  <si>
    <t xml:space="preserve">Notes / source</t>
  </si>
  <si>
    <t xml:space="preserve">Tier 1 floor ($/sq ft)</t>
  </si>
  <si>
    <t xml:space="preserve">Brief, criterion 4. Redfin median sale $/sq ft, trailing 12 months</t>
  </si>
  <si>
    <t xml:space="preserve">Tier 2 floor ($/sq ft)</t>
  </si>
  <si>
    <t xml:space="preserve">Brief: second tier</t>
  </si>
  <si>
    <t xml:space="preserve">Tier 3 floor ($/sq ft)</t>
  </si>
  <si>
    <t xml:space="preserve">Brief: third tier</t>
  </si>
  <si>
    <t xml:space="preserve">Tier 1 weight</t>
  </si>
  <si>
    <t xml:space="preserve">Rank score multiplier (our choice: 3/2/1)</t>
  </si>
  <si>
    <t xml:space="preserve">Tier 2 weight</t>
  </si>
  <si>
    <t xml:space="preserve">Rank score multiplier</t>
  </si>
  <si>
    <t xml:space="preserve">Tier 3 weight</t>
  </si>
  <si>
    <t xml:space="preserve">Minimum lot size (sq ft)</t>
  </si>
  <si>
    <t xml:space="preserve">Brief, criterion 2</t>
  </si>
  <si>
    <t xml:space="preserve">Side setback (ft)</t>
  </si>
  <si>
    <t xml:space="preserve">CA state ADU baseline, Gov. Code 66314(d)(7) (formerly 65852.2)</t>
  </si>
  <si>
    <t xml:space="preserve">Rear setback (ft)</t>
  </si>
  <si>
    <t xml:space="preserve">CA state ADU baseline</t>
  </si>
  <si>
    <t xml:space="preserve">Front setback (ft)</t>
  </si>
  <si>
    <t xml:space="preserve">Default assumption from the brief; local codes vary (often 15-25 ft)</t>
  </si>
  <si>
    <t xml:space="preserve">Separation from existing house (ft)</t>
  </si>
  <si>
    <t xml:space="preserve">0 = none assumed (attached ADUs allowed by state law)</t>
  </si>
  <si>
    <t xml:space="preserve">ADU buildable threshold (sq ft)</t>
  </si>
  <si>
    <t xml:space="preserve">Brief, criterion 3</t>
  </si>
  <si>
    <t xml:space="preserve">Large ADU band (sq ft)</t>
  </si>
  <si>
    <t xml:space="preserve">Brief: 'even 1,200 sq ft or more' reported as a separate count</t>
  </si>
  <si>
    <t xml:space="preserve">Footprint-in-parcel overlap minimum</t>
  </si>
  <si>
    <t xml:space="preserve">Share of a footprint's area that must fall inside a parcel to count as that parcel's building</t>
  </si>
  <si>
    <t xml:space="preserve">Thin-sample flag (homes sold, 12 mo)</t>
  </si>
  <si>
    <t xml:space="preserve">ZIPs below this are flagged; tier still assigned</t>
  </si>
  <si>
    <t xml:space="preserve">Redfin property type</t>
  </si>
  <si>
    <t xml:space="preserve">Single Family Residential</t>
  </si>
  <si>
    <t xml:space="preserve">Fallback: All Residential (flagged in '$/sq ft basis')</t>
  </si>
  <si>
    <t xml:space="preserve">Redfin windows used</t>
  </si>
  <si>
    <t xml:space="preserve">2026-05-31, 2026-02-28, 2025-11-30, 2025-08-31</t>
  </si>
  <si>
    <t xml:space="preserve">Four non-overlapping 90-day windows; $/sf and price are homes-sold-weighted averages of window medians</t>
  </si>
  <si>
    <t xml:space="preserve">Redfin file last updated</t>
  </si>
  <si>
    <t xml:space="preserve">2026-06-02 14:33:24.470 Z</t>
  </si>
  <si>
    <t xml:space="preserve">Latest period in the public file; it was ~5 months old at build time</t>
  </si>
  <si>
    <t xml:space="preserve">Overture release</t>
  </si>
  <si>
    <t xml:space="preserve">Building footprints (incl. Microsoft ML) and county/city/neighborhood names</t>
  </si>
  <si>
    <t xml:space="preserve">ZIP boundaries</t>
  </si>
  <si>
    <t xml:space="preserve">2010 TIGER ZCTA mirror (Census host unreachable from the build environment)</t>
  </si>
  <si>
    <t xml:space="preserve">Interim ranking</t>
  </si>
  <si>
    <t xml:space="preserve">Redfin SFR homes sold (12 mo) x tier weight</t>
  </si>
  <si>
    <t xml:space="preserve">Used ONLY where parcel data is missing; replace by re-running with parcel data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</si>
</sst>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"/>
    <numFmt numFmtId="168" formatCode="General"/>
    <numFmt numFmtId="169" formatCode="0.0%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4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8</v>
      </c>
      <c r="B6" s="2" t="n">
        <f aca="false">COUNTIFS('All ZIPs'!$N$2:$N$1878,1,'All ZIPs'!$M$2:$M$1878,TRUE())</f>
        <v>389</v>
      </c>
      <c r="C6" s="2" t="n">
        <f aca="false">SUM($B$6:B6)</f>
        <v>389</v>
      </c>
      <c r="D6" s="6" t="n">
        <f aca="false">SUMIFS('All ZIPs'!$K$2:$K$1878,'All ZIPs'!$N$2:$N$1878,1,'All ZIPs'!$M$2:$M$1878,TRUE())</f>
        <v>48758</v>
      </c>
      <c r="E6" s="2" t="n">
        <f aca="false">COUNTIFS('All ZIPs'!$N$2:$N$1878,1,'All ZIPs'!$M$2:$M$1878,FALSE())</f>
        <v>38</v>
      </c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s">
        <v>9</v>
      </c>
      <c r="B7" s="2" t="n">
        <f aca="false">COUNTIFS('All ZIPs'!$N$2:$N$1878,2,'All ZIPs'!$M$2:$M$1878,TRUE())</f>
        <v>169</v>
      </c>
      <c r="C7" s="2" t="n">
        <f aca="false">SUM($B$6:B7)</f>
        <v>558</v>
      </c>
      <c r="D7" s="6" t="n">
        <f aca="false">SUMIFS('All ZIPs'!$K$2:$K$1878,'All ZIPs'!$N$2:$N$1878,2,'All ZIPs'!$M$2:$M$1878,TRUE())</f>
        <v>22518</v>
      </c>
      <c r="E7" s="2" t="n">
        <f aca="false">COUNTIFS('All ZIPs'!$N$2:$N$1878,2,'All ZIPs'!$M$2:$M$1878,FALSE())</f>
        <v>17</v>
      </c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s">
        <v>10</v>
      </c>
      <c r="B8" s="2" t="n">
        <f aca="false">COUNTIFS('All ZIPs'!$N$2:$N$1878,3,'All ZIPs'!$M$2:$M$1878,TRUE())</f>
        <v>178</v>
      </c>
      <c r="C8" s="2" t="n">
        <f aca="false">SUM($B$6:B8)</f>
        <v>736</v>
      </c>
      <c r="D8" s="6" t="n">
        <f aca="false">SUMIFS('All ZIPs'!$K$2:$K$1878,'All ZIPs'!$N$2:$N$1878,3,'All ZIPs'!$M$2:$M$1878,TRUE())</f>
        <v>24198</v>
      </c>
      <c r="E8" s="2" t="n">
        <f aca="false">COUNTIFS('All ZIPs'!$N$2:$N$1878,3,'All ZIPs'!$M$2:$M$1878,FALSE())</f>
        <v>17</v>
      </c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5" t="s">
        <v>11</v>
      </c>
      <c r="B9" s="2" t="n">
        <f aca="false">SUM(B6:B8)</f>
        <v>736</v>
      </c>
      <c r="C9" s="2"/>
      <c r="D9" s="6" t="n">
        <f aca="false">SUM(D6:D8)</f>
        <v>95474</v>
      </c>
      <c r="E9" s="2" t="n">
        <f aca="false">SUM(E6:E8)</f>
        <v>72</v>
      </c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4" t="s">
        <v>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42" hidden="false" customHeight="true" outlineLevel="0" collapsed="false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7" t="s">
        <v>3</v>
      </c>
      <c r="H11" s="7" t="s">
        <v>19</v>
      </c>
      <c r="I11" s="7" t="s">
        <v>20</v>
      </c>
      <c r="J11" s="7" t="s">
        <v>21</v>
      </c>
      <c r="K11" s="7" t="s">
        <v>22</v>
      </c>
      <c r="L11" s="7" t="s">
        <v>23</v>
      </c>
      <c r="M11" s="7" t="s">
        <v>24</v>
      </c>
    </row>
    <row r="12" customFormat="false" ht="15" hidden="false" customHeight="false" outlineLevel="0" collapsed="false">
      <c r="A12" s="2" t="n">
        <v>1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8</v>
      </c>
      <c r="H12" s="8" t="n">
        <v>811.065578594981</v>
      </c>
      <c r="I12" s="8" t="n">
        <v>1723455.18867925</v>
      </c>
      <c r="J12" s="6" t="n">
        <v>424</v>
      </c>
      <c r="K12" s="2" t="s">
        <v>30</v>
      </c>
      <c r="L12" s="6" t="n">
        <v>1272</v>
      </c>
      <c r="M12" s="2" t="s">
        <v>31</v>
      </c>
    </row>
    <row r="13" customFormat="false" ht="15" hidden="false" customHeight="false" outlineLevel="0" collapsed="false">
      <c r="A13" s="2" t="n">
        <v>2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8</v>
      </c>
      <c r="H13" s="8" t="n">
        <v>704.67240705357</v>
      </c>
      <c r="I13" s="8" t="n">
        <v>1341359.22330097</v>
      </c>
      <c r="J13" s="6" t="n">
        <v>412</v>
      </c>
      <c r="K13" s="2" t="s">
        <v>30</v>
      </c>
      <c r="L13" s="6" t="n">
        <v>1236</v>
      </c>
      <c r="M13" s="2" t="s">
        <v>31</v>
      </c>
    </row>
    <row r="14" customFormat="false" ht="15" hidden="false" customHeight="false" outlineLevel="0" collapsed="false">
      <c r="A14" s="2" t="n">
        <v>3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8</v>
      </c>
      <c r="H14" s="8" t="n">
        <v>1137.94586899351</v>
      </c>
      <c r="I14" s="8" t="n">
        <v>2062863.51706037</v>
      </c>
      <c r="J14" s="6" t="n">
        <v>381</v>
      </c>
      <c r="K14" s="2" t="s">
        <v>30</v>
      </c>
      <c r="L14" s="6" t="n">
        <v>1143</v>
      </c>
      <c r="M14" s="2" t="s">
        <v>31</v>
      </c>
    </row>
    <row r="15" customFormat="false" ht="15" hidden="false" customHeight="false" outlineLevel="0" collapsed="false">
      <c r="A15" s="2" t="n">
        <v>4</v>
      </c>
      <c r="B15" s="2" t="s">
        <v>42</v>
      </c>
      <c r="C15" s="2" t="s">
        <v>43</v>
      </c>
      <c r="D15" s="2" t="s">
        <v>44</v>
      </c>
      <c r="E15" s="2" t="s">
        <v>44</v>
      </c>
      <c r="F15" s="2" t="s">
        <v>45</v>
      </c>
      <c r="G15" s="2" t="s">
        <v>8</v>
      </c>
      <c r="H15" s="8" t="n">
        <v>964.560642842905</v>
      </c>
      <c r="I15" s="8" t="n">
        <v>2278542.00542005</v>
      </c>
      <c r="J15" s="6" t="n">
        <v>369</v>
      </c>
      <c r="K15" s="2" t="s">
        <v>30</v>
      </c>
      <c r="L15" s="6" t="n">
        <v>1107</v>
      </c>
      <c r="M15" s="2" t="s">
        <v>31</v>
      </c>
    </row>
    <row r="16" customFormat="false" ht="15" hidden="false" customHeight="false" outlineLevel="0" collapsed="false">
      <c r="A16" s="2" t="n">
        <v>5</v>
      </c>
      <c r="B16" s="2" t="s">
        <v>46</v>
      </c>
      <c r="C16" s="2" t="s">
        <v>38</v>
      </c>
      <c r="D16" s="2" t="s">
        <v>39</v>
      </c>
      <c r="E16" s="2" t="s">
        <v>40</v>
      </c>
      <c r="F16" s="2" t="s">
        <v>47</v>
      </c>
      <c r="G16" s="2" t="s">
        <v>8</v>
      </c>
      <c r="H16" s="8" t="n">
        <v>1220.49885339804</v>
      </c>
      <c r="I16" s="8" t="n">
        <v>2057880.43478261</v>
      </c>
      <c r="J16" s="6" t="n">
        <v>368</v>
      </c>
      <c r="K16" s="2" t="s">
        <v>30</v>
      </c>
      <c r="L16" s="6" t="n">
        <v>1104</v>
      </c>
      <c r="M16" s="2" t="s">
        <v>31</v>
      </c>
    </row>
    <row r="17" customFormat="false" ht="15" hidden="false" customHeight="false" outlineLevel="0" collapsed="false">
      <c r="A17" s="2" t="n">
        <v>6</v>
      </c>
      <c r="B17" s="2" t="s">
        <v>48</v>
      </c>
      <c r="C17" s="2" t="s">
        <v>49</v>
      </c>
      <c r="D17" s="2" t="s">
        <v>50</v>
      </c>
      <c r="E17" s="2" t="s">
        <v>51</v>
      </c>
      <c r="F17" s="2" t="s">
        <v>52</v>
      </c>
      <c r="G17" s="2" t="s">
        <v>9</v>
      </c>
      <c r="H17" s="8" t="n">
        <v>612.999915490899</v>
      </c>
      <c r="I17" s="8" t="n">
        <v>1264262.6641651</v>
      </c>
      <c r="J17" s="6" t="n">
        <v>533</v>
      </c>
      <c r="K17" s="2" t="s">
        <v>30</v>
      </c>
      <c r="L17" s="6" t="n">
        <v>1066</v>
      </c>
      <c r="M17" s="2" t="s">
        <v>31</v>
      </c>
    </row>
    <row r="18" customFormat="false" ht="15" hidden="false" customHeight="false" outlineLevel="0" collapsed="false">
      <c r="A18" s="2" t="n">
        <v>7</v>
      </c>
      <c r="B18" s="2" t="s">
        <v>53</v>
      </c>
      <c r="C18" s="2" t="s">
        <v>44</v>
      </c>
      <c r="D18" s="2" t="s">
        <v>44</v>
      </c>
      <c r="E18" s="2" t="s">
        <v>44</v>
      </c>
      <c r="F18" s="2" t="s">
        <v>54</v>
      </c>
      <c r="G18" s="2" t="s">
        <v>8</v>
      </c>
      <c r="H18" s="8" t="n">
        <v>805.708453794106</v>
      </c>
      <c r="I18" s="8" t="n">
        <v>1173166.18911175</v>
      </c>
      <c r="J18" s="6" t="n">
        <v>349</v>
      </c>
      <c r="K18" s="2" t="s">
        <v>30</v>
      </c>
      <c r="L18" s="6" t="n">
        <v>1047</v>
      </c>
      <c r="M18" s="2" t="s">
        <v>31</v>
      </c>
    </row>
    <row r="19" customFormat="false" ht="15" hidden="false" customHeight="false" outlineLevel="0" collapsed="false">
      <c r="A19" s="2" t="n">
        <v>8</v>
      </c>
      <c r="B19" s="2" t="s">
        <v>55</v>
      </c>
      <c r="C19" s="2" t="s">
        <v>56</v>
      </c>
      <c r="D19" s="2" t="s">
        <v>56</v>
      </c>
      <c r="E19" s="2" t="s">
        <v>56</v>
      </c>
      <c r="F19" s="2" t="s">
        <v>57</v>
      </c>
      <c r="G19" s="2" t="s">
        <v>8</v>
      </c>
      <c r="H19" s="8" t="n">
        <v>856.09109182091</v>
      </c>
      <c r="I19" s="8" t="n">
        <v>1247670.14925373</v>
      </c>
      <c r="J19" s="6" t="n">
        <v>335</v>
      </c>
      <c r="K19" s="2" t="s">
        <v>30</v>
      </c>
      <c r="L19" s="6" t="n">
        <v>1005</v>
      </c>
      <c r="M19" s="2" t="s">
        <v>31</v>
      </c>
    </row>
    <row r="20" customFormat="false" ht="15" hidden="false" customHeight="false" outlineLevel="0" collapsed="false">
      <c r="A20" s="2" t="n">
        <v>9</v>
      </c>
      <c r="B20" s="2" t="s">
        <v>58</v>
      </c>
      <c r="C20" s="2" t="s">
        <v>59</v>
      </c>
      <c r="D20" s="2" t="s">
        <v>27</v>
      </c>
      <c r="E20" s="2" t="s">
        <v>28</v>
      </c>
      <c r="F20" s="2"/>
      <c r="G20" s="2" t="s">
        <v>8</v>
      </c>
      <c r="H20" s="8" t="n">
        <v>825.072724060913</v>
      </c>
      <c r="I20" s="8" t="n">
        <v>1512396.3963964</v>
      </c>
      <c r="J20" s="6" t="n">
        <v>333</v>
      </c>
      <c r="K20" s="2" t="s">
        <v>30</v>
      </c>
      <c r="L20" s="6" t="n">
        <v>999</v>
      </c>
      <c r="M20" s="2" t="s">
        <v>31</v>
      </c>
    </row>
    <row r="21" customFormat="false" ht="15" hidden="false" customHeight="false" outlineLevel="0" collapsed="false">
      <c r="A21" s="2" t="n">
        <v>10</v>
      </c>
      <c r="B21" s="2" t="s">
        <v>60</v>
      </c>
      <c r="C21" s="2" t="s">
        <v>61</v>
      </c>
      <c r="D21" s="2" t="s">
        <v>62</v>
      </c>
      <c r="E21" s="2" t="s">
        <v>40</v>
      </c>
      <c r="F21" s="2" t="s">
        <v>63</v>
      </c>
      <c r="G21" s="2" t="s">
        <v>8</v>
      </c>
      <c r="H21" s="8" t="n">
        <v>1516.48717108747</v>
      </c>
      <c r="I21" s="8" t="n">
        <v>3999650.91463415</v>
      </c>
      <c r="J21" s="6" t="n">
        <v>328</v>
      </c>
      <c r="K21" s="2" t="s">
        <v>30</v>
      </c>
      <c r="L21" s="6" t="n">
        <v>984</v>
      </c>
      <c r="M21" s="2" t="s">
        <v>31</v>
      </c>
    </row>
    <row r="22" customFormat="false" ht="15" hidden="false" customHeight="false" outlineLevel="0" collapsed="false">
      <c r="A22" s="2" t="n">
        <v>11</v>
      </c>
      <c r="B22" s="2" t="s">
        <v>64</v>
      </c>
      <c r="C22" s="2" t="s">
        <v>38</v>
      </c>
      <c r="D22" s="2" t="s">
        <v>39</v>
      </c>
      <c r="E22" s="2" t="s">
        <v>40</v>
      </c>
      <c r="F22" s="2" t="s">
        <v>65</v>
      </c>
      <c r="G22" s="2" t="s">
        <v>8</v>
      </c>
      <c r="H22" s="8" t="n">
        <v>911.128984012779</v>
      </c>
      <c r="I22" s="8" t="n">
        <v>1504662.57668712</v>
      </c>
      <c r="J22" s="6" t="n">
        <v>326</v>
      </c>
      <c r="K22" s="2" t="s">
        <v>30</v>
      </c>
      <c r="L22" s="6" t="n">
        <v>978</v>
      </c>
      <c r="M22" s="2" t="s">
        <v>31</v>
      </c>
    </row>
    <row r="23" customFormat="false" ht="15" hidden="false" customHeight="false" outlineLevel="0" collapsed="false">
      <c r="A23" s="2" t="n">
        <v>12</v>
      </c>
      <c r="B23" s="2" t="s">
        <v>66</v>
      </c>
      <c r="C23" s="2" t="s">
        <v>67</v>
      </c>
      <c r="D23" s="2" t="s">
        <v>62</v>
      </c>
      <c r="E23" s="2" t="s">
        <v>40</v>
      </c>
      <c r="F23" s="2" t="s">
        <v>68</v>
      </c>
      <c r="G23" s="2" t="s">
        <v>8</v>
      </c>
      <c r="H23" s="8" t="n">
        <v>1691.41660469489</v>
      </c>
      <c r="I23" s="8" t="n">
        <v>3314959.50155763</v>
      </c>
      <c r="J23" s="6" t="n">
        <v>321</v>
      </c>
      <c r="K23" s="2" t="s">
        <v>30</v>
      </c>
      <c r="L23" s="6" t="n">
        <v>963</v>
      </c>
      <c r="M23" s="2" t="s">
        <v>31</v>
      </c>
    </row>
    <row r="24" customFormat="false" ht="15" hidden="false" customHeight="false" outlineLevel="0" collapsed="false">
      <c r="A24" s="2" t="n">
        <v>13</v>
      </c>
      <c r="B24" s="2" t="s">
        <v>69</v>
      </c>
      <c r="C24" s="2" t="s">
        <v>70</v>
      </c>
      <c r="D24" s="2" t="s">
        <v>70</v>
      </c>
      <c r="E24" s="2" t="s">
        <v>71</v>
      </c>
      <c r="F24" s="2" t="s">
        <v>72</v>
      </c>
      <c r="G24" s="2" t="s">
        <v>8</v>
      </c>
      <c r="H24" s="8" t="n">
        <v>1163.80544162614</v>
      </c>
      <c r="I24" s="8" t="n">
        <v>2137363.49206349</v>
      </c>
      <c r="J24" s="6" t="n">
        <v>315</v>
      </c>
      <c r="K24" s="2" t="s">
        <v>30</v>
      </c>
      <c r="L24" s="6" t="n">
        <v>945</v>
      </c>
      <c r="M24" s="2" t="s">
        <v>31</v>
      </c>
    </row>
    <row r="25" customFormat="false" ht="15" hidden="false" customHeight="false" outlineLevel="0" collapsed="false">
      <c r="A25" s="2" t="n">
        <v>14</v>
      </c>
      <c r="B25" s="2" t="s">
        <v>73</v>
      </c>
      <c r="C25" s="2" t="s">
        <v>74</v>
      </c>
      <c r="D25" s="2" t="s">
        <v>34</v>
      </c>
      <c r="E25" s="2" t="s">
        <v>35</v>
      </c>
      <c r="F25" s="2" t="s">
        <v>75</v>
      </c>
      <c r="G25" s="2" t="s">
        <v>8</v>
      </c>
      <c r="H25" s="8" t="n">
        <v>817.192785513433</v>
      </c>
      <c r="I25" s="8" t="n">
        <v>1860016.39344262</v>
      </c>
      <c r="J25" s="6" t="n">
        <v>305</v>
      </c>
      <c r="K25" s="2" t="s">
        <v>30</v>
      </c>
      <c r="L25" s="6" t="n">
        <v>915</v>
      </c>
      <c r="M25" s="2" t="s">
        <v>31</v>
      </c>
    </row>
    <row r="26" customFormat="false" ht="15" hidden="false" customHeight="false" outlineLevel="0" collapsed="false">
      <c r="A26" s="2" t="n">
        <v>15</v>
      </c>
      <c r="B26" s="2" t="s">
        <v>76</v>
      </c>
      <c r="C26" s="2" t="s">
        <v>77</v>
      </c>
      <c r="D26" s="2" t="s">
        <v>70</v>
      </c>
      <c r="E26" s="2" t="s">
        <v>71</v>
      </c>
      <c r="F26" s="2"/>
      <c r="G26" s="2" t="s">
        <v>8</v>
      </c>
      <c r="H26" s="8" t="n">
        <v>789.092994557427</v>
      </c>
      <c r="I26" s="8" t="n">
        <v>1885413.90728477</v>
      </c>
      <c r="J26" s="6" t="n">
        <v>302</v>
      </c>
      <c r="K26" s="2" t="s">
        <v>30</v>
      </c>
      <c r="L26" s="6" t="n">
        <v>906</v>
      </c>
      <c r="M26" s="2" t="s">
        <v>31</v>
      </c>
    </row>
    <row r="27" customFormat="false" ht="15" hidden="false" customHeight="false" outlineLevel="0" collapsed="false">
      <c r="A27" s="2" t="n">
        <v>16</v>
      </c>
      <c r="B27" s="2" t="s">
        <v>78</v>
      </c>
      <c r="C27" s="2" t="s">
        <v>79</v>
      </c>
      <c r="D27" s="2" t="s">
        <v>34</v>
      </c>
      <c r="E27" s="2" t="s">
        <v>35</v>
      </c>
      <c r="F27" s="2"/>
      <c r="G27" s="2" t="s">
        <v>8</v>
      </c>
      <c r="H27" s="8" t="n">
        <v>730.135920536448</v>
      </c>
      <c r="I27" s="8" t="n">
        <v>1573461.27946128</v>
      </c>
      <c r="J27" s="6" t="n">
        <v>297</v>
      </c>
      <c r="K27" s="2" t="s">
        <v>30</v>
      </c>
      <c r="L27" s="6" t="n">
        <v>891</v>
      </c>
      <c r="M27" s="2" t="s">
        <v>31</v>
      </c>
    </row>
    <row r="28" customFormat="false" ht="15" hidden="false" customHeight="false" outlineLevel="0" collapsed="false">
      <c r="A28" s="2" t="n">
        <v>17</v>
      </c>
      <c r="B28" s="2" t="s">
        <v>80</v>
      </c>
      <c r="C28" s="2" t="s">
        <v>81</v>
      </c>
      <c r="D28" s="2" t="s">
        <v>34</v>
      </c>
      <c r="E28" s="2" t="s">
        <v>35</v>
      </c>
      <c r="F28" s="2" t="s">
        <v>82</v>
      </c>
      <c r="G28" s="2" t="s">
        <v>8</v>
      </c>
      <c r="H28" s="8" t="n">
        <v>1002.4840525621</v>
      </c>
      <c r="I28" s="8" t="n">
        <v>1701938.7755102</v>
      </c>
      <c r="J28" s="6" t="n">
        <v>294</v>
      </c>
      <c r="K28" s="2" t="s">
        <v>30</v>
      </c>
      <c r="L28" s="6" t="n">
        <v>882</v>
      </c>
      <c r="M28" s="2" t="s">
        <v>31</v>
      </c>
    </row>
    <row r="29" customFormat="false" ht="15" hidden="false" customHeight="false" outlineLevel="0" collapsed="false">
      <c r="A29" s="2" t="n">
        <v>18</v>
      </c>
      <c r="B29" s="2" t="s">
        <v>83</v>
      </c>
      <c r="C29" s="2" t="s">
        <v>84</v>
      </c>
      <c r="D29" s="2" t="s">
        <v>70</v>
      </c>
      <c r="E29" s="2" t="s">
        <v>71</v>
      </c>
      <c r="F29" s="2"/>
      <c r="G29" s="2" t="s">
        <v>8</v>
      </c>
      <c r="H29" s="8" t="n">
        <v>716.195669540955</v>
      </c>
      <c r="I29" s="8" t="n">
        <v>1068413.79310345</v>
      </c>
      <c r="J29" s="6" t="n">
        <v>290</v>
      </c>
      <c r="K29" s="2" t="s">
        <v>30</v>
      </c>
      <c r="L29" s="6" t="n">
        <v>870</v>
      </c>
      <c r="M29" s="2" t="s">
        <v>31</v>
      </c>
    </row>
    <row r="30" customFormat="false" ht="15" hidden="false" customHeight="false" outlineLevel="0" collapsed="false">
      <c r="A30" s="2" t="n">
        <v>19</v>
      </c>
      <c r="B30" s="2" t="s">
        <v>85</v>
      </c>
      <c r="C30" s="2" t="s">
        <v>86</v>
      </c>
      <c r="D30" s="2" t="s">
        <v>44</v>
      </c>
      <c r="E30" s="2" t="s">
        <v>44</v>
      </c>
      <c r="F30" s="2" t="s">
        <v>87</v>
      </c>
      <c r="G30" s="2" t="s">
        <v>8</v>
      </c>
      <c r="H30" s="8" t="n">
        <v>1361.80366427599</v>
      </c>
      <c r="I30" s="8" t="n">
        <v>3616364.43661972</v>
      </c>
      <c r="J30" s="6" t="n">
        <v>284</v>
      </c>
      <c r="K30" s="2" t="s">
        <v>30</v>
      </c>
      <c r="L30" s="6" t="n">
        <v>852</v>
      </c>
      <c r="M30" s="2" t="s">
        <v>31</v>
      </c>
    </row>
    <row r="31" customFormat="false" ht="15" hidden="false" customHeight="false" outlineLevel="0" collapsed="false">
      <c r="A31" s="2" t="n">
        <v>20</v>
      </c>
      <c r="B31" s="2" t="s">
        <v>88</v>
      </c>
      <c r="C31" s="2" t="s">
        <v>38</v>
      </c>
      <c r="D31" s="2" t="s">
        <v>39</v>
      </c>
      <c r="E31" s="2" t="s">
        <v>40</v>
      </c>
      <c r="F31" s="2" t="s">
        <v>89</v>
      </c>
      <c r="G31" s="2" t="s">
        <v>8</v>
      </c>
      <c r="H31" s="8" t="n">
        <v>1003.07323091338</v>
      </c>
      <c r="I31" s="8" t="n">
        <v>2322145.39007092</v>
      </c>
      <c r="J31" s="6" t="n">
        <v>282</v>
      </c>
      <c r="K31" s="2" t="s">
        <v>30</v>
      </c>
      <c r="L31" s="6" t="n">
        <v>846</v>
      </c>
      <c r="M31" s="2" t="s">
        <v>31</v>
      </c>
    </row>
    <row r="32" customFormat="false" ht="15" hidden="false" customHeight="false" outlineLevel="0" collapsed="false">
      <c r="A32" s="2" t="n">
        <v>21</v>
      </c>
      <c r="B32" s="2" t="s">
        <v>90</v>
      </c>
      <c r="C32" s="2" t="s">
        <v>91</v>
      </c>
      <c r="D32" s="2" t="s">
        <v>44</v>
      </c>
      <c r="E32" s="2" t="s">
        <v>44</v>
      </c>
      <c r="F32" s="2" t="s">
        <v>92</v>
      </c>
      <c r="G32" s="2" t="s">
        <v>8</v>
      </c>
      <c r="H32" s="8" t="n">
        <v>705.440216590367</v>
      </c>
      <c r="I32" s="8" t="n">
        <v>1852998.22064057</v>
      </c>
      <c r="J32" s="6" t="n">
        <v>281</v>
      </c>
      <c r="K32" s="2" t="s">
        <v>30</v>
      </c>
      <c r="L32" s="6" t="n">
        <v>843</v>
      </c>
      <c r="M32" s="2" t="s">
        <v>31</v>
      </c>
    </row>
    <row r="33" customFormat="false" ht="15" hidden="false" customHeight="false" outlineLevel="0" collapsed="false">
      <c r="A33" s="2" t="n">
        <v>22</v>
      </c>
      <c r="B33" s="2" t="s">
        <v>93</v>
      </c>
      <c r="C33" s="2" t="s">
        <v>94</v>
      </c>
      <c r="D33" s="2" t="s">
        <v>95</v>
      </c>
      <c r="E33" s="2" t="s">
        <v>95</v>
      </c>
      <c r="F33" s="2" t="s">
        <v>96</v>
      </c>
      <c r="G33" s="2" t="s">
        <v>8</v>
      </c>
      <c r="H33" s="8" t="n">
        <v>1083.98782984768</v>
      </c>
      <c r="I33" s="8" t="n">
        <v>2277544.80286738</v>
      </c>
      <c r="J33" s="6" t="n">
        <v>279</v>
      </c>
      <c r="K33" s="2" t="s">
        <v>30</v>
      </c>
      <c r="L33" s="6" t="n">
        <v>837</v>
      </c>
      <c r="M33" s="2" t="s">
        <v>31</v>
      </c>
    </row>
    <row r="34" customFormat="false" ht="15" hidden="false" customHeight="false" outlineLevel="0" collapsed="false">
      <c r="A34" s="2" t="n">
        <v>23</v>
      </c>
      <c r="B34" s="2" t="s">
        <v>97</v>
      </c>
      <c r="C34" s="2" t="s">
        <v>44</v>
      </c>
      <c r="D34" s="2" t="s">
        <v>44</v>
      </c>
      <c r="E34" s="2" t="s">
        <v>44</v>
      </c>
      <c r="F34" s="2" t="s">
        <v>98</v>
      </c>
      <c r="G34" s="2" t="s">
        <v>8</v>
      </c>
      <c r="H34" s="8" t="n">
        <v>704.043139310505</v>
      </c>
      <c r="I34" s="8" t="n">
        <v>1376469.31407942</v>
      </c>
      <c r="J34" s="6" t="n">
        <v>277</v>
      </c>
      <c r="K34" s="2" t="s">
        <v>30</v>
      </c>
      <c r="L34" s="6" t="n">
        <v>831</v>
      </c>
      <c r="M34" s="2" t="s">
        <v>31</v>
      </c>
    </row>
    <row r="35" customFormat="false" ht="15" hidden="false" customHeight="false" outlineLevel="0" collapsed="false">
      <c r="A35" s="2" t="n">
        <v>24</v>
      </c>
      <c r="B35" s="2" t="s">
        <v>99</v>
      </c>
      <c r="C35" s="2" t="s">
        <v>84</v>
      </c>
      <c r="D35" s="2" t="s">
        <v>70</v>
      </c>
      <c r="E35" s="2" t="s">
        <v>71</v>
      </c>
      <c r="F35" s="2" t="s">
        <v>100</v>
      </c>
      <c r="G35" s="2" t="s">
        <v>8</v>
      </c>
      <c r="H35" s="8" t="n">
        <v>736.427218139462</v>
      </c>
      <c r="I35" s="8" t="n">
        <v>1136425.45454546</v>
      </c>
      <c r="J35" s="6" t="n">
        <v>275</v>
      </c>
      <c r="K35" s="2" t="s">
        <v>30</v>
      </c>
      <c r="L35" s="6" t="n">
        <v>825</v>
      </c>
      <c r="M35" s="2" t="s">
        <v>31</v>
      </c>
    </row>
    <row r="36" customFormat="false" ht="15" hidden="false" customHeight="false" outlineLevel="0" collapsed="false">
      <c r="A36" s="2" t="n">
        <v>25</v>
      </c>
      <c r="B36" s="2" t="s">
        <v>101</v>
      </c>
      <c r="C36" s="2" t="s">
        <v>70</v>
      </c>
      <c r="D36" s="2" t="s">
        <v>70</v>
      </c>
      <c r="E36" s="2" t="s">
        <v>71</v>
      </c>
      <c r="F36" s="2" t="s">
        <v>102</v>
      </c>
      <c r="G36" s="2" t="s">
        <v>8</v>
      </c>
      <c r="H36" s="8" t="n">
        <v>1323.40196116073</v>
      </c>
      <c r="I36" s="8" t="n">
        <v>4033362.63736264</v>
      </c>
      <c r="J36" s="6" t="n">
        <v>273</v>
      </c>
      <c r="K36" s="2" t="s">
        <v>30</v>
      </c>
      <c r="L36" s="6" t="n">
        <v>819</v>
      </c>
      <c r="M36" s="2" t="s">
        <v>31</v>
      </c>
    </row>
    <row r="37" customFormat="false" ht="15" hidden="false" customHeight="false" outlineLevel="0" collapsed="false">
      <c r="A37" s="2" t="n">
        <v>26</v>
      </c>
      <c r="B37" s="2" t="s">
        <v>103</v>
      </c>
      <c r="C37" s="2" t="s">
        <v>104</v>
      </c>
      <c r="D37" s="2" t="s">
        <v>105</v>
      </c>
      <c r="E37" s="2" t="s">
        <v>51</v>
      </c>
      <c r="F37" s="2" t="s">
        <v>106</v>
      </c>
      <c r="G37" s="2" t="s">
        <v>8</v>
      </c>
      <c r="H37" s="8" t="n">
        <v>827.757867136508</v>
      </c>
      <c r="I37" s="8" t="n">
        <v>2055615.67164179</v>
      </c>
      <c r="J37" s="6" t="n">
        <v>268</v>
      </c>
      <c r="K37" s="2" t="s">
        <v>30</v>
      </c>
      <c r="L37" s="6" t="n">
        <v>804</v>
      </c>
      <c r="M37" s="2" t="s">
        <v>31</v>
      </c>
    </row>
    <row r="38" customFormat="false" ht="15" hidden="false" customHeight="false" outlineLevel="0" collapsed="false">
      <c r="A38" s="2" t="n">
        <v>27</v>
      </c>
      <c r="B38" s="2" t="s">
        <v>107</v>
      </c>
      <c r="C38" s="2" t="s">
        <v>108</v>
      </c>
      <c r="D38" s="2" t="s">
        <v>27</v>
      </c>
      <c r="E38" s="2" t="s">
        <v>28</v>
      </c>
      <c r="F38" s="2" t="s">
        <v>109</v>
      </c>
      <c r="G38" s="2" t="s">
        <v>8</v>
      </c>
      <c r="H38" s="8" t="n">
        <v>1545.47444329389</v>
      </c>
      <c r="I38" s="8" t="n">
        <v>3121949.05660377</v>
      </c>
      <c r="J38" s="6" t="n">
        <v>265</v>
      </c>
      <c r="K38" s="2" t="s">
        <v>30</v>
      </c>
      <c r="L38" s="6" t="n">
        <v>795</v>
      </c>
      <c r="M38" s="2" t="s">
        <v>31</v>
      </c>
    </row>
    <row r="39" customFormat="false" ht="15" hidden="false" customHeight="false" outlineLevel="0" collapsed="false">
      <c r="A39" s="2" t="n">
        <v>28</v>
      </c>
      <c r="B39" s="2" t="s">
        <v>110</v>
      </c>
      <c r="C39" s="2" t="s">
        <v>111</v>
      </c>
      <c r="D39" s="2" t="s">
        <v>62</v>
      </c>
      <c r="E39" s="2" t="s">
        <v>40</v>
      </c>
      <c r="F39" s="2" t="s">
        <v>112</v>
      </c>
      <c r="G39" s="2" t="s">
        <v>8</v>
      </c>
      <c r="H39" s="8" t="n">
        <v>1389.70116361067</v>
      </c>
      <c r="I39" s="8" t="n">
        <v>2696220.75471698</v>
      </c>
      <c r="J39" s="6" t="n">
        <v>265</v>
      </c>
      <c r="K39" s="2" t="s">
        <v>30</v>
      </c>
      <c r="L39" s="6" t="n">
        <v>795</v>
      </c>
      <c r="M39" s="2" t="s">
        <v>31</v>
      </c>
    </row>
    <row r="40" customFormat="false" ht="15" hidden="false" customHeight="false" outlineLevel="0" collapsed="false">
      <c r="A40" s="2" t="n">
        <v>29</v>
      </c>
      <c r="B40" s="2" t="s">
        <v>113</v>
      </c>
      <c r="C40" s="2" t="s">
        <v>38</v>
      </c>
      <c r="D40" s="2" t="s">
        <v>39</v>
      </c>
      <c r="E40" s="2" t="s">
        <v>40</v>
      </c>
      <c r="F40" s="2" t="s">
        <v>114</v>
      </c>
      <c r="G40" s="2" t="s">
        <v>8</v>
      </c>
      <c r="H40" s="8" t="n">
        <v>795.738457063872</v>
      </c>
      <c r="I40" s="8" t="n">
        <v>1173622.64150943</v>
      </c>
      <c r="J40" s="6" t="n">
        <v>265</v>
      </c>
      <c r="K40" s="2" t="s">
        <v>30</v>
      </c>
      <c r="L40" s="6" t="n">
        <v>795</v>
      </c>
      <c r="M40" s="2" t="s">
        <v>31</v>
      </c>
    </row>
    <row r="41" customFormat="false" ht="15" hidden="false" customHeight="false" outlineLevel="0" collapsed="false">
      <c r="A41" s="2" t="n">
        <v>30</v>
      </c>
      <c r="B41" s="2" t="s">
        <v>115</v>
      </c>
      <c r="C41" s="2" t="s">
        <v>116</v>
      </c>
      <c r="D41" s="2" t="s">
        <v>39</v>
      </c>
      <c r="E41" s="2" t="s">
        <v>40</v>
      </c>
      <c r="F41" s="2" t="s">
        <v>117</v>
      </c>
      <c r="G41" s="2" t="s">
        <v>8</v>
      </c>
      <c r="H41" s="8" t="n">
        <v>1663.5655056078</v>
      </c>
      <c r="I41" s="8" t="n">
        <v>2974583.33333333</v>
      </c>
      <c r="J41" s="6" t="n">
        <v>264</v>
      </c>
      <c r="K41" s="2" t="s">
        <v>30</v>
      </c>
      <c r="L41" s="6" t="n">
        <v>792</v>
      </c>
      <c r="M41" s="2" t="s">
        <v>31</v>
      </c>
    </row>
    <row r="42" customFormat="false" ht="15" hidden="false" customHeight="false" outlineLevel="0" collapsed="false">
      <c r="A42" s="2" t="n">
        <v>31</v>
      </c>
      <c r="B42" s="2" t="s">
        <v>118</v>
      </c>
      <c r="C42" s="2" t="s">
        <v>119</v>
      </c>
      <c r="D42" s="2" t="s">
        <v>27</v>
      </c>
      <c r="E42" s="2" t="s">
        <v>28</v>
      </c>
      <c r="F42" s="2" t="s">
        <v>120</v>
      </c>
      <c r="G42" s="2" t="s">
        <v>9</v>
      </c>
      <c r="H42" s="8" t="n">
        <v>657.35357058223</v>
      </c>
      <c r="I42" s="8" t="n">
        <v>1260146.83544304</v>
      </c>
      <c r="J42" s="6" t="n">
        <v>395</v>
      </c>
      <c r="K42" s="2" t="s">
        <v>30</v>
      </c>
      <c r="L42" s="6" t="n">
        <v>790</v>
      </c>
      <c r="M42" s="2" t="s">
        <v>31</v>
      </c>
    </row>
    <row r="43" customFormat="false" ht="15" hidden="false" customHeight="false" outlineLevel="0" collapsed="false">
      <c r="A43" s="2" t="n">
        <v>32</v>
      </c>
      <c r="B43" s="2" t="s">
        <v>121</v>
      </c>
      <c r="C43" s="2" t="s">
        <v>122</v>
      </c>
      <c r="D43" s="2" t="s">
        <v>70</v>
      </c>
      <c r="E43" s="2" t="s">
        <v>71</v>
      </c>
      <c r="F43" s="2" t="s">
        <v>123</v>
      </c>
      <c r="G43" s="2" t="s">
        <v>8</v>
      </c>
      <c r="H43" s="8" t="n">
        <v>1449.41733112148</v>
      </c>
      <c r="I43" s="8" t="n">
        <v>3598793.10344828</v>
      </c>
      <c r="J43" s="6" t="n">
        <v>261</v>
      </c>
      <c r="K43" s="2" t="s">
        <v>30</v>
      </c>
      <c r="L43" s="6" t="n">
        <v>783</v>
      </c>
      <c r="M43" s="2" t="s">
        <v>31</v>
      </c>
    </row>
    <row r="44" customFormat="false" ht="15" hidden="false" customHeight="false" outlineLevel="0" collapsed="false">
      <c r="A44" s="2" t="n">
        <v>33</v>
      </c>
      <c r="B44" s="2" t="s">
        <v>124</v>
      </c>
      <c r="C44" s="2" t="s">
        <v>125</v>
      </c>
      <c r="D44" s="2" t="s">
        <v>27</v>
      </c>
      <c r="E44" s="2" t="s">
        <v>28</v>
      </c>
      <c r="F44" s="2" t="s">
        <v>126</v>
      </c>
      <c r="G44" s="2" t="s">
        <v>9</v>
      </c>
      <c r="H44" s="8" t="n">
        <v>673.056528140833</v>
      </c>
      <c r="I44" s="8" t="n">
        <v>1358912.82051282</v>
      </c>
      <c r="J44" s="6" t="n">
        <v>390</v>
      </c>
      <c r="K44" s="2" t="s">
        <v>30</v>
      </c>
      <c r="L44" s="6" t="n">
        <v>780</v>
      </c>
      <c r="M44" s="2" t="s">
        <v>31</v>
      </c>
    </row>
    <row r="45" customFormat="false" ht="15" hidden="false" customHeight="false" outlineLevel="0" collapsed="false">
      <c r="A45" s="2" t="n">
        <v>34</v>
      </c>
      <c r="B45" s="2" t="s">
        <v>127</v>
      </c>
      <c r="C45" s="2" t="s">
        <v>128</v>
      </c>
      <c r="D45" s="2" t="s">
        <v>27</v>
      </c>
      <c r="E45" s="2" t="s">
        <v>28</v>
      </c>
      <c r="F45" s="2" t="s">
        <v>129</v>
      </c>
      <c r="G45" s="2" t="s">
        <v>8</v>
      </c>
      <c r="H45" s="8" t="n">
        <v>731.407989552322</v>
      </c>
      <c r="I45" s="8" t="n">
        <v>1513430.23255814</v>
      </c>
      <c r="J45" s="6" t="n">
        <v>258</v>
      </c>
      <c r="K45" s="2" t="s">
        <v>30</v>
      </c>
      <c r="L45" s="6" t="n">
        <v>774</v>
      </c>
      <c r="M45" s="2" t="s">
        <v>31</v>
      </c>
    </row>
    <row r="46" customFormat="false" ht="15" hidden="false" customHeight="false" outlineLevel="0" collapsed="false">
      <c r="A46" s="2" t="n">
        <v>35</v>
      </c>
      <c r="B46" s="2" t="s">
        <v>130</v>
      </c>
      <c r="C46" s="2" t="s">
        <v>56</v>
      </c>
      <c r="D46" s="2" t="s">
        <v>56</v>
      </c>
      <c r="E46" s="2" t="s">
        <v>56</v>
      </c>
      <c r="F46" s="2" t="s">
        <v>131</v>
      </c>
      <c r="G46" s="2" t="s">
        <v>8</v>
      </c>
      <c r="H46" s="8" t="n">
        <v>1088.69324287834</v>
      </c>
      <c r="I46" s="8" t="n">
        <v>1544831.39534884</v>
      </c>
      <c r="J46" s="6" t="n">
        <v>258</v>
      </c>
      <c r="K46" s="2" t="s">
        <v>30</v>
      </c>
      <c r="L46" s="6" t="n">
        <v>774</v>
      </c>
      <c r="M46" s="2" t="s">
        <v>31</v>
      </c>
    </row>
    <row r="47" customFormat="false" ht="15" hidden="false" customHeight="false" outlineLevel="0" collapsed="false">
      <c r="A47" s="2" t="n">
        <v>36</v>
      </c>
      <c r="B47" s="2" t="s">
        <v>132</v>
      </c>
      <c r="C47" s="2" t="s">
        <v>133</v>
      </c>
      <c r="D47" s="2" t="s">
        <v>34</v>
      </c>
      <c r="E47" s="2" t="s">
        <v>35</v>
      </c>
      <c r="F47" s="2" t="s">
        <v>134</v>
      </c>
      <c r="G47" s="2" t="s">
        <v>9</v>
      </c>
      <c r="H47" s="8" t="n">
        <v>686.281506579663</v>
      </c>
      <c r="I47" s="8" t="n">
        <v>1441336.78756477</v>
      </c>
      <c r="J47" s="6" t="n">
        <v>386</v>
      </c>
      <c r="K47" s="2" t="s">
        <v>30</v>
      </c>
      <c r="L47" s="6" t="n">
        <v>772</v>
      </c>
      <c r="M47" s="2" t="s">
        <v>31</v>
      </c>
    </row>
    <row r="48" customFormat="false" ht="15" hidden="false" customHeight="false" outlineLevel="0" collapsed="false">
      <c r="A48" s="2" t="n">
        <v>37</v>
      </c>
      <c r="B48" s="2" t="s">
        <v>135</v>
      </c>
      <c r="C48" s="2" t="s">
        <v>136</v>
      </c>
      <c r="D48" s="2" t="s">
        <v>34</v>
      </c>
      <c r="E48" s="2" t="s">
        <v>35</v>
      </c>
      <c r="F48" s="2"/>
      <c r="G48" s="2" t="s">
        <v>8</v>
      </c>
      <c r="H48" s="8" t="n">
        <v>837.303637239059</v>
      </c>
      <c r="I48" s="8" t="n">
        <v>1415045.09803922</v>
      </c>
      <c r="J48" s="6" t="n">
        <v>255</v>
      </c>
      <c r="K48" s="2" t="s">
        <v>30</v>
      </c>
      <c r="L48" s="6" t="n">
        <v>765</v>
      </c>
      <c r="M48" s="2" t="s">
        <v>31</v>
      </c>
    </row>
    <row r="49" customFormat="false" ht="15" hidden="false" customHeight="false" outlineLevel="0" collapsed="false">
      <c r="A49" s="2" t="n">
        <v>38</v>
      </c>
      <c r="B49" s="2" t="s">
        <v>137</v>
      </c>
      <c r="C49" s="2" t="s">
        <v>138</v>
      </c>
      <c r="D49" s="2" t="s">
        <v>27</v>
      </c>
      <c r="E49" s="2" t="s">
        <v>28</v>
      </c>
      <c r="F49" s="2" t="s">
        <v>139</v>
      </c>
      <c r="G49" s="2" t="s">
        <v>8</v>
      </c>
      <c r="H49" s="8" t="n">
        <v>1380.83998942141</v>
      </c>
      <c r="I49" s="8" t="n">
        <v>3893911.41732283</v>
      </c>
      <c r="J49" s="6" t="n">
        <v>254</v>
      </c>
      <c r="K49" s="2" t="s">
        <v>30</v>
      </c>
      <c r="L49" s="6" t="n">
        <v>762</v>
      </c>
      <c r="M49" s="2" t="s">
        <v>31</v>
      </c>
    </row>
    <row r="50" customFormat="false" ht="15" hidden="false" customHeight="false" outlineLevel="0" collapsed="false">
      <c r="A50" s="2" t="n">
        <v>39</v>
      </c>
      <c r="B50" s="2" t="s">
        <v>140</v>
      </c>
      <c r="C50" s="2" t="s">
        <v>44</v>
      </c>
      <c r="D50" s="2" t="s">
        <v>44</v>
      </c>
      <c r="E50" s="2" t="s">
        <v>44</v>
      </c>
      <c r="F50" s="2" t="s">
        <v>141</v>
      </c>
      <c r="G50" s="2" t="s">
        <v>8</v>
      </c>
      <c r="H50" s="8" t="n">
        <v>713.321269161278</v>
      </c>
      <c r="I50" s="8" t="n">
        <v>2127369.04761905</v>
      </c>
      <c r="J50" s="6" t="n">
        <v>252</v>
      </c>
      <c r="K50" s="2" t="s">
        <v>30</v>
      </c>
      <c r="L50" s="6" t="n">
        <v>756</v>
      </c>
      <c r="M50" s="2" t="s">
        <v>31</v>
      </c>
    </row>
    <row r="51" customFormat="false" ht="15" hidden="false" customHeight="false" outlineLevel="0" collapsed="false">
      <c r="A51" s="2" t="n">
        <v>40</v>
      </c>
      <c r="B51" s="2" t="s">
        <v>142</v>
      </c>
      <c r="C51" s="2" t="s">
        <v>143</v>
      </c>
      <c r="D51" s="2" t="s">
        <v>44</v>
      </c>
      <c r="E51" s="2" t="s">
        <v>44</v>
      </c>
      <c r="F51" s="2" t="s">
        <v>144</v>
      </c>
      <c r="G51" s="2" t="s">
        <v>9</v>
      </c>
      <c r="H51" s="8" t="n">
        <v>641.683894398496</v>
      </c>
      <c r="I51" s="8" t="n">
        <v>1304946.66666667</v>
      </c>
      <c r="J51" s="6" t="n">
        <v>375</v>
      </c>
      <c r="K51" s="2" t="s">
        <v>30</v>
      </c>
      <c r="L51" s="6" t="n">
        <v>750</v>
      </c>
      <c r="M51" s="2" t="s">
        <v>31</v>
      </c>
    </row>
    <row r="52" customFormat="false" ht="15" hidden="false" customHeight="false" outlineLevel="0" collapsed="false">
      <c r="A52" s="2" t="n">
        <v>41</v>
      </c>
      <c r="B52" s="2" t="s">
        <v>145</v>
      </c>
      <c r="C52" s="2" t="s">
        <v>146</v>
      </c>
      <c r="D52" s="2" t="s">
        <v>27</v>
      </c>
      <c r="E52" s="2" t="s">
        <v>28</v>
      </c>
      <c r="F52" s="2" t="s">
        <v>147</v>
      </c>
      <c r="G52" s="2" t="s">
        <v>9</v>
      </c>
      <c r="H52" s="8" t="n">
        <v>631.131136151715</v>
      </c>
      <c r="I52" s="8" t="n">
        <v>1707626.66666667</v>
      </c>
      <c r="J52" s="6" t="n">
        <v>375</v>
      </c>
      <c r="K52" s="2" t="s">
        <v>30</v>
      </c>
      <c r="L52" s="6" t="n">
        <v>750</v>
      </c>
      <c r="M52" s="2" t="s">
        <v>31</v>
      </c>
    </row>
    <row r="53" customFormat="false" ht="15" hidden="false" customHeight="false" outlineLevel="0" collapsed="false">
      <c r="A53" s="2" t="n">
        <v>42</v>
      </c>
      <c r="B53" s="2" t="s">
        <v>148</v>
      </c>
      <c r="C53" s="2" t="s">
        <v>70</v>
      </c>
      <c r="D53" s="2" t="s">
        <v>70</v>
      </c>
      <c r="E53" s="2" t="s">
        <v>71</v>
      </c>
      <c r="F53" s="2" t="s">
        <v>149</v>
      </c>
      <c r="G53" s="2" t="s">
        <v>8</v>
      </c>
      <c r="H53" s="8" t="n">
        <v>870.919800222093</v>
      </c>
      <c r="I53" s="8" t="n">
        <v>1959068.5483871</v>
      </c>
      <c r="J53" s="6" t="n">
        <v>248</v>
      </c>
      <c r="K53" s="2" t="s">
        <v>30</v>
      </c>
      <c r="L53" s="6" t="n">
        <v>744</v>
      </c>
      <c r="M53" s="2" t="s">
        <v>31</v>
      </c>
    </row>
    <row r="54" customFormat="false" ht="15" hidden="false" customHeight="false" outlineLevel="0" collapsed="false">
      <c r="A54" s="2" t="n">
        <v>43</v>
      </c>
      <c r="B54" s="2" t="s">
        <v>150</v>
      </c>
      <c r="C54" s="2" t="s">
        <v>151</v>
      </c>
      <c r="D54" s="2" t="s">
        <v>39</v>
      </c>
      <c r="E54" s="2" t="s">
        <v>40</v>
      </c>
      <c r="F54" s="2"/>
      <c r="G54" s="2" t="s">
        <v>9</v>
      </c>
      <c r="H54" s="8" t="n">
        <v>660.694664001186</v>
      </c>
      <c r="I54" s="8" t="n">
        <v>1471168.01075269</v>
      </c>
      <c r="J54" s="6" t="n">
        <v>372</v>
      </c>
      <c r="K54" s="2" t="s">
        <v>30</v>
      </c>
      <c r="L54" s="6" t="n">
        <v>744</v>
      </c>
      <c r="M54" s="2" t="s">
        <v>31</v>
      </c>
    </row>
    <row r="55" customFormat="false" ht="15" hidden="false" customHeight="false" outlineLevel="0" collapsed="false">
      <c r="A55" s="2" t="n">
        <v>44</v>
      </c>
      <c r="B55" s="2" t="s">
        <v>152</v>
      </c>
      <c r="C55" s="2" t="s">
        <v>153</v>
      </c>
      <c r="D55" s="2" t="s">
        <v>70</v>
      </c>
      <c r="E55" s="2" t="s">
        <v>71</v>
      </c>
      <c r="F55" s="2" t="s">
        <v>154</v>
      </c>
      <c r="G55" s="2" t="s">
        <v>8</v>
      </c>
      <c r="H55" s="8" t="n">
        <v>1275.35413046081</v>
      </c>
      <c r="I55" s="8" t="n">
        <v>5961425.10121458</v>
      </c>
      <c r="J55" s="6" t="n">
        <v>247</v>
      </c>
      <c r="K55" s="2" t="s">
        <v>30</v>
      </c>
      <c r="L55" s="6" t="n">
        <v>741</v>
      </c>
      <c r="M55" s="2" t="s">
        <v>31</v>
      </c>
    </row>
    <row r="56" customFormat="false" ht="15" hidden="false" customHeight="false" outlineLevel="0" collapsed="false">
      <c r="A56" s="2" t="n">
        <v>45</v>
      </c>
      <c r="B56" s="2" t="s">
        <v>155</v>
      </c>
      <c r="C56" s="2" t="s">
        <v>156</v>
      </c>
      <c r="D56" s="2" t="s">
        <v>27</v>
      </c>
      <c r="E56" s="2" t="s">
        <v>28</v>
      </c>
      <c r="F56" s="2" t="s">
        <v>157</v>
      </c>
      <c r="G56" s="2" t="s">
        <v>8</v>
      </c>
      <c r="H56" s="8" t="n">
        <v>888.081122211227</v>
      </c>
      <c r="I56" s="8" t="n">
        <v>1588421.05263158</v>
      </c>
      <c r="J56" s="6" t="n">
        <v>247</v>
      </c>
      <c r="K56" s="2" t="s">
        <v>30</v>
      </c>
      <c r="L56" s="6" t="n">
        <v>741</v>
      </c>
      <c r="M56" s="2" t="s">
        <v>31</v>
      </c>
    </row>
    <row r="57" customFormat="false" ht="15" hidden="false" customHeight="false" outlineLevel="0" collapsed="false">
      <c r="A57" s="2" t="n">
        <v>46</v>
      </c>
      <c r="B57" s="2" t="s">
        <v>158</v>
      </c>
      <c r="C57" s="2" t="s">
        <v>159</v>
      </c>
      <c r="D57" s="2" t="s">
        <v>34</v>
      </c>
      <c r="E57" s="2" t="s">
        <v>35</v>
      </c>
      <c r="F57" s="2" t="s">
        <v>160</v>
      </c>
      <c r="G57" s="2" t="s">
        <v>8</v>
      </c>
      <c r="H57" s="8" t="n">
        <v>814.844833931352</v>
      </c>
      <c r="I57" s="8" t="n">
        <v>1383502.0242915</v>
      </c>
      <c r="J57" s="6" t="n">
        <v>247</v>
      </c>
      <c r="K57" s="2" t="s">
        <v>30</v>
      </c>
      <c r="L57" s="6" t="n">
        <v>741</v>
      </c>
      <c r="M57" s="2" t="s">
        <v>31</v>
      </c>
    </row>
    <row r="58" customFormat="false" ht="15" hidden="false" customHeight="false" outlineLevel="0" collapsed="false">
      <c r="A58" s="2" t="n">
        <v>47</v>
      </c>
      <c r="B58" s="2" t="s">
        <v>161</v>
      </c>
      <c r="C58" s="2" t="s">
        <v>162</v>
      </c>
      <c r="D58" s="2" t="s">
        <v>70</v>
      </c>
      <c r="E58" s="2" t="s">
        <v>71</v>
      </c>
      <c r="F58" s="2" t="s">
        <v>163</v>
      </c>
      <c r="G58" s="2" t="s">
        <v>8</v>
      </c>
      <c r="H58" s="8" t="n">
        <v>975.840297856683</v>
      </c>
      <c r="I58" s="8" t="n">
        <v>2669432.92682927</v>
      </c>
      <c r="J58" s="6" t="n">
        <v>246</v>
      </c>
      <c r="K58" s="2" t="s">
        <v>30</v>
      </c>
      <c r="L58" s="6" t="n">
        <v>738</v>
      </c>
      <c r="M58" s="2" t="s">
        <v>31</v>
      </c>
    </row>
    <row r="59" customFormat="false" ht="15" hidden="false" customHeight="false" outlineLevel="0" collapsed="false">
      <c r="A59" s="2" t="n">
        <v>48</v>
      </c>
      <c r="B59" s="2" t="s">
        <v>164</v>
      </c>
      <c r="C59" s="2" t="s">
        <v>165</v>
      </c>
      <c r="D59" s="2" t="s">
        <v>105</v>
      </c>
      <c r="E59" s="2" t="s">
        <v>51</v>
      </c>
      <c r="F59" s="2" t="s">
        <v>166</v>
      </c>
      <c r="G59" s="2" t="s">
        <v>8</v>
      </c>
      <c r="H59" s="8" t="n">
        <v>818.41089577139</v>
      </c>
      <c r="I59" s="8" t="n">
        <v>1889532.5203252</v>
      </c>
      <c r="J59" s="6" t="n">
        <v>246</v>
      </c>
      <c r="K59" s="2" t="s">
        <v>30</v>
      </c>
      <c r="L59" s="6" t="n">
        <v>738</v>
      </c>
      <c r="M59" s="2" t="s">
        <v>31</v>
      </c>
    </row>
    <row r="60" customFormat="false" ht="15" hidden="false" customHeight="false" outlineLevel="0" collapsed="false">
      <c r="A60" s="2" t="n">
        <v>49</v>
      </c>
      <c r="B60" s="2" t="s">
        <v>167</v>
      </c>
      <c r="C60" s="2" t="s">
        <v>39</v>
      </c>
      <c r="D60" s="2" t="s">
        <v>39</v>
      </c>
      <c r="E60" s="2" t="s">
        <v>40</v>
      </c>
      <c r="F60" s="2"/>
      <c r="G60" s="2" t="s">
        <v>8</v>
      </c>
      <c r="H60" s="8" t="n">
        <v>1419.11151881465</v>
      </c>
      <c r="I60" s="8" t="n">
        <v>2196512.19512195</v>
      </c>
      <c r="J60" s="6" t="n">
        <v>246</v>
      </c>
      <c r="K60" s="2" t="s">
        <v>30</v>
      </c>
      <c r="L60" s="6" t="n">
        <v>738</v>
      </c>
      <c r="M60" s="2" t="s">
        <v>31</v>
      </c>
    </row>
    <row r="61" customFormat="false" ht="15" hidden="false" customHeight="false" outlineLevel="0" collapsed="false">
      <c r="A61" s="2" t="n">
        <v>50</v>
      </c>
      <c r="B61" s="2" t="s">
        <v>168</v>
      </c>
      <c r="C61" s="2" t="s">
        <v>169</v>
      </c>
      <c r="D61" s="2" t="s">
        <v>62</v>
      </c>
      <c r="E61" s="2" t="s">
        <v>40</v>
      </c>
      <c r="F61" s="2" t="s">
        <v>170</v>
      </c>
      <c r="G61" s="2" t="s">
        <v>8</v>
      </c>
      <c r="H61" s="8" t="n">
        <v>1306.33444162572</v>
      </c>
      <c r="I61" s="8" t="n">
        <v>2963163.26530612</v>
      </c>
      <c r="J61" s="6" t="n">
        <v>245</v>
      </c>
      <c r="K61" s="2" t="s">
        <v>30</v>
      </c>
      <c r="L61" s="6" t="n">
        <v>735</v>
      </c>
      <c r="M61" s="2" t="s">
        <v>31</v>
      </c>
    </row>
    <row r="62" customFormat="false" ht="15" hidden="false" customHeight="false" outlineLevel="0" collapsed="false">
      <c r="A62" s="2" t="n">
        <v>51</v>
      </c>
      <c r="B62" s="2" t="s">
        <v>171</v>
      </c>
      <c r="C62" s="2" t="s">
        <v>44</v>
      </c>
      <c r="D62" s="2" t="s">
        <v>44</v>
      </c>
      <c r="E62" s="2" t="s">
        <v>44</v>
      </c>
      <c r="F62" s="2" t="s">
        <v>172</v>
      </c>
      <c r="G62" s="2" t="s">
        <v>8</v>
      </c>
      <c r="H62" s="8" t="n">
        <v>717.536380903254</v>
      </c>
      <c r="I62" s="8" t="n">
        <v>934370.901639344</v>
      </c>
      <c r="J62" s="6" t="n">
        <v>244</v>
      </c>
      <c r="K62" s="2" t="s">
        <v>30</v>
      </c>
      <c r="L62" s="6" t="n">
        <v>732</v>
      </c>
      <c r="M62" s="2" t="s">
        <v>31</v>
      </c>
    </row>
    <row r="63" customFormat="false" ht="15" hidden="false" customHeight="false" outlineLevel="0" collapsed="false">
      <c r="A63" s="2" t="n">
        <v>52</v>
      </c>
      <c r="B63" s="2" t="s">
        <v>173</v>
      </c>
      <c r="C63" s="2" t="s">
        <v>174</v>
      </c>
      <c r="D63" s="2" t="s">
        <v>62</v>
      </c>
      <c r="E63" s="2" t="s">
        <v>40</v>
      </c>
      <c r="F63" s="2" t="s">
        <v>175</v>
      </c>
      <c r="G63" s="2" t="s">
        <v>8</v>
      </c>
      <c r="H63" s="8" t="n">
        <v>867.362277650389</v>
      </c>
      <c r="I63" s="8" t="n">
        <v>1319405.73770492</v>
      </c>
      <c r="J63" s="6" t="n">
        <v>244</v>
      </c>
      <c r="K63" s="2" t="s">
        <v>30</v>
      </c>
      <c r="L63" s="6" t="n">
        <v>732</v>
      </c>
      <c r="M63" s="2" t="s">
        <v>31</v>
      </c>
    </row>
    <row r="64" customFormat="false" ht="15" hidden="false" customHeight="false" outlineLevel="0" collapsed="false">
      <c r="A64" s="2" t="n">
        <v>53</v>
      </c>
      <c r="B64" s="2" t="s">
        <v>176</v>
      </c>
      <c r="C64" s="2" t="s">
        <v>81</v>
      </c>
      <c r="D64" s="2" t="s">
        <v>34</v>
      </c>
      <c r="E64" s="2" t="s">
        <v>35</v>
      </c>
      <c r="F64" s="2" t="s">
        <v>177</v>
      </c>
      <c r="G64" s="2" t="s">
        <v>8</v>
      </c>
      <c r="H64" s="8" t="n">
        <v>1193.96970223441</v>
      </c>
      <c r="I64" s="8" t="n">
        <v>2395041.66666667</v>
      </c>
      <c r="J64" s="6" t="n">
        <v>240</v>
      </c>
      <c r="K64" s="2" t="s">
        <v>30</v>
      </c>
      <c r="L64" s="6" t="n">
        <v>720</v>
      </c>
      <c r="M64" s="2" t="s">
        <v>31</v>
      </c>
    </row>
    <row r="65" customFormat="false" ht="15" hidden="false" customHeight="false" outlineLevel="0" collapsed="false">
      <c r="A65" s="2" t="n">
        <v>54</v>
      </c>
      <c r="B65" s="2" t="s">
        <v>178</v>
      </c>
      <c r="C65" s="2" t="s">
        <v>179</v>
      </c>
      <c r="D65" s="2" t="s">
        <v>27</v>
      </c>
      <c r="E65" s="2" t="s">
        <v>28</v>
      </c>
      <c r="F65" s="2" t="s">
        <v>180</v>
      </c>
      <c r="G65" s="2" t="s">
        <v>8</v>
      </c>
      <c r="H65" s="8" t="n">
        <v>725.470327589477</v>
      </c>
      <c r="I65" s="8" t="n">
        <v>1875146.44351464</v>
      </c>
      <c r="J65" s="6" t="n">
        <v>239</v>
      </c>
      <c r="K65" s="2" t="s">
        <v>30</v>
      </c>
      <c r="L65" s="6" t="n">
        <v>717</v>
      </c>
      <c r="M65" s="2" t="s">
        <v>31</v>
      </c>
    </row>
    <row r="66" customFormat="false" ht="15" hidden="false" customHeight="false" outlineLevel="0" collapsed="false">
      <c r="A66" s="2" t="n">
        <v>55</v>
      </c>
      <c r="B66" s="2" t="s">
        <v>181</v>
      </c>
      <c r="C66" s="2" t="s">
        <v>70</v>
      </c>
      <c r="D66" s="2" t="s">
        <v>70</v>
      </c>
      <c r="E66" s="2" t="s">
        <v>71</v>
      </c>
      <c r="F66" s="2" t="s">
        <v>182</v>
      </c>
      <c r="G66" s="2" t="s">
        <v>8</v>
      </c>
      <c r="H66" s="8" t="n">
        <v>963.51313777192</v>
      </c>
      <c r="I66" s="8" t="n">
        <v>2237252.10084034</v>
      </c>
      <c r="J66" s="6" t="n">
        <v>238</v>
      </c>
      <c r="K66" s="2" t="s">
        <v>30</v>
      </c>
      <c r="L66" s="6" t="n">
        <v>714</v>
      </c>
      <c r="M66" s="2" t="s">
        <v>31</v>
      </c>
    </row>
    <row r="67" customFormat="false" ht="15" hidden="false" customHeight="false" outlineLevel="0" collapsed="false">
      <c r="A67" s="2" t="n">
        <v>56</v>
      </c>
      <c r="B67" s="2" t="s">
        <v>183</v>
      </c>
      <c r="C67" s="2" t="s">
        <v>184</v>
      </c>
      <c r="D67" s="2" t="s">
        <v>27</v>
      </c>
      <c r="E67" s="2" t="s">
        <v>28</v>
      </c>
      <c r="F67" s="2" t="s">
        <v>185</v>
      </c>
      <c r="G67" s="2" t="s">
        <v>8</v>
      </c>
      <c r="H67" s="8" t="n">
        <v>999.241948990563</v>
      </c>
      <c r="I67" s="8" t="n">
        <v>1906691.17647059</v>
      </c>
      <c r="J67" s="6" t="n">
        <v>238</v>
      </c>
      <c r="K67" s="2" t="s">
        <v>30</v>
      </c>
      <c r="L67" s="6" t="n">
        <v>714</v>
      </c>
      <c r="M67" s="2" t="s">
        <v>31</v>
      </c>
    </row>
    <row r="68" customFormat="false" ht="15" hidden="false" customHeight="false" outlineLevel="0" collapsed="false">
      <c r="A68" s="2" t="n">
        <v>57</v>
      </c>
      <c r="B68" s="2" t="s">
        <v>186</v>
      </c>
      <c r="C68" s="2" t="s">
        <v>187</v>
      </c>
      <c r="D68" s="2" t="s">
        <v>95</v>
      </c>
      <c r="E68" s="2" t="s">
        <v>95</v>
      </c>
      <c r="F68" s="2" t="s">
        <v>188</v>
      </c>
      <c r="G68" s="2" t="s">
        <v>8</v>
      </c>
      <c r="H68" s="8" t="n">
        <v>757.76376940679</v>
      </c>
      <c r="I68" s="8" t="n">
        <v>1526617.64705882</v>
      </c>
      <c r="J68" s="6" t="n">
        <v>238</v>
      </c>
      <c r="K68" s="2" t="s">
        <v>30</v>
      </c>
      <c r="L68" s="6" t="n">
        <v>714</v>
      </c>
      <c r="M68" s="2" t="s">
        <v>31</v>
      </c>
    </row>
    <row r="69" customFormat="false" ht="15" hidden="false" customHeight="false" outlineLevel="0" collapsed="false">
      <c r="A69" s="2" t="n">
        <v>58</v>
      </c>
      <c r="B69" s="2" t="s">
        <v>189</v>
      </c>
      <c r="C69" s="2" t="s">
        <v>190</v>
      </c>
      <c r="D69" s="2" t="s">
        <v>190</v>
      </c>
      <c r="E69" s="2" t="s">
        <v>51</v>
      </c>
      <c r="F69" s="2"/>
      <c r="G69" s="2" t="s">
        <v>9</v>
      </c>
      <c r="H69" s="8" t="n">
        <v>644.474982653104</v>
      </c>
      <c r="I69" s="8" t="n">
        <v>1110382.02247191</v>
      </c>
      <c r="J69" s="6" t="n">
        <v>356</v>
      </c>
      <c r="K69" s="2" t="s">
        <v>30</v>
      </c>
      <c r="L69" s="6" t="n">
        <v>712</v>
      </c>
      <c r="M69" s="2" t="s">
        <v>31</v>
      </c>
    </row>
    <row r="70" customFormat="false" ht="15" hidden="false" customHeight="false" outlineLevel="0" collapsed="false">
      <c r="A70" s="2" t="n">
        <v>59</v>
      </c>
      <c r="B70" s="2" t="s">
        <v>191</v>
      </c>
      <c r="C70" s="2" t="s">
        <v>70</v>
      </c>
      <c r="D70" s="2" t="s">
        <v>70</v>
      </c>
      <c r="E70" s="2" t="s">
        <v>71</v>
      </c>
      <c r="F70" s="2" t="s">
        <v>192</v>
      </c>
      <c r="G70" s="2" t="s">
        <v>8</v>
      </c>
      <c r="H70" s="8" t="n">
        <v>952.251217796477</v>
      </c>
      <c r="I70" s="8" t="n">
        <v>1706886.07594937</v>
      </c>
      <c r="J70" s="6" t="n">
        <v>237</v>
      </c>
      <c r="K70" s="2" t="s">
        <v>30</v>
      </c>
      <c r="L70" s="6" t="n">
        <v>711</v>
      </c>
      <c r="M70" s="2" t="s">
        <v>31</v>
      </c>
    </row>
    <row r="71" customFormat="false" ht="15" hidden="false" customHeight="false" outlineLevel="0" collapsed="false">
      <c r="A71" s="2" t="n">
        <v>60</v>
      </c>
      <c r="B71" s="2" t="s">
        <v>193</v>
      </c>
      <c r="C71" s="2" t="s">
        <v>56</v>
      </c>
      <c r="D71" s="2" t="s">
        <v>56</v>
      </c>
      <c r="E71" s="2" t="s">
        <v>56</v>
      </c>
      <c r="F71" s="2" t="s">
        <v>194</v>
      </c>
      <c r="G71" s="2" t="s">
        <v>8</v>
      </c>
      <c r="H71" s="8" t="n">
        <v>1097.78077428395</v>
      </c>
      <c r="I71" s="8" t="n">
        <v>1149831.22362869</v>
      </c>
      <c r="J71" s="6" t="n">
        <v>237</v>
      </c>
      <c r="K71" s="2" t="s">
        <v>30</v>
      </c>
      <c r="L71" s="6" t="n">
        <v>711</v>
      </c>
      <c r="M71" s="2" t="s">
        <v>31</v>
      </c>
    </row>
    <row r="72" customFormat="false" ht="15" hidden="false" customHeight="false" outlineLevel="0" collapsed="false">
      <c r="A72" s="2" t="n">
        <v>61</v>
      </c>
      <c r="B72" s="2" t="s">
        <v>195</v>
      </c>
      <c r="C72" s="2" t="s">
        <v>196</v>
      </c>
      <c r="D72" s="2" t="s">
        <v>197</v>
      </c>
      <c r="E72" s="2" t="s">
        <v>51</v>
      </c>
      <c r="F72" s="2"/>
      <c r="G72" s="2" t="s">
        <v>8</v>
      </c>
      <c r="H72" s="8" t="n">
        <v>815.350080824279</v>
      </c>
      <c r="I72" s="8" t="n">
        <v>1507561.1814346</v>
      </c>
      <c r="J72" s="6" t="n">
        <v>237</v>
      </c>
      <c r="K72" s="2" t="s">
        <v>30</v>
      </c>
      <c r="L72" s="6" t="n">
        <v>711</v>
      </c>
      <c r="M72" s="2" t="s">
        <v>31</v>
      </c>
    </row>
    <row r="73" customFormat="false" ht="15" hidden="false" customHeight="false" outlineLevel="0" collapsed="false">
      <c r="A73" s="2" t="n">
        <v>62</v>
      </c>
      <c r="B73" s="2" t="s">
        <v>198</v>
      </c>
      <c r="C73" s="2" t="s">
        <v>199</v>
      </c>
      <c r="D73" s="2" t="s">
        <v>62</v>
      </c>
      <c r="E73" s="2" t="s">
        <v>40</v>
      </c>
      <c r="F73" s="2" t="s">
        <v>200</v>
      </c>
      <c r="G73" s="2" t="s">
        <v>8</v>
      </c>
      <c r="H73" s="8" t="n">
        <v>856.381050309792</v>
      </c>
      <c r="I73" s="8" t="n">
        <v>1282665.25423729</v>
      </c>
      <c r="J73" s="6" t="n">
        <v>236</v>
      </c>
      <c r="K73" s="2" t="s">
        <v>30</v>
      </c>
      <c r="L73" s="6" t="n">
        <v>708</v>
      </c>
      <c r="M73" s="2" t="s">
        <v>31</v>
      </c>
    </row>
    <row r="74" customFormat="false" ht="15" hidden="false" customHeight="false" outlineLevel="0" collapsed="false">
      <c r="A74" s="2" t="n">
        <v>63</v>
      </c>
      <c r="B74" s="2" t="s">
        <v>201</v>
      </c>
      <c r="C74" s="2" t="s">
        <v>202</v>
      </c>
      <c r="D74" s="2" t="s">
        <v>105</v>
      </c>
      <c r="E74" s="2" t="s">
        <v>51</v>
      </c>
      <c r="F74" s="2" t="s">
        <v>203</v>
      </c>
      <c r="G74" s="2" t="s">
        <v>8</v>
      </c>
      <c r="H74" s="8" t="n">
        <v>749.014400262403</v>
      </c>
      <c r="I74" s="8" t="n">
        <v>1516092.05932203</v>
      </c>
      <c r="J74" s="6" t="n">
        <v>236</v>
      </c>
      <c r="K74" s="2" t="s">
        <v>30</v>
      </c>
      <c r="L74" s="6" t="n">
        <v>708</v>
      </c>
      <c r="M74" s="2" t="s">
        <v>31</v>
      </c>
    </row>
    <row r="75" customFormat="false" ht="15" hidden="false" customHeight="false" outlineLevel="0" collapsed="false">
      <c r="A75" s="2" t="n">
        <v>64</v>
      </c>
      <c r="B75" s="2" t="s">
        <v>204</v>
      </c>
      <c r="C75" s="2" t="s">
        <v>205</v>
      </c>
      <c r="D75" s="2" t="s">
        <v>105</v>
      </c>
      <c r="E75" s="2" t="s">
        <v>51</v>
      </c>
      <c r="F75" s="2" t="s">
        <v>206</v>
      </c>
      <c r="G75" s="2" t="s">
        <v>8</v>
      </c>
      <c r="H75" s="8" t="n">
        <v>768.833466569111</v>
      </c>
      <c r="I75" s="8" t="n">
        <v>1911534.18803419</v>
      </c>
      <c r="J75" s="6" t="n">
        <v>234</v>
      </c>
      <c r="K75" s="2" t="s">
        <v>30</v>
      </c>
      <c r="L75" s="6" t="n">
        <v>702</v>
      </c>
      <c r="M75" s="2" t="s">
        <v>31</v>
      </c>
    </row>
    <row r="76" customFormat="false" ht="15" hidden="false" customHeight="false" outlineLevel="0" collapsed="false">
      <c r="A76" s="2" t="n">
        <v>65</v>
      </c>
      <c r="B76" s="2" t="s">
        <v>207</v>
      </c>
      <c r="C76" s="2" t="s">
        <v>59</v>
      </c>
      <c r="D76" s="2" t="s">
        <v>27</v>
      </c>
      <c r="E76" s="2" t="s">
        <v>28</v>
      </c>
      <c r="F76" s="2"/>
      <c r="G76" s="2" t="s">
        <v>8</v>
      </c>
      <c r="H76" s="8" t="n">
        <v>846.096398264657</v>
      </c>
      <c r="I76" s="8" t="n">
        <v>2023515.02145923</v>
      </c>
      <c r="J76" s="6" t="n">
        <v>233</v>
      </c>
      <c r="K76" s="2" t="s">
        <v>30</v>
      </c>
      <c r="L76" s="6" t="n">
        <v>699</v>
      </c>
      <c r="M76" s="2" t="s">
        <v>31</v>
      </c>
    </row>
    <row r="77" customFormat="false" ht="15" hidden="false" customHeight="false" outlineLevel="0" collapsed="false">
      <c r="A77" s="2" t="n">
        <v>66</v>
      </c>
      <c r="B77" s="2" t="s">
        <v>208</v>
      </c>
      <c r="C77" s="2" t="s">
        <v>56</v>
      </c>
      <c r="D77" s="2" t="s">
        <v>56</v>
      </c>
      <c r="E77" s="2" t="s">
        <v>56</v>
      </c>
      <c r="F77" s="2" t="s">
        <v>209</v>
      </c>
      <c r="G77" s="2" t="s">
        <v>8</v>
      </c>
      <c r="H77" s="8" t="n">
        <v>1093.24463443816</v>
      </c>
      <c r="I77" s="8" t="n">
        <v>1793051.50214592</v>
      </c>
      <c r="J77" s="6" t="n">
        <v>233</v>
      </c>
      <c r="K77" s="2" t="s">
        <v>30</v>
      </c>
      <c r="L77" s="6" t="n">
        <v>699</v>
      </c>
      <c r="M77" s="2" t="s">
        <v>31</v>
      </c>
    </row>
    <row r="78" customFormat="false" ht="15" hidden="false" customHeight="false" outlineLevel="0" collapsed="false">
      <c r="A78" s="2" t="n">
        <v>67</v>
      </c>
      <c r="B78" s="2" t="s">
        <v>210</v>
      </c>
      <c r="C78" s="2" t="s">
        <v>70</v>
      </c>
      <c r="D78" s="2" t="s">
        <v>70</v>
      </c>
      <c r="E78" s="2" t="s">
        <v>71</v>
      </c>
      <c r="F78" s="2" t="s">
        <v>211</v>
      </c>
      <c r="G78" s="2" t="s">
        <v>8</v>
      </c>
      <c r="H78" s="8" t="n">
        <v>806.807218273543</v>
      </c>
      <c r="I78" s="8" t="n">
        <v>1241510.04310345</v>
      </c>
      <c r="J78" s="6" t="n">
        <v>232</v>
      </c>
      <c r="K78" s="2" t="s">
        <v>30</v>
      </c>
      <c r="L78" s="6" t="n">
        <v>696</v>
      </c>
      <c r="M78" s="2" t="s">
        <v>31</v>
      </c>
    </row>
    <row r="79" customFormat="false" ht="15" hidden="false" customHeight="false" outlineLevel="0" collapsed="false">
      <c r="A79" s="2" t="n">
        <v>68</v>
      </c>
      <c r="B79" s="2" t="s">
        <v>212</v>
      </c>
      <c r="C79" s="2" t="s">
        <v>213</v>
      </c>
      <c r="D79" s="2" t="s">
        <v>27</v>
      </c>
      <c r="E79" s="2" t="s">
        <v>28</v>
      </c>
      <c r="F79" s="2" t="s">
        <v>214</v>
      </c>
      <c r="G79" s="2" t="s">
        <v>9</v>
      </c>
      <c r="H79" s="8" t="n">
        <v>659.113591835474</v>
      </c>
      <c r="I79" s="8" t="n">
        <v>1486793.10344828</v>
      </c>
      <c r="J79" s="6" t="n">
        <v>348</v>
      </c>
      <c r="K79" s="2" t="s">
        <v>30</v>
      </c>
      <c r="L79" s="6" t="n">
        <v>696</v>
      </c>
      <c r="M79" s="2" t="s">
        <v>31</v>
      </c>
    </row>
    <row r="80" customFormat="false" ht="15" hidden="false" customHeight="false" outlineLevel="0" collapsed="false">
      <c r="A80" s="2" t="n">
        <v>69</v>
      </c>
      <c r="B80" s="2" t="s">
        <v>215</v>
      </c>
      <c r="C80" s="2" t="s">
        <v>119</v>
      </c>
      <c r="D80" s="2" t="s">
        <v>27</v>
      </c>
      <c r="E80" s="2" t="s">
        <v>28</v>
      </c>
      <c r="F80" s="2"/>
      <c r="G80" s="2" t="s">
        <v>9</v>
      </c>
      <c r="H80" s="8" t="n">
        <v>672.266682132224</v>
      </c>
      <c r="I80" s="8" t="n">
        <v>1335247.09302326</v>
      </c>
      <c r="J80" s="6" t="n">
        <v>344</v>
      </c>
      <c r="K80" s="2" t="s">
        <v>30</v>
      </c>
      <c r="L80" s="6" t="n">
        <v>688</v>
      </c>
      <c r="M80" s="2" t="s">
        <v>31</v>
      </c>
    </row>
    <row r="81" customFormat="false" ht="15" hidden="false" customHeight="false" outlineLevel="0" collapsed="false">
      <c r="A81" s="2" t="n">
        <v>70</v>
      </c>
      <c r="B81" s="2" t="s">
        <v>216</v>
      </c>
      <c r="C81" s="2" t="s">
        <v>217</v>
      </c>
      <c r="D81" s="2" t="s">
        <v>27</v>
      </c>
      <c r="E81" s="2" t="s">
        <v>28</v>
      </c>
      <c r="F81" s="2" t="s">
        <v>218</v>
      </c>
      <c r="G81" s="2" t="s">
        <v>8</v>
      </c>
      <c r="H81" s="8" t="n">
        <v>703.345417364048</v>
      </c>
      <c r="I81" s="8" t="n">
        <v>1752550.21834061</v>
      </c>
      <c r="J81" s="6" t="n">
        <v>229</v>
      </c>
      <c r="K81" s="2" t="s">
        <v>30</v>
      </c>
      <c r="L81" s="6" t="n">
        <v>687</v>
      </c>
      <c r="M81" s="2" t="s">
        <v>31</v>
      </c>
    </row>
    <row r="82" customFormat="false" ht="15" hidden="false" customHeight="false" outlineLevel="0" collapsed="false">
      <c r="A82" s="2" t="n">
        <v>71</v>
      </c>
      <c r="B82" s="2" t="s">
        <v>219</v>
      </c>
      <c r="C82" s="2" t="s">
        <v>220</v>
      </c>
      <c r="D82" s="2" t="s">
        <v>27</v>
      </c>
      <c r="E82" s="2" t="s">
        <v>28</v>
      </c>
      <c r="F82" s="2" t="s">
        <v>221</v>
      </c>
      <c r="G82" s="2" t="s">
        <v>9</v>
      </c>
      <c r="H82" s="8" t="n">
        <v>656.343906632282</v>
      </c>
      <c r="I82" s="8" t="n">
        <v>1504487.86803519</v>
      </c>
      <c r="J82" s="6" t="n">
        <v>341</v>
      </c>
      <c r="K82" s="2" t="s">
        <v>30</v>
      </c>
      <c r="L82" s="6" t="n">
        <v>682</v>
      </c>
      <c r="M82" s="2" t="s">
        <v>31</v>
      </c>
    </row>
    <row r="83" customFormat="false" ht="15" hidden="false" customHeight="false" outlineLevel="0" collapsed="false">
      <c r="A83" s="2" t="n">
        <v>72</v>
      </c>
      <c r="B83" s="2" t="s">
        <v>222</v>
      </c>
      <c r="C83" s="2" t="s">
        <v>59</v>
      </c>
      <c r="D83" s="2" t="s">
        <v>27</v>
      </c>
      <c r="E83" s="2" t="s">
        <v>28</v>
      </c>
      <c r="F83" s="2"/>
      <c r="G83" s="2" t="s">
        <v>8</v>
      </c>
      <c r="H83" s="8" t="n">
        <v>811.461915878934</v>
      </c>
      <c r="I83" s="8" t="n">
        <v>1301519.82378855</v>
      </c>
      <c r="J83" s="6" t="n">
        <v>227</v>
      </c>
      <c r="K83" s="2" t="s">
        <v>30</v>
      </c>
      <c r="L83" s="6" t="n">
        <v>681</v>
      </c>
      <c r="M83" s="2" t="s">
        <v>31</v>
      </c>
    </row>
    <row r="84" customFormat="false" ht="15" hidden="false" customHeight="false" outlineLevel="0" collapsed="false">
      <c r="A84" s="2" t="n">
        <v>73</v>
      </c>
      <c r="B84" s="2" t="s">
        <v>223</v>
      </c>
      <c r="C84" s="2" t="s">
        <v>224</v>
      </c>
      <c r="D84" s="2" t="s">
        <v>62</v>
      </c>
      <c r="E84" s="2" t="s">
        <v>40</v>
      </c>
      <c r="F84" s="2" t="s">
        <v>225</v>
      </c>
      <c r="G84" s="2" t="s">
        <v>8</v>
      </c>
      <c r="H84" s="8" t="n">
        <v>885.314121697698</v>
      </c>
      <c r="I84" s="8" t="n">
        <v>1290977.77777778</v>
      </c>
      <c r="J84" s="6" t="n">
        <v>225</v>
      </c>
      <c r="K84" s="2" t="s">
        <v>30</v>
      </c>
      <c r="L84" s="6" t="n">
        <v>675</v>
      </c>
      <c r="M84" s="2" t="s">
        <v>31</v>
      </c>
    </row>
    <row r="85" customFormat="false" ht="15" hidden="false" customHeight="false" outlineLevel="0" collapsed="false">
      <c r="A85" s="2" t="n">
        <v>74</v>
      </c>
      <c r="B85" s="2" t="s">
        <v>226</v>
      </c>
      <c r="C85" s="2" t="s">
        <v>62</v>
      </c>
      <c r="D85" s="2" t="s">
        <v>62</v>
      </c>
      <c r="E85" s="2" t="s">
        <v>40</v>
      </c>
      <c r="F85" s="2" t="s">
        <v>227</v>
      </c>
      <c r="G85" s="2" t="s">
        <v>8</v>
      </c>
      <c r="H85" s="8" t="n">
        <v>1233.33415868025</v>
      </c>
      <c r="I85" s="8" t="n">
        <v>2103080.35714286</v>
      </c>
      <c r="J85" s="6" t="n">
        <v>224</v>
      </c>
      <c r="K85" s="2" t="s">
        <v>30</v>
      </c>
      <c r="L85" s="6" t="n">
        <v>672</v>
      </c>
      <c r="M85" s="2" t="s">
        <v>31</v>
      </c>
    </row>
    <row r="86" customFormat="false" ht="15" hidden="false" customHeight="false" outlineLevel="0" collapsed="false">
      <c r="A86" s="2" t="n">
        <v>75</v>
      </c>
      <c r="B86" s="2" t="s">
        <v>228</v>
      </c>
      <c r="C86" s="2" t="s">
        <v>169</v>
      </c>
      <c r="D86" s="2" t="s">
        <v>62</v>
      </c>
      <c r="E86" s="2" t="s">
        <v>40</v>
      </c>
      <c r="F86" s="2" t="s">
        <v>229</v>
      </c>
      <c r="G86" s="2" t="s">
        <v>8</v>
      </c>
      <c r="H86" s="8" t="n">
        <v>1288.5232211212</v>
      </c>
      <c r="I86" s="8" t="n">
        <v>2198369.95515695</v>
      </c>
      <c r="J86" s="6" t="n">
        <v>223</v>
      </c>
      <c r="K86" s="2" t="s">
        <v>30</v>
      </c>
      <c r="L86" s="6" t="n">
        <v>669</v>
      </c>
      <c r="M86" s="2" t="s">
        <v>31</v>
      </c>
    </row>
    <row r="87" customFormat="false" ht="15" hidden="false" customHeight="false" outlineLevel="0" collapsed="false">
      <c r="A87" s="2" t="n">
        <v>76</v>
      </c>
      <c r="B87" s="2" t="s">
        <v>230</v>
      </c>
      <c r="C87" s="2" t="s">
        <v>56</v>
      </c>
      <c r="D87" s="2" t="s">
        <v>56</v>
      </c>
      <c r="E87" s="2" t="s">
        <v>56</v>
      </c>
      <c r="F87" s="2" t="s">
        <v>231</v>
      </c>
      <c r="G87" s="2" t="s">
        <v>8</v>
      </c>
      <c r="H87" s="8" t="n">
        <v>1182.76911293348</v>
      </c>
      <c r="I87" s="8" t="n">
        <v>2057031.39013453</v>
      </c>
      <c r="J87" s="6" t="n">
        <v>223</v>
      </c>
      <c r="K87" s="2" t="s">
        <v>30</v>
      </c>
      <c r="L87" s="6" t="n">
        <v>669</v>
      </c>
      <c r="M87" s="2" t="s">
        <v>31</v>
      </c>
    </row>
    <row r="88" customFormat="false" ht="15" hidden="false" customHeight="false" outlineLevel="0" collapsed="false">
      <c r="A88" s="2" t="n">
        <v>77</v>
      </c>
      <c r="B88" s="2" t="s">
        <v>232</v>
      </c>
      <c r="C88" s="2" t="s">
        <v>62</v>
      </c>
      <c r="D88" s="2" t="s">
        <v>62</v>
      </c>
      <c r="E88" s="2" t="s">
        <v>40</v>
      </c>
      <c r="F88" s="2"/>
      <c r="G88" s="2" t="s">
        <v>8</v>
      </c>
      <c r="H88" s="8" t="n">
        <v>1351.50905469562</v>
      </c>
      <c r="I88" s="8" t="n">
        <v>2643433.48623853</v>
      </c>
      <c r="J88" s="6" t="n">
        <v>218</v>
      </c>
      <c r="K88" s="2" t="s">
        <v>30</v>
      </c>
      <c r="L88" s="6" t="n">
        <v>654</v>
      </c>
      <c r="M88" s="2" t="s">
        <v>31</v>
      </c>
    </row>
    <row r="89" customFormat="false" ht="15" hidden="false" customHeight="false" outlineLevel="0" collapsed="false">
      <c r="A89" s="2" t="n">
        <v>78</v>
      </c>
      <c r="B89" s="2" t="s">
        <v>233</v>
      </c>
      <c r="C89" s="2" t="s">
        <v>133</v>
      </c>
      <c r="D89" s="2" t="s">
        <v>34</v>
      </c>
      <c r="E89" s="2" t="s">
        <v>35</v>
      </c>
      <c r="F89" s="2" t="s">
        <v>234</v>
      </c>
      <c r="G89" s="2" t="s">
        <v>8</v>
      </c>
      <c r="H89" s="8" t="n">
        <v>719.584581873115</v>
      </c>
      <c r="I89" s="8" t="n">
        <v>1100004.60829493</v>
      </c>
      <c r="J89" s="6" t="n">
        <v>217</v>
      </c>
      <c r="K89" s="2" t="s">
        <v>30</v>
      </c>
      <c r="L89" s="6" t="n">
        <v>651</v>
      </c>
      <c r="M89" s="2" t="s">
        <v>31</v>
      </c>
    </row>
    <row r="90" customFormat="false" ht="15" hidden="false" customHeight="false" outlineLevel="0" collapsed="false">
      <c r="A90" s="2" t="n">
        <v>79</v>
      </c>
      <c r="B90" s="2" t="s">
        <v>235</v>
      </c>
      <c r="C90" s="2" t="s">
        <v>56</v>
      </c>
      <c r="D90" s="2" t="s">
        <v>56</v>
      </c>
      <c r="E90" s="2" t="s">
        <v>56</v>
      </c>
      <c r="F90" s="2" t="s">
        <v>236</v>
      </c>
      <c r="G90" s="2" t="s">
        <v>8</v>
      </c>
      <c r="H90" s="8" t="n">
        <v>1102.98813509967</v>
      </c>
      <c r="I90" s="8" t="n">
        <v>1805560.18518519</v>
      </c>
      <c r="J90" s="6" t="n">
        <v>216</v>
      </c>
      <c r="K90" s="2" t="s">
        <v>30</v>
      </c>
      <c r="L90" s="6" t="n">
        <v>648</v>
      </c>
      <c r="M90" s="2" t="s">
        <v>31</v>
      </c>
    </row>
    <row r="91" customFormat="false" ht="15" hidden="false" customHeight="false" outlineLevel="0" collapsed="false">
      <c r="A91" s="2" t="n">
        <v>80</v>
      </c>
      <c r="B91" s="2" t="s">
        <v>237</v>
      </c>
      <c r="C91" s="2" t="s">
        <v>187</v>
      </c>
      <c r="D91" s="2" t="s">
        <v>95</v>
      </c>
      <c r="E91" s="2" t="s">
        <v>95</v>
      </c>
      <c r="F91" s="2" t="s">
        <v>238</v>
      </c>
      <c r="G91" s="2" t="s">
        <v>8</v>
      </c>
      <c r="H91" s="8" t="n">
        <v>787.224531854704</v>
      </c>
      <c r="I91" s="8" t="n">
        <v>1376342.59259259</v>
      </c>
      <c r="J91" s="6" t="n">
        <v>216</v>
      </c>
      <c r="K91" s="2" t="s">
        <v>30</v>
      </c>
      <c r="L91" s="6" t="n">
        <v>648</v>
      </c>
      <c r="M91" s="2" t="s">
        <v>31</v>
      </c>
    </row>
    <row r="92" customFormat="false" ht="15" hidden="false" customHeight="false" outlineLevel="0" collapsed="false">
      <c r="A92" s="2" t="n">
        <v>81</v>
      </c>
      <c r="B92" s="2" t="s">
        <v>239</v>
      </c>
      <c r="C92" s="2" t="s">
        <v>70</v>
      </c>
      <c r="D92" s="2" t="s">
        <v>70</v>
      </c>
      <c r="E92" s="2" t="s">
        <v>71</v>
      </c>
      <c r="F92" s="2" t="s">
        <v>240</v>
      </c>
      <c r="G92" s="2" t="s">
        <v>8</v>
      </c>
      <c r="H92" s="8" t="n">
        <v>910.327273531163</v>
      </c>
      <c r="I92" s="8" t="n">
        <v>1218744.18604651</v>
      </c>
      <c r="J92" s="6" t="n">
        <v>215</v>
      </c>
      <c r="K92" s="2" t="s">
        <v>30</v>
      </c>
      <c r="L92" s="6" t="n">
        <v>645</v>
      </c>
      <c r="M92" s="2" t="s">
        <v>31</v>
      </c>
    </row>
    <row r="93" customFormat="false" ht="15" hidden="false" customHeight="false" outlineLevel="0" collapsed="false">
      <c r="A93" s="2" t="n">
        <v>82</v>
      </c>
      <c r="B93" s="2" t="s">
        <v>241</v>
      </c>
      <c r="C93" s="2" t="s">
        <v>242</v>
      </c>
      <c r="D93" s="2" t="s">
        <v>70</v>
      </c>
      <c r="E93" s="2" t="s">
        <v>71</v>
      </c>
      <c r="F93" s="2" t="s">
        <v>243</v>
      </c>
      <c r="G93" s="2" t="s">
        <v>8</v>
      </c>
      <c r="H93" s="8" t="n">
        <v>929.384366565875</v>
      </c>
      <c r="I93" s="8" t="n">
        <v>2222325.58139535</v>
      </c>
      <c r="J93" s="6" t="n">
        <v>215</v>
      </c>
      <c r="K93" s="2" t="s">
        <v>30</v>
      </c>
      <c r="L93" s="6" t="n">
        <v>645</v>
      </c>
      <c r="M93" s="2" t="s">
        <v>31</v>
      </c>
    </row>
    <row r="94" customFormat="false" ht="15" hidden="false" customHeight="false" outlineLevel="0" collapsed="false">
      <c r="A94" s="2" t="n">
        <v>83</v>
      </c>
      <c r="B94" s="2" t="s">
        <v>244</v>
      </c>
      <c r="C94" s="2" t="s">
        <v>245</v>
      </c>
      <c r="D94" s="2" t="s">
        <v>70</v>
      </c>
      <c r="E94" s="2" t="s">
        <v>71</v>
      </c>
      <c r="F94" s="2" t="s">
        <v>246</v>
      </c>
      <c r="G94" s="2" t="s">
        <v>8</v>
      </c>
      <c r="H94" s="8" t="n">
        <v>708.532924646108</v>
      </c>
      <c r="I94" s="8" t="n">
        <v>2000032.71028037</v>
      </c>
      <c r="J94" s="6" t="n">
        <v>214</v>
      </c>
      <c r="K94" s="2" t="s">
        <v>30</v>
      </c>
      <c r="L94" s="6" t="n">
        <v>642</v>
      </c>
      <c r="M94" s="2" t="s">
        <v>31</v>
      </c>
    </row>
    <row r="95" customFormat="false" ht="15" hidden="false" customHeight="false" outlineLevel="0" collapsed="false">
      <c r="A95" s="2" t="n">
        <v>84</v>
      </c>
      <c r="B95" s="2" t="s">
        <v>247</v>
      </c>
      <c r="C95" s="2" t="s">
        <v>100</v>
      </c>
      <c r="D95" s="2" t="s">
        <v>39</v>
      </c>
      <c r="E95" s="2" t="s">
        <v>40</v>
      </c>
      <c r="F95" s="2" t="s">
        <v>248</v>
      </c>
      <c r="G95" s="2" t="s">
        <v>8</v>
      </c>
      <c r="H95" s="8" t="n">
        <v>1798.30219981307</v>
      </c>
      <c r="I95" s="8" t="n">
        <v>4535658.87850467</v>
      </c>
      <c r="J95" s="6" t="n">
        <v>214</v>
      </c>
      <c r="K95" s="2" t="s">
        <v>30</v>
      </c>
      <c r="L95" s="6" t="n">
        <v>642</v>
      </c>
      <c r="M95" s="2" t="s">
        <v>31</v>
      </c>
    </row>
    <row r="96" customFormat="false" ht="15" hidden="false" customHeight="false" outlineLevel="0" collapsed="false">
      <c r="A96" s="2" t="n">
        <v>85</v>
      </c>
      <c r="B96" s="2" t="s">
        <v>249</v>
      </c>
      <c r="C96" s="2" t="s">
        <v>250</v>
      </c>
      <c r="D96" s="2" t="s">
        <v>70</v>
      </c>
      <c r="E96" s="2" t="s">
        <v>71</v>
      </c>
      <c r="F96" s="2" t="s">
        <v>251</v>
      </c>
      <c r="G96" s="2" t="s">
        <v>8</v>
      </c>
      <c r="H96" s="8" t="n">
        <v>820.791831333</v>
      </c>
      <c r="I96" s="8" t="n">
        <v>1981969.48356808</v>
      </c>
      <c r="J96" s="6" t="n">
        <v>213</v>
      </c>
      <c r="K96" s="2" t="s">
        <v>30</v>
      </c>
      <c r="L96" s="6" t="n">
        <v>639</v>
      </c>
      <c r="M96" s="2" t="s">
        <v>31</v>
      </c>
    </row>
    <row r="97" customFormat="false" ht="15" hidden="false" customHeight="false" outlineLevel="0" collapsed="false">
      <c r="A97" s="2" t="n">
        <v>86</v>
      </c>
      <c r="B97" s="2" t="s">
        <v>252</v>
      </c>
      <c r="C97" s="2" t="s">
        <v>165</v>
      </c>
      <c r="D97" s="2" t="s">
        <v>105</v>
      </c>
      <c r="E97" s="2" t="s">
        <v>51</v>
      </c>
      <c r="F97" s="2" t="s">
        <v>253</v>
      </c>
      <c r="G97" s="2" t="s">
        <v>8</v>
      </c>
      <c r="H97" s="8" t="n">
        <v>726.813680983376</v>
      </c>
      <c r="I97" s="8" t="n">
        <v>2372046.94835681</v>
      </c>
      <c r="J97" s="6" t="n">
        <v>213</v>
      </c>
      <c r="K97" s="2" t="s">
        <v>30</v>
      </c>
      <c r="L97" s="6" t="n">
        <v>639</v>
      </c>
      <c r="M97" s="2" t="s">
        <v>31</v>
      </c>
    </row>
    <row r="98" customFormat="false" ht="15" hidden="false" customHeight="false" outlineLevel="0" collapsed="false">
      <c r="A98" s="2" t="n">
        <v>87</v>
      </c>
      <c r="B98" s="2" t="s">
        <v>254</v>
      </c>
      <c r="C98" s="2" t="s">
        <v>255</v>
      </c>
      <c r="D98" s="2" t="s">
        <v>39</v>
      </c>
      <c r="E98" s="2" t="s">
        <v>40</v>
      </c>
      <c r="F98" s="2" t="s">
        <v>256</v>
      </c>
      <c r="G98" s="2" t="s">
        <v>8</v>
      </c>
      <c r="H98" s="8" t="n">
        <v>1673.32811479882</v>
      </c>
      <c r="I98" s="8" t="n">
        <v>3404641.50943396</v>
      </c>
      <c r="J98" s="6" t="n">
        <v>212</v>
      </c>
      <c r="K98" s="2" t="s">
        <v>30</v>
      </c>
      <c r="L98" s="6" t="n">
        <v>636</v>
      </c>
      <c r="M98" s="2" t="s">
        <v>31</v>
      </c>
    </row>
    <row r="99" customFormat="false" ht="15" hidden="false" customHeight="false" outlineLevel="0" collapsed="false">
      <c r="A99" s="2" t="n">
        <v>88</v>
      </c>
      <c r="B99" s="2" t="s">
        <v>257</v>
      </c>
      <c r="C99" s="2" t="s">
        <v>258</v>
      </c>
      <c r="D99" s="2" t="s">
        <v>39</v>
      </c>
      <c r="E99" s="2" t="s">
        <v>40</v>
      </c>
      <c r="F99" s="2" t="s">
        <v>259</v>
      </c>
      <c r="G99" s="2" t="s">
        <v>8</v>
      </c>
      <c r="H99" s="8" t="n">
        <v>1232.71961616166</v>
      </c>
      <c r="I99" s="8" t="n">
        <v>2132189.57345972</v>
      </c>
      <c r="J99" s="6" t="n">
        <v>211</v>
      </c>
      <c r="K99" s="2" t="s">
        <v>30</v>
      </c>
      <c r="L99" s="6" t="n">
        <v>633</v>
      </c>
      <c r="M99" s="2" t="s">
        <v>31</v>
      </c>
    </row>
    <row r="100" customFormat="false" ht="15" hidden="false" customHeight="false" outlineLevel="0" collapsed="false">
      <c r="A100" s="2" t="n">
        <v>89</v>
      </c>
      <c r="B100" s="2" t="s">
        <v>260</v>
      </c>
      <c r="C100" s="2" t="s">
        <v>184</v>
      </c>
      <c r="D100" s="2" t="s">
        <v>27</v>
      </c>
      <c r="E100" s="2" t="s">
        <v>28</v>
      </c>
      <c r="F100" s="2" t="s">
        <v>261</v>
      </c>
      <c r="G100" s="2" t="s">
        <v>8</v>
      </c>
      <c r="H100" s="8" t="n">
        <v>710.1821989814</v>
      </c>
      <c r="I100" s="8" t="n">
        <v>1848358.21428571</v>
      </c>
      <c r="J100" s="6" t="n">
        <v>210</v>
      </c>
      <c r="K100" s="2" t="s">
        <v>30</v>
      </c>
      <c r="L100" s="6" t="n">
        <v>630</v>
      </c>
      <c r="M100" s="2" t="s">
        <v>31</v>
      </c>
    </row>
    <row r="101" customFormat="false" ht="15" hidden="false" customHeight="false" outlineLevel="0" collapsed="false">
      <c r="A101" s="2" t="n">
        <v>90</v>
      </c>
      <c r="B101" s="2" t="s">
        <v>262</v>
      </c>
      <c r="C101" s="2" t="s">
        <v>263</v>
      </c>
      <c r="D101" s="2" t="s">
        <v>27</v>
      </c>
      <c r="E101" s="2" t="s">
        <v>28</v>
      </c>
      <c r="F101" s="2" t="s">
        <v>264</v>
      </c>
      <c r="G101" s="2" t="s">
        <v>8</v>
      </c>
      <c r="H101" s="8" t="n">
        <v>835.061920547</v>
      </c>
      <c r="I101" s="8" t="n">
        <v>2375133.97129187</v>
      </c>
      <c r="J101" s="6" t="n">
        <v>209</v>
      </c>
      <c r="K101" s="2" t="s">
        <v>30</v>
      </c>
      <c r="L101" s="6" t="n">
        <v>627</v>
      </c>
      <c r="M101" s="2" t="s">
        <v>31</v>
      </c>
    </row>
    <row r="102" customFormat="false" ht="15" hidden="false" customHeight="false" outlineLevel="0" collapsed="false">
      <c r="A102" s="2" t="n">
        <v>91</v>
      </c>
      <c r="B102" s="2" t="s">
        <v>265</v>
      </c>
      <c r="C102" s="2" t="s">
        <v>266</v>
      </c>
      <c r="D102" s="2" t="s">
        <v>34</v>
      </c>
      <c r="E102" s="2" t="s">
        <v>35</v>
      </c>
      <c r="F102" s="2"/>
      <c r="G102" s="2" t="s">
        <v>9</v>
      </c>
      <c r="H102" s="8" t="n">
        <v>695.012019651348</v>
      </c>
      <c r="I102" s="8" t="n">
        <v>1107667.73162939</v>
      </c>
      <c r="J102" s="6" t="n">
        <v>313</v>
      </c>
      <c r="K102" s="2" t="s">
        <v>30</v>
      </c>
      <c r="L102" s="6" t="n">
        <v>626</v>
      </c>
      <c r="M102" s="2" t="s">
        <v>31</v>
      </c>
    </row>
    <row r="103" customFormat="false" ht="15" hidden="false" customHeight="false" outlineLevel="0" collapsed="false">
      <c r="A103" s="2" t="n">
        <v>92</v>
      </c>
      <c r="B103" s="2" t="s">
        <v>267</v>
      </c>
      <c r="C103" s="2" t="s">
        <v>34</v>
      </c>
      <c r="D103" s="2" t="s">
        <v>34</v>
      </c>
      <c r="E103" s="2" t="s">
        <v>35</v>
      </c>
      <c r="F103" s="2" t="s">
        <v>268</v>
      </c>
      <c r="G103" s="2" t="s">
        <v>8</v>
      </c>
      <c r="H103" s="8" t="n">
        <v>785.376406990692</v>
      </c>
      <c r="I103" s="8" t="n">
        <v>1372843.75</v>
      </c>
      <c r="J103" s="6" t="n">
        <v>208</v>
      </c>
      <c r="K103" s="2" t="s">
        <v>30</v>
      </c>
      <c r="L103" s="6" t="n">
        <v>624</v>
      </c>
      <c r="M103" s="2" t="s">
        <v>31</v>
      </c>
    </row>
    <row r="104" customFormat="false" ht="15" hidden="false" customHeight="false" outlineLevel="0" collapsed="false">
      <c r="A104" s="2" t="n">
        <v>93</v>
      </c>
      <c r="B104" s="2" t="s">
        <v>269</v>
      </c>
      <c r="C104" s="2" t="s">
        <v>270</v>
      </c>
      <c r="D104" s="2" t="s">
        <v>39</v>
      </c>
      <c r="E104" s="2" t="s">
        <v>40</v>
      </c>
      <c r="F104" s="2"/>
      <c r="G104" s="2" t="s">
        <v>8</v>
      </c>
      <c r="H104" s="8" t="n">
        <v>1578.87667326293</v>
      </c>
      <c r="I104" s="8" t="n">
        <v>4336254.80769231</v>
      </c>
      <c r="J104" s="6" t="n">
        <v>208</v>
      </c>
      <c r="K104" s="2" t="s">
        <v>30</v>
      </c>
      <c r="L104" s="6" t="n">
        <v>624</v>
      </c>
      <c r="M104" s="2" t="s">
        <v>31</v>
      </c>
    </row>
    <row r="105" customFormat="false" ht="15" hidden="false" customHeight="false" outlineLevel="0" collapsed="false">
      <c r="A105" s="2" t="n">
        <v>94</v>
      </c>
      <c r="B105" s="2" t="s">
        <v>271</v>
      </c>
      <c r="C105" s="2" t="s">
        <v>272</v>
      </c>
      <c r="D105" s="2" t="s">
        <v>273</v>
      </c>
      <c r="E105" s="2" t="s">
        <v>273</v>
      </c>
      <c r="F105" s="2" t="s">
        <v>274</v>
      </c>
      <c r="G105" s="2" t="s">
        <v>8</v>
      </c>
      <c r="H105" s="8" t="n">
        <v>714.261504830459</v>
      </c>
      <c r="I105" s="8" t="n">
        <v>1922487.92270531</v>
      </c>
      <c r="J105" s="6" t="n">
        <v>207</v>
      </c>
      <c r="K105" s="2" t="s">
        <v>30</v>
      </c>
      <c r="L105" s="6" t="n">
        <v>621</v>
      </c>
      <c r="M105" s="2" t="s">
        <v>31</v>
      </c>
    </row>
    <row r="106" customFormat="false" ht="15" hidden="false" customHeight="false" outlineLevel="0" collapsed="false">
      <c r="A106" s="2" t="n">
        <v>95</v>
      </c>
      <c r="B106" s="2" t="s">
        <v>275</v>
      </c>
      <c r="C106" s="2" t="s">
        <v>276</v>
      </c>
      <c r="D106" s="2" t="s">
        <v>70</v>
      </c>
      <c r="E106" s="2" t="s">
        <v>71</v>
      </c>
      <c r="F106" s="2"/>
      <c r="G106" s="2" t="s">
        <v>9</v>
      </c>
      <c r="H106" s="8" t="n">
        <v>636.78250237189</v>
      </c>
      <c r="I106" s="8" t="n">
        <v>759563.106796117</v>
      </c>
      <c r="J106" s="6" t="n">
        <v>309</v>
      </c>
      <c r="K106" s="2" t="s">
        <v>30</v>
      </c>
      <c r="L106" s="6" t="n">
        <v>618</v>
      </c>
      <c r="M106" s="2" t="s">
        <v>31</v>
      </c>
    </row>
    <row r="107" customFormat="false" ht="15" hidden="false" customHeight="false" outlineLevel="0" collapsed="false">
      <c r="A107" s="2" t="n">
        <v>96</v>
      </c>
      <c r="B107" s="2" t="s">
        <v>277</v>
      </c>
      <c r="C107" s="2" t="s">
        <v>278</v>
      </c>
      <c r="D107" s="2" t="s">
        <v>70</v>
      </c>
      <c r="E107" s="2" t="s">
        <v>71</v>
      </c>
      <c r="F107" s="2" t="s">
        <v>279</v>
      </c>
      <c r="G107" s="2" t="s">
        <v>8</v>
      </c>
      <c r="H107" s="8" t="n">
        <v>866.051856414451</v>
      </c>
      <c r="I107" s="8" t="n">
        <v>1598733.00970874</v>
      </c>
      <c r="J107" s="6" t="n">
        <v>206</v>
      </c>
      <c r="K107" s="2" t="s">
        <v>30</v>
      </c>
      <c r="L107" s="6" t="n">
        <v>618</v>
      </c>
      <c r="M107" s="2" t="s">
        <v>31</v>
      </c>
    </row>
    <row r="108" customFormat="false" ht="15" hidden="false" customHeight="false" outlineLevel="0" collapsed="false">
      <c r="A108" s="2" t="n">
        <v>97</v>
      </c>
      <c r="B108" s="2" t="s">
        <v>280</v>
      </c>
      <c r="C108" s="2" t="s">
        <v>38</v>
      </c>
      <c r="D108" s="2" t="s">
        <v>39</v>
      </c>
      <c r="E108" s="2" t="s">
        <v>40</v>
      </c>
      <c r="F108" s="2"/>
      <c r="G108" s="2" t="s">
        <v>8</v>
      </c>
      <c r="H108" s="8" t="n">
        <v>1129.19170563423</v>
      </c>
      <c r="I108" s="8" t="n">
        <v>1690073.89162562</v>
      </c>
      <c r="J108" s="6" t="n">
        <v>203</v>
      </c>
      <c r="K108" s="2" t="s">
        <v>30</v>
      </c>
      <c r="L108" s="6" t="n">
        <v>609</v>
      </c>
      <c r="M108" s="2" t="s">
        <v>31</v>
      </c>
    </row>
    <row r="109" customFormat="false" ht="15" hidden="false" customHeight="false" outlineLevel="0" collapsed="false">
      <c r="A109" s="2" t="n">
        <v>98</v>
      </c>
      <c r="B109" s="2" t="s">
        <v>281</v>
      </c>
      <c r="C109" s="2" t="s">
        <v>197</v>
      </c>
      <c r="D109" s="2" t="s">
        <v>197</v>
      </c>
      <c r="E109" s="2" t="s">
        <v>51</v>
      </c>
      <c r="F109" s="2" t="s">
        <v>282</v>
      </c>
      <c r="G109" s="2" t="s">
        <v>8</v>
      </c>
      <c r="H109" s="8" t="n">
        <v>918.73049984104</v>
      </c>
      <c r="I109" s="8" t="n">
        <v>1497027.22772277</v>
      </c>
      <c r="J109" s="6" t="n">
        <v>202</v>
      </c>
      <c r="K109" s="2" t="s">
        <v>30</v>
      </c>
      <c r="L109" s="6" t="n">
        <v>606</v>
      </c>
      <c r="M109" s="2" t="s">
        <v>31</v>
      </c>
    </row>
    <row r="110" customFormat="false" ht="15" hidden="false" customHeight="false" outlineLevel="0" collapsed="false">
      <c r="A110" s="2" t="n">
        <v>99</v>
      </c>
      <c r="B110" s="2" t="s">
        <v>283</v>
      </c>
      <c r="C110" s="2" t="s">
        <v>44</v>
      </c>
      <c r="D110" s="2" t="s">
        <v>44</v>
      </c>
      <c r="E110" s="2" t="s">
        <v>44</v>
      </c>
      <c r="F110" s="2" t="s">
        <v>284</v>
      </c>
      <c r="G110" s="2" t="s">
        <v>8</v>
      </c>
      <c r="H110" s="8" t="n">
        <v>830.5074362261</v>
      </c>
      <c r="I110" s="8" t="n">
        <v>2482169.15422886</v>
      </c>
      <c r="J110" s="6" t="n">
        <v>201</v>
      </c>
      <c r="K110" s="2" t="s">
        <v>30</v>
      </c>
      <c r="L110" s="6" t="n">
        <v>603</v>
      </c>
      <c r="M110" s="2" t="s">
        <v>31</v>
      </c>
    </row>
    <row r="111" customFormat="false" ht="15" hidden="false" customHeight="false" outlineLevel="0" collapsed="false">
      <c r="A111" s="2" t="n">
        <v>100</v>
      </c>
      <c r="B111" s="2" t="s">
        <v>285</v>
      </c>
      <c r="C111" s="2" t="s">
        <v>286</v>
      </c>
      <c r="D111" s="2" t="s">
        <v>39</v>
      </c>
      <c r="E111" s="2" t="s">
        <v>40</v>
      </c>
      <c r="F111" s="2"/>
      <c r="G111" s="2" t="s">
        <v>8</v>
      </c>
      <c r="H111" s="8" t="n">
        <v>993.608681610239</v>
      </c>
      <c r="I111" s="8" t="n">
        <v>1640455.2238806</v>
      </c>
      <c r="J111" s="6" t="n">
        <v>201</v>
      </c>
      <c r="K111" s="2" t="s">
        <v>30</v>
      </c>
      <c r="L111" s="6" t="n">
        <v>603</v>
      </c>
      <c r="M111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8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40"/>
    <col collapsed="false" customWidth="true" hidden="false" outlineLevel="0" max="37" min="7" style="0" width="14"/>
  </cols>
  <sheetData>
    <row r="1" customFormat="false" ht="42" hidden="false" customHeight="true" outlineLevel="0" collapsed="false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287</v>
      </c>
      <c r="H1" s="7" t="s">
        <v>288</v>
      </c>
      <c r="I1" s="7" t="s">
        <v>289</v>
      </c>
      <c r="J1" s="7" t="s">
        <v>20</v>
      </c>
      <c r="K1" s="7" t="s">
        <v>290</v>
      </c>
      <c r="L1" s="7" t="s">
        <v>291</v>
      </c>
      <c r="M1" s="7" t="s">
        <v>292</v>
      </c>
      <c r="N1" s="7" t="s">
        <v>3</v>
      </c>
      <c r="O1" s="7" t="s">
        <v>293</v>
      </c>
      <c r="P1" s="7" t="s">
        <v>294</v>
      </c>
      <c r="Q1" s="7" t="s">
        <v>295</v>
      </c>
      <c r="R1" s="7" t="s">
        <v>296</v>
      </c>
      <c r="S1" s="7" t="s">
        <v>297</v>
      </c>
      <c r="T1" s="7" t="s">
        <v>298</v>
      </c>
      <c r="U1" s="7" t="s">
        <v>299</v>
      </c>
      <c r="V1" s="7" t="s">
        <v>300</v>
      </c>
      <c r="W1" s="7" t="s">
        <v>301</v>
      </c>
      <c r="X1" s="7" t="s">
        <v>302</v>
      </c>
      <c r="Y1" s="7" t="s">
        <v>303</v>
      </c>
      <c r="Z1" s="7" t="s">
        <v>304</v>
      </c>
      <c r="AA1" s="7" t="s">
        <v>24</v>
      </c>
      <c r="AB1" s="7" t="s">
        <v>305</v>
      </c>
      <c r="AC1" s="7" t="s">
        <v>306</v>
      </c>
      <c r="AD1" s="7" t="s">
        <v>307</v>
      </c>
      <c r="AE1" s="7" t="s">
        <v>308</v>
      </c>
      <c r="AF1" s="7" t="s">
        <v>309</v>
      </c>
      <c r="AG1" s="7" t="s">
        <v>310</v>
      </c>
      <c r="AH1" s="7" t="s">
        <v>311</v>
      </c>
      <c r="AI1" s="7" t="s">
        <v>312</v>
      </c>
      <c r="AJ1" s="7" t="s">
        <v>313</v>
      </c>
      <c r="AK1" s="7" t="s">
        <v>314</v>
      </c>
    </row>
    <row r="2" customFormat="false" ht="15" hidden="false" customHeight="false" outlineLevel="0" collapsed="false">
      <c r="A2" s="9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315</v>
      </c>
      <c r="H2" s="8" t="n">
        <v>811.065578594981</v>
      </c>
      <c r="I2" s="2" t="s">
        <v>316</v>
      </c>
      <c r="J2" s="8" t="n">
        <v>1723455.18867925</v>
      </c>
      <c r="K2" s="6" t="n">
        <v>424</v>
      </c>
      <c r="L2" s="2"/>
      <c r="M2" s="10" t="b">
        <f aca="false">TRUE()</f>
        <v>1</v>
      </c>
      <c r="N2" s="9" t="n">
        <f aca="false">IF(H2="","",IF(H2&gt;=Assumptions!$B$5,1,IF(H2&gt;=Assumptions!$B$6,2,IF(H2&gt;=Assumptions!$B$7,3,""))))</f>
        <v>1</v>
      </c>
      <c r="O2" s="9" t="n">
        <f aca="false">IF(N2=1,Assumptions!$B$8,IF(N2=2,Assumptions!$B$9,IF(N2=3,Assumptions!$B$10,0)))</f>
        <v>3</v>
      </c>
      <c r="P2" s="6" t="s">
        <v>30</v>
      </c>
      <c r="Q2" s="6" t="s">
        <v>30</v>
      </c>
      <c r="R2" s="11" t="s">
        <v>30</v>
      </c>
      <c r="S2" s="6" t="s">
        <v>30</v>
      </c>
      <c r="T2" s="11" t="s">
        <v>30</v>
      </c>
      <c r="U2" s="6" t="s">
        <v>30</v>
      </c>
      <c r="V2" s="6" t="s">
        <v>30</v>
      </c>
      <c r="W2" s="6" t="s">
        <v>30</v>
      </c>
      <c r="X2" s="2" t="s">
        <v>30</v>
      </c>
      <c r="Y2" s="6" t="str">
        <f aca="false">IF(AND(X2="processed",ISNUMBER(S2)),S2*O2,"")</f>
        <v/>
      </c>
      <c r="Z2" s="6" t="n">
        <f aca="false">IF(ISNUMBER(K2),K2*O2,0)</f>
        <v>1272</v>
      </c>
      <c r="AA2" s="2" t="s">
        <v>31</v>
      </c>
      <c r="AB2" s="6" t="n">
        <v>19157</v>
      </c>
      <c r="AC2" s="6" t="n">
        <v>17471</v>
      </c>
      <c r="AD2" s="6" t="n">
        <v>261</v>
      </c>
      <c r="AE2" s="6" t="n">
        <v>2521.24340820313</v>
      </c>
      <c r="AF2" s="8" t="n">
        <v>842.420557866</v>
      </c>
      <c r="AG2" s="11" t="n">
        <v>0.0113344646</v>
      </c>
      <c r="AH2" s="12" t="n">
        <v>1</v>
      </c>
      <c r="AI2" s="2" t="s">
        <v>317</v>
      </c>
      <c r="AJ2" s="2" t="s">
        <v>26</v>
      </c>
      <c r="AK2" s="2" t="s">
        <v>26</v>
      </c>
    </row>
    <row r="3" customFormat="false" ht="15" hidden="false" customHeight="false" outlineLevel="0" collapsed="false">
      <c r="A3" s="9" t="n">
        <v>2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318</v>
      </c>
      <c r="H3" s="8" t="n">
        <v>704.67240705357</v>
      </c>
      <c r="I3" s="2" t="s">
        <v>316</v>
      </c>
      <c r="J3" s="8" t="n">
        <v>1341359.22330097</v>
      </c>
      <c r="K3" s="6" t="n">
        <v>412</v>
      </c>
      <c r="L3" s="2"/>
      <c r="M3" s="10" t="b">
        <f aca="false">TRUE()</f>
        <v>1</v>
      </c>
      <c r="N3" s="9" t="n">
        <f aca="false">IF(H3="","",IF(H3&gt;=Assumptions!$B$5,1,IF(H3&gt;=Assumptions!$B$6,2,IF(H3&gt;=Assumptions!$B$7,3,""))))</f>
        <v>1</v>
      </c>
      <c r="O3" s="9" t="n">
        <f aca="false">IF(N3=1,Assumptions!$B$8,IF(N3=2,Assumptions!$B$9,IF(N3=3,Assumptions!$B$10,0)))</f>
        <v>3</v>
      </c>
      <c r="P3" s="6" t="s">
        <v>30</v>
      </c>
      <c r="Q3" s="6" t="s">
        <v>30</v>
      </c>
      <c r="R3" s="11" t="s">
        <v>30</v>
      </c>
      <c r="S3" s="6" t="s">
        <v>30</v>
      </c>
      <c r="T3" s="11" t="s">
        <v>30</v>
      </c>
      <c r="U3" s="6" t="s">
        <v>30</v>
      </c>
      <c r="V3" s="6" t="s">
        <v>30</v>
      </c>
      <c r="W3" s="6" t="s">
        <v>30</v>
      </c>
      <c r="X3" s="2" t="s">
        <v>30</v>
      </c>
      <c r="Y3" s="6" t="str">
        <f aca="false">IF(AND(X3="processed",ISNUMBER(S3)),S3*O3,"")</f>
        <v/>
      </c>
      <c r="Z3" s="6" t="n">
        <f aca="false">IF(ISNUMBER(K3),K3*O3,0)</f>
        <v>1236</v>
      </c>
      <c r="AA3" s="2" t="s">
        <v>31</v>
      </c>
      <c r="AB3" s="6" t="n">
        <v>21065</v>
      </c>
      <c r="AC3" s="6" t="n">
        <v>18532</v>
      </c>
      <c r="AD3" s="6" t="n">
        <v>4984</v>
      </c>
      <c r="AE3" s="6" t="n">
        <v>2510.7314453125</v>
      </c>
      <c r="AF3" s="8" t="n">
        <v>740.225765254</v>
      </c>
      <c r="AG3" s="11" t="n">
        <v>0.01954365123</v>
      </c>
      <c r="AH3" s="12" t="n">
        <v>0.674413546543654</v>
      </c>
      <c r="AI3" s="2" t="s">
        <v>319</v>
      </c>
      <c r="AJ3" s="2"/>
      <c r="AK3" s="2" t="s">
        <v>33</v>
      </c>
    </row>
    <row r="4" customFormat="false" ht="15" hidden="false" customHeight="false" outlineLevel="0" collapsed="false">
      <c r="A4" s="9" t="n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320</v>
      </c>
      <c r="H4" s="8" t="n">
        <v>1137.94586899351</v>
      </c>
      <c r="I4" s="2" t="s">
        <v>316</v>
      </c>
      <c r="J4" s="8" t="n">
        <v>2062863.51706037</v>
      </c>
      <c r="K4" s="6" t="n">
        <v>381</v>
      </c>
      <c r="L4" s="2"/>
      <c r="M4" s="10" t="b">
        <f aca="false">TRUE()</f>
        <v>1</v>
      </c>
      <c r="N4" s="9" t="n">
        <f aca="false">IF(H4="","",IF(H4&gt;=Assumptions!$B$5,1,IF(H4&gt;=Assumptions!$B$6,2,IF(H4&gt;=Assumptions!$B$7,3,""))))</f>
        <v>1</v>
      </c>
      <c r="O4" s="9" t="n">
        <f aca="false">IF(N4=1,Assumptions!$B$8,IF(N4=2,Assumptions!$B$9,IF(N4=3,Assumptions!$B$10,0)))</f>
        <v>3</v>
      </c>
      <c r="P4" s="6" t="s">
        <v>30</v>
      </c>
      <c r="Q4" s="6" t="s">
        <v>30</v>
      </c>
      <c r="R4" s="11" t="s">
        <v>30</v>
      </c>
      <c r="S4" s="6" t="s">
        <v>30</v>
      </c>
      <c r="T4" s="11" t="s">
        <v>30</v>
      </c>
      <c r="U4" s="6" t="s">
        <v>30</v>
      </c>
      <c r="V4" s="6" t="s">
        <v>30</v>
      </c>
      <c r="W4" s="6" t="s">
        <v>30</v>
      </c>
      <c r="X4" s="2" t="s">
        <v>30</v>
      </c>
      <c r="Y4" s="6" t="str">
        <f aca="false">IF(AND(X4="processed",ISNUMBER(S4)),S4*O4,"")</f>
        <v/>
      </c>
      <c r="Z4" s="6" t="n">
        <f aca="false">IF(ISNUMBER(K4),K4*O4,0)</f>
        <v>1143</v>
      </c>
      <c r="AA4" s="2" t="s">
        <v>31</v>
      </c>
      <c r="AB4" s="6" t="n">
        <v>25731</v>
      </c>
      <c r="AC4" s="6" t="n">
        <v>17724</v>
      </c>
      <c r="AD4" s="6" t="n">
        <v>515</v>
      </c>
      <c r="AE4" s="6" t="n">
        <v>2122.41674804688</v>
      </c>
      <c r="AF4" s="8" t="n">
        <v>1176.039836549</v>
      </c>
      <c r="AG4" s="11" t="n">
        <v>-0.0158153535</v>
      </c>
      <c r="AH4" s="12" t="n">
        <v>0.999999999999999</v>
      </c>
      <c r="AI4" s="2" t="s">
        <v>321</v>
      </c>
      <c r="AJ4" s="2" t="s">
        <v>38</v>
      </c>
      <c r="AK4" s="2" t="s">
        <v>38</v>
      </c>
    </row>
    <row r="5" customFormat="false" ht="15" hidden="false" customHeight="false" outlineLevel="0" collapsed="false">
      <c r="A5" s="9" t="n">
        <v>4</v>
      </c>
      <c r="B5" s="2" t="s">
        <v>42</v>
      </c>
      <c r="C5" s="2" t="s">
        <v>43</v>
      </c>
      <c r="D5" s="2" t="s">
        <v>44</v>
      </c>
      <c r="E5" s="2" t="s">
        <v>44</v>
      </c>
      <c r="F5" s="2" t="s">
        <v>45</v>
      </c>
      <c r="G5" s="2" t="s">
        <v>322</v>
      </c>
      <c r="H5" s="8" t="n">
        <v>964.560642842905</v>
      </c>
      <c r="I5" s="2" t="s">
        <v>316</v>
      </c>
      <c r="J5" s="8" t="n">
        <v>2278542.00542005</v>
      </c>
      <c r="K5" s="6" t="n">
        <v>369</v>
      </c>
      <c r="L5" s="2"/>
      <c r="M5" s="10" t="b">
        <f aca="false">TRUE()</f>
        <v>1</v>
      </c>
      <c r="N5" s="9" t="n">
        <f aca="false">IF(H5="","",IF(H5&gt;=Assumptions!$B$5,1,IF(H5&gt;=Assumptions!$B$6,2,IF(H5&gt;=Assumptions!$B$7,3,""))))</f>
        <v>1</v>
      </c>
      <c r="O5" s="9" t="n">
        <f aca="false">IF(N5=1,Assumptions!$B$8,IF(N5=2,Assumptions!$B$9,IF(N5=3,Assumptions!$B$10,0)))</f>
        <v>3</v>
      </c>
      <c r="P5" s="6" t="s">
        <v>30</v>
      </c>
      <c r="Q5" s="6" t="s">
        <v>30</v>
      </c>
      <c r="R5" s="11" t="s">
        <v>30</v>
      </c>
      <c r="S5" s="6" t="s">
        <v>30</v>
      </c>
      <c r="T5" s="11" t="s">
        <v>30</v>
      </c>
      <c r="U5" s="6" t="s">
        <v>30</v>
      </c>
      <c r="V5" s="6" t="s">
        <v>30</v>
      </c>
      <c r="W5" s="6" t="s">
        <v>30</v>
      </c>
      <c r="X5" s="2" t="s">
        <v>30</v>
      </c>
      <c r="Y5" s="6" t="str">
        <f aca="false">IF(AND(X5="processed",ISNUMBER(S5)),S5*O5,"")</f>
        <v/>
      </c>
      <c r="Z5" s="6" t="n">
        <f aca="false">IF(ISNUMBER(K5),K5*O5,0)</f>
        <v>1107</v>
      </c>
      <c r="AA5" s="2" t="s">
        <v>31</v>
      </c>
      <c r="AB5" s="6" t="n">
        <v>21782</v>
      </c>
      <c r="AC5" s="6" t="n">
        <v>17409</v>
      </c>
      <c r="AD5" s="6" t="n">
        <v>844</v>
      </c>
      <c r="AE5" s="6" t="n">
        <v>2482.03198242188</v>
      </c>
      <c r="AF5" s="8" t="n">
        <v>977.268565948</v>
      </c>
      <c r="AG5" s="11" t="n">
        <v>0.05276964231</v>
      </c>
      <c r="AH5" s="12" t="n">
        <v>0.966344216402007</v>
      </c>
      <c r="AI5" s="2" t="s">
        <v>321</v>
      </c>
      <c r="AJ5" s="2" t="s">
        <v>43</v>
      </c>
      <c r="AK5" s="2" t="s">
        <v>43</v>
      </c>
    </row>
    <row r="6" customFormat="false" ht="15" hidden="false" customHeight="false" outlineLevel="0" collapsed="false">
      <c r="A6" s="9" t="n">
        <v>5</v>
      </c>
      <c r="B6" s="2" t="s">
        <v>46</v>
      </c>
      <c r="C6" s="2" t="s">
        <v>38</v>
      </c>
      <c r="D6" s="2" t="s">
        <v>39</v>
      </c>
      <c r="E6" s="2" t="s">
        <v>40</v>
      </c>
      <c r="F6" s="2" t="s">
        <v>47</v>
      </c>
      <c r="G6" s="2" t="s">
        <v>320</v>
      </c>
      <c r="H6" s="8" t="n">
        <v>1220.49885339804</v>
      </c>
      <c r="I6" s="2" t="s">
        <v>316</v>
      </c>
      <c r="J6" s="8" t="n">
        <v>2057880.43478261</v>
      </c>
      <c r="K6" s="6" t="n">
        <v>368</v>
      </c>
      <c r="L6" s="2"/>
      <c r="M6" s="10" t="b">
        <f aca="false">TRUE()</f>
        <v>1</v>
      </c>
      <c r="N6" s="9" t="n">
        <f aca="false">IF(H6="","",IF(H6&gt;=Assumptions!$B$5,1,IF(H6&gt;=Assumptions!$B$6,2,IF(H6&gt;=Assumptions!$B$7,3,""))))</f>
        <v>1</v>
      </c>
      <c r="O6" s="9" t="n">
        <f aca="false">IF(N6=1,Assumptions!$B$8,IF(N6=2,Assumptions!$B$9,IF(N6=3,Assumptions!$B$10,0)))</f>
        <v>3</v>
      </c>
      <c r="P6" s="6" t="s">
        <v>30</v>
      </c>
      <c r="Q6" s="6" t="s">
        <v>30</v>
      </c>
      <c r="R6" s="11" t="s">
        <v>30</v>
      </c>
      <c r="S6" s="6" t="s">
        <v>30</v>
      </c>
      <c r="T6" s="11" t="s">
        <v>30</v>
      </c>
      <c r="U6" s="6" t="s">
        <v>30</v>
      </c>
      <c r="V6" s="6" t="s">
        <v>30</v>
      </c>
      <c r="W6" s="6" t="s">
        <v>30</v>
      </c>
      <c r="X6" s="2" t="s">
        <v>30</v>
      </c>
      <c r="Y6" s="6" t="str">
        <f aca="false">IF(AND(X6="processed",ISNUMBER(S6)),S6*O6,"")</f>
        <v/>
      </c>
      <c r="Z6" s="6" t="n">
        <f aca="false">IF(ISNUMBER(K6),K6*O6,0)</f>
        <v>1104</v>
      </c>
      <c r="AA6" s="2" t="s">
        <v>31</v>
      </c>
      <c r="AB6" s="6" t="n">
        <v>20690</v>
      </c>
      <c r="AC6" s="6" t="n">
        <v>15442</v>
      </c>
      <c r="AD6" s="6" t="n">
        <v>190</v>
      </c>
      <c r="AE6" s="6" t="n">
        <v>2457.56103515625</v>
      </c>
      <c r="AF6" s="8" t="n">
        <v>1261.64874552</v>
      </c>
      <c r="AG6" s="11" t="n">
        <v>-0.007004968832</v>
      </c>
      <c r="AH6" s="12" t="n">
        <v>1</v>
      </c>
      <c r="AI6" s="2" t="s">
        <v>321</v>
      </c>
      <c r="AJ6" s="2" t="s">
        <v>38</v>
      </c>
      <c r="AK6" s="2" t="s">
        <v>38</v>
      </c>
    </row>
    <row r="7" customFormat="false" ht="15" hidden="false" customHeight="false" outlineLevel="0" collapsed="false">
      <c r="A7" s="9" t="n">
        <v>6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323</v>
      </c>
      <c r="H7" s="8" t="n">
        <v>612.999915490899</v>
      </c>
      <c r="I7" s="2" t="s">
        <v>316</v>
      </c>
      <c r="J7" s="8" t="n">
        <v>1264262.6641651</v>
      </c>
      <c r="K7" s="6" t="n">
        <v>533</v>
      </c>
      <c r="L7" s="2"/>
      <c r="M7" s="10" t="b">
        <f aca="false">TRUE()</f>
        <v>1</v>
      </c>
      <c r="N7" s="9" t="n">
        <f aca="false">IF(H7="","",IF(H7&gt;=Assumptions!$B$5,1,IF(H7&gt;=Assumptions!$B$6,2,IF(H7&gt;=Assumptions!$B$7,3,""))))</f>
        <v>2</v>
      </c>
      <c r="O7" s="9" t="n">
        <f aca="false">IF(N7=1,Assumptions!$B$8,IF(N7=2,Assumptions!$B$9,IF(N7=3,Assumptions!$B$10,0)))</f>
        <v>2</v>
      </c>
      <c r="P7" s="6" t="s">
        <v>30</v>
      </c>
      <c r="Q7" s="6" t="s">
        <v>30</v>
      </c>
      <c r="R7" s="11" t="s">
        <v>30</v>
      </c>
      <c r="S7" s="6" t="s">
        <v>30</v>
      </c>
      <c r="T7" s="11" t="s">
        <v>30</v>
      </c>
      <c r="U7" s="6" t="s">
        <v>30</v>
      </c>
      <c r="V7" s="6" t="s">
        <v>30</v>
      </c>
      <c r="W7" s="6" t="s">
        <v>30</v>
      </c>
      <c r="X7" s="2" t="s">
        <v>30</v>
      </c>
      <c r="Y7" s="6" t="str">
        <f aca="false">IF(AND(X7="processed",ISNUMBER(S7)),S7*O7,"")</f>
        <v/>
      </c>
      <c r="Z7" s="6" t="n">
        <f aca="false">IF(ISNUMBER(K7),K7*O7,0)</f>
        <v>1066</v>
      </c>
      <c r="AA7" s="2" t="s">
        <v>31</v>
      </c>
      <c r="AB7" s="6" t="n">
        <v>16846</v>
      </c>
      <c r="AC7" s="6" t="n">
        <v>15188</v>
      </c>
      <c r="AD7" s="6" t="n">
        <v>11181</v>
      </c>
      <c r="AE7" s="6" t="n">
        <v>1971.87548828125</v>
      </c>
      <c r="AF7" s="8" t="n">
        <v>649.995961633</v>
      </c>
      <c r="AG7" s="11" t="n">
        <v>0.01202670798</v>
      </c>
      <c r="AH7" s="12" t="n">
        <v>0.560423570857878</v>
      </c>
      <c r="AI7" s="2" t="s">
        <v>317</v>
      </c>
      <c r="AJ7" s="2" t="s">
        <v>49</v>
      </c>
      <c r="AK7" s="2" t="s">
        <v>49</v>
      </c>
    </row>
    <row r="8" customFormat="false" ht="15" hidden="false" customHeight="false" outlineLevel="0" collapsed="false">
      <c r="A8" s="9" t="n">
        <v>7</v>
      </c>
      <c r="B8" s="2" t="s">
        <v>53</v>
      </c>
      <c r="C8" s="2" t="s">
        <v>44</v>
      </c>
      <c r="D8" s="2" t="s">
        <v>44</v>
      </c>
      <c r="E8" s="2" t="s">
        <v>44</v>
      </c>
      <c r="F8" s="2" t="s">
        <v>54</v>
      </c>
      <c r="G8" s="2" t="s">
        <v>322</v>
      </c>
      <c r="H8" s="8" t="n">
        <v>805.708453794106</v>
      </c>
      <c r="I8" s="2" t="s">
        <v>316</v>
      </c>
      <c r="J8" s="8" t="n">
        <v>1173166.18911175</v>
      </c>
      <c r="K8" s="6" t="n">
        <v>349</v>
      </c>
      <c r="L8" s="2"/>
      <c r="M8" s="10" t="b">
        <f aca="false">TRUE()</f>
        <v>1</v>
      </c>
      <c r="N8" s="9" t="n">
        <f aca="false">IF(H8="","",IF(H8&gt;=Assumptions!$B$5,1,IF(H8&gt;=Assumptions!$B$6,2,IF(H8&gt;=Assumptions!$B$7,3,""))))</f>
        <v>1</v>
      </c>
      <c r="O8" s="9" t="n">
        <f aca="false">IF(N8=1,Assumptions!$B$8,IF(N8=2,Assumptions!$B$9,IF(N8=3,Assumptions!$B$10,0)))</f>
        <v>3</v>
      </c>
      <c r="P8" s="6" t="s">
        <v>30</v>
      </c>
      <c r="Q8" s="6" t="s">
        <v>30</v>
      </c>
      <c r="R8" s="11" t="s">
        <v>30</v>
      </c>
      <c r="S8" s="6" t="s">
        <v>30</v>
      </c>
      <c r="T8" s="11" t="s">
        <v>30</v>
      </c>
      <c r="U8" s="6" t="s">
        <v>30</v>
      </c>
      <c r="V8" s="6" t="s">
        <v>30</v>
      </c>
      <c r="W8" s="6" t="s">
        <v>30</v>
      </c>
      <c r="X8" s="2" t="s">
        <v>30</v>
      </c>
      <c r="Y8" s="6" t="str">
        <f aca="false">IF(AND(X8="processed",ISNUMBER(S8)),S8*O8,"")</f>
        <v/>
      </c>
      <c r="Z8" s="6" t="n">
        <f aca="false">IF(ISNUMBER(K8),K8*O8,0)</f>
        <v>1047</v>
      </c>
      <c r="AA8" s="2" t="s">
        <v>31</v>
      </c>
      <c r="AB8" s="6" t="n">
        <v>18445</v>
      </c>
      <c r="AC8" s="6" t="n">
        <v>15595</v>
      </c>
      <c r="AD8" s="6" t="n">
        <v>544</v>
      </c>
      <c r="AE8" s="6" t="n">
        <v>2245.39819335938</v>
      </c>
      <c r="AF8" s="8" t="n">
        <v>827.526132404</v>
      </c>
      <c r="AG8" s="11" t="n">
        <v>0.04713474786</v>
      </c>
      <c r="AH8" s="12" t="n">
        <v>1</v>
      </c>
      <c r="AI8" s="2" t="s">
        <v>317</v>
      </c>
      <c r="AJ8" s="2" t="s">
        <v>44</v>
      </c>
      <c r="AK8" s="2" t="s">
        <v>44</v>
      </c>
    </row>
    <row r="9" customFormat="false" ht="15" hidden="false" customHeight="false" outlineLevel="0" collapsed="false">
      <c r="A9" s="9" t="n">
        <v>8</v>
      </c>
      <c r="B9" s="2" t="s">
        <v>55</v>
      </c>
      <c r="C9" s="2" t="s">
        <v>56</v>
      </c>
      <c r="D9" s="2" t="s">
        <v>56</v>
      </c>
      <c r="E9" s="2" t="s">
        <v>56</v>
      </c>
      <c r="F9" s="2" t="s">
        <v>57</v>
      </c>
      <c r="G9" s="2" t="s">
        <v>324</v>
      </c>
      <c r="H9" s="8" t="n">
        <v>856.09109182091</v>
      </c>
      <c r="I9" s="2" t="s">
        <v>316</v>
      </c>
      <c r="J9" s="8" t="n">
        <v>1247670.14925373</v>
      </c>
      <c r="K9" s="6" t="n">
        <v>335</v>
      </c>
      <c r="L9" s="2"/>
      <c r="M9" s="10" t="b">
        <f aca="false">TRUE()</f>
        <v>1</v>
      </c>
      <c r="N9" s="9" t="n">
        <f aca="false">IF(H9="","",IF(H9&gt;=Assumptions!$B$5,1,IF(H9&gt;=Assumptions!$B$6,2,IF(H9&gt;=Assumptions!$B$7,3,""))))</f>
        <v>1</v>
      </c>
      <c r="O9" s="9" t="n">
        <f aca="false">IF(N9=1,Assumptions!$B$8,IF(N9=2,Assumptions!$B$9,IF(N9=3,Assumptions!$B$10,0)))</f>
        <v>3</v>
      </c>
      <c r="P9" s="6" t="s">
        <v>30</v>
      </c>
      <c r="Q9" s="6" t="s">
        <v>30</v>
      </c>
      <c r="R9" s="11" t="s">
        <v>30</v>
      </c>
      <c r="S9" s="6" t="s">
        <v>30</v>
      </c>
      <c r="T9" s="11" t="s">
        <v>30</v>
      </c>
      <c r="U9" s="6" t="s">
        <v>30</v>
      </c>
      <c r="V9" s="6" t="s">
        <v>30</v>
      </c>
      <c r="W9" s="6" t="s">
        <v>30</v>
      </c>
      <c r="X9" s="2" t="s">
        <v>30</v>
      </c>
      <c r="Y9" s="6" t="str">
        <f aca="false">IF(AND(X9="processed",ISNUMBER(S9)),S9*O9,"")</f>
        <v/>
      </c>
      <c r="Z9" s="6" t="n">
        <f aca="false">IF(ISNUMBER(K9),K9*O9,0)</f>
        <v>1005</v>
      </c>
      <c r="AA9" s="2" t="s">
        <v>31</v>
      </c>
      <c r="AB9" s="6" t="n">
        <v>19050</v>
      </c>
      <c r="AC9" s="6" t="n">
        <v>18175</v>
      </c>
      <c r="AD9" s="6" t="n">
        <v>147</v>
      </c>
      <c r="AE9" s="6" t="n">
        <v>1289.94360351563</v>
      </c>
      <c r="AF9" s="8" t="n">
        <v>919.413919414</v>
      </c>
      <c r="AG9" s="11" t="n">
        <v>0.1536772717</v>
      </c>
      <c r="AH9" s="12" t="n">
        <v>0.998632040518594</v>
      </c>
      <c r="AI9" s="2" t="s">
        <v>317</v>
      </c>
      <c r="AJ9" s="2" t="s">
        <v>56</v>
      </c>
      <c r="AK9" s="2" t="s">
        <v>199</v>
      </c>
    </row>
    <row r="10" customFormat="false" ht="15" hidden="false" customHeight="false" outlineLevel="0" collapsed="false">
      <c r="A10" s="9" t="n">
        <v>9</v>
      </c>
      <c r="B10" s="2" t="s">
        <v>58</v>
      </c>
      <c r="C10" s="2" t="s">
        <v>59</v>
      </c>
      <c r="D10" s="2" t="s">
        <v>27</v>
      </c>
      <c r="E10" s="2" t="s">
        <v>28</v>
      </c>
      <c r="F10" s="2"/>
      <c r="G10" s="2" t="s">
        <v>315</v>
      </c>
      <c r="H10" s="8" t="n">
        <v>825.072724060913</v>
      </c>
      <c r="I10" s="2" t="s">
        <v>316</v>
      </c>
      <c r="J10" s="8" t="n">
        <v>1512396.3963964</v>
      </c>
      <c r="K10" s="6" t="n">
        <v>333</v>
      </c>
      <c r="L10" s="2"/>
      <c r="M10" s="10" t="b">
        <f aca="false">TRUE()</f>
        <v>1</v>
      </c>
      <c r="N10" s="9" t="n">
        <f aca="false">IF(H10="","",IF(H10&gt;=Assumptions!$B$5,1,IF(H10&gt;=Assumptions!$B$6,2,IF(H10&gt;=Assumptions!$B$7,3,""))))</f>
        <v>1</v>
      </c>
      <c r="O10" s="9" t="n">
        <f aca="false">IF(N10=1,Assumptions!$B$8,IF(N10=2,Assumptions!$B$9,IF(N10=3,Assumptions!$B$10,0)))</f>
        <v>3</v>
      </c>
      <c r="P10" s="6" t="s">
        <v>30</v>
      </c>
      <c r="Q10" s="6" t="s">
        <v>30</v>
      </c>
      <c r="R10" s="11" t="s">
        <v>30</v>
      </c>
      <c r="S10" s="6" t="s">
        <v>30</v>
      </c>
      <c r="T10" s="11" t="s">
        <v>30</v>
      </c>
      <c r="U10" s="6" t="s">
        <v>30</v>
      </c>
      <c r="V10" s="6" t="s">
        <v>30</v>
      </c>
      <c r="W10" s="6" t="s">
        <v>30</v>
      </c>
      <c r="X10" s="2" t="s">
        <v>30</v>
      </c>
      <c r="Y10" s="6" t="str">
        <f aca="false">IF(AND(X10="processed",ISNUMBER(S10)),S10*O10,"")</f>
        <v/>
      </c>
      <c r="Z10" s="6" t="n">
        <f aca="false">IF(ISNUMBER(K10),K10*O10,0)</f>
        <v>999</v>
      </c>
      <c r="AA10" s="2" t="s">
        <v>31</v>
      </c>
      <c r="AB10" s="6" t="n">
        <v>18051</v>
      </c>
      <c r="AC10" s="6" t="n">
        <v>16987</v>
      </c>
      <c r="AD10" s="6" t="n">
        <v>534</v>
      </c>
      <c r="AE10" s="6" t="n">
        <v>2346.44189453125</v>
      </c>
      <c r="AF10" s="8" t="n">
        <v>839.731285988</v>
      </c>
      <c r="AG10" s="11" t="n">
        <v>0.03525080929</v>
      </c>
      <c r="AH10" s="12" t="n">
        <v>0.944447280422326</v>
      </c>
      <c r="AI10" s="2" t="s">
        <v>317</v>
      </c>
      <c r="AJ10" s="2" t="s">
        <v>59</v>
      </c>
      <c r="AK10" s="2" t="s">
        <v>59</v>
      </c>
    </row>
    <row r="11" customFormat="false" ht="15" hidden="false" customHeight="false" outlineLevel="0" collapsed="false">
      <c r="A11" s="9" t="n">
        <v>10</v>
      </c>
      <c r="B11" s="2" t="s">
        <v>60</v>
      </c>
      <c r="C11" s="2" t="s">
        <v>61</v>
      </c>
      <c r="D11" s="2" t="s">
        <v>62</v>
      </c>
      <c r="E11" s="2" t="s">
        <v>40</v>
      </c>
      <c r="F11" s="2" t="s">
        <v>63</v>
      </c>
      <c r="G11" s="2" t="s">
        <v>324</v>
      </c>
      <c r="H11" s="8" t="n">
        <v>1516.48717108747</v>
      </c>
      <c r="I11" s="2" t="s">
        <v>316</v>
      </c>
      <c r="J11" s="8" t="n">
        <v>3999650.91463415</v>
      </c>
      <c r="K11" s="6" t="n">
        <v>328</v>
      </c>
      <c r="L11" s="2"/>
      <c r="M11" s="10" t="b">
        <f aca="false">TRUE()</f>
        <v>1</v>
      </c>
      <c r="N11" s="9" t="n">
        <f aca="false">IF(H11="","",IF(H11&gt;=Assumptions!$B$5,1,IF(H11&gt;=Assumptions!$B$6,2,IF(H11&gt;=Assumptions!$B$7,3,""))))</f>
        <v>1</v>
      </c>
      <c r="O11" s="9" t="n">
        <f aca="false">IF(N11=1,Assumptions!$B$8,IF(N11=2,Assumptions!$B$9,IF(N11=3,Assumptions!$B$10,0)))</f>
        <v>3</v>
      </c>
      <c r="P11" s="6" t="s">
        <v>30</v>
      </c>
      <c r="Q11" s="6" t="s">
        <v>30</v>
      </c>
      <c r="R11" s="11" t="s">
        <v>30</v>
      </c>
      <c r="S11" s="6" t="s">
        <v>30</v>
      </c>
      <c r="T11" s="11" t="s">
        <v>30</v>
      </c>
      <c r="U11" s="6" t="s">
        <v>30</v>
      </c>
      <c r="V11" s="6" t="s">
        <v>30</v>
      </c>
      <c r="W11" s="6" t="s">
        <v>30</v>
      </c>
      <c r="X11" s="2" t="s">
        <v>30</v>
      </c>
      <c r="Y11" s="6" t="str">
        <f aca="false">IF(AND(X11="processed",ISNUMBER(S11)),S11*O11,"")</f>
        <v/>
      </c>
      <c r="Z11" s="6" t="n">
        <f aca="false">IF(ISNUMBER(K11),K11*O11,0)</f>
        <v>984</v>
      </c>
      <c r="AA11" s="2" t="s">
        <v>31</v>
      </c>
      <c r="AB11" s="6" t="n">
        <v>15853</v>
      </c>
      <c r="AC11" s="6" t="n">
        <v>12741</v>
      </c>
      <c r="AD11" s="6" t="n">
        <v>617</v>
      </c>
      <c r="AE11" s="6" t="n">
        <v>2403.55639648438</v>
      </c>
      <c r="AF11" s="8" t="n">
        <v>1573.564122738</v>
      </c>
      <c r="AG11" s="11" t="n">
        <v>0.06860640214</v>
      </c>
      <c r="AH11" s="12" t="n">
        <v>0.978213795400108</v>
      </c>
      <c r="AI11" s="2" t="s">
        <v>325</v>
      </c>
      <c r="AJ11" s="2" t="s">
        <v>326</v>
      </c>
      <c r="AK11" s="2" t="s">
        <v>327</v>
      </c>
    </row>
    <row r="12" customFormat="false" ht="15" hidden="false" customHeight="false" outlineLevel="0" collapsed="false">
      <c r="A12" s="9" t="n">
        <v>11</v>
      </c>
      <c r="B12" s="2" t="s">
        <v>64</v>
      </c>
      <c r="C12" s="2" t="s">
        <v>38</v>
      </c>
      <c r="D12" s="2" t="s">
        <v>39</v>
      </c>
      <c r="E12" s="2" t="s">
        <v>40</v>
      </c>
      <c r="F12" s="2" t="s">
        <v>65</v>
      </c>
      <c r="G12" s="2" t="s">
        <v>320</v>
      </c>
      <c r="H12" s="8" t="n">
        <v>911.128984012779</v>
      </c>
      <c r="I12" s="2" t="s">
        <v>316</v>
      </c>
      <c r="J12" s="8" t="n">
        <v>1504662.57668712</v>
      </c>
      <c r="K12" s="6" t="n">
        <v>326</v>
      </c>
      <c r="L12" s="2"/>
      <c r="M12" s="10" t="b">
        <f aca="false">TRUE()</f>
        <v>1</v>
      </c>
      <c r="N12" s="9" t="n">
        <f aca="false">IF(H12="","",IF(H12&gt;=Assumptions!$B$5,1,IF(H12&gt;=Assumptions!$B$6,2,IF(H12&gt;=Assumptions!$B$7,3,""))))</f>
        <v>1</v>
      </c>
      <c r="O12" s="9" t="n">
        <f aca="false">IF(N12=1,Assumptions!$B$8,IF(N12=2,Assumptions!$B$9,IF(N12=3,Assumptions!$B$10,0)))</f>
        <v>3</v>
      </c>
      <c r="P12" s="6" t="s">
        <v>30</v>
      </c>
      <c r="Q12" s="6" t="s">
        <v>30</v>
      </c>
      <c r="R12" s="11" t="s">
        <v>30</v>
      </c>
      <c r="S12" s="6" t="s">
        <v>30</v>
      </c>
      <c r="T12" s="11" t="s">
        <v>30</v>
      </c>
      <c r="U12" s="6" t="s">
        <v>30</v>
      </c>
      <c r="V12" s="6" t="s">
        <v>30</v>
      </c>
      <c r="W12" s="6" t="s">
        <v>30</v>
      </c>
      <c r="X12" s="2" t="s">
        <v>30</v>
      </c>
      <c r="Y12" s="6" t="str">
        <f aca="false">IF(AND(X12="processed",ISNUMBER(S12)),S12*O12,"")</f>
        <v/>
      </c>
      <c r="Z12" s="6" t="n">
        <f aca="false">IF(ISNUMBER(K12),K12*O12,0)</f>
        <v>978</v>
      </c>
      <c r="AA12" s="2" t="s">
        <v>31</v>
      </c>
      <c r="AB12" s="6" t="n">
        <v>20834</v>
      </c>
      <c r="AC12" s="6" t="n">
        <v>16054</v>
      </c>
      <c r="AD12" s="6" t="n">
        <v>196</v>
      </c>
      <c r="AE12" s="6" t="n">
        <v>2331.75927734375</v>
      </c>
      <c r="AF12" s="8" t="n">
        <v>920.91007584</v>
      </c>
      <c r="AG12" s="11" t="n">
        <v>-0.03162763564</v>
      </c>
      <c r="AH12" s="12" t="n">
        <v>1</v>
      </c>
      <c r="AI12" s="2" t="s">
        <v>317</v>
      </c>
      <c r="AJ12" s="2" t="s">
        <v>38</v>
      </c>
      <c r="AK12" s="2" t="s">
        <v>38</v>
      </c>
    </row>
    <row r="13" customFormat="false" ht="15" hidden="false" customHeight="false" outlineLevel="0" collapsed="false">
      <c r="A13" s="9" t="n">
        <v>12</v>
      </c>
      <c r="B13" s="2" t="s">
        <v>66</v>
      </c>
      <c r="C13" s="2" t="s">
        <v>67</v>
      </c>
      <c r="D13" s="2" t="s">
        <v>62</v>
      </c>
      <c r="E13" s="2" t="s">
        <v>40</v>
      </c>
      <c r="F13" s="2" t="s">
        <v>68</v>
      </c>
      <c r="G13" s="2" t="s">
        <v>324</v>
      </c>
      <c r="H13" s="8" t="n">
        <v>1691.41660469489</v>
      </c>
      <c r="I13" s="2" t="s">
        <v>316</v>
      </c>
      <c r="J13" s="8" t="n">
        <v>3314959.50155763</v>
      </c>
      <c r="K13" s="6" t="n">
        <v>321</v>
      </c>
      <c r="L13" s="2"/>
      <c r="M13" s="10" t="b">
        <f aca="false">TRUE()</f>
        <v>1</v>
      </c>
      <c r="N13" s="9" t="n">
        <f aca="false">IF(H13="","",IF(H13&gt;=Assumptions!$B$5,1,IF(H13&gt;=Assumptions!$B$6,2,IF(H13&gt;=Assumptions!$B$7,3,""))))</f>
        <v>1</v>
      </c>
      <c r="O13" s="9" t="n">
        <f aca="false">IF(N13=1,Assumptions!$B$8,IF(N13=2,Assumptions!$B$9,IF(N13=3,Assumptions!$B$10,0)))</f>
        <v>3</v>
      </c>
      <c r="P13" s="6" t="s">
        <v>30</v>
      </c>
      <c r="Q13" s="6" t="s">
        <v>30</v>
      </c>
      <c r="R13" s="11" t="s">
        <v>30</v>
      </c>
      <c r="S13" s="6" t="s">
        <v>30</v>
      </c>
      <c r="T13" s="11" t="s">
        <v>30</v>
      </c>
      <c r="U13" s="6" t="s">
        <v>30</v>
      </c>
      <c r="V13" s="6" t="s">
        <v>30</v>
      </c>
      <c r="W13" s="6" t="s">
        <v>30</v>
      </c>
      <c r="X13" s="2" t="s">
        <v>30</v>
      </c>
      <c r="Y13" s="6" t="str">
        <f aca="false">IF(AND(X13="processed",ISNUMBER(S13)),S13*O13,"")</f>
        <v/>
      </c>
      <c r="Z13" s="6" t="n">
        <f aca="false">IF(ISNUMBER(K13),K13*O13,0)</f>
        <v>963</v>
      </c>
      <c r="AA13" s="2" t="s">
        <v>31</v>
      </c>
      <c r="AB13" s="6" t="n">
        <v>16385</v>
      </c>
      <c r="AC13" s="6" t="n">
        <v>13018</v>
      </c>
      <c r="AD13" s="6" t="n">
        <v>135</v>
      </c>
      <c r="AE13" s="6" t="n">
        <v>2194.35668945313</v>
      </c>
      <c r="AF13" s="8" t="n">
        <v>1753.37149426</v>
      </c>
      <c r="AG13" s="11" t="n">
        <v>0.06321944039</v>
      </c>
      <c r="AH13" s="12" t="n">
        <v>0.971361180516333</v>
      </c>
      <c r="AI13" s="2" t="s">
        <v>328</v>
      </c>
      <c r="AJ13" s="2" t="s">
        <v>67</v>
      </c>
      <c r="AK13" s="2" t="s">
        <v>67</v>
      </c>
    </row>
    <row r="14" customFormat="false" ht="15" hidden="false" customHeight="false" outlineLevel="0" collapsed="false">
      <c r="A14" s="9" t="n">
        <v>13</v>
      </c>
      <c r="B14" s="2" t="s">
        <v>69</v>
      </c>
      <c r="C14" s="2" t="s">
        <v>70</v>
      </c>
      <c r="D14" s="2" t="s">
        <v>70</v>
      </c>
      <c r="E14" s="2" t="s">
        <v>71</v>
      </c>
      <c r="F14" s="2" t="s">
        <v>72</v>
      </c>
      <c r="G14" s="2" t="s">
        <v>329</v>
      </c>
      <c r="H14" s="8" t="n">
        <v>1163.80544162614</v>
      </c>
      <c r="I14" s="2" t="s">
        <v>316</v>
      </c>
      <c r="J14" s="8" t="n">
        <v>2137363.49206349</v>
      </c>
      <c r="K14" s="6" t="n">
        <v>315</v>
      </c>
      <c r="L14" s="2"/>
      <c r="M14" s="10" t="b">
        <f aca="false">TRUE()</f>
        <v>1</v>
      </c>
      <c r="N14" s="9" t="n">
        <f aca="false">IF(H14="","",IF(H14&gt;=Assumptions!$B$5,1,IF(H14&gt;=Assumptions!$B$6,2,IF(H14&gt;=Assumptions!$B$7,3,""))))</f>
        <v>1</v>
      </c>
      <c r="O14" s="9" t="n">
        <f aca="false">IF(N14=1,Assumptions!$B$8,IF(N14=2,Assumptions!$B$9,IF(N14=3,Assumptions!$B$10,0)))</f>
        <v>3</v>
      </c>
      <c r="P14" s="6" t="s">
        <v>30</v>
      </c>
      <c r="Q14" s="6" t="s">
        <v>30</v>
      </c>
      <c r="R14" s="11" t="s">
        <v>30</v>
      </c>
      <c r="S14" s="6" t="s">
        <v>30</v>
      </c>
      <c r="T14" s="11" t="s">
        <v>30</v>
      </c>
      <c r="U14" s="6" t="s">
        <v>30</v>
      </c>
      <c r="V14" s="6" t="s">
        <v>30</v>
      </c>
      <c r="W14" s="6" t="s">
        <v>30</v>
      </c>
      <c r="X14" s="2" t="s">
        <v>30</v>
      </c>
      <c r="Y14" s="6" t="str">
        <f aca="false">IF(AND(X14="processed",ISNUMBER(S14)),S14*O14,"")</f>
        <v/>
      </c>
      <c r="Z14" s="6" t="n">
        <f aca="false">IF(ISNUMBER(K14),K14*O14,0)</f>
        <v>945</v>
      </c>
      <c r="AA14" s="2" t="s">
        <v>31</v>
      </c>
      <c r="AB14" s="6" t="n">
        <v>20229</v>
      </c>
      <c r="AC14" s="6" t="n">
        <v>13736</v>
      </c>
      <c r="AD14" s="6" t="n">
        <v>93</v>
      </c>
      <c r="AE14" s="6" t="n">
        <v>1785.44116210938</v>
      </c>
      <c r="AF14" s="8" t="n">
        <v>1157.860404436</v>
      </c>
      <c r="AG14" s="11" t="n">
        <v>0.01284313411</v>
      </c>
      <c r="AH14" s="12" t="n">
        <v>1</v>
      </c>
      <c r="AI14" s="2" t="s">
        <v>317</v>
      </c>
      <c r="AJ14" s="2" t="s">
        <v>70</v>
      </c>
      <c r="AK14" s="2" t="s">
        <v>70</v>
      </c>
    </row>
    <row r="15" customFormat="false" ht="15" hidden="false" customHeight="false" outlineLevel="0" collapsed="false">
      <c r="A15" s="9" t="n">
        <v>14</v>
      </c>
      <c r="B15" s="2" t="s">
        <v>73</v>
      </c>
      <c r="C15" s="2" t="s">
        <v>74</v>
      </c>
      <c r="D15" s="2" t="s">
        <v>34</v>
      </c>
      <c r="E15" s="2" t="s">
        <v>35</v>
      </c>
      <c r="F15" s="2" t="s">
        <v>75</v>
      </c>
      <c r="G15" s="2" t="s">
        <v>318</v>
      </c>
      <c r="H15" s="8" t="n">
        <v>817.192785513433</v>
      </c>
      <c r="I15" s="2" t="s">
        <v>316</v>
      </c>
      <c r="J15" s="8" t="n">
        <v>1860016.39344262</v>
      </c>
      <c r="K15" s="6" t="n">
        <v>305</v>
      </c>
      <c r="L15" s="2"/>
      <c r="M15" s="10" t="b">
        <f aca="false">TRUE()</f>
        <v>1</v>
      </c>
      <c r="N15" s="9" t="n">
        <f aca="false">IF(H15="","",IF(H15&gt;=Assumptions!$B$5,1,IF(H15&gt;=Assumptions!$B$6,2,IF(H15&gt;=Assumptions!$B$7,3,""))))</f>
        <v>1</v>
      </c>
      <c r="O15" s="9" t="n">
        <f aca="false">IF(N15=1,Assumptions!$B$8,IF(N15=2,Assumptions!$B$9,IF(N15=3,Assumptions!$B$10,0)))</f>
        <v>3</v>
      </c>
      <c r="P15" s="6" t="s">
        <v>30</v>
      </c>
      <c r="Q15" s="6" t="s">
        <v>30</v>
      </c>
      <c r="R15" s="11" t="s">
        <v>30</v>
      </c>
      <c r="S15" s="6" t="s">
        <v>30</v>
      </c>
      <c r="T15" s="11" t="s">
        <v>30</v>
      </c>
      <c r="U15" s="6" t="s">
        <v>30</v>
      </c>
      <c r="V15" s="6" t="s">
        <v>30</v>
      </c>
      <c r="W15" s="6" t="s">
        <v>30</v>
      </c>
      <c r="X15" s="2" t="s">
        <v>30</v>
      </c>
      <c r="Y15" s="6" t="str">
        <f aca="false">IF(AND(X15="processed",ISNUMBER(S15)),S15*O15,"")</f>
        <v/>
      </c>
      <c r="Z15" s="6" t="n">
        <f aca="false">IF(ISNUMBER(K15),K15*O15,0)</f>
        <v>915</v>
      </c>
      <c r="AA15" s="2" t="s">
        <v>31</v>
      </c>
      <c r="AB15" s="6" t="n">
        <v>14276</v>
      </c>
      <c r="AC15" s="6" t="n">
        <v>12880</v>
      </c>
      <c r="AD15" s="6" t="n">
        <v>1613</v>
      </c>
      <c r="AE15" s="6" t="n">
        <v>2527.31982421875</v>
      </c>
      <c r="AF15" s="8" t="n">
        <v>864.453538833</v>
      </c>
      <c r="AG15" s="11" t="n">
        <v>-0.0356855994</v>
      </c>
      <c r="AH15" s="12" t="n">
        <v>0.999999999999999</v>
      </c>
      <c r="AI15" s="2" t="s">
        <v>319</v>
      </c>
      <c r="AJ15" s="2"/>
      <c r="AK15" s="2" t="s">
        <v>74</v>
      </c>
    </row>
    <row r="16" customFormat="false" ht="15" hidden="false" customHeight="false" outlineLevel="0" collapsed="false">
      <c r="A16" s="9" t="n">
        <v>15</v>
      </c>
      <c r="B16" s="2" t="s">
        <v>76</v>
      </c>
      <c r="C16" s="2" t="s">
        <v>77</v>
      </c>
      <c r="D16" s="2" t="s">
        <v>70</v>
      </c>
      <c r="E16" s="2" t="s">
        <v>71</v>
      </c>
      <c r="F16" s="2"/>
      <c r="G16" s="2" t="s">
        <v>329</v>
      </c>
      <c r="H16" s="8" t="n">
        <v>789.092994557427</v>
      </c>
      <c r="I16" s="2" t="s">
        <v>316</v>
      </c>
      <c r="J16" s="8" t="n">
        <v>1885413.90728477</v>
      </c>
      <c r="K16" s="6" t="n">
        <v>302</v>
      </c>
      <c r="L16" s="2"/>
      <c r="M16" s="10" t="b">
        <f aca="false">TRUE()</f>
        <v>1</v>
      </c>
      <c r="N16" s="9" t="n">
        <f aca="false">IF(H16="","",IF(H16&gt;=Assumptions!$B$5,1,IF(H16&gt;=Assumptions!$B$6,2,IF(H16&gt;=Assumptions!$B$7,3,""))))</f>
        <v>1</v>
      </c>
      <c r="O16" s="9" t="n">
        <f aca="false">IF(N16=1,Assumptions!$B$8,IF(N16=2,Assumptions!$B$9,IF(N16=3,Assumptions!$B$10,0)))</f>
        <v>3</v>
      </c>
      <c r="P16" s="6" t="s">
        <v>30</v>
      </c>
      <c r="Q16" s="6" t="s">
        <v>30</v>
      </c>
      <c r="R16" s="11" t="s">
        <v>30</v>
      </c>
      <c r="S16" s="6" t="s">
        <v>30</v>
      </c>
      <c r="T16" s="11" t="s">
        <v>30</v>
      </c>
      <c r="U16" s="6" t="s">
        <v>30</v>
      </c>
      <c r="V16" s="6" t="s">
        <v>30</v>
      </c>
      <c r="W16" s="6" t="s">
        <v>30</v>
      </c>
      <c r="X16" s="2" t="s">
        <v>30</v>
      </c>
      <c r="Y16" s="6" t="str">
        <f aca="false">IF(AND(X16="processed",ISNUMBER(S16)),S16*O16,"")</f>
        <v/>
      </c>
      <c r="Z16" s="6" t="n">
        <f aca="false">IF(ISNUMBER(K16),K16*O16,0)</f>
        <v>906</v>
      </c>
      <c r="AA16" s="2" t="s">
        <v>31</v>
      </c>
      <c r="AB16" s="6" t="n">
        <v>14943</v>
      </c>
      <c r="AC16" s="6" t="n">
        <v>13618</v>
      </c>
      <c r="AD16" s="6" t="n">
        <v>192</v>
      </c>
      <c r="AE16" s="6" t="n">
        <v>2939.31689453125</v>
      </c>
      <c r="AF16" s="8" t="n">
        <v>767.45464541</v>
      </c>
      <c r="AG16" s="11" t="n">
        <v>-0.0542279081</v>
      </c>
      <c r="AH16" s="12" t="n">
        <v>0.803793245504061</v>
      </c>
      <c r="AI16" s="2" t="s">
        <v>317</v>
      </c>
      <c r="AJ16" s="2" t="s">
        <v>77</v>
      </c>
      <c r="AK16" s="2" t="s">
        <v>77</v>
      </c>
    </row>
    <row r="17" customFormat="false" ht="15" hidden="false" customHeight="false" outlineLevel="0" collapsed="false">
      <c r="A17" s="9" t="n">
        <v>16</v>
      </c>
      <c r="B17" s="2" t="s">
        <v>78</v>
      </c>
      <c r="C17" s="2" t="s">
        <v>79</v>
      </c>
      <c r="D17" s="2" t="s">
        <v>34</v>
      </c>
      <c r="E17" s="2" t="s">
        <v>35</v>
      </c>
      <c r="F17" s="2"/>
      <c r="G17" s="2" t="s">
        <v>318</v>
      </c>
      <c r="H17" s="8" t="n">
        <v>730.135920536448</v>
      </c>
      <c r="I17" s="2" t="s">
        <v>316</v>
      </c>
      <c r="J17" s="8" t="n">
        <v>1573461.27946128</v>
      </c>
      <c r="K17" s="6" t="n">
        <v>297</v>
      </c>
      <c r="L17" s="2"/>
      <c r="M17" s="10" t="b">
        <f aca="false">TRUE()</f>
        <v>1</v>
      </c>
      <c r="N17" s="9" t="n">
        <f aca="false">IF(H17="","",IF(H17&gt;=Assumptions!$B$5,1,IF(H17&gt;=Assumptions!$B$6,2,IF(H17&gt;=Assumptions!$B$7,3,""))))</f>
        <v>1</v>
      </c>
      <c r="O17" s="9" t="n">
        <f aca="false">IF(N17=1,Assumptions!$B$8,IF(N17=2,Assumptions!$B$9,IF(N17=3,Assumptions!$B$10,0)))</f>
        <v>3</v>
      </c>
      <c r="P17" s="6" t="s">
        <v>30</v>
      </c>
      <c r="Q17" s="6" t="s">
        <v>30</v>
      </c>
      <c r="R17" s="11" t="s">
        <v>30</v>
      </c>
      <c r="S17" s="6" t="s">
        <v>30</v>
      </c>
      <c r="T17" s="11" t="s">
        <v>30</v>
      </c>
      <c r="U17" s="6" t="s">
        <v>30</v>
      </c>
      <c r="V17" s="6" t="s">
        <v>30</v>
      </c>
      <c r="W17" s="6" t="s">
        <v>30</v>
      </c>
      <c r="X17" s="2" t="s">
        <v>30</v>
      </c>
      <c r="Y17" s="6" t="str">
        <f aca="false">IF(AND(X17="processed",ISNUMBER(S17)),S17*O17,"")</f>
        <v/>
      </c>
      <c r="Z17" s="6" t="n">
        <f aca="false">IF(ISNUMBER(K17),K17*O17,0)</f>
        <v>891</v>
      </c>
      <c r="AA17" s="2" t="s">
        <v>31</v>
      </c>
      <c r="AB17" s="6" t="n">
        <v>14324</v>
      </c>
      <c r="AC17" s="6" t="n">
        <v>13010</v>
      </c>
      <c r="AD17" s="6" t="n">
        <v>950</v>
      </c>
      <c r="AE17" s="6" t="n">
        <v>2109.54321289063</v>
      </c>
      <c r="AF17" s="8" t="n">
        <v>691.593163031</v>
      </c>
      <c r="AG17" s="11" t="n">
        <v>-0.09581859375</v>
      </c>
      <c r="AH17" s="12" t="n">
        <v>0.998349315964787</v>
      </c>
      <c r="AI17" s="2" t="s">
        <v>319</v>
      </c>
      <c r="AJ17" s="2"/>
      <c r="AK17" s="2" t="s">
        <v>79</v>
      </c>
    </row>
    <row r="18" customFormat="false" ht="15" hidden="false" customHeight="false" outlineLevel="0" collapsed="false">
      <c r="A18" s="9" t="n">
        <v>17</v>
      </c>
      <c r="B18" s="2" t="s">
        <v>80</v>
      </c>
      <c r="C18" s="2" t="s">
        <v>81</v>
      </c>
      <c r="D18" s="2" t="s">
        <v>34</v>
      </c>
      <c r="E18" s="2" t="s">
        <v>35</v>
      </c>
      <c r="F18" s="2" t="s">
        <v>82</v>
      </c>
      <c r="G18" s="2" t="s">
        <v>318</v>
      </c>
      <c r="H18" s="8" t="n">
        <v>1002.4840525621</v>
      </c>
      <c r="I18" s="2" t="s">
        <v>316</v>
      </c>
      <c r="J18" s="8" t="n">
        <v>1701938.7755102</v>
      </c>
      <c r="K18" s="6" t="n">
        <v>294</v>
      </c>
      <c r="L18" s="2"/>
      <c r="M18" s="10" t="b">
        <f aca="false">TRUE()</f>
        <v>1</v>
      </c>
      <c r="N18" s="9" t="n">
        <f aca="false">IF(H18="","",IF(H18&gt;=Assumptions!$B$5,1,IF(H18&gt;=Assumptions!$B$6,2,IF(H18&gt;=Assumptions!$B$7,3,""))))</f>
        <v>1</v>
      </c>
      <c r="O18" s="9" t="n">
        <f aca="false">IF(N18=1,Assumptions!$B$8,IF(N18=2,Assumptions!$B$9,IF(N18=3,Assumptions!$B$10,0)))</f>
        <v>3</v>
      </c>
      <c r="P18" s="6" t="s">
        <v>30</v>
      </c>
      <c r="Q18" s="6" t="s">
        <v>30</v>
      </c>
      <c r="R18" s="11" t="s">
        <v>30</v>
      </c>
      <c r="S18" s="6" t="s">
        <v>30</v>
      </c>
      <c r="T18" s="11" t="s">
        <v>30</v>
      </c>
      <c r="U18" s="6" t="s">
        <v>30</v>
      </c>
      <c r="V18" s="6" t="s">
        <v>30</v>
      </c>
      <c r="W18" s="6" t="s">
        <v>30</v>
      </c>
      <c r="X18" s="2" t="s">
        <v>30</v>
      </c>
      <c r="Y18" s="6" t="str">
        <f aca="false">IF(AND(X18="processed",ISNUMBER(S18)),S18*O18,"")</f>
        <v/>
      </c>
      <c r="Z18" s="6" t="n">
        <f aca="false">IF(ISNUMBER(K18),K18*O18,0)</f>
        <v>882</v>
      </c>
      <c r="AA18" s="2" t="s">
        <v>31</v>
      </c>
      <c r="AB18" s="6" t="n">
        <v>20813</v>
      </c>
      <c r="AC18" s="6" t="n">
        <v>17549</v>
      </c>
      <c r="AD18" s="6" t="n">
        <v>97</v>
      </c>
      <c r="AE18" s="6" t="n">
        <v>2348.49194335938</v>
      </c>
      <c r="AF18" s="8" t="n">
        <v>991.73553719</v>
      </c>
      <c r="AG18" s="11" t="n">
        <v>-0.05351239669</v>
      </c>
      <c r="AH18" s="12" t="n">
        <v>1</v>
      </c>
      <c r="AI18" s="2" t="s">
        <v>319</v>
      </c>
      <c r="AJ18" s="2"/>
      <c r="AK18" s="2" t="s">
        <v>81</v>
      </c>
    </row>
    <row r="19" customFormat="false" ht="15" hidden="false" customHeight="false" outlineLevel="0" collapsed="false">
      <c r="A19" s="9" t="n">
        <v>18</v>
      </c>
      <c r="B19" s="2" t="s">
        <v>83</v>
      </c>
      <c r="C19" s="2" t="s">
        <v>84</v>
      </c>
      <c r="D19" s="2" t="s">
        <v>70</v>
      </c>
      <c r="E19" s="2" t="s">
        <v>71</v>
      </c>
      <c r="F19" s="2"/>
      <c r="G19" s="2" t="s">
        <v>329</v>
      </c>
      <c r="H19" s="8" t="n">
        <v>716.195669540955</v>
      </c>
      <c r="I19" s="2" t="s">
        <v>316</v>
      </c>
      <c r="J19" s="8" t="n">
        <v>1068413.79310345</v>
      </c>
      <c r="K19" s="6" t="n">
        <v>290</v>
      </c>
      <c r="L19" s="2"/>
      <c r="M19" s="10" t="b">
        <f aca="false">TRUE()</f>
        <v>1</v>
      </c>
      <c r="N19" s="9" t="n">
        <f aca="false">IF(H19="","",IF(H19&gt;=Assumptions!$B$5,1,IF(H19&gt;=Assumptions!$B$6,2,IF(H19&gt;=Assumptions!$B$7,3,""))))</f>
        <v>1</v>
      </c>
      <c r="O19" s="9" t="n">
        <f aca="false">IF(N19=1,Assumptions!$B$8,IF(N19=2,Assumptions!$B$9,IF(N19=3,Assumptions!$B$10,0)))</f>
        <v>3</v>
      </c>
      <c r="P19" s="6" t="s">
        <v>30</v>
      </c>
      <c r="Q19" s="6" t="s">
        <v>30</v>
      </c>
      <c r="R19" s="11" t="s">
        <v>30</v>
      </c>
      <c r="S19" s="6" t="s">
        <v>30</v>
      </c>
      <c r="T19" s="11" t="s">
        <v>30</v>
      </c>
      <c r="U19" s="6" t="s">
        <v>30</v>
      </c>
      <c r="V19" s="6" t="s">
        <v>30</v>
      </c>
      <c r="W19" s="6" t="s">
        <v>30</v>
      </c>
      <c r="X19" s="2" t="s">
        <v>30</v>
      </c>
      <c r="Y19" s="6" t="str">
        <f aca="false">IF(AND(X19="processed",ISNUMBER(S19)),S19*O19,"")</f>
        <v/>
      </c>
      <c r="Z19" s="6" t="n">
        <f aca="false">IF(ISNUMBER(K19),K19*O19,0)</f>
        <v>870</v>
      </c>
      <c r="AA19" s="2" t="s">
        <v>31</v>
      </c>
      <c r="AB19" s="6" t="n">
        <v>21868</v>
      </c>
      <c r="AC19" s="6" t="n">
        <v>15489</v>
      </c>
      <c r="AD19" s="6" t="n">
        <v>173</v>
      </c>
      <c r="AE19" s="6" t="n">
        <v>1964.34558105469</v>
      </c>
      <c r="AF19" s="8" t="n">
        <v>709.591585172</v>
      </c>
      <c r="AG19" s="11" t="n">
        <v>-0.08651129392</v>
      </c>
      <c r="AH19" s="12" t="n">
        <v>0.99960363638912</v>
      </c>
      <c r="AI19" s="2" t="s">
        <v>317</v>
      </c>
      <c r="AJ19" s="2" t="s">
        <v>84</v>
      </c>
      <c r="AK19" s="2" t="s">
        <v>84</v>
      </c>
    </row>
    <row r="20" customFormat="false" ht="15" hidden="false" customHeight="false" outlineLevel="0" collapsed="false">
      <c r="A20" s="9" t="n">
        <v>19</v>
      </c>
      <c r="B20" s="2" t="s">
        <v>85</v>
      </c>
      <c r="C20" s="2" t="s">
        <v>86</v>
      </c>
      <c r="D20" s="2" t="s">
        <v>44</v>
      </c>
      <c r="E20" s="2" t="s">
        <v>44</v>
      </c>
      <c r="F20" s="2" t="s">
        <v>87</v>
      </c>
      <c r="G20" s="2" t="s">
        <v>322</v>
      </c>
      <c r="H20" s="8" t="n">
        <v>1361.80366427599</v>
      </c>
      <c r="I20" s="2" t="s">
        <v>316</v>
      </c>
      <c r="J20" s="8" t="n">
        <v>3616364.43661972</v>
      </c>
      <c r="K20" s="6" t="n">
        <v>284</v>
      </c>
      <c r="L20" s="2"/>
      <c r="M20" s="10" t="b">
        <f aca="false">TRUE()</f>
        <v>1</v>
      </c>
      <c r="N20" s="9" t="n">
        <f aca="false">IF(H20="","",IF(H20&gt;=Assumptions!$B$5,1,IF(H20&gt;=Assumptions!$B$6,2,IF(H20&gt;=Assumptions!$B$7,3,""))))</f>
        <v>1</v>
      </c>
      <c r="O20" s="9" t="n">
        <f aca="false">IF(N20=1,Assumptions!$B$8,IF(N20=2,Assumptions!$B$9,IF(N20=3,Assumptions!$B$10,0)))</f>
        <v>3</v>
      </c>
      <c r="P20" s="6" t="s">
        <v>30</v>
      </c>
      <c r="Q20" s="6" t="s">
        <v>30</v>
      </c>
      <c r="R20" s="11" t="s">
        <v>30</v>
      </c>
      <c r="S20" s="6" t="s">
        <v>30</v>
      </c>
      <c r="T20" s="11" t="s">
        <v>30</v>
      </c>
      <c r="U20" s="6" t="s">
        <v>30</v>
      </c>
      <c r="V20" s="6" t="s">
        <v>30</v>
      </c>
      <c r="W20" s="6" t="s">
        <v>30</v>
      </c>
      <c r="X20" s="2" t="s">
        <v>30</v>
      </c>
      <c r="Y20" s="6" t="str">
        <f aca="false">IF(AND(X20="processed",ISNUMBER(S20)),S20*O20,"")</f>
        <v/>
      </c>
      <c r="Z20" s="6" t="n">
        <f aca="false">IF(ISNUMBER(K20),K20*O20,0)</f>
        <v>852</v>
      </c>
      <c r="AA20" s="2" t="s">
        <v>31</v>
      </c>
      <c r="AB20" s="6" t="n">
        <v>14975</v>
      </c>
      <c r="AC20" s="6" t="n">
        <v>11792</v>
      </c>
      <c r="AD20" s="6" t="n">
        <v>388</v>
      </c>
      <c r="AE20" s="6" t="n">
        <v>2963.92895507813</v>
      </c>
      <c r="AF20" s="8" t="n">
        <v>1372.769753611</v>
      </c>
      <c r="AG20" s="11" t="n">
        <v>0.06557119866</v>
      </c>
      <c r="AH20" s="12" t="n">
        <v>0.902267398505041</v>
      </c>
      <c r="AI20" s="2" t="s">
        <v>317</v>
      </c>
      <c r="AJ20" s="2" t="s">
        <v>86</v>
      </c>
      <c r="AK20" s="2" t="s">
        <v>44</v>
      </c>
    </row>
    <row r="21" customFormat="false" ht="15" hidden="false" customHeight="false" outlineLevel="0" collapsed="false">
      <c r="A21" s="9" t="n">
        <v>20</v>
      </c>
      <c r="B21" s="2" t="s">
        <v>88</v>
      </c>
      <c r="C21" s="2" t="s">
        <v>38</v>
      </c>
      <c r="D21" s="2" t="s">
        <v>39</v>
      </c>
      <c r="E21" s="2" t="s">
        <v>40</v>
      </c>
      <c r="F21" s="2" t="s">
        <v>89</v>
      </c>
      <c r="G21" s="2" t="s">
        <v>320</v>
      </c>
      <c r="H21" s="8" t="n">
        <v>1003.07323091338</v>
      </c>
      <c r="I21" s="2" t="s">
        <v>316</v>
      </c>
      <c r="J21" s="8" t="n">
        <v>2322145.39007092</v>
      </c>
      <c r="K21" s="6" t="n">
        <v>282</v>
      </c>
      <c r="L21" s="2"/>
      <c r="M21" s="10" t="b">
        <f aca="false">TRUE()</f>
        <v>1</v>
      </c>
      <c r="N21" s="9" t="n">
        <f aca="false">IF(H21="","",IF(H21&gt;=Assumptions!$B$5,1,IF(H21&gt;=Assumptions!$B$6,2,IF(H21&gt;=Assumptions!$B$7,3,""))))</f>
        <v>1</v>
      </c>
      <c r="O21" s="9" t="n">
        <f aca="false">IF(N21=1,Assumptions!$B$8,IF(N21=2,Assumptions!$B$9,IF(N21=3,Assumptions!$B$10,0)))</f>
        <v>3</v>
      </c>
      <c r="P21" s="6" t="s">
        <v>30</v>
      </c>
      <c r="Q21" s="6" t="s">
        <v>30</v>
      </c>
      <c r="R21" s="11" t="s">
        <v>30</v>
      </c>
      <c r="S21" s="6" t="s">
        <v>30</v>
      </c>
      <c r="T21" s="11" t="s">
        <v>30</v>
      </c>
      <c r="U21" s="6" t="s">
        <v>30</v>
      </c>
      <c r="V21" s="6" t="s">
        <v>30</v>
      </c>
      <c r="W21" s="6" t="s">
        <v>30</v>
      </c>
      <c r="X21" s="2" t="s">
        <v>30</v>
      </c>
      <c r="Y21" s="6" t="str">
        <f aca="false">IF(AND(X21="processed",ISNUMBER(S21)),S21*O21,"")</f>
        <v/>
      </c>
      <c r="Z21" s="6" t="n">
        <f aca="false">IF(ISNUMBER(K21),K21*O21,0)</f>
        <v>846</v>
      </c>
      <c r="AA21" s="2" t="s">
        <v>31</v>
      </c>
      <c r="AB21" s="6" t="n">
        <v>17646</v>
      </c>
      <c r="AC21" s="6" t="n">
        <v>12737</v>
      </c>
      <c r="AD21" s="6" t="n">
        <v>638</v>
      </c>
      <c r="AE21" s="6" t="n">
        <v>2787.302734375</v>
      </c>
      <c r="AF21" s="8" t="n">
        <v>1039.268045127</v>
      </c>
      <c r="AG21" s="11" t="n">
        <v>-0.0163102025</v>
      </c>
      <c r="AH21" s="12" t="n">
        <v>1</v>
      </c>
      <c r="AI21" s="2" t="s">
        <v>317</v>
      </c>
      <c r="AJ21" s="2" t="s">
        <v>38</v>
      </c>
      <c r="AK21" s="2" t="s">
        <v>38</v>
      </c>
    </row>
    <row r="22" customFormat="false" ht="15" hidden="false" customHeight="false" outlineLevel="0" collapsed="false">
      <c r="A22" s="9" t="n">
        <v>21</v>
      </c>
      <c r="B22" s="2" t="s">
        <v>90</v>
      </c>
      <c r="C22" s="2" t="s">
        <v>91</v>
      </c>
      <c r="D22" s="2" t="s">
        <v>44</v>
      </c>
      <c r="E22" s="2" t="s">
        <v>44</v>
      </c>
      <c r="F22" s="2" t="s">
        <v>92</v>
      </c>
      <c r="G22" s="2" t="s">
        <v>322</v>
      </c>
      <c r="H22" s="8" t="n">
        <v>705.440216590367</v>
      </c>
      <c r="I22" s="2" t="s">
        <v>316</v>
      </c>
      <c r="J22" s="8" t="n">
        <v>1852998.22064057</v>
      </c>
      <c r="K22" s="6" t="n">
        <v>281</v>
      </c>
      <c r="L22" s="2"/>
      <c r="M22" s="10" t="b">
        <f aca="false">TRUE()</f>
        <v>1</v>
      </c>
      <c r="N22" s="9" t="n">
        <f aca="false">IF(H22="","",IF(H22&gt;=Assumptions!$B$5,1,IF(H22&gt;=Assumptions!$B$6,2,IF(H22&gt;=Assumptions!$B$7,3,""))))</f>
        <v>1</v>
      </c>
      <c r="O22" s="9" t="n">
        <f aca="false">IF(N22=1,Assumptions!$B$8,IF(N22=2,Assumptions!$B$9,IF(N22=3,Assumptions!$B$10,0)))</f>
        <v>3</v>
      </c>
      <c r="P22" s="6" t="s">
        <v>30</v>
      </c>
      <c r="Q22" s="6" t="s">
        <v>30</v>
      </c>
      <c r="R22" s="11" t="s">
        <v>30</v>
      </c>
      <c r="S22" s="6" t="s">
        <v>30</v>
      </c>
      <c r="T22" s="11" t="s">
        <v>30</v>
      </c>
      <c r="U22" s="6" t="s">
        <v>30</v>
      </c>
      <c r="V22" s="6" t="s">
        <v>30</v>
      </c>
      <c r="W22" s="6" t="s">
        <v>30</v>
      </c>
      <c r="X22" s="2" t="s">
        <v>30</v>
      </c>
      <c r="Y22" s="6" t="str">
        <f aca="false">IF(AND(X22="processed",ISNUMBER(S22)),S22*O22,"")</f>
        <v/>
      </c>
      <c r="Z22" s="6" t="n">
        <f aca="false">IF(ISNUMBER(K22),K22*O22,0)</f>
        <v>843</v>
      </c>
      <c r="AA22" s="2" t="s">
        <v>31</v>
      </c>
      <c r="AB22" s="6" t="n">
        <v>13786</v>
      </c>
      <c r="AC22" s="6" t="n">
        <v>12308</v>
      </c>
      <c r="AD22" s="6" t="n">
        <v>155</v>
      </c>
      <c r="AE22" s="6" t="n">
        <v>2809.70678710938</v>
      </c>
      <c r="AF22" s="8" t="n">
        <v>704.186977083</v>
      </c>
      <c r="AG22" s="11" t="n">
        <v>-0.03749679306</v>
      </c>
      <c r="AH22" s="12" t="n">
        <v>0.989883612790031</v>
      </c>
      <c r="AI22" s="2" t="s">
        <v>317</v>
      </c>
      <c r="AJ22" s="2" t="s">
        <v>91</v>
      </c>
      <c r="AK22" s="2" t="s">
        <v>91</v>
      </c>
    </row>
    <row r="23" customFormat="false" ht="15" hidden="false" customHeight="false" outlineLevel="0" collapsed="false">
      <c r="A23" s="9" t="n">
        <v>22</v>
      </c>
      <c r="B23" s="2" t="s">
        <v>93</v>
      </c>
      <c r="C23" s="2" t="s">
        <v>94</v>
      </c>
      <c r="D23" s="2" t="s">
        <v>95</v>
      </c>
      <c r="E23" s="2" t="s">
        <v>95</v>
      </c>
      <c r="F23" s="2" t="s">
        <v>96</v>
      </c>
      <c r="G23" s="2" t="s">
        <v>330</v>
      </c>
      <c r="H23" s="8" t="n">
        <v>1083.98782984768</v>
      </c>
      <c r="I23" s="2" t="s">
        <v>316</v>
      </c>
      <c r="J23" s="8" t="n">
        <v>2277544.80286738</v>
      </c>
      <c r="K23" s="6" t="n">
        <v>279</v>
      </c>
      <c r="L23" s="2"/>
      <c r="M23" s="10" t="b">
        <f aca="false">TRUE()</f>
        <v>1</v>
      </c>
      <c r="N23" s="9" t="n">
        <f aca="false">IF(H23="","",IF(H23&gt;=Assumptions!$B$5,1,IF(H23&gt;=Assumptions!$B$6,2,IF(H23&gt;=Assumptions!$B$7,3,""))))</f>
        <v>1</v>
      </c>
      <c r="O23" s="9" t="n">
        <f aca="false">IF(N23=1,Assumptions!$B$8,IF(N23=2,Assumptions!$B$9,IF(N23=3,Assumptions!$B$10,0)))</f>
        <v>3</v>
      </c>
      <c r="P23" s="6" t="s">
        <v>30</v>
      </c>
      <c r="Q23" s="6" t="s">
        <v>30</v>
      </c>
      <c r="R23" s="11" t="s">
        <v>30</v>
      </c>
      <c r="S23" s="6" t="s">
        <v>30</v>
      </c>
      <c r="T23" s="11" t="s">
        <v>30</v>
      </c>
      <c r="U23" s="6" t="s">
        <v>30</v>
      </c>
      <c r="V23" s="6" t="s">
        <v>30</v>
      </c>
      <c r="W23" s="6" t="s">
        <v>30</v>
      </c>
      <c r="X23" s="2" t="s">
        <v>30</v>
      </c>
      <c r="Y23" s="6" t="str">
        <f aca="false">IF(AND(X23="processed",ISNUMBER(S23)),S23*O23,"")</f>
        <v/>
      </c>
      <c r="Z23" s="6" t="n">
        <f aca="false">IF(ISNUMBER(K23),K23*O23,0)</f>
        <v>837</v>
      </c>
      <c r="AA23" s="2" t="s">
        <v>31</v>
      </c>
      <c r="AB23" s="6" t="n">
        <v>14418</v>
      </c>
      <c r="AC23" s="6" t="n">
        <v>11097</v>
      </c>
      <c r="AD23" s="6" t="n">
        <v>329</v>
      </c>
      <c r="AE23" s="6" t="n">
        <v>1839.26794433594</v>
      </c>
      <c r="AF23" s="8" t="n">
        <v>1123.188405797</v>
      </c>
      <c r="AG23" s="11" t="n">
        <v>0.04435087988</v>
      </c>
      <c r="AH23" s="12" t="n">
        <v>0.966471190986909</v>
      </c>
      <c r="AI23" s="2" t="s">
        <v>317</v>
      </c>
      <c r="AJ23" s="2" t="s">
        <v>94</v>
      </c>
      <c r="AK23" s="2" t="s">
        <v>94</v>
      </c>
    </row>
    <row r="24" customFormat="false" ht="15" hidden="false" customHeight="false" outlineLevel="0" collapsed="false">
      <c r="A24" s="9" t="n">
        <v>23</v>
      </c>
      <c r="B24" s="2" t="s">
        <v>97</v>
      </c>
      <c r="C24" s="2" t="s">
        <v>44</v>
      </c>
      <c r="D24" s="2" t="s">
        <v>44</v>
      </c>
      <c r="E24" s="2" t="s">
        <v>44</v>
      </c>
      <c r="F24" s="2" t="s">
        <v>98</v>
      </c>
      <c r="G24" s="2" t="s">
        <v>322</v>
      </c>
      <c r="H24" s="8" t="n">
        <v>704.043139310505</v>
      </c>
      <c r="I24" s="2" t="s">
        <v>316</v>
      </c>
      <c r="J24" s="8" t="n">
        <v>1376469.31407942</v>
      </c>
      <c r="K24" s="6" t="n">
        <v>277</v>
      </c>
      <c r="L24" s="2"/>
      <c r="M24" s="10" t="b">
        <f aca="false">TRUE()</f>
        <v>1</v>
      </c>
      <c r="N24" s="9" t="n">
        <f aca="false">IF(H24="","",IF(H24&gt;=Assumptions!$B$5,1,IF(H24&gt;=Assumptions!$B$6,2,IF(H24&gt;=Assumptions!$B$7,3,""))))</f>
        <v>1</v>
      </c>
      <c r="O24" s="9" t="n">
        <f aca="false">IF(N24=1,Assumptions!$B$8,IF(N24=2,Assumptions!$B$9,IF(N24=3,Assumptions!$B$10,0)))</f>
        <v>3</v>
      </c>
      <c r="P24" s="6" t="s">
        <v>30</v>
      </c>
      <c r="Q24" s="6" t="s">
        <v>30</v>
      </c>
      <c r="R24" s="11" t="s">
        <v>30</v>
      </c>
      <c r="S24" s="6" t="s">
        <v>30</v>
      </c>
      <c r="T24" s="11" t="s">
        <v>30</v>
      </c>
      <c r="U24" s="6" t="s">
        <v>30</v>
      </c>
      <c r="V24" s="6" t="s">
        <v>30</v>
      </c>
      <c r="W24" s="6" t="s">
        <v>30</v>
      </c>
      <c r="X24" s="2" t="s">
        <v>30</v>
      </c>
      <c r="Y24" s="6" t="str">
        <f aca="false">IF(AND(X24="processed",ISNUMBER(S24)),S24*O24,"")</f>
        <v/>
      </c>
      <c r="Z24" s="6" t="n">
        <f aca="false">IF(ISNUMBER(K24),K24*O24,0)</f>
        <v>831</v>
      </c>
      <c r="AA24" s="2" t="s">
        <v>31</v>
      </c>
      <c r="AB24" s="6" t="n">
        <v>14991</v>
      </c>
      <c r="AC24" s="6" t="n">
        <v>14004</v>
      </c>
      <c r="AD24" s="6" t="n">
        <v>2541</v>
      </c>
      <c r="AE24" s="6" t="n">
        <v>2353.5458984375</v>
      </c>
      <c r="AF24" s="8" t="n">
        <v>740.046712572</v>
      </c>
      <c r="AG24" s="11" t="n">
        <v>-0.01182725754</v>
      </c>
      <c r="AH24" s="12" t="n">
        <v>1</v>
      </c>
      <c r="AI24" s="2" t="s">
        <v>317</v>
      </c>
      <c r="AJ24" s="2" t="s">
        <v>44</v>
      </c>
      <c r="AK24" s="2" t="s">
        <v>44</v>
      </c>
    </row>
    <row r="25" customFormat="false" ht="15" hidden="false" customHeight="false" outlineLevel="0" collapsed="false">
      <c r="A25" s="9" t="n">
        <v>24</v>
      </c>
      <c r="B25" s="2" t="s">
        <v>99</v>
      </c>
      <c r="C25" s="2" t="s">
        <v>84</v>
      </c>
      <c r="D25" s="2" t="s">
        <v>70</v>
      </c>
      <c r="E25" s="2" t="s">
        <v>71</v>
      </c>
      <c r="F25" s="2" t="s">
        <v>100</v>
      </c>
      <c r="G25" s="2" t="s">
        <v>329</v>
      </c>
      <c r="H25" s="8" t="n">
        <v>736.427218139462</v>
      </c>
      <c r="I25" s="2" t="s">
        <v>316</v>
      </c>
      <c r="J25" s="8" t="n">
        <v>1136425.45454546</v>
      </c>
      <c r="K25" s="6" t="n">
        <v>275</v>
      </c>
      <c r="L25" s="2"/>
      <c r="M25" s="10" t="b">
        <f aca="false">TRUE()</f>
        <v>1</v>
      </c>
      <c r="N25" s="9" t="n">
        <f aca="false">IF(H25="","",IF(H25&gt;=Assumptions!$B$5,1,IF(H25&gt;=Assumptions!$B$6,2,IF(H25&gt;=Assumptions!$B$7,3,""))))</f>
        <v>1</v>
      </c>
      <c r="O25" s="9" t="n">
        <f aca="false">IF(N25=1,Assumptions!$B$8,IF(N25=2,Assumptions!$B$9,IF(N25=3,Assumptions!$B$10,0)))</f>
        <v>3</v>
      </c>
      <c r="P25" s="6" t="s">
        <v>30</v>
      </c>
      <c r="Q25" s="6" t="s">
        <v>30</v>
      </c>
      <c r="R25" s="11" t="s">
        <v>30</v>
      </c>
      <c r="S25" s="6" t="s">
        <v>30</v>
      </c>
      <c r="T25" s="11" t="s">
        <v>30</v>
      </c>
      <c r="U25" s="6" t="s">
        <v>30</v>
      </c>
      <c r="V25" s="6" t="s">
        <v>30</v>
      </c>
      <c r="W25" s="6" t="s">
        <v>30</v>
      </c>
      <c r="X25" s="2" t="s">
        <v>30</v>
      </c>
      <c r="Y25" s="6" t="str">
        <f aca="false">IF(AND(X25="processed",ISNUMBER(S25)),S25*O25,"")</f>
        <v/>
      </c>
      <c r="Z25" s="6" t="n">
        <f aca="false">IF(ISNUMBER(K25),K25*O25,0)</f>
        <v>825</v>
      </c>
      <c r="AA25" s="2" t="s">
        <v>31</v>
      </c>
      <c r="AB25" s="6" t="n">
        <v>18313</v>
      </c>
      <c r="AC25" s="6" t="n">
        <v>13177</v>
      </c>
      <c r="AD25" s="6" t="n">
        <v>127</v>
      </c>
      <c r="AE25" s="6" t="n">
        <v>2100.24438476563</v>
      </c>
      <c r="AF25" s="8" t="n">
        <v>767.898383372</v>
      </c>
      <c r="AG25" s="11" t="n">
        <v>0.1254925441</v>
      </c>
      <c r="AH25" s="12" t="n">
        <v>0.998502116794321</v>
      </c>
      <c r="AI25" s="2" t="s">
        <v>317</v>
      </c>
      <c r="AJ25" s="2" t="s">
        <v>84</v>
      </c>
      <c r="AK25" s="2" t="s">
        <v>84</v>
      </c>
    </row>
    <row r="26" customFormat="false" ht="15" hidden="false" customHeight="false" outlineLevel="0" collapsed="false">
      <c r="A26" s="9" t="n">
        <v>25</v>
      </c>
      <c r="B26" s="2" t="s">
        <v>101</v>
      </c>
      <c r="C26" s="2" t="s">
        <v>70</v>
      </c>
      <c r="D26" s="2" t="s">
        <v>70</v>
      </c>
      <c r="E26" s="2" t="s">
        <v>71</v>
      </c>
      <c r="F26" s="2" t="s">
        <v>102</v>
      </c>
      <c r="G26" s="2" t="s">
        <v>329</v>
      </c>
      <c r="H26" s="8" t="n">
        <v>1323.40196116073</v>
      </c>
      <c r="I26" s="2" t="s">
        <v>316</v>
      </c>
      <c r="J26" s="8" t="n">
        <v>4033362.63736264</v>
      </c>
      <c r="K26" s="6" t="n">
        <v>273</v>
      </c>
      <c r="L26" s="2"/>
      <c r="M26" s="10" t="b">
        <f aca="false">TRUE()</f>
        <v>1</v>
      </c>
      <c r="N26" s="9" t="n">
        <f aca="false">IF(H26="","",IF(H26&gt;=Assumptions!$B$5,1,IF(H26&gt;=Assumptions!$B$6,2,IF(H26&gt;=Assumptions!$B$7,3,""))))</f>
        <v>1</v>
      </c>
      <c r="O26" s="9" t="n">
        <f aca="false">IF(N26=1,Assumptions!$B$8,IF(N26=2,Assumptions!$B$9,IF(N26=3,Assumptions!$B$10,0)))</f>
        <v>3</v>
      </c>
      <c r="P26" s="6" t="s">
        <v>30</v>
      </c>
      <c r="Q26" s="6" t="s">
        <v>30</v>
      </c>
      <c r="R26" s="11" t="s">
        <v>30</v>
      </c>
      <c r="S26" s="6" t="s">
        <v>30</v>
      </c>
      <c r="T26" s="11" t="s">
        <v>30</v>
      </c>
      <c r="U26" s="6" t="s">
        <v>30</v>
      </c>
      <c r="V26" s="6" t="s">
        <v>30</v>
      </c>
      <c r="W26" s="6" t="s">
        <v>30</v>
      </c>
      <c r="X26" s="2" t="s">
        <v>30</v>
      </c>
      <c r="Y26" s="6" t="str">
        <f aca="false">IF(AND(X26="processed",ISNUMBER(S26)),S26*O26,"")</f>
        <v/>
      </c>
      <c r="Z26" s="6" t="n">
        <f aca="false">IF(ISNUMBER(K26),K26*O26,0)</f>
        <v>819</v>
      </c>
      <c r="AA26" s="2" t="s">
        <v>31</v>
      </c>
      <c r="AB26" s="6" t="n">
        <v>11865</v>
      </c>
      <c r="AC26" s="6" t="n">
        <v>8963</v>
      </c>
      <c r="AD26" s="6" t="n">
        <v>185</v>
      </c>
      <c r="AE26" s="6" t="n">
        <v>3101.59838867188</v>
      </c>
      <c r="AF26" s="8" t="n">
        <v>1284.916201117</v>
      </c>
      <c r="AG26" s="11" t="n">
        <v>-0.03792535959</v>
      </c>
      <c r="AH26" s="12" t="n">
        <v>0.999999999999998</v>
      </c>
      <c r="AI26" s="2" t="s">
        <v>317</v>
      </c>
      <c r="AJ26" s="2" t="s">
        <v>70</v>
      </c>
      <c r="AK26" s="2" t="s">
        <v>70</v>
      </c>
    </row>
    <row r="27" customFormat="false" ht="15" hidden="false" customHeight="false" outlineLevel="0" collapsed="false">
      <c r="A27" s="9" t="n">
        <v>26</v>
      </c>
      <c r="B27" s="2" t="s">
        <v>103</v>
      </c>
      <c r="C27" s="2" t="s">
        <v>104</v>
      </c>
      <c r="D27" s="2" t="s">
        <v>105</v>
      </c>
      <c r="E27" s="2" t="s">
        <v>51</v>
      </c>
      <c r="F27" s="2" t="s">
        <v>106</v>
      </c>
      <c r="G27" s="2" t="s">
        <v>318</v>
      </c>
      <c r="H27" s="8" t="n">
        <v>827.757867136508</v>
      </c>
      <c r="I27" s="2" t="s">
        <v>316</v>
      </c>
      <c r="J27" s="8" t="n">
        <v>2055615.67164179</v>
      </c>
      <c r="K27" s="6" t="n">
        <v>268</v>
      </c>
      <c r="L27" s="2"/>
      <c r="M27" s="10" t="b">
        <f aca="false">TRUE()</f>
        <v>1</v>
      </c>
      <c r="N27" s="9" t="n">
        <f aca="false">IF(H27="","",IF(H27&gt;=Assumptions!$B$5,1,IF(H27&gt;=Assumptions!$B$6,2,IF(H27&gt;=Assumptions!$B$7,3,""))))</f>
        <v>1</v>
      </c>
      <c r="O27" s="9" t="n">
        <f aca="false">IF(N27=1,Assumptions!$B$8,IF(N27=2,Assumptions!$B$9,IF(N27=3,Assumptions!$B$10,0)))</f>
        <v>3</v>
      </c>
      <c r="P27" s="6" t="s">
        <v>30</v>
      </c>
      <c r="Q27" s="6" t="s">
        <v>30</v>
      </c>
      <c r="R27" s="11" t="s">
        <v>30</v>
      </c>
      <c r="S27" s="6" t="s">
        <v>30</v>
      </c>
      <c r="T27" s="11" t="s">
        <v>30</v>
      </c>
      <c r="U27" s="6" t="s">
        <v>30</v>
      </c>
      <c r="V27" s="6" t="s">
        <v>30</v>
      </c>
      <c r="W27" s="6" t="s">
        <v>30</v>
      </c>
      <c r="X27" s="2" t="s">
        <v>30</v>
      </c>
      <c r="Y27" s="6" t="str">
        <f aca="false">IF(AND(X27="processed",ISNUMBER(S27)),S27*O27,"")</f>
        <v/>
      </c>
      <c r="Z27" s="6" t="n">
        <f aca="false">IF(ISNUMBER(K27),K27*O27,0)</f>
        <v>804</v>
      </c>
      <c r="AA27" s="2" t="s">
        <v>31</v>
      </c>
      <c r="AB27" s="6" t="n">
        <v>10986</v>
      </c>
      <c r="AC27" s="6" t="n">
        <v>9858</v>
      </c>
      <c r="AD27" s="6" t="n">
        <v>9532</v>
      </c>
      <c r="AE27" s="6" t="n">
        <v>3016.2685546875</v>
      </c>
      <c r="AF27" s="8" t="n">
        <v>846.519804183</v>
      </c>
      <c r="AG27" s="11" t="n">
        <v>-0.05819532104</v>
      </c>
      <c r="AH27" s="12" t="n">
        <v>1</v>
      </c>
      <c r="AI27" s="2" t="s">
        <v>317</v>
      </c>
      <c r="AJ27" s="2" t="s">
        <v>104</v>
      </c>
      <c r="AK27" s="2" t="s">
        <v>104</v>
      </c>
    </row>
    <row r="28" customFormat="false" ht="15" hidden="false" customHeight="false" outlineLevel="0" collapsed="false">
      <c r="A28" s="9" t="n">
        <v>27</v>
      </c>
      <c r="B28" s="2" t="s">
        <v>107</v>
      </c>
      <c r="C28" s="2" t="s">
        <v>108</v>
      </c>
      <c r="D28" s="2" t="s">
        <v>27</v>
      </c>
      <c r="E28" s="2" t="s">
        <v>28</v>
      </c>
      <c r="F28" s="2" t="s">
        <v>109</v>
      </c>
      <c r="G28" s="2" t="s">
        <v>315</v>
      </c>
      <c r="H28" s="8" t="n">
        <v>1545.47444329389</v>
      </c>
      <c r="I28" s="2" t="s">
        <v>316</v>
      </c>
      <c r="J28" s="8" t="n">
        <v>3121949.05660377</v>
      </c>
      <c r="K28" s="6" t="n">
        <v>265</v>
      </c>
      <c r="L28" s="2"/>
      <c r="M28" s="10" t="b">
        <f aca="false">TRUE()</f>
        <v>1</v>
      </c>
      <c r="N28" s="9" t="n">
        <f aca="false">IF(H28="","",IF(H28&gt;=Assumptions!$B$5,1,IF(H28&gt;=Assumptions!$B$6,2,IF(H28&gt;=Assumptions!$B$7,3,""))))</f>
        <v>1</v>
      </c>
      <c r="O28" s="9" t="n">
        <f aca="false">IF(N28=1,Assumptions!$B$8,IF(N28=2,Assumptions!$B$9,IF(N28=3,Assumptions!$B$10,0)))</f>
        <v>3</v>
      </c>
      <c r="P28" s="6" t="s">
        <v>30</v>
      </c>
      <c r="Q28" s="6" t="s">
        <v>30</v>
      </c>
      <c r="R28" s="11" t="s">
        <v>30</v>
      </c>
      <c r="S28" s="6" t="s">
        <v>30</v>
      </c>
      <c r="T28" s="11" t="s">
        <v>30</v>
      </c>
      <c r="U28" s="6" t="s">
        <v>30</v>
      </c>
      <c r="V28" s="6" t="s">
        <v>30</v>
      </c>
      <c r="W28" s="6" t="s">
        <v>30</v>
      </c>
      <c r="X28" s="2" t="s">
        <v>30</v>
      </c>
      <c r="Y28" s="6" t="str">
        <f aca="false">IF(AND(X28="processed",ISNUMBER(S28)),S28*O28,"")</f>
        <v/>
      </c>
      <c r="Z28" s="6" t="n">
        <f aca="false">IF(ISNUMBER(K28),K28*O28,0)</f>
        <v>795</v>
      </c>
      <c r="AA28" s="2" t="s">
        <v>31</v>
      </c>
      <c r="AB28" s="6" t="n">
        <v>12290</v>
      </c>
      <c r="AC28" s="6" t="n">
        <v>10871</v>
      </c>
      <c r="AD28" s="6" t="n">
        <v>222</v>
      </c>
      <c r="AE28" s="6" t="n">
        <v>2074.59790039063</v>
      </c>
      <c r="AF28" s="8" t="n">
        <v>1541.626331075</v>
      </c>
      <c r="AG28" s="11" t="n">
        <v>-0.05677341294</v>
      </c>
      <c r="AH28" s="12" t="n">
        <v>0.878005326869489</v>
      </c>
      <c r="AI28" s="2" t="s">
        <v>321</v>
      </c>
      <c r="AJ28" s="2" t="s">
        <v>108</v>
      </c>
      <c r="AK28" s="2" t="s">
        <v>108</v>
      </c>
    </row>
    <row r="29" customFormat="false" ht="15" hidden="false" customHeight="false" outlineLevel="0" collapsed="false">
      <c r="A29" s="9" t="n">
        <v>28</v>
      </c>
      <c r="B29" s="2" t="s">
        <v>110</v>
      </c>
      <c r="C29" s="2" t="s">
        <v>111</v>
      </c>
      <c r="D29" s="2" t="s">
        <v>62</v>
      </c>
      <c r="E29" s="2" t="s">
        <v>40</v>
      </c>
      <c r="F29" s="2" t="s">
        <v>112</v>
      </c>
      <c r="G29" s="2" t="s">
        <v>324</v>
      </c>
      <c r="H29" s="8" t="n">
        <v>1389.70116361067</v>
      </c>
      <c r="I29" s="2" t="s">
        <v>316</v>
      </c>
      <c r="J29" s="8" t="n">
        <v>2696220.75471698</v>
      </c>
      <c r="K29" s="6" t="n">
        <v>265</v>
      </c>
      <c r="L29" s="2"/>
      <c r="M29" s="10" t="b">
        <f aca="false">TRUE()</f>
        <v>1</v>
      </c>
      <c r="N29" s="9" t="n">
        <f aca="false">IF(H29="","",IF(H29&gt;=Assumptions!$B$5,1,IF(H29&gt;=Assumptions!$B$6,2,IF(H29&gt;=Assumptions!$B$7,3,""))))</f>
        <v>1</v>
      </c>
      <c r="O29" s="9" t="n">
        <f aca="false">IF(N29=1,Assumptions!$B$8,IF(N29=2,Assumptions!$B$9,IF(N29=3,Assumptions!$B$10,0)))</f>
        <v>3</v>
      </c>
      <c r="P29" s="6" t="s">
        <v>30</v>
      </c>
      <c r="Q29" s="6" t="s">
        <v>30</v>
      </c>
      <c r="R29" s="11" t="s">
        <v>30</v>
      </c>
      <c r="S29" s="6" t="s">
        <v>30</v>
      </c>
      <c r="T29" s="11" t="s">
        <v>30</v>
      </c>
      <c r="U29" s="6" t="s">
        <v>30</v>
      </c>
      <c r="V29" s="6" t="s">
        <v>30</v>
      </c>
      <c r="W29" s="6" t="s">
        <v>30</v>
      </c>
      <c r="X29" s="2" t="s">
        <v>30</v>
      </c>
      <c r="Y29" s="6" t="str">
        <f aca="false">IF(AND(X29="processed",ISNUMBER(S29)),S29*O29,"")</f>
        <v/>
      </c>
      <c r="Z29" s="6" t="n">
        <f aca="false">IF(ISNUMBER(K29),K29*O29,0)</f>
        <v>795</v>
      </c>
      <c r="AA29" s="2" t="s">
        <v>31</v>
      </c>
      <c r="AB29" s="6" t="n">
        <v>11614</v>
      </c>
      <c r="AC29" s="6" t="n">
        <v>9901</v>
      </c>
      <c r="AD29" s="6" t="n">
        <v>134</v>
      </c>
      <c r="AE29" s="6" t="n">
        <v>2264.7548828125</v>
      </c>
      <c r="AF29" s="8" t="n">
        <v>1447.916666667</v>
      </c>
      <c r="AG29" s="11" t="n">
        <v>-0.06450935177</v>
      </c>
      <c r="AH29" s="12" t="n">
        <v>0.999054509451908</v>
      </c>
      <c r="AI29" s="2" t="s">
        <v>321</v>
      </c>
      <c r="AJ29" s="2" t="s">
        <v>111</v>
      </c>
      <c r="AK29" s="2" t="s">
        <v>111</v>
      </c>
    </row>
    <row r="30" customFormat="false" ht="15" hidden="false" customHeight="false" outlineLevel="0" collapsed="false">
      <c r="A30" s="9" t="n">
        <v>29</v>
      </c>
      <c r="B30" s="2" t="s">
        <v>113</v>
      </c>
      <c r="C30" s="2" t="s">
        <v>38</v>
      </c>
      <c r="D30" s="2" t="s">
        <v>39</v>
      </c>
      <c r="E30" s="2" t="s">
        <v>40</v>
      </c>
      <c r="F30" s="2" t="s">
        <v>114</v>
      </c>
      <c r="G30" s="2" t="s">
        <v>320</v>
      </c>
      <c r="H30" s="8" t="n">
        <v>795.738457063872</v>
      </c>
      <c r="I30" s="2" t="s">
        <v>316</v>
      </c>
      <c r="J30" s="8" t="n">
        <v>1173622.64150943</v>
      </c>
      <c r="K30" s="6" t="n">
        <v>265</v>
      </c>
      <c r="L30" s="2"/>
      <c r="M30" s="10" t="b">
        <f aca="false">TRUE()</f>
        <v>1</v>
      </c>
      <c r="N30" s="9" t="n">
        <f aca="false">IF(H30="","",IF(H30&gt;=Assumptions!$B$5,1,IF(H30&gt;=Assumptions!$B$6,2,IF(H30&gt;=Assumptions!$B$7,3,""))))</f>
        <v>1</v>
      </c>
      <c r="O30" s="9" t="n">
        <f aca="false">IF(N30=1,Assumptions!$B$8,IF(N30=2,Assumptions!$B$9,IF(N30=3,Assumptions!$B$10,0)))</f>
        <v>3</v>
      </c>
      <c r="P30" s="6" t="s">
        <v>30</v>
      </c>
      <c r="Q30" s="6" t="s">
        <v>30</v>
      </c>
      <c r="R30" s="11" t="s">
        <v>30</v>
      </c>
      <c r="S30" s="6" t="s">
        <v>30</v>
      </c>
      <c r="T30" s="11" t="s">
        <v>30</v>
      </c>
      <c r="U30" s="6" t="s">
        <v>30</v>
      </c>
      <c r="V30" s="6" t="s">
        <v>30</v>
      </c>
      <c r="W30" s="6" t="s">
        <v>30</v>
      </c>
      <c r="X30" s="2" t="s">
        <v>30</v>
      </c>
      <c r="Y30" s="6" t="str">
        <f aca="false">IF(AND(X30="processed",ISNUMBER(S30)),S30*O30,"")</f>
        <v/>
      </c>
      <c r="Z30" s="6" t="n">
        <f aca="false">IF(ISNUMBER(K30),K30*O30,0)</f>
        <v>795</v>
      </c>
      <c r="AA30" s="2" t="s">
        <v>31</v>
      </c>
      <c r="AB30" s="6" t="n">
        <v>19790</v>
      </c>
      <c r="AC30" s="6" t="n">
        <v>15146</v>
      </c>
      <c r="AD30" s="6" t="n">
        <v>1356</v>
      </c>
      <c r="AE30" s="6" t="n">
        <v>2118.693359375</v>
      </c>
      <c r="AF30" s="8" t="n">
        <v>855.484923981</v>
      </c>
      <c r="AG30" s="11" t="n">
        <v>-0.0298989795</v>
      </c>
      <c r="AH30" s="12" t="n">
        <v>1</v>
      </c>
      <c r="AI30" s="2" t="s">
        <v>317</v>
      </c>
      <c r="AJ30" s="2" t="s">
        <v>38</v>
      </c>
      <c r="AK30" s="2" t="s">
        <v>38</v>
      </c>
    </row>
    <row r="31" customFormat="false" ht="15" hidden="false" customHeight="false" outlineLevel="0" collapsed="false">
      <c r="A31" s="9" t="n">
        <v>30</v>
      </c>
      <c r="B31" s="2" t="s">
        <v>115</v>
      </c>
      <c r="C31" s="2" t="s">
        <v>116</v>
      </c>
      <c r="D31" s="2" t="s">
        <v>39</v>
      </c>
      <c r="E31" s="2" t="s">
        <v>40</v>
      </c>
      <c r="F31" s="2" t="s">
        <v>117</v>
      </c>
      <c r="G31" s="2" t="s">
        <v>320</v>
      </c>
      <c r="H31" s="8" t="n">
        <v>1663.5655056078</v>
      </c>
      <c r="I31" s="2" t="s">
        <v>316</v>
      </c>
      <c r="J31" s="8" t="n">
        <v>2974583.33333333</v>
      </c>
      <c r="K31" s="6" t="n">
        <v>264</v>
      </c>
      <c r="L31" s="2"/>
      <c r="M31" s="10" t="b">
        <f aca="false">TRUE()</f>
        <v>1</v>
      </c>
      <c r="N31" s="9" t="n">
        <f aca="false">IF(H31="","",IF(H31&gt;=Assumptions!$B$5,1,IF(H31&gt;=Assumptions!$B$6,2,IF(H31&gt;=Assumptions!$B$7,3,""))))</f>
        <v>1</v>
      </c>
      <c r="O31" s="9" t="n">
        <f aca="false">IF(N31=1,Assumptions!$B$8,IF(N31=2,Assumptions!$B$9,IF(N31=3,Assumptions!$B$10,0)))</f>
        <v>3</v>
      </c>
      <c r="P31" s="6" t="s">
        <v>30</v>
      </c>
      <c r="Q31" s="6" t="s">
        <v>30</v>
      </c>
      <c r="R31" s="11" t="s">
        <v>30</v>
      </c>
      <c r="S31" s="6" t="s">
        <v>30</v>
      </c>
      <c r="T31" s="11" t="s">
        <v>30</v>
      </c>
      <c r="U31" s="6" t="s">
        <v>30</v>
      </c>
      <c r="V31" s="6" t="s">
        <v>30</v>
      </c>
      <c r="W31" s="6" t="s">
        <v>30</v>
      </c>
      <c r="X31" s="2" t="s">
        <v>30</v>
      </c>
      <c r="Y31" s="6" t="str">
        <f aca="false">IF(AND(X31="processed",ISNUMBER(S31)),S31*O31,"")</f>
        <v/>
      </c>
      <c r="Z31" s="6" t="n">
        <f aca="false">IF(ISNUMBER(K31),K31*O31,0)</f>
        <v>792</v>
      </c>
      <c r="AA31" s="2" t="s">
        <v>31</v>
      </c>
      <c r="AB31" s="6" t="n">
        <v>16013</v>
      </c>
      <c r="AC31" s="6" t="n">
        <v>14159</v>
      </c>
      <c r="AD31" s="6" t="n">
        <v>352</v>
      </c>
      <c r="AE31" s="6" t="n">
        <v>2598.80444335938</v>
      </c>
      <c r="AF31" s="8" t="n">
        <v>1700.51374422</v>
      </c>
      <c r="AG31" s="11" t="n">
        <v>0.003999641017</v>
      </c>
      <c r="AH31" s="12" t="n">
        <v>0.999999999999999</v>
      </c>
      <c r="AI31" s="2" t="s">
        <v>317</v>
      </c>
      <c r="AJ31" s="2" t="s">
        <v>116</v>
      </c>
      <c r="AK31" s="2" t="s">
        <v>116</v>
      </c>
    </row>
    <row r="32" customFormat="false" ht="15" hidden="false" customHeight="false" outlineLevel="0" collapsed="false">
      <c r="A32" s="9" t="n">
        <v>31</v>
      </c>
      <c r="B32" s="2" t="s">
        <v>118</v>
      </c>
      <c r="C32" s="2" t="s">
        <v>119</v>
      </c>
      <c r="D32" s="2" t="s">
        <v>27</v>
      </c>
      <c r="E32" s="2" t="s">
        <v>28</v>
      </c>
      <c r="F32" s="2" t="s">
        <v>120</v>
      </c>
      <c r="G32" s="2" t="s">
        <v>315</v>
      </c>
      <c r="H32" s="8" t="n">
        <v>657.35357058223</v>
      </c>
      <c r="I32" s="2" t="s">
        <v>316</v>
      </c>
      <c r="J32" s="8" t="n">
        <v>1260146.83544304</v>
      </c>
      <c r="K32" s="6" t="n">
        <v>395</v>
      </c>
      <c r="L32" s="2"/>
      <c r="M32" s="10" t="b">
        <f aca="false">TRUE()</f>
        <v>1</v>
      </c>
      <c r="N32" s="9" t="n">
        <f aca="false">IF(H32="","",IF(H32&gt;=Assumptions!$B$5,1,IF(H32&gt;=Assumptions!$B$6,2,IF(H32&gt;=Assumptions!$B$7,3,""))))</f>
        <v>2</v>
      </c>
      <c r="O32" s="9" t="n">
        <f aca="false">IF(N32=1,Assumptions!$B$8,IF(N32=2,Assumptions!$B$9,IF(N32=3,Assumptions!$B$10,0)))</f>
        <v>2</v>
      </c>
      <c r="P32" s="6" t="s">
        <v>30</v>
      </c>
      <c r="Q32" s="6" t="s">
        <v>30</v>
      </c>
      <c r="R32" s="11" t="s">
        <v>30</v>
      </c>
      <c r="S32" s="6" t="s">
        <v>30</v>
      </c>
      <c r="T32" s="11" t="s">
        <v>30</v>
      </c>
      <c r="U32" s="6" t="s">
        <v>30</v>
      </c>
      <c r="V32" s="6" t="s">
        <v>30</v>
      </c>
      <c r="W32" s="6" t="s">
        <v>30</v>
      </c>
      <c r="X32" s="2" t="s">
        <v>30</v>
      </c>
      <c r="Y32" s="6" t="str">
        <f aca="false">IF(AND(X32="processed",ISNUMBER(S32)),S32*O32,"")</f>
        <v/>
      </c>
      <c r="Z32" s="6" t="n">
        <f aca="false">IF(ISNUMBER(K32),K32*O32,0)</f>
        <v>790</v>
      </c>
      <c r="AA32" s="2" t="s">
        <v>31</v>
      </c>
      <c r="AB32" s="6" t="n">
        <v>14783</v>
      </c>
      <c r="AC32" s="6" t="n">
        <v>14030</v>
      </c>
      <c r="AD32" s="6" t="n">
        <v>127</v>
      </c>
      <c r="AE32" s="6" t="n">
        <v>2297.85766601563</v>
      </c>
      <c r="AF32" s="8" t="n">
        <v>680.151416712</v>
      </c>
      <c r="AG32" s="11" t="n">
        <v>0.05445450051</v>
      </c>
      <c r="AH32" s="12" t="n">
        <v>1</v>
      </c>
      <c r="AI32" s="2" t="s">
        <v>317</v>
      </c>
      <c r="AJ32" s="2" t="s">
        <v>119</v>
      </c>
      <c r="AK32" s="2" t="s">
        <v>119</v>
      </c>
    </row>
    <row r="33" customFormat="false" ht="15" hidden="false" customHeight="false" outlineLevel="0" collapsed="false">
      <c r="A33" s="9" t="n">
        <v>32</v>
      </c>
      <c r="B33" s="2" t="s">
        <v>121</v>
      </c>
      <c r="C33" s="2" t="s">
        <v>122</v>
      </c>
      <c r="D33" s="2" t="s">
        <v>70</v>
      </c>
      <c r="E33" s="2" t="s">
        <v>71</v>
      </c>
      <c r="F33" s="2" t="s">
        <v>123</v>
      </c>
      <c r="G33" s="2" t="s">
        <v>329</v>
      </c>
      <c r="H33" s="8" t="n">
        <v>1449.41733112148</v>
      </c>
      <c r="I33" s="2" t="s">
        <v>316</v>
      </c>
      <c r="J33" s="8" t="n">
        <v>3598793.10344828</v>
      </c>
      <c r="K33" s="6" t="n">
        <v>261</v>
      </c>
      <c r="L33" s="2"/>
      <c r="M33" s="10" t="b">
        <f aca="false">TRUE()</f>
        <v>1</v>
      </c>
      <c r="N33" s="9" t="n">
        <f aca="false">IF(H33="","",IF(H33&gt;=Assumptions!$B$5,1,IF(H33&gt;=Assumptions!$B$6,2,IF(H33&gt;=Assumptions!$B$7,3,""))))</f>
        <v>1</v>
      </c>
      <c r="O33" s="9" t="n">
        <f aca="false">IF(N33=1,Assumptions!$B$8,IF(N33=2,Assumptions!$B$9,IF(N33=3,Assumptions!$B$10,0)))</f>
        <v>3</v>
      </c>
      <c r="P33" s="6" t="s">
        <v>30</v>
      </c>
      <c r="Q33" s="6" t="s">
        <v>30</v>
      </c>
      <c r="R33" s="11" t="s">
        <v>30</v>
      </c>
      <c r="S33" s="6" t="s">
        <v>30</v>
      </c>
      <c r="T33" s="11" t="s">
        <v>30</v>
      </c>
      <c r="U33" s="6" t="s">
        <v>30</v>
      </c>
      <c r="V33" s="6" t="s">
        <v>30</v>
      </c>
      <c r="W33" s="6" t="s">
        <v>30</v>
      </c>
      <c r="X33" s="2" t="s">
        <v>30</v>
      </c>
      <c r="Y33" s="6" t="str">
        <f aca="false">IF(AND(X33="processed",ISNUMBER(S33)),S33*O33,"")</f>
        <v/>
      </c>
      <c r="Z33" s="6" t="n">
        <f aca="false">IF(ISNUMBER(K33),K33*O33,0)</f>
        <v>783</v>
      </c>
      <c r="AA33" s="2" t="s">
        <v>31</v>
      </c>
      <c r="AB33" s="6" t="n">
        <v>14908</v>
      </c>
      <c r="AC33" s="6" t="n">
        <v>12884</v>
      </c>
      <c r="AD33" s="6" t="n">
        <v>90</v>
      </c>
      <c r="AE33" s="6" t="n">
        <v>2039.14013671875</v>
      </c>
      <c r="AF33" s="8" t="n">
        <v>1593.169788156</v>
      </c>
      <c r="AG33" s="11" t="n">
        <v>0.0755634737</v>
      </c>
      <c r="AH33" s="12" t="n">
        <v>0.864915447989441</v>
      </c>
      <c r="AI33" s="2" t="s">
        <v>317</v>
      </c>
      <c r="AJ33" s="2" t="s">
        <v>122</v>
      </c>
      <c r="AK33" s="2" t="s">
        <v>122</v>
      </c>
    </row>
    <row r="34" customFormat="false" ht="15" hidden="false" customHeight="false" outlineLevel="0" collapsed="false">
      <c r="A34" s="9" t="n">
        <v>33</v>
      </c>
      <c r="B34" s="2" t="s">
        <v>124</v>
      </c>
      <c r="C34" s="2" t="s">
        <v>125</v>
      </c>
      <c r="D34" s="2" t="s">
        <v>27</v>
      </c>
      <c r="E34" s="2" t="s">
        <v>28</v>
      </c>
      <c r="F34" s="2" t="s">
        <v>126</v>
      </c>
      <c r="G34" s="2" t="s">
        <v>315</v>
      </c>
      <c r="H34" s="8" t="n">
        <v>673.056528140833</v>
      </c>
      <c r="I34" s="2" t="s">
        <v>316</v>
      </c>
      <c r="J34" s="8" t="n">
        <v>1358912.82051282</v>
      </c>
      <c r="K34" s="6" t="n">
        <v>390</v>
      </c>
      <c r="L34" s="2"/>
      <c r="M34" s="10" t="b">
        <f aca="false">TRUE()</f>
        <v>1</v>
      </c>
      <c r="N34" s="9" t="n">
        <f aca="false">IF(H34="","",IF(H34&gt;=Assumptions!$B$5,1,IF(H34&gt;=Assumptions!$B$6,2,IF(H34&gt;=Assumptions!$B$7,3,""))))</f>
        <v>2</v>
      </c>
      <c r="O34" s="9" t="n">
        <f aca="false">IF(N34=1,Assumptions!$B$8,IF(N34=2,Assumptions!$B$9,IF(N34=3,Assumptions!$B$10,0)))</f>
        <v>2</v>
      </c>
      <c r="P34" s="6" t="s">
        <v>30</v>
      </c>
      <c r="Q34" s="6" t="s">
        <v>30</v>
      </c>
      <c r="R34" s="11" t="s">
        <v>30</v>
      </c>
      <c r="S34" s="6" t="s">
        <v>30</v>
      </c>
      <c r="T34" s="11" t="s">
        <v>30</v>
      </c>
      <c r="U34" s="6" t="s">
        <v>30</v>
      </c>
      <c r="V34" s="6" t="s">
        <v>30</v>
      </c>
      <c r="W34" s="6" t="s">
        <v>30</v>
      </c>
      <c r="X34" s="2" t="s">
        <v>30</v>
      </c>
      <c r="Y34" s="6" t="str">
        <f aca="false">IF(AND(X34="processed",ISNUMBER(S34)),S34*O34,"")</f>
        <v/>
      </c>
      <c r="Z34" s="6" t="n">
        <f aca="false">IF(ISNUMBER(K34),K34*O34,0)</f>
        <v>780</v>
      </c>
      <c r="AA34" s="2" t="s">
        <v>31</v>
      </c>
      <c r="AB34" s="6" t="n">
        <v>17627</v>
      </c>
      <c r="AC34" s="6" t="n">
        <v>16540</v>
      </c>
      <c r="AD34" s="6" t="n">
        <v>627</v>
      </c>
      <c r="AE34" s="6" t="n">
        <v>2159.22021484375</v>
      </c>
      <c r="AF34" s="8" t="n">
        <v>663.119292111</v>
      </c>
      <c r="AG34" s="11" t="n">
        <v>-0.08551223204</v>
      </c>
      <c r="AH34" s="12" t="n">
        <v>1</v>
      </c>
      <c r="AI34" s="2" t="s">
        <v>317</v>
      </c>
      <c r="AJ34" s="2" t="s">
        <v>125</v>
      </c>
      <c r="AK34" s="2" t="s">
        <v>125</v>
      </c>
    </row>
    <row r="35" customFormat="false" ht="15" hidden="false" customHeight="false" outlineLevel="0" collapsed="false">
      <c r="A35" s="9" t="n">
        <v>34</v>
      </c>
      <c r="B35" s="2" t="s">
        <v>127</v>
      </c>
      <c r="C35" s="2" t="s">
        <v>128</v>
      </c>
      <c r="D35" s="2" t="s">
        <v>27</v>
      </c>
      <c r="E35" s="2" t="s">
        <v>28</v>
      </c>
      <c r="F35" s="2" t="s">
        <v>129</v>
      </c>
      <c r="G35" s="2" t="s">
        <v>315</v>
      </c>
      <c r="H35" s="8" t="n">
        <v>731.407989552322</v>
      </c>
      <c r="I35" s="2" t="s">
        <v>316</v>
      </c>
      <c r="J35" s="8" t="n">
        <v>1513430.23255814</v>
      </c>
      <c r="K35" s="6" t="n">
        <v>258</v>
      </c>
      <c r="L35" s="2"/>
      <c r="M35" s="10" t="b">
        <f aca="false">TRUE()</f>
        <v>1</v>
      </c>
      <c r="N35" s="9" t="n">
        <f aca="false">IF(H35="","",IF(H35&gt;=Assumptions!$B$5,1,IF(H35&gt;=Assumptions!$B$6,2,IF(H35&gt;=Assumptions!$B$7,3,""))))</f>
        <v>1</v>
      </c>
      <c r="O35" s="9" t="n">
        <f aca="false">IF(N35=1,Assumptions!$B$8,IF(N35=2,Assumptions!$B$9,IF(N35=3,Assumptions!$B$10,0)))</f>
        <v>3</v>
      </c>
      <c r="P35" s="6" t="s">
        <v>30</v>
      </c>
      <c r="Q35" s="6" t="s">
        <v>30</v>
      </c>
      <c r="R35" s="11" t="s">
        <v>30</v>
      </c>
      <c r="S35" s="6" t="s">
        <v>30</v>
      </c>
      <c r="T35" s="11" t="s">
        <v>30</v>
      </c>
      <c r="U35" s="6" t="s">
        <v>30</v>
      </c>
      <c r="V35" s="6" t="s">
        <v>30</v>
      </c>
      <c r="W35" s="6" t="s">
        <v>30</v>
      </c>
      <c r="X35" s="2" t="s">
        <v>30</v>
      </c>
      <c r="Y35" s="6" t="str">
        <f aca="false">IF(AND(X35="processed",ISNUMBER(S35)),S35*O35,"")</f>
        <v/>
      </c>
      <c r="Z35" s="6" t="n">
        <f aca="false">IF(ISNUMBER(K35),K35*O35,0)</f>
        <v>774</v>
      </c>
      <c r="AA35" s="2" t="s">
        <v>31</v>
      </c>
      <c r="AB35" s="6" t="n">
        <v>16201</v>
      </c>
      <c r="AC35" s="6" t="n">
        <v>14963</v>
      </c>
      <c r="AD35" s="6" t="n">
        <v>559</v>
      </c>
      <c r="AE35" s="6" t="n">
        <v>2606.83666992188</v>
      </c>
      <c r="AF35" s="8" t="n">
        <v>749.158249158</v>
      </c>
      <c r="AG35" s="11" t="n">
        <v>0.0510557239</v>
      </c>
      <c r="AH35" s="12" t="n">
        <v>1</v>
      </c>
      <c r="AI35" s="2" t="s">
        <v>317</v>
      </c>
      <c r="AJ35" s="2" t="s">
        <v>128</v>
      </c>
      <c r="AK35" s="2" t="s">
        <v>128</v>
      </c>
    </row>
    <row r="36" customFormat="false" ht="15" hidden="false" customHeight="false" outlineLevel="0" collapsed="false">
      <c r="A36" s="9" t="n">
        <v>35</v>
      </c>
      <c r="B36" s="2" t="s">
        <v>130</v>
      </c>
      <c r="C36" s="2" t="s">
        <v>56</v>
      </c>
      <c r="D36" s="2" t="s">
        <v>56</v>
      </c>
      <c r="E36" s="2" t="s">
        <v>56</v>
      </c>
      <c r="F36" s="2" t="s">
        <v>131</v>
      </c>
      <c r="G36" s="2" t="s">
        <v>324</v>
      </c>
      <c r="H36" s="8" t="n">
        <v>1088.69324287834</v>
      </c>
      <c r="I36" s="2" t="s">
        <v>316</v>
      </c>
      <c r="J36" s="8" t="n">
        <v>1544831.39534884</v>
      </c>
      <c r="K36" s="6" t="n">
        <v>258</v>
      </c>
      <c r="L36" s="2"/>
      <c r="M36" s="10" t="b">
        <f aca="false">TRUE()</f>
        <v>1</v>
      </c>
      <c r="N36" s="9" t="n">
        <f aca="false">IF(H36="","",IF(H36&gt;=Assumptions!$B$5,1,IF(H36&gt;=Assumptions!$B$6,2,IF(H36&gt;=Assumptions!$B$7,3,""))))</f>
        <v>1</v>
      </c>
      <c r="O36" s="9" t="n">
        <f aca="false">IF(N36=1,Assumptions!$B$8,IF(N36=2,Assumptions!$B$9,IF(N36=3,Assumptions!$B$10,0)))</f>
        <v>3</v>
      </c>
      <c r="P36" s="6" t="s">
        <v>30</v>
      </c>
      <c r="Q36" s="6" t="s">
        <v>30</v>
      </c>
      <c r="R36" s="11" t="s">
        <v>30</v>
      </c>
      <c r="S36" s="6" t="s">
        <v>30</v>
      </c>
      <c r="T36" s="11" t="s">
        <v>30</v>
      </c>
      <c r="U36" s="6" t="s">
        <v>30</v>
      </c>
      <c r="V36" s="6" t="s">
        <v>30</v>
      </c>
      <c r="W36" s="6" t="s">
        <v>30</v>
      </c>
      <c r="X36" s="2" t="s">
        <v>30</v>
      </c>
      <c r="Y36" s="6" t="str">
        <f aca="false">IF(AND(X36="processed",ISNUMBER(S36)),S36*O36,"")</f>
        <v/>
      </c>
      <c r="Z36" s="6" t="n">
        <f aca="false">IF(ISNUMBER(K36),K36*O36,0)</f>
        <v>774</v>
      </c>
      <c r="AA36" s="2" t="s">
        <v>31</v>
      </c>
      <c r="AB36" s="6" t="n">
        <v>13215</v>
      </c>
      <c r="AC36" s="6" t="n">
        <v>12201</v>
      </c>
      <c r="AD36" s="6" t="n">
        <v>124</v>
      </c>
      <c r="AE36" s="6" t="n">
        <v>1283.79650878906</v>
      </c>
      <c r="AF36" s="8" t="n">
        <v>1270.604395604</v>
      </c>
      <c r="AG36" s="11" t="n">
        <v>0.1714430465</v>
      </c>
      <c r="AH36" s="12" t="n">
        <v>1</v>
      </c>
      <c r="AI36" s="2" t="s">
        <v>317</v>
      </c>
      <c r="AJ36" s="2" t="s">
        <v>56</v>
      </c>
      <c r="AK36" s="2" t="s">
        <v>56</v>
      </c>
    </row>
    <row r="37" customFormat="false" ht="15" hidden="false" customHeight="false" outlineLevel="0" collapsed="false">
      <c r="A37" s="9" t="n">
        <v>36</v>
      </c>
      <c r="B37" s="2" t="s">
        <v>132</v>
      </c>
      <c r="C37" s="2" t="s">
        <v>133</v>
      </c>
      <c r="D37" s="2" t="s">
        <v>34</v>
      </c>
      <c r="E37" s="2" t="s">
        <v>35</v>
      </c>
      <c r="F37" s="2" t="s">
        <v>134</v>
      </c>
      <c r="G37" s="2" t="s">
        <v>318</v>
      </c>
      <c r="H37" s="8" t="n">
        <v>686.281506579663</v>
      </c>
      <c r="I37" s="2" t="s">
        <v>316</v>
      </c>
      <c r="J37" s="8" t="n">
        <v>1441336.78756477</v>
      </c>
      <c r="K37" s="6" t="n">
        <v>386</v>
      </c>
      <c r="L37" s="2"/>
      <c r="M37" s="10" t="b">
        <f aca="false">TRUE()</f>
        <v>1</v>
      </c>
      <c r="N37" s="9" t="n">
        <f aca="false">IF(H37="","",IF(H37&gt;=Assumptions!$B$5,1,IF(H37&gt;=Assumptions!$B$6,2,IF(H37&gt;=Assumptions!$B$7,3,""))))</f>
        <v>2</v>
      </c>
      <c r="O37" s="9" t="n">
        <f aca="false">IF(N37=1,Assumptions!$B$8,IF(N37=2,Assumptions!$B$9,IF(N37=3,Assumptions!$B$10,0)))</f>
        <v>2</v>
      </c>
      <c r="P37" s="6" t="s">
        <v>30</v>
      </c>
      <c r="Q37" s="6" t="s">
        <v>30</v>
      </c>
      <c r="R37" s="11" t="s">
        <v>30</v>
      </c>
      <c r="S37" s="6" t="s">
        <v>30</v>
      </c>
      <c r="T37" s="11" t="s">
        <v>30</v>
      </c>
      <c r="U37" s="6" t="s">
        <v>30</v>
      </c>
      <c r="V37" s="6" t="s">
        <v>30</v>
      </c>
      <c r="W37" s="6" t="s">
        <v>30</v>
      </c>
      <c r="X37" s="2" t="s">
        <v>30</v>
      </c>
      <c r="Y37" s="6" t="str">
        <f aca="false">IF(AND(X37="processed",ISNUMBER(S37)),S37*O37,"")</f>
        <v/>
      </c>
      <c r="Z37" s="6" t="n">
        <f aca="false">IF(ISNUMBER(K37),K37*O37,0)</f>
        <v>772</v>
      </c>
      <c r="AA37" s="2" t="s">
        <v>31</v>
      </c>
      <c r="AB37" s="6" t="n">
        <v>14504</v>
      </c>
      <c r="AC37" s="6" t="n">
        <v>12003</v>
      </c>
      <c r="AD37" s="6" t="n">
        <v>222</v>
      </c>
      <c r="AE37" s="6" t="n">
        <v>1859.38525390625</v>
      </c>
      <c r="AF37" s="8" t="n">
        <v>746.782816455</v>
      </c>
      <c r="AG37" s="11" t="n">
        <v>0.05081181457</v>
      </c>
      <c r="AH37" s="12" t="n">
        <v>0.695657939952682</v>
      </c>
      <c r="AI37" s="2" t="s">
        <v>319</v>
      </c>
      <c r="AJ37" s="2"/>
      <c r="AK37" s="2" t="s">
        <v>133</v>
      </c>
    </row>
    <row r="38" customFormat="false" ht="15" hidden="false" customHeight="false" outlineLevel="0" collapsed="false">
      <c r="A38" s="9" t="n">
        <v>37</v>
      </c>
      <c r="B38" s="2" t="s">
        <v>135</v>
      </c>
      <c r="C38" s="2" t="s">
        <v>136</v>
      </c>
      <c r="D38" s="2" t="s">
        <v>34</v>
      </c>
      <c r="E38" s="2" t="s">
        <v>35</v>
      </c>
      <c r="F38" s="2"/>
      <c r="G38" s="2" t="s">
        <v>318</v>
      </c>
      <c r="H38" s="8" t="n">
        <v>837.303637239059</v>
      </c>
      <c r="I38" s="2" t="s">
        <v>316</v>
      </c>
      <c r="J38" s="8" t="n">
        <v>1415045.09803922</v>
      </c>
      <c r="K38" s="6" t="n">
        <v>255</v>
      </c>
      <c r="L38" s="2"/>
      <c r="M38" s="10" t="b">
        <f aca="false">TRUE()</f>
        <v>1</v>
      </c>
      <c r="N38" s="9" t="n">
        <f aca="false">IF(H38="","",IF(H38&gt;=Assumptions!$B$5,1,IF(H38&gt;=Assumptions!$B$6,2,IF(H38&gt;=Assumptions!$B$7,3,""))))</f>
        <v>1</v>
      </c>
      <c r="O38" s="9" t="n">
        <f aca="false">IF(N38=1,Assumptions!$B$8,IF(N38=2,Assumptions!$B$9,IF(N38=3,Assumptions!$B$10,0)))</f>
        <v>3</v>
      </c>
      <c r="P38" s="6" t="s">
        <v>30</v>
      </c>
      <c r="Q38" s="6" t="s">
        <v>30</v>
      </c>
      <c r="R38" s="11" t="s">
        <v>30</v>
      </c>
      <c r="S38" s="6" t="s">
        <v>30</v>
      </c>
      <c r="T38" s="11" t="s">
        <v>30</v>
      </c>
      <c r="U38" s="6" t="s">
        <v>30</v>
      </c>
      <c r="V38" s="6" t="s">
        <v>30</v>
      </c>
      <c r="W38" s="6" t="s">
        <v>30</v>
      </c>
      <c r="X38" s="2" t="s">
        <v>30</v>
      </c>
      <c r="Y38" s="6" t="str">
        <f aca="false">IF(AND(X38="processed",ISNUMBER(S38)),S38*O38,"")</f>
        <v/>
      </c>
      <c r="Z38" s="6" t="n">
        <f aca="false">IF(ISNUMBER(K38),K38*O38,0)</f>
        <v>765</v>
      </c>
      <c r="AA38" s="2" t="s">
        <v>31</v>
      </c>
      <c r="AB38" s="6" t="n">
        <v>13771</v>
      </c>
      <c r="AC38" s="6" t="n">
        <v>12732</v>
      </c>
      <c r="AD38" s="6" t="n">
        <v>379</v>
      </c>
      <c r="AE38" s="6" t="n">
        <v>2171.53125</v>
      </c>
      <c r="AF38" s="8" t="n">
        <v>860.509835361</v>
      </c>
      <c r="AG38" s="11" t="n">
        <v>-0.03983866449</v>
      </c>
      <c r="AH38" s="12" t="n">
        <v>0.976842466830982</v>
      </c>
      <c r="AI38" s="2" t="s">
        <v>319</v>
      </c>
      <c r="AJ38" s="2"/>
      <c r="AK38" s="2" t="s">
        <v>136</v>
      </c>
    </row>
    <row r="39" customFormat="false" ht="15" hidden="false" customHeight="false" outlineLevel="0" collapsed="false">
      <c r="A39" s="9" t="n">
        <v>38</v>
      </c>
      <c r="B39" s="2" t="s">
        <v>137</v>
      </c>
      <c r="C39" s="2" t="s">
        <v>138</v>
      </c>
      <c r="D39" s="2" t="s">
        <v>27</v>
      </c>
      <c r="E39" s="2" t="s">
        <v>28</v>
      </c>
      <c r="F39" s="2" t="s">
        <v>139</v>
      </c>
      <c r="G39" s="2" t="s">
        <v>315</v>
      </c>
      <c r="H39" s="8" t="n">
        <v>1380.83998942141</v>
      </c>
      <c r="I39" s="2" t="s">
        <v>316</v>
      </c>
      <c r="J39" s="8" t="n">
        <v>3893911.41732283</v>
      </c>
      <c r="K39" s="6" t="n">
        <v>254</v>
      </c>
      <c r="L39" s="2"/>
      <c r="M39" s="10" t="b">
        <f aca="false">TRUE()</f>
        <v>1</v>
      </c>
      <c r="N39" s="9" t="n">
        <f aca="false">IF(H39="","",IF(H39&gt;=Assumptions!$B$5,1,IF(H39&gt;=Assumptions!$B$6,2,IF(H39&gt;=Assumptions!$B$7,3,""))))</f>
        <v>1</v>
      </c>
      <c r="O39" s="9" t="n">
        <f aca="false">IF(N39=1,Assumptions!$B$8,IF(N39=2,Assumptions!$B$9,IF(N39=3,Assumptions!$B$10,0)))</f>
        <v>3</v>
      </c>
      <c r="P39" s="6" t="s">
        <v>30</v>
      </c>
      <c r="Q39" s="6" t="s">
        <v>30</v>
      </c>
      <c r="R39" s="11" t="s">
        <v>30</v>
      </c>
      <c r="S39" s="6" t="s">
        <v>30</v>
      </c>
      <c r="T39" s="11" t="s">
        <v>30</v>
      </c>
      <c r="U39" s="6" t="s">
        <v>30</v>
      </c>
      <c r="V39" s="6" t="s">
        <v>30</v>
      </c>
      <c r="W39" s="6" t="s">
        <v>30</v>
      </c>
      <c r="X39" s="2" t="s">
        <v>30</v>
      </c>
      <c r="Y39" s="6" t="str">
        <f aca="false">IF(AND(X39="processed",ISNUMBER(S39)),S39*O39,"")</f>
        <v/>
      </c>
      <c r="Z39" s="6" t="n">
        <f aca="false">IF(ISNUMBER(K39),K39*O39,0)</f>
        <v>762</v>
      </c>
      <c r="AA39" s="2" t="s">
        <v>31</v>
      </c>
      <c r="AB39" s="6" t="n">
        <v>11926</v>
      </c>
      <c r="AC39" s="6" t="n">
        <v>10170</v>
      </c>
      <c r="AD39" s="6" t="n">
        <v>359</v>
      </c>
      <c r="AE39" s="6" t="n">
        <v>2954.41650390625</v>
      </c>
      <c r="AF39" s="8" t="n">
        <v>1478.872419339</v>
      </c>
      <c r="AG39" s="11" t="n">
        <v>0.04738964287</v>
      </c>
      <c r="AH39" s="12" t="n">
        <v>1</v>
      </c>
      <c r="AI39" s="2" t="s">
        <v>317</v>
      </c>
      <c r="AJ39" s="2" t="s">
        <v>138</v>
      </c>
      <c r="AK39" s="2" t="s">
        <v>138</v>
      </c>
    </row>
    <row r="40" customFormat="false" ht="15" hidden="false" customHeight="false" outlineLevel="0" collapsed="false">
      <c r="A40" s="9" t="n">
        <v>39</v>
      </c>
      <c r="B40" s="2" t="s">
        <v>140</v>
      </c>
      <c r="C40" s="2" t="s">
        <v>44</v>
      </c>
      <c r="D40" s="2" t="s">
        <v>44</v>
      </c>
      <c r="E40" s="2" t="s">
        <v>44</v>
      </c>
      <c r="F40" s="2" t="s">
        <v>141</v>
      </c>
      <c r="G40" s="2" t="s">
        <v>322</v>
      </c>
      <c r="H40" s="8" t="n">
        <v>713.321269161278</v>
      </c>
      <c r="I40" s="2" t="s">
        <v>316</v>
      </c>
      <c r="J40" s="8" t="n">
        <v>2127369.04761905</v>
      </c>
      <c r="K40" s="6" t="n">
        <v>252</v>
      </c>
      <c r="L40" s="2"/>
      <c r="M40" s="10" t="b">
        <f aca="false">TRUE()</f>
        <v>1</v>
      </c>
      <c r="N40" s="9" t="n">
        <f aca="false">IF(H40="","",IF(H40&gt;=Assumptions!$B$5,1,IF(H40&gt;=Assumptions!$B$6,2,IF(H40&gt;=Assumptions!$B$7,3,""))))</f>
        <v>1</v>
      </c>
      <c r="O40" s="9" t="n">
        <f aca="false">IF(N40=1,Assumptions!$B$8,IF(N40=2,Assumptions!$B$9,IF(N40=3,Assumptions!$B$10,0)))</f>
        <v>3</v>
      </c>
      <c r="P40" s="6" t="s">
        <v>30</v>
      </c>
      <c r="Q40" s="6" t="s">
        <v>30</v>
      </c>
      <c r="R40" s="11" t="s">
        <v>30</v>
      </c>
      <c r="S40" s="6" t="s">
        <v>30</v>
      </c>
      <c r="T40" s="11" t="s">
        <v>30</v>
      </c>
      <c r="U40" s="6" t="s">
        <v>30</v>
      </c>
      <c r="V40" s="6" t="s">
        <v>30</v>
      </c>
      <c r="W40" s="6" t="s">
        <v>30</v>
      </c>
      <c r="X40" s="2" t="s">
        <v>30</v>
      </c>
      <c r="Y40" s="6" t="str">
        <f aca="false">IF(AND(X40="processed",ISNUMBER(S40)),S40*O40,"")</f>
        <v/>
      </c>
      <c r="Z40" s="6" t="n">
        <f aca="false">IF(ISNUMBER(K40),K40*O40,0)</f>
        <v>756</v>
      </c>
      <c r="AA40" s="2" t="s">
        <v>31</v>
      </c>
      <c r="AB40" s="6" t="n">
        <v>14157</v>
      </c>
      <c r="AC40" s="6" t="n">
        <v>11513</v>
      </c>
      <c r="AD40" s="6" t="n">
        <v>471</v>
      </c>
      <c r="AE40" s="6" t="n">
        <v>2641.44018554688</v>
      </c>
      <c r="AF40" s="8" t="n">
        <v>728.291316527</v>
      </c>
      <c r="AG40" s="11" t="n">
        <v>-0.01538401604</v>
      </c>
      <c r="AH40" s="12" t="n">
        <v>1</v>
      </c>
      <c r="AI40" s="2" t="s">
        <v>317</v>
      </c>
      <c r="AJ40" s="2" t="s">
        <v>44</v>
      </c>
      <c r="AK40" s="2" t="s">
        <v>44</v>
      </c>
    </row>
    <row r="41" customFormat="false" ht="15" hidden="false" customHeight="false" outlineLevel="0" collapsed="false">
      <c r="A41" s="9" t="n">
        <v>40</v>
      </c>
      <c r="B41" s="2" t="s">
        <v>142</v>
      </c>
      <c r="C41" s="2" t="s">
        <v>143</v>
      </c>
      <c r="D41" s="2" t="s">
        <v>44</v>
      </c>
      <c r="E41" s="2" t="s">
        <v>44</v>
      </c>
      <c r="F41" s="2" t="s">
        <v>144</v>
      </c>
      <c r="G41" s="2" t="s">
        <v>322</v>
      </c>
      <c r="H41" s="8" t="n">
        <v>641.683894398496</v>
      </c>
      <c r="I41" s="2" t="s">
        <v>316</v>
      </c>
      <c r="J41" s="8" t="n">
        <v>1304946.66666667</v>
      </c>
      <c r="K41" s="6" t="n">
        <v>375</v>
      </c>
      <c r="L41" s="2"/>
      <c r="M41" s="10" t="b">
        <f aca="false">TRUE()</f>
        <v>1</v>
      </c>
      <c r="N41" s="9" t="n">
        <f aca="false">IF(H41="","",IF(H41&gt;=Assumptions!$B$5,1,IF(H41&gt;=Assumptions!$B$6,2,IF(H41&gt;=Assumptions!$B$7,3,""))))</f>
        <v>2</v>
      </c>
      <c r="O41" s="9" t="n">
        <f aca="false">IF(N41=1,Assumptions!$B$8,IF(N41=2,Assumptions!$B$9,IF(N41=3,Assumptions!$B$10,0)))</f>
        <v>2</v>
      </c>
      <c r="P41" s="6" t="s">
        <v>30</v>
      </c>
      <c r="Q41" s="6" t="s">
        <v>30</v>
      </c>
      <c r="R41" s="11" t="s">
        <v>30</v>
      </c>
      <c r="S41" s="6" t="s">
        <v>30</v>
      </c>
      <c r="T41" s="11" t="s">
        <v>30</v>
      </c>
      <c r="U41" s="6" t="s">
        <v>30</v>
      </c>
      <c r="V41" s="6" t="s">
        <v>30</v>
      </c>
      <c r="W41" s="6" t="s">
        <v>30</v>
      </c>
      <c r="X41" s="2" t="s">
        <v>30</v>
      </c>
      <c r="Y41" s="6" t="str">
        <f aca="false">IF(AND(X41="processed",ISNUMBER(S41)),S41*O41,"")</f>
        <v/>
      </c>
      <c r="Z41" s="6" t="n">
        <f aca="false">IF(ISNUMBER(K41),K41*O41,0)</f>
        <v>750</v>
      </c>
      <c r="AA41" s="2" t="s">
        <v>31</v>
      </c>
      <c r="AB41" s="6" t="n">
        <v>21277</v>
      </c>
      <c r="AC41" s="6" t="n">
        <v>15442</v>
      </c>
      <c r="AD41" s="6" t="n">
        <v>614</v>
      </c>
      <c r="AE41" s="6" t="n">
        <v>2588.72583007813</v>
      </c>
      <c r="AF41" s="8" t="n">
        <v>651.725914477</v>
      </c>
      <c r="AG41" s="11" t="n">
        <v>-0.03252838018</v>
      </c>
      <c r="AH41" s="12" t="n">
        <v>1</v>
      </c>
      <c r="AI41" s="2" t="s">
        <v>317</v>
      </c>
      <c r="AJ41" s="2" t="s">
        <v>143</v>
      </c>
      <c r="AK41" s="2" t="s">
        <v>143</v>
      </c>
    </row>
    <row r="42" customFormat="false" ht="15" hidden="false" customHeight="false" outlineLevel="0" collapsed="false">
      <c r="A42" s="9" t="n">
        <v>41</v>
      </c>
      <c r="B42" s="2" t="s">
        <v>145</v>
      </c>
      <c r="C42" s="2" t="s">
        <v>146</v>
      </c>
      <c r="D42" s="2" t="s">
        <v>27</v>
      </c>
      <c r="E42" s="2" t="s">
        <v>28</v>
      </c>
      <c r="F42" s="2" t="s">
        <v>147</v>
      </c>
      <c r="G42" s="2" t="s">
        <v>315</v>
      </c>
      <c r="H42" s="8" t="n">
        <v>631.131136151715</v>
      </c>
      <c r="I42" s="2" t="s">
        <v>316</v>
      </c>
      <c r="J42" s="8" t="n">
        <v>1707626.66666667</v>
      </c>
      <c r="K42" s="6" t="n">
        <v>375</v>
      </c>
      <c r="L42" s="2"/>
      <c r="M42" s="10" t="b">
        <f aca="false">TRUE()</f>
        <v>1</v>
      </c>
      <c r="N42" s="9" t="n">
        <f aca="false">IF(H42="","",IF(H42&gt;=Assumptions!$B$5,1,IF(H42&gt;=Assumptions!$B$6,2,IF(H42&gt;=Assumptions!$B$7,3,""))))</f>
        <v>2</v>
      </c>
      <c r="O42" s="9" t="n">
        <f aca="false">IF(N42=1,Assumptions!$B$8,IF(N42=2,Assumptions!$B$9,IF(N42=3,Assumptions!$B$10,0)))</f>
        <v>2</v>
      </c>
      <c r="P42" s="6" t="s">
        <v>30</v>
      </c>
      <c r="Q42" s="6" t="s">
        <v>30</v>
      </c>
      <c r="R42" s="11" t="s">
        <v>30</v>
      </c>
      <c r="S42" s="6" t="s">
        <v>30</v>
      </c>
      <c r="T42" s="11" t="s">
        <v>30</v>
      </c>
      <c r="U42" s="6" t="s">
        <v>30</v>
      </c>
      <c r="V42" s="6" t="s">
        <v>30</v>
      </c>
      <c r="W42" s="6" t="s">
        <v>30</v>
      </c>
      <c r="X42" s="2" t="s">
        <v>30</v>
      </c>
      <c r="Y42" s="6" t="str">
        <f aca="false">IF(AND(X42="processed",ISNUMBER(S42)),S42*O42,"")</f>
        <v/>
      </c>
      <c r="Z42" s="6" t="n">
        <f aca="false">IF(ISNUMBER(K42),K42*O42,0)</f>
        <v>750</v>
      </c>
      <c r="AA42" s="2" t="s">
        <v>31</v>
      </c>
      <c r="AB42" s="6" t="n">
        <v>10868</v>
      </c>
      <c r="AC42" s="6" t="n">
        <v>9921</v>
      </c>
      <c r="AD42" s="6" t="n">
        <v>125</v>
      </c>
      <c r="AE42" s="6" t="n">
        <v>2672.91528320313</v>
      </c>
      <c r="AF42" s="8" t="n">
        <v>637.393767705</v>
      </c>
      <c r="AG42" s="11" t="n">
        <v>-0.004202851437</v>
      </c>
      <c r="AH42" s="12" t="n">
        <v>0.999999999999996</v>
      </c>
      <c r="AI42" s="2" t="s">
        <v>319</v>
      </c>
      <c r="AJ42" s="2"/>
      <c r="AK42" s="2" t="s">
        <v>146</v>
      </c>
    </row>
    <row r="43" customFormat="false" ht="15" hidden="false" customHeight="false" outlineLevel="0" collapsed="false">
      <c r="A43" s="9" t="n">
        <v>42</v>
      </c>
      <c r="B43" s="2" t="s">
        <v>148</v>
      </c>
      <c r="C43" s="2" t="s">
        <v>70</v>
      </c>
      <c r="D43" s="2" t="s">
        <v>70</v>
      </c>
      <c r="E43" s="2" t="s">
        <v>71</v>
      </c>
      <c r="F43" s="2" t="s">
        <v>149</v>
      </c>
      <c r="G43" s="2" t="s">
        <v>329</v>
      </c>
      <c r="H43" s="8" t="n">
        <v>870.919800222093</v>
      </c>
      <c r="I43" s="2" t="s">
        <v>316</v>
      </c>
      <c r="J43" s="8" t="n">
        <v>1959068.5483871</v>
      </c>
      <c r="K43" s="6" t="n">
        <v>248</v>
      </c>
      <c r="L43" s="2"/>
      <c r="M43" s="10" t="b">
        <f aca="false">TRUE()</f>
        <v>1</v>
      </c>
      <c r="N43" s="9" t="n">
        <f aca="false">IF(H43="","",IF(H43&gt;=Assumptions!$B$5,1,IF(H43&gt;=Assumptions!$B$6,2,IF(H43&gt;=Assumptions!$B$7,3,""))))</f>
        <v>1</v>
      </c>
      <c r="O43" s="9" t="n">
        <f aca="false">IF(N43=1,Assumptions!$B$8,IF(N43=2,Assumptions!$B$9,IF(N43=3,Assumptions!$B$10,0)))</f>
        <v>3</v>
      </c>
      <c r="P43" s="6" t="s">
        <v>30</v>
      </c>
      <c r="Q43" s="6" t="s">
        <v>30</v>
      </c>
      <c r="R43" s="11" t="s">
        <v>30</v>
      </c>
      <c r="S43" s="6" t="s">
        <v>30</v>
      </c>
      <c r="T43" s="11" t="s">
        <v>30</v>
      </c>
      <c r="U43" s="6" t="s">
        <v>30</v>
      </c>
      <c r="V43" s="6" t="s">
        <v>30</v>
      </c>
      <c r="W43" s="6" t="s">
        <v>30</v>
      </c>
      <c r="X43" s="2" t="s">
        <v>30</v>
      </c>
      <c r="Y43" s="6" t="str">
        <f aca="false">IF(AND(X43="processed",ISNUMBER(S43)),S43*O43,"")</f>
        <v/>
      </c>
      <c r="Z43" s="6" t="n">
        <f aca="false">IF(ISNUMBER(K43),K43*O43,0)</f>
        <v>744</v>
      </c>
      <c r="AA43" s="2" t="s">
        <v>31</v>
      </c>
      <c r="AB43" s="6" t="n">
        <v>9105</v>
      </c>
      <c r="AC43" s="6" t="n">
        <v>7217</v>
      </c>
      <c r="AD43" s="6" t="n">
        <v>200</v>
      </c>
      <c r="AE43" s="6" t="n">
        <v>1975.33508300781</v>
      </c>
      <c r="AF43" s="8" t="n">
        <v>861.18251928</v>
      </c>
      <c r="AG43" s="11" t="n">
        <v>-0.08215776582</v>
      </c>
      <c r="AH43" s="12" t="n">
        <v>0.999999999999999</v>
      </c>
      <c r="AI43" s="2" t="s">
        <v>317</v>
      </c>
      <c r="AJ43" s="2" t="s">
        <v>70</v>
      </c>
      <c r="AK43" s="2" t="s">
        <v>70</v>
      </c>
    </row>
    <row r="44" customFormat="false" ht="15" hidden="false" customHeight="false" outlineLevel="0" collapsed="false">
      <c r="A44" s="9" t="n">
        <v>43</v>
      </c>
      <c r="B44" s="2" t="s">
        <v>150</v>
      </c>
      <c r="C44" s="2" t="s">
        <v>151</v>
      </c>
      <c r="D44" s="2" t="s">
        <v>39</v>
      </c>
      <c r="E44" s="2" t="s">
        <v>40</v>
      </c>
      <c r="F44" s="2"/>
      <c r="G44" s="2" t="s">
        <v>320</v>
      </c>
      <c r="H44" s="8" t="n">
        <v>660.694664001186</v>
      </c>
      <c r="I44" s="2" t="s">
        <v>316</v>
      </c>
      <c r="J44" s="8" t="n">
        <v>1471168.01075269</v>
      </c>
      <c r="K44" s="6" t="n">
        <v>372</v>
      </c>
      <c r="L44" s="2"/>
      <c r="M44" s="10" t="b">
        <f aca="false">TRUE()</f>
        <v>1</v>
      </c>
      <c r="N44" s="9" t="n">
        <f aca="false">IF(H44="","",IF(H44&gt;=Assumptions!$B$5,1,IF(H44&gt;=Assumptions!$B$6,2,IF(H44&gt;=Assumptions!$B$7,3,""))))</f>
        <v>2</v>
      </c>
      <c r="O44" s="9" t="n">
        <f aca="false">IF(N44=1,Assumptions!$B$8,IF(N44=2,Assumptions!$B$9,IF(N44=3,Assumptions!$B$10,0)))</f>
        <v>2</v>
      </c>
      <c r="P44" s="6" t="s">
        <v>30</v>
      </c>
      <c r="Q44" s="6" t="s">
        <v>30</v>
      </c>
      <c r="R44" s="11" t="s">
        <v>30</v>
      </c>
      <c r="S44" s="6" t="s">
        <v>30</v>
      </c>
      <c r="T44" s="11" t="s">
        <v>30</v>
      </c>
      <c r="U44" s="6" t="s">
        <v>30</v>
      </c>
      <c r="V44" s="6" t="s">
        <v>30</v>
      </c>
      <c r="W44" s="6" t="s">
        <v>30</v>
      </c>
      <c r="X44" s="2" t="s">
        <v>30</v>
      </c>
      <c r="Y44" s="6" t="str">
        <f aca="false">IF(AND(X44="processed",ISNUMBER(S44)),S44*O44,"")</f>
        <v/>
      </c>
      <c r="Z44" s="6" t="n">
        <f aca="false">IF(ISNUMBER(K44),K44*O44,0)</f>
        <v>744</v>
      </c>
      <c r="AA44" s="2" t="s">
        <v>31</v>
      </c>
      <c r="AB44" s="6" t="n">
        <v>21407</v>
      </c>
      <c r="AC44" s="6" t="n">
        <v>17622</v>
      </c>
      <c r="AD44" s="6" t="n">
        <v>1801</v>
      </c>
      <c r="AE44" s="6" t="n">
        <v>2246.88256835938</v>
      </c>
      <c r="AF44" s="8" t="n">
        <v>673.076923077</v>
      </c>
      <c r="AG44" s="11" t="n">
        <v>0.004531722054</v>
      </c>
      <c r="AH44" s="12" t="n">
        <v>0.998250937822671</v>
      </c>
      <c r="AI44" s="2" t="s">
        <v>317</v>
      </c>
      <c r="AJ44" s="2" t="s">
        <v>151</v>
      </c>
      <c r="AK44" s="2" t="s">
        <v>38</v>
      </c>
    </row>
    <row r="45" customFormat="false" ht="15" hidden="false" customHeight="false" outlineLevel="0" collapsed="false">
      <c r="A45" s="9" t="n">
        <v>44</v>
      </c>
      <c r="B45" s="2" t="s">
        <v>152</v>
      </c>
      <c r="C45" s="2" t="s">
        <v>153</v>
      </c>
      <c r="D45" s="2" t="s">
        <v>70</v>
      </c>
      <c r="E45" s="2" t="s">
        <v>71</v>
      </c>
      <c r="F45" s="2" t="s">
        <v>154</v>
      </c>
      <c r="G45" s="2" t="s">
        <v>329</v>
      </c>
      <c r="H45" s="8" t="n">
        <v>1275.35413046081</v>
      </c>
      <c r="I45" s="2" t="s">
        <v>316</v>
      </c>
      <c r="J45" s="8" t="n">
        <v>5961425.10121458</v>
      </c>
      <c r="K45" s="6" t="n">
        <v>247</v>
      </c>
      <c r="L45" s="2"/>
      <c r="M45" s="10" t="b">
        <f aca="false">TRUE()</f>
        <v>1</v>
      </c>
      <c r="N45" s="9" t="n">
        <f aca="false">IF(H45="","",IF(H45&gt;=Assumptions!$B$5,1,IF(H45&gt;=Assumptions!$B$6,2,IF(H45&gt;=Assumptions!$B$7,3,""))))</f>
        <v>1</v>
      </c>
      <c r="O45" s="9" t="n">
        <f aca="false">IF(N45=1,Assumptions!$B$8,IF(N45=2,Assumptions!$B$9,IF(N45=3,Assumptions!$B$10,0)))</f>
        <v>3</v>
      </c>
      <c r="P45" s="6" t="s">
        <v>30</v>
      </c>
      <c r="Q45" s="6" t="s">
        <v>30</v>
      </c>
      <c r="R45" s="11" t="s">
        <v>30</v>
      </c>
      <c r="S45" s="6" t="s">
        <v>30</v>
      </c>
      <c r="T45" s="11" t="s">
        <v>30</v>
      </c>
      <c r="U45" s="6" t="s">
        <v>30</v>
      </c>
      <c r="V45" s="6" t="s">
        <v>30</v>
      </c>
      <c r="W45" s="6" t="s">
        <v>30</v>
      </c>
      <c r="X45" s="2" t="s">
        <v>30</v>
      </c>
      <c r="Y45" s="6" t="str">
        <f aca="false">IF(AND(X45="processed",ISNUMBER(S45)),S45*O45,"")</f>
        <v/>
      </c>
      <c r="Z45" s="6" t="n">
        <f aca="false">IF(ISNUMBER(K45),K45*O45,0)</f>
        <v>741</v>
      </c>
      <c r="AA45" s="2" t="s">
        <v>31</v>
      </c>
      <c r="AB45" s="6" t="n">
        <v>11017</v>
      </c>
      <c r="AC45" s="6" t="n">
        <v>7693</v>
      </c>
      <c r="AD45" s="6" t="n">
        <v>221</v>
      </c>
      <c r="AE45" s="6" t="n">
        <v>3102.20678710938</v>
      </c>
      <c r="AF45" s="8" t="n">
        <v>1447.921531994</v>
      </c>
      <c r="AG45" s="11" t="n">
        <v>0.02730749488</v>
      </c>
      <c r="AH45" s="12" t="n">
        <v>1</v>
      </c>
      <c r="AI45" s="2" t="s">
        <v>317</v>
      </c>
      <c r="AJ45" s="2" t="s">
        <v>153</v>
      </c>
      <c r="AK45" s="2" t="s">
        <v>70</v>
      </c>
    </row>
    <row r="46" customFormat="false" ht="15" hidden="false" customHeight="false" outlineLevel="0" collapsed="false">
      <c r="A46" s="9" t="n">
        <v>45</v>
      </c>
      <c r="B46" s="2" t="s">
        <v>155</v>
      </c>
      <c r="C46" s="2" t="s">
        <v>156</v>
      </c>
      <c r="D46" s="2" t="s">
        <v>27</v>
      </c>
      <c r="E46" s="2" t="s">
        <v>28</v>
      </c>
      <c r="F46" s="2" t="s">
        <v>157</v>
      </c>
      <c r="G46" s="2" t="s">
        <v>315</v>
      </c>
      <c r="H46" s="8" t="n">
        <v>888.081122211227</v>
      </c>
      <c r="I46" s="2" t="s">
        <v>316</v>
      </c>
      <c r="J46" s="8" t="n">
        <v>1588421.05263158</v>
      </c>
      <c r="K46" s="6" t="n">
        <v>247</v>
      </c>
      <c r="L46" s="2"/>
      <c r="M46" s="10" t="b">
        <f aca="false">TRUE()</f>
        <v>1</v>
      </c>
      <c r="N46" s="9" t="n">
        <f aca="false">IF(H46="","",IF(H46&gt;=Assumptions!$B$5,1,IF(H46&gt;=Assumptions!$B$6,2,IF(H46&gt;=Assumptions!$B$7,3,""))))</f>
        <v>1</v>
      </c>
      <c r="O46" s="9" t="n">
        <f aca="false">IF(N46=1,Assumptions!$B$8,IF(N46=2,Assumptions!$B$9,IF(N46=3,Assumptions!$B$10,0)))</f>
        <v>3</v>
      </c>
      <c r="P46" s="6" t="s">
        <v>30</v>
      </c>
      <c r="Q46" s="6" t="s">
        <v>30</v>
      </c>
      <c r="R46" s="11" t="s">
        <v>30</v>
      </c>
      <c r="S46" s="6" t="s">
        <v>30</v>
      </c>
      <c r="T46" s="11" t="s">
        <v>30</v>
      </c>
      <c r="U46" s="6" t="s">
        <v>30</v>
      </c>
      <c r="V46" s="6" t="s">
        <v>30</v>
      </c>
      <c r="W46" s="6" t="s">
        <v>30</v>
      </c>
      <c r="X46" s="2" t="s">
        <v>30</v>
      </c>
      <c r="Y46" s="6" t="str">
        <f aca="false">IF(AND(X46="processed",ISNUMBER(S46)),S46*O46,"")</f>
        <v/>
      </c>
      <c r="Z46" s="6" t="n">
        <f aca="false">IF(ISNUMBER(K46),K46*O46,0)</f>
        <v>741</v>
      </c>
      <c r="AA46" s="2" t="s">
        <v>31</v>
      </c>
      <c r="AB46" s="6" t="n">
        <v>12760</v>
      </c>
      <c r="AC46" s="6" t="n">
        <v>10960</v>
      </c>
      <c r="AD46" s="6" t="n">
        <v>311</v>
      </c>
      <c r="AE46" s="6" t="n">
        <v>2591.326171875</v>
      </c>
      <c r="AF46" s="8" t="n">
        <v>925.472358293</v>
      </c>
      <c r="AG46" s="11" t="n">
        <v>0.06636135322</v>
      </c>
      <c r="AH46" s="12" t="n">
        <v>1</v>
      </c>
      <c r="AI46" s="2" t="s">
        <v>317</v>
      </c>
      <c r="AJ46" s="2" t="s">
        <v>156</v>
      </c>
      <c r="AK46" s="2" t="s">
        <v>156</v>
      </c>
    </row>
    <row r="47" customFormat="false" ht="15" hidden="false" customHeight="false" outlineLevel="0" collapsed="false">
      <c r="A47" s="9" t="n">
        <v>46</v>
      </c>
      <c r="B47" s="2" t="s">
        <v>158</v>
      </c>
      <c r="C47" s="2" t="s">
        <v>159</v>
      </c>
      <c r="D47" s="2" t="s">
        <v>34</v>
      </c>
      <c r="E47" s="2" t="s">
        <v>35</v>
      </c>
      <c r="F47" s="2" t="s">
        <v>160</v>
      </c>
      <c r="G47" s="2" t="s">
        <v>318</v>
      </c>
      <c r="H47" s="8" t="n">
        <v>814.844833931352</v>
      </c>
      <c r="I47" s="2" t="s">
        <v>316</v>
      </c>
      <c r="J47" s="8" t="n">
        <v>1383502.0242915</v>
      </c>
      <c r="K47" s="6" t="n">
        <v>247</v>
      </c>
      <c r="L47" s="2"/>
      <c r="M47" s="10" t="b">
        <f aca="false">TRUE()</f>
        <v>1</v>
      </c>
      <c r="N47" s="9" t="n">
        <f aca="false">IF(H47="","",IF(H47&gt;=Assumptions!$B$5,1,IF(H47&gt;=Assumptions!$B$6,2,IF(H47&gt;=Assumptions!$B$7,3,""))))</f>
        <v>1</v>
      </c>
      <c r="O47" s="9" t="n">
        <f aca="false">IF(N47=1,Assumptions!$B$8,IF(N47=2,Assumptions!$B$9,IF(N47=3,Assumptions!$B$10,0)))</f>
        <v>3</v>
      </c>
      <c r="P47" s="6" t="s">
        <v>30</v>
      </c>
      <c r="Q47" s="6" t="s">
        <v>30</v>
      </c>
      <c r="R47" s="11" t="s">
        <v>30</v>
      </c>
      <c r="S47" s="6" t="s">
        <v>30</v>
      </c>
      <c r="T47" s="11" t="s">
        <v>30</v>
      </c>
      <c r="U47" s="6" t="s">
        <v>30</v>
      </c>
      <c r="V47" s="6" t="s">
        <v>30</v>
      </c>
      <c r="W47" s="6" t="s">
        <v>30</v>
      </c>
      <c r="X47" s="2" t="s">
        <v>30</v>
      </c>
      <c r="Y47" s="6" t="str">
        <f aca="false">IF(AND(X47="processed",ISNUMBER(S47)),S47*O47,"")</f>
        <v/>
      </c>
      <c r="Z47" s="6" t="n">
        <f aca="false">IF(ISNUMBER(K47),K47*O47,0)</f>
        <v>741</v>
      </c>
      <c r="AA47" s="2" t="s">
        <v>31</v>
      </c>
      <c r="AB47" s="6" t="n">
        <v>17260</v>
      </c>
      <c r="AC47" s="6" t="n">
        <v>16062</v>
      </c>
      <c r="AD47" s="6" t="n">
        <v>1028</v>
      </c>
      <c r="AE47" s="6" t="n">
        <v>2220.0244140625</v>
      </c>
      <c r="AF47" s="8" t="n">
        <v>799.798792757</v>
      </c>
      <c r="AG47" s="11" t="n">
        <v>-0.04831506212</v>
      </c>
      <c r="AH47" s="12" t="n">
        <v>1</v>
      </c>
      <c r="AI47" s="2" t="s">
        <v>319</v>
      </c>
      <c r="AJ47" s="2"/>
      <c r="AK47" s="2" t="s">
        <v>159</v>
      </c>
    </row>
    <row r="48" customFormat="false" ht="15" hidden="false" customHeight="false" outlineLevel="0" collapsed="false">
      <c r="A48" s="9" t="n">
        <v>47</v>
      </c>
      <c r="B48" s="2" t="s">
        <v>161</v>
      </c>
      <c r="C48" s="2" t="s">
        <v>162</v>
      </c>
      <c r="D48" s="2" t="s">
        <v>70</v>
      </c>
      <c r="E48" s="2" t="s">
        <v>71</v>
      </c>
      <c r="F48" s="2" t="s">
        <v>163</v>
      </c>
      <c r="G48" s="2" t="s">
        <v>329</v>
      </c>
      <c r="H48" s="8" t="n">
        <v>975.840297856683</v>
      </c>
      <c r="I48" s="2" t="s">
        <v>316</v>
      </c>
      <c r="J48" s="8" t="n">
        <v>2669432.92682927</v>
      </c>
      <c r="K48" s="6" t="n">
        <v>246</v>
      </c>
      <c r="L48" s="2"/>
      <c r="M48" s="10" t="b">
        <f aca="false">TRUE()</f>
        <v>1</v>
      </c>
      <c r="N48" s="9" t="n">
        <f aca="false">IF(H48="","",IF(H48&gt;=Assumptions!$B$5,1,IF(H48&gt;=Assumptions!$B$6,2,IF(H48&gt;=Assumptions!$B$7,3,""))))</f>
        <v>1</v>
      </c>
      <c r="O48" s="9" t="n">
        <f aca="false">IF(N48=1,Assumptions!$B$8,IF(N48=2,Assumptions!$B$9,IF(N48=3,Assumptions!$B$10,0)))</f>
        <v>3</v>
      </c>
      <c r="P48" s="6" t="s">
        <v>30</v>
      </c>
      <c r="Q48" s="6" t="s">
        <v>30</v>
      </c>
      <c r="R48" s="11" t="s">
        <v>30</v>
      </c>
      <c r="S48" s="6" t="s">
        <v>30</v>
      </c>
      <c r="T48" s="11" t="s">
        <v>30</v>
      </c>
      <c r="U48" s="6" t="s">
        <v>30</v>
      </c>
      <c r="V48" s="6" t="s">
        <v>30</v>
      </c>
      <c r="W48" s="6" t="s">
        <v>30</v>
      </c>
      <c r="X48" s="2" t="s">
        <v>30</v>
      </c>
      <c r="Y48" s="6" t="str">
        <f aca="false">IF(AND(X48="processed",ISNUMBER(S48)),S48*O48,"")</f>
        <v/>
      </c>
      <c r="Z48" s="6" t="n">
        <f aca="false">IF(ISNUMBER(K48),K48*O48,0)</f>
        <v>738</v>
      </c>
      <c r="AA48" s="2" t="s">
        <v>31</v>
      </c>
      <c r="AB48" s="6" t="n">
        <v>11717</v>
      </c>
      <c r="AC48" s="6" t="n">
        <v>9742</v>
      </c>
      <c r="AD48" s="6" t="n">
        <v>276</v>
      </c>
      <c r="AE48" s="6" t="n">
        <v>3011.55737304688</v>
      </c>
      <c r="AF48" s="8" t="n">
        <v>1009.992583302</v>
      </c>
      <c r="AG48" s="11" t="n">
        <v>-0.03425663366</v>
      </c>
      <c r="AH48" s="12" t="n">
        <v>0.911850968973753</v>
      </c>
      <c r="AI48" s="2" t="s">
        <v>317</v>
      </c>
      <c r="AJ48" s="2" t="s">
        <v>162</v>
      </c>
      <c r="AK48" s="2" t="s">
        <v>331</v>
      </c>
    </row>
    <row r="49" customFormat="false" ht="15" hidden="false" customHeight="false" outlineLevel="0" collapsed="false">
      <c r="A49" s="9" t="n">
        <v>48</v>
      </c>
      <c r="B49" s="2" t="s">
        <v>164</v>
      </c>
      <c r="C49" s="2" t="s">
        <v>165</v>
      </c>
      <c r="D49" s="2" t="s">
        <v>105</v>
      </c>
      <c r="E49" s="2" t="s">
        <v>51</v>
      </c>
      <c r="F49" s="2" t="s">
        <v>166</v>
      </c>
      <c r="G49" s="2" t="s">
        <v>318</v>
      </c>
      <c r="H49" s="8" t="n">
        <v>818.41089577139</v>
      </c>
      <c r="I49" s="2" t="s">
        <v>316</v>
      </c>
      <c r="J49" s="8" t="n">
        <v>1889532.5203252</v>
      </c>
      <c r="K49" s="6" t="n">
        <v>246</v>
      </c>
      <c r="L49" s="2"/>
      <c r="M49" s="10" t="b">
        <f aca="false">TRUE()</f>
        <v>1</v>
      </c>
      <c r="N49" s="9" t="n">
        <f aca="false">IF(H49="","",IF(H49&gt;=Assumptions!$B$5,1,IF(H49&gt;=Assumptions!$B$6,2,IF(H49&gt;=Assumptions!$B$7,3,""))))</f>
        <v>1</v>
      </c>
      <c r="O49" s="9" t="n">
        <f aca="false">IF(N49=1,Assumptions!$B$8,IF(N49=2,Assumptions!$B$9,IF(N49=3,Assumptions!$B$10,0)))</f>
        <v>3</v>
      </c>
      <c r="P49" s="6" t="s">
        <v>30</v>
      </c>
      <c r="Q49" s="6" t="s">
        <v>30</v>
      </c>
      <c r="R49" s="11" t="s">
        <v>30</v>
      </c>
      <c r="S49" s="6" t="s">
        <v>30</v>
      </c>
      <c r="T49" s="11" t="s">
        <v>30</v>
      </c>
      <c r="U49" s="6" t="s">
        <v>30</v>
      </c>
      <c r="V49" s="6" t="s">
        <v>30</v>
      </c>
      <c r="W49" s="6" t="s">
        <v>30</v>
      </c>
      <c r="X49" s="2" t="s">
        <v>30</v>
      </c>
      <c r="Y49" s="6" t="str">
        <f aca="false">IF(AND(X49="processed",ISNUMBER(S49)),S49*O49,"")</f>
        <v/>
      </c>
      <c r="Z49" s="6" t="n">
        <f aca="false">IF(ISNUMBER(K49),K49*O49,0)</f>
        <v>738</v>
      </c>
      <c r="AA49" s="2" t="s">
        <v>31</v>
      </c>
      <c r="AB49" s="6" t="n">
        <v>11629</v>
      </c>
      <c r="AC49" s="6" t="n">
        <v>10499</v>
      </c>
      <c r="AD49" s="6" t="n">
        <v>2931</v>
      </c>
      <c r="AE49" s="6" t="n">
        <v>2994.603515625</v>
      </c>
      <c r="AF49" s="8" t="n">
        <v>864.837695802</v>
      </c>
      <c r="AG49" s="11" t="n">
        <v>-0.01003685034</v>
      </c>
      <c r="AH49" s="12" t="n">
        <v>1</v>
      </c>
      <c r="AI49" s="2" t="s">
        <v>321</v>
      </c>
      <c r="AJ49" s="2" t="s">
        <v>165</v>
      </c>
      <c r="AK49" s="2" t="s">
        <v>165</v>
      </c>
    </row>
    <row r="50" customFormat="false" ht="15" hidden="false" customHeight="false" outlineLevel="0" collapsed="false">
      <c r="A50" s="9" t="n">
        <v>49</v>
      </c>
      <c r="B50" s="2" t="s">
        <v>167</v>
      </c>
      <c r="C50" s="2" t="s">
        <v>39</v>
      </c>
      <c r="D50" s="2" t="s">
        <v>39</v>
      </c>
      <c r="E50" s="2" t="s">
        <v>40</v>
      </c>
      <c r="F50" s="2"/>
      <c r="G50" s="2" t="s">
        <v>320</v>
      </c>
      <c r="H50" s="8" t="n">
        <v>1419.11151881465</v>
      </c>
      <c r="I50" s="2" t="s">
        <v>316</v>
      </c>
      <c r="J50" s="8" t="n">
        <v>2196512.19512195</v>
      </c>
      <c r="K50" s="6" t="n">
        <v>246</v>
      </c>
      <c r="L50" s="2"/>
      <c r="M50" s="10" t="b">
        <f aca="false">TRUE()</f>
        <v>1</v>
      </c>
      <c r="N50" s="9" t="n">
        <f aca="false">IF(H50="","",IF(H50&gt;=Assumptions!$B$5,1,IF(H50&gt;=Assumptions!$B$6,2,IF(H50&gt;=Assumptions!$B$7,3,""))))</f>
        <v>1</v>
      </c>
      <c r="O50" s="9" t="n">
        <f aca="false">IF(N50=1,Assumptions!$B$8,IF(N50=2,Assumptions!$B$9,IF(N50=3,Assumptions!$B$10,0)))</f>
        <v>3</v>
      </c>
      <c r="P50" s="6" t="s">
        <v>30</v>
      </c>
      <c r="Q50" s="6" t="s">
        <v>30</v>
      </c>
      <c r="R50" s="11" t="s">
        <v>30</v>
      </c>
      <c r="S50" s="6" t="s">
        <v>30</v>
      </c>
      <c r="T50" s="11" t="s">
        <v>30</v>
      </c>
      <c r="U50" s="6" t="s">
        <v>30</v>
      </c>
      <c r="V50" s="6" t="s">
        <v>30</v>
      </c>
      <c r="W50" s="6" t="s">
        <v>30</v>
      </c>
      <c r="X50" s="2" t="s">
        <v>30</v>
      </c>
      <c r="Y50" s="6" t="str">
        <f aca="false">IF(AND(X50="processed",ISNUMBER(S50)),S50*O50,"")</f>
        <v/>
      </c>
      <c r="Z50" s="6" t="n">
        <f aca="false">IF(ISNUMBER(K50),K50*O50,0)</f>
        <v>738</v>
      </c>
      <c r="AA50" s="2" t="s">
        <v>31</v>
      </c>
      <c r="AB50" s="6" t="n">
        <v>19521</v>
      </c>
      <c r="AC50" s="6" t="n">
        <v>13155</v>
      </c>
      <c r="AD50" s="6" t="n">
        <v>195</v>
      </c>
      <c r="AE50" s="6" t="n">
        <v>2309.81884765625</v>
      </c>
      <c r="AF50" s="8" t="n">
        <v>1492.227979275</v>
      </c>
      <c r="AG50" s="11" t="n">
        <v>0.01258327165</v>
      </c>
      <c r="AH50" s="12" t="n">
        <v>1</v>
      </c>
      <c r="AI50" s="2" t="s">
        <v>317</v>
      </c>
      <c r="AJ50" s="2" t="s">
        <v>39</v>
      </c>
      <c r="AK50" s="2" t="s">
        <v>39</v>
      </c>
    </row>
    <row r="51" customFormat="false" ht="15" hidden="false" customHeight="false" outlineLevel="0" collapsed="false">
      <c r="A51" s="9" t="n">
        <v>50</v>
      </c>
      <c r="B51" s="2" t="s">
        <v>168</v>
      </c>
      <c r="C51" s="2" t="s">
        <v>169</v>
      </c>
      <c r="D51" s="2" t="s">
        <v>62</v>
      </c>
      <c r="E51" s="2" t="s">
        <v>40</v>
      </c>
      <c r="F51" s="2" t="s">
        <v>170</v>
      </c>
      <c r="G51" s="2" t="s">
        <v>324</v>
      </c>
      <c r="H51" s="8" t="n">
        <v>1306.33444162572</v>
      </c>
      <c r="I51" s="2" t="s">
        <v>316</v>
      </c>
      <c r="J51" s="8" t="n">
        <v>2963163.26530612</v>
      </c>
      <c r="K51" s="6" t="n">
        <v>245</v>
      </c>
      <c r="L51" s="2"/>
      <c r="M51" s="10" t="b">
        <f aca="false">TRUE()</f>
        <v>1</v>
      </c>
      <c r="N51" s="9" t="n">
        <f aca="false">IF(H51="","",IF(H51&gt;=Assumptions!$B$5,1,IF(H51&gt;=Assumptions!$B$6,2,IF(H51&gt;=Assumptions!$B$7,3,""))))</f>
        <v>1</v>
      </c>
      <c r="O51" s="9" t="n">
        <f aca="false">IF(N51=1,Assumptions!$B$8,IF(N51=2,Assumptions!$B$9,IF(N51=3,Assumptions!$B$10,0)))</f>
        <v>3</v>
      </c>
      <c r="P51" s="6" t="s">
        <v>30</v>
      </c>
      <c r="Q51" s="6" t="s">
        <v>30</v>
      </c>
      <c r="R51" s="11" t="s">
        <v>30</v>
      </c>
      <c r="S51" s="6" t="s">
        <v>30</v>
      </c>
      <c r="T51" s="11" t="s">
        <v>30</v>
      </c>
      <c r="U51" s="6" t="s">
        <v>30</v>
      </c>
      <c r="V51" s="6" t="s">
        <v>30</v>
      </c>
      <c r="W51" s="6" t="s">
        <v>30</v>
      </c>
      <c r="X51" s="2" t="s">
        <v>30</v>
      </c>
      <c r="Y51" s="6" t="str">
        <f aca="false">IF(AND(X51="processed",ISNUMBER(S51)),S51*O51,"")</f>
        <v/>
      </c>
      <c r="Z51" s="6" t="n">
        <f aca="false">IF(ISNUMBER(K51),K51*O51,0)</f>
        <v>735</v>
      </c>
      <c r="AA51" s="2" t="s">
        <v>31</v>
      </c>
      <c r="AB51" s="6" t="n">
        <v>14614</v>
      </c>
      <c r="AC51" s="6" t="n">
        <v>11315</v>
      </c>
      <c r="AD51" s="6" t="n">
        <v>871</v>
      </c>
      <c r="AE51" s="6" t="n">
        <v>2126.4501953125</v>
      </c>
      <c r="AF51" s="8" t="n">
        <v>1442.544524441</v>
      </c>
      <c r="AG51" s="11" t="n">
        <v>0.1548158535</v>
      </c>
      <c r="AH51" s="12" t="n">
        <v>0.999970519079475</v>
      </c>
      <c r="AI51" s="2" t="s">
        <v>332</v>
      </c>
      <c r="AJ51" s="2" t="s">
        <v>333</v>
      </c>
      <c r="AK51" s="2" t="s">
        <v>334</v>
      </c>
    </row>
    <row r="52" customFormat="false" ht="15" hidden="false" customHeight="false" outlineLevel="0" collapsed="false">
      <c r="A52" s="9" t="n">
        <v>51</v>
      </c>
      <c r="B52" s="2" t="s">
        <v>171</v>
      </c>
      <c r="C52" s="2" t="s">
        <v>44</v>
      </c>
      <c r="D52" s="2" t="s">
        <v>44</v>
      </c>
      <c r="E52" s="2" t="s">
        <v>44</v>
      </c>
      <c r="F52" s="2" t="s">
        <v>172</v>
      </c>
      <c r="G52" s="2" t="s">
        <v>322</v>
      </c>
      <c r="H52" s="8" t="n">
        <v>717.536380903254</v>
      </c>
      <c r="I52" s="2" t="s">
        <v>316</v>
      </c>
      <c r="J52" s="8" t="n">
        <v>934370.901639344</v>
      </c>
      <c r="K52" s="6" t="n">
        <v>244</v>
      </c>
      <c r="L52" s="2"/>
      <c r="M52" s="10" t="b">
        <f aca="false">TRUE()</f>
        <v>1</v>
      </c>
      <c r="N52" s="9" t="n">
        <f aca="false">IF(H52="","",IF(H52&gt;=Assumptions!$B$5,1,IF(H52&gt;=Assumptions!$B$6,2,IF(H52&gt;=Assumptions!$B$7,3,""))))</f>
        <v>1</v>
      </c>
      <c r="O52" s="9" t="n">
        <f aca="false">IF(N52=1,Assumptions!$B$8,IF(N52=2,Assumptions!$B$9,IF(N52=3,Assumptions!$B$10,0)))</f>
        <v>3</v>
      </c>
      <c r="P52" s="6" t="s">
        <v>30</v>
      </c>
      <c r="Q52" s="6" t="s">
        <v>30</v>
      </c>
      <c r="R52" s="11" t="s">
        <v>30</v>
      </c>
      <c r="S52" s="6" t="s">
        <v>30</v>
      </c>
      <c r="T52" s="11" t="s">
        <v>30</v>
      </c>
      <c r="U52" s="6" t="s">
        <v>30</v>
      </c>
      <c r="V52" s="6" t="s">
        <v>30</v>
      </c>
      <c r="W52" s="6" t="s">
        <v>30</v>
      </c>
      <c r="X52" s="2" t="s">
        <v>30</v>
      </c>
      <c r="Y52" s="6" t="str">
        <f aca="false">IF(AND(X52="processed",ISNUMBER(S52)),S52*O52,"")</f>
        <v/>
      </c>
      <c r="Z52" s="6" t="n">
        <f aca="false">IF(ISNUMBER(K52),K52*O52,0)</f>
        <v>732</v>
      </c>
      <c r="AA52" s="2" t="s">
        <v>31</v>
      </c>
      <c r="AB52" s="6" t="n">
        <v>14920</v>
      </c>
      <c r="AC52" s="6" t="n">
        <v>11992</v>
      </c>
      <c r="AD52" s="6" t="n">
        <v>6219</v>
      </c>
      <c r="AE52" s="6" t="n">
        <v>1949.55029296875</v>
      </c>
      <c r="AF52" s="8" t="n">
        <v>778.660718181</v>
      </c>
      <c r="AG52" s="11" t="n">
        <v>0.01404533474</v>
      </c>
      <c r="AH52" s="12" t="n">
        <v>1</v>
      </c>
      <c r="AI52" s="2" t="s">
        <v>317</v>
      </c>
      <c r="AJ52" s="2" t="s">
        <v>44</v>
      </c>
      <c r="AK52" s="2" t="s">
        <v>44</v>
      </c>
    </row>
    <row r="53" customFormat="false" ht="15" hidden="false" customHeight="false" outlineLevel="0" collapsed="false">
      <c r="A53" s="9" t="n">
        <v>52</v>
      </c>
      <c r="B53" s="2" t="s">
        <v>173</v>
      </c>
      <c r="C53" s="2" t="s">
        <v>174</v>
      </c>
      <c r="D53" s="2" t="s">
        <v>62</v>
      </c>
      <c r="E53" s="2" t="s">
        <v>40</v>
      </c>
      <c r="F53" s="2" t="s">
        <v>175</v>
      </c>
      <c r="G53" s="2" t="s">
        <v>324</v>
      </c>
      <c r="H53" s="8" t="n">
        <v>867.362277650389</v>
      </c>
      <c r="I53" s="2" t="s">
        <v>316</v>
      </c>
      <c r="J53" s="8" t="n">
        <v>1319405.73770492</v>
      </c>
      <c r="K53" s="6" t="n">
        <v>244</v>
      </c>
      <c r="L53" s="2"/>
      <c r="M53" s="10" t="b">
        <f aca="false">TRUE()</f>
        <v>1</v>
      </c>
      <c r="N53" s="9" t="n">
        <f aca="false">IF(H53="","",IF(H53&gt;=Assumptions!$B$5,1,IF(H53&gt;=Assumptions!$B$6,2,IF(H53&gt;=Assumptions!$B$7,3,""))))</f>
        <v>1</v>
      </c>
      <c r="O53" s="9" t="n">
        <f aca="false">IF(N53=1,Assumptions!$B$8,IF(N53=2,Assumptions!$B$9,IF(N53=3,Assumptions!$B$10,0)))</f>
        <v>3</v>
      </c>
      <c r="P53" s="6" t="s">
        <v>30</v>
      </c>
      <c r="Q53" s="6" t="s">
        <v>30</v>
      </c>
      <c r="R53" s="11" t="s">
        <v>30</v>
      </c>
      <c r="S53" s="6" t="s">
        <v>30</v>
      </c>
      <c r="T53" s="11" t="s">
        <v>30</v>
      </c>
      <c r="U53" s="6" t="s">
        <v>30</v>
      </c>
      <c r="V53" s="6" t="s">
        <v>30</v>
      </c>
      <c r="W53" s="6" t="s">
        <v>30</v>
      </c>
      <c r="X53" s="2" t="s">
        <v>30</v>
      </c>
      <c r="Y53" s="6" t="str">
        <f aca="false">IF(AND(X53="processed",ISNUMBER(S53)),S53*O53,"")</f>
        <v/>
      </c>
      <c r="Z53" s="6" t="n">
        <f aca="false">IF(ISNUMBER(K53),K53*O53,0)</f>
        <v>732</v>
      </c>
      <c r="AA53" s="2" t="s">
        <v>31</v>
      </c>
      <c r="AB53" s="6" t="n">
        <v>12914</v>
      </c>
      <c r="AC53" s="6" t="n">
        <v>12069</v>
      </c>
      <c r="AD53" s="6" t="n">
        <v>444</v>
      </c>
      <c r="AE53" s="6" t="n">
        <v>1760.64270019531</v>
      </c>
      <c r="AF53" s="8" t="n">
        <v>884.094642573</v>
      </c>
      <c r="AG53" s="11" t="n">
        <v>-0.03002187786</v>
      </c>
      <c r="AH53" s="12" t="n">
        <v>0.996612885880522</v>
      </c>
      <c r="AI53" s="2" t="s">
        <v>317</v>
      </c>
      <c r="AJ53" s="2" t="s">
        <v>174</v>
      </c>
      <c r="AK53" s="2" t="s">
        <v>174</v>
      </c>
    </row>
    <row r="54" customFormat="false" ht="15" hidden="false" customHeight="false" outlineLevel="0" collapsed="false">
      <c r="A54" s="9" t="n">
        <v>53</v>
      </c>
      <c r="B54" s="2" t="s">
        <v>176</v>
      </c>
      <c r="C54" s="2" t="s">
        <v>81</v>
      </c>
      <c r="D54" s="2" t="s">
        <v>34</v>
      </c>
      <c r="E54" s="2" t="s">
        <v>35</v>
      </c>
      <c r="F54" s="2" t="s">
        <v>177</v>
      </c>
      <c r="G54" s="2" t="s">
        <v>318</v>
      </c>
      <c r="H54" s="8" t="n">
        <v>1193.96970223441</v>
      </c>
      <c r="I54" s="2" t="s">
        <v>316</v>
      </c>
      <c r="J54" s="8" t="n">
        <v>2395041.66666667</v>
      </c>
      <c r="K54" s="6" t="n">
        <v>240</v>
      </c>
      <c r="L54" s="2"/>
      <c r="M54" s="10" t="b">
        <f aca="false">TRUE()</f>
        <v>1</v>
      </c>
      <c r="N54" s="9" t="n">
        <f aca="false">IF(H54="","",IF(H54&gt;=Assumptions!$B$5,1,IF(H54&gt;=Assumptions!$B$6,2,IF(H54&gt;=Assumptions!$B$7,3,""))))</f>
        <v>1</v>
      </c>
      <c r="O54" s="9" t="n">
        <f aca="false">IF(N54=1,Assumptions!$B$8,IF(N54=2,Assumptions!$B$9,IF(N54=3,Assumptions!$B$10,0)))</f>
        <v>3</v>
      </c>
      <c r="P54" s="6" t="s">
        <v>30</v>
      </c>
      <c r="Q54" s="6" t="s">
        <v>30</v>
      </c>
      <c r="R54" s="11" t="s">
        <v>30</v>
      </c>
      <c r="S54" s="6" t="s">
        <v>30</v>
      </c>
      <c r="T54" s="11" t="s">
        <v>30</v>
      </c>
      <c r="U54" s="6" t="s">
        <v>30</v>
      </c>
      <c r="V54" s="6" t="s">
        <v>30</v>
      </c>
      <c r="W54" s="6" t="s">
        <v>30</v>
      </c>
      <c r="X54" s="2" t="s">
        <v>30</v>
      </c>
      <c r="Y54" s="6" t="str">
        <f aca="false">IF(AND(X54="processed",ISNUMBER(S54)),S54*O54,"")</f>
        <v/>
      </c>
      <c r="Z54" s="6" t="n">
        <f aca="false">IF(ISNUMBER(K54),K54*O54,0)</f>
        <v>720</v>
      </c>
      <c r="AA54" s="2" t="s">
        <v>31</v>
      </c>
      <c r="AB54" s="6" t="n">
        <v>17817</v>
      </c>
      <c r="AC54" s="6" t="n">
        <v>15332</v>
      </c>
      <c r="AD54" s="6" t="n">
        <v>199</v>
      </c>
      <c r="AE54" s="6" t="n">
        <v>2582.27880859375</v>
      </c>
      <c r="AF54" s="8" t="n">
        <v>1226.762360447</v>
      </c>
      <c r="AG54" s="11" t="n">
        <v>0.01292198396</v>
      </c>
      <c r="AH54" s="12" t="n">
        <v>0.99960689138989</v>
      </c>
      <c r="AI54" s="2" t="s">
        <v>319</v>
      </c>
      <c r="AJ54" s="2"/>
      <c r="AK54" s="2" t="s">
        <v>81</v>
      </c>
    </row>
    <row r="55" customFormat="false" ht="15" hidden="false" customHeight="false" outlineLevel="0" collapsed="false">
      <c r="A55" s="9" t="n">
        <v>54</v>
      </c>
      <c r="B55" s="2" t="s">
        <v>178</v>
      </c>
      <c r="C55" s="2" t="s">
        <v>179</v>
      </c>
      <c r="D55" s="2" t="s">
        <v>27</v>
      </c>
      <c r="E55" s="2" t="s">
        <v>28</v>
      </c>
      <c r="F55" s="2" t="s">
        <v>180</v>
      </c>
      <c r="G55" s="2" t="s">
        <v>315</v>
      </c>
      <c r="H55" s="8" t="n">
        <v>725.470327589477</v>
      </c>
      <c r="I55" s="2" t="s">
        <v>316</v>
      </c>
      <c r="J55" s="8" t="n">
        <v>1875146.44351464</v>
      </c>
      <c r="K55" s="6" t="n">
        <v>239</v>
      </c>
      <c r="L55" s="2"/>
      <c r="M55" s="10" t="b">
        <f aca="false">TRUE()</f>
        <v>1</v>
      </c>
      <c r="N55" s="9" t="n">
        <f aca="false">IF(H55="","",IF(H55&gt;=Assumptions!$B$5,1,IF(H55&gt;=Assumptions!$B$6,2,IF(H55&gt;=Assumptions!$B$7,3,""))))</f>
        <v>1</v>
      </c>
      <c r="O55" s="9" t="n">
        <f aca="false">IF(N55=1,Assumptions!$B$8,IF(N55=2,Assumptions!$B$9,IF(N55=3,Assumptions!$B$10,0)))</f>
        <v>3</v>
      </c>
      <c r="P55" s="6" t="s">
        <v>30</v>
      </c>
      <c r="Q55" s="6" t="s">
        <v>30</v>
      </c>
      <c r="R55" s="11" t="s">
        <v>30</v>
      </c>
      <c r="S55" s="6" t="s">
        <v>30</v>
      </c>
      <c r="T55" s="11" t="s">
        <v>30</v>
      </c>
      <c r="U55" s="6" t="s">
        <v>30</v>
      </c>
      <c r="V55" s="6" t="s">
        <v>30</v>
      </c>
      <c r="W55" s="6" t="s">
        <v>30</v>
      </c>
      <c r="X55" s="2" t="s">
        <v>30</v>
      </c>
      <c r="Y55" s="6" t="str">
        <f aca="false">IF(AND(X55="processed",ISNUMBER(S55)),S55*O55,"")</f>
        <v/>
      </c>
      <c r="Z55" s="6" t="n">
        <f aca="false">IF(ISNUMBER(K55),K55*O55,0)</f>
        <v>717</v>
      </c>
      <c r="AA55" s="2" t="s">
        <v>31</v>
      </c>
      <c r="AB55" s="6" t="n">
        <v>13569</v>
      </c>
      <c r="AC55" s="6" t="n">
        <v>11994</v>
      </c>
      <c r="AD55" s="6" t="n">
        <v>724</v>
      </c>
      <c r="AE55" s="6" t="n">
        <v>2479.80419921875</v>
      </c>
      <c r="AF55" s="8" t="n">
        <v>748.933767055</v>
      </c>
      <c r="AG55" s="11" t="n">
        <v>0.0902345499</v>
      </c>
      <c r="AH55" s="12" t="n">
        <v>0.999704382641702</v>
      </c>
      <c r="AI55" s="2" t="s">
        <v>335</v>
      </c>
      <c r="AJ55" s="2" t="s">
        <v>179</v>
      </c>
      <c r="AK55" s="2" t="s">
        <v>179</v>
      </c>
    </row>
    <row r="56" customFormat="false" ht="15" hidden="false" customHeight="false" outlineLevel="0" collapsed="false">
      <c r="A56" s="9" t="n">
        <v>55</v>
      </c>
      <c r="B56" s="2" t="s">
        <v>181</v>
      </c>
      <c r="C56" s="2" t="s">
        <v>70</v>
      </c>
      <c r="D56" s="2" t="s">
        <v>70</v>
      </c>
      <c r="E56" s="2" t="s">
        <v>71</v>
      </c>
      <c r="F56" s="2" t="s">
        <v>182</v>
      </c>
      <c r="G56" s="2" t="s">
        <v>329</v>
      </c>
      <c r="H56" s="8" t="n">
        <v>963.51313777192</v>
      </c>
      <c r="I56" s="2" t="s">
        <v>316</v>
      </c>
      <c r="J56" s="8" t="n">
        <v>2237252.10084034</v>
      </c>
      <c r="K56" s="6" t="n">
        <v>238</v>
      </c>
      <c r="L56" s="2"/>
      <c r="M56" s="10" t="b">
        <f aca="false">TRUE()</f>
        <v>1</v>
      </c>
      <c r="N56" s="9" t="n">
        <f aca="false">IF(H56="","",IF(H56&gt;=Assumptions!$B$5,1,IF(H56&gt;=Assumptions!$B$6,2,IF(H56&gt;=Assumptions!$B$7,3,""))))</f>
        <v>1</v>
      </c>
      <c r="O56" s="9" t="n">
        <f aca="false">IF(N56=1,Assumptions!$B$8,IF(N56=2,Assumptions!$B$9,IF(N56=3,Assumptions!$B$10,0)))</f>
        <v>3</v>
      </c>
      <c r="P56" s="6" t="s">
        <v>30</v>
      </c>
      <c r="Q56" s="6" t="s">
        <v>30</v>
      </c>
      <c r="R56" s="11" t="s">
        <v>30</v>
      </c>
      <c r="S56" s="6" t="s">
        <v>30</v>
      </c>
      <c r="T56" s="11" t="s">
        <v>30</v>
      </c>
      <c r="U56" s="6" t="s">
        <v>30</v>
      </c>
      <c r="V56" s="6" t="s">
        <v>30</v>
      </c>
      <c r="W56" s="6" t="s">
        <v>30</v>
      </c>
      <c r="X56" s="2" t="s">
        <v>30</v>
      </c>
      <c r="Y56" s="6" t="str">
        <f aca="false">IF(AND(X56="processed",ISNUMBER(S56)),S56*O56,"")</f>
        <v/>
      </c>
      <c r="Z56" s="6" t="n">
        <f aca="false">IF(ISNUMBER(K56),K56*O56,0)</f>
        <v>714</v>
      </c>
      <c r="AA56" s="2" t="s">
        <v>31</v>
      </c>
      <c r="AB56" s="6" t="n">
        <v>12619</v>
      </c>
      <c r="AC56" s="6" t="n">
        <v>9295</v>
      </c>
      <c r="AD56" s="6" t="n">
        <v>214</v>
      </c>
      <c r="AE56" s="6" t="n">
        <v>2061.49047851563</v>
      </c>
      <c r="AF56" s="8" t="n">
        <v>911.346717798</v>
      </c>
      <c r="AG56" s="11" t="n">
        <v>-0.07898566032</v>
      </c>
      <c r="AH56" s="12" t="n">
        <v>1</v>
      </c>
      <c r="AI56" s="2" t="s">
        <v>317</v>
      </c>
      <c r="AJ56" s="2" t="s">
        <v>70</v>
      </c>
      <c r="AK56" s="2" t="s">
        <v>70</v>
      </c>
    </row>
    <row r="57" customFormat="false" ht="15" hidden="false" customHeight="false" outlineLevel="0" collapsed="false">
      <c r="A57" s="9" t="n">
        <v>56</v>
      </c>
      <c r="B57" s="2" t="s">
        <v>183</v>
      </c>
      <c r="C57" s="2" t="s">
        <v>184</v>
      </c>
      <c r="D57" s="2" t="s">
        <v>27</v>
      </c>
      <c r="E57" s="2" t="s">
        <v>28</v>
      </c>
      <c r="F57" s="2" t="s">
        <v>185</v>
      </c>
      <c r="G57" s="2" t="s">
        <v>322</v>
      </c>
      <c r="H57" s="8" t="n">
        <v>999.241948990563</v>
      </c>
      <c r="I57" s="2" t="s">
        <v>316</v>
      </c>
      <c r="J57" s="8" t="n">
        <v>1906691.17647059</v>
      </c>
      <c r="K57" s="6" t="n">
        <v>238</v>
      </c>
      <c r="L57" s="2"/>
      <c r="M57" s="10" t="b">
        <f aca="false">TRUE()</f>
        <v>1</v>
      </c>
      <c r="N57" s="9" t="n">
        <f aca="false">IF(H57="","",IF(H57&gt;=Assumptions!$B$5,1,IF(H57&gt;=Assumptions!$B$6,2,IF(H57&gt;=Assumptions!$B$7,3,""))))</f>
        <v>1</v>
      </c>
      <c r="O57" s="9" t="n">
        <f aca="false">IF(N57=1,Assumptions!$B$8,IF(N57=2,Assumptions!$B$9,IF(N57=3,Assumptions!$B$10,0)))</f>
        <v>3</v>
      </c>
      <c r="P57" s="6" t="s">
        <v>30</v>
      </c>
      <c r="Q57" s="6" t="s">
        <v>30</v>
      </c>
      <c r="R57" s="11" t="s">
        <v>30</v>
      </c>
      <c r="S57" s="6" t="s">
        <v>30</v>
      </c>
      <c r="T57" s="11" t="s">
        <v>30</v>
      </c>
      <c r="U57" s="6" t="s">
        <v>30</v>
      </c>
      <c r="V57" s="6" t="s">
        <v>30</v>
      </c>
      <c r="W57" s="6" t="s">
        <v>30</v>
      </c>
      <c r="X57" s="2" t="s">
        <v>30</v>
      </c>
      <c r="Y57" s="6" t="str">
        <f aca="false">IF(AND(X57="processed",ISNUMBER(S57)),S57*O57,"")</f>
        <v/>
      </c>
      <c r="Z57" s="6" t="n">
        <f aca="false">IF(ISNUMBER(K57),K57*O57,0)</f>
        <v>714</v>
      </c>
      <c r="AA57" s="2" t="s">
        <v>31</v>
      </c>
      <c r="AB57" s="6" t="n">
        <v>11968</v>
      </c>
      <c r="AC57" s="6" t="n">
        <v>10576</v>
      </c>
      <c r="AD57" s="6" t="n">
        <v>210</v>
      </c>
      <c r="AE57" s="6" t="n">
        <v>2338.5576171875</v>
      </c>
      <c r="AF57" s="8" t="n">
        <v>1032.937572943</v>
      </c>
      <c r="AG57" s="11" t="n">
        <v>0.03774404111</v>
      </c>
      <c r="AH57" s="12" t="n">
        <v>0.92221339909415</v>
      </c>
      <c r="AI57" s="2" t="s">
        <v>317</v>
      </c>
      <c r="AJ57" s="2" t="s">
        <v>184</v>
      </c>
      <c r="AK57" s="2" t="s">
        <v>184</v>
      </c>
    </row>
    <row r="58" customFormat="false" ht="15" hidden="false" customHeight="false" outlineLevel="0" collapsed="false">
      <c r="A58" s="9" t="n">
        <v>57</v>
      </c>
      <c r="B58" s="2" t="s">
        <v>186</v>
      </c>
      <c r="C58" s="2" t="s">
        <v>187</v>
      </c>
      <c r="D58" s="2" t="s">
        <v>95</v>
      </c>
      <c r="E58" s="2" t="s">
        <v>95</v>
      </c>
      <c r="F58" s="2" t="s">
        <v>188</v>
      </c>
      <c r="G58" s="2" t="s">
        <v>330</v>
      </c>
      <c r="H58" s="8" t="n">
        <v>757.76376940679</v>
      </c>
      <c r="I58" s="2" t="s">
        <v>316</v>
      </c>
      <c r="J58" s="8" t="n">
        <v>1526617.64705882</v>
      </c>
      <c r="K58" s="6" t="n">
        <v>238</v>
      </c>
      <c r="L58" s="2"/>
      <c r="M58" s="10" t="b">
        <f aca="false">TRUE()</f>
        <v>1</v>
      </c>
      <c r="N58" s="9" t="n">
        <f aca="false">IF(H58="","",IF(H58&gt;=Assumptions!$B$5,1,IF(H58&gt;=Assumptions!$B$6,2,IF(H58&gt;=Assumptions!$B$7,3,""))))</f>
        <v>1</v>
      </c>
      <c r="O58" s="9" t="n">
        <f aca="false">IF(N58=1,Assumptions!$B$8,IF(N58=2,Assumptions!$B$9,IF(N58=3,Assumptions!$B$10,0)))</f>
        <v>3</v>
      </c>
      <c r="P58" s="6" t="s">
        <v>30</v>
      </c>
      <c r="Q58" s="6" t="s">
        <v>30</v>
      </c>
      <c r="R58" s="11" t="s">
        <v>30</v>
      </c>
      <c r="S58" s="6" t="s">
        <v>30</v>
      </c>
      <c r="T58" s="11" t="s">
        <v>30</v>
      </c>
      <c r="U58" s="6" t="s">
        <v>30</v>
      </c>
      <c r="V58" s="6" t="s">
        <v>30</v>
      </c>
      <c r="W58" s="6" t="s">
        <v>30</v>
      </c>
      <c r="X58" s="2" t="s">
        <v>30</v>
      </c>
      <c r="Y58" s="6" t="str">
        <f aca="false">IF(AND(X58="processed",ISNUMBER(S58)),S58*O58,"")</f>
        <v/>
      </c>
      <c r="Z58" s="6" t="n">
        <f aca="false">IF(ISNUMBER(K58),K58*O58,0)</f>
        <v>714</v>
      </c>
      <c r="AA58" s="2" t="s">
        <v>31</v>
      </c>
      <c r="AB58" s="6" t="n">
        <v>13900</v>
      </c>
      <c r="AC58" s="6" t="n">
        <v>10452</v>
      </c>
      <c r="AD58" s="6" t="n">
        <v>309</v>
      </c>
      <c r="AE58" s="6" t="n">
        <v>2209.15600585938</v>
      </c>
      <c r="AF58" s="8" t="n">
        <v>777.896618414</v>
      </c>
      <c r="AG58" s="11" t="n">
        <v>-0.04451948145</v>
      </c>
      <c r="AH58" s="12" t="n">
        <v>0.753910388302595</v>
      </c>
      <c r="AI58" s="2" t="s">
        <v>317</v>
      </c>
      <c r="AJ58" s="2" t="s">
        <v>187</v>
      </c>
      <c r="AK58" s="2" t="s">
        <v>187</v>
      </c>
    </row>
    <row r="59" customFormat="false" ht="15" hidden="false" customHeight="false" outlineLevel="0" collapsed="false">
      <c r="A59" s="9" t="n">
        <v>58</v>
      </c>
      <c r="B59" s="2" t="s">
        <v>189</v>
      </c>
      <c r="C59" s="2" t="s">
        <v>190</v>
      </c>
      <c r="D59" s="2" t="s">
        <v>190</v>
      </c>
      <c r="E59" s="2" t="s">
        <v>51</v>
      </c>
      <c r="F59" s="2"/>
      <c r="G59" s="2" t="s">
        <v>336</v>
      </c>
      <c r="H59" s="8" t="n">
        <v>644.474982653104</v>
      </c>
      <c r="I59" s="2" t="s">
        <v>316</v>
      </c>
      <c r="J59" s="8" t="n">
        <v>1110382.02247191</v>
      </c>
      <c r="K59" s="6" t="n">
        <v>356</v>
      </c>
      <c r="L59" s="2"/>
      <c r="M59" s="10" t="b">
        <f aca="false">TRUE()</f>
        <v>1</v>
      </c>
      <c r="N59" s="9" t="n">
        <f aca="false">IF(H59="","",IF(H59&gt;=Assumptions!$B$5,1,IF(H59&gt;=Assumptions!$B$6,2,IF(H59&gt;=Assumptions!$B$7,3,""))))</f>
        <v>2</v>
      </c>
      <c r="O59" s="9" t="n">
        <f aca="false">IF(N59=1,Assumptions!$B$8,IF(N59=2,Assumptions!$B$9,IF(N59=3,Assumptions!$B$10,0)))</f>
        <v>2</v>
      </c>
      <c r="P59" s="6" t="s">
        <v>30</v>
      </c>
      <c r="Q59" s="6" t="s">
        <v>30</v>
      </c>
      <c r="R59" s="11" t="s">
        <v>30</v>
      </c>
      <c r="S59" s="6" t="s">
        <v>30</v>
      </c>
      <c r="T59" s="11" t="s">
        <v>30</v>
      </c>
      <c r="U59" s="6" t="s">
        <v>30</v>
      </c>
      <c r="V59" s="6" t="s">
        <v>30</v>
      </c>
      <c r="W59" s="6" t="s">
        <v>30</v>
      </c>
      <c r="X59" s="2" t="s">
        <v>30</v>
      </c>
      <c r="Y59" s="6" t="str">
        <f aca="false">IF(AND(X59="processed",ISNUMBER(S59)),S59*O59,"")</f>
        <v/>
      </c>
      <c r="Z59" s="6" t="n">
        <f aca="false">IF(ISNUMBER(K59),K59*O59,0)</f>
        <v>712</v>
      </c>
      <c r="AA59" s="2" t="s">
        <v>31</v>
      </c>
      <c r="AB59" s="6" t="n">
        <v>24739</v>
      </c>
      <c r="AC59" s="6" t="n">
        <v>18252</v>
      </c>
      <c r="AD59" s="6" t="n">
        <v>954</v>
      </c>
      <c r="AE59" s="6" t="n">
        <v>1991.65600585938</v>
      </c>
      <c r="AF59" s="8" t="n">
        <v>686.314900972</v>
      </c>
      <c r="AG59" s="11" t="n">
        <v>0.03404778413</v>
      </c>
      <c r="AH59" s="12" t="n">
        <v>0.998339914027468</v>
      </c>
      <c r="AI59" s="2" t="s">
        <v>317</v>
      </c>
      <c r="AJ59" s="2" t="s">
        <v>190</v>
      </c>
      <c r="AK59" s="2" t="s">
        <v>190</v>
      </c>
    </row>
    <row r="60" customFormat="false" ht="15" hidden="false" customHeight="false" outlineLevel="0" collapsed="false">
      <c r="A60" s="9" t="n">
        <v>59</v>
      </c>
      <c r="B60" s="2" t="s">
        <v>191</v>
      </c>
      <c r="C60" s="2" t="s">
        <v>70</v>
      </c>
      <c r="D60" s="2" t="s">
        <v>70</v>
      </c>
      <c r="E60" s="2" t="s">
        <v>71</v>
      </c>
      <c r="F60" s="2" t="s">
        <v>192</v>
      </c>
      <c r="G60" s="2" t="s">
        <v>329</v>
      </c>
      <c r="H60" s="8" t="n">
        <v>952.251217796477</v>
      </c>
      <c r="I60" s="2" t="s">
        <v>316</v>
      </c>
      <c r="J60" s="8" t="n">
        <v>1706886.07594937</v>
      </c>
      <c r="K60" s="6" t="n">
        <v>237</v>
      </c>
      <c r="L60" s="2"/>
      <c r="M60" s="10" t="b">
        <f aca="false">TRUE()</f>
        <v>1</v>
      </c>
      <c r="N60" s="9" t="n">
        <f aca="false">IF(H60="","",IF(H60&gt;=Assumptions!$B$5,1,IF(H60&gt;=Assumptions!$B$6,2,IF(H60&gt;=Assumptions!$B$7,3,""))))</f>
        <v>1</v>
      </c>
      <c r="O60" s="9" t="n">
        <f aca="false">IF(N60=1,Assumptions!$B$8,IF(N60=2,Assumptions!$B$9,IF(N60=3,Assumptions!$B$10,0)))</f>
        <v>3</v>
      </c>
      <c r="P60" s="6" t="s">
        <v>30</v>
      </c>
      <c r="Q60" s="6" t="s">
        <v>30</v>
      </c>
      <c r="R60" s="11" t="s">
        <v>30</v>
      </c>
      <c r="S60" s="6" t="s">
        <v>30</v>
      </c>
      <c r="T60" s="11" t="s">
        <v>30</v>
      </c>
      <c r="U60" s="6" t="s">
        <v>30</v>
      </c>
      <c r="V60" s="6" t="s">
        <v>30</v>
      </c>
      <c r="W60" s="6" t="s">
        <v>30</v>
      </c>
      <c r="X60" s="2" t="s">
        <v>30</v>
      </c>
      <c r="Y60" s="6" t="str">
        <f aca="false">IF(AND(X60="processed",ISNUMBER(S60)),S60*O60,"")</f>
        <v/>
      </c>
      <c r="Z60" s="6" t="n">
        <f aca="false">IF(ISNUMBER(K60),K60*O60,0)</f>
        <v>711</v>
      </c>
      <c r="AA60" s="2" t="s">
        <v>31</v>
      </c>
      <c r="AB60" s="6" t="n">
        <v>18153</v>
      </c>
      <c r="AC60" s="6" t="n">
        <v>11824</v>
      </c>
      <c r="AD60" s="6" t="n">
        <v>159</v>
      </c>
      <c r="AE60" s="6" t="n">
        <v>1922.1669921875</v>
      </c>
      <c r="AF60" s="8" t="n">
        <v>964.769647696</v>
      </c>
      <c r="AG60" s="11" t="n">
        <v>0.02830005715</v>
      </c>
      <c r="AH60" s="12" t="n">
        <v>1</v>
      </c>
      <c r="AI60" s="2" t="s">
        <v>317</v>
      </c>
      <c r="AJ60" s="2" t="s">
        <v>70</v>
      </c>
      <c r="AK60" s="2" t="s">
        <v>70</v>
      </c>
    </row>
    <row r="61" customFormat="false" ht="15" hidden="false" customHeight="false" outlineLevel="0" collapsed="false">
      <c r="A61" s="9" t="n">
        <v>60</v>
      </c>
      <c r="B61" s="2" t="s">
        <v>193</v>
      </c>
      <c r="C61" s="2" t="s">
        <v>56</v>
      </c>
      <c r="D61" s="2" t="s">
        <v>56</v>
      </c>
      <c r="E61" s="2" t="s">
        <v>56</v>
      </c>
      <c r="F61" s="2" t="s">
        <v>194</v>
      </c>
      <c r="G61" s="2" t="s">
        <v>324</v>
      </c>
      <c r="H61" s="8" t="n">
        <v>1097.78077428395</v>
      </c>
      <c r="I61" s="2" t="s">
        <v>337</v>
      </c>
      <c r="J61" s="8" t="n">
        <v>1149831.22362869</v>
      </c>
      <c r="K61" s="6" t="n">
        <v>237</v>
      </c>
      <c r="L61" s="2"/>
      <c r="M61" s="10" t="b">
        <f aca="false">TRUE()</f>
        <v>1</v>
      </c>
      <c r="N61" s="9" t="n">
        <f aca="false">IF(H61="","",IF(H61&gt;=Assumptions!$B$5,1,IF(H61&gt;=Assumptions!$B$6,2,IF(H61&gt;=Assumptions!$B$7,3,""))))</f>
        <v>1</v>
      </c>
      <c r="O61" s="9" t="n">
        <f aca="false">IF(N61=1,Assumptions!$B$8,IF(N61=2,Assumptions!$B$9,IF(N61=3,Assumptions!$B$10,0)))</f>
        <v>3</v>
      </c>
      <c r="P61" s="6" t="s">
        <v>30</v>
      </c>
      <c r="Q61" s="6" t="s">
        <v>30</v>
      </c>
      <c r="R61" s="11" t="s">
        <v>30</v>
      </c>
      <c r="S61" s="6" t="s">
        <v>30</v>
      </c>
      <c r="T61" s="11" t="s">
        <v>30</v>
      </c>
      <c r="U61" s="6" t="s">
        <v>30</v>
      </c>
      <c r="V61" s="6" t="s">
        <v>30</v>
      </c>
      <c r="W61" s="6" t="s">
        <v>30</v>
      </c>
      <c r="X61" s="2" t="s">
        <v>30</v>
      </c>
      <c r="Y61" s="6" t="str">
        <f aca="false">IF(AND(X61="processed",ISNUMBER(S61)),S61*O61,"")</f>
        <v/>
      </c>
      <c r="Z61" s="6" t="n">
        <f aca="false">IF(ISNUMBER(K61),K61*O61,0)</f>
        <v>711</v>
      </c>
      <c r="AA61" s="2" t="s">
        <v>31</v>
      </c>
      <c r="AB61" s="6" t="n">
        <v>345</v>
      </c>
      <c r="AC61" s="6" t="n">
        <v>142</v>
      </c>
      <c r="AD61" s="6" t="n">
        <v>2</v>
      </c>
      <c r="AE61" s="6" t="n">
        <v>2360.34692382813</v>
      </c>
      <c r="AF61" s="8"/>
      <c r="AG61" s="11"/>
      <c r="AH61" s="12" t="n">
        <v>0.831330206854034</v>
      </c>
      <c r="AI61" s="2" t="s">
        <v>317</v>
      </c>
      <c r="AJ61" s="2" t="s">
        <v>56</v>
      </c>
      <c r="AK61" s="2" t="s">
        <v>56</v>
      </c>
    </row>
    <row r="62" customFormat="false" ht="15" hidden="false" customHeight="false" outlineLevel="0" collapsed="false">
      <c r="A62" s="9" t="n">
        <v>61</v>
      </c>
      <c r="B62" s="2" t="s">
        <v>195</v>
      </c>
      <c r="C62" s="2" t="s">
        <v>196</v>
      </c>
      <c r="D62" s="2" t="s">
        <v>197</v>
      </c>
      <c r="E62" s="2" t="s">
        <v>51</v>
      </c>
      <c r="F62" s="2"/>
      <c r="G62" s="2" t="s">
        <v>338</v>
      </c>
      <c r="H62" s="8" t="n">
        <v>815.350080824279</v>
      </c>
      <c r="I62" s="2" t="s">
        <v>316</v>
      </c>
      <c r="J62" s="8" t="n">
        <v>1507561.1814346</v>
      </c>
      <c r="K62" s="6" t="n">
        <v>237</v>
      </c>
      <c r="L62" s="2"/>
      <c r="M62" s="10" t="b">
        <f aca="false">TRUE()</f>
        <v>1</v>
      </c>
      <c r="N62" s="9" t="n">
        <f aca="false">IF(H62="","",IF(H62&gt;=Assumptions!$B$5,1,IF(H62&gt;=Assumptions!$B$6,2,IF(H62&gt;=Assumptions!$B$7,3,""))))</f>
        <v>1</v>
      </c>
      <c r="O62" s="9" t="n">
        <f aca="false">IF(N62=1,Assumptions!$B$8,IF(N62=2,Assumptions!$B$9,IF(N62=3,Assumptions!$B$10,0)))</f>
        <v>3</v>
      </c>
      <c r="P62" s="6" t="s">
        <v>30</v>
      </c>
      <c r="Q62" s="6" t="s">
        <v>30</v>
      </c>
      <c r="R62" s="11" t="s">
        <v>30</v>
      </c>
      <c r="S62" s="6" t="s">
        <v>30</v>
      </c>
      <c r="T62" s="11" t="s">
        <v>30</v>
      </c>
      <c r="U62" s="6" t="s">
        <v>30</v>
      </c>
      <c r="V62" s="6" t="s">
        <v>30</v>
      </c>
      <c r="W62" s="6" t="s">
        <v>30</v>
      </c>
      <c r="X62" s="2" t="s">
        <v>30</v>
      </c>
      <c r="Y62" s="6" t="str">
        <f aca="false">IF(AND(X62="processed",ISNUMBER(S62)),S62*O62,"")</f>
        <v/>
      </c>
      <c r="Z62" s="6" t="n">
        <f aca="false">IF(ISNUMBER(K62),K62*O62,0)</f>
        <v>711</v>
      </c>
      <c r="AA62" s="2" t="s">
        <v>31</v>
      </c>
      <c r="AB62" s="6" t="n">
        <v>12106</v>
      </c>
      <c r="AC62" s="6" t="n">
        <v>10661</v>
      </c>
      <c r="AD62" s="6" t="n">
        <v>6906</v>
      </c>
      <c r="AE62" s="6" t="n">
        <v>2068.54272460938</v>
      </c>
      <c r="AF62" s="8" t="n">
        <v>844.257927661</v>
      </c>
      <c r="AG62" s="11" t="n">
        <v>-0.008419063962</v>
      </c>
      <c r="AH62" s="12" t="n">
        <v>0.977132568249378</v>
      </c>
      <c r="AI62" s="2" t="s">
        <v>317</v>
      </c>
      <c r="AJ62" s="2" t="s">
        <v>196</v>
      </c>
      <c r="AK62" s="2" t="s">
        <v>339</v>
      </c>
    </row>
    <row r="63" customFormat="false" ht="15" hidden="false" customHeight="false" outlineLevel="0" collapsed="false">
      <c r="A63" s="9" t="n">
        <v>62</v>
      </c>
      <c r="B63" s="2" t="s">
        <v>198</v>
      </c>
      <c r="C63" s="2" t="s">
        <v>199</v>
      </c>
      <c r="D63" s="2" t="s">
        <v>62</v>
      </c>
      <c r="E63" s="2" t="s">
        <v>40</v>
      </c>
      <c r="F63" s="2" t="s">
        <v>200</v>
      </c>
      <c r="G63" s="2" t="s">
        <v>324</v>
      </c>
      <c r="H63" s="8" t="n">
        <v>856.381050309792</v>
      </c>
      <c r="I63" s="2" t="s">
        <v>316</v>
      </c>
      <c r="J63" s="8" t="n">
        <v>1282665.25423729</v>
      </c>
      <c r="K63" s="6" t="n">
        <v>236</v>
      </c>
      <c r="L63" s="2"/>
      <c r="M63" s="10" t="b">
        <f aca="false">TRUE()</f>
        <v>1</v>
      </c>
      <c r="N63" s="9" t="n">
        <f aca="false">IF(H63="","",IF(H63&gt;=Assumptions!$B$5,1,IF(H63&gt;=Assumptions!$B$6,2,IF(H63&gt;=Assumptions!$B$7,3,""))))</f>
        <v>1</v>
      </c>
      <c r="O63" s="9" t="n">
        <f aca="false">IF(N63=1,Assumptions!$B$8,IF(N63=2,Assumptions!$B$9,IF(N63=3,Assumptions!$B$10,0)))</f>
        <v>3</v>
      </c>
      <c r="P63" s="6" t="s">
        <v>30</v>
      </c>
      <c r="Q63" s="6" t="s">
        <v>30</v>
      </c>
      <c r="R63" s="11" t="s">
        <v>30</v>
      </c>
      <c r="S63" s="6" t="s">
        <v>30</v>
      </c>
      <c r="T63" s="11" t="s">
        <v>30</v>
      </c>
      <c r="U63" s="6" t="s">
        <v>30</v>
      </c>
      <c r="V63" s="6" t="s">
        <v>30</v>
      </c>
      <c r="W63" s="6" t="s">
        <v>30</v>
      </c>
      <c r="X63" s="2" t="s">
        <v>30</v>
      </c>
      <c r="Y63" s="6" t="str">
        <f aca="false">IF(AND(X63="processed",ISNUMBER(S63)),S63*O63,"")</f>
        <v/>
      </c>
      <c r="Z63" s="6" t="n">
        <f aca="false">IF(ISNUMBER(K63),K63*O63,0)</f>
        <v>708</v>
      </c>
      <c r="AA63" s="2" t="s">
        <v>31</v>
      </c>
      <c r="AB63" s="6" t="n">
        <v>15102</v>
      </c>
      <c r="AC63" s="6" t="n">
        <v>13368</v>
      </c>
      <c r="AD63" s="6" t="n">
        <v>134</v>
      </c>
      <c r="AE63" s="6" t="n">
        <v>1537.75354003906</v>
      </c>
      <c r="AF63" s="8" t="n">
        <v>921.242219319</v>
      </c>
      <c r="AG63" s="11" t="n">
        <v>0.1145950122</v>
      </c>
      <c r="AH63" s="12" t="n">
        <v>0.998635198115097</v>
      </c>
      <c r="AI63" s="2" t="s">
        <v>340</v>
      </c>
      <c r="AJ63" s="2" t="s">
        <v>199</v>
      </c>
      <c r="AK63" s="2" t="s">
        <v>199</v>
      </c>
    </row>
    <row r="64" customFormat="false" ht="15" hidden="false" customHeight="false" outlineLevel="0" collapsed="false">
      <c r="A64" s="9" t="n">
        <v>63</v>
      </c>
      <c r="B64" s="2" t="s">
        <v>201</v>
      </c>
      <c r="C64" s="2" t="s">
        <v>202</v>
      </c>
      <c r="D64" s="2" t="s">
        <v>105</v>
      </c>
      <c r="E64" s="2" t="s">
        <v>51</v>
      </c>
      <c r="F64" s="2" t="s">
        <v>203</v>
      </c>
      <c r="G64" s="2" t="s">
        <v>318</v>
      </c>
      <c r="H64" s="8" t="n">
        <v>749.014400262403</v>
      </c>
      <c r="I64" s="2" t="s">
        <v>316</v>
      </c>
      <c r="J64" s="8" t="n">
        <v>1516092.05932203</v>
      </c>
      <c r="K64" s="6" t="n">
        <v>236</v>
      </c>
      <c r="L64" s="2"/>
      <c r="M64" s="10" t="b">
        <f aca="false">TRUE()</f>
        <v>1</v>
      </c>
      <c r="N64" s="9" t="n">
        <f aca="false">IF(H64="","",IF(H64&gt;=Assumptions!$B$5,1,IF(H64&gt;=Assumptions!$B$6,2,IF(H64&gt;=Assumptions!$B$7,3,""))))</f>
        <v>1</v>
      </c>
      <c r="O64" s="9" t="n">
        <f aca="false">IF(N64=1,Assumptions!$B$8,IF(N64=2,Assumptions!$B$9,IF(N64=3,Assumptions!$B$10,0)))</f>
        <v>3</v>
      </c>
      <c r="P64" s="6" t="s">
        <v>30</v>
      </c>
      <c r="Q64" s="6" t="s">
        <v>30</v>
      </c>
      <c r="R64" s="11" t="s">
        <v>30</v>
      </c>
      <c r="S64" s="6" t="s">
        <v>30</v>
      </c>
      <c r="T64" s="11" t="s">
        <v>30</v>
      </c>
      <c r="U64" s="6" t="s">
        <v>30</v>
      </c>
      <c r="V64" s="6" t="s">
        <v>30</v>
      </c>
      <c r="W64" s="6" t="s">
        <v>30</v>
      </c>
      <c r="X64" s="2" t="s">
        <v>30</v>
      </c>
      <c r="Y64" s="6" t="str">
        <f aca="false">IF(AND(X64="processed",ISNUMBER(S64)),S64*O64,"")</f>
        <v/>
      </c>
      <c r="Z64" s="6" t="n">
        <f aca="false">IF(ISNUMBER(K64),K64*O64,0)</f>
        <v>708</v>
      </c>
      <c r="AA64" s="2" t="s">
        <v>31</v>
      </c>
      <c r="AB64" s="6" t="n">
        <v>11234</v>
      </c>
      <c r="AC64" s="6" t="n">
        <v>10362</v>
      </c>
      <c r="AD64" s="6" t="n">
        <v>857</v>
      </c>
      <c r="AE64" s="6" t="n">
        <v>2525.6474609375</v>
      </c>
      <c r="AF64" s="8" t="n">
        <v>776.315789474</v>
      </c>
      <c r="AG64" s="11" t="n">
        <v>-0.01162350765</v>
      </c>
      <c r="AH64" s="12" t="n">
        <v>0.996169425694838</v>
      </c>
      <c r="AI64" s="2" t="s">
        <v>328</v>
      </c>
      <c r="AJ64" s="2" t="s">
        <v>202</v>
      </c>
      <c r="AK64" s="2" t="s">
        <v>202</v>
      </c>
    </row>
    <row r="65" customFormat="false" ht="15" hidden="false" customHeight="false" outlineLevel="0" collapsed="false">
      <c r="A65" s="9" t="n">
        <v>64</v>
      </c>
      <c r="B65" s="2" t="s">
        <v>204</v>
      </c>
      <c r="C65" s="2" t="s">
        <v>205</v>
      </c>
      <c r="D65" s="2" t="s">
        <v>105</v>
      </c>
      <c r="E65" s="2" t="s">
        <v>51</v>
      </c>
      <c r="F65" s="2" t="s">
        <v>206</v>
      </c>
      <c r="G65" s="2" t="s">
        <v>318</v>
      </c>
      <c r="H65" s="8" t="n">
        <v>768.833466569111</v>
      </c>
      <c r="I65" s="2" t="s">
        <v>316</v>
      </c>
      <c r="J65" s="8" t="n">
        <v>1911534.18803419</v>
      </c>
      <c r="K65" s="6" t="n">
        <v>234</v>
      </c>
      <c r="L65" s="2"/>
      <c r="M65" s="10" t="b">
        <f aca="false">TRUE()</f>
        <v>1</v>
      </c>
      <c r="N65" s="9" t="n">
        <f aca="false">IF(H65="","",IF(H65&gt;=Assumptions!$B$5,1,IF(H65&gt;=Assumptions!$B$6,2,IF(H65&gt;=Assumptions!$B$7,3,""))))</f>
        <v>1</v>
      </c>
      <c r="O65" s="9" t="n">
        <f aca="false">IF(N65=1,Assumptions!$B$8,IF(N65=2,Assumptions!$B$9,IF(N65=3,Assumptions!$B$10,0)))</f>
        <v>3</v>
      </c>
      <c r="P65" s="6" t="s">
        <v>30</v>
      </c>
      <c r="Q65" s="6" t="s">
        <v>30</v>
      </c>
      <c r="R65" s="11" t="s">
        <v>30</v>
      </c>
      <c r="S65" s="6" t="s">
        <v>30</v>
      </c>
      <c r="T65" s="11" t="s">
        <v>30</v>
      </c>
      <c r="U65" s="6" t="s">
        <v>30</v>
      </c>
      <c r="V65" s="6" t="s">
        <v>30</v>
      </c>
      <c r="W65" s="6" t="s">
        <v>30</v>
      </c>
      <c r="X65" s="2" t="s">
        <v>30</v>
      </c>
      <c r="Y65" s="6" t="str">
        <f aca="false">IF(AND(X65="processed",ISNUMBER(S65)),S65*O65,"")</f>
        <v/>
      </c>
      <c r="Z65" s="6" t="n">
        <f aca="false">IF(ISNUMBER(K65),K65*O65,0)</f>
        <v>702</v>
      </c>
      <c r="AA65" s="2" t="s">
        <v>31</v>
      </c>
      <c r="AB65" s="6" t="n">
        <v>7681</v>
      </c>
      <c r="AC65" s="6" t="n">
        <v>7039</v>
      </c>
      <c r="AD65" s="6" t="n">
        <v>6318</v>
      </c>
      <c r="AE65" s="6" t="n">
        <v>3097.84912109375</v>
      </c>
      <c r="AF65" s="8" t="n">
        <v>789.128914102</v>
      </c>
      <c r="AG65" s="11" t="n">
        <v>-0.03832758609</v>
      </c>
      <c r="AH65" s="12" t="n">
        <v>0.999046365917324</v>
      </c>
      <c r="AI65" s="2" t="s">
        <v>317</v>
      </c>
      <c r="AJ65" s="2" t="s">
        <v>205</v>
      </c>
      <c r="AK65" s="2" t="s">
        <v>205</v>
      </c>
    </row>
    <row r="66" customFormat="false" ht="15" hidden="false" customHeight="false" outlineLevel="0" collapsed="false">
      <c r="A66" s="9" t="n">
        <v>65</v>
      </c>
      <c r="B66" s="2" t="s">
        <v>207</v>
      </c>
      <c r="C66" s="2" t="s">
        <v>59</v>
      </c>
      <c r="D66" s="2" t="s">
        <v>27</v>
      </c>
      <c r="E66" s="2" t="s">
        <v>28</v>
      </c>
      <c r="F66" s="2"/>
      <c r="G66" s="2" t="s">
        <v>315</v>
      </c>
      <c r="H66" s="8" t="n">
        <v>846.096398264657</v>
      </c>
      <c r="I66" s="2" t="s">
        <v>316</v>
      </c>
      <c r="J66" s="8" t="n">
        <v>2023515.02145923</v>
      </c>
      <c r="K66" s="6" t="n">
        <v>233</v>
      </c>
      <c r="L66" s="2"/>
      <c r="M66" s="10" t="b">
        <f aca="false">TRUE()</f>
        <v>1</v>
      </c>
      <c r="N66" s="9" t="n">
        <f aca="false">IF(H66="","",IF(H66&gt;=Assumptions!$B$5,1,IF(H66&gt;=Assumptions!$B$6,2,IF(H66&gt;=Assumptions!$B$7,3,""))))</f>
        <v>1</v>
      </c>
      <c r="O66" s="9" t="n">
        <f aca="false">IF(N66=1,Assumptions!$B$8,IF(N66=2,Assumptions!$B$9,IF(N66=3,Assumptions!$B$10,0)))</f>
        <v>3</v>
      </c>
      <c r="P66" s="6" t="s">
        <v>30</v>
      </c>
      <c r="Q66" s="6" t="s">
        <v>30</v>
      </c>
      <c r="R66" s="11" t="s">
        <v>30</v>
      </c>
      <c r="S66" s="6" t="s">
        <v>30</v>
      </c>
      <c r="T66" s="11" t="s">
        <v>30</v>
      </c>
      <c r="U66" s="6" t="s">
        <v>30</v>
      </c>
      <c r="V66" s="6" t="s">
        <v>30</v>
      </c>
      <c r="W66" s="6" t="s">
        <v>30</v>
      </c>
      <c r="X66" s="2" t="s">
        <v>30</v>
      </c>
      <c r="Y66" s="6" t="str">
        <f aca="false">IF(AND(X66="processed",ISNUMBER(S66)),S66*O66,"")</f>
        <v/>
      </c>
      <c r="Z66" s="6" t="n">
        <f aca="false">IF(ISNUMBER(K66),K66*O66,0)</f>
        <v>699</v>
      </c>
      <c r="AA66" s="2" t="s">
        <v>31</v>
      </c>
      <c r="AB66" s="6" t="n">
        <v>13592</v>
      </c>
      <c r="AC66" s="6" t="n">
        <v>11783</v>
      </c>
      <c r="AD66" s="6" t="n">
        <v>1093</v>
      </c>
      <c r="AE66" s="6" t="n">
        <v>2104.34326171875</v>
      </c>
      <c r="AF66" s="8" t="n">
        <v>877.010897769</v>
      </c>
      <c r="AG66" s="11" t="n">
        <v>-0.0337845652</v>
      </c>
      <c r="AH66" s="12" t="n">
        <v>0.705122766645728</v>
      </c>
      <c r="AI66" s="2" t="s">
        <v>317</v>
      </c>
      <c r="AJ66" s="2" t="s">
        <v>59</v>
      </c>
      <c r="AK66" s="2" t="s">
        <v>59</v>
      </c>
    </row>
    <row r="67" customFormat="false" ht="15" hidden="false" customHeight="false" outlineLevel="0" collapsed="false">
      <c r="A67" s="9" t="n">
        <v>66</v>
      </c>
      <c r="B67" s="2" t="s">
        <v>208</v>
      </c>
      <c r="C67" s="2" t="s">
        <v>56</v>
      </c>
      <c r="D67" s="2" t="s">
        <v>56</v>
      </c>
      <c r="E67" s="2" t="s">
        <v>56</v>
      </c>
      <c r="F67" s="2" t="s">
        <v>209</v>
      </c>
      <c r="G67" s="2" t="s">
        <v>324</v>
      </c>
      <c r="H67" s="8" t="n">
        <v>1093.24463443816</v>
      </c>
      <c r="I67" s="2" t="s">
        <v>316</v>
      </c>
      <c r="J67" s="8" t="n">
        <v>1793051.50214592</v>
      </c>
      <c r="K67" s="6" t="n">
        <v>233</v>
      </c>
      <c r="L67" s="2"/>
      <c r="M67" s="10" t="b">
        <f aca="false">TRUE()</f>
        <v>1</v>
      </c>
      <c r="N67" s="9" t="n">
        <f aca="false">IF(H67="","",IF(H67&gt;=Assumptions!$B$5,1,IF(H67&gt;=Assumptions!$B$6,2,IF(H67&gt;=Assumptions!$B$7,3,""))))</f>
        <v>1</v>
      </c>
      <c r="O67" s="9" t="n">
        <f aca="false">IF(N67=1,Assumptions!$B$8,IF(N67=2,Assumptions!$B$9,IF(N67=3,Assumptions!$B$10,0)))</f>
        <v>3</v>
      </c>
      <c r="P67" s="6" t="s">
        <v>30</v>
      </c>
      <c r="Q67" s="6" t="s">
        <v>30</v>
      </c>
      <c r="R67" s="11" t="s">
        <v>30</v>
      </c>
      <c r="S67" s="6" t="s">
        <v>30</v>
      </c>
      <c r="T67" s="11" t="s">
        <v>30</v>
      </c>
      <c r="U67" s="6" t="s">
        <v>30</v>
      </c>
      <c r="V67" s="6" t="s">
        <v>30</v>
      </c>
      <c r="W67" s="6" t="s">
        <v>30</v>
      </c>
      <c r="X67" s="2" t="s">
        <v>30</v>
      </c>
      <c r="Y67" s="6" t="str">
        <f aca="false">IF(AND(X67="processed",ISNUMBER(S67)),S67*O67,"")</f>
        <v/>
      </c>
      <c r="Z67" s="6" t="n">
        <f aca="false">IF(ISNUMBER(K67),K67*O67,0)</f>
        <v>699</v>
      </c>
      <c r="AA67" s="2" t="s">
        <v>31</v>
      </c>
      <c r="AB67" s="6" t="n">
        <v>14344</v>
      </c>
      <c r="AC67" s="6" t="n">
        <v>13796</v>
      </c>
      <c r="AD67" s="6" t="n">
        <v>55</v>
      </c>
      <c r="AE67" s="6" t="n">
        <v>1335.37426757813</v>
      </c>
      <c r="AF67" s="8" t="n">
        <v>1174.089068826</v>
      </c>
      <c r="AG67" s="11" t="n">
        <v>0.1221735658</v>
      </c>
      <c r="AH67" s="12" t="n">
        <v>0.999999999999999</v>
      </c>
      <c r="AI67" s="2" t="s">
        <v>317</v>
      </c>
      <c r="AJ67" s="2" t="s">
        <v>56</v>
      </c>
      <c r="AK67" s="2" t="s">
        <v>341</v>
      </c>
    </row>
    <row r="68" customFormat="false" ht="15" hidden="false" customHeight="false" outlineLevel="0" collapsed="false">
      <c r="A68" s="9" t="n">
        <v>67</v>
      </c>
      <c r="B68" s="2" t="s">
        <v>210</v>
      </c>
      <c r="C68" s="2" t="s">
        <v>70</v>
      </c>
      <c r="D68" s="2" t="s">
        <v>70</v>
      </c>
      <c r="E68" s="2" t="s">
        <v>71</v>
      </c>
      <c r="F68" s="2" t="s">
        <v>211</v>
      </c>
      <c r="G68" s="2" t="s">
        <v>329</v>
      </c>
      <c r="H68" s="8" t="n">
        <v>806.807218273543</v>
      </c>
      <c r="I68" s="2" t="s">
        <v>316</v>
      </c>
      <c r="J68" s="8" t="n">
        <v>1241510.04310345</v>
      </c>
      <c r="K68" s="6" t="n">
        <v>232</v>
      </c>
      <c r="L68" s="2"/>
      <c r="M68" s="10" t="b">
        <f aca="false">TRUE()</f>
        <v>1</v>
      </c>
      <c r="N68" s="9" t="n">
        <f aca="false">IF(H68="","",IF(H68&gt;=Assumptions!$B$5,1,IF(H68&gt;=Assumptions!$B$6,2,IF(H68&gt;=Assumptions!$B$7,3,""))))</f>
        <v>1</v>
      </c>
      <c r="O68" s="9" t="n">
        <f aca="false">IF(N68=1,Assumptions!$B$8,IF(N68=2,Assumptions!$B$9,IF(N68=3,Assumptions!$B$10,0)))</f>
        <v>3</v>
      </c>
      <c r="P68" s="6" t="s">
        <v>30</v>
      </c>
      <c r="Q68" s="6" t="s">
        <v>30</v>
      </c>
      <c r="R68" s="11" t="s">
        <v>30</v>
      </c>
      <c r="S68" s="6" t="s">
        <v>30</v>
      </c>
      <c r="T68" s="11" t="s">
        <v>30</v>
      </c>
      <c r="U68" s="6" t="s">
        <v>30</v>
      </c>
      <c r="V68" s="6" t="s">
        <v>30</v>
      </c>
      <c r="W68" s="6" t="s">
        <v>30</v>
      </c>
      <c r="X68" s="2" t="s">
        <v>30</v>
      </c>
      <c r="Y68" s="6" t="str">
        <f aca="false">IF(AND(X68="processed",ISNUMBER(S68)),S68*O68,"")</f>
        <v/>
      </c>
      <c r="Z68" s="6" t="n">
        <f aca="false">IF(ISNUMBER(K68),K68*O68,0)</f>
        <v>696</v>
      </c>
      <c r="AA68" s="2" t="s">
        <v>31</v>
      </c>
      <c r="AB68" s="6" t="n">
        <v>17138</v>
      </c>
      <c r="AC68" s="6" t="n">
        <v>12171</v>
      </c>
      <c r="AD68" s="6" t="n">
        <v>244</v>
      </c>
      <c r="AE68" s="6" t="n">
        <v>1577.62475585938</v>
      </c>
      <c r="AF68" s="8" t="n">
        <v>844.724196859</v>
      </c>
      <c r="AG68" s="11" t="n">
        <v>-0.06269706157</v>
      </c>
      <c r="AH68" s="12" t="n">
        <v>0.999999999999999</v>
      </c>
      <c r="AI68" s="2" t="s">
        <v>317</v>
      </c>
      <c r="AJ68" s="2" t="s">
        <v>70</v>
      </c>
      <c r="AK68" s="2" t="s">
        <v>70</v>
      </c>
    </row>
    <row r="69" customFormat="false" ht="15" hidden="false" customHeight="false" outlineLevel="0" collapsed="false">
      <c r="A69" s="9" t="n">
        <v>68</v>
      </c>
      <c r="B69" s="2" t="s">
        <v>212</v>
      </c>
      <c r="C69" s="2" t="s">
        <v>213</v>
      </c>
      <c r="D69" s="2" t="s">
        <v>27</v>
      </c>
      <c r="E69" s="2" t="s">
        <v>28</v>
      </c>
      <c r="F69" s="2" t="s">
        <v>214</v>
      </c>
      <c r="G69" s="2" t="s">
        <v>315</v>
      </c>
      <c r="H69" s="8" t="n">
        <v>659.113591835474</v>
      </c>
      <c r="I69" s="2" t="s">
        <v>316</v>
      </c>
      <c r="J69" s="8" t="n">
        <v>1486793.10344828</v>
      </c>
      <c r="K69" s="6" t="n">
        <v>348</v>
      </c>
      <c r="L69" s="2"/>
      <c r="M69" s="10" t="b">
        <f aca="false">TRUE()</f>
        <v>1</v>
      </c>
      <c r="N69" s="9" t="n">
        <f aca="false">IF(H69="","",IF(H69&gt;=Assumptions!$B$5,1,IF(H69&gt;=Assumptions!$B$6,2,IF(H69&gt;=Assumptions!$B$7,3,""))))</f>
        <v>2</v>
      </c>
      <c r="O69" s="9" t="n">
        <f aca="false">IF(N69=1,Assumptions!$B$8,IF(N69=2,Assumptions!$B$9,IF(N69=3,Assumptions!$B$10,0)))</f>
        <v>2</v>
      </c>
      <c r="P69" s="6" t="s">
        <v>30</v>
      </c>
      <c r="Q69" s="6" t="s">
        <v>30</v>
      </c>
      <c r="R69" s="11" t="s">
        <v>30</v>
      </c>
      <c r="S69" s="6" t="s">
        <v>30</v>
      </c>
      <c r="T69" s="11" t="s">
        <v>30</v>
      </c>
      <c r="U69" s="6" t="s">
        <v>30</v>
      </c>
      <c r="V69" s="6" t="s">
        <v>30</v>
      </c>
      <c r="W69" s="6" t="s">
        <v>30</v>
      </c>
      <c r="X69" s="2" t="s">
        <v>30</v>
      </c>
      <c r="Y69" s="6" t="str">
        <f aca="false">IF(AND(X69="processed",ISNUMBER(S69)),S69*O69,"")</f>
        <v/>
      </c>
      <c r="Z69" s="6" t="n">
        <f aca="false">IF(ISNUMBER(K69),K69*O69,0)</f>
        <v>696</v>
      </c>
      <c r="AA69" s="2" t="s">
        <v>31</v>
      </c>
      <c r="AB69" s="6" t="n">
        <v>17320</v>
      </c>
      <c r="AC69" s="6" t="n">
        <v>15577</v>
      </c>
      <c r="AD69" s="6" t="n">
        <v>263</v>
      </c>
      <c r="AE69" s="6" t="n">
        <v>2805.00854492188</v>
      </c>
      <c r="AF69" s="8" t="n">
        <v>670.577045022</v>
      </c>
      <c r="AG69" s="11" t="n">
        <v>-0.01066493637</v>
      </c>
      <c r="AH69" s="12" t="n">
        <v>0.996993824321931</v>
      </c>
      <c r="AI69" s="2" t="s">
        <v>342</v>
      </c>
      <c r="AJ69" s="2" t="s">
        <v>213</v>
      </c>
      <c r="AK69" s="2" t="s">
        <v>213</v>
      </c>
    </row>
    <row r="70" customFormat="false" ht="15" hidden="false" customHeight="false" outlineLevel="0" collapsed="false">
      <c r="A70" s="9" t="n">
        <v>69</v>
      </c>
      <c r="B70" s="2" t="s">
        <v>215</v>
      </c>
      <c r="C70" s="2" t="s">
        <v>119</v>
      </c>
      <c r="D70" s="2" t="s">
        <v>27</v>
      </c>
      <c r="E70" s="2" t="s">
        <v>28</v>
      </c>
      <c r="F70" s="2"/>
      <c r="G70" s="2" t="s">
        <v>315</v>
      </c>
      <c r="H70" s="8" t="n">
        <v>672.266682132224</v>
      </c>
      <c r="I70" s="2" t="s">
        <v>316</v>
      </c>
      <c r="J70" s="8" t="n">
        <v>1335247.09302326</v>
      </c>
      <c r="K70" s="6" t="n">
        <v>344</v>
      </c>
      <c r="L70" s="2"/>
      <c r="M70" s="10" t="b">
        <f aca="false">TRUE()</f>
        <v>1</v>
      </c>
      <c r="N70" s="9" t="n">
        <f aca="false">IF(H70="","",IF(H70&gt;=Assumptions!$B$5,1,IF(H70&gt;=Assumptions!$B$6,2,IF(H70&gt;=Assumptions!$B$7,3,""))))</f>
        <v>2</v>
      </c>
      <c r="O70" s="9" t="n">
        <f aca="false">IF(N70=1,Assumptions!$B$8,IF(N70=2,Assumptions!$B$9,IF(N70=3,Assumptions!$B$10,0)))</f>
        <v>2</v>
      </c>
      <c r="P70" s="6" t="s">
        <v>30</v>
      </c>
      <c r="Q70" s="6" t="s">
        <v>30</v>
      </c>
      <c r="R70" s="11" t="s">
        <v>30</v>
      </c>
      <c r="S70" s="6" t="s">
        <v>30</v>
      </c>
      <c r="T70" s="11" t="s">
        <v>30</v>
      </c>
      <c r="U70" s="6" t="s">
        <v>30</v>
      </c>
      <c r="V70" s="6" t="s">
        <v>30</v>
      </c>
      <c r="W70" s="6" t="s">
        <v>30</v>
      </c>
      <c r="X70" s="2" t="s">
        <v>30</v>
      </c>
      <c r="Y70" s="6" t="str">
        <f aca="false">IF(AND(X70="processed",ISNUMBER(S70)),S70*O70,"")</f>
        <v/>
      </c>
      <c r="Z70" s="6" t="n">
        <f aca="false">IF(ISNUMBER(K70),K70*O70,0)</f>
        <v>688</v>
      </c>
      <c r="AA70" s="2" t="s">
        <v>31</v>
      </c>
      <c r="AB70" s="6" t="n">
        <v>14281</v>
      </c>
      <c r="AC70" s="6" t="n">
        <v>13494</v>
      </c>
      <c r="AD70" s="6" t="n">
        <v>96</v>
      </c>
      <c r="AE70" s="6" t="n">
        <v>2430.14428710938</v>
      </c>
      <c r="AF70" s="8" t="n">
        <v>705.880956901</v>
      </c>
      <c r="AG70" s="11" t="n">
        <v>0.0178104546</v>
      </c>
      <c r="AH70" s="12" t="n">
        <v>1</v>
      </c>
      <c r="AI70" s="2" t="s">
        <v>328</v>
      </c>
      <c r="AJ70" s="2" t="s">
        <v>119</v>
      </c>
      <c r="AK70" s="2" t="s">
        <v>119</v>
      </c>
    </row>
    <row r="71" customFormat="false" ht="15" hidden="false" customHeight="false" outlineLevel="0" collapsed="false">
      <c r="A71" s="9" t="n">
        <v>70</v>
      </c>
      <c r="B71" s="2" t="s">
        <v>216</v>
      </c>
      <c r="C71" s="2" t="s">
        <v>217</v>
      </c>
      <c r="D71" s="2" t="s">
        <v>27</v>
      </c>
      <c r="E71" s="2" t="s">
        <v>28</v>
      </c>
      <c r="F71" s="2" t="s">
        <v>218</v>
      </c>
      <c r="G71" s="2" t="s">
        <v>315</v>
      </c>
      <c r="H71" s="8" t="n">
        <v>703.345417364048</v>
      </c>
      <c r="I71" s="2" t="s">
        <v>316</v>
      </c>
      <c r="J71" s="8" t="n">
        <v>1752550.21834061</v>
      </c>
      <c r="K71" s="6" t="n">
        <v>229</v>
      </c>
      <c r="L71" s="2"/>
      <c r="M71" s="10" t="b">
        <f aca="false">TRUE()</f>
        <v>1</v>
      </c>
      <c r="N71" s="9" t="n">
        <f aca="false">IF(H71="","",IF(H71&gt;=Assumptions!$B$5,1,IF(H71&gt;=Assumptions!$B$6,2,IF(H71&gt;=Assumptions!$B$7,3,""))))</f>
        <v>1</v>
      </c>
      <c r="O71" s="9" t="n">
        <f aca="false">IF(N71=1,Assumptions!$B$8,IF(N71=2,Assumptions!$B$9,IF(N71=3,Assumptions!$B$10,0)))</f>
        <v>3</v>
      </c>
      <c r="P71" s="6" t="s">
        <v>30</v>
      </c>
      <c r="Q71" s="6" t="s">
        <v>30</v>
      </c>
      <c r="R71" s="11" t="s">
        <v>30</v>
      </c>
      <c r="S71" s="6" t="s">
        <v>30</v>
      </c>
      <c r="T71" s="11" t="s">
        <v>30</v>
      </c>
      <c r="U71" s="6" t="s">
        <v>30</v>
      </c>
      <c r="V71" s="6" t="s">
        <v>30</v>
      </c>
      <c r="W71" s="6" t="s">
        <v>30</v>
      </c>
      <c r="X71" s="2" t="s">
        <v>30</v>
      </c>
      <c r="Y71" s="6" t="str">
        <f aca="false">IF(AND(X71="processed",ISNUMBER(S71)),S71*O71,"")</f>
        <v/>
      </c>
      <c r="Z71" s="6" t="n">
        <f aca="false">IF(ISNUMBER(K71),K71*O71,0)</f>
        <v>687</v>
      </c>
      <c r="AA71" s="2" t="s">
        <v>31</v>
      </c>
      <c r="AB71" s="6" t="n">
        <v>14398</v>
      </c>
      <c r="AC71" s="6" t="n">
        <v>11970</v>
      </c>
      <c r="AD71" s="6" t="n">
        <v>451</v>
      </c>
      <c r="AE71" s="6" t="n">
        <v>3164.07006835938</v>
      </c>
      <c r="AF71" s="8" t="n">
        <v>735.714999185</v>
      </c>
      <c r="AG71" s="11" t="n">
        <v>0.01879010363</v>
      </c>
      <c r="AH71" s="12" t="n">
        <v>0.999999999999999</v>
      </c>
      <c r="AI71" s="2" t="s">
        <v>343</v>
      </c>
      <c r="AJ71" s="2" t="s">
        <v>344</v>
      </c>
      <c r="AK71" s="2" t="s">
        <v>217</v>
      </c>
    </row>
    <row r="72" customFormat="false" ht="15" hidden="false" customHeight="false" outlineLevel="0" collapsed="false">
      <c r="A72" s="9" t="n">
        <v>71</v>
      </c>
      <c r="B72" s="2" t="s">
        <v>219</v>
      </c>
      <c r="C72" s="2" t="s">
        <v>220</v>
      </c>
      <c r="D72" s="2" t="s">
        <v>27</v>
      </c>
      <c r="E72" s="2" t="s">
        <v>28</v>
      </c>
      <c r="F72" s="2" t="s">
        <v>221</v>
      </c>
      <c r="G72" s="2" t="s">
        <v>315</v>
      </c>
      <c r="H72" s="8" t="n">
        <v>656.343906632282</v>
      </c>
      <c r="I72" s="2" t="s">
        <v>316</v>
      </c>
      <c r="J72" s="8" t="n">
        <v>1504487.86803519</v>
      </c>
      <c r="K72" s="6" t="n">
        <v>341</v>
      </c>
      <c r="L72" s="2"/>
      <c r="M72" s="10" t="b">
        <f aca="false">TRUE()</f>
        <v>1</v>
      </c>
      <c r="N72" s="9" t="n">
        <f aca="false">IF(H72="","",IF(H72&gt;=Assumptions!$B$5,1,IF(H72&gt;=Assumptions!$B$6,2,IF(H72&gt;=Assumptions!$B$7,3,""))))</f>
        <v>2</v>
      </c>
      <c r="O72" s="9" t="n">
        <f aca="false">IF(N72=1,Assumptions!$B$8,IF(N72=2,Assumptions!$B$9,IF(N72=3,Assumptions!$B$10,0)))</f>
        <v>2</v>
      </c>
      <c r="P72" s="6" t="s">
        <v>30</v>
      </c>
      <c r="Q72" s="6" t="s">
        <v>30</v>
      </c>
      <c r="R72" s="11" t="s">
        <v>30</v>
      </c>
      <c r="S72" s="6" t="s">
        <v>30</v>
      </c>
      <c r="T72" s="11" t="s">
        <v>30</v>
      </c>
      <c r="U72" s="6" t="s">
        <v>30</v>
      </c>
      <c r="V72" s="6" t="s">
        <v>30</v>
      </c>
      <c r="W72" s="6" t="s">
        <v>30</v>
      </c>
      <c r="X72" s="2" t="s">
        <v>30</v>
      </c>
      <c r="Y72" s="6" t="str">
        <f aca="false">IF(AND(X72="processed",ISNUMBER(S72)),S72*O72,"")</f>
        <v/>
      </c>
      <c r="Z72" s="6" t="n">
        <f aca="false">IF(ISNUMBER(K72),K72*O72,0)</f>
        <v>682</v>
      </c>
      <c r="AA72" s="2" t="s">
        <v>31</v>
      </c>
      <c r="AB72" s="6" t="n">
        <v>7645</v>
      </c>
      <c r="AC72" s="6" t="n">
        <v>7024</v>
      </c>
      <c r="AD72" s="6" t="n">
        <v>111</v>
      </c>
      <c r="AE72" s="6" t="n">
        <v>2349.87353515625</v>
      </c>
      <c r="AF72" s="8" t="n">
        <v>666.50148662</v>
      </c>
      <c r="AG72" s="11" t="n">
        <v>0.01634675674</v>
      </c>
      <c r="AH72" s="12" t="n">
        <v>1</v>
      </c>
      <c r="AI72" s="2" t="s">
        <v>345</v>
      </c>
      <c r="AJ72" s="2" t="s">
        <v>346</v>
      </c>
      <c r="AK72" s="2" t="s">
        <v>119</v>
      </c>
    </row>
    <row r="73" customFormat="false" ht="15" hidden="false" customHeight="false" outlineLevel="0" collapsed="false">
      <c r="A73" s="9" t="n">
        <v>72</v>
      </c>
      <c r="B73" s="2" t="s">
        <v>222</v>
      </c>
      <c r="C73" s="2" t="s">
        <v>59</v>
      </c>
      <c r="D73" s="2" t="s">
        <v>27</v>
      </c>
      <c r="E73" s="2" t="s">
        <v>28</v>
      </c>
      <c r="F73" s="2"/>
      <c r="G73" s="2" t="s">
        <v>315</v>
      </c>
      <c r="H73" s="8" t="n">
        <v>811.461915878934</v>
      </c>
      <c r="I73" s="2" t="s">
        <v>316</v>
      </c>
      <c r="J73" s="8" t="n">
        <v>1301519.82378855</v>
      </c>
      <c r="K73" s="6" t="n">
        <v>227</v>
      </c>
      <c r="L73" s="2"/>
      <c r="M73" s="10" t="b">
        <f aca="false">TRUE()</f>
        <v>1</v>
      </c>
      <c r="N73" s="9" t="n">
        <f aca="false">IF(H73="","",IF(H73&gt;=Assumptions!$B$5,1,IF(H73&gt;=Assumptions!$B$6,2,IF(H73&gt;=Assumptions!$B$7,3,""))))</f>
        <v>1</v>
      </c>
      <c r="O73" s="9" t="n">
        <f aca="false">IF(N73=1,Assumptions!$B$8,IF(N73=2,Assumptions!$B$9,IF(N73=3,Assumptions!$B$10,0)))</f>
        <v>3</v>
      </c>
      <c r="P73" s="6" t="s">
        <v>30</v>
      </c>
      <c r="Q73" s="6" t="s">
        <v>30</v>
      </c>
      <c r="R73" s="11" t="s">
        <v>30</v>
      </c>
      <c r="S73" s="6" t="s">
        <v>30</v>
      </c>
      <c r="T73" s="11" t="s">
        <v>30</v>
      </c>
      <c r="U73" s="6" t="s">
        <v>30</v>
      </c>
      <c r="V73" s="6" t="s">
        <v>30</v>
      </c>
      <c r="W73" s="6" t="s">
        <v>30</v>
      </c>
      <c r="X73" s="2" t="s">
        <v>30</v>
      </c>
      <c r="Y73" s="6" t="str">
        <f aca="false">IF(AND(X73="processed",ISNUMBER(S73)),S73*O73,"")</f>
        <v/>
      </c>
      <c r="Z73" s="6" t="n">
        <f aca="false">IF(ISNUMBER(K73),K73*O73,0)</f>
        <v>681</v>
      </c>
      <c r="AA73" s="2" t="s">
        <v>31</v>
      </c>
      <c r="AB73" s="6" t="n">
        <v>14923</v>
      </c>
      <c r="AC73" s="6" t="n">
        <v>13696</v>
      </c>
      <c r="AD73" s="6" t="n">
        <v>481</v>
      </c>
      <c r="AE73" s="6" t="n">
        <v>2405.66259765625</v>
      </c>
      <c r="AF73" s="8" t="n">
        <v>855.50910672</v>
      </c>
      <c r="AG73" s="11" t="n">
        <v>0.106835712</v>
      </c>
      <c r="AH73" s="12" t="n">
        <v>1</v>
      </c>
      <c r="AI73" s="2" t="s">
        <v>317</v>
      </c>
      <c r="AJ73" s="2" t="s">
        <v>59</v>
      </c>
      <c r="AK73" s="2" t="s">
        <v>59</v>
      </c>
    </row>
    <row r="74" customFormat="false" ht="15" hidden="false" customHeight="false" outlineLevel="0" collapsed="false">
      <c r="A74" s="9" t="n">
        <v>73</v>
      </c>
      <c r="B74" s="2" t="s">
        <v>223</v>
      </c>
      <c r="C74" s="2" t="s">
        <v>224</v>
      </c>
      <c r="D74" s="2" t="s">
        <v>62</v>
      </c>
      <c r="E74" s="2" t="s">
        <v>40</v>
      </c>
      <c r="F74" s="2" t="s">
        <v>225</v>
      </c>
      <c r="G74" s="2" t="s">
        <v>324</v>
      </c>
      <c r="H74" s="8" t="n">
        <v>885.314121697698</v>
      </c>
      <c r="I74" s="2" t="s">
        <v>316</v>
      </c>
      <c r="J74" s="8" t="n">
        <v>1290977.77777778</v>
      </c>
      <c r="K74" s="6" t="n">
        <v>225</v>
      </c>
      <c r="L74" s="2"/>
      <c r="M74" s="10" t="b">
        <f aca="false">TRUE()</f>
        <v>1</v>
      </c>
      <c r="N74" s="9" t="n">
        <f aca="false">IF(H74="","",IF(H74&gt;=Assumptions!$B$5,1,IF(H74&gt;=Assumptions!$B$6,2,IF(H74&gt;=Assumptions!$B$7,3,""))))</f>
        <v>1</v>
      </c>
      <c r="O74" s="9" t="n">
        <f aca="false">IF(N74=1,Assumptions!$B$8,IF(N74=2,Assumptions!$B$9,IF(N74=3,Assumptions!$B$10,0)))</f>
        <v>3</v>
      </c>
      <c r="P74" s="6" t="s">
        <v>30</v>
      </c>
      <c r="Q74" s="6" t="s">
        <v>30</v>
      </c>
      <c r="R74" s="11" t="s">
        <v>30</v>
      </c>
      <c r="S74" s="6" t="s">
        <v>30</v>
      </c>
      <c r="T74" s="11" t="s">
        <v>30</v>
      </c>
      <c r="U74" s="6" t="s">
        <v>30</v>
      </c>
      <c r="V74" s="6" t="s">
        <v>30</v>
      </c>
      <c r="W74" s="6" t="s">
        <v>30</v>
      </c>
      <c r="X74" s="2" t="s">
        <v>30</v>
      </c>
      <c r="Y74" s="6" t="str">
        <f aca="false">IF(AND(X74="processed",ISNUMBER(S74)),S74*O74,"")</f>
        <v/>
      </c>
      <c r="Z74" s="6" t="n">
        <f aca="false">IF(ISNUMBER(K74),K74*O74,0)</f>
        <v>675</v>
      </c>
      <c r="AA74" s="2" t="s">
        <v>31</v>
      </c>
      <c r="AB74" s="6" t="n">
        <v>18950</v>
      </c>
      <c r="AC74" s="6" t="n">
        <v>16038</v>
      </c>
      <c r="AD74" s="6" t="n">
        <v>478</v>
      </c>
      <c r="AE74" s="6" t="n">
        <v>1792.14514160156</v>
      </c>
      <c r="AF74" s="8" t="n">
        <v>870.967741935</v>
      </c>
      <c r="AG74" s="11" t="n">
        <v>-0.01082949309</v>
      </c>
      <c r="AH74" s="12" t="n">
        <v>0.966415385597658</v>
      </c>
      <c r="AI74" s="2" t="s">
        <v>321</v>
      </c>
      <c r="AJ74" s="2" t="s">
        <v>224</v>
      </c>
      <c r="AK74" s="2" t="s">
        <v>224</v>
      </c>
    </row>
    <row r="75" customFormat="false" ht="15" hidden="false" customHeight="false" outlineLevel="0" collapsed="false">
      <c r="A75" s="9" t="n">
        <v>74</v>
      </c>
      <c r="B75" s="2" t="s">
        <v>226</v>
      </c>
      <c r="C75" s="2" t="s">
        <v>62</v>
      </c>
      <c r="D75" s="2" t="s">
        <v>62</v>
      </c>
      <c r="E75" s="2" t="s">
        <v>40</v>
      </c>
      <c r="F75" s="2" t="s">
        <v>227</v>
      </c>
      <c r="G75" s="2" t="s">
        <v>324</v>
      </c>
      <c r="H75" s="8" t="n">
        <v>1233.33415868025</v>
      </c>
      <c r="I75" s="2" t="s">
        <v>316</v>
      </c>
      <c r="J75" s="8" t="n">
        <v>2103080.35714286</v>
      </c>
      <c r="K75" s="6" t="n">
        <v>224</v>
      </c>
      <c r="L75" s="2"/>
      <c r="M75" s="10" t="b">
        <f aca="false">TRUE()</f>
        <v>1</v>
      </c>
      <c r="N75" s="9" t="n">
        <f aca="false">IF(H75="","",IF(H75&gt;=Assumptions!$B$5,1,IF(H75&gt;=Assumptions!$B$6,2,IF(H75&gt;=Assumptions!$B$7,3,""))))</f>
        <v>1</v>
      </c>
      <c r="O75" s="9" t="n">
        <f aca="false">IF(N75=1,Assumptions!$B$8,IF(N75=2,Assumptions!$B$9,IF(N75=3,Assumptions!$B$10,0)))</f>
        <v>3</v>
      </c>
      <c r="P75" s="6" t="s">
        <v>30</v>
      </c>
      <c r="Q75" s="6" t="s">
        <v>30</v>
      </c>
      <c r="R75" s="11" t="s">
        <v>30</v>
      </c>
      <c r="S75" s="6" t="s">
        <v>30</v>
      </c>
      <c r="T75" s="11" t="s">
        <v>30</v>
      </c>
      <c r="U75" s="6" t="s">
        <v>30</v>
      </c>
      <c r="V75" s="6" t="s">
        <v>30</v>
      </c>
      <c r="W75" s="6" t="s">
        <v>30</v>
      </c>
      <c r="X75" s="2" t="s">
        <v>30</v>
      </c>
      <c r="Y75" s="6" t="str">
        <f aca="false">IF(AND(X75="processed",ISNUMBER(S75)),S75*O75,"")</f>
        <v/>
      </c>
      <c r="Z75" s="6" t="n">
        <f aca="false">IF(ISNUMBER(K75),K75*O75,0)</f>
        <v>672</v>
      </c>
      <c r="AA75" s="2" t="s">
        <v>31</v>
      </c>
      <c r="AB75" s="6" t="n">
        <v>11948</v>
      </c>
      <c r="AC75" s="6" t="n">
        <v>10290</v>
      </c>
      <c r="AD75" s="6" t="n">
        <v>148</v>
      </c>
      <c r="AE75" s="6" t="n">
        <v>2268.8271484375</v>
      </c>
      <c r="AF75" s="8" t="n">
        <v>1278.681077483</v>
      </c>
      <c r="AG75" s="11" t="n">
        <v>0.04532036825</v>
      </c>
      <c r="AH75" s="12" t="n">
        <v>1</v>
      </c>
      <c r="AI75" s="2" t="s">
        <v>317</v>
      </c>
      <c r="AJ75" s="2" t="s">
        <v>62</v>
      </c>
      <c r="AK75" s="2" t="s">
        <v>62</v>
      </c>
    </row>
    <row r="76" customFormat="false" ht="15" hidden="false" customHeight="false" outlineLevel="0" collapsed="false">
      <c r="A76" s="9" t="n">
        <v>75</v>
      </c>
      <c r="B76" s="2" t="s">
        <v>228</v>
      </c>
      <c r="C76" s="2" t="s">
        <v>169</v>
      </c>
      <c r="D76" s="2" t="s">
        <v>62</v>
      </c>
      <c r="E76" s="2" t="s">
        <v>40</v>
      </c>
      <c r="F76" s="2" t="s">
        <v>229</v>
      </c>
      <c r="G76" s="2" t="s">
        <v>324</v>
      </c>
      <c r="H76" s="8" t="n">
        <v>1288.5232211212</v>
      </c>
      <c r="I76" s="2" t="s">
        <v>316</v>
      </c>
      <c r="J76" s="8" t="n">
        <v>2198369.95515695</v>
      </c>
      <c r="K76" s="6" t="n">
        <v>223</v>
      </c>
      <c r="L76" s="2"/>
      <c r="M76" s="10" t="b">
        <f aca="false">TRUE()</f>
        <v>1</v>
      </c>
      <c r="N76" s="9" t="n">
        <f aca="false">IF(H76="","",IF(H76&gt;=Assumptions!$B$5,1,IF(H76&gt;=Assumptions!$B$6,2,IF(H76&gt;=Assumptions!$B$7,3,""))))</f>
        <v>1</v>
      </c>
      <c r="O76" s="9" t="n">
        <f aca="false">IF(N76=1,Assumptions!$B$8,IF(N76=2,Assumptions!$B$9,IF(N76=3,Assumptions!$B$10,0)))</f>
        <v>3</v>
      </c>
      <c r="P76" s="6" t="s">
        <v>30</v>
      </c>
      <c r="Q76" s="6" t="s">
        <v>30</v>
      </c>
      <c r="R76" s="11" t="s">
        <v>30</v>
      </c>
      <c r="S76" s="6" t="s">
        <v>30</v>
      </c>
      <c r="T76" s="11" t="s">
        <v>30</v>
      </c>
      <c r="U76" s="6" t="s">
        <v>30</v>
      </c>
      <c r="V76" s="6" t="s">
        <v>30</v>
      </c>
      <c r="W76" s="6" t="s">
        <v>30</v>
      </c>
      <c r="X76" s="2" t="s">
        <v>30</v>
      </c>
      <c r="Y76" s="6" t="str">
        <f aca="false">IF(AND(X76="processed",ISNUMBER(S76)),S76*O76,"")</f>
        <v/>
      </c>
      <c r="Z76" s="6" t="n">
        <f aca="false">IF(ISNUMBER(K76),K76*O76,0)</f>
        <v>669</v>
      </c>
      <c r="AA76" s="2" t="s">
        <v>31</v>
      </c>
      <c r="AB76" s="6" t="n">
        <v>12058</v>
      </c>
      <c r="AC76" s="6" t="n">
        <v>9365</v>
      </c>
      <c r="AD76" s="6" t="n">
        <v>107</v>
      </c>
      <c r="AE76" s="6" t="n">
        <v>2151.22192382813</v>
      </c>
      <c r="AF76" s="8" t="n">
        <v>1395.52238806</v>
      </c>
      <c r="AG76" s="11" t="n">
        <v>0.06220577136</v>
      </c>
      <c r="AH76" s="12" t="n">
        <v>1</v>
      </c>
      <c r="AI76" s="2" t="s">
        <v>317</v>
      </c>
      <c r="AJ76" s="2" t="s">
        <v>169</v>
      </c>
      <c r="AK76" s="2" t="s">
        <v>169</v>
      </c>
    </row>
    <row r="77" customFormat="false" ht="15" hidden="false" customHeight="false" outlineLevel="0" collapsed="false">
      <c r="A77" s="9" t="n">
        <v>76</v>
      </c>
      <c r="B77" s="2" t="s">
        <v>230</v>
      </c>
      <c r="C77" s="2" t="s">
        <v>56</v>
      </c>
      <c r="D77" s="2" t="s">
        <v>56</v>
      </c>
      <c r="E77" s="2" t="s">
        <v>56</v>
      </c>
      <c r="F77" s="2" t="s">
        <v>231</v>
      </c>
      <c r="G77" s="2" t="s">
        <v>324</v>
      </c>
      <c r="H77" s="8" t="n">
        <v>1182.76911293348</v>
      </c>
      <c r="I77" s="2" t="s">
        <v>316</v>
      </c>
      <c r="J77" s="8" t="n">
        <v>2057031.39013453</v>
      </c>
      <c r="K77" s="6" t="n">
        <v>223</v>
      </c>
      <c r="L77" s="2"/>
      <c r="M77" s="10" t="b">
        <f aca="false">TRUE()</f>
        <v>1</v>
      </c>
      <c r="N77" s="9" t="n">
        <f aca="false">IF(H77="","",IF(H77&gt;=Assumptions!$B$5,1,IF(H77&gt;=Assumptions!$B$6,2,IF(H77&gt;=Assumptions!$B$7,3,""))))</f>
        <v>1</v>
      </c>
      <c r="O77" s="9" t="n">
        <f aca="false">IF(N77=1,Assumptions!$B$8,IF(N77=2,Assumptions!$B$9,IF(N77=3,Assumptions!$B$10,0)))</f>
        <v>3</v>
      </c>
      <c r="P77" s="6" t="s">
        <v>30</v>
      </c>
      <c r="Q77" s="6" t="s">
        <v>30</v>
      </c>
      <c r="R77" s="11" t="s">
        <v>30</v>
      </c>
      <c r="S77" s="6" t="s">
        <v>30</v>
      </c>
      <c r="T77" s="11" t="s">
        <v>30</v>
      </c>
      <c r="U77" s="6" t="s">
        <v>30</v>
      </c>
      <c r="V77" s="6" t="s">
        <v>30</v>
      </c>
      <c r="W77" s="6" t="s">
        <v>30</v>
      </c>
      <c r="X77" s="2" t="s">
        <v>30</v>
      </c>
      <c r="Y77" s="6" t="str">
        <f aca="false">IF(AND(X77="processed",ISNUMBER(S77)),S77*O77,"")</f>
        <v/>
      </c>
      <c r="Z77" s="6" t="n">
        <f aca="false">IF(ISNUMBER(K77),K77*O77,0)</f>
        <v>669</v>
      </c>
      <c r="AA77" s="2" t="s">
        <v>31</v>
      </c>
      <c r="AB77" s="6" t="n">
        <v>8436</v>
      </c>
      <c r="AC77" s="6" t="n">
        <v>7907</v>
      </c>
      <c r="AD77" s="6" t="n">
        <v>48</v>
      </c>
      <c r="AE77" s="6" t="n">
        <v>1272.65283203125</v>
      </c>
      <c r="AF77" s="8" t="n">
        <v>1385.833699956</v>
      </c>
      <c r="AG77" s="11" t="n">
        <v>0.1767430014</v>
      </c>
      <c r="AH77" s="12" t="n">
        <v>1</v>
      </c>
      <c r="AI77" s="2" t="s">
        <v>317</v>
      </c>
      <c r="AJ77" s="2" t="s">
        <v>56</v>
      </c>
      <c r="AK77" s="2" t="s">
        <v>56</v>
      </c>
    </row>
    <row r="78" customFormat="false" ht="15" hidden="false" customHeight="false" outlineLevel="0" collapsed="false">
      <c r="A78" s="9" t="n">
        <v>77</v>
      </c>
      <c r="B78" s="2" t="s">
        <v>232</v>
      </c>
      <c r="C78" s="2" t="s">
        <v>62</v>
      </c>
      <c r="D78" s="2" t="s">
        <v>62</v>
      </c>
      <c r="E78" s="2" t="s">
        <v>40</v>
      </c>
      <c r="F78" s="2"/>
      <c r="G78" s="2" t="s">
        <v>324</v>
      </c>
      <c r="H78" s="8" t="n">
        <v>1351.50905469562</v>
      </c>
      <c r="I78" s="2" t="s">
        <v>316</v>
      </c>
      <c r="J78" s="8" t="n">
        <v>2643433.48623853</v>
      </c>
      <c r="K78" s="6" t="n">
        <v>218</v>
      </c>
      <c r="L78" s="2"/>
      <c r="M78" s="10" t="b">
        <f aca="false">TRUE()</f>
        <v>1</v>
      </c>
      <c r="N78" s="9" t="n">
        <f aca="false">IF(H78="","",IF(H78&gt;=Assumptions!$B$5,1,IF(H78&gt;=Assumptions!$B$6,2,IF(H78&gt;=Assumptions!$B$7,3,""))))</f>
        <v>1</v>
      </c>
      <c r="O78" s="9" t="n">
        <f aca="false">IF(N78=1,Assumptions!$B$8,IF(N78=2,Assumptions!$B$9,IF(N78=3,Assumptions!$B$10,0)))</f>
        <v>3</v>
      </c>
      <c r="P78" s="6" t="s">
        <v>30</v>
      </c>
      <c r="Q78" s="6" t="s">
        <v>30</v>
      </c>
      <c r="R78" s="11" t="s">
        <v>30</v>
      </c>
      <c r="S78" s="6" t="s">
        <v>30</v>
      </c>
      <c r="T78" s="11" t="s">
        <v>30</v>
      </c>
      <c r="U78" s="6" t="s">
        <v>30</v>
      </c>
      <c r="V78" s="6" t="s">
        <v>30</v>
      </c>
      <c r="W78" s="6" t="s">
        <v>30</v>
      </c>
      <c r="X78" s="2" t="s">
        <v>30</v>
      </c>
      <c r="Y78" s="6" t="str">
        <f aca="false">IF(AND(X78="processed",ISNUMBER(S78)),S78*O78,"")</f>
        <v/>
      </c>
      <c r="Z78" s="6" t="n">
        <f aca="false">IF(ISNUMBER(K78),K78*O78,0)</f>
        <v>654</v>
      </c>
      <c r="AA78" s="2" t="s">
        <v>31</v>
      </c>
      <c r="AB78" s="6" t="n">
        <v>8983</v>
      </c>
      <c r="AC78" s="6" t="n">
        <v>7589</v>
      </c>
      <c r="AD78" s="6" t="n">
        <v>192</v>
      </c>
      <c r="AE78" s="6" t="n">
        <v>2339.42529296875</v>
      </c>
      <c r="AF78" s="8" t="n">
        <v>1454.571314786</v>
      </c>
      <c r="AG78" s="11" t="n">
        <v>0.0264992762</v>
      </c>
      <c r="AH78" s="12" t="n">
        <v>1</v>
      </c>
      <c r="AI78" s="2" t="s">
        <v>321</v>
      </c>
      <c r="AJ78" s="2" t="s">
        <v>62</v>
      </c>
      <c r="AK78" s="2" t="s">
        <v>62</v>
      </c>
    </row>
    <row r="79" customFormat="false" ht="15" hidden="false" customHeight="false" outlineLevel="0" collapsed="false">
      <c r="A79" s="9" t="n">
        <v>78</v>
      </c>
      <c r="B79" s="2" t="s">
        <v>233</v>
      </c>
      <c r="C79" s="2" t="s">
        <v>133</v>
      </c>
      <c r="D79" s="2" t="s">
        <v>34</v>
      </c>
      <c r="E79" s="2" t="s">
        <v>35</v>
      </c>
      <c r="F79" s="2" t="s">
        <v>234</v>
      </c>
      <c r="G79" s="2" t="s">
        <v>318</v>
      </c>
      <c r="H79" s="8" t="n">
        <v>719.584581873115</v>
      </c>
      <c r="I79" s="2" t="s">
        <v>316</v>
      </c>
      <c r="J79" s="8" t="n">
        <v>1100004.60829493</v>
      </c>
      <c r="K79" s="6" t="n">
        <v>217</v>
      </c>
      <c r="L79" s="2"/>
      <c r="M79" s="10" t="b">
        <f aca="false">TRUE()</f>
        <v>1</v>
      </c>
      <c r="N79" s="9" t="n">
        <f aca="false">IF(H79="","",IF(H79&gt;=Assumptions!$B$5,1,IF(H79&gt;=Assumptions!$B$6,2,IF(H79&gt;=Assumptions!$B$7,3,""))))</f>
        <v>1</v>
      </c>
      <c r="O79" s="9" t="n">
        <f aca="false">IF(N79=1,Assumptions!$B$8,IF(N79=2,Assumptions!$B$9,IF(N79=3,Assumptions!$B$10,0)))</f>
        <v>3</v>
      </c>
      <c r="P79" s="6" t="s">
        <v>30</v>
      </c>
      <c r="Q79" s="6" t="s">
        <v>30</v>
      </c>
      <c r="R79" s="11" t="s">
        <v>30</v>
      </c>
      <c r="S79" s="6" t="s">
        <v>30</v>
      </c>
      <c r="T79" s="11" t="s">
        <v>30</v>
      </c>
      <c r="U79" s="6" t="s">
        <v>30</v>
      </c>
      <c r="V79" s="6" t="s">
        <v>30</v>
      </c>
      <c r="W79" s="6" t="s">
        <v>30</v>
      </c>
      <c r="X79" s="2" t="s">
        <v>30</v>
      </c>
      <c r="Y79" s="6" t="str">
        <f aca="false">IF(AND(X79="processed",ISNUMBER(S79)),S79*O79,"")</f>
        <v/>
      </c>
      <c r="Z79" s="6" t="n">
        <f aca="false">IF(ISNUMBER(K79),K79*O79,0)</f>
        <v>651</v>
      </c>
      <c r="AA79" s="2" t="s">
        <v>31</v>
      </c>
      <c r="AB79" s="6" t="n">
        <v>13346</v>
      </c>
      <c r="AC79" s="6" t="n">
        <v>9473</v>
      </c>
      <c r="AD79" s="6" t="n">
        <v>78</v>
      </c>
      <c r="AE79" s="6" t="n">
        <v>1623.93017578125</v>
      </c>
      <c r="AF79" s="8" t="n">
        <v>782.926829268</v>
      </c>
      <c r="AG79" s="11" t="n">
        <v>0.1862527716</v>
      </c>
      <c r="AH79" s="12" t="n">
        <v>1</v>
      </c>
      <c r="AI79" s="2" t="s">
        <v>319</v>
      </c>
      <c r="AJ79" s="2"/>
      <c r="AK79" s="2" t="s">
        <v>133</v>
      </c>
    </row>
    <row r="80" customFormat="false" ht="15" hidden="false" customHeight="false" outlineLevel="0" collapsed="false">
      <c r="A80" s="9" t="n">
        <v>79</v>
      </c>
      <c r="B80" s="2" t="s">
        <v>235</v>
      </c>
      <c r="C80" s="2" t="s">
        <v>56</v>
      </c>
      <c r="D80" s="2" t="s">
        <v>56</v>
      </c>
      <c r="E80" s="2" t="s">
        <v>56</v>
      </c>
      <c r="F80" s="2" t="s">
        <v>236</v>
      </c>
      <c r="G80" s="2" t="s">
        <v>324</v>
      </c>
      <c r="H80" s="8" t="n">
        <v>1102.98813509967</v>
      </c>
      <c r="I80" s="2" t="s">
        <v>316</v>
      </c>
      <c r="J80" s="8" t="n">
        <v>1805560.18518519</v>
      </c>
      <c r="K80" s="6" t="n">
        <v>216</v>
      </c>
      <c r="L80" s="2"/>
      <c r="M80" s="10" t="b">
        <f aca="false">TRUE()</f>
        <v>1</v>
      </c>
      <c r="N80" s="9" t="n">
        <f aca="false">IF(H80="","",IF(H80&gt;=Assumptions!$B$5,1,IF(H80&gt;=Assumptions!$B$6,2,IF(H80&gt;=Assumptions!$B$7,3,""))))</f>
        <v>1</v>
      </c>
      <c r="O80" s="9" t="n">
        <f aca="false">IF(N80=1,Assumptions!$B$8,IF(N80=2,Assumptions!$B$9,IF(N80=3,Assumptions!$B$10,0)))</f>
        <v>3</v>
      </c>
      <c r="P80" s="6" t="s">
        <v>30</v>
      </c>
      <c r="Q80" s="6" t="s">
        <v>30</v>
      </c>
      <c r="R80" s="11" t="s">
        <v>30</v>
      </c>
      <c r="S80" s="6" t="s">
        <v>30</v>
      </c>
      <c r="T80" s="11" t="s">
        <v>30</v>
      </c>
      <c r="U80" s="6" t="s">
        <v>30</v>
      </c>
      <c r="V80" s="6" t="s">
        <v>30</v>
      </c>
      <c r="W80" s="6" t="s">
        <v>30</v>
      </c>
      <c r="X80" s="2" t="s">
        <v>30</v>
      </c>
      <c r="Y80" s="6" t="str">
        <f aca="false">IF(AND(X80="processed",ISNUMBER(S80)),S80*O80,"")</f>
        <v/>
      </c>
      <c r="Z80" s="6" t="n">
        <f aca="false">IF(ISNUMBER(K80),K80*O80,0)</f>
        <v>648</v>
      </c>
      <c r="AA80" s="2" t="s">
        <v>31</v>
      </c>
      <c r="AB80" s="6" t="n">
        <v>14848</v>
      </c>
      <c r="AC80" s="6" t="n">
        <v>14496</v>
      </c>
      <c r="AD80" s="6" t="n">
        <v>76</v>
      </c>
      <c r="AE80" s="6" t="n">
        <v>1384.9931640625</v>
      </c>
      <c r="AF80" s="8" t="n">
        <v>1204.128440367</v>
      </c>
      <c r="AG80" s="11" t="n">
        <v>0.1265618844</v>
      </c>
      <c r="AH80" s="12" t="n">
        <v>1</v>
      </c>
      <c r="AI80" s="2" t="s">
        <v>317</v>
      </c>
      <c r="AJ80" s="2" t="s">
        <v>56</v>
      </c>
      <c r="AK80" s="2" t="s">
        <v>341</v>
      </c>
    </row>
    <row r="81" customFormat="false" ht="15" hidden="false" customHeight="false" outlineLevel="0" collapsed="false">
      <c r="A81" s="9" t="n">
        <v>80</v>
      </c>
      <c r="B81" s="2" t="s">
        <v>237</v>
      </c>
      <c r="C81" s="2" t="s">
        <v>187</v>
      </c>
      <c r="D81" s="2" t="s">
        <v>95</v>
      </c>
      <c r="E81" s="2" t="s">
        <v>95</v>
      </c>
      <c r="F81" s="2" t="s">
        <v>238</v>
      </c>
      <c r="G81" s="2" t="s">
        <v>330</v>
      </c>
      <c r="H81" s="8" t="n">
        <v>787.224531854704</v>
      </c>
      <c r="I81" s="2" t="s">
        <v>316</v>
      </c>
      <c r="J81" s="8" t="n">
        <v>1376342.59259259</v>
      </c>
      <c r="K81" s="6" t="n">
        <v>216</v>
      </c>
      <c r="L81" s="2"/>
      <c r="M81" s="10" t="b">
        <f aca="false">TRUE()</f>
        <v>1</v>
      </c>
      <c r="N81" s="9" t="n">
        <f aca="false">IF(H81="","",IF(H81&gt;=Assumptions!$B$5,1,IF(H81&gt;=Assumptions!$B$6,2,IF(H81&gt;=Assumptions!$B$7,3,""))))</f>
        <v>1</v>
      </c>
      <c r="O81" s="9" t="n">
        <f aca="false">IF(N81=1,Assumptions!$B$8,IF(N81=2,Assumptions!$B$9,IF(N81=3,Assumptions!$B$10,0)))</f>
        <v>3</v>
      </c>
      <c r="P81" s="6" t="s">
        <v>30</v>
      </c>
      <c r="Q81" s="6" t="s">
        <v>30</v>
      </c>
      <c r="R81" s="11" t="s">
        <v>30</v>
      </c>
      <c r="S81" s="6" t="s">
        <v>30</v>
      </c>
      <c r="T81" s="11" t="s">
        <v>30</v>
      </c>
      <c r="U81" s="6" t="s">
        <v>30</v>
      </c>
      <c r="V81" s="6" t="s">
        <v>30</v>
      </c>
      <c r="W81" s="6" t="s">
        <v>30</v>
      </c>
      <c r="X81" s="2" t="s">
        <v>30</v>
      </c>
      <c r="Y81" s="6" t="str">
        <f aca="false">IF(AND(X81="processed",ISNUMBER(S81)),S81*O81,"")</f>
        <v/>
      </c>
      <c r="Z81" s="6" t="n">
        <f aca="false">IF(ISNUMBER(K81),K81*O81,0)</f>
        <v>648</v>
      </c>
      <c r="AA81" s="2" t="s">
        <v>31</v>
      </c>
      <c r="AB81" s="6" t="n">
        <v>11550</v>
      </c>
      <c r="AC81" s="6" t="n">
        <v>8943</v>
      </c>
      <c r="AD81" s="6" t="n">
        <v>125</v>
      </c>
      <c r="AE81" s="6" t="n">
        <v>2535.7255859375</v>
      </c>
      <c r="AF81" s="8" t="n">
        <v>841.979554444</v>
      </c>
      <c r="AG81" s="11" t="n">
        <v>0.006958053565</v>
      </c>
      <c r="AH81" s="12" t="n">
        <v>0.976810153778567</v>
      </c>
      <c r="AI81" s="2" t="s">
        <v>317</v>
      </c>
      <c r="AJ81" s="2" t="s">
        <v>187</v>
      </c>
      <c r="AK81" s="2" t="s">
        <v>187</v>
      </c>
    </row>
    <row r="82" customFormat="false" ht="15" hidden="false" customHeight="false" outlineLevel="0" collapsed="false">
      <c r="A82" s="9" t="n">
        <v>81</v>
      </c>
      <c r="B82" s="2" t="s">
        <v>239</v>
      </c>
      <c r="C82" s="2" t="s">
        <v>70</v>
      </c>
      <c r="D82" s="2" t="s">
        <v>70</v>
      </c>
      <c r="E82" s="2" t="s">
        <v>71</v>
      </c>
      <c r="F82" s="2" t="s">
        <v>240</v>
      </c>
      <c r="G82" s="2" t="s">
        <v>329</v>
      </c>
      <c r="H82" s="8" t="n">
        <v>910.327273531163</v>
      </c>
      <c r="I82" s="2" t="s">
        <v>316</v>
      </c>
      <c r="J82" s="8" t="n">
        <v>1218744.18604651</v>
      </c>
      <c r="K82" s="6" t="n">
        <v>215</v>
      </c>
      <c r="L82" s="2"/>
      <c r="M82" s="10" t="b">
        <f aca="false">TRUE()</f>
        <v>1</v>
      </c>
      <c r="N82" s="9" t="n">
        <f aca="false">IF(H82="","",IF(H82&gt;=Assumptions!$B$5,1,IF(H82&gt;=Assumptions!$B$6,2,IF(H82&gt;=Assumptions!$B$7,3,""))))</f>
        <v>1</v>
      </c>
      <c r="O82" s="9" t="n">
        <f aca="false">IF(N82=1,Assumptions!$B$8,IF(N82=2,Assumptions!$B$9,IF(N82=3,Assumptions!$B$10,0)))</f>
        <v>3</v>
      </c>
      <c r="P82" s="6" t="s">
        <v>30</v>
      </c>
      <c r="Q82" s="6" t="s">
        <v>30</v>
      </c>
      <c r="R82" s="11" t="s">
        <v>30</v>
      </c>
      <c r="S82" s="6" t="s">
        <v>30</v>
      </c>
      <c r="T82" s="11" t="s">
        <v>30</v>
      </c>
      <c r="U82" s="6" t="s">
        <v>30</v>
      </c>
      <c r="V82" s="6" t="s">
        <v>30</v>
      </c>
      <c r="W82" s="6" t="s">
        <v>30</v>
      </c>
      <c r="X82" s="2" t="s">
        <v>30</v>
      </c>
      <c r="Y82" s="6" t="str">
        <f aca="false">IF(AND(X82="processed",ISNUMBER(S82)),S82*O82,"")</f>
        <v/>
      </c>
      <c r="Z82" s="6" t="n">
        <f aca="false">IF(ISNUMBER(K82),K82*O82,0)</f>
        <v>645</v>
      </c>
      <c r="AA82" s="2" t="s">
        <v>31</v>
      </c>
      <c r="AB82" s="6" t="n">
        <v>20015</v>
      </c>
      <c r="AC82" s="6" t="n">
        <v>13490</v>
      </c>
      <c r="AD82" s="6" t="n">
        <v>257</v>
      </c>
      <c r="AE82" s="6" t="n">
        <v>1532.02136230469</v>
      </c>
      <c r="AF82" s="8" t="n">
        <v>910.436775368</v>
      </c>
      <c r="AG82" s="11" t="n">
        <v>0.01950432815</v>
      </c>
      <c r="AH82" s="12" t="n">
        <v>0.999999999999998</v>
      </c>
      <c r="AI82" s="2" t="s">
        <v>317</v>
      </c>
      <c r="AJ82" s="2" t="s">
        <v>70</v>
      </c>
      <c r="AK82" s="2" t="s">
        <v>70</v>
      </c>
    </row>
    <row r="83" customFormat="false" ht="15" hidden="false" customHeight="false" outlineLevel="0" collapsed="false">
      <c r="A83" s="9" t="n">
        <v>82</v>
      </c>
      <c r="B83" s="2" t="s">
        <v>241</v>
      </c>
      <c r="C83" s="2" t="s">
        <v>242</v>
      </c>
      <c r="D83" s="2" t="s">
        <v>70</v>
      </c>
      <c r="E83" s="2" t="s">
        <v>71</v>
      </c>
      <c r="F83" s="2" t="s">
        <v>243</v>
      </c>
      <c r="G83" s="2" t="s">
        <v>329</v>
      </c>
      <c r="H83" s="8" t="n">
        <v>929.384366565875</v>
      </c>
      <c r="I83" s="2" t="s">
        <v>316</v>
      </c>
      <c r="J83" s="8" t="n">
        <v>2222325.58139535</v>
      </c>
      <c r="K83" s="6" t="n">
        <v>215</v>
      </c>
      <c r="L83" s="2"/>
      <c r="M83" s="10" t="b">
        <f aca="false">TRUE()</f>
        <v>1</v>
      </c>
      <c r="N83" s="9" t="n">
        <f aca="false">IF(H83="","",IF(H83&gt;=Assumptions!$B$5,1,IF(H83&gt;=Assumptions!$B$6,2,IF(H83&gt;=Assumptions!$B$7,3,""))))</f>
        <v>1</v>
      </c>
      <c r="O83" s="9" t="n">
        <f aca="false">IF(N83=1,Assumptions!$B$8,IF(N83=2,Assumptions!$B$9,IF(N83=3,Assumptions!$B$10,0)))</f>
        <v>3</v>
      </c>
      <c r="P83" s="6" t="s">
        <v>30</v>
      </c>
      <c r="Q83" s="6" t="s">
        <v>30</v>
      </c>
      <c r="R83" s="11" t="s">
        <v>30</v>
      </c>
      <c r="S83" s="6" t="s">
        <v>30</v>
      </c>
      <c r="T83" s="11" t="s">
        <v>30</v>
      </c>
      <c r="U83" s="6" t="s">
        <v>30</v>
      </c>
      <c r="V83" s="6" t="s">
        <v>30</v>
      </c>
      <c r="W83" s="6" t="s">
        <v>30</v>
      </c>
      <c r="X83" s="2" t="s">
        <v>30</v>
      </c>
      <c r="Y83" s="6" t="str">
        <f aca="false">IF(AND(X83="processed",ISNUMBER(S83)),S83*O83,"")</f>
        <v/>
      </c>
      <c r="Z83" s="6" t="n">
        <f aca="false">IF(ISNUMBER(K83),K83*O83,0)</f>
        <v>645</v>
      </c>
      <c r="AA83" s="2" t="s">
        <v>31</v>
      </c>
      <c r="AB83" s="6" t="n">
        <v>11095</v>
      </c>
      <c r="AC83" s="6" t="n">
        <v>7895</v>
      </c>
      <c r="AD83" s="6" t="n">
        <v>192</v>
      </c>
      <c r="AE83" s="6" t="n">
        <v>2442.06372070313</v>
      </c>
      <c r="AF83" s="8" t="n">
        <v>907.514450867</v>
      </c>
      <c r="AG83" s="11" t="n">
        <v>0.0008931039244</v>
      </c>
      <c r="AH83" s="12" t="n">
        <v>1</v>
      </c>
      <c r="AI83" s="2" t="s">
        <v>317</v>
      </c>
      <c r="AJ83" s="2" t="s">
        <v>242</v>
      </c>
      <c r="AK83" s="2" t="s">
        <v>70</v>
      </c>
    </row>
    <row r="84" customFormat="false" ht="15" hidden="false" customHeight="false" outlineLevel="0" collapsed="false">
      <c r="A84" s="9" t="n">
        <v>83</v>
      </c>
      <c r="B84" s="2" t="s">
        <v>244</v>
      </c>
      <c r="C84" s="2" t="s">
        <v>245</v>
      </c>
      <c r="D84" s="2" t="s">
        <v>70</v>
      </c>
      <c r="E84" s="2" t="s">
        <v>71</v>
      </c>
      <c r="F84" s="2" t="s">
        <v>246</v>
      </c>
      <c r="G84" s="2" t="s">
        <v>329</v>
      </c>
      <c r="H84" s="8" t="n">
        <v>708.532924646108</v>
      </c>
      <c r="I84" s="2" t="s">
        <v>316</v>
      </c>
      <c r="J84" s="8" t="n">
        <v>2000032.71028037</v>
      </c>
      <c r="K84" s="6" t="n">
        <v>214</v>
      </c>
      <c r="L84" s="2"/>
      <c r="M84" s="10" t="b">
        <f aca="false">TRUE()</f>
        <v>1</v>
      </c>
      <c r="N84" s="9" t="n">
        <f aca="false">IF(H84="","",IF(H84&gt;=Assumptions!$B$5,1,IF(H84&gt;=Assumptions!$B$6,2,IF(H84&gt;=Assumptions!$B$7,3,""))))</f>
        <v>1</v>
      </c>
      <c r="O84" s="9" t="n">
        <f aca="false">IF(N84=1,Assumptions!$B$8,IF(N84=2,Assumptions!$B$9,IF(N84=3,Assumptions!$B$10,0)))</f>
        <v>3</v>
      </c>
      <c r="P84" s="6" t="s">
        <v>30</v>
      </c>
      <c r="Q84" s="6" t="s">
        <v>30</v>
      </c>
      <c r="R84" s="11" t="s">
        <v>30</v>
      </c>
      <c r="S84" s="6" t="s">
        <v>30</v>
      </c>
      <c r="T84" s="11" t="s">
        <v>30</v>
      </c>
      <c r="U84" s="6" t="s">
        <v>30</v>
      </c>
      <c r="V84" s="6" t="s">
        <v>30</v>
      </c>
      <c r="W84" s="6" t="s">
        <v>30</v>
      </c>
      <c r="X84" s="2" t="s">
        <v>30</v>
      </c>
      <c r="Y84" s="6" t="str">
        <f aca="false">IF(AND(X84="processed",ISNUMBER(S84)),S84*O84,"")</f>
        <v/>
      </c>
      <c r="Z84" s="6" t="n">
        <f aca="false">IF(ISNUMBER(K84),K84*O84,0)</f>
        <v>642</v>
      </c>
      <c r="AA84" s="2" t="s">
        <v>31</v>
      </c>
      <c r="AB84" s="6" t="n">
        <v>9873</v>
      </c>
      <c r="AC84" s="6" t="n">
        <v>8079</v>
      </c>
      <c r="AD84" s="6" t="n">
        <v>291</v>
      </c>
      <c r="AE84" s="6" t="n">
        <v>2948.05053710938</v>
      </c>
      <c r="AF84" s="8" t="n">
        <v>730.572798634</v>
      </c>
      <c r="AG84" s="11" t="n">
        <v>-0.04074982842</v>
      </c>
      <c r="AH84" s="12" t="n">
        <v>0.999810120914648</v>
      </c>
      <c r="AI84" s="2" t="s">
        <v>317</v>
      </c>
      <c r="AJ84" s="2" t="s">
        <v>245</v>
      </c>
      <c r="AK84" s="2" t="s">
        <v>245</v>
      </c>
    </row>
    <row r="85" customFormat="false" ht="15" hidden="false" customHeight="false" outlineLevel="0" collapsed="false">
      <c r="A85" s="9" t="n">
        <v>84</v>
      </c>
      <c r="B85" s="2" t="s">
        <v>247</v>
      </c>
      <c r="C85" s="2" t="s">
        <v>100</v>
      </c>
      <c r="D85" s="2" t="s">
        <v>39</v>
      </c>
      <c r="E85" s="2" t="s">
        <v>40</v>
      </c>
      <c r="F85" s="2" t="s">
        <v>248</v>
      </c>
      <c r="G85" s="2" t="s">
        <v>320</v>
      </c>
      <c r="H85" s="8" t="n">
        <v>1798.30219981307</v>
      </c>
      <c r="I85" s="2" t="s">
        <v>316</v>
      </c>
      <c r="J85" s="8" t="n">
        <v>4535658.87850467</v>
      </c>
      <c r="K85" s="6" t="n">
        <v>214</v>
      </c>
      <c r="L85" s="2"/>
      <c r="M85" s="10" t="b">
        <f aca="false">TRUE()</f>
        <v>1</v>
      </c>
      <c r="N85" s="9" t="n">
        <f aca="false">IF(H85="","",IF(H85&gt;=Assumptions!$B$5,1,IF(H85&gt;=Assumptions!$B$6,2,IF(H85&gt;=Assumptions!$B$7,3,""))))</f>
        <v>1</v>
      </c>
      <c r="O85" s="9" t="n">
        <f aca="false">IF(N85=1,Assumptions!$B$8,IF(N85=2,Assumptions!$B$9,IF(N85=3,Assumptions!$B$10,0)))</f>
        <v>3</v>
      </c>
      <c r="P85" s="6" t="s">
        <v>30</v>
      </c>
      <c r="Q85" s="6" t="s">
        <v>30</v>
      </c>
      <c r="R85" s="11" t="s">
        <v>30</v>
      </c>
      <c r="S85" s="6" t="s">
        <v>30</v>
      </c>
      <c r="T85" s="11" t="s">
        <v>30</v>
      </c>
      <c r="U85" s="6" t="s">
        <v>30</v>
      </c>
      <c r="V85" s="6" t="s">
        <v>30</v>
      </c>
      <c r="W85" s="6" t="s">
        <v>30</v>
      </c>
      <c r="X85" s="2" t="s">
        <v>30</v>
      </c>
      <c r="Y85" s="6" t="str">
        <f aca="false">IF(AND(X85="processed",ISNUMBER(S85)),S85*O85,"")</f>
        <v/>
      </c>
      <c r="Z85" s="6" t="n">
        <f aca="false">IF(ISNUMBER(K85),K85*O85,0)</f>
        <v>642</v>
      </c>
      <c r="AA85" s="2" t="s">
        <v>31</v>
      </c>
      <c r="AB85" s="6" t="n">
        <v>9523</v>
      </c>
      <c r="AC85" s="6" t="n">
        <v>8605</v>
      </c>
      <c r="AD85" s="6" t="n">
        <v>491</v>
      </c>
      <c r="AE85" s="6" t="n">
        <v>3183.548828125</v>
      </c>
      <c r="AF85" s="8" t="n">
        <v>1809.137687276</v>
      </c>
      <c r="AG85" s="11" t="n">
        <v>0.0068673565</v>
      </c>
      <c r="AH85" s="12" t="n">
        <v>1</v>
      </c>
      <c r="AI85" s="2" t="s">
        <v>347</v>
      </c>
      <c r="AJ85" s="2" t="s">
        <v>100</v>
      </c>
      <c r="AK85" s="2" t="s">
        <v>100</v>
      </c>
    </row>
    <row r="86" customFormat="false" ht="15" hidden="false" customHeight="false" outlineLevel="0" collapsed="false">
      <c r="A86" s="9" t="n">
        <v>85</v>
      </c>
      <c r="B86" s="2" t="s">
        <v>249</v>
      </c>
      <c r="C86" s="2" t="s">
        <v>250</v>
      </c>
      <c r="D86" s="2" t="s">
        <v>70</v>
      </c>
      <c r="E86" s="2" t="s">
        <v>71</v>
      </c>
      <c r="F86" s="2" t="s">
        <v>251</v>
      </c>
      <c r="G86" s="2" t="s">
        <v>329</v>
      </c>
      <c r="H86" s="8" t="n">
        <v>820.791831333</v>
      </c>
      <c r="I86" s="2" t="s">
        <v>316</v>
      </c>
      <c r="J86" s="8" t="n">
        <v>1981969.48356808</v>
      </c>
      <c r="K86" s="6" t="n">
        <v>213</v>
      </c>
      <c r="L86" s="2"/>
      <c r="M86" s="10" t="b">
        <f aca="false">TRUE()</f>
        <v>1</v>
      </c>
      <c r="N86" s="9" t="n">
        <f aca="false">IF(H86="","",IF(H86&gt;=Assumptions!$B$5,1,IF(H86&gt;=Assumptions!$B$6,2,IF(H86&gt;=Assumptions!$B$7,3,""))))</f>
        <v>1</v>
      </c>
      <c r="O86" s="9" t="n">
        <f aca="false">IF(N86=1,Assumptions!$B$8,IF(N86=2,Assumptions!$B$9,IF(N86=3,Assumptions!$B$10,0)))</f>
        <v>3</v>
      </c>
      <c r="P86" s="6" t="s">
        <v>30</v>
      </c>
      <c r="Q86" s="6" t="s">
        <v>30</v>
      </c>
      <c r="R86" s="11" t="s">
        <v>30</v>
      </c>
      <c r="S86" s="6" t="s">
        <v>30</v>
      </c>
      <c r="T86" s="11" t="s">
        <v>30</v>
      </c>
      <c r="U86" s="6" t="s">
        <v>30</v>
      </c>
      <c r="V86" s="6" t="s">
        <v>30</v>
      </c>
      <c r="W86" s="6" t="s">
        <v>30</v>
      </c>
      <c r="X86" s="2" t="s">
        <v>30</v>
      </c>
      <c r="Y86" s="6" t="str">
        <f aca="false">IF(AND(X86="processed",ISNUMBER(S86)),S86*O86,"")</f>
        <v/>
      </c>
      <c r="Z86" s="6" t="n">
        <f aca="false">IF(ISNUMBER(K86),K86*O86,0)</f>
        <v>639</v>
      </c>
      <c r="AA86" s="2" t="s">
        <v>31</v>
      </c>
      <c r="AB86" s="6" t="n">
        <v>10448</v>
      </c>
      <c r="AC86" s="6" t="n">
        <v>7189</v>
      </c>
      <c r="AD86" s="6" t="n">
        <v>133</v>
      </c>
      <c r="AE86" s="6" t="n">
        <v>2368.80590820313</v>
      </c>
      <c r="AF86" s="8" t="n">
        <v>846.41800802</v>
      </c>
      <c r="AG86" s="11" t="n">
        <v>-0.04092658773</v>
      </c>
      <c r="AH86" s="12" t="n">
        <v>1</v>
      </c>
      <c r="AI86" s="2" t="s">
        <v>317</v>
      </c>
      <c r="AJ86" s="2" t="s">
        <v>250</v>
      </c>
      <c r="AK86" s="2" t="s">
        <v>70</v>
      </c>
    </row>
    <row r="87" customFormat="false" ht="15" hidden="false" customHeight="false" outlineLevel="0" collapsed="false">
      <c r="A87" s="9" t="n">
        <v>86</v>
      </c>
      <c r="B87" s="2" t="s">
        <v>252</v>
      </c>
      <c r="C87" s="2" t="s">
        <v>165</v>
      </c>
      <c r="D87" s="2" t="s">
        <v>105</v>
      </c>
      <c r="E87" s="2" t="s">
        <v>51</v>
      </c>
      <c r="F87" s="2" t="s">
        <v>253</v>
      </c>
      <c r="G87" s="2" t="s">
        <v>318</v>
      </c>
      <c r="H87" s="8" t="n">
        <v>726.813680983376</v>
      </c>
      <c r="I87" s="2" t="s">
        <v>316</v>
      </c>
      <c r="J87" s="8" t="n">
        <v>2372046.94835681</v>
      </c>
      <c r="K87" s="6" t="n">
        <v>213</v>
      </c>
      <c r="L87" s="2"/>
      <c r="M87" s="10" t="b">
        <f aca="false">TRUE()</f>
        <v>1</v>
      </c>
      <c r="N87" s="9" t="n">
        <f aca="false">IF(H87="","",IF(H87&gt;=Assumptions!$B$5,1,IF(H87&gt;=Assumptions!$B$6,2,IF(H87&gt;=Assumptions!$B$7,3,""))))</f>
        <v>1</v>
      </c>
      <c r="O87" s="9" t="n">
        <f aca="false">IF(N87=1,Assumptions!$B$8,IF(N87=2,Assumptions!$B$9,IF(N87=3,Assumptions!$B$10,0)))</f>
        <v>3</v>
      </c>
      <c r="P87" s="6" t="s">
        <v>30</v>
      </c>
      <c r="Q87" s="6" t="s">
        <v>30</v>
      </c>
      <c r="R87" s="11" t="s">
        <v>30</v>
      </c>
      <c r="S87" s="6" t="s">
        <v>30</v>
      </c>
      <c r="T87" s="11" t="s">
        <v>30</v>
      </c>
      <c r="U87" s="6" t="s">
        <v>30</v>
      </c>
      <c r="V87" s="6" t="s">
        <v>30</v>
      </c>
      <c r="W87" s="6" t="s">
        <v>30</v>
      </c>
      <c r="X87" s="2" t="s">
        <v>30</v>
      </c>
      <c r="Y87" s="6" t="str">
        <f aca="false">IF(AND(X87="processed",ISNUMBER(S87)),S87*O87,"")</f>
        <v/>
      </c>
      <c r="Z87" s="6" t="n">
        <f aca="false">IF(ISNUMBER(K87),K87*O87,0)</f>
        <v>639</v>
      </c>
      <c r="AA87" s="2" t="s">
        <v>31</v>
      </c>
      <c r="AB87" s="6" t="n">
        <v>8521</v>
      </c>
      <c r="AC87" s="6" t="n">
        <v>7732</v>
      </c>
      <c r="AD87" s="6" t="n">
        <v>4269</v>
      </c>
      <c r="AE87" s="6" t="n">
        <v>3092.4609375</v>
      </c>
      <c r="AF87" s="8" t="n">
        <v>720.104268491</v>
      </c>
      <c r="AG87" s="11" t="n">
        <v>-0.08825436024</v>
      </c>
      <c r="AH87" s="12" t="n">
        <v>1</v>
      </c>
      <c r="AI87" s="2" t="s">
        <v>317</v>
      </c>
      <c r="AJ87" s="2" t="s">
        <v>165</v>
      </c>
      <c r="AK87" s="2" t="s">
        <v>165</v>
      </c>
    </row>
    <row r="88" customFormat="false" ht="15" hidden="false" customHeight="false" outlineLevel="0" collapsed="false">
      <c r="A88" s="9" t="n">
        <v>87</v>
      </c>
      <c r="B88" s="2" t="s">
        <v>254</v>
      </c>
      <c r="C88" s="2" t="s">
        <v>255</v>
      </c>
      <c r="D88" s="2" t="s">
        <v>39</v>
      </c>
      <c r="E88" s="2" t="s">
        <v>40</v>
      </c>
      <c r="F88" s="2" t="s">
        <v>256</v>
      </c>
      <c r="G88" s="2" t="s">
        <v>320</v>
      </c>
      <c r="H88" s="8" t="n">
        <v>1673.32811479882</v>
      </c>
      <c r="I88" s="2" t="s">
        <v>316</v>
      </c>
      <c r="J88" s="8" t="n">
        <v>3404641.50943396</v>
      </c>
      <c r="K88" s="6" t="n">
        <v>212</v>
      </c>
      <c r="L88" s="2"/>
      <c r="M88" s="10" t="b">
        <f aca="false">TRUE()</f>
        <v>1</v>
      </c>
      <c r="N88" s="9" t="n">
        <f aca="false">IF(H88="","",IF(H88&gt;=Assumptions!$B$5,1,IF(H88&gt;=Assumptions!$B$6,2,IF(H88&gt;=Assumptions!$B$7,3,""))))</f>
        <v>1</v>
      </c>
      <c r="O88" s="9" t="n">
        <f aca="false">IF(N88=1,Assumptions!$B$8,IF(N88=2,Assumptions!$B$9,IF(N88=3,Assumptions!$B$10,0)))</f>
        <v>3</v>
      </c>
      <c r="P88" s="6" t="s">
        <v>30</v>
      </c>
      <c r="Q88" s="6" t="s">
        <v>30</v>
      </c>
      <c r="R88" s="11" t="s">
        <v>30</v>
      </c>
      <c r="S88" s="6" t="s">
        <v>30</v>
      </c>
      <c r="T88" s="11" t="s">
        <v>30</v>
      </c>
      <c r="U88" s="6" t="s">
        <v>30</v>
      </c>
      <c r="V88" s="6" t="s">
        <v>30</v>
      </c>
      <c r="W88" s="6" t="s">
        <v>30</v>
      </c>
      <c r="X88" s="2" t="s">
        <v>30</v>
      </c>
      <c r="Y88" s="6" t="str">
        <f aca="false">IF(AND(X88="processed",ISNUMBER(S88)),S88*O88,"")</f>
        <v/>
      </c>
      <c r="Z88" s="6" t="n">
        <f aca="false">IF(ISNUMBER(K88),K88*O88,0)</f>
        <v>636</v>
      </c>
      <c r="AA88" s="2" t="s">
        <v>31</v>
      </c>
      <c r="AB88" s="6" t="n">
        <v>22373</v>
      </c>
      <c r="AC88" s="6" t="n">
        <v>15786</v>
      </c>
      <c r="AD88" s="6" t="n">
        <v>289</v>
      </c>
      <c r="AE88" s="6" t="n">
        <v>2487.42211914063</v>
      </c>
      <c r="AF88" s="8" t="n">
        <v>1652.089881852</v>
      </c>
      <c r="AG88" s="11" t="n">
        <v>-0.05558215674</v>
      </c>
      <c r="AH88" s="12" t="n">
        <v>1</v>
      </c>
      <c r="AI88" s="2" t="s">
        <v>317</v>
      </c>
      <c r="AJ88" s="2" t="s">
        <v>255</v>
      </c>
      <c r="AK88" s="2" t="s">
        <v>255</v>
      </c>
    </row>
    <row r="89" customFormat="false" ht="15" hidden="false" customHeight="false" outlineLevel="0" collapsed="false">
      <c r="A89" s="9" t="n">
        <v>88</v>
      </c>
      <c r="B89" s="2" t="s">
        <v>257</v>
      </c>
      <c r="C89" s="2" t="s">
        <v>258</v>
      </c>
      <c r="D89" s="2" t="s">
        <v>39</v>
      </c>
      <c r="E89" s="2" t="s">
        <v>40</v>
      </c>
      <c r="F89" s="2" t="s">
        <v>259</v>
      </c>
      <c r="G89" s="2" t="s">
        <v>320</v>
      </c>
      <c r="H89" s="8" t="n">
        <v>1232.71961616166</v>
      </c>
      <c r="I89" s="2" t="s">
        <v>316</v>
      </c>
      <c r="J89" s="8" t="n">
        <v>2132189.57345972</v>
      </c>
      <c r="K89" s="6" t="n">
        <v>211</v>
      </c>
      <c r="L89" s="2"/>
      <c r="M89" s="10" t="b">
        <f aca="false">TRUE()</f>
        <v>1</v>
      </c>
      <c r="N89" s="9" t="n">
        <f aca="false">IF(H89="","",IF(H89&gt;=Assumptions!$B$5,1,IF(H89&gt;=Assumptions!$B$6,2,IF(H89&gt;=Assumptions!$B$7,3,""))))</f>
        <v>1</v>
      </c>
      <c r="O89" s="9" t="n">
        <f aca="false">IF(N89=1,Assumptions!$B$8,IF(N89=2,Assumptions!$B$9,IF(N89=3,Assumptions!$B$10,0)))</f>
        <v>3</v>
      </c>
      <c r="P89" s="6" t="s">
        <v>30</v>
      </c>
      <c r="Q89" s="6" t="s">
        <v>30</v>
      </c>
      <c r="R89" s="11" t="s">
        <v>30</v>
      </c>
      <c r="S89" s="6" t="s">
        <v>30</v>
      </c>
      <c r="T89" s="11" t="s">
        <v>30</v>
      </c>
      <c r="U89" s="6" t="s">
        <v>30</v>
      </c>
      <c r="V89" s="6" t="s">
        <v>30</v>
      </c>
      <c r="W89" s="6" t="s">
        <v>30</v>
      </c>
      <c r="X89" s="2" t="s">
        <v>30</v>
      </c>
      <c r="Y89" s="6" t="str">
        <f aca="false">IF(AND(X89="processed",ISNUMBER(S89)),S89*O89,"")</f>
        <v/>
      </c>
      <c r="Z89" s="6" t="n">
        <f aca="false">IF(ISNUMBER(K89),K89*O89,0)</f>
        <v>633</v>
      </c>
      <c r="AA89" s="2" t="s">
        <v>31</v>
      </c>
      <c r="AB89" s="6" t="n">
        <v>15374</v>
      </c>
      <c r="AC89" s="6" t="n">
        <v>12634</v>
      </c>
      <c r="AD89" s="6" t="n">
        <v>799</v>
      </c>
      <c r="AE89" s="6" t="n">
        <v>2327.79052734375</v>
      </c>
      <c r="AF89" s="8" t="n">
        <v>1250.124459137</v>
      </c>
      <c r="AG89" s="11" t="n">
        <v>-0.03948220976</v>
      </c>
      <c r="AH89" s="12" t="n">
        <v>0.999999999999999</v>
      </c>
      <c r="AI89" s="2" t="s">
        <v>317</v>
      </c>
      <c r="AJ89" s="2" t="s">
        <v>258</v>
      </c>
      <c r="AK89" s="2" t="s">
        <v>258</v>
      </c>
    </row>
    <row r="90" customFormat="false" ht="15" hidden="false" customHeight="false" outlineLevel="0" collapsed="false">
      <c r="A90" s="9" t="n">
        <v>89</v>
      </c>
      <c r="B90" s="2" t="s">
        <v>260</v>
      </c>
      <c r="C90" s="2" t="s">
        <v>184</v>
      </c>
      <c r="D90" s="2" t="s">
        <v>27</v>
      </c>
      <c r="E90" s="2" t="s">
        <v>28</v>
      </c>
      <c r="F90" s="2" t="s">
        <v>261</v>
      </c>
      <c r="G90" s="2" t="s">
        <v>315</v>
      </c>
      <c r="H90" s="8" t="n">
        <v>710.1821989814</v>
      </c>
      <c r="I90" s="2" t="s">
        <v>316</v>
      </c>
      <c r="J90" s="8" t="n">
        <v>1848358.21428571</v>
      </c>
      <c r="K90" s="6" t="n">
        <v>210</v>
      </c>
      <c r="L90" s="2"/>
      <c r="M90" s="10" t="b">
        <f aca="false">TRUE()</f>
        <v>1</v>
      </c>
      <c r="N90" s="9" t="n">
        <f aca="false">IF(H90="","",IF(H90&gt;=Assumptions!$B$5,1,IF(H90&gt;=Assumptions!$B$6,2,IF(H90&gt;=Assumptions!$B$7,3,""))))</f>
        <v>1</v>
      </c>
      <c r="O90" s="9" t="n">
        <f aca="false">IF(N90=1,Assumptions!$B$8,IF(N90=2,Assumptions!$B$9,IF(N90=3,Assumptions!$B$10,0)))</f>
        <v>3</v>
      </c>
      <c r="P90" s="6" t="s">
        <v>30</v>
      </c>
      <c r="Q90" s="6" t="s">
        <v>30</v>
      </c>
      <c r="R90" s="11" t="s">
        <v>30</v>
      </c>
      <c r="S90" s="6" t="s">
        <v>30</v>
      </c>
      <c r="T90" s="11" t="s">
        <v>30</v>
      </c>
      <c r="U90" s="6" t="s">
        <v>30</v>
      </c>
      <c r="V90" s="6" t="s">
        <v>30</v>
      </c>
      <c r="W90" s="6" t="s">
        <v>30</v>
      </c>
      <c r="X90" s="2" t="s">
        <v>30</v>
      </c>
      <c r="Y90" s="6" t="str">
        <f aca="false">IF(AND(X90="processed",ISNUMBER(S90)),S90*O90,"")</f>
        <v/>
      </c>
      <c r="Z90" s="6" t="n">
        <f aca="false">IF(ISNUMBER(K90),K90*O90,0)</f>
        <v>630</v>
      </c>
      <c r="AA90" s="2" t="s">
        <v>31</v>
      </c>
      <c r="AB90" s="6" t="n">
        <v>9530</v>
      </c>
      <c r="AC90" s="6" t="n">
        <v>8815</v>
      </c>
      <c r="AD90" s="6" t="n">
        <v>130</v>
      </c>
      <c r="AE90" s="6" t="n">
        <v>2545.07348632813</v>
      </c>
      <c r="AF90" s="8" t="n">
        <v>694.915795144</v>
      </c>
      <c r="AG90" s="11" t="n">
        <v>-0.01944985044</v>
      </c>
      <c r="AH90" s="12" t="n">
        <v>0.999999999999999</v>
      </c>
      <c r="AI90" s="2" t="s">
        <v>317</v>
      </c>
      <c r="AJ90" s="2" t="s">
        <v>184</v>
      </c>
      <c r="AK90" s="2" t="s">
        <v>184</v>
      </c>
    </row>
    <row r="91" customFormat="false" ht="15" hidden="false" customHeight="false" outlineLevel="0" collapsed="false">
      <c r="A91" s="9" t="n">
        <v>90</v>
      </c>
      <c r="B91" s="2" t="s">
        <v>262</v>
      </c>
      <c r="C91" s="2" t="s">
        <v>263</v>
      </c>
      <c r="D91" s="2" t="s">
        <v>27</v>
      </c>
      <c r="E91" s="2" t="s">
        <v>28</v>
      </c>
      <c r="F91" s="2" t="s">
        <v>264</v>
      </c>
      <c r="G91" s="2" t="s">
        <v>315</v>
      </c>
      <c r="H91" s="8" t="n">
        <v>835.061920547</v>
      </c>
      <c r="I91" s="2" t="s">
        <v>316</v>
      </c>
      <c r="J91" s="8" t="n">
        <v>2375133.97129187</v>
      </c>
      <c r="K91" s="6" t="n">
        <v>209</v>
      </c>
      <c r="L91" s="2"/>
      <c r="M91" s="10" t="b">
        <f aca="false">TRUE()</f>
        <v>1</v>
      </c>
      <c r="N91" s="9" t="n">
        <f aca="false">IF(H91="","",IF(H91&gt;=Assumptions!$B$5,1,IF(H91&gt;=Assumptions!$B$6,2,IF(H91&gt;=Assumptions!$B$7,3,""))))</f>
        <v>1</v>
      </c>
      <c r="O91" s="9" t="n">
        <f aca="false">IF(N91=1,Assumptions!$B$8,IF(N91=2,Assumptions!$B$9,IF(N91=3,Assumptions!$B$10,0)))</f>
        <v>3</v>
      </c>
      <c r="P91" s="6" t="s">
        <v>30</v>
      </c>
      <c r="Q91" s="6" t="s">
        <v>30</v>
      </c>
      <c r="R91" s="11" t="s">
        <v>30</v>
      </c>
      <c r="S91" s="6" t="s">
        <v>30</v>
      </c>
      <c r="T91" s="11" t="s">
        <v>30</v>
      </c>
      <c r="U91" s="6" t="s">
        <v>30</v>
      </c>
      <c r="V91" s="6" t="s">
        <v>30</v>
      </c>
      <c r="W91" s="6" t="s">
        <v>30</v>
      </c>
      <c r="X91" s="2" t="s">
        <v>30</v>
      </c>
      <c r="Y91" s="6" t="str">
        <f aca="false">IF(AND(X91="processed",ISNUMBER(S91)),S91*O91,"")</f>
        <v/>
      </c>
      <c r="Z91" s="6" t="n">
        <f aca="false">IF(ISNUMBER(K91),K91*O91,0)</f>
        <v>627</v>
      </c>
      <c r="AA91" s="2" t="s">
        <v>31</v>
      </c>
      <c r="AB91" s="6" t="n">
        <v>17532</v>
      </c>
      <c r="AC91" s="6" t="n">
        <v>15366</v>
      </c>
      <c r="AD91" s="6" t="n">
        <v>517</v>
      </c>
      <c r="AE91" s="6" t="n">
        <v>1914.1044921875</v>
      </c>
      <c r="AF91" s="8" t="n">
        <v>825.654963465</v>
      </c>
      <c r="AG91" s="11" t="n">
        <v>-0.08758129461</v>
      </c>
      <c r="AH91" s="12" t="n">
        <v>1</v>
      </c>
      <c r="AI91" s="2" t="s">
        <v>317</v>
      </c>
      <c r="AJ91" s="2" t="s">
        <v>263</v>
      </c>
      <c r="AK91" s="2" t="s">
        <v>263</v>
      </c>
    </row>
    <row r="92" customFormat="false" ht="15" hidden="false" customHeight="false" outlineLevel="0" collapsed="false">
      <c r="A92" s="9" t="n">
        <v>91</v>
      </c>
      <c r="B92" s="2" t="s">
        <v>265</v>
      </c>
      <c r="C92" s="2" t="s">
        <v>266</v>
      </c>
      <c r="D92" s="2" t="s">
        <v>34</v>
      </c>
      <c r="E92" s="2" t="s">
        <v>35</v>
      </c>
      <c r="F92" s="2"/>
      <c r="G92" s="2" t="s">
        <v>318</v>
      </c>
      <c r="H92" s="8" t="n">
        <v>695.012019651348</v>
      </c>
      <c r="I92" s="2" t="s">
        <v>316</v>
      </c>
      <c r="J92" s="8" t="n">
        <v>1107667.73162939</v>
      </c>
      <c r="K92" s="6" t="n">
        <v>313</v>
      </c>
      <c r="L92" s="2"/>
      <c r="M92" s="10" t="b">
        <f aca="false">TRUE()</f>
        <v>1</v>
      </c>
      <c r="N92" s="9" t="n">
        <f aca="false">IF(H92="","",IF(H92&gt;=Assumptions!$B$5,1,IF(H92&gt;=Assumptions!$B$6,2,IF(H92&gt;=Assumptions!$B$7,3,""))))</f>
        <v>2</v>
      </c>
      <c r="O92" s="9" t="n">
        <f aca="false">IF(N92=1,Assumptions!$B$8,IF(N92=2,Assumptions!$B$9,IF(N92=3,Assumptions!$B$10,0)))</f>
        <v>2</v>
      </c>
      <c r="P92" s="6" t="s">
        <v>30</v>
      </c>
      <c r="Q92" s="6" t="s">
        <v>30</v>
      </c>
      <c r="R92" s="11" t="s">
        <v>30</v>
      </c>
      <c r="S92" s="6" t="s">
        <v>30</v>
      </c>
      <c r="T92" s="11" t="s">
        <v>30</v>
      </c>
      <c r="U92" s="6" t="s">
        <v>30</v>
      </c>
      <c r="V92" s="6" t="s">
        <v>30</v>
      </c>
      <c r="W92" s="6" t="s">
        <v>30</v>
      </c>
      <c r="X92" s="2" t="s">
        <v>30</v>
      </c>
      <c r="Y92" s="6" t="str">
        <f aca="false">IF(AND(X92="processed",ISNUMBER(S92)),S92*O92,"")</f>
        <v/>
      </c>
      <c r="Z92" s="6" t="n">
        <f aca="false">IF(ISNUMBER(K92),K92*O92,0)</f>
        <v>626</v>
      </c>
      <c r="AA92" s="2" t="s">
        <v>31</v>
      </c>
      <c r="AB92" s="6" t="n">
        <v>16868</v>
      </c>
      <c r="AC92" s="6" t="n">
        <v>13649</v>
      </c>
      <c r="AD92" s="6" t="n">
        <v>5174</v>
      </c>
      <c r="AE92" s="6" t="n">
        <v>2007.54809570313</v>
      </c>
      <c r="AF92" s="8" t="n">
        <v>706.168831169</v>
      </c>
      <c r="AG92" s="11" t="n">
        <v>-0.03501522401</v>
      </c>
      <c r="AH92" s="12" t="n">
        <v>0.999999999999999</v>
      </c>
      <c r="AI92" s="2" t="s">
        <v>319</v>
      </c>
      <c r="AJ92" s="2"/>
      <c r="AK92" s="2" t="s">
        <v>266</v>
      </c>
    </row>
    <row r="93" customFormat="false" ht="15" hidden="false" customHeight="false" outlineLevel="0" collapsed="false">
      <c r="A93" s="9" t="n">
        <v>92</v>
      </c>
      <c r="B93" s="2" t="s">
        <v>267</v>
      </c>
      <c r="C93" s="2" t="s">
        <v>34</v>
      </c>
      <c r="D93" s="2" t="s">
        <v>34</v>
      </c>
      <c r="E93" s="2" t="s">
        <v>35</v>
      </c>
      <c r="F93" s="2" t="s">
        <v>268</v>
      </c>
      <c r="G93" s="2" t="s">
        <v>318</v>
      </c>
      <c r="H93" s="8" t="n">
        <v>785.376406990692</v>
      </c>
      <c r="I93" s="2" t="s">
        <v>316</v>
      </c>
      <c r="J93" s="8" t="n">
        <v>1372843.75</v>
      </c>
      <c r="K93" s="6" t="n">
        <v>208</v>
      </c>
      <c r="L93" s="2"/>
      <c r="M93" s="10" t="b">
        <f aca="false">TRUE()</f>
        <v>1</v>
      </c>
      <c r="N93" s="9" t="n">
        <f aca="false">IF(H93="","",IF(H93&gt;=Assumptions!$B$5,1,IF(H93&gt;=Assumptions!$B$6,2,IF(H93&gt;=Assumptions!$B$7,3,""))))</f>
        <v>1</v>
      </c>
      <c r="O93" s="9" t="n">
        <f aca="false">IF(N93=1,Assumptions!$B$8,IF(N93=2,Assumptions!$B$9,IF(N93=3,Assumptions!$B$10,0)))</f>
        <v>3</v>
      </c>
      <c r="P93" s="6" t="s">
        <v>30</v>
      </c>
      <c r="Q93" s="6" t="s">
        <v>30</v>
      </c>
      <c r="R93" s="11" t="s">
        <v>30</v>
      </c>
      <c r="S93" s="6" t="s">
        <v>30</v>
      </c>
      <c r="T93" s="11" t="s">
        <v>30</v>
      </c>
      <c r="U93" s="6" t="s">
        <v>30</v>
      </c>
      <c r="V93" s="6" t="s">
        <v>30</v>
      </c>
      <c r="W93" s="6" t="s">
        <v>30</v>
      </c>
      <c r="X93" s="2" t="s">
        <v>30</v>
      </c>
      <c r="Y93" s="6" t="str">
        <f aca="false">IF(AND(X93="processed",ISNUMBER(S93)),S93*O93,"")</f>
        <v/>
      </c>
      <c r="Z93" s="6" t="n">
        <f aca="false">IF(ISNUMBER(K93),K93*O93,0)</f>
        <v>624</v>
      </c>
      <c r="AA93" s="2" t="s">
        <v>31</v>
      </c>
      <c r="AB93" s="6" t="n">
        <v>20980</v>
      </c>
      <c r="AC93" s="6" t="n">
        <v>15235</v>
      </c>
      <c r="AD93" s="6" t="n">
        <v>266</v>
      </c>
      <c r="AE93" s="6" t="n">
        <v>1671.99865722656</v>
      </c>
      <c r="AF93" s="8" t="n">
        <v>827.74049217</v>
      </c>
      <c r="AG93" s="11" t="n">
        <v>-0.04189038031</v>
      </c>
      <c r="AH93" s="12" t="n">
        <v>0.634689189644424</v>
      </c>
      <c r="AI93" s="2" t="s">
        <v>319</v>
      </c>
      <c r="AJ93" s="2"/>
      <c r="AK93" s="2" t="s">
        <v>34</v>
      </c>
    </row>
    <row r="94" customFormat="false" ht="15" hidden="false" customHeight="false" outlineLevel="0" collapsed="false">
      <c r="A94" s="9" t="n">
        <v>93</v>
      </c>
      <c r="B94" s="2" t="s">
        <v>269</v>
      </c>
      <c r="C94" s="2" t="s">
        <v>270</v>
      </c>
      <c r="D94" s="2" t="s">
        <v>39</v>
      </c>
      <c r="E94" s="2" t="s">
        <v>40</v>
      </c>
      <c r="F94" s="2"/>
      <c r="G94" s="2" t="s">
        <v>320</v>
      </c>
      <c r="H94" s="8" t="n">
        <v>1578.87667326293</v>
      </c>
      <c r="I94" s="2" t="s">
        <v>316</v>
      </c>
      <c r="J94" s="8" t="n">
        <v>4336254.80769231</v>
      </c>
      <c r="K94" s="6" t="n">
        <v>208</v>
      </c>
      <c r="L94" s="2"/>
      <c r="M94" s="10" t="b">
        <f aca="false">TRUE()</f>
        <v>1</v>
      </c>
      <c r="N94" s="9" t="n">
        <f aca="false">IF(H94="","",IF(H94&gt;=Assumptions!$B$5,1,IF(H94&gt;=Assumptions!$B$6,2,IF(H94&gt;=Assumptions!$B$7,3,""))))</f>
        <v>1</v>
      </c>
      <c r="O94" s="9" t="n">
        <f aca="false">IF(N94=1,Assumptions!$B$8,IF(N94=2,Assumptions!$B$9,IF(N94=3,Assumptions!$B$10,0)))</f>
        <v>3</v>
      </c>
      <c r="P94" s="6" t="s">
        <v>30</v>
      </c>
      <c r="Q94" s="6" t="s">
        <v>30</v>
      </c>
      <c r="R94" s="11" t="s">
        <v>30</v>
      </c>
      <c r="S94" s="6" t="s">
        <v>30</v>
      </c>
      <c r="T94" s="11" t="s">
        <v>30</v>
      </c>
      <c r="U94" s="6" t="s">
        <v>30</v>
      </c>
      <c r="V94" s="6" t="s">
        <v>30</v>
      </c>
      <c r="W94" s="6" t="s">
        <v>30</v>
      </c>
      <c r="X94" s="2" t="s">
        <v>30</v>
      </c>
      <c r="Y94" s="6" t="str">
        <f aca="false">IF(AND(X94="processed",ISNUMBER(S94)),S94*O94,"")</f>
        <v/>
      </c>
      <c r="Z94" s="6" t="n">
        <f aca="false">IF(ISNUMBER(K94),K94*O94,0)</f>
        <v>624</v>
      </c>
      <c r="AA94" s="2" t="s">
        <v>31</v>
      </c>
      <c r="AB94" s="6" t="n">
        <v>12645</v>
      </c>
      <c r="AC94" s="6" t="n">
        <v>10887</v>
      </c>
      <c r="AD94" s="6" t="n">
        <v>3616</v>
      </c>
      <c r="AE94" s="6" t="n">
        <v>3456.01025390625</v>
      </c>
      <c r="AF94" s="8" t="n">
        <v>1640.52496799</v>
      </c>
      <c r="AG94" s="11" t="n">
        <v>0.05799503565</v>
      </c>
      <c r="AH94" s="12" t="n">
        <v>0.999206525391632</v>
      </c>
      <c r="AI94" s="2" t="s">
        <v>317</v>
      </c>
      <c r="AJ94" s="2" t="s">
        <v>270</v>
      </c>
      <c r="AK94" s="2" t="s">
        <v>270</v>
      </c>
    </row>
    <row r="95" customFormat="false" ht="15" hidden="false" customHeight="false" outlineLevel="0" collapsed="false">
      <c r="A95" s="9" t="n">
        <v>94</v>
      </c>
      <c r="B95" s="2" t="s">
        <v>271</v>
      </c>
      <c r="C95" s="2" t="s">
        <v>272</v>
      </c>
      <c r="D95" s="2" t="s">
        <v>273</v>
      </c>
      <c r="E95" s="2" t="s">
        <v>273</v>
      </c>
      <c r="F95" s="2" t="s">
        <v>274</v>
      </c>
      <c r="G95" s="2" t="s">
        <v>348</v>
      </c>
      <c r="H95" s="8" t="n">
        <v>714.261504830459</v>
      </c>
      <c r="I95" s="2" t="s">
        <v>316</v>
      </c>
      <c r="J95" s="8" t="n">
        <v>1922487.92270531</v>
      </c>
      <c r="K95" s="6" t="n">
        <v>207</v>
      </c>
      <c r="L95" s="2"/>
      <c r="M95" s="10" t="b">
        <f aca="false">TRUE()</f>
        <v>1</v>
      </c>
      <c r="N95" s="9" t="n">
        <f aca="false">IF(H95="","",IF(H95&gt;=Assumptions!$B$5,1,IF(H95&gt;=Assumptions!$B$6,2,IF(H95&gt;=Assumptions!$B$7,3,""))))</f>
        <v>1</v>
      </c>
      <c r="O95" s="9" t="n">
        <f aca="false">IF(N95=1,Assumptions!$B$8,IF(N95=2,Assumptions!$B$9,IF(N95=3,Assumptions!$B$10,0)))</f>
        <v>3</v>
      </c>
      <c r="P95" s="6" t="s">
        <v>30</v>
      </c>
      <c r="Q95" s="6" t="s">
        <v>30</v>
      </c>
      <c r="R95" s="11" t="s">
        <v>30</v>
      </c>
      <c r="S95" s="6" t="s">
        <v>30</v>
      </c>
      <c r="T95" s="11" t="s">
        <v>30</v>
      </c>
      <c r="U95" s="6" t="s">
        <v>30</v>
      </c>
      <c r="V95" s="6" t="s">
        <v>30</v>
      </c>
      <c r="W95" s="6" t="s">
        <v>30</v>
      </c>
      <c r="X95" s="2" t="s">
        <v>30</v>
      </c>
      <c r="Y95" s="6" t="str">
        <f aca="false">IF(AND(X95="processed",ISNUMBER(S95)),S95*O95,"")</f>
        <v/>
      </c>
      <c r="Z95" s="6" t="n">
        <f aca="false">IF(ISNUMBER(K95),K95*O95,0)</f>
        <v>621</v>
      </c>
      <c r="AA95" s="2" t="s">
        <v>31</v>
      </c>
      <c r="AB95" s="6" t="n">
        <v>7440</v>
      </c>
      <c r="AC95" s="6" t="n">
        <v>6317</v>
      </c>
      <c r="AD95" s="6" t="n">
        <v>2172</v>
      </c>
      <c r="AE95" s="6" t="n">
        <v>2947.47924804688</v>
      </c>
      <c r="AF95" s="8" t="n">
        <v>767.918711507</v>
      </c>
      <c r="AG95" s="11" t="n">
        <v>0.05744360766</v>
      </c>
      <c r="AH95" s="12" t="n">
        <v>0.83078567379948</v>
      </c>
      <c r="AI95" s="2" t="s">
        <v>317</v>
      </c>
      <c r="AJ95" s="2" t="s">
        <v>272</v>
      </c>
      <c r="AK95" s="2" t="s">
        <v>349</v>
      </c>
    </row>
    <row r="96" customFormat="false" ht="15" hidden="false" customHeight="false" outlineLevel="0" collapsed="false">
      <c r="A96" s="9" t="n">
        <v>95</v>
      </c>
      <c r="B96" s="2" t="s">
        <v>275</v>
      </c>
      <c r="C96" s="2" t="s">
        <v>276</v>
      </c>
      <c r="D96" s="2" t="s">
        <v>70</v>
      </c>
      <c r="E96" s="2" t="s">
        <v>71</v>
      </c>
      <c r="F96" s="2"/>
      <c r="G96" s="2" t="s">
        <v>329</v>
      </c>
      <c r="H96" s="8" t="n">
        <v>636.78250237189</v>
      </c>
      <c r="I96" s="2" t="s">
        <v>316</v>
      </c>
      <c r="J96" s="8" t="n">
        <v>759563.106796117</v>
      </c>
      <c r="K96" s="6" t="n">
        <v>309</v>
      </c>
      <c r="L96" s="2"/>
      <c r="M96" s="10" t="b">
        <f aca="false">TRUE()</f>
        <v>1</v>
      </c>
      <c r="N96" s="9" t="n">
        <f aca="false">IF(H96="","",IF(H96&gt;=Assumptions!$B$5,1,IF(H96&gt;=Assumptions!$B$6,2,IF(H96&gt;=Assumptions!$B$7,3,""))))</f>
        <v>2</v>
      </c>
      <c r="O96" s="9" t="n">
        <f aca="false">IF(N96=1,Assumptions!$B$8,IF(N96=2,Assumptions!$B$9,IF(N96=3,Assumptions!$B$10,0)))</f>
        <v>2</v>
      </c>
      <c r="P96" s="6" t="s">
        <v>30</v>
      </c>
      <c r="Q96" s="6" t="s">
        <v>30</v>
      </c>
      <c r="R96" s="11" t="s">
        <v>30</v>
      </c>
      <c r="S96" s="6" t="s">
        <v>30</v>
      </c>
      <c r="T96" s="11" t="s">
        <v>30</v>
      </c>
      <c r="U96" s="6" t="s">
        <v>30</v>
      </c>
      <c r="V96" s="6" t="s">
        <v>30</v>
      </c>
      <c r="W96" s="6" t="s">
        <v>30</v>
      </c>
      <c r="X96" s="2" t="s">
        <v>30</v>
      </c>
      <c r="Y96" s="6" t="str">
        <f aca="false">IF(AND(X96="processed",ISNUMBER(S96)),S96*O96,"")</f>
        <v/>
      </c>
      <c r="Z96" s="6" t="n">
        <f aca="false">IF(ISNUMBER(K96),K96*O96,0)</f>
        <v>618</v>
      </c>
      <c r="AA96" s="2" t="s">
        <v>31</v>
      </c>
      <c r="AB96" s="6" t="n">
        <v>32470</v>
      </c>
      <c r="AC96" s="6" t="n">
        <v>24139</v>
      </c>
      <c r="AD96" s="6" t="n">
        <v>219</v>
      </c>
      <c r="AE96" s="6" t="n">
        <v>1835.95263671875</v>
      </c>
      <c r="AF96" s="8" t="n">
        <v>638.654964827</v>
      </c>
      <c r="AG96" s="11" t="n">
        <v>0.07910666471</v>
      </c>
      <c r="AH96" s="12" t="n">
        <v>1</v>
      </c>
      <c r="AI96" s="2" t="s">
        <v>317</v>
      </c>
      <c r="AJ96" s="2" t="s">
        <v>276</v>
      </c>
      <c r="AK96" s="2" t="s">
        <v>276</v>
      </c>
    </row>
    <row r="97" customFormat="false" ht="15" hidden="false" customHeight="false" outlineLevel="0" collapsed="false">
      <c r="A97" s="9" t="n">
        <v>96</v>
      </c>
      <c r="B97" s="2" t="s">
        <v>277</v>
      </c>
      <c r="C97" s="2" t="s">
        <v>278</v>
      </c>
      <c r="D97" s="2" t="s">
        <v>70</v>
      </c>
      <c r="E97" s="2" t="s">
        <v>71</v>
      </c>
      <c r="F97" s="2" t="s">
        <v>279</v>
      </c>
      <c r="G97" s="2" t="s">
        <v>329</v>
      </c>
      <c r="H97" s="8" t="n">
        <v>866.051856414451</v>
      </c>
      <c r="I97" s="2" t="s">
        <v>316</v>
      </c>
      <c r="J97" s="8" t="n">
        <v>1598733.00970874</v>
      </c>
      <c r="K97" s="6" t="n">
        <v>206</v>
      </c>
      <c r="L97" s="2"/>
      <c r="M97" s="10" t="b">
        <f aca="false">TRUE()</f>
        <v>1</v>
      </c>
      <c r="N97" s="9" t="n">
        <f aca="false">IF(H97="","",IF(H97&gt;=Assumptions!$B$5,1,IF(H97&gt;=Assumptions!$B$6,2,IF(H97&gt;=Assumptions!$B$7,3,""))))</f>
        <v>1</v>
      </c>
      <c r="O97" s="9" t="n">
        <f aca="false">IF(N97=1,Assumptions!$B$8,IF(N97=2,Assumptions!$B$9,IF(N97=3,Assumptions!$B$10,0)))</f>
        <v>3</v>
      </c>
      <c r="P97" s="6" t="s">
        <v>30</v>
      </c>
      <c r="Q97" s="6" t="s">
        <v>30</v>
      </c>
      <c r="R97" s="11" t="s">
        <v>30</v>
      </c>
      <c r="S97" s="6" t="s">
        <v>30</v>
      </c>
      <c r="T97" s="11" t="s">
        <v>30</v>
      </c>
      <c r="U97" s="6" t="s">
        <v>30</v>
      </c>
      <c r="V97" s="6" t="s">
        <v>30</v>
      </c>
      <c r="W97" s="6" t="s">
        <v>30</v>
      </c>
      <c r="X97" s="2" t="s">
        <v>30</v>
      </c>
      <c r="Y97" s="6" t="str">
        <f aca="false">IF(AND(X97="processed",ISNUMBER(S97)),S97*O97,"")</f>
        <v/>
      </c>
      <c r="Z97" s="6" t="n">
        <f aca="false">IF(ISNUMBER(K97),K97*O97,0)</f>
        <v>618</v>
      </c>
      <c r="AA97" s="2" t="s">
        <v>31</v>
      </c>
      <c r="AB97" s="6" t="n">
        <v>16867</v>
      </c>
      <c r="AC97" s="6" t="n">
        <v>12252</v>
      </c>
      <c r="AD97" s="6" t="n">
        <v>523</v>
      </c>
      <c r="AE97" s="6" t="n">
        <v>2018.720703125</v>
      </c>
      <c r="AF97" s="8" t="n">
        <v>842.88542502</v>
      </c>
      <c r="AG97" s="11" t="n">
        <v>-0.02014569341</v>
      </c>
      <c r="AH97" s="12" t="n">
        <v>1</v>
      </c>
      <c r="AI97" s="2" t="s">
        <v>317</v>
      </c>
      <c r="AJ97" s="2" t="s">
        <v>278</v>
      </c>
      <c r="AK97" s="2" t="s">
        <v>278</v>
      </c>
    </row>
    <row r="98" customFormat="false" ht="15" hidden="false" customHeight="false" outlineLevel="0" collapsed="false">
      <c r="A98" s="9" t="n">
        <v>97</v>
      </c>
      <c r="B98" s="2" t="s">
        <v>280</v>
      </c>
      <c r="C98" s="2" t="s">
        <v>38</v>
      </c>
      <c r="D98" s="2" t="s">
        <v>39</v>
      </c>
      <c r="E98" s="2" t="s">
        <v>40</v>
      </c>
      <c r="F98" s="2"/>
      <c r="G98" s="2" t="s">
        <v>320</v>
      </c>
      <c r="H98" s="8" t="n">
        <v>1129.19170563423</v>
      </c>
      <c r="I98" s="2" t="s">
        <v>316</v>
      </c>
      <c r="J98" s="8" t="n">
        <v>1690073.89162562</v>
      </c>
      <c r="K98" s="6" t="n">
        <v>203</v>
      </c>
      <c r="L98" s="2"/>
      <c r="M98" s="10" t="b">
        <f aca="false">TRUE()</f>
        <v>1</v>
      </c>
      <c r="N98" s="9" t="n">
        <f aca="false">IF(H98="","",IF(H98&gt;=Assumptions!$B$5,1,IF(H98&gt;=Assumptions!$B$6,2,IF(H98&gt;=Assumptions!$B$7,3,""))))</f>
        <v>1</v>
      </c>
      <c r="O98" s="9" t="n">
        <f aca="false">IF(N98=1,Assumptions!$B$8,IF(N98=2,Assumptions!$B$9,IF(N98=3,Assumptions!$B$10,0)))</f>
        <v>3</v>
      </c>
      <c r="P98" s="6" t="s">
        <v>30</v>
      </c>
      <c r="Q98" s="6" t="s">
        <v>30</v>
      </c>
      <c r="R98" s="11" t="s">
        <v>30</v>
      </c>
      <c r="S98" s="6" t="s">
        <v>30</v>
      </c>
      <c r="T98" s="11" t="s">
        <v>30</v>
      </c>
      <c r="U98" s="6" t="s">
        <v>30</v>
      </c>
      <c r="V98" s="6" t="s">
        <v>30</v>
      </c>
      <c r="W98" s="6" t="s">
        <v>30</v>
      </c>
      <c r="X98" s="2" t="s">
        <v>30</v>
      </c>
      <c r="Y98" s="6" t="str">
        <f aca="false">IF(AND(X98="processed",ISNUMBER(S98)),S98*O98,"")</f>
        <v/>
      </c>
      <c r="Z98" s="6" t="n">
        <f aca="false">IF(ISNUMBER(K98),K98*O98,0)</f>
        <v>609</v>
      </c>
      <c r="AA98" s="2" t="s">
        <v>31</v>
      </c>
      <c r="AB98" s="6" t="n">
        <v>11715</v>
      </c>
      <c r="AC98" s="6" t="n">
        <v>8805</v>
      </c>
      <c r="AD98" s="6" t="n">
        <v>76</v>
      </c>
      <c r="AE98" s="6" t="n">
        <v>2428.08642578125</v>
      </c>
      <c r="AF98" s="8" t="n">
        <v>1119.437172775</v>
      </c>
      <c r="AG98" s="11" t="n">
        <v>-0.04409984765</v>
      </c>
      <c r="AH98" s="12" t="n">
        <v>0.999999999999999</v>
      </c>
      <c r="AI98" s="2" t="s">
        <v>317</v>
      </c>
      <c r="AJ98" s="2" t="s">
        <v>38</v>
      </c>
      <c r="AK98" s="2" t="s">
        <v>38</v>
      </c>
    </row>
    <row r="99" customFormat="false" ht="15" hidden="false" customHeight="false" outlineLevel="0" collapsed="false">
      <c r="A99" s="9" t="n">
        <v>98</v>
      </c>
      <c r="B99" s="2" t="s">
        <v>281</v>
      </c>
      <c r="C99" s="2" t="s">
        <v>197</v>
      </c>
      <c r="D99" s="2" t="s">
        <v>197</v>
      </c>
      <c r="E99" s="2" t="s">
        <v>51</v>
      </c>
      <c r="F99" s="2" t="s">
        <v>282</v>
      </c>
      <c r="G99" s="2" t="s">
        <v>338</v>
      </c>
      <c r="H99" s="8" t="n">
        <v>918.73049984104</v>
      </c>
      <c r="I99" s="2" t="s">
        <v>316</v>
      </c>
      <c r="J99" s="8" t="n">
        <v>1497027.22772277</v>
      </c>
      <c r="K99" s="6" t="n">
        <v>202</v>
      </c>
      <c r="L99" s="2"/>
      <c r="M99" s="10" t="b">
        <f aca="false">TRUE()</f>
        <v>1</v>
      </c>
      <c r="N99" s="9" t="n">
        <f aca="false">IF(H99="","",IF(H99&gt;=Assumptions!$B$5,1,IF(H99&gt;=Assumptions!$B$6,2,IF(H99&gt;=Assumptions!$B$7,3,""))))</f>
        <v>1</v>
      </c>
      <c r="O99" s="9" t="n">
        <f aca="false">IF(N99=1,Assumptions!$B$8,IF(N99=2,Assumptions!$B$9,IF(N99=3,Assumptions!$B$10,0)))</f>
        <v>3</v>
      </c>
      <c r="P99" s="6" t="s">
        <v>30</v>
      </c>
      <c r="Q99" s="6" t="s">
        <v>30</v>
      </c>
      <c r="R99" s="11" t="s">
        <v>30</v>
      </c>
      <c r="S99" s="6" t="s">
        <v>30</v>
      </c>
      <c r="T99" s="11" t="s">
        <v>30</v>
      </c>
      <c r="U99" s="6" t="s">
        <v>30</v>
      </c>
      <c r="V99" s="6" t="s">
        <v>30</v>
      </c>
      <c r="W99" s="6" t="s">
        <v>30</v>
      </c>
      <c r="X99" s="2" t="s">
        <v>30</v>
      </c>
      <c r="Y99" s="6" t="str">
        <f aca="false">IF(AND(X99="processed",ISNUMBER(S99)),S99*O99,"")</f>
        <v/>
      </c>
      <c r="Z99" s="6" t="n">
        <f aca="false">IF(ISNUMBER(K99),K99*O99,0)</f>
        <v>606</v>
      </c>
      <c r="AA99" s="2" t="s">
        <v>31</v>
      </c>
      <c r="AB99" s="6" t="n">
        <v>19404</v>
      </c>
      <c r="AC99" s="6" t="n">
        <v>15485</v>
      </c>
      <c r="AD99" s="6" t="n">
        <v>3030</v>
      </c>
      <c r="AE99" s="6" t="n">
        <v>1828.9111328125</v>
      </c>
      <c r="AF99" s="8" t="n">
        <v>929.675385478</v>
      </c>
      <c r="AG99" s="11" t="n">
        <v>-0.01346932355</v>
      </c>
      <c r="AH99" s="12" t="n">
        <v>0.967615606515829</v>
      </c>
      <c r="AI99" s="2" t="s">
        <v>350</v>
      </c>
      <c r="AJ99" s="2" t="s">
        <v>197</v>
      </c>
      <c r="AK99" s="2" t="s">
        <v>197</v>
      </c>
    </row>
    <row r="100" customFormat="false" ht="15" hidden="false" customHeight="false" outlineLevel="0" collapsed="false">
      <c r="A100" s="9" t="n">
        <v>99</v>
      </c>
      <c r="B100" s="2" t="s">
        <v>283</v>
      </c>
      <c r="C100" s="2" t="s">
        <v>44</v>
      </c>
      <c r="D100" s="2" t="s">
        <v>44</v>
      </c>
      <c r="E100" s="2" t="s">
        <v>44</v>
      </c>
      <c r="F100" s="2" t="s">
        <v>284</v>
      </c>
      <c r="G100" s="2" t="s">
        <v>322</v>
      </c>
      <c r="H100" s="8" t="n">
        <v>830.5074362261</v>
      </c>
      <c r="I100" s="2" t="s">
        <v>316</v>
      </c>
      <c r="J100" s="8" t="n">
        <v>2482169.15422886</v>
      </c>
      <c r="K100" s="6" t="n">
        <v>201</v>
      </c>
      <c r="L100" s="2"/>
      <c r="M100" s="10" t="b">
        <f aca="false">TRUE()</f>
        <v>1</v>
      </c>
      <c r="N100" s="9" t="n">
        <f aca="false">IF(H100="","",IF(H100&gt;=Assumptions!$B$5,1,IF(H100&gt;=Assumptions!$B$6,2,IF(H100&gt;=Assumptions!$B$7,3,""))))</f>
        <v>1</v>
      </c>
      <c r="O100" s="9" t="n">
        <f aca="false">IF(N100=1,Assumptions!$B$8,IF(N100=2,Assumptions!$B$9,IF(N100=3,Assumptions!$B$10,0)))</f>
        <v>3</v>
      </c>
      <c r="P100" s="6" t="s">
        <v>30</v>
      </c>
      <c r="Q100" s="6" t="s">
        <v>30</v>
      </c>
      <c r="R100" s="11" t="s">
        <v>30</v>
      </c>
      <c r="S100" s="6" t="s">
        <v>30</v>
      </c>
      <c r="T100" s="11" t="s">
        <v>30</v>
      </c>
      <c r="U100" s="6" t="s">
        <v>30</v>
      </c>
      <c r="V100" s="6" t="s">
        <v>30</v>
      </c>
      <c r="W100" s="6" t="s">
        <v>30</v>
      </c>
      <c r="X100" s="2" t="s">
        <v>30</v>
      </c>
      <c r="Y100" s="6" t="str">
        <f aca="false">IF(AND(X100="processed",ISNUMBER(S100)),S100*O100,"")</f>
        <v/>
      </c>
      <c r="Z100" s="6" t="n">
        <f aca="false">IF(ISNUMBER(K100),K100*O100,0)</f>
        <v>603</v>
      </c>
      <c r="AA100" s="2" t="s">
        <v>31</v>
      </c>
      <c r="AB100" s="6" t="n">
        <v>16257</v>
      </c>
      <c r="AC100" s="6" t="n">
        <v>13902</v>
      </c>
      <c r="AD100" s="6" t="n">
        <v>1081</v>
      </c>
      <c r="AE100" s="6" t="n">
        <v>2564.4326171875</v>
      </c>
      <c r="AF100" s="8" t="n">
        <v>875.159159579</v>
      </c>
      <c r="AG100" s="11" t="n">
        <v>0.006235033706</v>
      </c>
      <c r="AH100" s="12" t="n">
        <v>0.999999999999999</v>
      </c>
      <c r="AI100" s="2" t="s">
        <v>317</v>
      </c>
      <c r="AJ100" s="2" t="s">
        <v>44</v>
      </c>
      <c r="AK100" s="2" t="s">
        <v>44</v>
      </c>
    </row>
    <row r="101" customFormat="false" ht="15" hidden="false" customHeight="false" outlineLevel="0" collapsed="false">
      <c r="A101" s="9" t="n">
        <v>100</v>
      </c>
      <c r="B101" s="2" t="s">
        <v>285</v>
      </c>
      <c r="C101" s="2" t="s">
        <v>286</v>
      </c>
      <c r="D101" s="2" t="s">
        <v>39</v>
      </c>
      <c r="E101" s="2" t="s">
        <v>40</v>
      </c>
      <c r="F101" s="2"/>
      <c r="G101" s="2" t="s">
        <v>320</v>
      </c>
      <c r="H101" s="8" t="n">
        <v>993.608681610239</v>
      </c>
      <c r="I101" s="2" t="s">
        <v>316</v>
      </c>
      <c r="J101" s="8" t="n">
        <v>1640455.2238806</v>
      </c>
      <c r="K101" s="6" t="n">
        <v>201</v>
      </c>
      <c r="L101" s="2"/>
      <c r="M101" s="10" t="b">
        <f aca="false">TRUE()</f>
        <v>1</v>
      </c>
      <c r="N101" s="9" t="n">
        <f aca="false">IF(H101="","",IF(H101&gt;=Assumptions!$B$5,1,IF(H101&gt;=Assumptions!$B$6,2,IF(H101&gt;=Assumptions!$B$7,3,""))))</f>
        <v>1</v>
      </c>
      <c r="O101" s="9" t="n">
        <f aca="false">IF(N101=1,Assumptions!$B$8,IF(N101=2,Assumptions!$B$9,IF(N101=3,Assumptions!$B$10,0)))</f>
        <v>3</v>
      </c>
      <c r="P101" s="6" t="s">
        <v>30</v>
      </c>
      <c r="Q101" s="6" t="s">
        <v>30</v>
      </c>
      <c r="R101" s="11" t="s">
        <v>30</v>
      </c>
      <c r="S101" s="6" t="s">
        <v>30</v>
      </c>
      <c r="T101" s="11" t="s">
        <v>30</v>
      </c>
      <c r="U101" s="6" t="s">
        <v>30</v>
      </c>
      <c r="V101" s="6" t="s">
        <v>30</v>
      </c>
      <c r="W101" s="6" t="s">
        <v>30</v>
      </c>
      <c r="X101" s="2" t="s">
        <v>30</v>
      </c>
      <c r="Y101" s="6" t="str">
        <f aca="false">IF(AND(X101="processed",ISNUMBER(S101)),S101*O101,"")</f>
        <v/>
      </c>
      <c r="Z101" s="6" t="n">
        <f aca="false">IF(ISNUMBER(K101),K101*O101,0)</f>
        <v>603</v>
      </c>
      <c r="AA101" s="2" t="s">
        <v>31</v>
      </c>
      <c r="AB101" s="6" t="n">
        <v>16051</v>
      </c>
      <c r="AC101" s="6" t="n">
        <v>14652</v>
      </c>
      <c r="AD101" s="6" t="n">
        <v>1850</v>
      </c>
      <c r="AE101" s="6" t="n">
        <v>2226.5283203125</v>
      </c>
      <c r="AF101" s="8" t="n">
        <v>997.605746209</v>
      </c>
      <c r="AG101" s="11" t="n">
        <v>-0.02703399097</v>
      </c>
      <c r="AH101" s="12" t="n">
        <v>0.999086453192687</v>
      </c>
      <c r="AI101" s="2" t="s">
        <v>317</v>
      </c>
      <c r="AJ101" s="2" t="s">
        <v>286</v>
      </c>
      <c r="AK101" s="2" t="s">
        <v>286</v>
      </c>
    </row>
    <row r="102" customFormat="false" ht="15" hidden="false" customHeight="false" outlineLevel="0" collapsed="false">
      <c r="A102" s="9" t="n">
        <v>101</v>
      </c>
      <c r="B102" s="2" t="s">
        <v>351</v>
      </c>
      <c r="C102" s="2" t="s">
        <v>352</v>
      </c>
      <c r="D102" s="2" t="s">
        <v>70</v>
      </c>
      <c r="E102" s="2" t="s">
        <v>71</v>
      </c>
      <c r="F102" s="2" t="s">
        <v>353</v>
      </c>
      <c r="G102" s="2" t="s">
        <v>329</v>
      </c>
      <c r="H102" s="8" t="n">
        <v>846.142550057909</v>
      </c>
      <c r="I102" s="2" t="s">
        <v>316</v>
      </c>
      <c r="J102" s="8" t="n">
        <v>1538181.81818182</v>
      </c>
      <c r="K102" s="6" t="n">
        <v>198</v>
      </c>
      <c r="L102" s="2"/>
      <c r="M102" s="10" t="b">
        <f aca="false">TRUE()</f>
        <v>1</v>
      </c>
      <c r="N102" s="9" t="n">
        <f aca="false">IF(H102="","",IF(H102&gt;=Assumptions!$B$5,1,IF(H102&gt;=Assumptions!$B$6,2,IF(H102&gt;=Assumptions!$B$7,3,""))))</f>
        <v>1</v>
      </c>
      <c r="O102" s="9" t="n">
        <f aca="false">IF(N102=1,Assumptions!$B$8,IF(N102=2,Assumptions!$B$9,IF(N102=3,Assumptions!$B$10,0)))</f>
        <v>3</v>
      </c>
      <c r="P102" s="6" t="s">
        <v>30</v>
      </c>
      <c r="Q102" s="6" t="s">
        <v>30</v>
      </c>
      <c r="R102" s="11" t="s">
        <v>30</v>
      </c>
      <c r="S102" s="6" t="s">
        <v>30</v>
      </c>
      <c r="T102" s="11" t="s">
        <v>30</v>
      </c>
      <c r="U102" s="6" t="s">
        <v>30</v>
      </c>
      <c r="V102" s="6" t="s">
        <v>30</v>
      </c>
      <c r="W102" s="6" t="s">
        <v>30</v>
      </c>
      <c r="X102" s="2" t="s">
        <v>30</v>
      </c>
      <c r="Y102" s="6" t="str">
        <f aca="false">IF(AND(X102="processed",ISNUMBER(S102)),S102*O102,"")</f>
        <v/>
      </c>
      <c r="Z102" s="6" t="n">
        <f aca="false">IF(ISNUMBER(K102),K102*O102,0)</f>
        <v>594</v>
      </c>
      <c r="AA102" s="2" t="s">
        <v>31</v>
      </c>
      <c r="AB102" s="6" t="n">
        <v>12057</v>
      </c>
      <c r="AC102" s="6" t="n">
        <v>9985</v>
      </c>
      <c r="AD102" s="6" t="n">
        <v>129</v>
      </c>
      <c r="AE102" s="6" t="n">
        <v>2286.31079101563</v>
      </c>
      <c r="AF102" s="8" t="n">
        <v>865.58942343</v>
      </c>
      <c r="AG102" s="11" t="n">
        <v>-0.01111252687</v>
      </c>
      <c r="AH102" s="12" t="n">
        <v>1</v>
      </c>
      <c r="AI102" s="2" t="s">
        <v>317</v>
      </c>
      <c r="AJ102" s="2" t="s">
        <v>352</v>
      </c>
      <c r="AK102" s="2" t="s">
        <v>352</v>
      </c>
    </row>
    <row r="103" customFormat="false" ht="15" hidden="false" customHeight="false" outlineLevel="0" collapsed="false">
      <c r="A103" s="9" t="n">
        <v>102</v>
      </c>
      <c r="B103" s="2" t="s">
        <v>354</v>
      </c>
      <c r="C103" s="2" t="s">
        <v>355</v>
      </c>
      <c r="D103" s="2" t="s">
        <v>44</v>
      </c>
      <c r="E103" s="2" t="s">
        <v>44</v>
      </c>
      <c r="F103" s="2" t="s">
        <v>356</v>
      </c>
      <c r="G103" s="2" t="s">
        <v>322</v>
      </c>
      <c r="H103" s="8" t="n">
        <v>742.010457669636</v>
      </c>
      <c r="I103" s="2" t="s">
        <v>316</v>
      </c>
      <c r="J103" s="8" t="n">
        <v>1351944.44444444</v>
      </c>
      <c r="K103" s="6" t="n">
        <v>198</v>
      </c>
      <c r="L103" s="2"/>
      <c r="M103" s="10" t="b">
        <f aca="false">TRUE()</f>
        <v>1</v>
      </c>
      <c r="N103" s="9" t="n">
        <f aca="false">IF(H103="","",IF(H103&gt;=Assumptions!$B$5,1,IF(H103&gt;=Assumptions!$B$6,2,IF(H103&gt;=Assumptions!$B$7,3,""))))</f>
        <v>1</v>
      </c>
      <c r="O103" s="9" t="n">
        <f aca="false">IF(N103=1,Assumptions!$B$8,IF(N103=2,Assumptions!$B$9,IF(N103=3,Assumptions!$B$10,0)))</f>
        <v>3</v>
      </c>
      <c r="P103" s="6" t="s">
        <v>30</v>
      </c>
      <c r="Q103" s="6" t="s">
        <v>30</v>
      </c>
      <c r="R103" s="11" t="s">
        <v>30</v>
      </c>
      <c r="S103" s="6" t="s">
        <v>30</v>
      </c>
      <c r="T103" s="11" t="s">
        <v>30</v>
      </c>
      <c r="U103" s="6" t="s">
        <v>30</v>
      </c>
      <c r="V103" s="6" t="s">
        <v>30</v>
      </c>
      <c r="W103" s="6" t="s">
        <v>30</v>
      </c>
      <c r="X103" s="2" t="s">
        <v>30</v>
      </c>
      <c r="Y103" s="6" t="str">
        <f aca="false">IF(AND(X103="processed",ISNUMBER(S103)),S103*O103,"")</f>
        <v/>
      </c>
      <c r="Z103" s="6" t="n">
        <f aca="false">IF(ISNUMBER(K103),K103*O103,0)</f>
        <v>594</v>
      </c>
      <c r="AA103" s="2" t="s">
        <v>31</v>
      </c>
      <c r="AB103" s="6" t="n">
        <v>13148</v>
      </c>
      <c r="AC103" s="6" t="n">
        <v>10708</v>
      </c>
      <c r="AD103" s="6" t="n">
        <v>329</v>
      </c>
      <c r="AE103" s="6" t="n">
        <v>2153.7392578125</v>
      </c>
      <c r="AF103" s="8" t="n">
        <v>749.211356467</v>
      </c>
      <c r="AG103" s="11" t="n">
        <v>-0.05408081079</v>
      </c>
      <c r="AH103" s="12" t="n">
        <v>0.983698398824223</v>
      </c>
      <c r="AI103" s="2" t="s">
        <v>317</v>
      </c>
      <c r="AJ103" s="2" t="s">
        <v>355</v>
      </c>
      <c r="AK103" s="2" t="s">
        <v>355</v>
      </c>
    </row>
    <row r="104" customFormat="false" ht="15" hidden="false" customHeight="false" outlineLevel="0" collapsed="false">
      <c r="A104" s="9" t="n">
        <v>103</v>
      </c>
      <c r="B104" s="2" t="s">
        <v>357</v>
      </c>
      <c r="C104" s="2" t="s">
        <v>358</v>
      </c>
      <c r="D104" s="2" t="s">
        <v>70</v>
      </c>
      <c r="E104" s="2" t="s">
        <v>71</v>
      </c>
      <c r="F104" s="2" t="s">
        <v>359</v>
      </c>
      <c r="G104" s="2" t="s">
        <v>329</v>
      </c>
      <c r="H104" s="8" t="n">
        <v>639.897887538584</v>
      </c>
      <c r="I104" s="2" t="s">
        <v>316</v>
      </c>
      <c r="J104" s="8" t="n">
        <v>1396682.43243243</v>
      </c>
      <c r="K104" s="6" t="n">
        <v>296</v>
      </c>
      <c r="L104" s="2"/>
      <c r="M104" s="10" t="b">
        <f aca="false">TRUE()</f>
        <v>1</v>
      </c>
      <c r="N104" s="9" t="n">
        <f aca="false">IF(H104="","",IF(H104&gt;=Assumptions!$B$5,1,IF(H104&gt;=Assumptions!$B$6,2,IF(H104&gt;=Assumptions!$B$7,3,""))))</f>
        <v>2</v>
      </c>
      <c r="O104" s="9" t="n">
        <f aca="false">IF(N104=1,Assumptions!$B$8,IF(N104=2,Assumptions!$B$9,IF(N104=3,Assumptions!$B$10,0)))</f>
        <v>2</v>
      </c>
      <c r="P104" s="6" t="s">
        <v>30</v>
      </c>
      <c r="Q104" s="6" t="s">
        <v>30</v>
      </c>
      <c r="R104" s="11" t="s">
        <v>30</v>
      </c>
      <c r="S104" s="6" t="s">
        <v>30</v>
      </c>
      <c r="T104" s="11" t="s">
        <v>30</v>
      </c>
      <c r="U104" s="6" t="s">
        <v>30</v>
      </c>
      <c r="V104" s="6" t="s">
        <v>30</v>
      </c>
      <c r="W104" s="6" t="s">
        <v>30</v>
      </c>
      <c r="X104" s="2" t="s">
        <v>30</v>
      </c>
      <c r="Y104" s="6" t="str">
        <f aca="false">IF(AND(X104="processed",ISNUMBER(S104)),S104*O104,"")</f>
        <v/>
      </c>
      <c r="Z104" s="6" t="n">
        <f aca="false">IF(ISNUMBER(K104),K104*O104,0)</f>
        <v>592</v>
      </c>
      <c r="AA104" s="2" t="s">
        <v>31</v>
      </c>
      <c r="AB104" s="6" t="n">
        <v>13598</v>
      </c>
      <c r="AC104" s="6" t="n">
        <v>10040</v>
      </c>
      <c r="AD104" s="6" t="n">
        <v>271</v>
      </c>
      <c r="AE104" s="6" t="n">
        <v>2927.48388671875</v>
      </c>
      <c r="AF104" s="8" t="n">
        <v>661.489019818</v>
      </c>
      <c r="AG104" s="11" t="n">
        <v>-0.02587866963</v>
      </c>
      <c r="AH104" s="12" t="n">
        <v>1</v>
      </c>
      <c r="AI104" s="2" t="s">
        <v>317</v>
      </c>
      <c r="AJ104" s="2" t="s">
        <v>358</v>
      </c>
      <c r="AK104" s="2" t="s">
        <v>70</v>
      </c>
    </row>
    <row r="105" customFormat="false" ht="15" hidden="false" customHeight="false" outlineLevel="0" collapsed="false">
      <c r="A105" s="9" t="n">
        <v>104</v>
      </c>
      <c r="B105" s="2" t="s">
        <v>360</v>
      </c>
      <c r="C105" s="2" t="s">
        <v>38</v>
      </c>
      <c r="D105" s="2" t="s">
        <v>39</v>
      </c>
      <c r="E105" s="2" t="s">
        <v>40</v>
      </c>
      <c r="F105" s="2" t="s">
        <v>361</v>
      </c>
      <c r="G105" s="2" t="s">
        <v>320</v>
      </c>
      <c r="H105" s="8" t="n">
        <v>816.001516562061</v>
      </c>
      <c r="I105" s="2" t="s">
        <v>316</v>
      </c>
      <c r="J105" s="8" t="n">
        <v>1546142.1319797</v>
      </c>
      <c r="K105" s="6" t="n">
        <v>197</v>
      </c>
      <c r="L105" s="2"/>
      <c r="M105" s="10" t="b">
        <f aca="false">TRUE()</f>
        <v>1</v>
      </c>
      <c r="N105" s="9" t="n">
        <f aca="false">IF(H105="","",IF(H105&gt;=Assumptions!$B$5,1,IF(H105&gt;=Assumptions!$B$6,2,IF(H105&gt;=Assumptions!$B$7,3,""))))</f>
        <v>1</v>
      </c>
      <c r="O105" s="9" t="n">
        <f aca="false">IF(N105=1,Assumptions!$B$8,IF(N105=2,Assumptions!$B$9,IF(N105=3,Assumptions!$B$10,0)))</f>
        <v>3</v>
      </c>
      <c r="P105" s="6" t="s">
        <v>30</v>
      </c>
      <c r="Q105" s="6" t="s">
        <v>30</v>
      </c>
      <c r="R105" s="11" t="s">
        <v>30</v>
      </c>
      <c r="S105" s="6" t="s">
        <v>30</v>
      </c>
      <c r="T105" s="11" t="s">
        <v>30</v>
      </c>
      <c r="U105" s="6" t="s">
        <v>30</v>
      </c>
      <c r="V105" s="6" t="s">
        <v>30</v>
      </c>
      <c r="W105" s="6" t="s">
        <v>30</v>
      </c>
      <c r="X105" s="2" t="s">
        <v>30</v>
      </c>
      <c r="Y105" s="6" t="str">
        <f aca="false">IF(AND(X105="processed",ISNUMBER(S105)),S105*O105,"")</f>
        <v/>
      </c>
      <c r="Z105" s="6" t="n">
        <f aca="false">IF(ISNUMBER(K105),K105*O105,0)</f>
        <v>591</v>
      </c>
      <c r="AA105" s="2" t="s">
        <v>31</v>
      </c>
      <c r="AB105" s="6" t="n">
        <v>12605</v>
      </c>
      <c r="AC105" s="6" t="n">
        <v>9860</v>
      </c>
      <c r="AD105" s="6" t="n">
        <v>148</v>
      </c>
      <c r="AE105" s="6" t="n">
        <v>2287.16625976563</v>
      </c>
      <c r="AF105" s="8" t="n">
        <v>835.495327483</v>
      </c>
      <c r="AG105" s="11" t="n">
        <v>-0.0818917663</v>
      </c>
      <c r="AH105" s="12" t="n">
        <v>1</v>
      </c>
      <c r="AI105" s="2" t="s">
        <v>317</v>
      </c>
      <c r="AJ105" s="2" t="s">
        <v>38</v>
      </c>
      <c r="AK105" s="2" t="s">
        <v>38</v>
      </c>
    </row>
    <row r="106" customFormat="false" ht="15" hidden="false" customHeight="false" outlineLevel="0" collapsed="false">
      <c r="A106" s="9" t="n">
        <v>105</v>
      </c>
      <c r="B106" s="2" t="s">
        <v>362</v>
      </c>
      <c r="C106" s="2" t="s">
        <v>363</v>
      </c>
      <c r="D106" s="2" t="s">
        <v>27</v>
      </c>
      <c r="E106" s="2" t="s">
        <v>28</v>
      </c>
      <c r="F106" s="2" t="s">
        <v>364</v>
      </c>
      <c r="G106" s="2" t="s">
        <v>315</v>
      </c>
      <c r="H106" s="8" t="n">
        <v>1321.53408601205</v>
      </c>
      <c r="I106" s="2" t="s">
        <v>316</v>
      </c>
      <c r="J106" s="8" t="n">
        <v>2936877.55102041</v>
      </c>
      <c r="K106" s="6" t="n">
        <v>196</v>
      </c>
      <c r="L106" s="2"/>
      <c r="M106" s="10" t="b">
        <f aca="false">TRUE()</f>
        <v>1</v>
      </c>
      <c r="N106" s="9" t="n">
        <f aca="false">IF(H106="","",IF(H106&gt;=Assumptions!$B$5,1,IF(H106&gt;=Assumptions!$B$6,2,IF(H106&gt;=Assumptions!$B$7,3,""))))</f>
        <v>1</v>
      </c>
      <c r="O106" s="9" t="n">
        <f aca="false">IF(N106=1,Assumptions!$B$8,IF(N106=2,Assumptions!$B$9,IF(N106=3,Assumptions!$B$10,0)))</f>
        <v>3</v>
      </c>
      <c r="P106" s="6" t="s">
        <v>30</v>
      </c>
      <c r="Q106" s="6" t="s">
        <v>30</v>
      </c>
      <c r="R106" s="11" t="s">
        <v>30</v>
      </c>
      <c r="S106" s="6" t="s">
        <v>30</v>
      </c>
      <c r="T106" s="11" t="s">
        <v>30</v>
      </c>
      <c r="U106" s="6" t="s">
        <v>30</v>
      </c>
      <c r="V106" s="6" t="s">
        <v>30</v>
      </c>
      <c r="W106" s="6" t="s">
        <v>30</v>
      </c>
      <c r="X106" s="2" t="s">
        <v>30</v>
      </c>
      <c r="Y106" s="6" t="str">
        <f aca="false">IF(AND(X106="processed",ISNUMBER(S106)),S106*O106,"")</f>
        <v/>
      </c>
      <c r="Z106" s="6" t="n">
        <f aca="false">IF(ISNUMBER(K106),K106*O106,0)</f>
        <v>588</v>
      </c>
      <c r="AA106" s="2" t="s">
        <v>31</v>
      </c>
      <c r="AB106" s="6" t="n">
        <v>9163</v>
      </c>
      <c r="AC106" s="6" t="n">
        <v>8234</v>
      </c>
      <c r="AD106" s="6" t="n">
        <v>348</v>
      </c>
      <c r="AE106" s="6" t="n">
        <v>2404.50512695313</v>
      </c>
      <c r="AF106" s="8" t="n">
        <v>1452.163646024</v>
      </c>
      <c r="AG106" s="11" t="n">
        <v>0.3498081275</v>
      </c>
      <c r="AH106" s="12" t="n">
        <v>0.868368341858647</v>
      </c>
      <c r="AI106" s="2" t="s">
        <v>317</v>
      </c>
      <c r="AJ106" s="2" t="s">
        <v>363</v>
      </c>
      <c r="AK106" s="2" t="s">
        <v>363</v>
      </c>
    </row>
    <row r="107" customFormat="false" ht="15" hidden="false" customHeight="false" outlineLevel="0" collapsed="false">
      <c r="A107" s="9" t="n">
        <v>106</v>
      </c>
      <c r="B107" s="2" t="s">
        <v>365</v>
      </c>
      <c r="C107" s="2" t="s">
        <v>44</v>
      </c>
      <c r="D107" s="2" t="s">
        <v>44</v>
      </c>
      <c r="E107" s="2" t="s">
        <v>44</v>
      </c>
      <c r="F107" s="2" t="s">
        <v>366</v>
      </c>
      <c r="G107" s="2" t="s">
        <v>322</v>
      </c>
      <c r="H107" s="8" t="n">
        <v>638.220515740259</v>
      </c>
      <c r="I107" s="2" t="s">
        <v>316</v>
      </c>
      <c r="J107" s="8" t="n">
        <v>1193897.6109215</v>
      </c>
      <c r="K107" s="6" t="n">
        <v>293</v>
      </c>
      <c r="L107" s="2"/>
      <c r="M107" s="10" t="b">
        <f aca="false">TRUE()</f>
        <v>1</v>
      </c>
      <c r="N107" s="9" t="n">
        <f aca="false">IF(H107="","",IF(H107&gt;=Assumptions!$B$5,1,IF(H107&gt;=Assumptions!$B$6,2,IF(H107&gt;=Assumptions!$B$7,3,""))))</f>
        <v>2</v>
      </c>
      <c r="O107" s="9" t="n">
        <f aca="false">IF(N107=1,Assumptions!$B$8,IF(N107=2,Assumptions!$B$9,IF(N107=3,Assumptions!$B$10,0)))</f>
        <v>2</v>
      </c>
      <c r="P107" s="6" t="s">
        <v>30</v>
      </c>
      <c r="Q107" s="6" t="s">
        <v>30</v>
      </c>
      <c r="R107" s="11" t="s">
        <v>30</v>
      </c>
      <c r="S107" s="6" t="s">
        <v>30</v>
      </c>
      <c r="T107" s="11" t="s">
        <v>30</v>
      </c>
      <c r="U107" s="6" t="s">
        <v>30</v>
      </c>
      <c r="V107" s="6" t="s">
        <v>30</v>
      </c>
      <c r="W107" s="6" t="s">
        <v>30</v>
      </c>
      <c r="X107" s="2" t="s">
        <v>30</v>
      </c>
      <c r="Y107" s="6" t="str">
        <f aca="false">IF(AND(X107="processed",ISNUMBER(S107)),S107*O107,"")</f>
        <v/>
      </c>
      <c r="Z107" s="6" t="n">
        <f aca="false">IF(ISNUMBER(K107),K107*O107,0)</f>
        <v>586</v>
      </c>
      <c r="AA107" s="2" t="s">
        <v>31</v>
      </c>
      <c r="AB107" s="6" t="n">
        <v>14090</v>
      </c>
      <c r="AC107" s="6" t="n">
        <v>12730</v>
      </c>
      <c r="AD107" s="6" t="n">
        <v>11067</v>
      </c>
      <c r="AE107" s="6" t="n">
        <v>2513.45727539063</v>
      </c>
      <c r="AF107" s="8" t="n">
        <v>652.722683015</v>
      </c>
      <c r="AG107" s="11" t="n">
        <v>-0.01871825601</v>
      </c>
      <c r="AH107" s="12" t="n">
        <v>1</v>
      </c>
      <c r="AI107" s="2" t="s">
        <v>317</v>
      </c>
      <c r="AJ107" s="2" t="s">
        <v>44</v>
      </c>
      <c r="AK107" s="2" t="s">
        <v>44</v>
      </c>
    </row>
    <row r="108" customFormat="false" ht="15" hidden="false" customHeight="false" outlineLevel="0" collapsed="false">
      <c r="A108" s="9" t="n">
        <v>107</v>
      </c>
      <c r="B108" s="2" t="s">
        <v>367</v>
      </c>
      <c r="C108" s="2" t="s">
        <v>368</v>
      </c>
      <c r="D108" s="2" t="s">
        <v>70</v>
      </c>
      <c r="E108" s="2" t="s">
        <v>71</v>
      </c>
      <c r="F108" s="2"/>
      <c r="G108" s="2" t="s">
        <v>329</v>
      </c>
      <c r="H108" s="8" t="n">
        <v>766.102737311241</v>
      </c>
      <c r="I108" s="2" t="s">
        <v>316</v>
      </c>
      <c r="J108" s="8" t="n">
        <v>1673487.17948718</v>
      </c>
      <c r="K108" s="6" t="n">
        <v>195</v>
      </c>
      <c r="L108" s="2"/>
      <c r="M108" s="10" t="b">
        <f aca="false">TRUE()</f>
        <v>1</v>
      </c>
      <c r="N108" s="9" t="n">
        <f aca="false">IF(H108="","",IF(H108&gt;=Assumptions!$B$5,1,IF(H108&gt;=Assumptions!$B$6,2,IF(H108&gt;=Assumptions!$B$7,3,""))))</f>
        <v>1</v>
      </c>
      <c r="O108" s="9" t="n">
        <f aca="false">IF(N108=1,Assumptions!$B$8,IF(N108=2,Assumptions!$B$9,IF(N108=3,Assumptions!$B$10,0)))</f>
        <v>3</v>
      </c>
      <c r="P108" s="6" t="s">
        <v>30</v>
      </c>
      <c r="Q108" s="6" t="s">
        <v>30</v>
      </c>
      <c r="R108" s="11" t="s">
        <v>30</v>
      </c>
      <c r="S108" s="6" t="s">
        <v>30</v>
      </c>
      <c r="T108" s="11" t="s">
        <v>30</v>
      </c>
      <c r="U108" s="6" t="s">
        <v>30</v>
      </c>
      <c r="V108" s="6" t="s">
        <v>30</v>
      </c>
      <c r="W108" s="6" t="s">
        <v>30</v>
      </c>
      <c r="X108" s="2" t="s">
        <v>30</v>
      </c>
      <c r="Y108" s="6" t="str">
        <f aca="false">IF(AND(X108="processed",ISNUMBER(S108)),S108*O108,"")</f>
        <v/>
      </c>
      <c r="Z108" s="6" t="n">
        <f aca="false">IF(ISNUMBER(K108),K108*O108,0)</f>
        <v>585</v>
      </c>
      <c r="AA108" s="2" t="s">
        <v>31</v>
      </c>
      <c r="AB108" s="6" t="n">
        <v>13898</v>
      </c>
      <c r="AC108" s="6" t="n">
        <v>11298</v>
      </c>
      <c r="AD108" s="6" t="n">
        <v>257</v>
      </c>
      <c r="AE108" s="6" t="n">
        <v>2437.16357421875</v>
      </c>
      <c r="AF108" s="8" t="n">
        <v>788.190682557</v>
      </c>
      <c r="AG108" s="11" t="n">
        <v>0.03627803696</v>
      </c>
      <c r="AH108" s="12" t="n">
        <v>0.999999999999999</v>
      </c>
      <c r="AI108" s="2" t="s">
        <v>317</v>
      </c>
      <c r="AJ108" s="2" t="s">
        <v>368</v>
      </c>
      <c r="AK108" s="2" t="s">
        <v>368</v>
      </c>
    </row>
    <row r="109" customFormat="false" ht="15" hidden="false" customHeight="false" outlineLevel="0" collapsed="false">
      <c r="A109" s="9" t="n">
        <v>108</v>
      </c>
      <c r="B109" s="2" t="s">
        <v>369</v>
      </c>
      <c r="C109" s="2" t="s">
        <v>358</v>
      </c>
      <c r="D109" s="2" t="s">
        <v>70</v>
      </c>
      <c r="E109" s="2" t="s">
        <v>71</v>
      </c>
      <c r="F109" s="2" t="s">
        <v>370</v>
      </c>
      <c r="G109" s="2" t="s">
        <v>329</v>
      </c>
      <c r="H109" s="8" t="n">
        <v>631.636159002476</v>
      </c>
      <c r="I109" s="2" t="s">
        <v>316</v>
      </c>
      <c r="J109" s="8" t="n">
        <v>1359732.87671233</v>
      </c>
      <c r="K109" s="6" t="n">
        <v>292</v>
      </c>
      <c r="L109" s="2"/>
      <c r="M109" s="10" t="b">
        <f aca="false">TRUE()</f>
        <v>1</v>
      </c>
      <c r="N109" s="9" t="n">
        <f aca="false">IF(H109="","",IF(H109&gt;=Assumptions!$B$5,1,IF(H109&gt;=Assumptions!$B$6,2,IF(H109&gt;=Assumptions!$B$7,3,""))))</f>
        <v>2</v>
      </c>
      <c r="O109" s="9" t="n">
        <f aca="false">IF(N109=1,Assumptions!$B$8,IF(N109=2,Assumptions!$B$9,IF(N109=3,Assumptions!$B$10,0)))</f>
        <v>2</v>
      </c>
      <c r="P109" s="6" t="s">
        <v>30</v>
      </c>
      <c r="Q109" s="6" t="s">
        <v>30</v>
      </c>
      <c r="R109" s="11" t="s">
        <v>30</v>
      </c>
      <c r="S109" s="6" t="s">
        <v>30</v>
      </c>
      <c r="T109" s="11" t="s">
        <v>30</v>
      </c>
      <c r="U109" s="6" t="s">
        <v>30</v>
      </c>
      <c r="V109" s="6" t="s">
        <v>30</v>
      </c>
      <c r="W109" s="6" t="s">
        <v>30</v>
      </c>
      <c r="X109" s="2" t="s">
        <v>30</v>
      </c>
      <c r="Y109" s="6" t="str">
        <f aca="false">IF(AND(X109="processed",ISNUMBER(S109)),S109*O109,"")</f>
        <v/>
      </c>
      <c r="Z109" s="6" t="n">
        <f aca="false">IF(ISNUMBER(K109),K109*O109,0)</f>
        <v>584</v>
      </c>
      <c r="AA109" s="2" t="s">
        <v>31</v>
      </c>
      <c r="AB109" s="6" t="n">
        <v>11850</v>
      </c>
      <c r="AC109" s="6" t="n">
        <v>9532</v>
      </c>
      <c r="AD109" s="6" t="n">
        <v>193</v>
      </c>
      <c r="AE109" s="6" t="n">
        <v>2572.92724609375</v>
      </c>
      <c r="AF109" s="8" t="n">
        <v>622.65037594</v>
      </c>
      <c r="AG109" s="11" t="n">
        <v>-0.02157414816</v>
      </c>
      <c r="AH109" s="12" t="n">
        <v>1</v>
      </c>
      <c r="AI109" s="2" t="s">
        <v>317</v>
      </c>
      <c r="AJ109" s="2" t="s">
        <v>358</v>
      </c>
      <c r="AK109" s="2" t="s">
        <v>70</v>
      </c>
    </row>
    <row r="110" customFormat="false" ht="15" hidden="false" customHeight="false" outlineLevel="0" collapsed="false">
      <c r="A110" s="9" t="n">
        <v>109</v>
      </c>
      <c r="B110" s="2" t="s">
        <v>371</v>
      </c>
      <c r="C110" s="2" t="s">
        <v>44</v>
      </c>
      <c r="D110" s="2" t="s">
        <v>44</v>
      </c>
      <c r="E110" s="2" t="s">
        <v>44</v>
      </c>
      <c r="F110" s="2" t="s">
        <v>372</v>
      </c>
      <c r="G110" s="2" t="s">
        <v>322</v>
      </c>
      <c r="H110" s="8" t="n">
        <v>727.083264894464</v>
      </c>
      <c r="I110" s="2" t="s">
        <v>316</v>
      </c>
      <c r="J110" s="8" t="n">
        <v>1053025.77319588</v>
      </c>
      <c r="K110" s="6" t="n">
        <v>194</v>
      </c>
      <c r="L110" s="2"/>
      <c r="M110" s="10" t="b">
        <f aca="false">TRUE()</f>
        <v>1</v>
      </c>
      <c r="N110" s="9" t="n">
        <f aca="false">IF(H110="","",IF(H110&gt;=Assumptions!$B$5,1,IF(H110&gt;=Assumptions!$B$6,2,IF(H110&gt;=Assumptions!$B$7,3,""))))</f>
        <v>1</v>
      </c>
      <c r="O110" s="9" t="n">
        <f aca="false">IF(N110=1,Assumptions!$B$8,IF(N110=2,Assumptions!$B$9,IF(N110=3,Assumptions!$B$10,0)))</f>
        <v>3</v>
      </c>
      <c r="P110" s="6" t="s">
        <v>30</v>
      </c>
      <c r="Q110" s="6" t="s">
        <v>30</v>
      </c>
      <c r="R110" s="11" t="s">
        <v>30</v>
      </c>
      <c r="S110" s="6" t="s">
        <v>30</v>
      </c>
      <c r="T110" s="11" t="s">
        <v>30</v>
      </c>
      <c r="U110" s="6" t="s">
        <v>30</v>
      </c>
      <c r="V110" s="6" t="s">
        <v>30</v>
      </c>
      <c r="W110" s="6" t="s">
        <v>30</v>
      </c>
      <c r="X110" s="2" t="s">
        <v>30</v>
      </c>
      <c r="Y110" s="6" t="str">
        <f aca="false">IF(AND(X110="processed",ISNUMBER(S110)),S110*O110,"")</f>
        <v/>
      </c>
      <c r="Z110" s="6" t="n">
        <f aca="false">IF(ISNUMBER(K110),K110*O110,0)</f>
        <v>582</v>
      </c>
      <c r="AA110" s="2" t="s">
        <v>31</v>
      </c>
      <c r="AB110" s="6" t="n">
        <v>13310</v>
      </c>
      <c r="AC110" s="6" t="n">
        <v>10673</v>
      </c>
      <c r="AD110" s="6" t="n">
        <v>286</v>
      </c>
      <c r="AE110" s="6" t="n">
        <v>2325.71557617188</v>
      </c>
      <c r="AF110" s="8" t="n">
        <v>782.624040921</v>
      </c>
      <c r="AG110" s="11" t="n">
        <v>0.07791259744</v>
      </c>
      <c r="AH110" s="12" t="n">
        <v>1</v>
      </c>
      <c r="AI110" s="2" t="s">
        <v>317</v>
      </c>
      <c r="AJ110" s="2" t="s">
        <v>44</v>
      </c>
      <c r="AK110" s="2" t="s">
        <v>44</v>
      </c>
    </row>
    <row r="111" customFormat="false" ht="15" hidden="false" customHeight="false" outlineLevel="0" collapsed="false">
      <c r="A111" s="9" t="n">
        <v>110</v>
      </c>
      <c r="B111" s="2" t="s">
        <v>373</v>
      </c>
      <c r="C111" s="2" t="s">
        <v>81</v>
      </c>
      <c r="D111" s="2" t="s">
        <v>34</v>
      </c>
      <c r="E111" s="2" t="s">
        <v>35</v>
      </c>
      <c r="F111" s="2" t="s">
        <v>374</v>
      </c>
      <c r="G111" s="2" t="s">
        <v>318</v>
      </c>
      <c r="H111" s="8" t="n">
        <v>1017.35108900246</v>
      </c>
      <c r="I111" s="2" t="s">
        <v>316</v>
      </c>
      <c r="J111" s="8" t="n">
        <v>1449922.68041237</v>
      </c>
      <c r="K111" s="6" t="n">
        <v>194</v>
      </c>
      <c r="L111" s="2"/>
      <c r="M111" s="10" t="b">
        <f aca="false">TRUE()</f>
        <v>1</v>
      </c>
      <c r="N111" s="9" t="n">
        <f aca="false">IF(H111="","",IF(H111&gt;=Assumptions!$B$5,1,IF(H111&gt;=Assumptions!$B$6,2,IF(H111&gt;=Assumptions!$B$7,3,""))))</f>
        <v>1</v>
      </c>
      <c r="O111" s="9" t="n">
        <f aca="false">IF(N111=1,Assumptions!$B$8,IF(N111=2,Assumptions!$B$9,IF(N111=3,Assumptions!$B$10,0)))</f>
        <v>3</v>
      </c>
      <c r="P111" s="6" t="s">
        <v>30</v>
      </c>
      <c r="Q111" s="6" t="s">
        <v>30</v>
      </c>
      <c r="R111" s="11" t="s">
        <v>30</v>
      </c>
      <c r="S111" s="6" t="s">
        <v>30</v>
      </c>
      <c r="T111" s="11" t="s">
        <v>30</v>
      </c>
      <c r="U111" s="6" t="s">
        <v>30</v>
      </c>
      <c r="V111" s="6" t="s">
        <v>30</v>
      </c>
      <c r="W111" s="6" t="s">
        <v>30</v>
      </c>
      <c r="X111" s="2" t="s">
        <v>30</v>
      </c>
      <c r="Y111" s="6" t="str">
        <f aca="false">IF(AND(X111="processed",ISNUMBER(S111)),S111*O111,"")</f>
        <v/>
      </c>
      <c r="Z111" s="6" t="n">
        <f aca="false">IF(ISNUMBER(K111),K111*O111,0)</f>
        <v>582</v>
      </c>
      <c r="AA111" s="2" t="s">
        <v>31</v>
      </c>
      <c r="AB111" s="6" t="n">
        <v>16783</v>
      </c>
      <c r="AC111" s="6" t="n">
        <v>13041</v>
      </c>
      <c r="AD111" s="6" t="n">
        <v>206</v>
      </c>
      <c r="AE111" s="6" t="n">
        <v>2212.1201171875</v>
      </c>
      <c r="AF111" s="8" t="n">
        <v>1047.930283224</v>
      </c>
      <c r="AG111" s="11" t="n">
        <v>-0.09834395529</v>
      </c>
      <c r="AH111" s="12" t="n">
        <v>0.98929608666663</v>
      </c>
      <c r="AI111" s="2" t="s">
        <v>319</v>
      </c>
      <c r="AJ111" s="2"/>
      <c r="AK111" s="2" t="s">
        <v>81</v>
      </c>
    </row>
    <row r="112" customFormat="false" ht="15" hidden="false" customHeight="false" outlineLevel="0" collapsed="false">
      <c r="A112" s="9" t="n">
        <v>111</v>
      </c>
      <c r="B112" s="2" t="s">
        <v>375</v>
      </c>
      <c r="C112" s="2" t="s">
        <v>376</v>
      </c>
      <c r="D112" s="2" t="s">
        <v>62</v>
      </c>
      <c r="E112" s="2" t="s">
        <v>40</v>
      </c>
      <c r="F112" s="2" t="s">
        <v>377</v>
      </c>
      <c r="G112" s="2" t="s">
        <v>324</v>
      </c>
      <c r="H112" s="8" t="n">
        <v>995.216316907777</v>
      </c>
      <c r="I112" s="2" t="s">
        <v>316</v>
      </c>
      <c r="J112" s="8" t="n">
        <v>1435466.32124352</v>
      </c>
      <c r="K112" s="6" t="n">
        <v>193</v>
      </c>
      <c r="L112" s="2"/>
      <c r="M112" s="10" t="b">
        <f aca="false">TRUE()</f>
        <v>1</v>
      </c>
      <c r="N112" s="9" t="n">
        <f aca="false">IF(H112="","",IF(H112&gt;=Assumptions!$B$5,1,IF(H112&gt;=Assumptions!$B$6,2,IF(H112&gt;=Assumptions!$B$7,3,""))))</f>
        <v>1</v>
      </c>
      <c r="O112" s="9" t="n">
        <f aca="false">IF(N112=1,Assumptions!$B$8,IF(N112=2,Assumptions!$B$9,IF(N112=3,Assumptions!$B$10,0)))</f>
        <v>3</v>
      </c>
      <c r="P112" s="6" t="s">
        <v>30</v>
      </c>
      <c r="Q112" s="6" t="s">
        <v>30</v>
      </c>
      <c r="R112" s="11" t="s">
        <v>30</v>
      </c>
      <c r="S112" s="6" t="s">
        <v>30</v>
      </c>
      <c r="T112" s="11" t="s">
        <v>30</v>
      </c>
      <c r="U112" s="6" t="s">
        <v>30</v>
      </c>
      <c r="V112" s="6" t="s">
        <v>30</v>
      </c>
      <c r="W112" s="6" t="s">
        <v>30</v>
      </c>
      <c r="X112" s="2" t="s">
        <v>30</v>
      </c>
      <c r="Y112" s="6" t="str">
        <f aca="false">IF(AND(X112="processed",ISNUMBER(S112)),S112*O112,"")</f>
        <v/>
      </c>
      <c r="Z112" s="6" t="n">
        <f aca="false">IF(ISNUMBER(K112),K112*O112,0)</f>
        <v>579</v>
      </c>
      <c r="AA112" s="2" t="s">
        <v>31</v>
      </c>
      <c r="AB112" s="6" t="n">
        <v>12229</v>
      </c>
      <c r="AC112" s="6" t="n">
        <v>10790</v>
      </c>
      <c r="AD112" s="6" t="n">
        <v>243</v>
      </c>
      <c r="AE112" s="6" t="n">
        <v>1905.71337890625</v>
      </c>
      <c r="AF112" s="8" t="n">
        <v>984.48811869</v>
      </c>
      <c r="AG112" s="11" t="n">
        <v>0.007285126391</v>
      </c>
      <c r="AH112" s="12" t="n">
        <v>1</v>
      </c>
      <c r="AI112" s="2" t="s">
        <v>317</v>
      </c>
      <c r="AJ112" s="2" t="s">
        <v>376</v>
      </c>
      <c r="AK112" s="2" t="s">
        <v>376</v>
      </c>
    </row>
    <row r="113" customFormat="false" ht="15" hidden="false" customHeight="false" outlineLevel="0" collapsed="false">
      <c r="A113" s="9" t="n">
        <v>112</v>
      </c>
      <c r="B113" s="2" t="s">
        <v>378</v>
      </c>
      <c r="C113" s="2" t="s">
        <v>379</v>
      </c>
      <c r="D113" s="2" t="s">
        <v>380</v>
      </c>
      <c r="E113" s="2" t="s">
        <v>51</v>
      </c>
      <c r="F113" s="2"/>
      <c r="G113" s="2" t="s">
        <v>381</v>
      </c>
      <c r="H113" s="8" t="n">
        <v>1324.57727107715</v>
      </c>
      <c r="I113" s="2" t="s">
        <v>316</v>
      </c>
      <c r="J113" s="8" t="n">
        <v>2743455.4973822</v>
      </c>
      <c r="K113" s="6" t="n">
        <v>191</v>
      </c>
      <c r="L113" s="2"/>
      <c r="M113" s="10" t="b">
        <f aca="false">TRUE()</f>
        <v>1</v>
      </c>
      <c r="N113" s="9" t="n">
        <f aca="false">IF(H113="","",IF(H113&gt;=Assumptions!$B$5,1,IF(H113&gt;=Assumptions!$B$6,2,IF(H113&gt;=Assumptions!$B$7,3,""))))</f>
        <v>1</v>
      </c>
      <c r="O113" s="9" t="n">
        <f aca="false">IF(N113=1,Assumptions!$B$8,IF(N113=2,Assumptions!$B$9,IF(N113=3,Assumptions!$B$10,0)))</f>
        <v>3</v>
      </c>
      <c r="P113" s="6" t="s">
        <v>30</v>
      </c>
      <c r="Q113" s="6" t="s">
        <v>30</v>
      </c>
      <c r="R113" s="11" t="s">
        <v>30</v>
      </c>
      <c r="S113" s="6" t="s">
        <v>30</v>
      </c>
      <c r="T113" s="11" t="s">
        <v>30</v>
      </c>
      <c r="U113" s="6" t="s">
        <v>30</v>
      </c>
      <c r="V113" s="6" t="s">
        <v>30</v>
      </c>
      <c r="W113" s="6" t="s">
        <v>30</v>
      </c>
      <c r="X113" s="2" t="s">
        <v>30</v>
      </c>
      <c r="Y113" s="6" t="str">
        <f aca="false">IF(AND(X113="processed",ISNUMBER(S113)),S113*O113,"")</f>
        <v/>
      </c>
      <c r="Z113" s="6" t="n">
        <f aca="false">IF(ISNUMBER(K113),K113*O113,0)</f>
        <v>573</v>
      </c>
      <c r="AA113" s="2" t="s">
        <v>31</v>
      </c>
      <c r="AB113" s="6" t="n">
        <v>9057</v>
      </c>
      <c r="AC113" s="6" t="n">
        <v>7520</v>
      </c>
      <c r="AD113" s="6" t="n">
        <v>1900</v>
      </c>
      <c r="AE113" s="6" t="n">
        <v>2318.42919921875</v>
      </c>
      <c r="AF113" s="8" t="n">
        <v>1672.655563659</v>
      </c>
      <c r="AG113" s="11" t="n">
        <v>0.3739670701</v>
      </c>
      <c r="AH113" s="12" t="n">
        <v>0.97803282483041</v>
      </c>
      <c r="AI113" s="2" t="s">
        <v>317</v>
      </c>
      <c r="AJ113" s="2" t="s">
        <v>379</v>
      </c>
      <c r="AK113" s="2" t="s">
        <v>382</v>
      </c>
    </row>
    <row r="114" customFormat="false" ht="15" hidden="false" customHeight="false" outlineLevel="0" collapsed="false">
      <c r="A114" s="9" t="n">
        <v>113</v>
      </c>
      <c r="B114" s="2" t="s">
        <v>383</v>
      </c>
      <c r="C114" s="2" t="s">
        <v>156</v>
      </c>
      <c r="D114" s="2" t="s">
        <v>27</v>
      </c>
      <c r="E114" s="2" t="s">
        <v>28</v>
      </c>
      <c r="F114" s="2" t="s">
        <v>384</v>
      </c>
      <c r="G114" s="2" t="s">
        <v>315</v>
      </c>
      <c r="H114" s="8" t="n">
        <v>1058.37826619867</v>
      </c>
      <c r="I114" s="2" t="s">
        <v>316</v>
      </c>
      <c r="J114" s="8" t="n">
        <v>1732550</v>
      </c>
      <c r="K114" s="6" t="n">
        <v>190</v>
      </c>
      <c r="L114" s="2"/>
      <c r="M114" s="10" t="b">
        <f aca="false">TRUE()</f>
        <v>1</v>
      </c>
      <c r="N114" s="9" t="n">
        <f aca="false">IF(H114="","",IF(H114&gt;=Assumptions!$B$5,1,IF(H114&gt;=Assumptions!$B$6,2,IF(H114&gt;=Assumptions!$B$7,3,""))))</f>
        <v>1</v>
      </c>
      <c r="O114" s="9" t="n">
        <f aca="false">IF(N114=1,Assumptions!$B$8,IF(N114=2,Assumptions!$B$9,IF(N114=3,Assumptions!$B$10,0)))</f>
        <v>3</v>
      </c>
      <c r="P114" s="6" t="s">
        <v>30</v>
      </c>
      <c r="Q114" s="6" t="s">
        <v>30</v>
      </c>
      <c r="R114" s="11" t="s">
        <v>30</v>
      </c>
      <c r="S114" s="6" t="s">
        <v>30</v>
      </c>
      <c r="T114" s="11" t="s">
        <v>30</v>
      </c>
      <c r="U114" s="6" t="s">
        <v>30</v>
      </c>
      <c r="V114" s="6" t="s">
        <v>30</v>
      </c>
      <c r="W114" s="6" t="s">
        <v>30</v>
      </c>
      <c r="X114" s="2" t="s">
        <v>30</v>
      </c>
      <c r="Y114" s="6" t="str">
        <f aca="false">IF(AND(X114="processed",ISNUMBER(S114)),S114*O114,"")</f>
        <v/>
      </c>
      <c r="Z114" s="6" t="n">
        <f aca="false">IF(ISNUMBER(K114),K114*O114,0)</f>
        <v>570</v>
      </c>
      <c r="AA114" s="2" t="s">
        <v>31</v>
      </c>
      <c r="AB114" s="6" t="n">
        <v>16942</v>
      </c>
      <c r="AC114" s="6" t="n">
        <v>14694</v>
      </c>
      <c r="AD114" s="6" t="n">
        <v>391</v>
      </c>
      <c r="AE114" s="6" t="n">
        <v>1917.55444335938</v>
      </c>
      <c r="AF114" s="8" t="n">
        <v>1116.666666667</v>
      </c>
      <c r="AG114" s="11" t="n">
        <v>0.09988707444</v>
      </c>
      <c r="AH114" s="12" t="n">
        <v>1</v>
      </c>
      <c r="AI114" s="2" t="s">
        <v>328</v>
      </c>
      <c r="AJ114" s="2" t="s">
        <v>156</v>
      </c>
      <c r="AK114" s="2" t="s">
        <v>156</v>
      </c>
    </row>
    <row r="115" customFormat="false" ht="15" hidden="false" customHeight="false" outlineLevel="0" collapsed="false">
      <c r="A115" s="9" t="n">
        <v>114</v>
      </c>
      <c r="B115" s="2" t="s">
        <v>385</v>
      </c>
      <c r="C115" s="2" t="s">
        <v>386</v>
      </c>
      <c r="D115" s="2" t="s">
        <v>105</v>
      </c>
      <c r="E115" s="2" t="s">
        <v>51</v>
      </c>
      <c r="F115" s="2" t="s">
        <v>387</v>
      </c>
      <c r="G115" s="2" t="s">
        <v>318</v>
      </c>
      <c r="H115" s="8" t="n">
        <v>721.888513558795</v>
      </c>
      <c r="I115" s="2" t="s">
        <v>316</v>
      </c>
      <c r="J115" s="8" t="n">
        <v>1560947.36842105</v>
      </c>
      <c r="K115" s="6" t="n">
        <v>190</v>
      </c>
      <c r="L115" s="2"/>
      <c r="M115" s="10" t="b">
        <f aca="false">TRUE()</f>
        <v>1</v>
      </c>
      <c r="N115" s="9" t="n">
        <f aca="false">IF(H115="","",IF(H115&gt;=Assumptions!$B$5,1,IF(H115&gt;=Assumptions!$B$6,2,IF(H115&gt;=Assumptions!$B$7,3,""))))</f>
        <v>1</v>
      </c>
      <c r="O115" s="9" t="n">
        <f aca="false">IF(N115=1,Assumptions!$B$8,IF(N115=2,Assumptions!$B$9,IF(N115=3,Assumptions!$B$10,0)))</f>
        <v>3</v>
      </c>
      <c r="P115" s="6" t="s">
        <v>30</v>
      </c>
      <c r="Q115" s="6" t="s">
        <v>30</v>
      </c>
      <c r="R115" s="11" t="s">
        <v>30</v>
      </c>
      <c r="S115" s="6" t="s">
        <v>30</v>
      </c>
      <c r="T115" s="11" t="s">
        <v>30</v>
      </c>
      <c r="U115" s="6" t="s">
        <v>30</v>
      </c>
      <c r="V115" s="6" t="s">
        <v>30</v>
      </c>
      <c r="W115" s="6" t="s">
        <v>30</v>
      </c>
      <c r="X115" s="2" t="s">
        <v>30</v>
      </c>
      <c r="Y115" s="6" t="str">
        <f aca="false">IF(AND(X115="processed",ISNUMBER(S115)),S115*O115,"")</f>
        <v/>
      </c>
      <c r="Z115" s="6" t="n">
        <f aca="false">IF(ISNUMBER(K115),K115*O115,0)</f>
        <v>570</v>
      </c>
      <c r="AA115" s="2" t="s">
        <v>31</v>
      </c>
      <c r="AB115" s="6" t="n">
        <v>9013</v>
      </c>
      <c r="AC115" s="6" t="n">
        <v>7987</v>
      </c>
      <c r="AD115" s="6" t="n">
        <v>3450</v>
      </c>
      <c r="AE115" s="6" t="n">
        <v>3083.09619140625</v>
      </c>
      <c r="AF115" s="8" t="n">
        <v>739.793749575</v>
      </c>
      <c r="AG115" s="11" t="n">
        <v>0.03509475461</v>
      </c>
      <c r="AH115" s="12" t="n">
        <v>1</v>
      </c>
      <c r="AI115" s="2" t="s">
        <v>317</v>
      </c>
      <c r="AJ115" s="2" t="s">
        <v>386</v>
      </c>
      <c r="AK115" s="2" t="s">
        <v>386</v>
      </c>
    </row>
    <row r="116" customFormat="false" ht="15" hidden="false" customHeight="false" outlineLevel="0" collapsed="false">
      <c r="A116" s="9" t="n">
        <v>115</v>
      </c>
      <c r="B116" s="2" t="s">
        <v>388</v>
      </c>
      <c r="C116" s="2" t="s">
        <v>59</v>
      </c>
      <c r="D116" s="2" t="s">
        <v>27</v>
      </c>
      <c r="E116" s="2" t="s">
        <v>28</v>
      </c>
      <c r="F116" s="2"/>
      <c r="G116" s="2" t="s">
        <v>315</v>
      </c>
      <c r="H116" s="8" t="n">
        <v>898.596715618889</v>
      </c>
      <c r="I116" s="2" t="s">
        <v>316</v>
      </c>
      <c r="J116" s="8" t="n">
        <v>1763804.23280423</v>
      </c>
      <c r="K116" s="6" t="n">
        <v>189</v>
      </c>
      <c r="L116" s="2"/>
      <c r="M116" s="10" t="b">
        <f aca="false">TRUE()</f>
        <v>1</v>
      </c>
      <c r="N116" s="9" t="n">
        <f aca="false">IF(H116="","",IF(H116&gt;=Assumptions!$B$5,1,IF(H116&gt;=Assumptions!$B$6,2,IF(H116&gt;=Assumptions!$B$7,3,""))))</f>
        <v>1</v>
      </c>
      <c r="O116" s="9" t="n">
        <f aca="false">IF(N116=1,Assumptions!$B$8,IF(N116=2,Assumptions!$B$9,IF(N116=3,Assumptions!$B$10,0)))</f>
        <v>3</v>
      </c>
      <c r="P116" s="6" t="s">
        <v>30</v>
      </c>
      <c r="Q116" s="6" t="s">
        <v>30</v>
      </c>
      <c r="R116" s="11" t="s">
        <v>30</v>
      </c>
      <c r="S116" s="6" t="s">
        <v>30</v>
      </c>
      <c r="T116" s="11" t="s">
        <v>30</v>
      </c>
      <c r="U116" s="6" t="s">
        <v>30</v>
      </c>
      <c r="V116" s="6" t="s">
        <v>30</v>
      </c>
      <c r="W116" s="6" t="s">
        <v>30</v>
      </c>
      <c r="X116" s="2" t="s">
        <v>30</v>
      </c>
      <c r="Y116" s="6" t="str">
        <f aca="false">IF(AND(X116="processed",ISNUMBER(S116)),S116*O116,"")</f>
        <v/>
      </c>
      <c r="Z116" s="6" t="n">
        <f aca="false">IF(ISNUMBER(K116),K116*O116,0)</f>
        <v>567</v>
      </c>
      <c r="AA116" s="2" t="s">
        <v>31</v>
      </c>
      <c r="AB116" s="6" t="n">
        <v>10417</v>
      </c>
      <c r="AC116" s="6" t="n">
        <v>9365</v>
      </c>
      <c r="AD116" s="6" t="n">
        <v>300</v>
      </c>
      <c r="AE116" s="6" t="n">
        <v>2497.14331054688</v>
      </c>
      <c r="AF116" s="8" t="n">
        <v>884.620613772</v>
      </c>
      <c r="AG116" s="11" t="n">
        <v>0.113609601</v>
      </c>
      <c r="AH116" s="12" t="n">
        <v>0.818461411291337</v>
      </c>
      <c r="AI116" s="2" t="s">
        <v>317</v>
      </c>
      <c r="AJ116" s="2" t="s">
        <v>59</v>
      </c>
      <c r="AK116" s="2" t="s">
        <v>59</v>
      </c>
    </row>
    <row r="117" customFormat="false" ht="15" hidden="false" customHeight="false" outlineLevel="0" collapsed="false">
      <c r="A117" s="9" t="n">
        <v>116</v>
      </c>
      <c r="B117" s="2" t="s">
        <v>389</v>
      </c>
      <c r="C117" s="2" t="s">
        <v>70</v>
      </c>
      <c r="D117" s="2" t="s">
        <v>70</v>
      </c>
      <c r="E117" s="2" t="s">
        <v>71</v>
      </c>
      <c r="F117" s="2" t="s">
        <v>390</v>
      </c>
      <c r="G117" s="2" t="s">
        <v>329</v>
      </c>
      <c r="H117" s="8" t="n">
        <v>1051.16511258947</v>
      </c>
      <c r="I117" s="2" t="s">
        <v>316</v>
      </c>
      <c r="J117" s="8" t="n">
        <v>1513430.85106383</v>
      </c>
      <c r="K117" s="6" t="n">
        <v>188</v>
      </c>
      <c r="L117" s="2"/>
      <c r="M117" s="10" t="b">
        <f aca="false">TRUE()</f>
        <v>1</v>
      </c>
      <c r="N117" s="9" t="n">
        <f aca="false">IF(H117="","",IF(H117&gt;=Assumptions!$B$5,1,IF(H117&gt;=Assumptions!$B$6,2,IF(H117&gt;=Assumptions!$B$7,3,""))))</f>
        <v>1</v>
      </c>
      <c r="O117" s="9" t="n">
        <f aca="false">IF(N117=1,Assumptions!$B$8,IF(N117=2,Assumptions!$B$9,IF(N117=3,Assumptions!$B$10,0)))</f>
        <v>3</v>
      </c>
      <c r="P117" s="6" t="s">
        <v>30</v>
      </c>
      <c r="Q117" s="6" t="s">
        <v>30</v>
      </c>
      <c r="R117" s="11" t="s">
        <v>30</v>
      </c>
      <c r="S117" s="6" t="s">
        <v>30</v>
      </c>
      <c r="T117" s="11" t="s">
        <v>30</v>
      </c>
      <c r="U117" s="6" t="s">
        <v>30</v>
      </c>
      <c r="V117" s="6" t="s">
        <v>30</v>
      </c>
      <c r="W117" s="6" t="s">
        <v>30</v>
      </c>
      <c r="X117" s="2" t="s">
        <v>30</v>
      </c>
      <c r="Y117" s="6" t="str">
        <f aca="false">IF(AND(X117="processed",ISNUMBER(S117)),S117*O117,"")</f>
        <v/>
      </c>
      <c r="Z117" s="6" t="n">
        <f aca="false">IF(ISNUMBER(K117),K117*O117,0)</f>
        <v>564</v>
      </c>
      <c r="AA117" s="2" t="s">
        <v>31</v>
      </c>
      <c r="AB117" s="6" t="n">
        <v>13985</v>
      </c>
      <c r="AC117" s="6" t="n">
        <v>9557</v>
      </c>
      <c r="AD117" s="6" t="n">
        <v>197</v>
      </c>
      <c r="AE117" s="6" t="n">
        <v>1510.69299316406</v>
      </c>
      <c r="AF117" s="8" t="n">
        <v>1025.943396226</v>
      </c>
      <c r="AG117" s="11" t="n">
        <v>-0.003078175619</v>
      </c>
      <c r="AH117" s="12" t="n">
        <v>1</v>
      </c>
      <c r="AI117" s="2" t="s">
        <v>317</v>
      </c>
      <c r="AJ117" s="2" t="s">
        <v>70</v>
      </c>
      <c r="AK117" s="2" t="s">
        <v>70</v>
      </c>
    </row>
    <row r="118" customFormat="false" ht="15" hidden="false" customHeight="false" outlineLevel="0" collapsed="false">
      <c r="A118" s="9" t="n">
        <v>117</v>
      </c>
      <c r="B118" s="2" t="s">
        <v>391</v>
      </c>
      <c r="C118" s="2" t="s">
        <v>392</v>
      </c>
      <c r="D118" s="2" t="s">
        <v>27</v>
      </c>
      <c r="E118" s="2" t="s">
        <v>28</v>
      </c>
      <c r="F118" s="2" t="s">
        <v>393</v>
      </c>
      <c r="G118" s="2" t="s">
        <v>315</v>
      </c>
      <c r="H118" s="8" t="n">
        <v>678.991426980784</v>
      </c>
      <c r="I118" s="2" t="s">
        <v>316</v>
      </c>
      <c r="J118" s="8" t="n">
        <v>1126803.19148936</v>
      </c>
      <c r="K118" s="6" t="n">
        <v>282</v>
      </c>
      <c r="L118" s="2"/>
      <c r="M118" s="10" t="b">
        <f aca="false">TRUE()</f>
        <v>1</v>
      </c>
      <c r="N118" s="9" t="n">
        <f aca="false">IF(H118="","",IF(H118&gt;=Assumptions!$B$5,1,IF(H118&gt;=Assumptions!$B$6,2,IF(H118&gt;=Assumptions!$B$7,3,""))))</f>
        <v>2</v>
      </c>
      <c r="O118" s="9" t="n">
        <f aca="false">IF(N118=1,Assumptions!$B$8,IF(N118=2,Assumptions!$B$9,IF(N118=3,Assumptions!$B$10,0)))</f>
        <v>2</v>
      </c>
      <c r="P118" s="6" t="s">
        <v>30</v>
      </c>
      <c r="Q118" s="6" t="s">
        <v>30</v>
      </c>
      <c r="R118" s="11" t="s">
        <v>30</v>
      </c>
      <c r="S118" s="6" t="s">
        <v>30</v>
      </c>
      <c r="T118" s="11" t="s">
        <v>30</v>
      </c>
      <c r="U118" s="6" t="s">
        <v>30</v>
      </c>
      <c r="V118" s="6" t="s">
        <v>30</v>
      </c>
      <c r="W118" s="6" t="s">
        <v>30</v>
      </c>
      <c r="X118" s="2" t="s">
        <v>30</v>
      </c>
      <c r="Y118" s="6" t="str">
        <f aca="false">IF(AND(X118="processed",ISNUMBER(S118)),S118*O118,"")</f>
        <v/>
      </c>
      <c r="Z118" s="6" t="n">
        <f aca="false">IF(ISNUMBER(K118),K118*O118,0)</f>
        <v>564</v>
      </c>
      <c r="AA118" s="2" t="s">
        <v>31</v>
      </c>
      <c r="AB118" s="6" t="n">
        <v>23514</v>
      </c>
      <c r="AC118" s="6" t="n">
        <v>21460</v>
      </c>
      <c r="AD118" s="6" t="n">
        <v>762</v>
      </c>
      <c r="AE118" s="6" t="n">
        <v>2360.91259765625</v>
      </c>
      <c r="AF118" s="8" t="n">
        <v>701.107806071</v>
      </c>
      <c r="AG118" s="11" t="n">
        <v>0.07291571211</v>
      </c>
      <c r="AH118" s="12" t="n">
        <v>0.999999999999998</v>
      </c>
      <c r="AI118" s="2" t="s">
        <v>321</v>
      </c>
      <c r="AJ118" s="2" t="s">
        <v>392</v>
      </c>
      <c r="AK118" s="2" t="s">
        <v>392</v>
      </c>
    </row>
    <row r="119" customFormat="false" ht="15" hidden="false" customHeight="false" outlineLevel="0" collapsed="false">
      <c r="A119" s="9" t="n">
        <v>118</v>
      </c>
      <c r="B119" s="2" t="s">
        <v>394</v>
      </c>
      <c r="C119" s="2" t="s">
        <v>395</v>
      </c>
      <c r="D119" s="2" t="s">
        <v>273</v>
      </c>
      <c r="E119" s="2" t="s">
        <v>273</v>
      </c>
      <c r="F119" s="2" t="s">
        <v>396</v>
      </c>
      <c r="G119" s="2" t="s">
        <v>348</v>
      </c>
      <c r="H119" s="8" t="n">
        <v>705.485592304181</v>
      </c>
      <c r="I119" s="2" t="s">
        <v>316</v>
      </c>
      <c r="J119" s="8" t="n">
        <v>1281101.06382979</v>
      </c>
      <c r="K119" s="6" t="n">
        <v>188</v>
      </c>
      <c r="L119" s="2"/>
      <c r="M119" s="10" t="b">
        <f aca="false">TRUE()</f>
        <v>1</v>
      </c>
      <c r="N119" s="9" t="n">
        <f aca="false">IF(H119="","",IF(H119&gt;=Assumptions!$B$5,1,IF(H119&gt;=Assumptions!$B$6,2,IF(H119&gt;=Assumptions!$B$7,3,""))))</f>
        <v>1</v>
      </c>
      <c r="O119" s="9" t="n">
        <f aca="false">IF(N119=1,Assumptions!$B$8,IF(N119=2,Assumptions!$B$9,IF(N119=3,Assumptions!$B$10,0)))</f>
        <v>3</v>
      </c>
      <c r="P119" s="6" t="s">
        <v>30</v>
      </c>
      <c r="Q119" s="6" t="s">
        <v>30</v>
      </c>
      <c r="R119" s="11" t="s">
        <v>30</v>
      </c>
      <c r="S119" s="6" t="s">
        <v>30</v>
      </c>
      <c r="T119" s="11" t="s">
        <v>30</v>
      </c>
      <c r="U119" s="6" t="s">
        <v>30</v>
      </c>
      <c r="V119" s="6" t="s">
        <v>30</v>
      </c>
      <c r="W119" s="6" t="s">
        <v>30</v>
      </c>
      <c r="X119" s="2" t="s">
        <v>30</v>
      </c>
      <c r="Y119" s="6" t="str">
        <f aca="false">IF(AND(X119="processed",ISNUMBER(S119)),S119*O119,"")</f>
        <v/>
      </c>
      <c r="Z119" s="6" t="n">
        <f aca="false">IF(ISNUMBER(K119),K119*O119,0)</f>
        <v>564</v>
      </c>
      <c r="AA119" s="2" t="s">
        <v>31</v>
      </c>
      <c r="AB119" s="6" t="n">
        <v>8856</v>
      </c>
      <c r="AC119" s="6" t="n">
        <v>8273</v>
      </c>
      <c r="AD119" s="6" t="n">
        <v>8625</v>
      </c>
      <c r="AE119" s="6" t="n">
        <v>2213.83276367188</v>
      </c>
      <c r="AF119" s="8" t="n">
        <v>733.458177278</v>
      </c>
      <c r="AG119" s="11" t="n">
        <v>0.04507191156</v>
      </c>
      <c r="AH119" s="12" t="n">
        <v>0.811584867546686</v>
      </c>
      <c r="AI119" s="2" t="s">
        <v>317</v>
      </c>
      <c r="AJ119" s="2" t="s">
        <v>395</v>
      </c>
      <c r="AK119" s="2" t="s">
        <v>395</v>
      </c>
    </row>
    <row r="120" customFormat="false" ht="15" hidden="false" customHeight="false" outlineLevel="0" collapsed="false">
      <c r="A120" s="9" t="n">
        <v>119</v>
      </c>
      <c r="B120" s="2" t="s">
        <v>397</v>
      </c>
      <c r="C120" s="2" t="s">
        <v>56</v>
      </c>
      <c r="D120" s="2" t="s">
        <v>56</v>
      </c>
      <c r="E120" s="2" t="s">
        <v>56</v>
      </c>
      <c r="F120" s="2" t="s">
        <v>398</v>
      </c>
      <c r="G120" s="2" t="s">
        <v>324</v>
      </c>
      <c r="H120" s="8" t="n">
        <v>1423.99478560062</v>
      </c>
      <c r="I120" s="2" t="s">
        <v>316</v>
      </c>
      <c r="J120" s="8" t="n">
        <v>2613031.91489362</v>
      </c>
      <c r="K120" s="6" t="n">
        <v>188</v>
      </c>
      <c r="L120" s="2"/>
      <c r="M120" s="10" t="b">
        <f aca="false">TRUE()</f>
        <v>1</v>
      </c>
      <c r="N120" s="9" t="n">
        <f aca="false">IF(H120="","",IF(H120&gt;=Assumptions!$B$5,1,IF(H120&gt;=Assumptions!$B$6,2,IF(H120&gt;=Assumptions!$B$7,3,""))))</f>
        <v>1</v>
      </c>
      <c r="O120" s="9" t="n">
        <f aca="false">IF(N120=1,Assumptions!$B$8,IF(N120=2,Assumptions!$B$9,IF(N120=3,Assumptions!$B$10,0)))</f>
        <v>3</v>
      </c>
      <c r="P120" s="6" t="s">
        <v>30</v>
      </c>
      <c r="Q120" s="6" t="s">
        <v>30</v>
      </c>
      <c r="R120" s="11" t="s">
        <v>30</v>
      </c>
      <c r="S120" s="6" t="s">
        <v>30</v>
      </c>
      <c r="T120" s="11" t="s">
        <v>30</v>
      </c>
      <c r="U120" s="6" t="s">
        <v>30</v>
      </c>
      <c r="V120" s="6" t="s">
        <v>30</v>
      </c>
      <c r="W120" s="6" t="s">
        <v>30</v>
      </c>
      <c r="X120" s="2" t="s">
        <v>30</v>
      </c>
      <c r="Y120" s="6" t="str">
        <f aca="false">IF(AND(X120="processed",ISNUMBER(S120)),S120*O120,"")</f>
        <v/>
      </c>
      <c r="Z120" s="6" t="n">
        <f aca="false">IF(ISNUMBER(K120),K120*O120,0)</f>
        <v>564</v>
      </c>
      <c r="AA120" s="2" t="s">
        <v>31</v>
      </c>
      <c r="AB120" s="6" t="n">
        <v>8399</v>
      </c>
      <c r="AC120" s="6" t="n">
        <v>7953</v>
      </c>
      <c r="AD120" s="6" t="n">
        <v>70</v>
      </c>
      <c r="AE120" s="6" t="n">
        <v>1380.08093261719</v>
      </c>
      <c r="AF120" s="8" t="n">
        <v>1612.036539495</v>
      </c>
      <c r="AG120" s="11" t="n">
        <v>0.330662889</v>
      </c>
      <c r="AH120" s="12" t="n">
        <v>1</v>
      </c>
      <c r="AI120" s="2" t="s">
        <v>317</v>
      </c>
      <c r="AJ120" s="2" t="s">
        <v>56</v>
      </c>
      <c r="AK120" s="2" t="s">
        <v>56</v>
      </c>
    </row>
    <row r="121" customFormat="false" ht="15" hidden="false" customHeight="false" outlineLevel="0" collapsed="false">
      <c r="A121" s="9" t="n">
        <v>120</v>
      </c>
      <c r="B121" s="2" t="s">
        <v>399</v>
      </c>
      <c r="C121" s="2" t="s">
        <v>56</v>
      </c>
      <c r="D121" s="2" t="s">
        <v>56</v>
      </c>
      <c r="E121" s="2" t="s">
        <v>56</v>
      </c>
      <c r="F121" s="2" t="s">
        <v>400</v>
      </c>
      <c r="G121" s="2" t="s">
        <v>324</v>
      </c>
      <c r="H121" s="8" t="n">
        <v>1086.98389032813</v>
      </c>
      <c r="I121" s="2" t="s">
        <v>316</v>
      </c>
      <c r="J121" s="8" t="n">
        <v>2363191.4893617</v>
      </c>
      <c r="K121" s="6" t="n">
        <v>188</v>
      </c>
      <c r="L121" s="2"/>
      <c r="M121" s="10" t="b">
        <f aca="false">TRUE()</f>
        <v>1</v>
      </c>
      <c r="N121" s="9" t="n">
        <f aca="false">IF(H121="","",IF(H121&gt;=Assumptions!$B$5,1,IF(H121&gt;=Assumptions!$B$6,2,IF(H121&gt;=Assumptions!$B$7,3,""))))</f>
        <v>1</v>
      </c>
      <c r="O121" s="9" t="n">
        <f aca="false">IF(N121=1,Assumptions!$B$8,IF(N121=2,Assumptions!$B$9,IF(N121=3,Assumptions!$B$10,0)))</f>
        <v>3</v>
      </c>
      <c r="P121" s="6" t="s">
        <v>30</v>
      </c>
      <c r="Q121" s="6" t="s">
        <v>30</v>
      </c>
      <c r="R121" s="11" t="s">
        <v>30</v>
      </c>
      <c r="S121" s="6" t="s">
        <v>30</v>
      </c>
      <c r="T121" s="11" t="s">
        <v>30</v>
      </c>
      <c r="U121" s="6" t="s">
        <v>30</v>
      </c>
      <c r="V121" s="6" t="s">
        <v>30</v>
      </c>
      <c r="W121" s="6" t="s">
        <v>30</v>
      </c>
      <c r="X121" s="2" t="s">
        <v>30</v>
      </c>
      <c r="Y121" s="6" t="str">
        <f aca="false">IF(AND(X121="processed",ISNUMBER(S121)),S121*O121,"")</f>
        <v/>
      </c>
      <c r="Z121" s="6" t="n">
        <f aca="false">IF(ISNUMBER(K121),K121*O121,0)</f>
        <v>564</v>
      </c>
      <c r="AA121" s="2" t="s">
        <v>31</v>
      </c>
      <c r="AB121" s="6" t="n">
        <v>7773</v>
      </c>
      <c r="AC121" s="6" t="n">
        <v>7395</v>
      </c>
      <c r="AD121" s="6" t="n">
        <v>104</v>
      </c>
      <c r="AE121" s="6" t="n">
        <v>1522.54443359375</v>
      </c>
      <c r="AF121" s="8" t="n">
        <v>1162.099716946</v>
      </c>
      <c r="AG121" s="11" t="n">
        <v>0.08595451644</v>
      </c>
      <c r="AH121" s="12" t="n">
        <v>0.999999999999999</v>
      </c>
      <c r="AI121" s="2" t="s">
        <v>317</v>
      </c>
      <c r="AJ121" s="2" t="s">
        <v>56</v>
      </c>
      <c r="AK121" s="2" t="s">
        <v>199</v>
      </c>
    </row>
    <row r="122" customFormat="false" ht="15" hidden="false" customHeight="false" outlineLevel="0" collapsed="false">
      <c r="A122" s="9" t="n">
        <v>121</v>
      </c>
      <c r="B122" s="2" t="s">
        <v>401</v>
      </c>
      <c r="C122" s="2" t="s">
        <v>402</v>
      </c>
      <c r="D122" s="2" t="s">
        <v>70</v>
      </c>
      <c r="E122" s="2" t="s">
        <v>71</v>
      </c>
      <c r="F122" s="2" t="s">
        <v>402</v>
      </c>
      <c r="G122" s="2" t="s">
        <v>329</v>
      </c>
      <c r="H122" s="8" t="n">
        <v>796.61043619185</v>
      </c>
      <c r="I122" s="2" t="s">
        <v>316</v>
      </c>
      <c r="J122" s="8" t="n">
        <v>1382540.10695187</v>
      </c>
      <c r="K122" s="6" t="n">
        <v>187</v>
      </c>
      <c r="L122" s="2"/>
      <c r="M122" s="10" t="b">
        <f aca="false">TRUE()</f>
        <v>1</v>
      </c>
      <c r="N122" s="9" t="n">
        <f aca="false">IF(H122="","",IF(H122&gt;=Assumptions!$B$5,1,IF(H122&gt;=Assumptions!$B$6,2,IF(H122&gt;=Assumptions!$B$7,3,""))))</f>
        <v>1</v>
      </c>
      <c r="O122" s="9" t="n">
        <f aca="false">IF(N122=1,Assumptions!$B$8,IF(N122=2,Assumptions!$B$9,IF(N122=3,Assumptions!$B$10,0)))</f>
        <v>3</v>
      </c>
      <c r="P122" s="6" t="s">
        <v>30</v>
      </c>
      <c r="Q122" s="6" t="s">
        <v>30</v>
      </c>
      <c r="R122" s="11" t="s">
        <v>30</v>
      </c>
      <c r="S122" s="6" t="s">
        <v>30</v>
      </c>
      <c r="T122" s="11" t="s">
        <v>30</v>
      </c>
      <c r="U122" s="6" t="s">
        <v>30</v>
      </c>
      <c r="V122" s="6" t="s">
        <v>30</v>
      </c>
      <c r="W122" s="6" t="s">
        <v>30</v>
      </c>
      <c r="X122" s="2" t="s">
        <v>30</v>
      </c>
      <c r="Y122" s="6" t="str">
        <f aca="false">IF(AND(X122="processed",ISNUMBER(S122)),S122*O122,"")</f>
        <v/>
      </c>
      <c r="Z122" s="6" t="n">
        <f aca="false">IF(ISNUMBER(K122),K122*O122,0)</f>
        <v>561</v>
      </c>
      <c r="AA122" s="2" t="s">
        <v>31</v>
      </c>
      <c r="AB122" s="6" t="n">
        <v>13183</v>
      </c>
      <c r="AC122" s="6" t="n">
        <v>10060</v>
      </c>
      <c r="AD122" s="6" t="n">
        <v>183</v>
      </c>
      <c r="AE122" s="6" t="n">
        <v>2067.46142578125</v>
      </c>
      <c r="AF122" s="8" t="n">
        <v>812.182566327</v>
      </c>
      <c r="AG122" s="11" t="n">
        <v>-0.0525801977</v>
      </c>
      <c r="AH122" s="12" t="n">
        <v>1</v>
      </c>
      <c r="AI122" s="2" t="s">
        <v>317</v>
      </c>
      <c r="AJ122" s="2" t="s">
        <v>402</v>
      </c>
      <c r="AK122" s="2" t="s">
        <v>403</v>
      </c>
    </row>
    <row r="123" customFormat="false" ht="15" hidden="false" customHeight="false" outlineLevel="0" collapsed="false">
      <c r="A123" s="9" t="n">
        <v>122</v>
      </c>
      <c r="B123" s="2" t="s">
        <v>404</v>
      </c>
      <c r="C123" s="2" t="s">
        <v>38</v>
      </c>
      <c r="D123" s="2" t="s">
        <v>39</v>
      </c>
      <c r="E123" s="2" t="s">
        <v>40</v>
      </c>
      <c r="F123" s="2"/>
      <c r="G123" s="2" t="s">
        <v>320</v>
      </c>
      <c r="H123" s="8" t="n">
        <v>895.392957842278</v>
      </c>
      <c r="I123" s="2" t="s">
        <v>316</v>
      </c>
      <c r="J123" s="8" t="n">
        <v>1592807.48663102</v>
      </c>
      <c r="K123" s="6" t="n">
        <v>187</v>
      </c>
      <c r="L123" s="2"/>
      <c r="M123" s="10" t="b">
        <f aca="false">TRUE()</f>
        <v>1</v>
      </c>
      <c r="N123" s="9" t="n">
        <f aca="false">IF(H123="","",IF(H123&gt;=Assumptions!$B$5,1,IF(H123&gt;=Assumptions!$B$6,2,IF(H123&gt;=Assumptions!$B$7,3,""))))</f>
        <v>1</v>
      </c>
      <c r="O123" s="9" t="n">
        <f aca="false">IF(N123=1,Assumptions!$B$8,IF(N123=2,Assumptions!$B$9,IF(N123=3,Assumptions!$B$10,0)))</f>
        <v>3</v>
      </c>
      <c r="P123" s="6" t="s">
        <v>30</v>
      </c>
      <c r="Q123" s="6" t="s">
        <v>30</v>
      </c>
      <c r="R123" s="11" t="s">
        <v>30</v>
      </c>
      <c r="S123" s="6" t="s">
        <v>30</v>
      </c>
      <c r="T123" s="11" t="s">
        <v>30</v>
      </c>
      <c r="U123" s="6" t="s">
        <v>30</v>
      </c>
      <c r="V123" s="6" t="s">
        <v>30</v>
      </c>
      <c r="W123" s="6" t="s">
        <v>30</v>
      </c>
      <c r="X123" s="2" t="s">
        <v>30</v>
      </c>
      <c r="Y123" s="6" t="str">
        <f aca="false">IF(AND(X123="processed",ISNUMBER(S123)),S123*O123,"")</f>
        <v/>
      </c>
      <c r="Z123" s="6" t="n">
        <f aca="false">IF(ISNUMBER(K123),K123*O123,0)</f>
        <v>561</v>
      </c>
      <c r="AA123" s="2" t="s">
        <v>31</v>
      </c>
      <c r="AB123" s="6" t="n">
        <v>16188</v>
      </c>
      <c r="AC123" s="6" t="n">
        <v>11679</v>
      </c>
      <c r="AD123" s="6" t="n">
        <v>429</v>
      </c>
      <c r="AE123" s="6" t="n">
        <v>2374.55590820313</v>
      </c>
      <c r="AF123" s="8" t="n">
        <v>918.699186992</v>
      </c>
      <c r="AG123" s="11" t="n">
        <v>-0.02458112407</v>
      </c>
      <c r="AH123" s="12" t="n">
        <v>0.999999999999996</v>
      </c>
      <c r="AI123" s="2" t="s">
        <v>317</v>
      </c>
      <c r="AJ123" s="2" t="s">
        <v>38</v>
      </c>
      <c r="AK123" s="2" t="s">
        <v>38</v>
      </c>
    </row>
    <row r="124" customFormat="false" ht="15" hidden="false" customHeight="false" outlineLevel="0" collapsed="false">
      <c r="A124" s="9" t="n">
        <v>123</v>
      </c>
      <c r="B124" s="2" t="s">
        <v>405</v>
      </c>
      <c r="C124" s="2" t="s">
        <v>100</v>
      </c>
      <c r="D124" s="2" t="s">
        <v>39</v>
      </c>
      <c r="E124" s="2" t="s">
        <v>40</v>
      </c>
      <c r="F124" s="2"/>
      <c r="G124" s="2" t="s">
        <v>320</v>
      </c>
      <c r="H124" s="8" t="n">
        <v>1868.62568273339</v>
      </c>
      <c r="I124" s="2" t="s">
        <v>316</v>
      </c>
      <c r="J124" s="8" t="n">
        <v>5359193.5483871</v>
      </c>
      <c r="K124" s="6" t="n">
        <v>186</v>
      </c>
      <c r="L124" s="2"/>
      <c r="M124" s="10" t="b">
        <f aca="false">TRUE()</f>
        <v>1</v>
      </c>
      <c r="N124" s="9" t="n">
        <f aca="false">IF(H124="","",IF(H124&gt;=Assumptions!$B$5,1,IF(H124&gt;=Assumptions!$B$6,2,IF(H124&gt;=Assumptions!$B$7,3,""))))</f>
        <v>1</v>
      </c>
      <c r="O124" s="9" t="n">
        <f aca="false">IF(N124=1,Assumptions!$B$8,IF(N124=2,Assumptions!$B$9,IF(N124=3,Assumptions!$B$10,0)))</f>
        <v>3</v>
      </c>
      <c r="P124" s="6" t="s">
        <v>30</v>
      </c>
      <c r="Q124" s="6" t="s">
        <v>30</v>
      </c>
      <c r="R124" s="11" t="s">
        <v>30</v>
      </c>
      <c r="S124" s="6" t="s">
        <v>30</v>
      </c>
      <c r="T124" s="11" t="s">
        <v>30</v>
      </c>
      <c r="U124" s="6" t="s">
        <v>30</v>
      </c>
      <c r="V124" s="6" t="s">
        <v>30</v>
      </c>
      <c r="W124" s="6" t="s">
        <v>30</v>
      </c>
      <c r="X124" s="2" t="s">
        <v>30</v>
      </c>
      <c r="Y124" s="6" t="str">
        <f aca="false">IF(AND(X124="processed",ISNUMBER(S124)),S124*O124,"")</f>
        <v/>
      </c>
      <c r="Z124" s="6" t="n">
        <f aca="false">IF(ISNUMBER(K124),K124*O124,0)</f>
        <v>558</v>
      </c>
      <c r="AA124" s="2" t="s">
        <v>31</v>
      </c>
      <c r="AB124" s="6" t="n">
        <v>8821</v>
      </c>
      <c r="AC124" s="6" t="n">
        <v>7284</v>
      </c>
      <c r="AD124" s="6" t="n">
        <v>732</v>
      </c>
      <c r="AE124" s="6" t="n">
        <v>3321.10107421875</v>
      </c>
      <c r="AF124" s="8" t="n">
        <v>2035.278154681</v>
      </c>
      <c r="AG124" s="11" t="n">
        <v>0.03932040027</v>
      </c>
      <c r="AH124" s="12" t="n">
        <v>0.999004702261957</v>
      </c>
      <c r="AI124" s="2" t="s">
        <v>343</v>
      </c>
      <c r="AJ124" s="2" t="s">
        <v>406</v>
      </c>
      <c r="AK124" s="2" t="s">
        <v>407</v>
      </c>
    </row>
    <row r="125" customFormat="false" ht="15" hidden="false" customHeight="false" outlineLevel="0" collapsed="false">
      <c r="A125" s="9" t="n">
        <v>124</v>
      </c>
      <c r="B125" s="2" t="s">
        <v>408</v>
      </c>
      <c r="C125" s="2" t="s">
        <v>263</v>
      </c>
      <c r="D125" s="2" t="s">
        <v>27</v>
      </c>
      <c r="E125" s="2" t="s">
        <v>28</v>
      </c>
      <c r="F125" s="2" t="s">
        <v>409</v>
      </c>
      <c r="G125" s="2" t="s">
        <v>315</v>
      </c>
      <c r="H125" s="8" t="n">
        <v>846.619028555803</v>
      </c>
      <c r="I125" s="2" t="s">
        <v>316</v>
      </c>
      <c r="J125" s="8" t="n">
        <v>1968841.53005465</v>
      </c>
      <c r="K125" s="6" t="n">
        <v>183</v>
      </c>
      <c r="L125" s="2"/>
      <c r="M125" s="10" t="b">
        <f aca="false">TRUE()</f>
        <v>1</v>
      </c>
      <c r="N125" s="9" t="n">
        <f aca="false">IF(H125="","",IF(H125&gt;=Assumptions!$B$5,1,IF(H125&gt;=Assumptions!$B$6,2,IF(H125&gt;=Assumptions!$B$7,3,""))))</f>
        <v>1</v>
      </c>
      <c r="O125" s="9" t="n">
        <f aca="false">IF(N125=1,Assumptions!$B$8,IF(N125=2,Assumptions!$B$9,IF(N125=3,Assumptions!$B$10,0)))</f>
        <v>3</v>
      </c>
      <c r="P125" s="6" t="s">
        <v>30</v>
      </c>
      <c r="Q125" s="6" t="s">
        <v>30</v>
      </c>
      <c r="R125" s="11" t="s">
        <v>30</v>
      </c>
      <c r="S125" s="6" t="s">
        <v>30</v>
      </c>
      <c r="T125" s="11" t="s">
        <v>30</v>
      </c>
      <c r="U125" s="6" t="s">
        <v>30</v>
      </c>
      <c r="V125" s="6" t="s">
        <v>30</v>
      </c>
      <c r="W125" s="6" t="s">
        <v>30</v>
      </c>
      <c r="X125" s="2" t="s">
        <v>30</v>
      </c>
      <c r="Y125" s="6" t="str">
        <f aca="false">IF(AND(X125="processed",ISNUMBER(S125)),S125*O125,"")</f>
        <v/>
      </c>
      <c r="Z125" s="6" t="n">
        <f aca="false">IF(ISNUMBER(K125),K125*O125,0)</f>
        <v>549</v>
      </c>
      <c r="AA125" s="2" t="s">
        <v>31</v>
      </c>
      <c r="AB125" s="6" t="n">
        <v>14575</v>
      </c>
      <c r="AC125" s="6" t="n">
        <v>13815</v>
      </c>
      <c r="AD125" s="6" t="n">
        <v>164</v>
      </c>
      <c r="AE125" s="6" t="n">
        <v>2177.513671875</v>
      </c>
      <c r="AF125" s="8" t="n">
        <v>864.06743941</v>
      </c>
      <c r="AG125" s="11" t="n">
        <v>-0.05357038764</v>
      </c>
      <c r="AH125" s="12" t="n">
        <v>1</v>
      </c>
      <c r="AI125" s="2" t="s">
        <v>317</v>
      </c>
      <c r="AJ125" s="2" t="s">
        <v>263</v>
      </c>
      <c r="AK125" s="2" t="s">
        <v>263</v>
      </c>
    </row>
    <row r="126" customFormat="false" ht="15" hidden="false" customHeight="false" outlineLevel="0" collapsed="false">
      <c r="A126" s="9" t="n">
        <v>125</v>
      </c>
      <c r="B126" s="2" t="s">
        <v>410</v>
      </c>
      <c r="C126" s="2" t="s">
        <v>202</v>
      </c>
      <c r="D126" s="2" t="s">
        <v>105</v>
      </c>
      <c r="E126" s="2" t="s">
        <v>51</v>
      </c>
      <c r="F126" s="2" t="s">
        <v>411</v>
      </c>
      <c r="G126" s="2" t="s">
        <v>318</v>
      </c>
      <c r="H126" s="8" t="n">
        <v>738.139570369203</v>
      </c>
      <c r="I126" s="2" t="s">
        <v>316</v>
      </c>
      <c r="J126" s="8" t="n">
        <v>2063692.30769231</v>
      </c>
      <c r="K126" s="6" t="n">
        <v>182</v>
      </c>
      <c r="L126" s="2"/>
      <c r="M126" s="10" t="b">
        <f aca="false">TRUE()</f>
        <v>1</v>
      </c>
      <c r="N126" s="9" t="n">
        <f aca="false">IF(H126="","",IF(H126&gt;=Assumptions!$B$5,1,IF(H126&gt;=Assumptions!$B$6,2,IF(H126&gt;=Assumptions!$B$7,3,""))))</f>
        <v>1</v>
      </c>
      <c r="O126" s="9" t="n">
        <f aca="false">IF(N126=1,Assumptions!$B$8,IF(N126=2,Assumptions!$B$9,IF(N126=3,Assumptions!$B$10,0)))</f>
        <v>3</v>
      </c>
      <c r="P126" s="6" t="s">
        <v>30</v>
      </c>
      <c r="Q126" s="6" t="s">
        <v>30</v>
      </c>
      <c r="R126" s="11" t="s">
        <v>30</v>
      </c>
      <c r="S126" s="6" t="s">
        <v>30</v>
      </c>
      <c r="T126" s="11" t="s">
        <v>30</v>
      </c>
      <c r="U126" s="6" t="s">
        <v>30</v>
      </c>
      <c r="V126" s="6" t="s">
        <v>30</v>
      </c>
      <c r="W126" s="6" t="s">
        <v>30</v>
      </c>
      <c r="X126" s="2" t="s">
        <v>30</v>
      </c>
      <c r="Y126" s="6" t="str">
        <f aca="false">IF(AND(X126="processed",ISNUMBER(S126)),S126*O126,"")</f>
        <v/>
      </c>
      <c r="Z126" s="6" t="n">
        <f aca="false">IF(ISNUMBER(K126),K126*O126,0)</f>
        <v>546</v>
      </c>
      <c r="AA126" s="2" t="s">
        <v>31</v>
      </c>
      <c r="AB126" s="6" t="n">
        <v>11893</v>
      </c>
      <c r="AC126" s="6" t="n">
        <v>11188</v>
      </c>
      <c r="AD126" s="6" t="n">
        <v>206</v>
      </c>
      <c r="AE126" s="6" t="n">
        <v>2360.23291015625</v>
      </c>
      <c r="AF126" s="8" t="n">
        <v>733.91889568</v>
      </c>
      <c r="AG126" s="11" t="n">
        <v>-0.05107658583</v>
      </c>
      <c r="AH126" s="12" t="n">
        <v>0.997747535721631</v>
      </c>
      <c r="AI126" s="2" t="s">
        <v>317</v>
      </c>
      <c r="AJ126" s="2" t="s">
        <v>202</v>
      </c>
      <c r="AK126" s="2" t="s">
        <v>202</v>
      </c>
    </row>
    <row r="127" customFormat="false" ht="15" hidden="false" customHeight="false" outlineLevel="0" collapsed="false">
      <c r="A127" s="9" t="n">
        <v>126</v>
      </c>
      <c r="B127" s="2" t="s">
        <v>412</v>
      </c>
      <c r="C127" s="2" t="s">
        <v>413</v>
      </c>
      <c r="D127" s="2" t="s">
        <v>70</v>
      </c>
      <c r="E127" s="2" t="s">
        <v>71</v>
      </c>
      <c r="F127" s="2" t="s">
        <v>414</v>
      </c>
      <c r="G127" s="2" t="s">
        <v>329</v>
      </c>
      <c r="H127" s="8" t="n">
        <v>1320.26888031314</v>
      </c>
      <c r="I127" s="2" t="s">
        <v>316</v>
      </c>
      <c r="J127" s="8" t="n">
        <v>2314784.53038674</v>
      </c>
      <c r="K127" s="6" t="n">
        <v>181</v>
      </c>
      <c r="L127" s="2"/>
      <c r="M127" s="10" t="b">
        <f aca="false">TRUE()</f>
        <v>1</v>
      </c>
      <c r="N127" s="9" t="n">
        <f aca="false">IF(H127="","",IF(H127&gt;=Assumptions!$B$5,1,IF(H127&gt;=Assumptions!$B$6,2,IF(H127&gt;=Assumptions!$B$7,3,""))))</f>
        <v>1</v>
      </c>
      <c r="O127" s="9" t="n">
        <f aca="false">IF(N127=1,Assumptions!$B$8,IF(N127=2,Assumptions!$B$9,IF(N127=3,Assumptions!$B$10,0)))</f>
        <v>3</v>
      </c>
      <c r="P127" s="6" t="s">
        <v>30</v>
      </c>
      <c r="Q127" s="6" t="s">
        <v>30</v>
      </c>
      <c r="R127" s="11" t="s">
        <v>30</v>
      </c>
      <c r="S127" s="6" t="s">
        <v>30</v>
      </c>
      <c r="T127" s="11" t="s">
        <v>30</v>
      </c>
      <c r="U127" s="6" t="s">
        <v>30</v>
      </c>
      <c r="V127" s="6" t="s">
        <v>30</v>
      </c>
      <c r="W127" s="6" t="s">
        <v>30</v>
      </c>
      <c r="X127" s="2" t="s">
        <v>30</v>
      </c>
      <c r="Y127" s="6" t="str">
        <f aca="false">IF(AND(X127="processed",ISNUMBER(S127)),S127*O127,"")</f>
        <v/>
      </c>
      <c r="Z127" s="6" t="n">
        <f aca="false">IF(ISNUMBER(K127),K127*O127,0)</f>
        <v>543</v>
      </c>
      <c r="AA127" s="2" t="s">
        <v>31</v>
      </c>
      <c r="AB127" s="6" t="n">
        <v>12703</v>
      </c>
      <c r="AC127" s="6" t="n">
        <v>9260</v>
      </c>
      <c r="AD127" s="6" t="n">
        <v>106</v>
      </c>
      <c r="AE127" s="6" t="n">
        <v>1471.2578125</v>
      </c>
      <c r="AF127" s="8" t="n">
        <v>1348.184277016</v>
      </c>
      <c r="AG127" s="11" t="n">
        <v>-0.02434032584</v>
      </c>
      <c r="AH127" s="12" t="n">
        <v>0.927211665974751</v>
      </c>
      <c r="AI127" s="2" t="s">
        <v>317</v>
      </c>
      <c r="AJ127" s="2" t="s">
        <v>413</v>
      </c>
      <c r="AK127" s="2" t="s">
        <v>70</v>
      </c>
    </row>
    <row r="128" customFormat="false" ht="15" hidden="false" customHeight="false" outlineLevel="0" collapsed="false">
      <c r="A128" s="9" t="n">
        <v>127</v>
      </c>
      <c r="B128" s="2" t="s">
        <v>415</v>
      </c>
      <c r="C128" s="2" t="s">
        <v>91</v>
      </c>
      <c r="D128" s="2" t="s">
        <v>44</v>
      </c>
      <c r="E128" s="2" t="s">
        <v>44</v>
      </c>
      <c r="F128" s="2" t="s">
        <v>416</v>
      </c>
      <c r="G128" s="2" t="s">
        <v>322</v>
      </c>
      <c r="H128" s="8" t="n">
        <v>864.06267052695</v>
      </c>
      <c r="I128" s="2" t="s">
        <v>316</v>
      </c>
      <c r="J128" s="8" t="n">
        <v>1875805.55555556</v>
      </c>
      <c r="K128" s="6" t="n">
        <v>180</v>
      </c>
      <c r="L128" s="2"/>
      <c r="M128" s="10" t="b">
        <f aca="false">TRUE()</f>
        <v>1</v>
      </c>
      <c r="N128" s="9" t="n">
        <f aca="false">IF(H128="","",IF(H128&gt;=Assumptions!$B$5,1,IF(H128&gt;=Assumptions!$B$6,2,IF(H128&gt;=Assumptions!$B$7,3,""))))</f>
        <v>1</v>
      </c>
      <c r="O128" s="9" t="n">
        <f aca="false">IF(N128=1,Assumptions!$B$8,IF(N128=2,Assumptions!$B$9,IF(N128=3,Assumptions!$B$10,0)))</f>
        <v>3</v>
      </c>
      <c r="P128" s="6" t="s">
        <v>30</v>
      </c>
      <c r="Q128" s="6" t="s">
        <v>30</v>
      </c>
      <c r="R128" s="11" t="s">
        <v>30</v>
      </c>
      <c r="S128" s="6" t="s">
        <v>30</v>
      </c>
      <c r="T128" s="11" t="s">
        <v>30</v>
      </c>
      <c r="U128" s="6" t="s">
        <v>30</v>
      </c>
      <c r="V128" s="6" t="s">
        <v>30</v>
      </c>
      <c r="W128" s="6" t="s">
        <v>30</v>
      </c>
      <c r="X128" s="2" t="s">
        <v>30</v>
      </c>
      <c r="Y128" s="6" t="str">
        <f aca="false">IF(AND(X128="processed",ISNUMBER(S128)),S128*O128,"")</f>
        <v/>
      </c>
      <c r="Z128" s="6" t="n">
        <f aca="false">IF(ISNUMBER(K128),K128*O128,0)</f>
        <v>540</v>
      </c>
      <c r="AA128" s="2" t="s">
        <v>31</v>
      </c>
      <c r="AB128" s="6" t="n">
        <v>10289</v>
      </c>
      <c r="AC128" s="6" t="n">
        <v>8278</v>
      </c>
      <c r="AD128" s="6" t="n">
        <v>375</v>
      </c>
      <c r="AE128" s="6" t="n">
        <v>2521.11181640625</v>
      </c>
      <c r="AF128" s="8" t="n">
        <v>930.473372781</v>
      </c>
      <c r="AG128" s="11" t="n">
        <v>0.1013421844</v>
      </c>
      <c r="AH128" s="12" t="n">
        <v>0.958246221777945</v>
      </c>
      <c r="AI128" s="2" t="s">
        <v>317</v>
      </c>
      <c r="AJ128" s="2" t="s">
        <v>91</v>
      </c>
      <c r="AK128" s="2" t="s">
        <v>91</v>
      </c>
    </row>
    <row r="129" customFormat="false" ht="15" hidden="false" customHeight="false" outlineLevel="0" collapsed="false">
      <c r="A129" s="9" t="n">
        <v>128</v>
      </c>
      <c r="B129" s="2" t="s">
        <v>417</v>
      </c>
      <c r="C129" s="2" t="s">
        <v>418</v>
      </c>
      <c r="D129" s="2" t="s">
        <v>273</v>
      </c>
      <c r="E129" s="2" t="s">
        <v>273</v>
      </c>
      <c r="F129" s="2" t="s">
        <v>419</v>
      </c>
      <c r="G129" s="2" t="s">
        <v>348</v>
      </c>
      <c r="H129" s="8" t="n">
        <v>749.607007212356</v>
      </c>
      <c r="I129" s="2" t="s">
        <v>316</v>
      </c>
      <c r="J129" s="8" t="n">
        <v>1273411.11111111</v>
      </c>
      <c r="K129" s="6" t="n">
        <v>180</v>
      </c>
      <c r="L129" s="2"/>
      <c r="M129" s="10" t="b">
        <f aca="false">TRUE()</f>
        <v>1</v>
      </c>
      <c r="N129" s="9" t="n">
        <f aca="false">IF(H129="","",IF(H129&gt;=Assumptions!$B$5,1,IF(H129&gt;=Assumptions!$B$6,2,IF(H129&gt;=Assumptions!$B$7,3,""))))</f>
        <v>1</v>
      </c>
      <c r="O129" s="9" t="n">
        <f aca="false">IF(N129=1,Assumptions!$B$8,IF(N129=2,Assumptions!$B$9,IF(N129=3,Assumptions!$B$10,0)))</f>
        <v>3</v>
      </c>
      <c r="P129" s="6" t="s">
        <v>30</v>
      </c>
      <c r="Q129" s="6" t="s">
        <v>30</v>
      </c>
      <c r="R129" s="11" t="s">
        <v>30</v>
      </c>
      <c r="S129" s="6" t="s">
        <v>30</v>
      </c>
      <c r="T129" s="11" t="s">
        <v>30</v>
      </c>
      <c r="U129" s="6" t="s">
        <v>30</v>
      </c>
      <c r="V129" s="6" t="s">
        <v>30</v>
      </c>
      <c r="W129" s="6" t="s">
        <v>30</v>
      </c>
      <c r="X129" s="2" t="s">
        <v>30</v>
      </c>
      <c r="Y129" s="6" t="str">
        <f aca="false">IF(AND(X129="processed",ISNUMBER(S129)),S129*O129,"")</f>
        <v/>
      </c>
      <c r="Z129" s="6" t="n">
        <f aca="false">IF(ISNUMBER(K129),K129*O129,0)</f>
        <v>540</v>
      </c>
      <c r="AA129" s="2" t="s">
        <v>31</v>
      </c>
      <c r="AB129" s="6" t="n">
        <v>12923</v>
      </c>
      <c r="AC129" s="6" t="n">
        <v>10568</v>
      </c>
      <c r="AD129" s="6" t="n">
        <v>4360</v>
      </c>
      <c r="AE129" s="6" t="n">
        <v>2017.73364257813</v>
      </c>
      <c r="AF129" s="8" t="n">
        <v>770.925110132</v>
      </c>
      <c r="AG129" s="11" t="n">
        <v>0.05870753147</v>
      </c>
      <c r="AH129" s="12" t="n">
        <v>0.999968284583346</v>
      </c>
      <c r="AI129" s="2" t="s">
        <v>317</v>
      </c>
      <c r="AJ129" s="2" t="s">
        <v>418</v>
      </c>
      <c r="AK129" s="2" t="s">
        <v>418</v>
      </c>
    </row>
    <row r="130" customFormat="false" ht="15" hidden="false" customHeight="false" outlineLevel="0" collapsed="false">
      <c r="A130" s="9" t="n">
        <v>129</v>
      </c>
      <c r="B130" s="2" t="s">
        <v>420</v>
      </c>
      <c r="C130" s="2" t="s">
        <v>278</v>
      </c>
      <c r="D130" s="2" t="s">
        <v>70</v>
      </c>
      <c r="E130" s="2" t="s">
        <v>71</v>
      </c>
      <c r="F130" s="2" t="s">
        <v>421</v>
      </c>
      <c r="G130" s="2" t="s">
        <v>329</v>
      </c>
      <c r="H130" s="8" t="n">
        <v>881.385733935135</v>
      </c>
      <c r="I130" s="2" t="s">
        <v>316</v>
      </c>
      <c r="J130" s="8" t="n">
        <v>1363129.21348315</v>
      </c>
      <c r="K130" s="6" t="n">
        <v>178</v>
      </c>
      <c r="L130" s="2"/>
      <c r="M130" s="10" t="b">
        <f aca="false">TRUE()</f>
        <v>1</v>
      </c>
      <c r="N130" s="9" t="n">
        <f aca="false">IF(H130="","",IF(H130&gt;=Assumptions!$B$5,1,IF(H130&gt;=Assumptions!$B$6,2,IF(H130&gt;=Assumptions!$B$7,3,""))))</f>
        <v>1</v>
      </c>
      <c r="O130" s="9" t="n">
        <f aca="false">IF(N130=1,Assumptions!$B$8,IF(N130=2,Assumptions!$B$9,IF(N130=3,Assumptions!$B$10,0)))</f>
        <v>3</v>
      </c>
      <c r="P130" s="6" t="s">
        <v>30</v>
      </c>
      <c r="Q130" s="6" t="s">
        <v>30</v>
      </c>
      <c r="R130" s="11" t="s">
        <v>30</v>
      </c>
      <c r="S130" s="6" t="s">
        <v>30</v>
      </c>
      <c r="T130" s="11" t="s">
        <v>30</v>
      </c>
      <c r="U130" s="6" t="s">
        <v>30</v>
      </c>
      <c r="V130" s="6" t="s">
        <v>30</v>
      </c>
      <c r="W130" s="6" t="s">
        <v>30</v>
      </c>
      <c r="X130" s="2" t="s">
        <v>30</v>
      </c>
      <c r="Y130" s="6" t="str">
        <f aca="false">IF(AND(X130="processed",ISNUMBER(S130)),S130*O130,"")</f>
        <v/>
      </c>
      <c r="Z130" s="6" t="n">
        <f aca="false">IF(ISNUMBER(K130),K130*O130,0)</f>
        <v>534</v>
      </c>
      <c r="AA130" s="2" t="s">
        <v>31</v>
      </c>
      <c r="AB130" s="6" t="n">
        <v>18581</v>
      </c>
      <c r="AC130" s="6" t="n">
        <v>12255</v>
      </c>
      <c r="AD130" s="6" t="n">
        <v>430</v>
      </c>
      <c r="AE130" s="6" t="n">
        <v>1666.55029296875</v>
      </c>
      <c r="AF130" s="8" t="n">
        <v>916.531385281</v>
      </c>
      <c r="AG130" s="11" t="n">
        <v>-0.04680735931</v>
      </c>
      <c r="AH130" s="12" t="n">
        <v>1</v>
      </c>
      <c r="AI130" s="2" t="s">
        <v>317</v>
      </c>
      <c r="AJ130" s="2" t="s">
        <v>278</v>
      </c>
      <c r="AK130" s="2" t="s">
        <v>278</v>
      </c>
    </row>
    <row r="131" customFormat="false" ht="15" hidden="false" customHeight="false" outlineLevel="0" collapsed="false">
      <c r="A131" s="9" t="n">
        <v>130</v>
      </c>
      <c r="B131" s="2" t="s">
        <v>422</v>
      </c>
      <c r="C131" s="2" t="s">
        <v>423</v>
      </c>
      <c r="D131" s="2" t="s">
        <v>423</v>
      </c>
      <c r="E131" s="2" t="s">
        <v>51</v>
      </c>
      <c r="F131" s="2" t="s">
        <v>424</v>
      </c>
      <c r="G131" s="2" t="s">
        <v>425</v>
      </c>
      <c r="H131" s="8" t="n">
        <v>1182.39440965102</v>
      </c>
      <c r="I131" s="2" t="s">
        <v>316</v>
      </c>
      <c r="J131" s="8" t="n">
        <v>2139691.01123596</v>
      </c>
      <c r="K131" s="6" t="n">
        <v>178</v>
      </c>
      <c r="L131" s="2"/>
      <c r="M131" s="10" t="b">
        <f aca="false">TRUE()</f>
        <v>1</v>
      </c>
      <c r="N131" s="9" t="n">
        <f aca="false">IF(H131="","",IF(H131&gt;=Assumptions!$B$5,1,IF(H131&gt;=Assumptions!$B$6,2,IF(H131&gt;=Assumptions!$B$7,3,""))))</f>
        <v>1</v>
      </c>
      <c r="O131" s="9" t="n">
        <f aca="false">IF(N131=1,Assumptions!$B$8,IF(N131=2,Assumptions!$B$9,IF(N131=3,Assumptions!$B$10,0)))</f>
        <v>3</v>
      </c>
      <c r="P131" s="6" t="s">
        <v>30</v>
      </c>
      <c r="Q131" s="6" t="s">
        <v>30</v>
      </c>
      <c r="R131" s="11" t="s">
        <v>30</v>
      </c>
      <c r="S131" s="6" t="s">
        <v>30</v>
      </c>
      <c r="T131" s="11" t="s">
        <v>30</v>
      </c>
      <c r="U131" s="6" t="s">
        <v>30</v>
      </c>
      <c r="V131" s="6" t="s">
        <v>30</v>
      </c>
      <c r="W131" s="6" t="s">
        <v>30</v>
      </c>
      <c r="X131" s="2" t="s">
        <v>30</v>
      </c>
      <c r="Y131" s="6" t="str">
        <f aca="false">IF(AND(X131="processed",ISNUMBER(S131)),S131*O131,"")</f>
        <v/>
      </c>
      <c r="Z131" s="6" t="n">
        <f aca="false">IF(ISNUMBER(K131),K131*O131,0)</f>
        <v>534</v>
      </c>
      <c r="AA131" s="2" t="s">
        <v>31</v>
      </c>
      <c r="AB131" s="6" t="n">
        <v>10801</v>
      </c>
      <c r="AC131" s="6" t="n">
        <v>8901</v>
      </c>
      <c r="AD131" s="6" t="n">
        <v>645</v>
      </c>
      <c r="AE131" s="6" t="n">
        <v>2315.03149414063</v>
      </c>
      <c r="AF131" s="8" t="n">
        <v>1220.30929787</v>
      </c>
      <c r="AG131" s="11" t="n">
        <v>-0.04050950013</v>
      </c>
      <c r="AH131" s="12" t="n">
        <v>0.999999999999997</v>
      </c>
      <c r="AI131" s="2" t="s">
        <v>426</v>
      </c>
      <c r="AJ131" s="2" t="s">
        <v>423</v>
      </c>
      <c r="AK131" s="2" t="s">
        <v>423</v>
      </c>
    </row>
    <row r="132" customFormat="false" ht="15" hidden="false" customHeight="false" outlineLevel="0" collapsed="false">
      <c r="A132" s="9" t="n">
        <v>131</v>
      </c>
      <c r="B132" s="2" t="s">
        <v>427</v>
      </c>
      <c r="C132" s="2" t="s">
        <v>428</v>
      </c>
      <c r="D132" s="2" t="s">
        <v>39</v>
      </c>
      <c r="E132" s="2" t="s">
        <v>40</v>
      </c>
      <c r="F132" s="2" t="s">
        <v>429</v>
      </c>
      <c r="G132" s="2" t="s">
        <v>320</v>
      </c>
      <c r="H132" s="8" t="n">
        <v>1549.07627681082</v>
      </c>
      <c r="I132" s="2" t="s">
        <v>316</v>
      </c>
      <c r="J132" s="8" t="n">
        <v>2575252.80898876</v>
      </c>
      <c r="K132" s="6" t="n">
        <v>178</v>
      </c>
      <c r="L132" s="2"/>
      <c r="M132" s="10" t="b">
        <f aca="false">TRUE()</f>
        <v>1</v>
      </c>
      <c r="N132" s="9" t="n">
        <f aca="false">IF(H132="","",IF(H132&gt;=Assumptions!$B$5,1,IF(H132&gt;=Assumptions!$B$6,2,IF(H132&gt;=Assumptions!$B$7,3,""))))</f>
        <v>1</v>
      </c>
      <c r="O132" s="9" t="n">
        <f aca="false">IF(N132=1,Assumptions!$B$8,IF(N132=2,Assumptions!$B$9,IF(N132=3,Assumptions!$B$10,0)))</f>
        <v>3</v>
      </c>
      <c r="P132" s="6" t="s">
        <v>30</v>
      </c>
      <c r="Q132" s="6" t="s">
        <v>30</v>
      </c>
      <c r="R132" s="11" t="s">
        <v>30</v>
      </c>
      <c r="S132" s="6" t="s">
        <v>30</v>
      </c>
      <c r="T132" s="11" t="s">
        <v>30</v>
      </c>
      <c r="U132" s="6" t="s">
        <v>30</v>
      </c>
      <c r="V132" s="6" t="s">
        <v>30</v>
      </c>
      <c r="W132" s="6" t="s">
        <v>30</v>
      </c>
      <c r="X132" s="2" t="s">
        <v>30</v>
      </c>
      <c r="Y132" s="6" t="str">
        <f aca="false">IF(AND(X132="processed",ISNUMBER(S132)),S132*O132,"")</f>
        <v/>
      </c>
      <c r="Z132" s="6" t="n">
        <f aca="false">IF(ISNUMBER(K132),K132*O132,0)</f>
        <v>534</v>
      </c>
      <c r="AA132" s="2" t="s">
        <v>31</v>
      </c>
      <c r="AB132" s="6" t="n">
        <v>13306</v>
      </c>
      <c r="AC132" s="6" t="n">
        <v>10665</v>
      </c>
      <c r="AD132" s="6" t="n">
        <v>260</v>
      </c>
      <c r="AE132" s="6" t="n">
        <v>2152.802734375</v>
      </c>
      <c r="AF132" s="8" t="n">
        <v>1928.500693207</v>
      </c>
      <c r="AG132" s="11" t="n">
        <v>0.1356404082</v>
      </c>
      <c r="AH132" s="12" t="n">
        <v>0.701233749021433</v>
      </c>
      <c r="AI132" s="2" t="s">
        <v>430</v>
      </c>
      <c r="AJ132" s="2" t="s">
        <v>431</v>
      </c>
      <c r="AK132" s="2" t="s">
        <v>428</v>
      </c>
    </row>
    <row r="133" customFormat="false" ht="15" hidden="false" customHeight="false" outlineLevel="0" collapsed="false">
      <c r="A133" s="9" t="n">
        <v>132</v>
      </c>
      <c r="B133" s="2" t="s">
        <v>432</v>
      </c>
      <c r="C133" s="2" t="s">
        <v>433</v>
      </c>
      <c r="D133" s="2" t="s">
        <v>27</v>
      </c>
      <c r="E133" s="2" t="s">
        <v>28</v>
      </c>
      <c r="F133" s="2" t="s">
        <v>434</v>
      </c>
      <c r="G133" s="2" t="s">
        <v>315</v>
      </c>
      <c r="H133" s="8" t="n">
        <v>701.030185059842</v>
      </c>
      <c r="I133" s="2" t="s">
        <v>316</v>
      </c>
      <c r="J133" s="8" t="n">
        <v>1296152.54237288</v>
      </c>
      <c r="K133" s="6" t="n">
        <v>177</v>
      </c>
      <c r="L133" s="2"/>
      <c r="M133" s="10" t="b">
        <f aca="false">TRUE()</f>
        <v>1</v>
      </c>
      <c r="N133" s="9" t="n">
        <f aca="false">IF(H133="","",IF(H133&gt;=Assumptions!$B$5,1,IF(H133&gt;=Assumptions!$B$6,2,IF(H133&gt;=Assumptions!$B$7,3,""))))</f>
        <v>1</v>
      </c>
      <c r="O133" s="9" t="n">
        <f aca="false">IF(N133=1,Assumptions!$B$8,IF(N133=2,Assumptions!$B$9,IF(N133=3,Assumptions!$B$10,0)))</f>
        <v>3</v>
      </c>
      <c r="P133" s="6" t="s">
        <v>30</v>
      </c>
      <c r="Q133" s="6" t="s">
        <v>30</v>
      </c>
      <c r="R133" s="11" t="s">
        <v>30</v>
      </c>
      <c r="S133" s="6" t="s">
        <v>30</v>
      </c>
      <c r="T133" s="11" t="s">
        <v>30</v>
      </c>
      <c r="U133" s="6" t="s">
        <v>30</v>
      </c>
      <c r="V133" s="6" t="s">
        <v>30</v>
      </c>
      <c r="W133" s="6" t="s">
        <v>30</v>
      </c>
      <c r="X133" s="2" t="s">
        <v>30</v>
      </c>
      <c r="Y133" s="6" t="str">
        <f aca="false">IF(AND(X133="processed",ISNUMBER(S133)),S133*O133,"")</f>
        <v/>
      </c>
      <c r="Z133" s="6" t="n">
        <f aca="false">IF(ISNUMBER(K133),K133*O133,0)</f>
        <v>531</v>
      </c>
      <c r="AA133" s="2" t="s">
        <v>31</v>
      </c>
      <c r="AB133" s="6" t="n">
        <v>12886</v>
      </c>
      <c r="AC133" s="6" t="n">
        <v>11333</v>
      </c>
      <c r="AD133" s="6" t="n">
        <v>190</v>
      </c>
      <c r="AE133" s="6" t="n">
        <v>2501.79931640625</v>
      </c>
      <c r="AF133" s="8" t="n">
        <v>707.920792079</v>
      </c>
      <c r="AG133" s="11" t="n">
        <v>0.03407935709</v>
      </c>
      <c r="AH133" s="12" t="n">
        <v>1</v>
      </c>
      <c r="AI133" s="2" t="s">
        <v>435</v>
      </c>
      <c r="AJ133" s="2" t="s">
        <v>433</v>
      </c>
      <c r="AK133" s="2" t="s">
        <v>433</v>
      </c>
    </row>
    <row r="134" customFormat="false" ht="15" hidden="false" customHeight="false" outlineLevel="0" collapsed="false">
      <c r="A134" s="9" t="n">
        <v>133</v>
      </c>
      <c r="B134" s="2" t="s">
        <v>436</v>
      </c>
      <c r="C134" s="2" t="s">
        <v>70</v>
      </c>
      <c r="D134" s="2" t="s">
        <v>70</v>
      </c>
      <c r="E134" s="2" t="s">
        <v>71</v>
      </c>
      <c r="F134" s="2" t="s">
        <v>437</v>
      </c>
      <c r="G134" s="2" t="s">
        <v>329</v>
      </c>
      <c r="H134" s="8" t="n">
        <v>1081.80313002282</v>
      </c>
      <c r="I134" s="2" t="s">
        <v>316</v>
      </c>
      <c r="J134" s="8" t="n">
        <v>2158153.40909091</v>
      </c>
      <c r="K134" s="6" t="n">
        <v>176</v>
      </c>
      <c r="L134" s="2"/>
      <c r="M134" s="10" t="b">
        <f aca="false">TRUE()</f>
        <v>1</v>
      </c>
      <c r="N134" s="9" t="n">
        <f aca="false">IF(H134="","",IF(H134&gt;=Assumptions!$B$5,1,IF(H134&gt;=Assumptions!$B$6,2,IF(H134&gt;=Assumptions!$B$7,3,""))))</f>
        <v>1</v>
      </c>
      <c r="O134" s="9" t="n">
        <f aca="false">IF(N134=1,Assumptions!$B$8,IF(N134=2,Assumptions!$B$9,IF(N134=3,Assumptions!$B$10,0)))</f>
        <v>3</v>
      </c>
      <c r="P134" s="6" t="s">
        <v>30</v>
      </c>
      <c r="Q134" s="6" t="s">
        <v>30</v>
      </c>
      <c r="R134" s="11" t="s">
        <v>30</v>
      </c>
      <c r="S134" s="6" t="s">
        <v>30</v>
      </c>
      <c r="T134" s="11" t="s">
        <v>30</v>
      </c>
      <c r="U134" s="6" t="s">
        <v>30</v>
      </c>
      <c r="V134" s="6" t="s">
        <v>30</v>
      </c>
      <c r="W134" s="6" t="s">
        <v>30</v>
      </c>
      <c r="X134" s="2" t="s">
        <v>30</v>
      </c>
      <c r="Y134" s="6" t="str">
        <f aca="false">IF(AND(X134="processed",ISNUMBER(S134)),S134*O134,"")</f>
        <v/>
      </c>
      <c r="Z134" s="6" t="n">
        <f aca="false">IF(ISNUMBER(K134),K134*O134,0)</f>
        <v>528</v>
      </c>
      <c r="AA134" s="2" t="s">
        <v>31</v>
      </c>
      <c r="AB134" s="6" t="n">
        <v>12385</v>
      </c>
      <c r="AC134" s="6" t="n">
        <v>8187</v>
      </c>
      <c r="AD134" s="6" t="n">
        <v>66</v>
      </c>
      <c r="AE134" s="6" t="n">
        <v>1953.38732910156</v>
      </c>
      <c r="AF134" s="8" t="n">
        <v>1102.068497796</v>
      </c>
      <c r="AG134" s="11" t="n">
        <v>0.009207400207</v>
      </c>
      <c r="AH134" s="12" t="n">
        <v>1</v>
      </c>
      <c r="AI134" s="2" t="s">
        <v>317</v>
      </c>
      <c r="AJ134" s="2" t="s">
        <v>70</v>
      </c>
      <c r="AK134" s="2" t="s">
        <v>70</v>
      </c>
    </row>
    <row r="135" customFormat="false" ht="15" hidden="false" customHeight="false" outlineLevel="0" collapsed="false">
      <c r="A135" s="9" t="n">
        <v>134</v>
      </c>
      <c r="B135" s="2" t="s">
        <v>438</v>
      </c>
      <c r="C135" s="2" t="s">
        <v>439</v>
      </c>
      <c r="D135" s="2" t="s">
        <v>27</v>
      </c>
      <c r="E135" s="2" t="s">
        <v>28</v>
      </c>
      <c r="F135" s="2" t="s">
        <v>440</v>
      </c>
      <c r="G135" s="2" t="s">
        <v>315</v>
      </c>
      <c r="H135" s="8" t="n">
        <v>614.439411772931</v>
      </c>
      <c r="I135" s="2" t="s">
        <v>316</v>
      </c>
      <c r="J135" s="8" t="n">
        <v>1213283.52490422</v>
      </c>
      <c r="K135" s="6" t="n">
        <v>261</v>
      </c>
      <c r="L135" s="2"/>
      <c r="M135" s="10" t="b">
        <f aca="false">TRUE()</f>
        <v>1</v>
      </c>
      <c r="N135" s="9" t="n">
        <f aca="false">IF(H135="","",IF(H135&gt;=Assumptions!$B$5,1,IF(H135&gt;=Assumptions!$B$6,2,IF(H135&gt;=Assumptions!$B$7,3,""))))</f>
        <v>2</v>
      </c>
      <c r="O135" s="9" t="n">
        <f aca="false">IF(N135=1,Assumptions!$B$8,IF(N135=2,Assumptions!$B$9,IF(N135=3,Assumptions!$B$10,0)))</f>
        <v>2</v>
      </c>
      <c r="P135" s="6" t="s">
        <v>30</v>
      </c>
      <c r="Q135" s="6" t="s">
        <v>30</v>
      </c>
      <c r="R135" s="11" t="s">
        <v>30</v>
      </c>
      <c r="S135" s="6" t="s">
        <v>30</v>
      </c>
      <c r="T135" s="11" t="s">
        <v>30</v>
      </c>
      <c r="U135" s="6" t="s">
        <v>30</v>
      </c>
      <c r="V135" s="6" t="s">
        <v>30</v>
      </c>
      <c r="W135" s="6" t="s">
        <v>30</v>
      </c>
      <c r="X135" s="2" t="s">
        <v>30</v>
      </c>
      <c r="Y135" s="6" t="str">
        <f aca="false">IF(AND(X135="processed",ISNUMBER(S135)),S135*O135,"")</f>
        <v/>
      </c>
      <c r="Z135" s="6" t="n">
        <f aca="false">IF(ISNUMBER(K135),K135*O135,0)</f>
        <v>522</v>
      </c>
      <c r="AA135" s="2" t="s">
        <v>31</v>
      </c>
      <c r="AB135" s="6" t="n">
        <v>14173</v>
      </c>
      <c r="AC135" s="6" t="n">
        <v>12847</v>
      </c>
      <c r="AD135" s="6" t="n">
        <v>183</v>
      </c>
      <c r="AE135" s="6" t="n">
        <v>2516.74267578125</v>
      </c>
      <c r="AF135" s="8" t="n">
        <v>616.633333891</v>
      </c>
      <c r="AG135" s="11" t="n">
        <v>0.02088186124</v>
      </c>
      <c r="AH135" s="12" t="n">
        <v>1</v>
      </c>
      <c r="AI135" s="2" t="s">
        <v>317</v>
      </c>
      <c r="AJ135" s="2" t="s">
        <v>439</v>
      </c>
      <c r="AK135" s="2" t="s">
        <v>439</v>
      </c>
    </row>
    <row r="136" customFormat="false" ht="15" hidden="false" customHeight="false" outlineLevel="0" collapsed="false">
      <c r="A136" s="9" t="n">
        <v>135</v>
      </c>
      <c r="B136" s="2" t="s">
        <v>441</v>
      </c>
      <c r="C136" s="2" t="s">
        <v>70</v>
      </c>
      <c r="D136" s="2" t="s">
        <v>70</v>
      </c>
      <c r="E136" s="2" t="s">
        <v>71</v>
      </c>
      <c r="F136" s="2" t="s">
        <v>442</v>
      </c>
      <c r="G136" s="2" t="s">
        <v>329</v>
      </c>
      <c r="H136" s="8" t="n">
        <v>957.783699591168</v>
      </c>
      <c r="I136" s="2" t="s">
        <v>316</v>
      </c>
      <c r="J136" s="8" t="n">
        <v>1488034.68208093</v>
      </c>
      <c r="K136" s="6" t="n">
        <v>173</v>
      </c>
      <c r="L136" s="2"/>
      <c r="M136" s="10" t="b">
        <f aca="false">TRUE()</f>
        <v>1</v>
      </c>
      <c r="N136" s="9" t="n">
        <f aca="false">IF(H136="","",IF(H136&gt;=Assumptions!$B$5,1,IF(H136&gt;=Assumptions!$B$6,2,IF(H136&gt;=Assumptions!$B$7,3,""))))</f>
        <v>1</v>
      </c>
      <c r="O136" s="9" t="n">
        <f aca="false">IF(N136=1,Assumptions!$B$8,IF(N136=2,Assumptions!$B$9,IF(N136=3,Assumptions!$B$10,0)))</f>
        <v>3</v>
      </c>
      <c r="P136" s="6" t="s">
        <v>30</v>
      </c>
      <c r="Q136" s="6" t="s">
        <v>30</v>
      </c>
      <c r="R136" s="11" t="s">
        <v>30</v>
      </c>
      <c r="S136" s="6" t="s">
        <v>30</v>
      </c>
      <c r="T136" s="11" t="s">
        <v>30</v>
      </c>
      <c r="U136" s="6" t="s">
        <v>30</v>
      </c>
      <c r="V136" s="6" t="s">
        <v>30</v>
      </c>
      <c r="W136" s="6" t="s">
        <v>30</v>
      </c>
      <c r="X136" s="2" t="s">
        <v>30</v>
      </c>
      <c r="Y136" s="6" t="str">
        <f aca="false">IF(AND(X136="processed",ISNUMBER(S136)),S136*O136,"")</f>
        <v/>
      </c>
      <c r="Z136" s="6" t="n">
        <f aca="false">IF(ISNUMBER(K136),K136*O136,0)</f>
        <v>519</v>
      </c>
      <c r="AA136" s="2" t="s">
        <v>31</v>
      </c>
      <c r="AB136" s="6" t="n">
        <v>17004</v>
      </c>
      <c r="AC136" s="6" t="n">
        <v>12538</v>
      </c>
      <c r="AD136" s="6" t="n">
        <v>159</v>
      </c>
      <c r="AE136" s="6" t="n">
        <v>1539.38928222656</v>
      </c>
      <c r="AF136" s="8" t="n">
        <v>1009.749303621</v>
      </c>
      <c r="AG136" s="11" t="n">
        <v>0.07690371514</v>
      </c>
      <c r="AH136" s="12" t="n">
        <v>1</v>
      </c>
      <c r="AI136" s="2" t="s">
        <v>317</v>
      </c>
      <c r="AJ136" s="2" t="s">
        <v>70</v>
      </c>
      <c r="AK136" s="2" t="s">
        <v>70</v>
      </c>
    </row>
    <row r="137" customFormat="false" ht="15" hidden="false" customHeight="false" outlineLevel="0" collapsed="false">
      <c r="A137" s="9" t="n">
        <v>136</v>
      </c>
      <c r="B137" s="2" t="s">
        <v>443</v>
      </c>
      <c r="C137" s="2" t="s">
        <v>444</v>
      </c>
      <c r="D137" s="2" t="s">
        <v>70</v>
      </c>
      <c r="E137" s="2" t="s">
        <v>71</v>
      </c>
      <c r="F137" s="2"/>
      <c r="G137" s="2" t="s">
        <v>329</v>
      </c>
      <c r="H137" s="8" t="n">
        <v>716.677628136593</v>
      </c>
      <c r="I137" s="2" t="s">
        <v>316</v>
      </c>
      <c r="J137" s="8" t="n">
        <v>1082505.81395349</v>
      </c>
      <c r="K137" s="6" t="n">
        <v>172</v>
      </c>
      <c r="L137" s="2"/>
      <c r="M137" s="10" t="b">
        <f aca="false">TRUE()</f>
        <v>1</v>
      </c>
      <c r="N137" s="9" t="n">
        <f aca="false">IF(H137="","",IF(H137&gt;=Assumptions!$B$5,1,IF(H137&gt;=Assumptions!$B$6,2,IF(H137&gt;=Assumptions!$B$7,3,""))))</f>
        <v>1</v>
      </c>
      <c r="O137" s="9" t="n">
        <f aca="false">IF(N137=1,Assumptions!$B$8,IF(N137=2,Assumptions!$B$9,IF(N137=3,Assumptions!$B$10,0)))</f>
        <v>3</v>
      </c>
      <c r="P137" s="6" t="s">
        <v>30</v>
      </c>
      <c r="Q137" s="6" t="s">
        <v>30</v>
      </c>
      <c r="R137" s="11" t="s">
        <v>30</v>
      </c>
      <c r="S137" s="6" t="s">
        <v>30</v>
      </c>
      <c r="T137" s="11" t="s">
        <v>30</v>
      </c>
      <c r="U137" s="6" t="s">
        <v>30</v>
      </c>
      <c r="V137" s="6" t="s">
        <v>30</v>
      </c>
      <c r="W137" s="6" t="s">
        <v>30</v>
      </c>
      <c r="X137" s="2" t="s">
        <v>30</v>
      </c>
      <c r="Y137" s="6" t="str">
        <f aca="false">IF(AND(X137="processed",ISNUMBER(S137)),S137*O137,"")</f>
        <v/>
      </c>
      <c r="Z137" s="6" t="n">
        <f aca="false">IF(ISNUMBER(K137),K137*O137,0)</f>
        <v>516</v>
      </c>
      <c r="AA137" s="2" t="s">
        <v>31</v>
      </c>
      <c r="AB137" s="6" t="n">
        <v>16965</v>
      </c>
      <c r="AC137" s="6" t="n">
        <v>13314</v>
      </c>
      <c r="AD137" s="6" t="n">
        <v>307</v>
      </c>
      <c r="AE137" s="6" t="n">
        <v>1738.01965332031</v>
      </c>
      <c r="AF137" s="8" t="n">
        <v>679.677419355</v>
      </c>
      <c r="AG137" s="11" t="n">
        <v>-0.109146054</v>
      </c>
      <c r="AH137" s="12" t="n">
        <v>1</v>
      </c>
      <c r="AI137" s="2" t="s">
        <v>317</v>
      </c>
      <c r="AJ137" s="2" t="s">
        <v>444</v>
      </c>
      <c r="AK137" s="2" t="s">
        <v>444</v>
      </c>
    </row>
    <row r="138" customFormat="false" ht="15" hidden="false" customHeight="false" outlineLevel="0" collapsed="false">
      <c r="A138" s="9" t="n">
        <v>137</v>
      </c>
      <c r="B138" s="2" t="s">
        <v>445</v>
      </c>
      <c r="C138" s="2" t="s">
        <v>446</v>
      </c>
      <c r="D138" s="2" t="s">
        <v>70</v>
      </c>
      <c r="E138" s="2" t="s">
        <v>71</v>
      </c>
      <c r="F138" s="2" t="s">
        <v>447</v>
      </c>
      <c r="G138" s="2" t="s">
        <v>329</v>
      </c>
      <c r="H138" s="8" t="n">
        <v>754.342744256494</v>
      </c>
      <c r="I138" s="2" t="s">
        <v>316</v>
      </c>
      <c r="J138" s="8" t="n">
        <v>1759511.62790698</v>
      </c>
      <c r="K138" s="6" t="n">
        <v>172</v>
      </c>
      <c r="L138" s="2"/>
      <c r="M138" s="10" t="b">
        <f aca="false">TRUE()</f>
        <v>1</v>
      </c>
      <c r="N138" s="9" t="n">
        <f aca="false">IF(H138="","",IF(H138&gt;=Assumptions!$B$5,1,IF(H138&gt;=Assumptions!$B$6,2,IF(H138&gt;=Assumptions!$B$7,3,""))))</f>
        <v>1</v>
      </c>
      <c r="O138" s="9" t="n">
        <f aca="false">IF(N138=1,Assumptions!$B$8,IF(N138=2,Assumptions!$B$9,IF(N138=3,Assumptions!$B$10,0)))</f>
        <v>3</v>
      </c>
      <c r="P138" s="6" t="s">
        <v>30</v>
      </c>
      <c r="Q138" s="6" t="s">
        <v>30</v>
      </c>
      <c r="R138" s="11" t="s">
        <v>30</v>
      </c>
      <c r="S138" s="6" t="s">
        <v>30</v>
      </c>
      <c r="T138" s="11" t="s">
        <v>30</v>
      </c>
      <c r="U138" s="6" t="s">
        <v>30</v>
      </c>
      <c r="V138" s="6" t="s">
        <v>30</v>
      </c>
      <c r="W138" s="6" t="s">
        <v>30</v>
      </c>
      <c r="X138" s="2" t="s">
        <v>30</v>
      </c>
      <c r="Y138" s="6" t="str">
        <f aca="false">IF(AND(X138="processed",ISNUMBER(S138)),S138*O138,"")</f>
        <v/>
      </c>
      <c r="Z138" s="6" t="n">
        <f aca="false">IF(ISNUMBER(K138),K138*O138,0)</f>
        <v>516</v>
      </c>
      <c r="AA138" s="2" t="s">
        <v>31</v>
      </c>
      <c r="AB138" s="6" t="n">
        <v>8459</v>
      </c>
      <c r="AC138" s="6" t="n">
        <v>5851</v>
      </c>
      <c r="AD138" s="6" t="n">
        <v>184</v>
      </c>
      <c r="AE138" s="6" t="n">
        <v>2226.56689453125</v>
      </c>
      <c r="AF138" s="8" t="n">
        <v>747.217806041</v>
      </c>
      <c r="AG138" s="11" t="n">
        <v>-0.1023214332</v>
      </c>
      <c r="AH138" s="12" t="n">
        <v>1</v>
      </c>
      <c r="AI138" s="2" t="s">
        <v>317</v>
      </c>
      <c r="AJ138" s="2" t="s">
        <v>446</v>
      </c>
      <c r="AK138" s="2" t="s">
        <v>70</v>
      </c>
    </row>
    <row r="139" customFormat="false" ht="15" hidden="false" customHeight="false" outlineLevel="0" collapsed="false">
      <c r="A139" s="9" t="n">
        <v>138</v>
      </c>
      <c r="B139" s="2" t="s">
        <v>448</v>
      </c>
      <c r="C139" s="2" t="s">
        <v>449</v>
      </c>
      <c r="D139" s="2" t="s">
        <v>70</v>
      </c>
      <c r="E139" s="2" t="s">
        <v>71</v>
      </c>
      <c r="F139" s="2"/>
      <c r="G139" s="2" t="s">
        <v>329</v>
      </c>
      <c r="H139" s="8" t="n">
        <v>1008.70256050513</v>
      </c>
      <c r="I139" s="2" t="s">
        <v>316</v>
      </c>
      <c r="J139" s="8" t="n">
        <v>2425157.89473684</v>
      </c>
      <c r="K139" s="6" t="n">
        <v>171</v>
      </c>
      <c r="L139" s="2"/>
      <c r="M139" s="10" t="b">
        <f aca="false">TRUE()</f>
        <v>1</v>
      </c>
      <c r="N139" s="9" t="n">
        <f aca="false">IF(H139="","",IF(H139&gt;=Assumptions!$B$5,1,IF(H139&gt;=Assumptions!$B$6,2,IF(H139&gt;=Assumptions!$B$7,3,""))))</f>
        <v>1</v>
      </c>
      <c r="O139" s="9" t="n">
        <f aca="false">IF(N139=1,Assumptions!$B$8,IF(N139=2,Assumptions!$B$9,IF(N139=3,Assumptions!$B$10,0)))</f>
        <v>3</v>
      </c>
      <c r="P139" s="6" t="s">
        <v>30</v>
      </c>
      <c r="Q139" s="6" t="s">
        <v>30</v>
      </c>
      <c r="R139" s="11" t="s">
        <v>30</v>
      </c>
      <c r="S139" s="6" t="s">
        <v>30</v>
      </c>
      <c r="T139" s="11" t="s">
        <v>30</v>
      </c>
      <c r="U139" s="6" t="s">
        <v>30</v>
      </c>
      <c r="V139" s="6" t="s">
        <v>30</v>
      </c>
      <c r="W139" s="6" t="s">
        <v>30</v>
      </c>
      <c r="X139" s="2" t="s">
        <v>30</v>
      </c>
      <c r="Y139" s="6" t="str">
        <f aca="false">IF(AND(X139="processed",ISNUMBER(S139)),S139*O139,"")</f>
        <v/>
      </c>
      <c r="Z139" s="6" t="n">
        <f aca="false">IF(ISNUMBER(K139),K139*O139,0)</f>
        <v>513</v>
      </c>
      <c r="AA139" s="2" t="s">
        <v>31</v>
      </c>
      <c r="AB139" s="6" t="n">
        <v>10161</v>
      </c>
      <c r="AC139" s="6" t="n">
        <v>8314</v>
      </c>
      <c r="AD139" s="6" t="n">
        <v>241</v>
      </c>
      <c r="AE139" s="6" t="n">
        <v>2877.31787109375</v>
      </c>
      <c r="AF139" s="8" t="n">
        <v>1047.455880019</v>
      </c>
      <c r="AG139" s="11" t="n">
        <v>0.04652148839</v>
      </c>
      <c r="AH139" s="12" t="n">
        <v>0.999999999999999</v>
      </c>
      <c r="AI139" s="2" t="s">
        <v>317</v>
      </c>
      <c r="AJ139" s="2" t="s">
        <v>449</v>
      </c>
      <c r="AK139" s="2" t="s">
        <v>450</v>
      </c>
    </row>
    <row r="140" customFormat="false" ht="15" hidden="false" customHeight="false" outlineLevel="0" collapsed="false">
      <c r="A140" s="9" t="n">
        <v>139</v>
      </c>
      <c r="B140" s="2" t="s">
        <v>451</v>
      </c>
      <c r="C140" s="2" t="s">
        <v>452</v>
      </c>
      <c r="D140" s="2" t="s">
        <v>70</v>
      </c>
      <c r="E140" s="2" t="s">
        <v>71</v>
      </c>
      <c r="F140" s="2"/>
      <c r="G140" s="2" t="s">
        <v>329</v>
      </c>
      <c r="H140" s="8" t="n">
        <v>849.439033669298</v>
      </c>
      <c r="I140" s="2" t="s">
        <v>316</v>
      </c>
      <c r="J140" s="8" t="n">
        <v>1187113.0952381</v>
      </c>
      <c r="K140" s="6" t="n">
        <v>168</v>
      </c>
      <c r="L140" s="2"/>
      <c r="M140" s="10" t="b">
        <f aca="false">TRUE()</f>
        <v>1</v>
      </c>
      <c r="N140" s="9" t="n">
        <f aca="false">IF(H140="","",IF(H140&gt;=Assumptions!$B$5,1,IF(H140&gt;=Assumptions!$B$6,2,IF(H140&gt;=Assumptions!$B$7,3,""))))</f>
        <v>1</v>
      </c>
      <c r="O140" s="9" t="n">
        <f aca="false">IF(N140=1,Assumptions!$B$8,IF(N140=2,Assumptions!$B$9,IF(N140=3,Assumptions!$B$10,0)))</f>
        <v>3</v>
      </c>
      <c r="P140" s="6" t="s">
        <v>30</v>
      </c>
      <c r="Q140" s="6" t="s">
        <v>30</v>
      </c>
      <c r="R140" s="11" t="s">
        <v>30</v>
      </c>
      <c r="S140" s="6" t="s">
        <v>30</v>
      </c>
      <c r="T140" s="11" t="s">
        <v>30</v>
      </c>
      <c r="U140" s="6" t="s">
        <v>30</v>
      </c>
      <c r="V140" s="6" t="s">
        <v>30</v>
      </c>
      <c r="W140" s="6" t="s">
        <v>30</v>
      </c>
      <c r="X140" s="2" t="s">
        <v>30</v>
      </c>
      <c r="Y140" s="6" t="str">
        <f aca="false">IF(AND(X140="processed",ISNUMBER(S140)),S140*O140,"")</f>
        <v/>
      </c>
      <c r="Z140" s="6" t="n">
        <f aca="false">IF(ISNUMBER(K140),K140*O140,0)</f>
        <v>504</v>
      </c>
      <c r="AA140" s="2" t="s">
        <v>31</v>
      </c>
      <c r="AB140" s="6" t="n">
        <v>14815</v>
      </c>
      <c r="AC140" s="6" t="n">
        <v>10798</v>
      </c>
      <c r="AD140" s="6" t="n">
        <v>180</v>
      </c>
      <c r="AE140" s="6" t="n">
        <v>1721.30883789063</v>
      </c>
      <c r="AF140" s="8" t="n">
        <v>827.018121911</v>
      </c>
      <c r="AG140" s="11" t="n">
        <v>-0.04412874912</v>
      </c>
      <c r="AH140" s="12" t="n">
        <v>1</v>
      </c>
      <c r="AI140" s="2" t="s">
        <v>317</v>
      </c>
      <c r="AJ140" s="2" t="s">
        <v>452</v>
      </c>
      <c r="AK140" s="2" t="s">
        <v>452</v>
      </c>
    </row>
    <row r="141" customFormat="false" ht="15" hidden="false" customHeight="false" outlineLevel="0" collapsed="false">
      <c r="A141" s="9" t="n">
        <v>140</v>
      </c>
      <c r="B141" s="2" t="s">
        <v>453</v>
      </c>
      <c r="C141" s="2" t="s">
        <v>454</v>
      </c>
      <c r="D141" s="2" t="s">
        <v>455</v>
      </c>
      <c r="E141" s="2" t="s">
        <v>456</v>
      </c>
      <c r="F141" s="2" t="s">
        <v>457</v>
      </c>
      <c r="G141" s="2" t="s">
        <v>458</v>
      </c>
      <c r="H141" s="8" t="n">
        <v>616.517375944683</v>
      </c>
      <c r="I141" s="2" t="s">
        <v>316</v>
      </c>
      <c r="J141" s="8" t="n">
        <v>1368305.55555556</v>
      </c>
      <c r="K141" s="6" t="n">
        <v>252</v>
      </c>
      <c r="L141" s="2"/>
      <c r="M141" s="10" t="b">
        <f aca="false">TRUE()</f>
        <v>1</v>
      </c>
      <c r="N141" s="9" t="n">
        <f aca="false">IF(H141="","",IF(H141&gt;=Assumptions!$B$5,1,IF(H141&gt;=Assumptions!$B$6,2,IF(H141&gt;=Assumptions!$B$7,3,""))))</f>
        <v>2</v>
      </c>
      <c r="O141" s="9" t="n">
        <f aca="false">IF(N141=1,Assumptions!$B$8,IF(N141=2,Assumptions!$B$9,IF(N141=3,Assumptions!$B$10,0)))</f>
        <v>2</v>
      </c>
      <c r="P141" s="6" t="s">
        <v>30</v>
      </c>
      <c r="Q141" s="6" t="s">
        <v>30</v>
      </c>
      <c r="R141" s="11" t="s">
        <v>30</v>
      </c>
      <c r="S141" s="6" t="s">
        <v>30</v>
      </c>
      <c r="T141" s="11" t="s">
        <v>30</v>
      </c>
      <c r="U141" s="6" t="s">
        <v>30</v>
      </c>
      <c r="V141" s="6" t="s">
        <v>30</v>
      </c>
      <c r="W141" s="6" t="s">
        <v>30</v>
      </c>
      <c r="X141" s="2" t="s">
        <v>30</v>
      </c>
      <c r="Y141" s="6" t="str">
        <f aca="false">IF(AND(X141="processed",ISNUMBER(S141)),S141*O141,"")</f>
        <v/>
      </c>
      <c r="Z141" s="6" t="n">
        <f aca="false">IF(ISNUMBER(K141),K141*O141,0)</f>
        <v>504</v>
      </c>
      <c r="AA141" s="2" t="s">
        <v>31</v>
      </c>
      <c r="AB141" s="6" t="n">
        <v>11755</v>
      </c>
      <c r="AC141" s="6" t="n">
        <v>8970</v>
      </c>
      <c r="AD141" s="6" t="n">
        <v>307</v>
      </c>
      <c r="AE141" s="6" t="n">
        <v>2898.8203125</v>
      </c>
      <c r="AF141" s="8" t="n">
        <v>636.95643437</v>
      </c>
      <c r="AG141" s="11" t="n">
        <v>-0.02205148804</v>
      </c>
      <c r="AH141" s="12" t="n">
        <v>1</v>
      </c>
      <c r="AI141" s="2" t="s">
        <v>317</v>
      </c>
      <c r="AJ141" s="2" t="s">
        <v>454</v>
      </c>
      <c r="AK141" s="2" t="s">
        <v>454</v>
      </c>
    </row>
    <row r="142" customFormat="false" ht="15" hidden="false" customHeight="false" outlineLevel="0" collapsed="false">
      <c r="A142" s="9" t="n">
        <v>141</v>
      </c>
      <c r="B142" s="2" t="s">
        <v>459</v>
      </c>
      <c r="C142" s="2" t="s">
        <v>460</v>
      </c>
      <c r="D142" s="2" t="s">
        <v>105</v>
      </c>
      <c r="E142" s="2" t="s">
        <v>51</v>
      </c>
      <c r="F142" s="2" t="s">
        <v>461</v>
      </c>
      <c r="G142" s="2" t="s">
        <v>318</v>
      </c>
      <c r="H142" s="8" t="n">
        <v>856.767160050458</v>
      </c>
      <c r="I142" s="2" t="s">
        <v>316</v>
      </c>
      <c r="J142" s="8" t="n">
        <v>2554636.90476191</v>
      </c>
      <c r="K142" s="6" t="n">
        <v>168</v>
      </c>
      <c r="L142" s="2"/>
      <c r="M142" s="10" t="b">
        <f aca="false">TRUE()</f>
        <v>1</v>
      </c>
      <c r="N142" s="9" t="n">
        <f aca="false">IF(H142="","",IF(H142&gt;=Assumptions!$B$5,1,IF(H142&gt;=Assumptions!$B$6,2,IF(H142&gt;=Assumptions!$B$7,3,""))))</f>
        <v>1</v>
      </c>
      <c r="O142" s="9" t="n">
        <f aca="false">IF(N142=1,Assumptions!$B$8,IF(N142=2,Assumptions!$B$9,IF(N142=3,Assumptions!$B$10,0)))</f>
        <v>3</v>
      </c>
      <c r="P142" s="6" t="s">
        <v>30</v>
      </c>
      <c r="Q142" s="6" t="s">
        <v>30</v>
      </c>
      <c r="R142" s="11" t="s">
        <v>30</v>
      </c>
      <c r="S142" s="6" t="s">
        <v>30</v>
      </c>
      <c r="T142" s="11" t="s">
        <v>30</v>
      </c>
      <c r="U142" s="6" t="s">
        <v>30</v>
      </c>
      <c r="V142" s="6" t="s">
        <v>30</v>
      </c>
      <c r="W142" s="6" t="s">
        <v>30</v>
      </c>
      <c r="X142" s="2" t="s">
        <v>30</v>
      </c>
      <c r="Y142" s="6" t="str">
        <f aca="false">IF(AND(X142="processed",ISNUMBER(S142)),S142*O142,"")</f>
        <v/>
      </c>
      <c r="Z142" s="6" t="n">
        <f aca="false">IF(ISNUMBER(K142),K142*O142,0)</f>
        <v>504</v>
      </c>
      <c r="AA142" s="2" t="s">
        <v>31</v>
      </c>
      <c r="AB142" s="6" t="n">
        <v>6655</v>
      </c>
      <c r="AC142" s="6" t="n">
        <v>5758</v>
      </c>
      <c r="AD142" s="6" t="n">
        <v>5088</v>
      </c>
      <c r="AE142" s="6" t="n">
        <v>3739.72973632813</v>
      </c>
      <c r="AF142" s="8" t="n">
        <v>934.182590234</v>
      </c>
      <c r="AG142" s="11" t="n">
        <v>0.06856293562</v>
      </c>
      <c r="AH142" s="12" t="n">
        <v>0.999999999999999</v>
      </c>
      <c r="AI142" s="2" t="s">
        <v>317</v>
      </c>
      <c r="AJ142" s="2" t="s">
        <v>460</v>
      </c>
      <c r="AK142" s="2" t="s">
        <v>165</v>
      </c>
    </row>
    <row r="143" customFormat="false" ht="15" hidden="false" customHeight="false" outlineLevel="0" collapsed="false">
      <c r="A143" s="9" t="n">
        <v>142</v>
      </c>
      <c r="B143" s="2" t="s">
        <v>462</v>
      </c>
      <c r="C143" s="2" t="s">
        <v>33</v>
      </c>
      <c r="D143" s="2" t="s">
        <v>34</v>
      </c>
      <c r="E143" s="2" t="s">
        <v>35</v>
      </c>
      <c r="F143" s="2" t="s">
        <v>463</v>
      </c>
      <c r="G143" s="2" t="s">
        <v>318</v>
      </c>
      <c r="H143" s="8" t="n">
        <v>689.863686376048</v>
      </c>
      <c r="I143" s="2" t="s">
        <v>316</v>
      </c>
      <c r="J143" s="8" t="n">
        <v>1075911.29032258</v>
      </c>
      <c r="K143" s="6" t="n">
        <v>248</v>
      </c>
      <c r="L143" s="2"/>
      <c r="M143" s="10" t="b">
        <f aca="false">TRUE()</f>
        <v>1</v>
      </c>
      <c r="N143" s="9" t="n">
        <f aca="false">IF(H143="","",IF(H143&gt;=Assumptions!$B$5,1,IF(H143&gt;=Assumptions!$B$6,2,IF(H143&gt;=Assumptions!$B$7,3,""))))</f>
        <v>2</v>
      </c>
      <c r="O143" s="9" t="n">
        <f aca="false">IF(N143=1,Assumptions!$B$8,IF(N143=2,Assumptions!$B$9,IF(N143=3,Assumptions!$B$10,0)))</f>
        <v>2</v>
      </c>
      <c r="P143" s="6" t="s">
        <v>30</v>
      </c>
      <c r="Q143" s="6" t="s">
        <v>30</v>
      </c>
      <c r="R143" s="11" t="s">
        <v>30</v>
      </c>
      <c r="S143" s="6" t="s">
        <v>30</v>
      </c>
      <c r="T143" s="11" t="s">
        <v>30</v>
      </c>
      <c r="U143" s="6" t="s">
        <v>30</v>
      </c>
      <c r="V143" s="6" t="s">
        <v>30</v>
      </c>
      <c r="W143" s="6" t="s">
        <v>30</v>
      </c>
      <c r="X143" s="2" t="s">
        <v>30</v>
      </c>
      <c r="Y143" s="6" t="str">
        <f aca="false">IF(AND(X143="processed",ISNUMBER(S143)),S143*O143,"")</f>
        <v/>
      </c>
      <c r="Z143" s="6" t="n">
        <f aca="false">IF(ISNUMBER(K143),K143*O143,0)</f>
        <v>496</v>
      </c>
      <c r="AA143" s="2" t="s">
        <v>31</v>
      </c>
      <c r="AB143" s="6" t="n">
        <v>15947</v>
      </c>
      <c r="AC143" s="6" t="n">
        <v>14166</v>
      </c>
      <c r="AD143" s="6" t="n">
        <v>2917</v>
      </c>
      <c r="AE143" s="6" t="n">
        <v>2236.39111328125</v>
      </c>
      <c r="AF143" s="8" t="n">
        <v>704.267178363</v>
      </c>
      <c r="AG143" s="11" t="n">
        <v>-0.07891246731</v>
      </c>
      <c r="AH143" s="12" t="n">
        <v>0.669414016894908</v>
      </c>
      <c r="AI143" s="2" t="s">
        <v>319</v>
      </c>
      <c r="AJ143" s="2"/>
      <c r="AK143" s="2" t="s">
        <v>33</v>
      </c>
    </row>
    <row r="144" customFormat="false" ht="15" hidden="false" customHeight="false" outlineLevel="0" collapsed="false">
      <c r="A144" s="9" t="n">
        <v>143</v>
      </c>
      <c r="B144" s="2" t="s">
        <v>464</v>
      </c>
      <c r="C144" s="2" t="s">
        <v>465</v>
      </c>
      <c r="D144" s="2" t="s">
        <v>105</v>
      </c>
      <c r="E144" s="2" t="s">
        <v>51</v>
      </c>
      <c r="F144" s="2"/>
      <c r="G144" s="2" t="s">
        <v>318</v>
      </c>
      <c r="H144" s="8" t="n">
        <v>742.340212961</v>
      </c>
      <c r="I144" s="2" t="s">
        <v>316</v>
      </c>
      <c r="J144" s="8" t="n">
        <v>1222872.72727273</v>
      </c>
      <c r="K144" s="6" t="n">
        <v>165</v>
      </c>
      <c r="L144" s="2"/>
      <c r="M144" s="10" t="b">
        <f aca="false">TRUE()</f>
        <v>1</v>
      </c>
      <c r="N144" s="9" t="n">
        <f aca="false">IF(H144="","",IF(H144&gt;=Assumptions!$B$5,1,IF(H144&gt;=Assumptions!$B$6,2,IF(H144&gt;=Assumptions!$B$7,3,""))))</f>
        <v>1</v>
      </c>
      <c r="O144" s="9" t="n">
        <f aca="false">IF(N144=1,Assumptions!$B$8,IF(N144=2,Assumptions!$B$9,IF(N144=3,Assumptions!$B$10,0)))</f>
        <v>3</v>
      </c>
      <c r="P144" s="6" t="s">
        <v>30</v>
      </c>
      <c r="Q144" s="6" t="s">
        <v>30</v>
      </c>
      <c r="R144" s="11" t="s">
        <v>30</v>
      </c>
      <c r="S144" s="6" t="s">
        <v>30</v>
      </c>
      <c r="T144" s="11" t="s">
        <v>30</v>
      </c>
      <c r="U144" s="6" t="s">
        <v>30</v>
      </c>
      <c r="V144" s="6" t="s">
        <v>30</v>
      </c>
      <c r="W144" s="6" t="s">
        <v>30</v>
      </c>
      <c r="X144" s="2" t="s">
        <v>30</v>
      </c>
      <c r="Y144" s="6" t="str">
        <f aca="false">IF(AND(X144="processed",ISNUMBER(S144)),S144*O144,"")</f>
        <v/>
      </c>
      <c r="Z144" s="6" t="n">
        <f aca="false">IF(ISNUMBER(K144),K144*O144,0)</f>
        <v>495</v>
      </c>
      <c r="AA144" s="2" t="s">
        <v>31</v>
      </c>
      <c r="AB144" s="6" t="n">
        <v>12236</v>
      </c>
      <c r="AC144" s="6" t="n">
        <v>8971</v>
      </c>
      <c r="AD144" s="6" t="n">
        <v>82</v>
      </c>
      <c r="AE144" s="6" t="n">
        <v>1825.92297363281</v>
      </c>
      <c r="AF144" s="8" t="n">
        <v>761.772853186</v>
      </c>
      <c r="AG144" s="11" t="n">
        <v>-0.002827521549</v>
      </c>
      <c r="AH144" s="12" t="n">
        <v>0.999977023771901</v>
      </c>
      <c r="AI144" s="2" t="s">
        <v>321</v>
      </c>
      <c r="AJ144" s="2" t="s">
        <v>465</v>
      </c>
      <c r="AK144" s="2" t="s">
        <v>465</v>
      </c>
    </row>
    <row r="145" customFormat="false" ht="15" hidden="false" customHeight="false" outlineLevel="0" collapsed="false">
      <c r="A145" s="9" t="n">
        <v>144</v>
      </c>
      <c r="B145" s="2" t="s">
        <v>466</v>
      </c>
      <c r="C145" s="2" t="s">
        <v>74</v>
      </c>
      <c r="D145" s="2" t="s">
        <v>34</v>
      </c>
      <c r="E145" s="2" t="s">
        <v>35</v>
      </c>
      <c r="F145" s="2" t="s">
        <v>467</v>
      </c>
      <c r="G145" s="2" t="s">
        <v>318</v>
      </c>
      <c r="H145" s="8" t="n">
        <v>818.372071937127</v>
      </c>
      <c r="I145" s="2" t="s">
        <v>316</v>
      </c>
      <c r="J145" s="8" t="n">
        <v>1531818.18181818</v>
      </c>
      <c r="K145" s="6" t="n">
        <v>165</v>
      </c>
      <c r="L145" s="2"/>
      <c r="M145" s="10" t="b">
        <f aca="false">TRUE()</f>
        <v>1</v>
      </c>
      <c r="N145" s="9" t="n">
        <f aca="false">IF(H145="","",IF(H145&gt;=Assumptions!$B$5,1,IF(H145&gt;=Assumptions!$B$6,2,IF(H145&gt;=Assumptions!$B$7,3,""))))</f>
        <v>1</v>
      </c>
      <c r="O145" s="9" t="n">
        <f aca="false">IF(N145=1,Assumptions!$B$8,IF(N145=2,Assumptions!$B$9,IF(N145=3,Assumptions!$B$10,0)))</f>
        <v>3</v>
      </c>
      <c r="P145" s="6" t="s">
        <v>30</v>
      </c>
      <c r="Q145" s="6" t="s">
        <v>30</v>
      </c>
      <c r="R145" s="11" t="s">
        <v>30</v>
      </c>
      <c r="S145" s="6" t="s">
        <v>30</v>
      </c>
      <c r="T145" s="11" t="s">
        <v>30</v>
      </c>
      <c r="U145" s="6" t="s">
        <v>30</v>
      </c>
      <c r="V145" s="6" t="s">
        <v>30</v>
      </c>
      <c r="W145" s="6" t="s">
        <v>30</v>
      </c>
      <c r="X145" s="2" t="s">
        <v>30</v>
      </c>
      <c r="Y145" s="6" t="str">
        <f aca="false">IF(AND(X145="processed",ISNUMBER(S145)),S145*O145,"")</f>
        <v/>
      </c>
      <c r="Z145" s="6" t="n">
        <f aca="false">IF(ISNUMBER(K145),K145*O145,0)</f>
        <v>495</v>
      </c>
      <c r="AA145" s="2" t="s">
        <v>31</v>
      </c>
      <c r="AB145" s="6" t="n">
        <v>10025</v>
      </c>
      <c r="AC145" s="6" t="n">
        <v>8805</v>
      </c>
      <c r="AD145" s="6" t="n">
        <v>1305</v>
      </c>
      <c r="AE145" s="6" t="n">
        <v>2397.353515625</v>
      </c>
      <c r="AF145" s="8" t="n">
        <v>816.666666667</v>
      </c>
      <c r="AG145" s="11" t="n">
        <v>-0.05524930637</v>
      </c>
      <c r="AH145" s="12" t="n">
        <v>0.541708636047569</v>
      </c>
      <c r="AI145" s="2" t="s">
        <v>319</v>
      </c>
      <c r="AJ145" s="2"/>
      <c r="AK145" s="2" t="s">
        <v>74</v>
      </c>
    </row>
    <row r="146" customFormat="false" ht="15" hidden="false" customHeight="false" outlineLevel="0" collapsed="false">
      <c r="A146" s="9" t="n">
        <v>145</v>
      </c>
      <c r="B146" s="2" t="s">
        <v>468</v>
      </c>
      <c r="C146" s="2" t="s">
        <v>352</v>
      </c>
      <c r="D146" s="2" t="s">
        <v>70</v>
      </c>
      <c r="E146" s="2" t="s">
        <v>71</v>
      </c>
      <c r="F146" s="2" t="s">
        <v>469</v>
      </c>
      <c r="G146" s="2" t="s">
        <v>329</v>
      </c>
      <c r="H146" s="8" t="n">
        <v>887.338128871689</v>
      </c>
      <c r="I146" s="2" t="s">
        <v>316</v>
      </c>
      <c r="J146" s="8" t="n">
        <v>1416981.70731707</v>
      </c>
      <c r="K146" s="6" t="n">
        <v>164</v>
      </c>
      <c r="L146" s="2"/>
      <c r="M146" s="10" t="b">
        <f aca="false">TRUE()</f>
        <v>1</v>
      </c>
      <c r="N146" s="9" t="n">
        <f aca="false">IF(H146="","",IF(H146&gt;=Assumptions!$B$5,1,IF(H146&gt;=Assumptions!$B$6,2,IF(H146&gt;=Assumptions!$B$7,3,""))))</f>
        <v>1</v>
      </c>
      <c r="O146" s="9" t="n">
        <f aca="false">IF(N146=1,Assumptions!$B$8,IF(N146=2,Assumptions!$B$9,IF(N146=3,Assumptions!$B$10,0)))</f>
        <v>3</v>
      </c>
      <c r="P146" s="6" t="s">
        <v>30</v>
      </c>
      <c r="Q146" s="6" t="s">
        <v>30</v>
      </c>
      <c r="R146" s="11" t="s">
        <v>30</v>
      </c>
      <c r="S146" s="6" t="s">
        <v>30</v>
      </c>
      <c r="T146" s="11" t="s">
        <v>30</v>
      </c>
      <c r="U146" s="6" t="s">
        <v>30</v>
      </c>
      <c r="V146" s="6" t="s">
        <v>30</v>
      </c>
      <c r="W146" s="6" t="s">
        <v>30</v>
      </c>
      <c r="X146" s="2" t="s">
        <v>30</v>
      </c>
      <c r="Y146" s="6" t="str">
        <f aca="false">IF(AND(X146="processed",ISNUMBER(S146)),S146*O146,"")</f>
        <v/>
      </c>
      <c r="Z146" s="6" t="n">
        <f aca="false">IF(ISNUMBER(K146),K146*O146,0)</f>
        <v>492</v>
      </c>
      <c r="AA146" s="2" t="s">
        <v>31</v>
      </c>
      <c r="AB146" s="6" t="n">
        <v>13075</v>
      </c>
      <c r="AC146" s="6" t="n">
        <v>10027</v>
      </c>
      <c r="AD146" s="6" t="n">
        <v>120</v>
      </c>
      <c r="AE146" s="6" t="n">
        <v>2108.95849609375</v>
      </c>
      <c r="AF146" s="8" t="n">
        <v>877.192982456</v>
      </c>
      <c r="AG146" s="11" t="n">
        <v>-0.02837977296</v>
      </c>
      <c r="AH146" s="12" t="n">
        <v>0.999999999999999</v>
      </c>
      <c r="AI146" s="2" t="s">
        <v>317</v>
      </c>
      <c r="AJ146" s="2" t="s">
        <v>352</v>
      </c>
      <c r="AK146" s="2" t="s">
        <v>352</v>
      </c>
    </row>
    <row r="147" customFormat="false" ht="15" hidden="false" customHeight="false" outlineLevel="0" collapsed="false">
      <c r="A147" s="9" t="n">
        <v>146</v>
      </c>
      <c r="B147" s="2" t="s">
        <v>470</v>
      </c>
      <c r="C147" s="2" t="s">
        <v>471</v>
      </c>
      <c r="D147" s="2" t="s">
        <v>39</v>
      </c>
      <c r="E147" s="2" t="s">
        <v>40</v>
      </c>
      <c r="F147" s="2" t="s">
        <v>472</v>
      </c>
      <c r="G147" s="2" t="s">
        <v>320</v>
      </c>
      <c r="H147" s="8" t="n">
        <v>1388.94657404493</v>
      </c>
      <c r="I147" s="2" t="s">
        <v>316</v>
      </c>
      <c r="J147" s="8" t="n">
        <v>3066371.95121951</v>
      </c>
      <c r="K147" s="6" t="n">
        <v>164</v>
      </c>
      <c r="L147" s="2"/>
      <c r="M147" s="10" t="b">
        <f aca="false">TRUE()</f>
        <v>1</v>
      </c>
      <c r="N147" s="9" t="n">
        <f aca="false">IF(H147="","",IF(H147&gt;=Assumptions!$B$5,1,IF(H147&gt;=Assumptions!$B$6,2,IF(H147&gt;=Assumptions!$B$7,3,""))))</f>
        <v>1</v>
      </c>
      <c r="O147" s="9" t="n">
        <f aca="false">IF(N147=1,Assumptions!$B$8,IF(N147=2,Assumptions!$B$9,IF(N147=3,Assumptions!$B$10,0)))</f>
        <v>3</v>
      </c>
      <c r="P147" s="6" t="s">
        <v>30</v>
      </c>
      <c r="Q147" s="6" t="s">
        <v>30</v>
      </c>
      <c r="R147" s="11" t="s">
        <v>30</v>
      </c>
      <c r="S147" s="6" t="s">
        <v>30</v>
      </c>
      <c r="T147" s="11" t="s">
        <v>30</v>
      </c>
      <c r="U147" s="6" t="s">
        <v>30</v>
      </c>
      <c r="V147" s="6" t="s">
        <v>30</v>
      </c>
      <c r="W147" s="6" t="s">
        <v>30</v>
      </c>
      <c r="X147" s="2" t="s">
        <v>30</v>
      </c>
      <c r="Y147" s="6" t="str">
        <f aca="false">IF(AND(X147="processed",ISNUMBER(S147)),S147*O147,"")</f>
        <v/>
      </c>
      <c r="Z147" s="6" t="n">
        <f aca="false">IF(ISNUMBER(K147),K147*O147,0)</f>
        <v>492</v>
      </c>
      <c r="AA147" s="2" t="s">
        <v>31</v>
      </c>
      <c r="AB147" s="6" t="n">
        <v>9505</v>
      </c>
      <c r="AC147" s="6" t="n">
        <v>8127</v>
      </c>
      <c r="AD147" s="6" t="n">
        <v>1646</v>
      </c>
      <c r="AE147" s="6" t="n">
        <v>2663.21728515625</v>
      </c>
      <c r="AF147" s="8" t="n">
        <v>1429.023508137</v>
      </c>
      <c r="AG147" s="11" t="n">
        <v>0.08583578458</v>
      </c>
      <c r="AH147" s="12" t="n">
        <v>0.999999999999999</v>
      </c>
      <c r="AI147" s="2" t="s">
        <v>317</v>
      </c>
      <c r="AJ147" s="2" t="s">
        <v>471</v>
      </c>
      <c r="AK147" s="2" t="s">
        <v>471</v>
      </c>
    </row>
    <row r="148" customFormat="false" ht="15" hidden="false" customHeight="false" outlineLevel="0" collapsed="false">
      <c r="A148" s="9" t="n">
        <v>147</v>
      </c>
      <c r="B148" s="2" t="s">
        <v>473</v>
      </c>
      <c r="C148" s="2" t="s">
        <v>474</v>
      </c>
      <c r="D148" s="2" t="s">
        <v>70</v>
      </c>
      <c r="E148" s="2" t="s">
        <v>71</v>
      </c>
      <c r="F148" s="2" t="s">
        <v>475</v>
      </c>
      <c r="G148" s="2" t="s">
        <v>329</v>
      </c>
      <c r="H148" s="8" t="n">
        <v>600.221383468971</v>
      </c>
      <c r="I148" s="2" t="s">
        <v>316</v>
      </c>
      <c r="J148" s="8" t="n">
        <v>905329.218106996</v>
      </c>
      <c r="K148" s="6" t="n">
        <v>243</v>
      </c>
      <c r="L148" s="2"/>
      <c r="M148" s="10" t="b">
        <f aca="false">TRUE()</f>
        <v>1</v>
      </c>
      <c r="N148" s="9" t="n">
        <f aca="false">IF(H148="","",IF(H148&gt;=Assumptions!$B$5,1,IF(H148&gt;=Assumptions!$B$6,2,IF(H148&gt;=Assumptions!$B$7,3,""))))</f>
        <v>2</v>
      </c>
      <c r="O148" s="9" t="n">
        <f aca="false">IF(N148=1,Assumptions!$B$8,IF(N148=2,Assumptions!$B$9,IF(N148=3,Assumptions!$B$10,0)))</f>
        <v>2</v>
      </c>
      <c r="P148" s="6" t="s">
        <v>30</v>
      </c>
      <c r="Q148" s="6" t="s">
        <v>30</v>
      </c>
      <c r="R148" s="11" t="s">
        <v>30</v>
      </c>
      <c r="S148" s="6" t="s">
        <v>30</v>
      </c>
      <c r="T148" s="11" t="s">
        <v>30</v>
      </c>
      <c r="U148" s="6" t="s">
        <v>30</v>
      </c>
      <c r="V148" s="6" t="s">
        <v>30</v>
      </c>
      <c r="W148" s="6" t="s">
        <v>30</v>
      </c>
      <c r="X148" s="2" t="s">
        <v>30</v>
      </c>
      <c r="Y148" s="6" t="str">
        <f aca="false">IF(AND(X148="processed",ISNUMBER(S148)),S148*O148,"")</f>
        <v/>
      </c>
      <c r="Z148" s="6" t="n">
        <f aca="false">IF(ISNUMBER(K148),K148*O148,0)</f>
        <v>486</v>
      </c>
      <c r="AA148" s="2" t="s">
        <v>31</v>
      </c>
      <c r="AB148" s="6" t="n">
        <v>16147</v>
      </c>
      <c r="AC148" s="6" t="n">
        <v>13617</v>
      </c>
      <c r="AD148" s="6" t="n">
        <v>153</v>
      </c>
      <c r="AE148" s="6" t="n">
        <v>2392.59375</v>
      </c>
      <c r="AF148" s="8" t="n">
        <v>618.84057971</v>
      </c>
      <c r="AG148" s="11" t="n">
        <v>-0.02402699414</v>
      </c>
      <c r="AH148" s="12" t="n">
        <v>0.990299809655954</v>
      </c>
      <c r="AI148" s="2" t="s">
        <v>321</v>
      </c>
      <c r="AJ148" s="2" t="s">
        <v>474</v>
      </c>
      <c r="AK148" s="2" t="s">
        <v>474</v>
      </c>
    </row>
    <row r="149" customFormat="false" ht="15" hidden="false" customHeight="false" outlineLevel="0" collapsed="false">
      <c r="A149" s="9" t="n">
        <v>148</v>
      </c>
      <c r="B149" s="2" t="s">
        <v>476</v>
      </c>
      <c r="C149" s="2" t="s">
        <v>27</v>
      </c>
      <c r="D149" s="2" t="s">
        <v>27</v>
      </c>
      <c r="E149" s="2" t="s">
        <v>28</v>
      </c>
      <c r="F149" s="2"/>
      <c r="G149" s="2" t="s">
        <v>315</v>
      </c>
      <c r="H149" s="8" t="n">
        <v>653.608226225152</v>
      </c>
      <c r="I149" s="2" t="s">
        <v>316</v>
      </c>
      <c r="J149" s="8" t="n">
        <v>1289740.74074074</v>
      </c>
      <c r="K149" s="6" t="n">
        <v>243</v>
      </c>
      <c r="L149" s="2"/>
      <c r="M149" s="10" t="b">
        <f aca="false">TRUE()</f>
        <v>1</v>
      </c>
      <c r="N149" s="9" t="n">
        <f aca="false">IF(H149="","",IF(H149&gt;=Assumptions!$B$5,1,IF(H149&gt;=Assumptions!$B$6,2,IF(H149&gt;=Assumptions!$B$7,3,""))))</f>
        <v>2</v>
      </c>
      <c r="O149" s="9" t="n">
        <f aca="false">IF(N149=1,Assumptions!$B$8,IF(N149=2,Assumptions!$B$9,IF(N149=3,Assumptions!$B$10,0)))</f>
        <v>2</v>
      </c>
      <c r="P149" s="6" t="s">
        <v>30</v>
      </c>
      <c r="Q149" s="6" t="s">
        <v>30</v>
      </c>
      <c r="R149" s="11" t="s">
        <v>30</v>
      </c>
      <c r="S149" s="6" t="s">
        <v>30</v>
      </c>
      <c r="T149" s="11" t="s">
        <v>30</v>
      </c>
      <c r="U149" s="6" t="s">
        <v>30</v>
      </c>
      <c r="V149" s="6" t="s">
        <v>30</v>
      </c>
      <c r="W149" s="6" t="s">
        <v>30</v>
      </c>
      <c r="X149" s="2" t="s">
        <v>30</v>
      </c>
      <c r="Y149" s="6" t="str">
        <f aca="false">IF(AND(X149="processed",ISNUMBER(S149)),S149*O149,"")</f>
        <v/>
      </c>
      <c r="Z149" s="6" t="n">
        <f aca="false">IF(ISNUMBER(K149),K149*O149,0)</f>
        <v>486</v>
      </c>
      <c r="AA149" s="2" t="s">
        <v>31</v>
      </c>
      <c r="AB149" s="6" t="n">
        <v>13328</v>
      </c>
      <c r="AC149" s="6" t="n">
        <v>11915</v>
      </c>
      <c r="AD149" s="6" t="n">
        <v>329</v>
      </c>
      <c r="AE149" s="6" t="n">
        <v>2619.08203125</v>
      </c>
      <c r="AF149" s="8" t="n">
        <v>683.41437061</v>
      </c>
      <c r="AG149" s="11" t="n">
        <v>0.02451461598</v>
      </c>
      <c r="AH149" s="12" t="n">
        <v>0.999999999999999</v>
      </c>
      <c r="AI149" s="2" t="s">
        <v>317</v>
      </c>
      <c r="AJ149" s="2" t="s">
        <v>27</v>
      </c>
      <c r="AK149" s="2" t="s">
        <v>27</v>
      </c>
    </row>
    <row r="150" customFormat="false" ht="15" hidden="false" customHeight="false" outlineLevel="0" collapsed="false">
      <c r="A150" s="9" t="n">
        <v>149</v>
      </c>
      <c r="B150" s="2" t="s">
        <v>477</v>
      </c>
      <c r="C150" s="2" t="s">
        <v>446</v>
      </c>
      <c r="D150" s="2" t="s">
        <v>70</v>
      </c>
      <c r="E150" s="2" t="s">
        <v>71</v>
      </c>
      <c r="F150" s="2"/>
      <c r="G150" s="2" t="s">
        <v>329</v>
      </c>
      <c r="H150" s="8" t="n">
        <v>770.422733579584</v>
      </c>
      <c r="I150" s="2" t="s">
        <v>316</v>
      </c>
      <c r="J150" s="8" t="n">
        <v>2392136.64596273</v>
      </c>
      <c r="K150" s="6" t="n">
        <v>161</v>
      </c>
      <c r="L150" s="2"/>
      <c r="M150" s="10" t="b">
        <f aca="false">TRUE()</f>
        <v>1</v>
      </c>
      <c r="N150" s="9" t="n">
        <f aca="false">IF(H150="","",IF(H150&gt;=Assumptions!$B$5,1,IF(H150&gt;=Assumptions!$B$6,2,IF(H150&gt;=Assumptions!$B$7,3,""))))</f>
        <v>1</v>
      </c>
      <c r="O150" s="9" t="n">
        <f aca="false">IF(N150=1,Assumptions!$B$8,IF(N150=2,Assumptions!$B$9,IF(N150=3,Assumptions!$B$10,0)))</f>
        <v>3</v>
      </c>
      <c r="P150" s="6" t="s">
        <v>30</v>
      </c>
      <c r="Q150" s="6" t="s">
        <v>30</v>
      </c>
      <c r="R150" s="11" t="s">
        <v>30</v>
      </c>
      <c r="S150" s="6" t="s">
        <v>30</v>
      </c>
      <c r="T150" s="11" t="s">
        <v>30</v>
      </c>
      <c r="U150" s="6" t="s">
        <v>30</v>
      </c>
      <c r="V150" s="6" t="s">
        <v>30</v>
      </c>
      <c r="W150" s="6" t="s">
        <v>30</v>
      </c>
      <c r="X150" s="2" t="s">
        <v>30</v>
      </c>
      <c r="Y150" s="6" t="str">
        <f aca="false">IF(AND(X150="processed",ISNUMBER(S150)),S150*O150,"")</f>
        <v/>
      </c>
      <c r="Z150" s="6" t="n">
        <f aca="false">IF(ISNUMBER(K150),K150*O150,0)</f>
        <v>483</v>
      </c>
      <c r="AA150" s="2" t="s">
        <v>31</v>
      </c>
      <c r="AB150" s="6" t="n">
        <v>7147</v>
      </c>
      <c r="AC150" s="6" t="n">
        <v>5359</v>
      </c>
      <c r="AD150" s="6" t="n">
        <v>187</v>
      </c>
      <c r="AE150" s="6" t="n">
        <v>3330.72314453125</v>
      </c>
      <c r="AF150" s="8" t="n">
        <v>781.25</v>
      </c>
      <c r="AG150" s="11" t="n">
        <v>-0.02393882543</v>
      </c>
      <c r="AH150" s="12" t="n">
        <v>1</v>
      </c>
      <c r="AI150" s="2" t="s">
        <v>317</v>
      </c>
      <c r="AJ150" s="2" t="s">
        <v>446</v>
      </c>
      <c r="AK150" s="2" t="s">
        <v>70</v>
      </c>
    </row>
    <row r="151" customFormat="false" ht="15" hidden="false" customHeight="false" outlineLevel="0" collapsed="false">
      <c r="A151" s="9" t="n">
        <v>150</v>
      </c>
      <c r="B151" s="2" t="s">
        <v>478</v>
      </c>
      <c r="C151" s="2" t="s">
        <v>84</v>
      </c>
      <c r="D151" s="2" t="s">
        <v>70</v>
      </c>
      <c r="E151" s="2" t="s">
        <v>71</v>
      </c>
      <c r="F151" s="2" t="s">
        <v>479</v>
      </c>
      <c r="G151" s="2" t="s">
        <v>329</v>
      </c>
      <c r="H151" s="8" t="n">
        <v>898.490897447725</v>
      </c>
      <c r="I151" s="2" t="s">
        <v>316</v>
      </c>
      <c r="J151" s="8" t="n">
        <v>1689040.625</v>
      </c>
      <c r="K151" s="6" t="n">
        <v>160</v>
      </c>
      <c r="L151" s="2"/>
      <c r="M151" s="10" t="b">
        <f aca="false">TRUE()</f>
        <v>1</v>
      </c>
      <c r="N151" s="9" t="n">
        <f aca="false">IF(H151="","",IF(H151&gt;=Assumptions!$B$5,1,IF(H151&gt;=Assumptions!$B$6,2,IF(H151&gt;=Assumptions!$B$7,3,""))))</f>
        <v>1</v>
      </c>
      <c r="O151" s="9" t="n">
        <f aca="false">IF(N151=1,Assumptions!$B$8,IF(N151=2,Assumptions!$B$9,IF(N151=3,Assumptions!$B$10,0)))</f>
        <v>3</v>
      </c>
      <c r="P151" s="6" t="s">
        <v>30</v>
      </c>
      <c r="Q151" s="6" t="s">
        <v>30</v>
      </c>
      <c r="R151" s="11" t="s">
        <v>30</v>
      </c>
      <c r="S151" s="6" t="s">
        <v>30</v>
      </c>
      <c r="T151" s="11" t="s">
        <v>30</v>
      </c>
      <c r="U151" s="6" t="s">
        <v>30</v>
      </c>
      <c r="V151" s="6" t="s">
        <v>30</v>
      </c>
      <c r="W151" s="6" t="s">
        <v>30</v>
      </c>
      <c r="X151" s="2" t="s">
        <v>30</v>
      </c>
      <c r="Y151" s="6" t="str">
        <f aca="false">IF(AND(X151="processed",ISNUMBER(S151)),S151*O151,"")</f>
        <v/>
      </c>
      <c r="Z151" s="6" t="n">
        <f aca="false">IF(ISNUMBER(K151),K151*O151,0)</f>
        <v>480</v>
      </c>
      <c r="AA151" s="2" t="s">
        <v>31</v>
      </c>
      <c r="AB151" s="6" t="n">
        <v>11333</v>
      </c>
      <c r="AC151" s="6" t="n">
        <v>9665</v>
      </c>
      <c r="AD151" s="6" t="n">
        <v>102</v>
      </c>
      <c r="AE151" s="6" t="n">
        <v>1814.34558105469</v>
      </c>
      <c r="AF151" s="8" t="n">
        <v>932.0149443</v>
      </c>
      <c r="AG151" s="11" t="n">
        <v>0.02359554317</v>
      </c>
      <c r="AH151" s="12" t="n">
        <v>0.554455129497796</v>
      </c>
      <c r="AI151" s="2" t="s">
        <v>317</v>
      </c>
      <c r="AJ151" s="2" t="s">
        <v>84</v>
      </c>
      <c r="AK151" s="2" t="s">
        <v>84</v>
      </c>
    </row>
    <row r="152" customFormat="false" ht="15" hidden="false" customHeight="false" outlineLevel="0" collapsed="false">
      <c r="A152" s="9" t="n">
        <v>151</v>
      </c>
      <c r="B152" s="2" t="s">
        <v>480</v>
      </c>
      <c r="C152" s="2" t="s">
        <v>266</v>
      </c>
      <c r="D152" s="2" t="s">
        <v>34</v>
      </c>
      <c r="E152" s="2" t="s">
        <v>35</v>
      </c>
      <c r="F152" s="2"/>
      <c r="G152" s="2" t="s">
        <v>318</v>
      </c>
      <c r="H152" s="8" t="n">
        <v>640.293676369475</v>
      </c>
      <c r="I152" s="2" t="s">
        <v>316</v>
      </c>
      <c r="J152" s="8" t="n">
        <v>906750</v>
      </c>
      <c r="K152" s="6" t="n">
        <v>240</v>
      </c>
      <c r="L152" s="2"/>
      <c r="M152" s="10" t="b">
        <f aca="false">TRUE()</f>
        <v>1</v>
      </c>
      <c r="N152" s="9" t="n">
        <f aca="false">IF(H152="","",IF(H152&gt;=Assumptions!$B$5,1,IF(H152&gt;=Assumptions!$B$6,2,IF(H152&gt;=Assumptions!$B$7,3,""))))</f>
        <v>2</v>
      </c>
      <c r="O152" s="9" t="n">
        <f aca="false">IF(N152=1,Assumptions!$B$8,IF(N152=2,Assumptions!$B$9,IF(N152=3,Assumptions!$B$10,0)))</f>
        <v>2</v>
      </c>
      <c r="P152" s="6" t="s">
        <v>30</v>
      </c>
      <c r="Q152" s="6" t="s">
        <v>30</v>
      </c>
      <c r="R152" s="11" t="s">
        <v>30</v>
      </c>
      <c r="S152" s="6" t="s">
        <v>30</v>
      </c>
      <c r="T152" s="11" t="s">
        <v>30</v>
      </c>
      <c r="U152" s="6" t="s">
        <v>30</v>
      </c>
      <c r="V152" s="6" t="s">
        <v>30</v>
      </c>
      <c r="W152" s="6" t="s">
        <v>30</v>
      </c>
      <c r="X152" s="2" t="s">
        <v>30</v>
      </c>
      <c r="Y152" s="6" t="str">
        <f aca="false">IF(AND(X152="processed",ISNUMBER(S152)),S152*O152,"")</f>
        <v/>
      </c>
      <c r="Z152" s="6" t="n">
        <f aca="false">IF(ISNUMBER(K152),K152*O152,0)</f>
        <v>480</v>
      </c>
      <c r="AA152" s="2" t="s">
        <v>31</v>
      </c>
      <c r="AB152" s="6" t="n">
        <v>18044</v>
      </c>
      <c r="AC152" s="6" t="n">
        <v>15192</v>
      </c>
      <c r="AD152" s="6" t="n">
        <v>2831</v>
      </c>
      <c r="AE152" s="6" t="n">
        <v>2064.78515625</v>
      </c>
      <c r="AF152" s="8" t="n">
        <v>682.397003745</v>
      </c>
      <c r="AG152" s="11" t="n">
        <v>-0.004694395091</v>
      </c>
      <c r="AH152" s="12" t="n">
        <v>1</v>
      </c>
      <c r="AI152" s="2" t="s">
        <v>319</v>
      </c>
      <c r="AJ152" s="2"/>
      <c r="AK152" s="2" t="s">
        <v>266</v>
      </c>
    </row>
    <row r="153" customFormat="false" ht="15" hidden="false" customHeight="false" outlineLevel="0" collapsed="false">
      <c r="A153" s="9" t="n">
        <v>152</v>
      </c>
      <c r="B153" s="2" t="s">
        <v>481</v>
      </c>
      <c r="C153" s="2" t="s">
        <v>38</v>
      </c>
      <c r="D153" s="2" t="s">
        <v>39</v>
      </c>
      <c r="E153" s="2" t="s">
        <v>40</v>
      </c>
      <c r="F153" s="2"/>
      <c r="G153" s="2" t="s">
        <v>320</v>
      </c>
      <c r="H153" s="8" t="n">
        <v>1097.42754121162</v>
      </c>
      <c r="I153" s="2" t="s">
        <v>316</v>
      </c>
      <c r="J153" s="8" t="n">
        <v>1661006.25</v>
      </c>
      <c r="K153" s="6" t="n">
        <v>160</v>
      </c>
      <c r="L153" s="2"/>
      <c r="M153" s="10" t="b">
        <f aca="false">TRUE()</f>
        <v>1</v>
      </c>
      <c r="N153" s="9" t="n">
        <f aca="false">IF(H153="","",IF(H153&gt;=Assumptions!$B$5,1,IF(H153&gt;=Assumptions!$B$6,2,IF(H153&gt;=Assumptions!$B$7,3,""))))</f>
        <v>1</v>
      </c>
      <c r="O153" s="9" t="n">
        <f aca="false">IF(N153=1,Assumptions!$B$8,IF(N153=2,Assumptions!$B$9,IF(N153=3,Assumptions!$B$10,0)))</f>
        <v>3</v>
      </c>
      <c r="P153" s="6" t="s">
        <v>30</v>
      </c>
      <c r="Q153" s="6" t="s">
        <v>30</v>
      </c>
      <c r="R153" s="11" t="s">
        <v>30</v>
      </c>
      <c r="S153" s="6" t="s">
        <v>30</v>
      </c>
      <c r="T153" s="11" t="s">
        <v>30</v>
      </c>
      <c r="U153" s="6" t="s">
        <v>30</v>
      </c>
      <c r="V153" s="6" t="s">
        <v>30</v>
      </c>
      <c r="W153" s="6" t="s">
        <v>30</v>
      </c>
      <c r="X153" s="2" t="s">
        <v>30</v>
      </c>
      <c r="Y153" s="6" t="str">
        <f aca="false">IF(AND(X153="processed",ISNUMBER(S153)),S153*O153,"")</f>
        <v/>
      </c>
      <c r="Z153" s="6" t="n">
        <f aca="false">IF(ISNUMBER(K153),K153*O153,0)</f>
        <v>480</v>
      </c>
      <c r="AA153" s="2" t="s">
        <v>31</v>
      </c>
      <c r="AB153" s="6" t="n">
        <v>12970</v>
      </c>
      <c r="AC153" s="6" t="n">
        <v>8745</v>
      </c>
      <c r="AD153" s="6" t="n">
        <v>158</v>
      </c>
      <c r="AE153" s="6" t="n">
        <v>2090.57958984375</v>
      </c>
      <c r="AF153" s="8" t="n">
        <v>1142.857142857</v>
      </c>
      <c r="AG153" s="11" t="n">
        <v>0.009653938483</v>
      </c>
      <c r="AH153" s="12" t="n">
        <v>0.999999999999999</v>
      </c>
      <c r="AI153" s="2" t="s">
        <v>317</v>
      </c>
      <c r="AJ153" s="2" t="s">
        <v>38</v>
      </c>
      <c r="AK153" s="2" t="s">
        <v>38</v>
      </c>
    </row>
    <row r="154" customFormat="false" ht="15" hidden="false" customHeight="false" outlineLevel="0" collapsed="false">
      <c r="A154" s="9" t="n">
        <v>153</v>
      </c>
      <c r="B154" s="2" t="s">
        <v>482</v>
      </c>
      <c r="C154" s="2" t="s">
        <v>133</v>
      </c>
      <c r="D154" s="2" t="s">
        <v>34</v>
      </c>
      <c r="E154" s="2" t="s">
        <v>35</v>
      </c>
      <c r="F154" s="2" t="s">
        <v>483</v>
      </c>
      <c r="G154" s="2" t="s">
        <v>318</v>
      </c>
      <c r="H154" s="8" t="n">
        <v>798.541034812363</v>
      </c>
      <c r="I154" s="2" t="s">
        <v>316</v>
      </c>
      <c r="J154" s="8" t="n">
        <v>1655366.24203822</v>
      </c>
      <c r="K154" s="6" t="n">
        <v>157</v>
      </c>
      <c r="L154" s="2"/>
      <c r="M154" s="10" t="b">
        <f aca="false">TRUE()</f>
        <v>1</v>
      </c>
      <c r="N154" s="9" t="n">
        <f aca="false">IF(H154="","",IF(H154&gt;=Assumptions!$B$5,1,IF(H154&gt;=Assumptions!$B$6,2,IF(H154&gt;=Assumptions!$B$7,3,""))))</f>
        <v>1</v>
      </c>
      <c r="O154" s="9" t="n">
        <f aca="false">IF(N154=1,Assumptions!$B$8,IF(N154=2,Assumptions!$B$9,IF(N154=3,Assumptions!$B$10,0)))</f>
        <v>3</v>
      </c>
      <c r="P154" s="6" t="s">
        <v>30</v>
      </c>
      <c r="Q154" s="6" t="s">
        <v>30</v>
      </c>
      <c r="R154" s="11" t="s">
        <v>30</v>
      </c>
      <c r="S154" s="6" t="s">
        <v>30</v>
      </c>
      <c r="T154" s="11" t="s">
        <v>30</v>
      </c>
      <c r="U154" s="6" t="s">
        <v>30</v>
      </c>
      <c r="V154" s="6" t="s">
        <v>30</v>
      </c>
      <c r="W154" s="6" t="s">
        <v>30</v>
      </c>
      <c r="X154" s="2" t="s">
        <v>30</v>
      </c>
      <c r="Y154" s="6" t="str">
        <f aca="false">IF(AND(X154="processed",ISNUMBER(S154)),S154*O154,"")</f>
        <v/>
      </c>
      <c r="Z154" s="6" t="n">
        <f aca="false">IF(ISNUMBER(K154),K154*O154,0)</f>
        <v>471</v>
      </c>
      <c r="AA154" s="2" t="s">
        <v>31</v>
      </c>
      <c r="AB154" s="6" t="n">
        <v>8128</v>
      </c>
      <c r="AC154" s="6" t="n">
        <v>6110</v>
      </c>
      <c r="AD154" s="6" t="n">
        <v>43</v>
      </c>
      <c r="AE154" s="6" t="n">
        <v>1731.74389648438</v>
      </c>
      <c r="AF154" s="8" t="n">
        <v>883.445479641</v>
      </c>
      <c r="AG154" s="11" t="n">
        <v>0.09283551627</v>
      </c>
      <c r="AH154" s="12" t="n">
        <v>1</v>
      </c>
      <c r="AI154" s="2" t="s">
        <v>319</v>
      </c>
      <c r="AJ154" s="2"/>
      <c r="AK154" s="2" t="s">
        <v>133</v>
      </c>
    </row>
    <row r="155" customFormat="false" ht="15" hidden="false" customHeight="false" outlineLevel="0" collapsed="false">
      <c r="A155" s="9" t="n">
        <v>154</v>
      </c>
      <c r="B155" s="2" t="s">
        <v>484</v>
      </c>
      <c r="C155" s="2" t="s">
        <v>44</v>
      </c>
      <c r="D155" s="2" t="s">
        <v>44</v>
      </c>
      <c r="E155" s="2" t="s">
        <v>44</v>
      </c>
      <c r="F155" s="2" t="s">
        <v>485</v>
      </c>
      <c r="G155" s="2" t="s">
        <v>322</v>
      </c>
      <c r="H155" s="8" t="n">
        <v>689.551978958842</v>
      </c>
      <c r="I155" s="2" t="s">
        <v>316</v>
      </c>
      <c r="J155" s="8" t="n">
        <v>1106115.38461539</v>
      </c>
      <c r="K155" s="6" t="n">
        <v>234</v>
      </c>
      <c r="L155" s="2"/>
      <c r="M155" s="10" t="b">
        <f aca="false">TRUE()</f>
        <v>1</v>
      </c>
      <c r="N155" s="9" t="n">
        <f aca="false">IF(H155="","",IF(H155&gt;=Assumptions!$B$5,1,IF(H155&gt;=Assumptions!$B$6,2,IF(H155&gt;=Assumptions!$B$7,3,""))))</f>
        <v>2</v>
      </c>
      <c r="O155" s="9" t="n">
        <f aca="false">IF(N155=1,Assumptions!$B$8,IF(N155=2,Assumptions!$B$9,IF(N155=3,Assumptions!$B$10,0)))</f>
        <v>2</v>
      </c>
      <c r="P155" s="6" t="s">
        <v>30</v>
      </c>
      <c r="Q155" s="6" t="s">
        <v>30</v>
      </c>
      <c r="R155" s="11" t="s">
        <v>30</v>
      </c>
      <c r="S155" s="6" t="s">
        <v>30</v>
      </c>
      <c r="T155" s="11" t="s">
        <v>30</v>
      </c>
      <c r="U155" s="6" t="s">
        <v>30</v>
      </c>
      <c r="V155" s="6" t="s">
        <v>30</v>
      </c>
      <c r="W155" s="6" t="s">
        <v>30</v>
      </c>
      <c r="X155" s="2" t="s">
        <v>30</v>
      </c>
      <c r="Y155" s="6" t="str">
        <f aca="false">IF(AND(X155="processed",ISNUMBER(S155)),S155*O155,"")</f>
        <v/>
      </c>
      <c r="Z155" s="6" t="n">
        <f aca="false">IF(ISNUMBER(K155),K155*O155,0)</f>
        <v>468</v>
      </c>
      <c r="AA155" s="2" t="s">
        <v>31</v>
      </c>
      <c r="AB155" s="6" t="n">
        <v>18851</v>
      </c>
      <c r="AC155" s="6" t="n">
        <v>17129</v>
      </c>
      <c r="AD155" s="6" t="n">
        <v>632</v>
      </c>
      <c r="AE155" s="6" t="n">
        <v>2229.90063476563</v>
      </c>
      <c r="AF155" s="8" t="n">
        <v>703.966745116</v>
      </c>
      <c r="AG155" s="11" t="n">
        <v>-0.05420817977</v>
      </c>
      <c r="AH155" s="12" t="n">
        <v>0.999999999999999</v>
      </c>
      <c r="AI155" s="2" t="s">
        <v>317</v>
      </c>
      <c r="AJ155" s="2" t="s">
        <v>44</v>
      </c>
      <c r="AK155" s="2" t="s">
        <v>44</v>
      </c>
    </row>
    <row r="156" customFormat="false" ht="15" hidden="false" customHeight="false" outlineLevel="0" collapsed="false">
      <c r="A156" s="9" t="n">
        <v>155</v>
      </c>
      <c r="B156" s="2" t="s">
        <v>486</v>
      </c>
      <c r="C156" s="2" t="s">
        <v>380</v>
      </c>
      <c r="D156" s="2" t="s">
        <v>380</v>
      </c>
      <c r="E156" s="2" t="s">
        <v>51</v>
      </c>
      <c r="F156" s="2" t="s">
        <v>487</v>
      </c>
      <c r="G156" s="2" t="s">
        <v>381</v>
      </c>
      <c r="H156" s="8" t="n">
        <v>706.438660936583</v>
      </c>
      <c r="I156" s="2" t="s">
        <v>316</v>
      </c>
      <c r="J156" s="8" t="n">
        <v>1263205.12820513</v>
      </c>
      <c r="K156" s="6" t="n">
        <v>156</v>
      </c>
      <c r="L156" s="2"/>
      <c r="M156" s="10" t="b">
        <f aca="false">TRUE()</f>
        <v>1</v>
      </c>
      <c r="N156" s="9" t="n">
        <f aca="false">IF(H156="","",IF(H156&gt;=Assumptions!$B$5,1,IF(H156&gt;=Assumptions!$B$6,2,IF(H156&gt;=Assumptions!$B$7,3,""))))</f>
        <v>1</v>
      </c>
      <c r="O156" s="9" t="n">
        <f aca="false">IF(N156=1,Assumptions!$B$8,IF(N156=2,Assumptions!$B$9,IF(N156=3,Assumptions!$B$10,0)))</f>
        <v>3</v>
      </c>
      <c r="P156" s="6" t="s">
        <v>30</v>
      </c>
      <c r="Q156" s="6" t="s">
        <v>30</v>
      </c>
      <c r="R156" s="11" t="s">
        <v>30</v>
      </c>
      <c r="S156" s="6" t="s">
        <v>30</v>
      </c>
      <c r="T156" s="11" t="s">
        <v>30</v>
      </c>
      <c r="U156" s="6" t="s">
        <v>30</v>
      </c>
      <c r="V156" s="6" t="s">
        <v>30</v>
      </c>
      <c r="W156" s="6" t="s">
        <v>30</v>
      </c>
      <c r="X156" s="2" t="s">
        <v>30</v>
      </c>
      <c r="Y156" s="6" t="str">
        <f aca="false">IF(AND(X156="processed",ISNUMBER(S156)),S156*O156,"")</f>
        <v/>
      </c>
      <c r="Z156" s="6" t="n">
        <f aca="false">IF(ISNUMBER(K156),K156*O156,0)</f>
        <v>468</v>
      </c>
      <c r="AA156" s="2" t="s">
        <v>31</v>
      </c>
      <c r="AB156" s="6" t="n">
        <v>13647</v>
      </c>
      <c r="AC156" s="6" t="n">
        <v>11050</v>
      </c>
      <c r="AD156" s="6" t="n">
        <v>454</v>
      </c>
      <c r="AE156" s="6" t="n">
        <v>2001.30053710938</v>
      </c>
      <c r="AF156" s="8" t="n">
        <v>721.801346801</v>
      </c>
      <c r="AG156" s="11" t="n">
        <v>-0.07424782756</v>
      </c>
      <c r="AH156" s="12" t="n">
        <v>0.975943880939929</v>
      </c>
      <c r="AI156" s="2" t="s">
        <v>317</v>
      </c>
      <c r="AJ156" s="2" t="s">
        <v>380</v>
      </c>
      <c r="AK156" s="2" t="s">
        <v>380</v>
      </c>
    </row>
    <row r="157" customFormat="false" ht="15" hidden="false" customHeight="false" outlineLevel="0" collapsed="false">
      <c r="A157" s="9" t="n">
        <v>156</v>
      </c>
      <c r="B157" s="2" t="s">
        <v>488</v>
      </c>
      <c r="C157" s="2" t="s">
        <v>428</v>
      </c>
      <c r="D157" s="2" t="s">
        <v>39</v>
      </c>
      <c r="E157" s="2" t="s">
        <v>40</v>
      </c>
      <c r="F157" s="2" t="s">
        <v>489</v>
      </c>
      <c r="G157" s="2" t="s">
        <v>320</v>
      </c>
      <c r="H157" s="8" t="n">
        <v>1959.13409575024</v>
      </c>
      <c r="I157" s="2" t="s">
        <v>316</v>
      </c>
      <c r="J157" s="8" t="n">
        <v>3489243.58974359</v>
      </c>
      <c r="K157" s="6" t="n">
        <v>156</v>
      </c>
      <c r="L157" s="2"/>
      <c r="M157" s="10" t="b">
        <f aca="false">TRUE()</f>
        <v>1</v>
      </c>
      <c r="N157" s="9" t="n">
        <f aca="false">IF(H157="","",IF(H157&gt;=Assumptions!$B$5,1,IF(H157&gt;=Assumptions!$B$6,2,IF(H157&gt;=Assumptions!$B$7,3,""))))</f>
        <v>1</v>
      </c>
      <c r="O157" s="9" t="n">
        <f aca="false">IF(N157=1,Assumptions!$B$8,IF(N157=2,Assumptions!$B$9,IF(N157=3,Assumptions!$B$10,0)))</f>
        <v>3</v>
      </c>
      <c r="P157" s="6" t="s">
        <v>30</v>
      </c>
      <c r="Q157" s="6" t="s">
        <v>30</v>
      </c>
      <c r="R157" s="11" t="s">
        <v>30</v>
      </c>
      <c r="S157" s="6" t="s">
        <v>30</v>
      </c>
      <c r="T157" s="11" t="s">
        <v>30</v>
      </c>
      <c r="U157" s="6" t="s">
        <v>30</v>
      </c>
      <c r="V157" s="6" t="s">
        <v>30</v>
      </c>
      <c r="W157" s="6" t="s">
        <v>30</v>
      </c>
      <c r="X157" s="2" t="s">
        <v>30</v>
      </c>
      <c r="Y157" s="6" t="str">
        <f aca="false">IF(AND(X157="processed",ISNUMBER(S157)),S157*O157,"")</f>
        <v/>
      </c>
      <c r="Z157" s="6" t="n">
        <f aca="false">IF(ISNUMBER(K157),K157*O157,0)</f>
        <v>468</v>
      </c>
      <c r="AA157" s="2" t="s">
        <v>31</v>
      </c>
      <c r="AB157" s="6" t="n">
        <v>10011</v>
      </c>
      <c r="AC157" s="6" t="n">
        <v>7796</v>
      </c>
      <c r="AD157" s="6" t="n">
        <v>107</v>
      </c>
      <c r="AE157" s="6" t="n">
        <v>2239.2373046875</v>
      </c>
      <c r="AF157" s="8" t="n">
        <v>2061.66712224</v>
      </c>
      <c r="AG157" s="11" t="n">
        <v>0.1051297892</v>
      </c>
      <c r="AH157" s="12" t="n">
        <v>0.999999999999999</v>
      </c>
      <c r="AI157" s="2" t="s">
        <v>317</v>
      </c>
      <c r="AJ157" s="2" t="s">
        <v>428</v>
      </c>
      <c r="AK157" s="2" t="s">
        <v>428</v>
      </c>
    </row>
    <row r="158" customFormat="false" ht="15" hidden="false" customHeight="false" outlineLevel="0" collapsed="false">
      <c r="A158" s="9" t="n">
        <v>157</v>
      </c>
      <c r="B158" s="2" t="s">
        <v>490</v>
      </c>
      <c r="C158" s="2" t="s">
        <v>491</v>
      </c>
      <c r="D158" s="2" t="s">
        <v>62</v>
      </c>
      <c r="E158" s="2" t="s">
        <v>40</v>
      </c>
      <c r="F158" s="2"/>
      <c r="G158" s="2" t="s">
        <v>324</v>
      </c>
      <c r="H158" s="8" t="n">
        <v>1274.6517241873</v>
      </c>
      <c r="I158" s="2" t="s">
        <v>316</v>
      </c>
      <c r="J158" s="8" t="n">
        <v>2289975.22580645</v>
      </c>
      <c r="K158" s="6" t="n">
        <v>155</v>
      </c>
      <c r="L158" s="2"/>
      <c r="M158" s="10" t="b">
        <f aca="false">TRUE()</f>
        <v>1</v>
      </c>
      <c r="N158" s="9" t="n">
        <f aca="false">IF(H158="","",IF(H158&gt;=Assumptions!$B$5,1,IF(H158&gt;=Assumptions!$B$6,2,IF(H158&gt;=Assumptions!$B$7,3,""))))</f>
        <v>1</v>
      </c>
      <c r="O158" s="9" t="n">
        <f aca="false">IF(N158=1,Assumptions!$B$8,IF(N158=2,Assumptions!$B$9,IF(N158=3,Assumptions!$B$10,0)))</f>
        <v>3</v>
      </c>
      <c r="P158" s="6" t="s">
        <v>30</v>
      </c>
      <c r="Q158" s="6" t="s">
        <v>30</v>
      </c>
      <c r="R158" s="11" t="s">
        <v>30</v>
      </c>
      <c r="S158" s="6" t="s">
        <v>30</v>
      </c>
      <c r="T158" s="11" t="s">
        <v>30</v>
      </c>
      <c r="U158" s="6" t="s">
        <v>30</v>
      </c>
      <c r="V158" s="6" t="s">
        <v>30</v>
      </c>
      <c r="W158" s="6" t="s">
        <v>30</v>
      </c>
      <c r="X158" s="2" t="s">
        <v>30</v>
      </c>
      <c r="Y158" s="6" t="str">
        <f aca="false">IF(AND(X158="processed",ISNUMBER(S158)),S158*O158,"")</f>
        <v/>
      </c>
      <c r="Z158" s="6" t="n">
        <f aca="false">IF(ISNUMBER(K158),K158*O158,0)</f>
        <v>465</v>
      </c>
      <c r="AA158" s="2" t="s">
        <v>31</v>
      </c>
      <c r="AB158" s="6" t="n">
        <v>8525</v>
      </c>
      <c r="AC158" s="6" t="n">
        <v>7404</v>
      </c>
      <c r="AD158" s="6" t="n">
        <v>109</v>
      </c>
      <c r="AE158" s="6" t="n">
        <v>2176.142578125</v>
      </c>
      <c r="AF158" s="8" t="n">
        <v>1368.020148378</v>
      </c>
      <c r="AG158" s="11" t="n">
        <v>0.05961258344</v>
      </c>
      <c r="AH158" s="12" t="n">
        <v>0.999999999999998</v>
      </c>
      <c r="AI158" s="2" t="s">
        <v>321</v>
      </c>
      <c r="AJ158" s="2" t="s">
        <v>491</v>
      </c>
      <c r="AK158" s="2" t="s">
        <v>491</v>
      </c>
    </row>
    <row r="159" customFormat="false" ht="15" hidden="false" customHeight="false" outlineLevel="0" collapsed="false">
      <c r="A159" s="9" t="n">
        <v>158</v>
      </c>
      <c r="B159" s="2" t="s">
        <v>492</v>
      </c>
      <c r="C159" s="2" t="s">
        <v>38</v>
      </c>
      <c r="D159" s="2" t="s">
        <v>39</v>
      </c>
      <c r="E159" s="2" t="s">
        <v>40</v>
      </c>
      <c r="F159" s="2" t="s">
        <v>493</v>
      </c>
      <c r="G159" s="2" t="s">
        <v>320</v>
      </c>
      <c r="H159" s="8" t="n">
        <v>1656.72967275547</v>
      </c>
      <c r="I159" s="2" t="s">
        <v>316</v>
      </c>
      <c r="J159" s="8" t="n">
        <v>2836283.87096774</v>
      </c>
      <c r="K159" s="6" t="n">
        <v>155</v>
      </c>
      <c r="L159" s="2"/>
      <c r="M159" s="10" t="b">
        <f aca="false">TRUE()</f>
        <v>1</v>
      </c>
      <c r="N159" s="9" t="n">
        <f aca="false">IF(H159="","",IF(H159&gt;=Assumptions!$B$5,1,IF(H159&gt;=Assumptions!$B$6,2,IF(H159&gt;=Assumptions!$B$7,3,""))))</f>
        <v>1</v>
      </c>
      <c r="O159" s="9" t="n">
        <f aca="false">IF(N159=1,Assumptions!$B$8,IF(N159=2,Assumptions!$B$9,IF(N159=3,Assumptions!$B$10,0)))</f>
        <v>3</v>
      </c>
      <c r="P159" s="6" t="s">
        <v>30</v>
      </c>
      <c r="Q159" s="6" t="s">
        <v>30</v>
      </c>
      <c r="R159" s="11" t="s">
        <v>30</v>
      </c>
      <c r="S159" s="6" t="s">
        <v>30</v>
      </c>
      <c r="T159" s="11" t="s">
        <v>30</v>
      </c>
      <c r="U159" s="6" t="s">
        <v>30</v>
      </c>
      <c r="V159" s="6" t="s">
        <v>30</v>
      </c>
      <c r="W159" s="6" t="s">
        <v>30</v>
      </c>
      <c r="X159" s="2" t="s">
        <v>30</v>
      </c>
      <c r="Y159" s="6" t="str">
        <f aca="false">IF(AND(X159="processed",ISNUMBER(S159)),S159*O159,"")</f>
        <v/>
      </c>
      <c r="Z159" s="6" t="n">
        <f aca="false">IF(ISNUMBER(K159),K159*O159,0)</f>
        <v>465</v>
      </c>
      <c r="AA159" s="2" t="s">
        <v>31</v>
      </c>
      <c r="AB159" s="6" t="n">
        <v>11605</v>
      </c>
      <c r="AC159" s="6" t="n">
        <v>9335</v>
      </c>
      <c r="AD159" s="6" t="n">
        <v>71</v>
      </c>
      <c r="AE159" s="6" t="n">
        <v>2545.37622070313</v>
      </c>
      <c r="AF159" s="8" t="n">
        <v>1627.474295887</v>
      </c>
      <c r="AG159" s="11" t="n">
        <v>-0.05464971335</v>
      </c>
      <c r="AH159" s="12" t="n">
        <v>0.999999999999998</v>
      </c>
      <c r="AI159" s="2" t="s">
        <v>317</v>
      </c>
      <c r="AJ159" s="2" t="s">
        <v>38</v>
      </c>
      <c r="AK159" s="2" t="s">
        <v>38</v>
      </c>
    </row>
    <row r="160" customFormat="false" ht="15" hidden="false" customHeight="false" outlineLevel="0" collapsed="false">
      <c r="A160" s="9" t="n">
        <v>159</v>
      </c>
      <c r="B160" s="2" t="s">
        <v>494</v>
      </c>
      <c r="C160" s="2" t="s">
        <v>38</v>
      </c>
      <c r="D160" s="2" t="s">
        <v>39</v>
      </c>
      <c r="E160" s="2" t="s">
        <v>40</v>
      </c>
      <c r="F160" s="2"/>
      <c r="G160" s="2" t="s">
        <v>320</v>
      </c>
      <c r="H160" s="8" t="n">
        <v>1024.4910580375</v>
      </c>
      <c r="I160" s="2" t="s">
        <v>316</v>
      </c>
      <c r="J160" s="8" t="n">
        <v>1687541.93548387</v>
      </c>
      <c r="K160" s="6" t="n">
        <v>155</v>
      </c>
      <c r="L160" s="2"/>
      <c r="M160" s="10" t="b">
        <f aca="false">TRUE()</f>
        <v>1</v>
      </c>
      <c r="N160" s="9" t="n">
        <f aca="false">IF(H160="","",IF(H160&gt;=Assumptions!$B$5,1,IF(H160&gt;=Assumptions!$B$6,2,IF(H160&gt;=Assumptions!$B$7,3,""))))</f>
        <v>1</v>
      </c>
      <c r="O160" s="9" t="n">
        <f aca="false">IF(N160=1,Assumptions!$B$8,IF(N160=2,Assumptions!$B$9,IF(N160=3,Assumptions!$B$10,0)))</f>
        <v>3</v>
      </c>
      <c r="P160" s="6" t="s">
        <v>30</v>
      </c>
      <c r="Q160" s="6" t="s">
        <v>30</v>
      </c>
      <c r="R160" s="11" t="s">
        <v>30</v>
      </c>
      <c r="S160" s="6" t="s">
        <v>30</v>
      </c>
      <c r="T160" s="11" t="s">
        <v>30</v>
      </c>
      <c r="U160" s="6" t="s">
        <v>30</v>
      </c>
      <c r="V160" s="6" t="s">
        <v>30</v>
      </c>
      <c r="W160" s="6" t="s">
        <v>30</v>
      </c>
      <c r="X160" s="2" t="s">
        <v>30</v>
      </c>
      <c r="Y160" s="6" t="str">
        <f aca="false">IF(AND(X160="processed",ISNUMBER(S160)),S160*O160,"")</f>
        <v/>
      </c>
      <c r="Z160" s="6" t="n">
        <f aca="false">IF(ISNUMBER(K160),K160*O160,0)</f>
        <v>465</v>
      </c>
      <c r="AA160" s="2" t="s">
        <v>31</v>
      </c>
      <c r="AB160" s="6" t="n">
        <v>11535</v>
      </c>
      <c r="AC160" s="6" t="n">
        <v>10413</v>
      </c>
      <c r="AD160" s="6" t="n">
        <v>682</v>
      </c>
      <c r="AE160" s="6" t="n">
        <v>2383.08251953125</v>
      </c>
      <c r="AF160" s="8" t="n">
        <v>1036.585365854</v>
      </c>
      <c r="AG160" s="11" t="n">
        <v>-0.02353658537</v>
      </c>
      <c r="AH160" s="12" t="n">
        <v>0.999624780846561</v>
      </c>
      <c r="AI160" s="2" t="s">
        <v>317</v>
      </c>
      <c r="AJ160" s="2" t="s">
        <v>38</v>
      </c>
      <c r="AK160" s="2" t="s">
        <v>38</v>
      </c>
    </row>
    <row r="161" customFormat="false" ht="15" hidden="false" customHeight="false" outlineLevel="0" collapsed="false">
      <c r="A161" s="9" t="n">
        <v>160</v>
      </c>
      <c r="B161" s="2" t="s">
        <v>495</v>
      </c>
      <c r="C161" s="2" t="s">
        <v>70</v>
      </c>
      <c r="D161" s="2" t="s">
        <v>70</v>
      </c>
      <c r="E161" s="2" t="s">
        <v>71</v>
      </c>
      <c r="F161" s="2" t="s">
        <v>496</v>
      </c>
      <c r="G161" s="2" t="s">
        <v>329</v>
      </c>
      <c r="H161" s="8" t="n">
        <v>615.053759555939</v>
      </c>
      <c r="I161" s="2" t="s">
        <v>316</v>
      </c>
      <c r="J161" s="8" t="n">
        <v>870378.260869565</v>
      </c>
      <c r="K161" s="6" t="n">
        <v>230</v>
      </c>
      <c r="L161" s="2"/>
      <c r="M161" s="10" t="b">
        <f aca="false">TRUE()</f>
        <v>1</v>
      </c>
      <c r="N161" s="9" t="n">
        <f aca="false">IF(H161="","",IF(H161&gt;=Assumptions!$B$5,1,IF(H161&gt;=Assumptions!$B$6,2,IF(H161&gt;=Assumptions!$B$7,3,""))))</f>
        <v>2</v>
      </c>
      <c r="O161" s="9" t="n">
        <f aca="false">IF(N161=1,Assumptions!$B$8,IF(N161=2,Assumptions!$B$9,IF(N161=3,Assumptions!$B$10,0)))</f>
        <v>2</v>
      </c>
      <c r="P161" s="6" t="s">
        <v>30</v>
      </c>
      <c r="Q161" s="6" t="s">
        <v>30</v>
      </c>
      <c r="R161" s="11" t="s">
        <v>30</v>
      </c>
      <c r="S161" s="6" t="s">
        <v>30</v>
      </c>
      <c r="T161" s="11" t="s">
        <v>30</v>
      </c>
      <c r="U161" s="6" t="s">
        <v>30</v>
      </c>
      <c r="V161" s="6" t="s">
        <v>30</v>
      </c>
      <c r="W161" s="6" t="s">
        <v>30</v>
      </c>
      <c r="X161" s="2" t="s">
        <v>30</v>
      </c>
      <c r="Y161" s="6" t="str">
        <f aca="false">IF(AND(X161="processed",ISNUMBER(S161)),S161*O161,"")</f>
        <v/>
      </c>
      <c r="Z161" s="6" t="n">
        <f aca="false">IF(ISNUMBER(K161),K161*O161,0)</f>
        <v>460</v>
      </c>
      <c r="AA161" s="2" t="s">
        <v>31</v>
      </c>
      <c r="AB161" s="6" t="n">
        <v>22158</v>
      </c>
      <c r="AC161" s="6" t="n">
        <v>14027</v>
      </c>
      <c r="AD161" s="6" t="n">
        <v>180</v>
      </c>
      <c r="AE161" s="6" t="n">
        <v>1684.697265625</v>
      </c>
      <c r="AF161" s="8" t="n">
        <v>583.449235049</v>
      </c>
      <c r="AG161" s="11" t="n">
        <v>-0.06159880355</v>
      </c>
      <c r="AH161" s="12" t="n">
        <v>0.999999999999999</v>
      </c>
      <c r="AI161" s="2" t="s">
        <v>317</v>
      </c>
      <c r="AJ161" s="2" t="s">
        <v>70</v>
      </c>
      <c r="AK161" s="2" t="s">
        <v>70</v>
      </c>
    </row>
    <row r="162" customFormat="false" ht="15" hidden="false" customHeight="false" outlineLevel="0" collapsed="false">
      <c r="A162" s="9" t="n">
        <v>161</v>
      </c>
      <c r="B162" s="2" t="s">
        <v>497</v>
      </c>
      <c r="C162" s="2" t="s">
        <v>44</v>
      </c>
      <c r="D162" s="2" t="s">
        <v>44</v>
      </c>
      <c r="E162" s="2" t="s">
        <v>44</v>
      </c>
      <c r="F162" s="2" t="s">
        <v>498</v>
      </c>
      <c r="G162" s="2" t="s">
        <v>322</v>
      </c>
      <c r="H162" s="8" t="n">
        <v>908.403246262421</v>
      </c>
      <c r="I162" s="2" t="s">
        <v>316</v>
      </c>
      <c r="J162" s="8" t="n">
        <v>1936703.94736842</v>
      </c>
      <c r="K162" s="6" t="n">
        <v>152</v>
      </c>
      <c r="L162" s="2"/>
      <c r="M162" s="10" t="b">
        <f aca="false">TRUE()</f>
        <v>1</v>
      </c>
      <c r="N162" s="9" t="n">
        <f aca="false">IF(H162="","",IF(H162&gt;=Assumptions!$B$5,1,IF(H162&gt;=Assumptions!$B$6,2,IF(H162&gt;=Assumptions!$B$7,3,""))))</f>
        <v>1</v>
      </c>
      <c r="O162" s="9" t="n">
        <f aca="false">IF(N162=1,Assumptions!$B$8,IF(N162=2,Assumptions!$B$9,IF(N162=3,Assumptions!$B$10,0)))</f>
        <v>3</v>
      </c>
      <c r="P162" s="6" t="s">
        <v>30</v>
      </c>
      <c r="Q162" s="6" t="s">
        <v>30</v>
      </c>
      <c r="R162" s="11" t="s">
        <v>30</v>
      </c>
      <c r="S162" s="6" t="s">
        <v>30</v>
      </c>
      <c r="T162" s="11" t="s">
        <v>30</v>
      </c>
      <c r="U162" s="6" t="s">
        <v>30</v>
      </c>
      <c r="V162" s="6" t="s">
        <v>30</v>
      </c>
      <c r="W162" s="6" t="s">
        <v>30</v>
      </c>
      <c r="X162" s="2" t="s">
        <v>30</v>
      </c>
      <c r="Y162" s="6" t="str">
        <f aca="false">IF(AND(X162="processed",ISNUMBER(S162)),S162*O162,"")</f>
        <v/>
      </c>
      <c r="Z162" s="6" t="n">
        <f aca="false">IF(ISNUMBER(K162),K162*O162,0)</f>
        <v>456</v>
      </c>
      <c r="AA162" s="2" t="s">
        <v>31</v>
      </c>
      <c r="AB162" s="6" t="n">
        <v>7708</v>
      </c>
      <c r="AC162" s="6" t="n">
        <v>6435</v>
      </c>
      <c r="AD162" s="6" t="n">
        <v>2474</v>
      </c>
      <c r="AE162" s="6" t="n">
        <v>2225.23803710938</v>
      </c>
      <c r="AF162" s="8" t="n">
        <v>936.589146057</v>
      </c>
      <c r="AG162" s="11" t="n">
        <v>-0.006254900927</v>
      </c>
      <c r="AH162" s="12" t="n">
        <v>0.829092907803103</v>
      </c>
      <c r="AI162" s="2" t="s">
        <v>317</v>
      </c>
      <c r="AJ162" s="2" t="s">
        <v>44</v>
      </c>
      <c r="AK162" s="2" t="s">
        <v>44</v>
      </c>
    </row>
    <row r="163" customFormat="false" ht="15" hidden="false" customHeight="false" outlineLevel="0" collapsed="false">
      <c r="A163" s="9" t="n">
        <v>162</v>
      </c>
      <c r="B163" s="2" t="s">
        <v>499</v>
      </c>
      <c r="C163" s="2" t="s">
        <v>500</v>
      </c>
      <c r="D163" s="2" t="s">
        <v>70</v>
      </c>
      <c r="E163" s="2" t="s">
        <v>71</v>
      </c>
      <c r="F163" s="2" t="s">
        <v>501</v>
      </c>
      <c r="G163" s="2" t="s">
        <v>329</v>
      </c>
      <c r="H163" s="8" t="n">
        <v>714.462442966656</v>
      </c>
      <c r="I163" s="2" t="s">
        <v>316</v>
      </c>
      <c r="J163" s="8" t="n">
        <v>1316357.61589404</v>
      </c>
      <c r="K163" s="6" t="n">
        <v>151</v>
      </c>
      <c r="L163" s="2"/>
      <c r="M163" s="10" t="b">
        <f aca="false">TRUE()</f>
        <v>1</v>
      </c>
      <c r="N163" s="9" t="n">
        <f aca="false">IF(H163="","",IF(H163&gt;=Assumptions!$B$5,1,IF(H163&gt;=Assumptions!$B$6,2,IF(H163&gt;=Assumptions!$B$7,3,""))))</f>
        <v>1</v>
      </c>
      <c r="O163" s="9" t="n">
        <f aca="false">IF(N163=1,Assumptions!$B$8,IF(N163=2,Assumptions!$B$9,IF(N163=3,Assumptions!$B$10,0)))</f>
        <v>3</v>
      </c>
      <c r="P163" s="6" t="s">
        <v>30</v>
      </c>
      <c r="Q163" s="6" t="s">
        <v>30</v>
      </c>
      <c r="R163" s="11" t="s">
        <v>30</v>
      </c>
      <c r="S163" s="6" t="s">
        <v>30</v>
      </c>
      <c r="T163" s="11" t="s">
        <v>30</v>
      </c>
      <c r="U163" s="6" t="s">
        <v>30</v>
      </c>
      <c r="V163" s="6" t="s">
        <v>30</v>
      </c>
      <c r="W163" s="6" t="s">
        <v>30</v>
      </c>
      <c r="X163" s="2" t="s">
        <v>30</v>
      </c>
      <c r="Y163" s="6" t="str">
        <f aca="false">IF(AND(X163="processed",ISNUMBER(S163)),S163*O163,"")</f>
        <v/>
      </c>
      <c r="Z163" s="6" t="n">
        <f aca="false">IF(ISNUMBER(K163),K163*O163,0)</f>
        <v>453</v>
      </c>
      <c r="AA163" s="2" t="s">
        <v>31</v>
      </c>
      <c r="AB163" s="6" t="n">
        <v>11784</v>
      </c>
      <c r="AC163" s="6" t="n">
        <v>8227</v>
      </c>
      <c r="AD163" s="6" t="n">
        <v>171</v>
      </c>
      <c r="AE163" s="6" t="n">
        <v>2261.4052734375</v>
      </c>
      <c r="AF163" s="8" t="n">
        <v>722.470904208</v>
      </c>
      <c r="AG163" s="11" t="n">
        <v>0.01808191585</v>
      </c>
      <c r="AH163" s="12" t="n">
        <v>0.999999999999999</v>
      </c>
      <c r="AI163" s="2" t="s">
        <v>317</v>
      </c>
      <c r="AJ163" s="2" t="s">
        <v>500</v>
      </c>
      <c r="AK163" s="2" t="s">
        <v>70</v>
      </c>
    </row>
    <row r="164" customFormat="false" ht="15" hidden="false" customHeight="false" outlineLevel="0" collapsed="false">
      <c r="A164" s="9" t="n">
        <v>163</v>
      </c>
      <c r="B164" s="2" t="s">
        <v>502</v>
      </c>
      <c r="C164" s="2" t="s">
        <v>503</v>
      </c>
      <c r="D164" s="2" t="s">
        <v>423</v>
      </c>
      <c r="E164" s="2" t="s">
        <v>51</v>
      </c>
      <c r="F164" s="2"/>
      <c r="G164" s="2" t="s">
        <v>425</v>
      </c>
      <c r="H164" s="8" t="n">
        <v>1790.45197498583</v>
      </c>
      <c r="I164" s="2" t="s">
        <v>316</v>
      </c>
      <c r="J164" s="8" t="n">
        <v>6067980.13245033</v>
      </c>
      <c r="K164" s="6" t="n">
        <v>151</v>
      </c>
      <c r="L164" s="2"/>
      <c r="M164" s="10" t="b">
        <f aca="false">TRUE()</f>
        <v>1</v>
      </c>
      <c r="N164" s="9" t="n">
        <f aca="false">IF(H164="","",IF(H164&gt;=Assumptions!$B$5,1,IF(H164&gt;=Assumptions!$B$6,2,IF(H164&gt;=Assumptions!$B$7,3,""))))</f>
        <v>1</v>
      </c>
      <c r="O164" s="9" t="n">
        <f aca="false">IF(N164=1,Assumptions!$B$8,IF(N164=2,Assumptions!$B$9,IF(N164=3,Assumptions!$B$10,0)))</f>
        <v>3</v>
      </c>
      <c r="P164" s="6" t="s">
        <v>30</v>
      </c>
      <c r="Q164" s="6" t="s">
        <v>30</v>
      </c>
      <c r="R164" s="11" t="s">
        <v>30</v>
      </c>
      <c r="S164" s="6" t="s">
        <v>30</v>
      </c>
      <c r="T164" s="11" t="s">
        <v>30</v>
      </c>
      <c r="U164" s="6" t="s">
        <v>30</v>
      </c>
      <c r="V164" s="6" t="s">
        <v>30</v>
      </c>
      <c r="W164" s="6" t="s">
        <v>30</v>
      </c>
      <c r="X164" s="2" t="s">
        <v>30</v>
      </c>
      <c r="Y164" s="6" t="str">
        <f aca="false">IF(AND(X164="processed",ISNUMBER(S164)),S164*O164,"")</f>
        <v/>
      </c>
      <c r="Z164" s="6" t="n">
        <f aca="false">IF(ISNUMBER(K164),K164*O164,0)</f>
        <v>453</v>
      </c>
      <c r="AA164" s="2" t="s">
        <v>31</v>
      </c>
      <c r="AB164" s="6" t="n">
        <v>7711</v>
      </c>
      <c r="AC164" s="6" t="n">
        <v>5781</v>
      </c>
      <c r="AD164" s="6" t="n">
        <v>632</v>
      </c>
      <c r="AE164" s="6" t="n">
        <v>2569.57202148438</v>
      </c>
      <c r="AF164" s="8" t="n">
        <v>1890.159837305</v>
      </c>
      <c r="AG164" s="11" t="n">
        <v>0.01415666907</v>
      </c>
      <c r="AH164" s="12" t="n">
        <v>0.985767544866329</v>
      </c>
      <c r="AI164" s="2" t="s">
        <v>504</v>
      </c>
      <c r="AJ164" s="2" t="s">
        <v>505</v>
      </c>
      <c r="AK164" s="2" t="s">
        <v>503</v>
      </c>
    </row>
    <row r="165" customFormat="false" ht="15" hidden="false" customHeight="false" outlineLevel="0" collapsed="false">
      <c r="A165" s="9" t="n">
        <v>164</v>
      </c>
      <c r="B165" s="2" t="s">
        <v>506</v>
      </c>
      <c r="C165" s="2" t="s">
        <v>507</v>
      </c>
      <c r="D165" s="2" t="s">
        <v>190</v>
      </c>
      <c r="E165" s="2" t="s">
        <v>51</v>
      </c>
      <c r="F165" s="2" t="s">
        <v>508</v>
      </c>
      <c r="G165" s="2" t="s">
        <v>330</v>
      </c>
      <c r="H165" s="8" t="n">
        <v>611.674350343597</v>
      </c>
      <c r="I165" s="2" t="s">
        <v>316</v>
      </c>
      <c r="J165" s="8" t="n">
        <v>1109845.13274336</v>
      </c>
      <c r="K165" s="6" t="n">
        <v>226</v>
      </c>
      <c r="L165" s="2"/>
      <c r="M165" s="10" t="b">
        <f aca="false">TRUE()</f>
        <v>1</v>
      </c>
      <c r="N165" s="9" t="n">
        <f aca="false">IF(H165="","",IF(H165&gt;=Assumptions!$B$5,1,IF(H165&gt;=Assumptions!$B$6,2,IF(H165&gt;=Assumptions!$B$7,3,""))))</f>
        <v>2</v>
      </c>
      <c r="O165" s="9" t="n">
        <f aca="false">IF(N165=1,Assumptions!$B$8,IF(N165=2,Assumptions!$B$9,IF(N165=3,Assumptions!$B$10,0)))</f>
        <v>2</v>
      </c>
      <c r="P165" s="6" t="s">
        <v>30</v>
      </c>
      <c r="Q165" s="6" t="s">
        <v>30</v>
      </c>
      <c r="R165" s="11" t="s">
        <v>30</v>
      </c>
      <c r="S165" s="6" t="s">
        <v>30</v>
      </c>
      <c r="T165" s="11" t="s">
        <v>30</v>
      </c>
      <c r="U165" s="6" t="s">
        <v>30</v>
      </c>
      <c r="V165" s="6" t="s">
        <v>30</v>
      </c>
      <c r="W165" s="6" t="s">
        <v>30</v>
      </c>
      <c r="X165" s="2" t="s">
        <v>30</v>
      </c>
      <c r="Y165" s="6" t="str">
        <f aca="false">IF(AND(X165="processed",ISNUMBER(S165)),S165*O165,"")</f>
        <v/>
      </c>
      <c r="Z165" s="6" t="n">
        <f aca="false">IF(ISNUMBER(K165),K165*O165,0)</f>
        <v>452</v>
      </c>
      <c r="AA165" s="2" t="s">
        <v>31</v>
      </c>
      <c r="AB165" s="6" t="n">
        <v>27657</v>
      </c>
      <c r="AC165" s="6" t="n">
        <v>18347</v>
      </c>
      <c r="AD165" s="6" t="n">
        <v>1098</v>
      </c>
      <c r="AE165" s="6" t="n">
        <v>1777.65002441406</v>
      </c>
      <c r="AF165" s="8" t="n">
        <v>639.735480161</v>
      </c>
      <c r="AG165" s="11" t="n">
        <v>-0.01119374635</v>
      </c>
      <c r="AH165" s="12" t="n">
        <v>0.534749387917453</v>
      </c>
      <c r="AI165" s="2" t="s">
        <v>317</v>
      </c>
      <c r="AJ165" s="2" t="s">
        <v>507</v>
      </c>
      <c r="AK165" s="2" t="s">
        <v>507</v>
      </c>
    </row>
    <row r="166" customFormat="false" ht="15" hidden="false" customHeight="false" outlineLevel="0" collapsed="false">
      <c r="A166" s="9" t="n">
        <v>165</v>
      </c>
      <c r="B166" s="2" t="s">
        <v>509</v>
      </c>
      <c r="C166" s="2" t="s">
        <v>91</v>
      </c>
      <c r="D166" s="2" t="s">
        <v>44</v>
      </c>
      <c r="E166" s="2" t="s">
        <v>44</v>
      </c>
      <c r="F166" s="2" t="s">
        <v>510</v>
      </c>
      <c r="G166" s="2" t="s">
        <v>322</v>
      </c>
      <c r="H166" s="8" t="n">
        <v>782.117668527013</v>
      </c>
      <c r="I166" s="2" t="s">
        <v>316</v>
      </c>
      <c r="J166" s="8" t="n">
        <v>1856833.33333333</v>
      </c>
      <c r="K166" s="6" t="n">
        <v>150</v>
      </c>
      <c r="L166" s="2"/>
      <c r="M166" s="10" t="b">
        <f aca="false">TRUE()</f>
        <v>1</v>
      </c>
      <c r="N166" s="9" t="n">
        <f aca="false">IF(H166="","",IF(H166&gt;=Assumptions!$B$5,1,IF(H166&gt;=Assumptions!$B$6,2,IF(H166&gt;=Assumptions!$B$7,3,""))))</f>
        <v>1</v>
      </c>
      <c r="O166" s="9" t="n">
        <f aca="false">IF(N166=1,Assumptions!$B$8,IF(N166=2,Assumptions!$B$9,IF(N166=3,Assumptions!$B$10,0)))</f>
        <v>3</v>
      </c>
      <c r="P166" s="6" t="s">
        <v>30</v>
      </c>
      <c r="Q166" s="6" t="s">
        <v>30</v>
      </c>
      <c r="R166" s="11" t="s">
        <v>30</v>
      </c>
      <c r="S166" s="6" t="s">
        <v>30</v>
      </c>
      <c r="T166" s="11" t="s">
        <v>30</v>
      </c>
      <c r="U166" s="6" t="s">
        <v>30</v>
      </c>
      <c r="V166" s="6" t="s">
        <v>30</v>
      </c>
      <c r="W166" s="6" t="s">
        <v>30</v>
      </c>
      <c r="X166" s="2" t="s">
        <v>30</v>
      </c>
      <c r="Y166" s="6" t="str">
        <f aca="false">IF(AND(X166="processed",ISNUMBER(S166)),S166*O166,"")</f>
        <v/>
      </c>
      <c r="Z166" s="6" t="n">
        <f aca="false">IF(ISNUMBER(K166),K166*O166,0)</f>
        <v>450</v>
      </c>
      <c r="AA166" s="2" t="s">
        <v>31</v>
      </c>
      <c r="AB166" s="6" t="n">
        <v>8422</v>
      </c>
      <c r="AC166" s="6" t="n">
        <v>7553</v>
      </c>
      <c r="AD166" s="6" t="n">
        <v>201</v>
      </c>
      <c r="AE166" s="6" t="n">
        <v>2522.51318359375</v>
      </c>
      <c r="AF166" s="8" t="n">
        <v>817.92501284</v>
      </c>
      <c r="AG166" s="11" t="n">
        <v>0.002048154166</v>
      </c>
      <c r="AH166" s="12" t="n">
        <v>0.966485328997793</v>
      </c>
      <c r="AI166" s="2" t="s">
        <v>317</v>
      </c>
      <c r="AJ166" s="2" t="s">
        <v>91</v>
      </c>
      <c r="AK166" s="2" t="s">
        <v>91</v>
      </c>
    </row>
    <row r="167" customFormat="false" ht="15" hidden="false" customHeight="false" outlineLevel="0" collapsed="false">
      <c r="A167" s="9" t="n">
        <v>166</v>
      </c>
      <c r="B167" s="2" t="s">
        <v>511</v>
      </c>
      <c r="C167" s="2" t="s">
        <v>44</v>
      </c>
      <c r="D167" s="2" t="s">
        <v>44</v>
      </c>
      <c r="E167" s="2" t="s">
        <v>44</v>
      </c>
      <c r="F167" s="2" t="s">
        <v>512</v>
      </c>
      <c r="G167" s="2" t="s">
        <v>322</v>
      </c>
      <c r="H167" s="8" t="n">
        <v>947.077773704334</v>
      </c>
      <c r="I167" s="2" t="s">
        <v>316</v>
      </c>
      <c r="J167" s="8" t="n">
        <v>1757860</v>
      </c>
      <c r="K167" s="6" t="n">
        <v>150</v>
      </c>
      <c r="L167" s="2"/>
      <c r="M167" s="10" t="b">
        <f aca="false">TRUE()</f>
        <v>1</v>
      </c>
      <c r="N167" s="9" t="n">
        <f aca="false">IF(H167="","",IF(H167&gt;=Assumptions!$B$5,1,IF(H167&gt;=Assumptions!$B$6,2,IF(H167&gt;=Assumptions!$B$7,3,""))))</f>
        <v>1</v>
      </c>
      <c r="O167" s="9" t="n">
        <f aca="false">IF(N167=1,Assumptions!$B$8,IF(N167=2,Assumptions!$B$9,IF(N167=3,Assumptions!$B$10,0)))</f>
        <v>3</v>
      </c>
      <c r="P167" s="6" t="s">
        <v>30</v>
      </c>
      <c r="Q167" s="6" t="s">
        <v>30</v>
      </c>
      <c r="R167" s="11" t="s">
        <v>30</v>
      </c>
      <c r="S167" s="6" t="s">
        <v>30</v>
      </c>
      <c r="T167" s="11" t="s">
        <v>30</v>
      </c>
      <c r="U167" s="6" t="s">
        <v>30</v>
      </c>
      <c r="V167" s="6" t="s">
        <v>30</v>
      </c>
      <c r="W167" s="6" t="s">
        <v>30</v>
      </c>
      <c r="X167" s="2" t="s">
        <v>30</v>
      </c>
      <c r="Y167" s="6" t="str">
        <f aca="false">IF(AND(X167="processed",ISNUMBER(S167)),S167*O167,"")</f>
        <v/>
      </c>
      <c r="Z167" s="6" t="n">
        <f aca="false">IF(ISNUMBER(K167),K167*O167,0)</f>
        <v>450</v>
      </c>
      <c r="AA167" s="2" t="s">
        <v>31</v>
      </c>
      <c r="AB167" s="6" t="n">
        <v>8968</v>
      </c>
      <c r="AC167" s="6" t="n">
        <v>7332</v>
      </c>
      <c r="AD167" s="6" t="n">
        <v>1020</v>
      </c>
      <c r="AE167" s="6" t="n">
        <v>1833.15307617188</v>
      </c>
      <c r="AF167" s="8" t="n">
        <v>966.472303207</v>
      </c>
      <c r="AG167" s="11" t="n">
        <v>0.01177198662</v>
      </c>
      <c r="AH167" s="12" t="n">
        <v>0.999999999999999</v>
      </c>
      <c r="AI167" s="2" t="s">
        <v>317</v>
      </c>
      <c r="AJ167" s="2" t="s">
        <v>44</v>
      </c>
      <c r="AK167" s="2" t="s">
        <v>44</v>
      </c>
    </row>
    <row r="168" customFormat="false" ht="15" hidden="false" customHeight="false" outlineLevel="0" collapsed="false">
      <c r="A168" s="9" t="n">
        <v>167</v>
      </c>
      <c r="B168" s="2" t="s">
        <v>513</v>
      </c>
      <c r="C168" s="2" t="s">
        <v>428</v>
      </c>
      <c r="D168" s="2" t="s">
        <v>39</v>
      </c>
      <c r="E168" s="2" t="s">
        <v>40</v>
      </c>
      <c r="F168" s="2" t="s">
        <v>514</v>
      </c>
      <c r="G168" s="2" t="s">
        <v>320</v>
      </c>
      <c r="H168" s="8" t="n">
        <v>2182.7946349685</v>
      </c>
      <c r="I168" s="2" t="s">
        <v>316</v>
      </c>
      <c r="J168" s="8" t="n">
        <v>5467566.66666667</v>
      </c>
      <c r="K168" s="6" t="n">
        <v>150</v>
      </c>
      <c r="L168" s="2"/>
      <c r="M168" s="10" t="b">
        <f aca="false">TRUE()</f>
        <v>1</v>
      </c>
      <c r="N168" s="9" t="n">
        <f aca="false">IF(H168="","",IF(H168&gt;=Assumptions!$B$5,1,IF(H168&gt;=Assumptions!$B$6,2,IF(H168&gt;=Assumptions!$B$7,3,""))))</f>
        <v>1</v>
      </c>
      <c r="O168" s="9" t="n">
        <f aca="false">IF(N168=1,Assumptions!$B$8,IF(N168=2,Assumptions!$B$9,IF(N168=3,Assumptions!$B$10,0)))</f>
        <v>3</v>
      </c>
      <c r="P168" s="6" t="s">
        <v>30</v>
      </c>
      <c r="Q168" s="6" t="s">
        <v>30</v>
      </c>
      <c r="R168" s="11" t="s">
        <v>30</v>
      </c>
      <c r="S168" s="6" t="s">
        <v>30</v>
      </c>
      <c r="T168" s="11" t="s">
        <v>30</v>
      </c>
      <c r="U168" s="6" t="s">
        <v>30</v>
      </c>
      <c r="V168" s="6" t="s">
        <v>30</v>
      </c>
      <c r="W168" s="6" t="s">
        <v>30</v>
      </c>
      <c r="X168" s="2" t="s">
        <v>30</v>
      </c>
      <c r="Y168" s="6" t="str">
        <f aca="false">IF(AND(X168="processed",ISNUMBER(S168)),S168*O168,"")</f>
        <v/>
      </c>
      <c r="Z168" s="6" t="n">
        <f aca="false">IF(ISNUMBER(K168),K168*O168,0)</f>
        <v>450</v>
      </c>
      <c r="AA168" s="2" t="s">
        <v>31</v>
      </c>
      <c r="AB168" s="6" t="n">
        <v>7886</v>
      </c>
      <c r="AC168" s="6" t="n">
        <v>5730</v>
      </c>
      <c r="AD168" s="6" t="n">
        <v>58</v>
      </c>
      <c r="AE168" s="6" t="n">
        <v>1952.2958984375</v>
      </c>
      <c r="AF168" s="8" t="n">
        <v>2355.769230769</v>
      </c>
      <c r="AG168" s="11" t="n">
        <v>0.06009615385</v>
      </c>
      <c r="AH168" s="12" t="n">
        <v>0.996928428292896</v>
      </c>
      <c r="AI168" s="2" t="s">
        <v>317</v>
      </c>
      <c r="AJ168" s="2" t="s">
        <v>428</v>
      </c>
      <c r="AK168" s="2" t="s">
        <v>428</v>
      </c>
    </row>
    <row r="169" customFormat="false" ht="15" hidden="false" customHeight="false" outlineLevel="0" collapsed="false">
      <c r="A169" s="9" t="n">
        <v>168</v>
      </c>
      <c r="B169" s="2" t="s">
        <v>515</v>
      </c>
      <c r="C169" s="2" t="s">
        <v>516</v>
      </c>
      <c r="D169" s="2" t="s">
        <v>105</v>
      </c>
      <c r="E169" s="2" t="s">
        <v>51</v>
      </c>
      <c r="F169" s="2" t="s">
        <v>517</v>
      </c>
      <c r="G169" s="2" t="s">
        <v>318</v>
      </c>
      <c r="H169" s="8" t="n">
        <v>847.193500989201</v>
      </c>
      <c r="I169" s="2" t="s">
        <v>316</v>
      </c>
      <c r="J169" s="8" t="n">
        <v>1620570.46979866</v>
      </c>
      <c r="K169" s="6" t="n">
        <v>149</v>
      </c>
      <c r="L169" s="2"/>
      <c r="M169" s="10" t="b">
        <f aca="false">TRUE()</f>
        <v>1</v>
      </c>
      <c r="N169" s="9" t="n">
        <f aca="false">IF(H169="","",IF(H169&gt;=Assumptions!$B$5,1,IF(H169&gt;=Assumptions!$B$6,2,IF(H169&gt;=Assumptions!$B$7,3,""))))</f>
        <v>1</v>
      </c>
      <c r="O169" s="9" t="n">
        <f aca="false">IF(N169=1,Assumptions!$B$8,IF(N169=2,Assumptions!$B$9,IF(N169=3,Assumptions!$B$10,0)))</f>
        <v>3</v>
      </c>
      <c r="P169" s="6" t="s">
        <v>30</v>
      </c>
      <c r="Q169" s="6" t="s">
        <v>30</v>
      </c>
      <c r="R169" s="11" t="s">
        <v>30</v>
      </c>
      <c r="S169" s="6" t="s">
        <v>30</v>
      </c>
      <c r="T169" s="11" t="s">
        <v>30</v>
      </c>
      <c r="U169" s="6" t="s">
        <v>30</v>
      </c>
      <c r="V169" s="6" t="s">
        <v>30</v>
      </c>
      <c r="W169" s="6" t="s">
        <v>30</v>
      </c>
      <c r="X169" s="2" t="s">
        <v>30</v>
      </c>
      <c r="Y169" s="6" t="str">
        <f aca="false">IF(AND(X169="processed",ISNUMBER(S169)),S169*O169,"")</f>
        <v/>
      </c>
      <c r="Z169" s="6" t="n">
        <f aca="false">IF(ISNUMBER(K169),K169*O169,0)</f>
        <v>447</v>
      </c>
      <c r="AA169" s="2" t="s">
        <v>31</v>
      </c>
      <c r="AB169" s="6" t="n">
        <v>5396</v>
      </c>
      <c r="AC169" s="6" t="n">
        <v>4741</v>
      </c>
      <c r="AD169" s="6" t="n">
        <v>602</v>
      </c>
      <c r="AE169" s="6" t="n">
        <v>1772.39331054688</v>
      </c>
      <c r="AF169" s="8" t="n">
        <v>919.540229885</v>
      </c>
      <c r="AG169" s="11" t="n">
        <v>0.075232283</v>
      </c>
      <c r="AH169" s="12" t="n">
        <v>0.587802592247232</v>
      </c>
      <c r="AI169" s="2" t="s">
        <v>319</v>
      </c>
      <c r="AJ169" s="2"/>
      <c r="AK169" s="2" t="s">
        <v>516</v>
      </c>
    </row>
    <row r="170" customFormat="false" ht="15" hidden="false" customHeight="false" outlineLevel="0" collapsed="false">
      <c r="A170" s="9" t="n">
        <v>169</v>
      </c>
      <c r="B170" s="2" t="s">
        <v>518</v>
      </c>
      <c r="C170" s="2" t="s">
        <v>38</v>
      </c>
      <c r="D170" s="2" t="s">
        <v>39</v>
      </c>
      <c r="E170" s="2" t="s">
        <v>40</v>
      </c>
      <c r="F170" s="2" t="s">
        <v>519</v>
      </c>
      <c r="G170" s="2" t="s">
        <v>320</v>
      </c>
      <c r="H170" s="8" t="n">
        <v>809.353737238732</v>
      </c>
      <c r="I170" s="2" t="s">
        <v>316</v>
      </c>
      <c r="J170" s="8" t="n">
        <v>1159395.97315436</v>
      </c>
      <c r="K170" s="6" t="n">
        <v>149</v>
      </c>
      <c r="L170" s="2"/>
      <c r="M170" s="10" t="b">
        <f aca="false">TRUE()</f>
        <v>1</v>
      </c>
      <c r="N170" s="9" t="n">
        <f aca="false">IF(H170="","",IF(H170&gt;=Assumptions!$B$5,1,IF(H170&gt;=Assumptions!$B$6,2,IF(H170&gt;=Assumptions!$B$7,3,""))))</f>
        <v>1</v>
      </c>
      <c r="O170" s="9" t="n">
        <f aca="false">IF(N170=1,Assumptions!$B$8,IF(N170=2,Assumptions!$B$9,IF(N170=3,Assumptions!$B$10,0)))</f>
        <v>3</v>
      </c>
      <c r="P170" s="6" t="s">
        <v>30</v>
      </c>
      <c r="Q170" s="6" t="s">
        <v>30</v>
      </c>
      <c r="R170" s="11" t="s">
        <v>30</v>
      </c>
      <c r="S170" s="6" t="s">
        <v>30</v>
      </c>
      <c r="T170" s="11" t="s">
        <v>30</v>
      </c>
      <c r="U170" s="6" t="s">
        <v>30</v>
      </c>
      <c r="V170" s="6" t="s">
        <v>30</v>
      </c>
      <c r="W170" s="6" t="s">
        <v>30</v>
      </c>
      <c r="X170" s="2" t="s">
        <v>30</v>
      </c>
      <c r="Y170" s="6" t="str">
        <f aca="false">IF(AND(X170="processed",ISNUMBER(S170)),S170*O170,"")</f>
        <v/>
      </c>
      <c r="Z170" s="6" t="n">
        <f aca="false">IF(ISNUMBER(K170),K170*O170,0)</f>
        <v>447</v>
      </c>
      <c r="AA170" s="2" t="s">
        <v>31</v>
      </c>
      <c r="AB170" s="6" t="n">
        <v>16482</v>
      </c>
      <c r="AC170" s="6" t="n">
        <v>11173</v>
      </c>
      <c r="AD170" s="6" t="n">
        <v>345</v>
      </c>
      <c r="AE170" s="6" t="n">
        <v>1683.55236816406</v>
      </c>
      <c r="AF170" s="8" t="n">
        <v>788.409703504</v>
      </c>
      <c r="AG170" s="11" t="n">
        <v>-0.06454417421</v>
      </c>
      <c r="AH170" s="12" t="n">
        <v>1</v>
      </c>
      <c r="AI170" s="2" t="s">
        <v>317</v>
      </c>
      <c r="AJ170" s="2" t="s">
        <v>38</v>
      </c>
      <c r="AK170" s="2" t="s">
        <v>38</v>
      </c>
    </row>
    <row r="171" customFormat="false" ht="15" hidden="false" customHeight="false" outlineLevel="0" collapsed="false">
      <c r="A171" s="9" t="n">
        <v>170</v>
      </c>
      <c r="B171" s="2" t="s">
        <v>520</v>
      </c>
      <c r="C171" s="2" t="s">
        <v>521</v>
      </c>
      <c r="D171" s="2" t="s">
        <v>70</v>
      </c>
      <c r="E171" s="2" t="s">
        <v>71</v>
      </c>
      <c r="F171" s="2"/>
      <c r="G171" s="2" t="s">
        <v>329</v>
      </c>
      <c r="H171" s="8" t="n">
        <v>664.933519942466</v>
      </c>
      <c r="I171" s="2" t="s">
        <v>316</v>
      </c>
      <c r="J171" s="8" t="n">
        <v>911405.829596413</v>
      </c>
      <c r="K171" s="6" t="n">
        <v>223</v>
      </c>
      <c r="L171" s="2"/>
      <c r="M171" s="10" t="b">
        <f aca="false">TRUE()</f>
        <v>1</v>
      </c>
      <c r="N171" s="9" t="n">
        <f aca="false">IF(H171="","",IF(H171&gt;=Assumptions!$B$5,1,IF(H171&gt;=Assumptions!$B$6,2,IF(H171&gt;=Assumptions!$B$7,3,""))))</f>
        <v>2</v>
      </c>
      <c r="O171" s="9" t="n">
        <f aca="false">IF(N171=1,Assumptions!$B$8,IF(N171=2,Assumptions!$B$9,IF(N171=3,Assumptions!$B$10,0)))</f>
        <v>2</v>
      </c>
      <c r="P171" s="6" t="s">
        <v>30</v>
      </c>
      <c r="Q171" s="6" t="s">
        <v>30</v>
      </c>
      <c r="R171" s="11" t="s">
        <v>30</v>
      </c>
      <c r="S171" s="6" t="s">
        <v>30</v>
      </c>
      <c r="T171" s="11" t="s">
        <v>30</v>
      </c>
      <c r="U171" s="6" t="s">
        <v>30</v>
      </c>
      <c r="V171" s="6" t="s">
        <v>30</v>
      </c>
      <c r="W171" s="6" t="s">
        <v>30</v>
      </c>
      <c r="X171" s="2" t="s">
        <v>30</v>
      </c>
      <c r="Y171" s="6" t="str">
        <f aca="false">IF(AND(X171="processed",ISNUMBER(S171)),S171*O171,"")</f>
        <v/>
      </c>
      <c r="Z171" s="6" t="n">
        <f aca="false">IF(ISNUMBER(K171),K171*O171,0)</f>
        <v>446</v>
      </c>
      <c r="AA171" s="2" t="s">
        <v>31</v>
      </c>
      <c r="AB171" s="6" t="n">
        <v>16237</v>
      </c>
      <c r="AC171" s="6" t="n">
        <v>10379</v>
      </c>
      <c r="AD171" s="6" t="n">
        <v>78</v>
      </c>
      <c r="AE171" s="6" t="n">
        <v>1790.75854492188</v>
      </c>
      <c r="AF171" s="8" t="n">
        <v>675.297410777</v>
      </c>
      <c r="AG171" s="11" t="n">
        <v>0.008910946287</v>
      </c>
      <c r="AH171" s="12" t="n">
        <v>0.999999999999999</v>
      </c>
      <c r="AI171" s="2" t="s">
        <v>317</v>
      </c>
      <c r="AJ171" s="2" t="s">
        <v>521</v>
      </c>
      <c r="AK171" s="2" t="s">
        <v>521</v>
      </c>
    </row>
    <row r="172" customFormat="false" ht="15" hidden="false" customHeight="false" outlineLevel="0" collapsed="false">
      <c r="A172" s="9" t="n">
        <v>171</v>
      </c>
      <c r="B172" s="2" t="s">
        <v>522</v>
      </c>
      <c r="C172" s="2" t="s">
        <v>523</v>
      </c>
      <c r="D172" s="2" t="s">
        <v>524</v>
      </c>
      <c r="E172" s="2" t="s">
        <v>456</v>
      </c>
      <c r="F172" s="2"/>
      <c r="G172" s="2" t="s">
        <v>458</v>
      </c>
      <c r="H172" s="8" t="n">
        <v>517.285597528466</v>
      </c>
      <c r="I172" s="2" t="s">
        <v>316</v>
      </c>
      <c r="J172" s="8" t="n">
        <v>1076235.42600897</v>
      </c>
      <c r="K172" s="6" t="n">
        <v>446</v>
      </c>
      <c r="L172" s="2"/>
      <c r="M172" s="10" t="b">
        <f aca="false">TRUE()</f>
        <v>1</v>
      </c>
      <c r="N172" s="9" t="n">
        <f aca="false">IF(H172="","",IF(H172&gt;=Assumptions!$B$5,1,IF(H172&gt;=Assumptions!$B$6,2,IF(H172&gt;=Assumptions!$B$7,3,""))))</f>
        <v>3</v>
      </c>
      <c r="O172" s="9" t="n">
        <f aca="false">IF(N172=1,Assumptions!$B$8,IF(N172=2,Assumptions!$B$9,IF(N172=3,Assumptions!$B$10,0)))</f>
        <v>1</v>
      </c>
      <c r="P172" s="6" t="s">
        <v>30</v>
      </c>
      <c r="Q172" s="6" t="s">
        <v>30</v>
      </c>
      <c r="R172" s="11" t="s">
        <v>30</v>
      </c>
      <c r="S172" s="6" t="s">
        <v>30</v>
      </c>
      <c r="T172" s="11" t="s">
        <v>30</v>
      </c>
      <c r="U172" s="6" t="s">
        <v>30</v>
      </c>
      <c r="V172" s="6" t="s">
        <v>30</v>
      </c>
      <c r="W172" s="6" t="s">
        <v>30</v>
      </c>
      <c r="X172" s="2" t="s">
        <v>30</v>
      </c>
      <c r="Y172" s="6" t="str">
        <f aca="false">IF(AND(X172="processed",ISNUMBER(S172)),S172*O172,"")</f>
        <v/>
      </c>
      <c r="Z172" s="6" t="n">
        <f aca="false">IF(ISNUMBER(K172),K172*O172,0)</f>
        <v>446</v>
      </c>
      <c r="AA172" s="2" t="s">
        <v>31</v>
      </c>
      <c r="AB172" s="6" t="n">
        <v>23213</v>
      </c>
      <c r="AC172" s="6" t="n">
        <v>21583</v>
      </c>
      <c r="AD172" s="6" t="n">
        <v>20143</v>
      </c>
      <c r="AE172" s="6" t="n">
        <v>2243.18188476563</v>
      </c>
      <c r="AF172" s="8" t="n">
        <v>530.38897893</v>
      </c>
      <c r="AG172" s="11" t="n">
        <v>0.0150189087</v>
      </c>
      <c r="AH172" s="12" t="n">
        <v>0.999721707811484</v>
      </c>
      <c r="AI172" s="2" t="s">
        <v>317</v>
      </c>
      <c r="AJ172" s="2" t="s">
        <v>523</v>
      </c>
      <c r="AK172" s="2" t="s">
        <v>523</v>
      </c>
    </row>
    <row r="173" customFormat="false" ht="15" hidden="false" customHeight="false" outlineLevel="0" collapsed="false">
      <c r="A173" s="9" t="n">
        <v>172</v>
      </c>
      <c r="B173" s="2" t="s">
        <v>525</v>
      </c>
      <c r="C173" s="2" t="s">
        <v>526</v>
      </c>
      <c r="D173" s="2" t="s">
        <v>34</v>
      </c>
      <c r="E173" s="2" t="s">
        <v>35</v>
      </c>
      <c r="F173" s="2" t="s">
        <v>527</v>
      </c>
      <c r="G173" s="2" t="s">
        <v>318</v>
      </c>
      <c r="H173" s="8" t="n">
        <v>612.137852560614</v>
      </c>
      <c r="I173" s="2" t="s">
        <v>316</v>
      </c>
      <c r="J173" s="8" t="n">
        <v>873811.659192825</v>
      </c>
      <c r="K173" s="6" t="n">
        <v>223</v>
      </c>
      <c r="L173" s="2"/>
      <c r="M173" s="10" t="b">
        <f aca="false">TRUE()</f>
        <v>1</v>
      </c>
      <c r="N173" s="9" t="n">
        <f aca="false">IF(H173="","",IF(H173&gt;=Assumptions!$B$5,1,IF(H173&gt;=Assumptions!$B$6,2,IF(H173&gt;=Assumptions!$B$7,3,""))))</f>
        <v>2</v>
      </c>
      <c r="O173" s="9" t="n">
        <f aca="false">IF(N173=1,Assumptions!$B$8,IF(N173=2,Assumptions!$B$9,IF(N173=3,Assumptions!$B$10,0)))</f>
        <v>2</v>
      </c>
      <c r="P173" s="6" t="s">
        <v>30</v>
      </c>
      <c r="Q173" s="6" t="s">
        <v>30</v>
      </c>
      <c r="R173" s="11" t="s">
        <v>30</v>
      </c>
      <c r="S173" s="6" t="s">
        <v>30</v>
      </c>
      <c r="T173" s="11" t="s">
        <v>30</v>
      </c>
      <c r="U173" s="6" t="s">
        <v>30</v>
      </c>
      <c r="V173" s="6" t="s">
        <v>30</v>
      </c>
      <c r="W173" s="6" t="s">
        <v>30</v>
      </c>
      <c r="X173" s="2" t="s">
        <v>30</v>
      </c>
      <c r="Y173" s="6" t="str">
        <f aca="false">IF(AND(X173="processed",ISNUMBER(S173)),S173*O173,"")</f>
        <v/>
      </c>
      <c r="Z173" s="6" t="n">
        <f aca="false">IF(ISNUMBER(K173),K173*O173,0)</f>
        <v>446</v>
      </c>
      <c r="AA173" s="2" t="s">
        <v>31</v>
      </c>
      <c r="AB173" s="6" t="n">
        <v>21574</v>
      </c>
      <c r="AC173" s="6" t="n">
        <v>13853</v>
      </c>
      <c r="AD173" s="6" t="n">
        <v>1094</v>
      </c>
      <c r="AE173" s="6" t="n">
        <v>1642.71606445313</v>
      </c>
      <c r="AF173" s="8" t="n">
        <v>637.813211845</v>
      </c>
      <c r="AG173" s="11" t="n">
        <v>-0.03186347796</v>
      </c>
      <c r="AH173" s="12" t="n">
        <v>0.854119160401548</v>
      </c>
      <c r="AI173" s="2" t="s">
        <v>319</v>
      </c>
      <c r="AJ173" s="2"/>
      <c r="AK173" s="2" t="s">
        <v>526</v>
      </c>
    </row>
    <row r="174" customFormat="false" ht="15" hidden="false" customHeight="false" outlineLevel="0" collapsed="false">
      <c r="A174" s="9" t="n">
        <v>173</v>
      </c>
      <c r="B174" s="2" t="s">
        <v>528</v>
      </c>
      <c r="C174" s="2" t="s">
        <v>355</v>
      </c>
      <c r="D174" s="2" t="s">
        <v>44</v>
      </c>
      <c r="E174" s="2" t="s">
        <v>44</v>
      </c>
      <c r="F174" s="2" t="s">
        <v>529</v>
      </c>
      <c r="G174" s="2" t="s">
        <v>322</v>
      </c>
      <c r="H174" s="8" t="n">
        <v>557.198144419308</v>
      </c>
      <c r="I174" s="2" t="s">
        <v>316</v>
      </c>
      <c r="J174" s="8" t="n">
        <v>927251.685393259</v>
      </c>
      <c r="K174" s="6" t="n">
        <v>445</v>
      </c>
      <c r="L174" s="2"/>
      <c r="M174" s="10" t="b">
        <f aca="false">TRUE()</f>
        <v>1</v>
      </c>
      <c r="N174" s="9" t="n">
        <f aca="false">IF(H174="","",IF(H174&gt;=Assumptions!$B$5,1,IF(H174&gt;=Assumptions!$B$6,2,IF(H174&gt;=Assumptions!$B$7,3,""))))</f>
        <v>3</v>
      </c>
      <c r="O174" s="9" t="n">
        <f aca="false">IF(N174=1,Assumptions!$B$8,IF(N174=2,Assumptions!$B$9,IF(N174=3,Assumptions!$B$10,0)))</f>
        <v>1</v>
      </c>
      <c r="P174" s="6" t="s">
        <v>30</v>
      </c>
      <c r="Q174" s="6" t="s">
        <v>30</v>
      </c>
      <c r="R174" s="11" t="s">
        <v>30</v>
      </c>
      <c r="S174" s="6" t="s">
        <v>30</v>
      </c>
      <c r="T174" s="11" t="s">
        <v>30</v>
      </c>
      <c r="U174" s="6" t="s">
        <v>30</v>
      </c>
      <c r="V174" s="6" t="s">
        <v>30</v>
      </c>
      <c r="W174" s="6" t="s">
        <v>30</v>
      </c>
      <c r="X174" s="2" t="s">
        <v>30</v>
      </c>
      <c r="Y174" s="6" t="str">
        <f aca="false">IF(AND(X174="processed",ISNUMBER(S174)),S174*O174,"")</f>
        <v/>
      </c>
      <c r="Z174" s="6" t="n">
        <f aca="false">IF(ISNUMBER(K174),K174*O174,0)</f>
        <v>445</v>
      </c>
      <c r="AA174" s="2" t="s">
        <v>31</v>
      </c>
      <c r="AB174" s="6" t="n">
        <v>17156</v>
      </c>
      <c r="AC174" s="6" t="n">
        <v>15342</v>
      </c>
      <c r="AD174" s="6" t="n">
        <v>145</v>
      </c>
      <c r="AE174" s="6" t="n">
        <v>2448.54443359375</v>
      </c>
      <c r="AF174" s="8" t="n">
        <v>572.73768614</v>
      </c>
      <c r="AG174" s="11" t="n">
        <v>0.007022262065</v>
      </c>
      <c r="AH174" s="12" t="n">
        <v>0.999999999999998</v>
      </c>
      <c r="AI174" s="2" t="s">
        <v>317</v>
      </c>
      <c r="AJ174" s="2" t="s">
        <v>355</v>
      </c>
      <c r="AK174" s="2" t="s">
        <v>355</v>
      </c>
    </row>
    <row r="175" customFormat="false" ht="15" hidden="false" customHeight="false" outlineLevel="0" collapsed="false">
      <c r="A175" s="9" t="n">
        <v>174</v>
      </c>
      <c r="B175" s="2" t="s">
        <v>530</v>
      </c>
      <c r="C175" s="2" t="s">
        <v>197</v>
      </c>
      <c r="D175" s="2" t="s">
        <v>197</v>
      </c>
      <c r="E175" s="2" t="s">
        <v>51</v>
      </c>
      <c r="F175" s="2" t="s">
        <v>531</v>
      </c>
      <c r="G175" s="2" t="s">
        <v>338</v>
      </c>
      <c r="H175" s="8" t="n">
        <v>1104.35962127121</v>
      </c>
      <c r="I175" s="2" t="s">
        <v>316</v>
      </c>
      <c r="J175" s="8" t="n">
        <v>1653834.45945946</v>
      </c>
      <c r="K175" s="6" t="n">
        <v>148</v>
      </c>
      <c r="L175" s="2"/>
      <c r="M175" s="10" t="b">
        <f aca="false">TRUE()</f>
        <v>1</v>
      </c>
      <c r="N175" s="9" t="n">
        <f aca="false">IF(H175="","",IF(H175&gt;=Assumptions!$B$5,1,IF(H175&gt;=Assumptions!$B$6,2,IF(H175&gt;=Assumptions!$B$7,3,""))))</f>
        <v>1</v>
      </c>
      <c r="O175" s="9" t="n">
        <f aca="false">IF(N175=1,Assumptions!$B$8,IF(N175=2,Assumptions!$B$9,IF(N175=3,Assumptions!$B$10,0)))</f>
        <v>3</v>
      </c>
      <c r="P175" s="6" t="s">
        <v>30</v>
      </c>
      <c r="Q175" s="6" t="s">
        <v>30</v>
      </c>
      <c r="R175" s="11" t="s">
        <v>30</v>
      </c>
      <c r="S175" s="6" t="s">
        <v>30</v>
      </c>
      <c r="T175" s="11" t="s">
        <v>30</v>
      </c>
      <c r="U175" s="6" t="s">
        <v>30</v>
      </c>
      <c r="V175" s="6" t="s">
        <v>30</v>
      </c>
      <c r="W175" s="6" t="s">
        <v>30</v>
      </c>
      <c r="X175" s="2" t="s">
        <v>30</v>
      </c>
      <c r="Y175" s="6" t="str">
        <f aca="false">IF(AND(X175="processed",ISNUMBER(S175)),S175*O175,"")</f>
        <v/>
      </c>
      <c r="Z175" s="6" t="n">
        <f aca="false">IF(ISNUMBER(K175),K175*O175,0)</f>
        <v>444</v>
      </c>
      <c r="AA175" s="2" t="s">
        <v>31</v>
      </c>
      <c r="AB175" s="6" t="n">
        <v>14742</v>
      </c>
      <c r="AC175" s="6" t="n">
        <v>12916</v>
      </c>
      <c r="AD175" s="6" t="n">
        <v>10232</v>
      </c>
      <c r="AE175" s="6" t="n">
        <v>1678.82702636719</v>
      </c>
      <c r="AF175" s="8" t="n">
        <v>1026.856240126</v>
      </c>
      <c r="AG175" s="11" t="n">
        <v>-0.03502580673</v>
      </c>
      <c r="AH175" s="12" t="n">
        <v>0.854950782468188</v>
      </c>
      <c r="AI175" s="2" t="s">
        <v>321</v>
      </c>
      <c r="AJ175" s="2" t="s">
        <v>197</v>
      </c>
      <c r="AK175" s="2" t="s">
        <v>197</v>
      </c>
    </row>
    <row r="176" customFormat="false" ht="15" hidden="false" customHeight="false" outlineLevel="0" collapsed="false">
      <c r="A176" s="9" t="n">
        <v>175</v>
      </c>
      <c r="B176" s="2" t="s">
        <v>532</v>
      </c>
      <c r="C176" s="2" t="s">
        <v>533</v>
      </c>
      <c r="D176" s="2" t="s">
        <v>70</v>
      </c>
      <c r="E176" s="2" t="s">
        <v>71</v>
      </c>
      <c r="F176" s="2"/>
      <c r="G176" s="2" t="s">
        <v>329</v>
      </c>
      <c r="H176" s="8" t="n">
        <v>692.485749995699</v>
      </c>
      <c r="I176" s="2" t="s">
        <v>316</v>
      </c>
      <c r="J176" s="8" t="n">
        <v>1159027.39726027</v>
      </c>
      <c r="K176" s="6" t="n">
        <v>219</v>
      </c>
      <c r="L176" s="2"/>
      <c r="M176" s="10" t="b">
        <f aca="false">TRUE()</f>
        <v>1</v>
      </c>
      <c r="N176" s="9" t="n">
        <f aca="false">IF(H176="","",IF(H176&gt;=Assumptions!$B$5,1,IF(H176&gt;=Assumptions!$B$6,2,IF(H176&gt;=Assumptions!$B$7,3,""))))</f>
        <v>2</v>
      </c>
      <c r="O176" s="9" t="n">
        <f aca="false">IF(N176=1,Assumptions!$B$8,IF(N176=2,Assumptions!$B$9,IF(N176=3,Assumptions!$B$10,0)))</f>
        <v>2</v>
      </c>
      <c r="P176" s="6" t="s">
        <v>30</v>
      </c>
      <c r="Q176" s="6" t="s">
        <v>30</v>
      </c>
      <c r="R176" s="11" t="s">
        <v>30</v>
      </c>
      <c r="S176" s="6" t="s">
        <v>30</v>
      </c>
      <c r="T176" s="11" t="s">
        <v>30</v>
      </c>
      <c r="U176" s="6" t="s">
        <v>30</v>
      </c>
      <c r="V176" s="6" t="s">
        <v>30</v>
      </c>
      <c r="W176" s="6" t="s">
        <v>30</v>
      </c>
      <c r="X176" s="2" t="s">
        <v>30</v>
      </c>
      <c r="Y176" s="6" t="str">
        <f aca="false">IF(AND(X176="processed",ISNUMBER(S176)),S176*O176,"")</f>
        <v/>
      </c>
      <c r="Z176" s="6" t="n">
        <f aca="false">IF(ISNUMBER(K176),K176*O176,0)</f>
        <v>438</v>
      </c>
      <c r="AA176" s="2" t="s">
        <v>31</v>
      </c>
      <c r="AB176" s="6" t="n">
        <v>17445</v>
      </c>
      <c r="AC176" s="6" t="n">
        <v>13929</v>
      </c>
      <c r="AD176" s="6" t="n">
        <v>7844</v>
      </c>
      <c r="AE176" s="6" t="n">
        <v>1872.92053222656</v>
      </c>
      <c r="AF176" s="8" t="n">
        <v>764.993880049</v>
      </c>
      <c r="AG176" s="11" t="n">
        <v>0.5858267294</v>
      </c>
      <c r="AH176" s="12" t="n">
        <v>1</v>
      </c>
      <c r="AI176" s="2" t="s">
        <v>317</v>
      </c>
      <c r="AJ176" s="2" t="s">
        <v>533</v>
      </c>
      <c r="AK176" s="2" t="s">
        <v>278</v>
      </c>
    </row>
    <row r="177" customFormat="false" ht="15" hidden="false" customHeight="false" outlineLevel="0" collapsed="false">
      <c r="A177" s="9" t="n">
        <v>176</v>
      </c>
      <c r="B177" s="2" t="s">
        <v>534</v>
      </c>
      <c r="C177" s="2" t="s">
        <v>44</v>
      </c>
      <c r="D177" s="2" t="s">
        <v>44</v>
      </c>
      <c r="E177" s="2" t="s">
        <v>44</v>
      </c>
      <c r="F177" s="2" t="s">
        <v>535</v>
      </c>
      <c r="G177" s="2" t="s">
        <v>322</v>
      </c>
      <c r="H177" s="8" t="n">
        <v>689.656819989881</v>
      </c>
      <c r="I177" s="2" t="s">
        <v>316</v>
      </c>
      <c r="J177" s="8" t="n">
        <v>1184447.48858448</v>
      </c>
      <c r="K177" s="6" t="n">
        <v>219</v>
      </c>
      <c r="L177" s="2"/>
      <c r="M177" s="10" t="b">
        <f aca="false">TRUE()</f>
        <v>1</v>
      </c>
      <c r="N177" s="9" t="n">
        <f aca="false">IF(H177="","",IF(H177&gt;=Assumptions!$B$5,1,IF(H177&gt;=Assumptions!$B$6,2,IF(H177&gt;=Assumptions!$B$7,3,""))))</f>
        <v>2</v>
      </c>
      <c r="O177" s="9" t="n">
        <f aca="false">IF(N177=1,Assumptions!$B$8,IF(N177=2,Assumptions!$B$9,IF(N177=3,Assumptions!$B$10,0)))</f>
        <v>2</v>
      </c>
      <c r="P177" s="6" t="s">
        <v>30</v>
      </c>
      <c r="Q177" s="6" t="s">
        <v>30</v>
      </c>
      <c r="R177" s="11" t="s">
        <v>30</v>
      </c>
      <c r="S177" s="6" t="s">
        <v>30</v>
      </c>
      <c r="T177" s="11" t="s">
        <v>30</v>
      </c>
      <c r="U177" s="6" t="s">
        <v>30</v>
      </c>
      <c r="V177" s="6" t="s">
        <v>30</v>
      </c>
      <c r="W177" s="6" t="s">
        <v>30</v>
      </c>
      <c r="X177" s="2" t="s">
        <v>30</v>
      </c>
      <c r="Y177" s="6" t="str">
        <f aca="false">IF(AND(X177="processed",ISNUMBER(S177)),S177*O177,"")</f>
        <v/>
      </c>
      <c r="Z177" s="6" t="n">
        <f aca="false">IF(ISNUMBER(K177),K177*O177,0)</f>
        <v>438</v>
      </c>
      <c r="AA177" s="2" t="s">
        <v>31</v>
      </c>
      <c r="AB177" s="6" t="n">
        <v>7305</v>
      </c>
      <c r="AC177" s="6" t="n">
        <v>6522</v>
      </c>
      <c r="AD177" s="6" t="n">
        <v>5766</v>
      </c>
      <c r="AE177" s="6" t="n">
        <v>2567.1103515625</v>
      </c>
      <c r="AF177" s="8" t="n">
        <v>717.677136596</v>
      </c>
      <c r="AG177" s="11" t="n">
        <v>0.06744051798</v>
      </c>
      <c r="AH177" s="12" t="n">
        <v>0.999999999999999</v>
      </c>
      <c r="AI177" s="2" t="s">
        <v>317</v>
      </c>
      <c r="AJ177" s="2" t="s">
        <v>44</v>
      </c>
      <c r="AK177" s="2" t="s">
        <v>44</v>
      </c>
    </row>
    <row r="178" customFormat="false" ht="15" hidden="false" customHeight="false" outlineLevel="0" collapsed="false">
      <c r="A178" s="9" t="n">
        <v>177</v>
      </c>
      <c r="B178" s="2" t="s">
        <v>536</v>
      </c>
      <c r="C178" s="2" t="s">
        <v>537</v>
      </c>
      <c r="D178" s="2" t="s">
        <v>27</v>
      </c>
      <c r="E178" s="2" t="s">
        <v>28</v>
      </c>
      <c r="F178" s="2" t="s">
        <v>538</v>
      </c>
      <c r="G178" s="2" t="s">
        <v>315</v>
      </c>
      <c r="H178" s="8" t="n">
        <v>655.766862834589</v>
      </c>
      <c r="I178" s="2" t="s">
        <v>316</v>
      </c>
      <c r="J178" s="8" t="n">
        <v>1136981.73515982</v>
      </c>
      <c r="K178" s="6" t="n">
        <v>219</v>
      </c>
      <c r="L178" s="2"/>
      <c r="M178" s="10" t="b">
        <f aca="false">TRUE()</f>
        <v>1</v>
      </c>
      <c r="N178" s="9" t="n">
        <f aca="false">IF(H178="","",IF(H178&gt;=Assumptions!$B$5,1,IF(H178&gt;=Assumptions!$B$6,2,IF(H178&gt;=Assumptions!$B$7,3,""))))</f>
        <v>2</v>
      </c>
      <c r="O178" s="9" t="n">
        <f aca="false">IF(N178=1,Assumptions!$B$8,IF(N178=2,Assumptions!$B$9,IF(N178=3,Assumptions!$B$10,0)))</f>
        <v>2</v>
      </c>
      <c r="P178" s="6" t="s">
        <v>30</v>
      </c>
      <c r="Q178" s="6" t="s">
        <v>30</v>
      </c>
      <c r="R178" s="11" t="s">
        <v>30</v>
      </c>
      <c r="S178" s="6" t="s">
        <v>30</v>
      </c>
      <c r="T178" s="11" t="s">
        <v>30</v>
      </c>
      <c r="U178" s="6" t="s">
        <v>30</v>
      </c>
      <c r="V178" s="6" t="s">
        <v>30</v>
      </c>
      <c r="W178" s="6" t="s">
        <v>30</v>
      </c>
      <c r="X178" s="2" t="s">
        <v>30</v>
      </c>
      <c r="Y178" s="6" t="str">
        <f aca="false">IF(AND(X178="processed",ISNUMBER(S178)),S178*O178,"")</f>
        <v/>
      </c>
      <c r="Z178" s="6" t="n">
        <f aca="false">IF(ISNUMBER(K178),K178*O178,0)</f>
        <v>438</v>
      </c>
      <c r="AA178" s="2" t="s">
        <v>31</v>
      </c>
      <c r="AB178" s="6" t="n">
        <v>14436</v>
      </c>
      <c r="AC178" s="6" t="n">
        <v>12545</v>
      </c>
      <c r="AD178" s="6" t="n">
        <v>213</v>
      </c>
      <c r="AE178" s="6" t="n">
        <v>2358.98120117188</v>
      </c>
      <c r="AF178" s="8" t="n">
        <v>640.577545432</v>
      </c>
      <c r="AG178" s="11" t="n">
        <v>-0.04373451505</v>
      </c>
      <c r="AH178" s="12" t="n">
        <v>0.999976194201923</v>
      </c>
      <c r="AI178" s="2" t="s">
        <v>317</v>
      </c>
      <c r="AJ178" s="2" t="s">
        <v>537</v>
      </c>
      <c r="AK178" s="2" t="s">
        <v>537</v>
      </c>
    </row>
    <row r="179" customFormat="false" ht="15" hidden="false" customHeight="false" outlineLevel="0" collapsed="false">
      <c r="A179" s="9" t="n">
        <v>178</v>
      </c>
      <c r="B179" s="2" t="s">
        <v>539</v>
      </c>
      <c r="C179" s="2" t="s">
        <v>540</v>
      </c>
      <c r="D179" s="2" t="s">
        <v>540</v>
      </c>
      <c r="E179" s="2" t="s">
        <v>51</v>
      </c>
      <c r="F179" s="2"/>
      <c r="G179" s="2" t="s">
        <v>541</v>
      </c>
      <c r="H179" s="8" t="n">
        <v>545.946096039795</v>
      </c>
      <c r="I179" s="2" t="s">
        <v>316</v>
      </c>
      <c r="J179" s="8" t="n">
        <v>926495.917808219</v>
      </c>
      <c r="K179" s="6" t="n">
        <v>438</v>
      </c>
      <c r="L179" s="2"/>
      <c r="M179" s="10" t="b">
        <f aca="false">TRUE()</f>
        <v>1</v>
      </c>
      <c r="N179" s="9" t="n">
        <f aca="false">IF(H179="","",IF(H179&gt;=Assumptions!$B$5,1,IF(H179&gt;=Assumptions!$B$6,2,IF(H179&gt;=Assumptions!$B$7,3,""))))</f>
        <v>3</v>
      </c>
      <c r="O179" s="9" t="n">
        <f aca="false">IF(N179=1,Assumptions!$B$8,IF(N179=2,Assumptions!$B$9,IF(N179=3,Assumptions!$B$10,0)))</f>
        <v>1</v>
      </c>
      <c r="P179" s="6" t="s">
        <v>30</v>
      </c>
      <c r="Q179" s="6" t="s">
        <v>30</v>
      </c>
      <c r="R179" s="11" t="s">
        <v>30</v>
      </c>
      <c r="S179" s="6" t="s">
        <v>30</v>
      </c>
      <c r="T179" s="11" t="s">
        <v>30</v>
      </c>
      <c r="U179" s="6" t="s">
        <v>30</v>
      </c>
      <c r="V179" s="6" t="s">
        <v>30</v>
      </c>
      <c r="W179" s="6" t="s">
        <v>30</v>
      </c>
      <c r="X179" s="2" t="s">
        <v>30</v>
      </c>
      <c r="Y179" s="6" t="str">
        <f aca="false">IF(AND(X179="processed",ISNUMBER(S179)),S179*O179,"")</f>
        <v/>
      </c>
      <c r="Z179" s="6" t="n">
        <f aca="false">IF(ISNUMBER(K179),K179*O179,0)</f>
        <v>438</v>
      </c>
      <c r="AA179" s="2" t="s">
        <v>31</v>
      </c>
      <c r="AB179" s="6" t="n">
        <v>33512</v>
      </c>
      <c r="AC179" s="6" t="n">
        <v>27173</v>
      </c>
      <c r="AD179" s="6" t="n">
        <v>1506</v>
      </c>
      <c r="AE179" s="6" t="n">
        <v>2171.162109375</v>
      </c>
      <c r="AF179" s="8" t="n">
        <v>545.885920676</v>
      </c>
      <c r="AG179" s="11" t="n">
        <v>-0.04879964037</v>
      </c>
      <c r="AH179" s="12" t="n">
        <v>0.999167757251438</v>
      </c>
      <c r="AI179" s="2" t="s">
        <v>317</v>
      </c>
      <c r="AJ179" s="2" t="s">
        <v>540</v>
      </c>
      <c r="AK179" s="2" t="s">
        <v>540</v>
      </c>
    </row>
    <row r="180" customFormat="false" ht="15" hidden="false" customHeight="false" outlineLevel="0" collapsed="false">
      <c r="A180" s="9" t="n">
        <v>179</v>
      </c>
      <c r="B180" s="2" t="s">
        <v>542</v>
      </c>
      <c r="C180" s="2" t="s">
        <v>70</v>
      </c>
      <c r="D180" s="2" t="s">
        <v>70</v>
      </c>
      <c r="E180" s="2" t="s">
        <v>71</v>
      </c>
      <c r="F180" s="2" t="s">
        <v>543</v>
      </c>
      <c r="G180" s="2" t="s">
        <v>329</v>
      </c>
      <c r="H180" s="8" t="n">
        <v>974.846211060655</v>
      </c>
      <c r="I180" s="2" t="s">
        <v>316</v>
      </c>
      <c r="J180" s="8" t="n">
        <v>2275862.06896552</v>
      </c>
      <c r="K180" s="6" t="n">
        <v>145</v>
      </c>
      <c r="L180" s="2"/>
      <c r="M180" s="10" t="b">
        <f aca="false">TRUE()</f>
        <v>1</v>
      </c>
      <c r="N180" s="9" t="n">
        <f aca="false">IF(H180="","",IF(H180&gt;=Assumptions!$B$5,1,IF(H180&gt;=Assumptions!$B$6,2,IF(H180&gt;=Assumptions!$B$7,3,""))))</f>
        <v>1</v>
      </c>
      <c r="O180" s="9" t="n">
        <f aca="false">IF(N180=1,Assumptions!$B$8,IF(N180=2,Assumptions!$B$9,IF(N180=3,Assumptions!$B$10,0)))</f>
        <v>3</v>
      </c>
      <c r="P180" s="6" t="s">
        <v>30</v>
      </c>
      <c r="Q180" s="6" t="s">
        <v>30</v>
      </c>
      <c r="R180" s="11" t="s">
        <v>30</v>
      </c>
      <c r="S180" s="6" t="s">
        <v>30</v>
      </c>
      <c r="T180" s="11" t="s">
        <v>30</v>
      </c>
      <c r="U180" s="6" t="s">
        <v>30</v>
      </c>
      <c r="V180" s="6" t="s">
        <v>30</v>
      </c>
      <c r="W180" s="6" t="s">
        <v>30</v>
      </c>
      <c r="X180" s="2" t="s">
        <v>30</v>
      </c>
      <c r="Y180" s="6" t="str">
        <f aca="false">IF(AND(X180="processed",ISNUMBER(S180)),S180*O180,"")</f>
        <v/>
      </c>
      <c r="Z180" s="6" t="n">
        <f aca="false">IF(ISNUMBER(K180),K180*O180,0)</f>
        <v>435</v>
      </c>
      <c r="AA180" s="2" t="s">
        <v>31</v>
      </c>
      <c r="AB180" s="6" t="n">
        <v>11385</v>
      </c>
      <c r="AC180" s="6" t="n">
        <v>8135</v>
      </c>
      <c r="AD180" s="6" t="n">
        <v>136</v>
      </c>
      <c r="AE180" s="6" t="n">
        <v>1897.28515625</v>
      </c>
      <c r="AF180" s="8" t="n">
        <v>946.866838173</v>
      </c>
      <c r="AG180" s="11" t="n">
        <v>-0.0640264355</v>
      </c>
      <c r="AH180" s="12" t="n">
        <v>0.999999999999999</v>
      </c>
      <c r="AI180" s="2" t="s">
        <v>317</v>
      </c>
      <c r="AJ180" s="2" t="s">
        <v>70</v>
      </c>
      <c r="AK180" s="2" t="s">
        <v>70</v>
      </c>
    </row>
    <row r="181" customFormat="false" ht="15" hidden="false" customHeight="false" outlineLevel="0" collapsed="false">
      <c r="A181" s="9" t="n">
        <v>180</v>
      </c>
      <c r="B181" s="2" t="s">
        <v>544</v>
      </c>
      <c r="C181" s="2" t="s">
        <v>545</v>
      </c>
      <c r="D181" s="2" t="s">
        <v>27</v>
      </c>
      <c r="E181" s="2" t="s">
        <v>28</v>
      </c>
      <c r="F181" s="2" t="s">
        <v>546</v>
      </c>
      <c r="G181" s="2" t="s">
        <v>315</v>
      </c>
      <c r="H181" s="8" t="n">
        <v>731.202640567973</v>
      </c>
      <c r="I181" s="2" t="s">
        <v>316</v>
      </c>
      <c r="J181" s="8" t="n">
        <v>1561896.55172414</v>
      </c>
      <c r="K181" s="6" t="n">
        <v>145</v>
      </c>
      <c r="L181" s="2"/>
      <c r="M181" s="10" t="b">
        <f aca="false">TRUE()</f>
        <v>1</v>
      </c>
      <c r="N181" s="9" t="n">
        <f aca="false">IF(H181="","",IF(H181&gt;=Assumptions!$B$5,1,IF(H181&gt;=Assumptions!$B$6,2,IF(H181&gt;=Assumptions!$B$7,3,""))))</f>
        <v>1</v>
      </c>
      <c r="O181" s="9" t="n">
        <f aca="false">IF(N181=1,Assumptions!$B$8,IF(N181=2,Assumptions!$B$9,IF(N181=3,Assumptions!$B$10,0)))</f>
        <v>3</v>
      </c>
      <c r="P181" s="6" t="s">
        <v>30</v>
      </c>
      <c r="Q181" s="6" t="s">
        <v>30</v>
      </c>
      <c r="R181" s="11" t="s">
        <v>30</v>
      </c>
      <c r="S181" s="6" t="s">
        <v>30</v>
      </c>
      <c r="T181" s="11" t="s">
        <v>30</v>
      </c>
      <c r="U181" s="6" t="s">
        <v>30</v>
      </c>
      <c r="V181" s="6" t="s">
        <v>30</v>
      </c>
      <c r="W181" s="6" t="s">
        <v>30</v>
      </c>
      <c r="X181" s="2" t="s">
        <v>30</v>
      </c>
      <c r="Y181" s="6" t="str">
        <f aca="false">IF(AND(X181="processed",ISNUMBER(S181)),S181*O181,"")</f>
        <v/>
      </c>
      <c r="Z181" s="6" t="n">
        <f aca="false">IF(ISNUMBER(K181),K181*O181,0)</f>
        <v>435</v>
      </c>
      <c r="AA181" s="2" t="s">
        <v>31</v>
      </c>
      <c r="AB181" s="6" t="n">
        <v>8489</v>
      </c>
      <c r="AC181" s="6" t="n">
        <v>7529</v>
      </c>
      <c r="AD181" s="6" t="n">
        <v>73</v>
      </c>
      <c r="AE181" s="6" t="n">
        <v>2607.46655273438</v>
      </c>
      <c r="AF181" s="8" t="n">
        <v>723.568668774</v>
      </c>
      <c r="AG181" s="11" t="n">
        <v>0.07704480342</v>
      </c>
      <c r="AH181" s="12" t="n">
        <v>1</v>
      </c>
      <c r="AI181" s="2" t="s">
        <v>328</v>
      </c>
      <c r="AJ181" s="2" t="s">
        <v>545</v>
      </c>
      <c r="AK181" s="2" t="s">
        <v>545</v>
      </c>
    </row>
    <row r="182" customFormat="false" ht="15" hidden="false" customHeight="false" outlineLevel="0" collapsed="false">
      <c r="A182" s="9" t="n">
        <v>181</v>
      </c>
      <c r="B182" s="2" t="s">
        <v>547</v>
      </c>
      <c r="C182" s="2" t="s">
        <v>70</v>
      </c>
      <c r="D182" s="2" t="s">
        <v>70</v>
      </c>
      <c r="E182" s="2" t="s">
        <v>71</v>
      </c>
      <c r="F182" s="2" t="s">
        <v>548</v>
      </c>
      <c r="G182" s="2" t="s">
        <v>329</v>
      </c>
      <c r="H182" s="8" t="n">
        <v>866.521172093308</v>
      </c>
      <c r="I182" s="2" t="s">
        <v>316</v>
      </c>
      <c r="J182" s="8" t="n">
        <v>1378391.60839161</v>
      </c>
      <c r="K182" s="6" t="n">
        <v>143</v>
      </c>
      <c r="L182" s="2"/>
      <c r="M182" s="10" t="b">
        <f aca="false">TRUE()</f>
        <v>1</v>
      </c>
      <c r="N182" s="9" t="n">
        <f aca="false">IF(H182="","",IF(H182&gt;=Assumptions!$B$5,1,IF(H182&gt;=Assumptions!$B$6,2,IF(H182&gt;=Assumptions!$B$7,3,""))))</f>
        <v>1</v>
      </c>
      <c r="O182" s="9" t="n">
        <f aca="false">IF(N182=1,Assumptions!$B$8,IF(N182=2,Assumptions!$B$9,IF(N182=3,Assumptions!$B$10,0)))</f>
        <v>3</v>
      </c>
      <c r="P182" s="6" t="s">
        <v>30</v>
      </c>
      <c r="Q182" s="6" t="s">
        <v>30</v>
      </c>
      <c r="R182" s="11" t="s">
        <v>30</v>
      </c>
      <c r="S182" s="6" t="s">
        <v>30</v>
      </c>
      <c r="T182" s="11" t="s">
        <v>30</v>
      </c>
      <c r="U182" s="6" t="s">
        <v>30</v>
      </c>
      <c r="V182" s="6" t="s">
        <v>30</v>
      </c>
      <c r="W182" s="6" t="s">
        <v>30</v>
      </c>
      <c r="X182" s="2" t="s">
        <v>30</v>
      </c>
      <c r="Y182" s="6" t="str">
        <f aca="false">IF(AND(X182="processed",ISNUMBER(S182)),S182*O182,"")</f>
        <v/>
      </c>
      <c r="Z182" s="6" t="n">
        <f aca="false">IF(ISNUMBER(K182),K182*O182,0)</f>
        <v>429</v>
      </c>
      <c r="AA182" s="2" t="s">
        <v>31</v>
      </c>
      <c r="AB182" s="6" t="n">
        <v>11981</v>
      </c>
      <c r="AC182" s="6" t="n">
        <v>8014</v>
      </c>
      <c r="AD182" s="6" t="n">
        <v>148</v>
      </c>
      <c r="AE182" s="6" t="n">
        <v>1647.93676757813</v>
      </c>
      <c r="AF182" s="8" t="n">
        <v>931.928687196</v>
      </c>
      <c r="AG182" s="11" t="n">
        <v>0.04952168064</v>
      </c>
      <c r="AH182" s="12" t="n">
        <v>1</v>
      </c>
      <c r="AI182" s="2" t="s">
        <v>317</v>
      </c>
      <c r="AJ182" s="2" t="s">
        <v>70</v>
      </c>
      <c r="AK182" s="2" t="s">
        <v>70</v>
      </c>
    </row>
    <row r="183" customFormat="false" ht="15" hidden="false" customHeight="false" outlineLevel="0" collapsed="false">
      <c r="A183" s="9" t="n">
        <v>182</v>
      </c>
      <c r="B183" s="2" t="s">
        <v>549</v>
      </c>
      <c r="C183" s="2" t="s">
        <v>550</v>
      </c>
      <c r="D183" s="2" t="s">
        <v>95</v>
      </c>
      <c r="E183" s="2" t="s">
        <v>95</v>
      </c>
      <c r="F183" s="2"/>
      <c r="G183" s="2" t="s">
        <v>330</v>
      </c>
      <c r="H183" s="8" t="n">
        <v>1350.50095760645</v>
      </c>
      <c r="I183" s="2" t="s">
        <v>316</v>
      </c>
      <c r="J183" s="8" t="n">
        <v>4045440.55944056</v>
      </c>
      <c r="K183" s="6" t="n">
        <v>143</v>
      </c>
      <c r="L183" s="2"/>
      <c r="M183" s="10" t="b">
        <f aca="false">TRUE()</f>
        <v>1</v>
      </c>
      <c r="N183" s="9" t="n">
        <f aca="false">IF(H183="","",IF(H183&gt;=Assumptions!$B$5,1,IF(H183&gt;=Assumptions!$B$6,2,IF(H183&gt;=Assumptions!$B$7,3,""))))</f>
        <v>1</v>
      </c>
      <c r="O183" s="9" t="n">
        <f aca="false">IF(N183=1,Assumptions!$B$8,IF(N183=2,Assumptions!$B$9,IF(N183=3,Assumptions!$B$10,0)))</f>
        <v>3</v>
      </c>
      <c r="P183" s="6" t="s">
        <v>30</v>
      </c>
      <c r="Q183" s="6" t="s">
        <v>30</v>
      </c>
      <c r="R183" s="11" t="s">
        <v>30</v>
      </c>
      <c r="S183" s="6" t="s">
        <v>30</v>
      </c>
      <c r="T183" s="11" t="s">
        <v>30</v>
      </c>
      <c r="U183" s="6" t="s">
        <v>30</v>
      </c>
      <c r="V183" s="6" t="s">
        <v>30</v>
      </c>
      <c r="W183" s="6" t="s">
        <v>30</v>
      </c>
      <c r="X183" s="2" t="s">
        <v>30</v>
      </c>
      <c r="Y183" s="6" t="str">
        <f aca="false">IF(AND(X183="processed",ISNUMBER(S183)),S183*O183,"")</f>
        <v/>
      </c>
      <c r="Z183" s="6" t="n">
        <f aca="false">IF(ISNUMBER(K183),K183*O183,0)</f>
        <v>429</v>
      </c>
      <c r="AA183" s="2" t="s">
        <v>31</v>
      </c>
      <c r="AB183" s="6" t="n">
        <v>5647</v>
      </c>
      <c r="AC183" s="6" t="n">
        <v>4640</v>
      </c>
      <c r="AD183" s="6" t="n">
        <v>129</v>
      </c>
      <c r="AE183" s="6" t="n">
        <v>2634.69287109375</v>
      </c>
      <c r="AF183" s="8" t="n">
        <v>1383.970048659</v>
      </c>
      <c r="AG183" s="11" t="n">
        <v>0.05107541049</v>
      </c>
      <c r="AH183" s="12" t="n">
        <v>0.512472229561983</v>
      </c>
      <c r="AI183" s="2" t="s">
        <v>426</v>
      </c>
      <c r="AJ183" s="2" t="s">
        <v>551</v>
      </c>
      <c r="AK183" s="2" t="s">
        <v>550</v>
      </c>
    </row>
    <row r="184" customFormat="false" ht="15" hidden="false" customHeight="false" outlineLevel="0" collapsed="false">
      <c r="A184" s="9" t="n">
        <v>183</v>
      </c>
      <c r="B184" s="2" t="s">
        <v>552</v>
      </c>
      <c r="C184" s="2" t="s">
        <v>553</v>
      </c>
      <c r="D184" s="2" t="s">
        <v>95</v>
      </c>
      <c r="E184" s="2" t="s">
        <v>95</v>
      </c>
      <c r="F184" s="2"/>
      <c r="G184" s="2" t="s">
        <v>330</v>
      </c>
      <c r="H184" s="8" t="n">
        <v>888.859317451532</v>
      </c>
      <c r="I184" s="2" t="s">
        <v>316</v>
      </c>
      <c r="J184" s="8" t="n">
        <v>1722972.02797203</v>
      </c>
      <c r="K184" s="6" t="n">
        <v>143</v>
      </c>
      <c r="L184" s="2"/>
      <c r="M184" s="10" t="b">
        <f aca="false">TRUE()</f>
        <v>1</v>
      </c>
      <c r="N184" s="9" t="n">
        <f aca="false">IF(H184="","",IF(H184&gt;=Assumptions!$B$5,1,IF(H184&gt;=Assumptions!$B$6,2,IF(H184&gt;=Assumptions!$B$7,3,""))))</f>
        <v>1</v>
      </c>
      <c r="O184" s="9" t="n">
        <f aca="false">IF(N184=1,Assumptions!$B$8,IF(N184=2,Assumptions!$B$9,IF(N184=3,Assumptions!$B$10,0)))</f>
        <v>3</v>
      </c>
      <c r="P184" s="6" t="s">
        <v>30</v>
      </c>
      <c r="Q184" s="6" t="s">
        <v>30</v>
      </c>
      <c r="R184" s="11" t="s">
        <v>30</v>
      </c>
      <c r="S184" s="6" t="s">
        <v>30</v>
      </c>
      <c r="T184" s="11" t="s">
        <v>30</v>
      </c>
      <c r="U184" s="6" t="s">
        <v>30</v>
      </c>
      <c r="V184" s="6" t="s">
        <v>30</v>
      </c>
      <c r="W184" s="6" t="s">
        <v>30</v>
      </c>
      <c r="X184" s="2" t="s">
        <v>30</v>
      </c>
      <c r="Y184" s="6" t="str">
        <f aca="false">IF(AND(X184="processed",ISNUMBER(S184)),S184*O184,"")</f>
        <v/>
      </c>
      <c r="Z184" s="6" t="n">
        <f aca="false">IF(ISNUMBER(K184),K184*O184,0)</f>
        <v>429</v>
      </c>
      <c r="AA184" s="2" t="s">
        <v>31</v>
      </c>
      <c r="AB184" s="6" t="n">
        <v>8285</v>
      </c>
      <c r="AC184" s="6" t="n">
        <v>6256</v>
      </c>
      <c r="AD184" s="6" t="n">
        <v>179</v>
      </c>
      <c r="AE184" s="6" t="n">
        <v>1866.61462402344</v>
      </c>
      <c r="AF184" s="8" t="n">
        <v>956.336939722</v>
      </c>
      <c r="AG184" s="11" t="n">
        <v>-0.05641421947</v>
      </c>
      <c r="AH184" s="12" t="n">
        <v>0.999999999999998</v>
      </c>
      <c r="AI184" s="2" t="s">
        <v>317</v>
      </c>
      <c r="AJ184" s="2" t="s">
        <v>553</v>
      </c>
      <c r="AK184" s="2" t="s">
        <v>553</v>
      </c>
    </row>
    <row r="185" customFormat="false" ht="15" hidden="false" customHeight="false" outlineLevel="0" collapsed="false">
      <c r="A185" s="9" t="n">
        <v>184</v>
      </c>
      <c r="B185" s="2" t="s">
        <v>554</v>
      </c>
      <c r="C185" s="2" t="s">
        <v>84</v>
      </c>
      <c r="D185" s="2" t="s">
        <v>70</v>
      </c>
      <c r="E185" s="2" t="s">
        <v>71</v>
      </c>
      <c r="F185" s="2" t="s">
        <v>555</v>
      </c>
      <c r="G185" s="2" t="s">
        <v>329</v>
      </c>
      <c r="H185" s="8" t="n">
        <v>643.381103228682</v>
      </c>
      <c r="I185" s="2" t="s">
        <v>316</v>
      </c>
      <c r="J185" s="8" t="n">
        <v>729789.719626168</v>
      </c>
      <c r="K185" s="6" t="n">
        <v>214</v>
      </c>
      <c r="L185" s="2"/>
      <c r="M185" s="10" t="b">
        <f aca="false">TRUE()</f>
        <v>1</v>
      </c>
      <c r="N185" s="9" t="n">
        <f aca="false">IF(H185="","",IF(H185&gt;=Assumptions!$B$5,1,IF(H185&gt;=Assumptions!$B$6,2,IF(H185&gt;=Assumptions!$B$7,3,""))))</f>
        <v>2</v>
      </c>
      <c r="O185" s="9" t="n">
        <f aca="false">IF(N185=1,Assumptions!$B$8,IF(N185=2,Assumptions!$B$9,IF(N185=3,Assumptions!$B$10,0)))</f>
        <v>2</v>
      </c>
      <c r="P185" s="6" t="s">
        <v>30</v>
      </c>
      <c r="Q185" s="6" t="s">
        <v>30</v>
      </c>
      <c r="R185" s="11" t="s">
        <v>30</v>
      </c>
      <c r="S185" s="6" t="s">
        <v>30</v>
      </c>
      <c r="T185" s="11" t="s">
        <v>30</v>
      </c>
      <c r="U185" s="6" t="s">
        <v>30</v>
      </c>
      <c r="V185" s="6" t="s">
        <v>30</v>
      </c>
      <c r="W185" s="6" t="s">
        <v>30</v>
      </c>
      <c r="X185" s="2" t="s">
        <v>30</v>
      </c>
      <c r="Y185" s="6" t="str">
        <f aca="false">IF(AND(X185="processed",ISNUMBER(S185)),S185*O185,"")</f>
        <v/>
      </c>
      <c r="Z185" s="6" t="n">
        <f aca="false">IF(ISNUMBER(K185),K185*O185,0)</f>
        <v>428</v>
      </c>
      <c r="AA185" s="2" t="s">
        <v>31</v>
      </c>
      <c r="AB185" s="6" t="n">
        <v>29146</v>
      </c>
      <c r="AC185" s="6" t="n">
        <v>20660</v>
      </c>
      <c r="AD185" s="6" t="n">
        <v>357</v>
      </c>
      <c r="AE185" s="6" t="n">
        <v>1460.03784179688</v>
      </c>
      <c r="AF185" s="8" t="n">
        <v>651.183970856</v>
      </c>
      <c r="AG185" s="11" t="n">
        <v>0.003679511882</v>
      </c>
      <c r="AH185" s="12" t="n">
        <v>1</v>
      </c>
      <c r="AI185" s="2" t="s">
        <v>317</v>
      </c>
      <c r="AJ185" s="2" t="s">
        <v>84</v>
      </c>
      <c r="AK185" s="2" t="s">
        <v>84</v>
      </c>
    </row>
    <row r="186" customFormat="false" ht="15" hidden="false" customHeight="false" outlineLevel="0" collapsed="false">
      <c r="A186" s="9" t="n">
        <v>185</v>
      </c>
      <c r="B186" s="2" t="s">
        <v>556</v>
      </c>
      <c r="C186" s="2" t="s">
        <v>557</v>
      </c>
      <c r="D186" s="2" t="s">
        <v>70</v>
      </c>
      <c r="E186" s="2" t="s">
        <v>71</v>
      </c>
      <c r="F186" s="2" t="s">
        <v>558</v>
      </c>
      <c r="G186" s="2" t="s">
        <v>329</v>
      </c>
      <c r="H186" s="8" t="n">
        <v>1295.74595167154</v>
      </c>
      <c r="I186" s="2" t="s">
        <v>316</v>
      </c>
      <c r="J186" s="8" t="n">
        <v>4519475.17730497</v>
      </c>
      <c r="K186" s="6" t="n">
        <v>141</v>
      </c>
      <c r="L186" s="2"/>
      <c r="M186" s="10" t="b">
        <f aca="false">TRUE()</f>
        <v>1</v>
      </c>
      <c r="N186" s="9" t="n">
        <f aca="false">IF(H186="","",IF(H186&gt;=Assumptions!$B$5,1,IF(H186&gt;=Assumptions!$B$6,2,IF(H186&gt;=Assumptions!$B$7,3,""))))</f>
        <v>1</v>
      </c>
      <c r="O186" s="9" t="n">
        <f aca="false">IF(N186=1,Assumptions!$B$8,IF(N186=2,Assumptions!$B$9,IF(N186=3,Assumptions!$B$10,0)))</f>
        <v>3</v>
      </c>
      <c r="P186" s="6" t="s">
        <v>30</v>
      </c>
      <c r="Q186" s="6" t="s">
        <v>30</v>
      </c>
      <c r="R186" s="11" t="s">
        <v>30</v>
      </c>
      <c r="S186" s="6" t="s">
        <v>30</v>
      </c>
      <c r="T186" s="11" t="s">
        <v>30</v>
      </c>
      <c r="U186" s="6" t="s">
        <v>30</v>
      </c>
      <c r="V186" s="6" t="s">
        <v>30</v>
      </c>
      <c r="W186" s="6" t="s">
        <v>30</v>
      </c>
      <c r="X186" s="2" t="s">
        <v>30</v>
      </c>
      <c r="Y186" s="6" t="str">
        <f aca="false">IF(AND(X186="processed",ISNUMBER(S186)),S186*O186,"")</f>
        <v/>
      </c>
      <c r="Z186" s="6" t="n">
        <f aca="false">IF(ISNUMBER(K186),K186*O186,0)</f>
        <v>423</v>
      </c>
      <c r="AA186" s="2" t="s">
        <v>31</v>
      </c>
      <c r="AB186" s="6" t="n">
        <v>11142</v>
      </c>
      <c r="AC186" s="6" t="n">
        <v>8794</v>
      </c>
      <c r="AD186" s="6" t="n">
        <v>1869</v>
      </c>
      <c r="AE186" s="6" t="n">
        <v>2393.67504882813</v>
      </c>
      <c r="AF186" s="8" t="n">
        <v>1358.987884398</v>
      </c>
      <c r="AG186" s="11" t="n">
        <v>-0.2590677849</v>
      </c>
      <c r="AH186" s="12" t="n">
        <v>0.652218165823501</v>
      </c>
      <c r="AI186" s="2" t="s">
        <v>317</v>
      </c>
      <c r="AJ186" s="2" t="s">
        <v>557</v>
      </c>
      <c r="AK186" s="2" t="s">
        <v>559</v>
      </c>
    </row>
    <row r="187" customFormat="false" ht="15" hidden="false" customHeight="false" outlineLevel="0" collapsed="false">
      <c r="A187" s="9" t="n">
        <v>186</v>
      </c>
      <c r="B187" s="2" t="s">
        <v>560</v>
      </c>
      <c r="C187" s="2" t="s">
        <v>561</v>
      </c>
      <c r="D187" s="2" t="s">
        <v>105</v>
      </c>
      <c r="E187" s="2" t="s">
        <v>51</v>
      </c>
      <c r="F187" s="2" t="s">
        <v>562</v>
      </c>
      <c r="G187" s="2" t="s">
        <v>318</v>
      </c>
      <c r="H187" s="8" t="n">
        <v>656.351386160218</v>
      </c>
      <c r="I187" s="2" t="s">
        <v>316</v>
      </c>
      <c r="J187" s="8" t="n">
        <v>1091800.9478673</v>
      </c>
      <c r="K187" s="6" t="n">
        <v>211</v>
      </c>
      <c r="L187" s="2"/>
      <c r="M187" s="10" t="b">
        <f aca="false">TRUE()</f>
        <v>1</v>
      </c>
      <c r="N187" s="9" t="n">
        <f aca="false">IF(H187="","",IF(H187&gt;=Assumptions!$B$5,1,IF(H187&gt;=Assumptions!$B$6,2,IF(H187&gt;=Assumptions!$B$7,3,""))))</f>
        <v>2</v>
      </c>
      <c r="O187" s="9" t="n">
        <f aca="false">IF(N187=1,Assumptions!$B$8,IF(N187=2,Assumptions!$B$9,IF(N187=3,Assumptions!$B$10,0)))</f>
        <v>2</v>
      </c>
      <c r="P187" s="6" t="s">
        <v>30</v>
      </c>
      <c r="Q187" s="6" t="s">
        <v>30</v>
      </c>
      <c r="R187" s="11" t="s">
        <v>30</v>
      </c>
      <c r="S187" s="6" t="s">
        <v>30</v>
      </c>
      <c r="T187" s="11" t="s">
        <v>30</v>
      </c>
      <c r="U187" s="6" t="s">
        <v>30</v>
      </c>
      <c r="V187" s="6" t="s">
        <v>30</v>
      </c>
      <c r="W187" s="6" t="s">
        <v>30</v>
      </c>
      <c r="X187" s="2" t="s">
        <v>30</v>
      </c>
      <c r="Y187" s="6" t="str">
        <f aca="false">IF(AND(X187="processed",ISNUMBER(S187)),S187*O187,"")</f>
        <v/>
      </c>
      <c r="Z187" s="6" t="n">
        <f aca="false">IF(ISNUMBER(K187),K187*O187,0)</f>
        <v>422</v>
      </c>
      <c r="AA187" s="2" t="s">
        <v>31</v>
      </c>
      <c r="AB187" s="6" t="n">
        <v>11109</v>
      </c>
      <c r="AC187" s="6" t="n">
        <v>10150</v>
      </c>
      <c r="AD187" s="6" t="n">
        <v>10043</v>
      </c>
      <c r="AE187" s="6" t="n">
        <v>2457.03393554688</v>
      </c>
      <c r="AF187" s="8" t="n">
        <v>650.403760047</v>
      </c>
      <c r="AG187" s="11" t="n">
        <v>-0.05213885599</v>
      </c>
      <c r="AH187" s="12" t="n">
        <v>1</v>
      </c>
      <c r="AI187" s="2" t="s">
        <v>317</v>
      </c>
      <c r="AJ187" s="2" t="s">
        <v>561</v>
      </c>
      <c r="AK187" s="2" t="s">
        <v>561</v>
      </c>
    </row>
    <row r="188" customFormat="false" ht="15" hidden="false" customHeight="false" outlineLevel="0" collapsed="false">
      <c r="A188" s="9" t="n">
        <v>187</v>
      </c>
      <c r="B188" s="2" t="s">
        <v>563</v>
      </c>
      <c r="C188" s="2" t="s">
        <v>564</v>
      </c>
      <c r="D188" s="2" t="s">
        <v>190</v>
      </c>
      <c r="E188" s="2" t="s">
        <v>51</v>
      </c>
      <c r="F188" s="2"/>
      <c r="G188" s="2" t="s">
        <v>336</v>
      </c>
      <c r="H188" s="8" t="n">
        <v>665.673659031531</v>
      </c>
      <c r="I188" s="2" t="s">
        <v>316</v>
      </c>
      <c r="J188" s="8" t="n">
        <v>1223696.68246446</v>
      </c>
      <c r="K188" s="6" t="n">
        <v>211</v>
      </c>
      <c r="L188" s="2"/>
      <c r="M188" s="10" t="b">
        <f aca="false">TRUE()</f>
        <v>1</v>
      </c>
      <c r="N188" s="9" t="n">
        <f aca="false">IF(H188="","",IF(H188&gt;=Assumptions!$B$5,1,IF(H188&gt;=Assumptions!$B$6,2,IF(H188&gt;=Assumptions!$B$7,3,""))))</f>
        <v>2</v>
      </c>
      <c r="O188" s="9" t="n">
        <f aca="false">IF(N188=1,Assumptions!$B$8,IF(N188=2,Assumptions!$B$9,IF(N188=3,Assumptions!$B$10,0)))</f>
        <v>2</v>
      </c>
      <c r="P188" s="6" t="s">
        <v>30</v>
      </c>
      <c r="Q188" s="6" t="s">
        <v>30</v>
      </c>
      <c r="R188" s="11" t="s">
        <v>30</v>
      </c>
      <c r="S188" s="6" t="s">
        <v>30</v>
      </c>
      <c r="T188" s="11" t="s">
        <v>30</v>
      </c>
      <c r="U188" s="6" t="s">
        <v>30</v>
      </c>
      <c r="V188" s="6" t="s">
        <v>30</v>
      </c>
      <c r="W188" s="6" t="s">
        <v>30</v>
      </c>
      <c r="X188" s="2" t="s">
        <v>30</v>
      </c>
      <c r="Y188" s="6" t="str">
        <f aca="false">IF(AND(X188="processed",ISNUMBER(S188)),S188*O188,"")</f>
        <v/>
      </c>
      <c r="Z188" s="6" t="n">
        <f aca="false">IF(ISNUMBER(K188),K188*O188,0)</f>
        <v>422</v>
      </c>
      <c r="AA188" s="2" t="s">
        <v>31</v>
      </c>
      <c r="AB188" s="6" t="n">
        <v>28584</v>
      </c>
      <c r="AC188" s="6" t="n">
        <v>18536</v>
      </c>
      <c r="AD188" s="6" t="n">
        <v>1783</v>
      </c>
      <c r="AE188" s="6" t="n">
        <v>1734.25073242188</v>
      </c>
      <c r="AF188" s="8" t="n">
        <v>667.938931298</v>
      </c>
      <c r="AG188" s="11" t="n">
        <v>-0.1519752477</v>
      </c>
      <c r="AH188" s="12" t="n">
        <v>0.999999999999999</v>
      </c>
      <c r="AI188" s="2" t="s">
        <v>317</v>
      </c>
      <c r="AJ188" s="2" t="s">
        <v>564</v>
      </c>
      <c r="AK188" s="2" t="s">
        <v>564</v>
      </c>
    </row>
    <row r="189" customFormat="false" ht="15" hidden="false" customHeight="false" outlineLevel="0" collapsed="false">
      <c r="A189" s="9" t="n">
        <v>188</v>
      </c>
      <c r="B189" s="2" t="s">
        <v>565</v>
      </c>
      <c r="C189" s="2" t="s">
        <v>44</v>
      </c>
      <c r="D189" s="2" t="s">
        <v>44</v>
      </c>
      <c r="E189" s="2" t="s">
        <v>44</v>
      </c>
      <c r="F189" s="2" t="s">
        <v>566</v>
      </c>
      <c r="G189" s="2" t="s">
        <v>322</v>
      </c>
      <c r="H189" s="8" t="n">
        <v>1227.61360170749</v>
      </c>
      <c r="I189" s="2" t="s">
        <v>316</v>
      </c>
      <c r="J189" s="8" t="n">
        <v>2176642.85714286</v>
      </c>
      <c r="K189" s="6" t="n">
        <v>140</v>
      </c>
      <c r="L189" s="2"/>
      <c r="M189" s="10" t="b">
        <f aca="false">TRUE()</f>
        <v>1</v>
      </c>
      <c r="N189" s="9" t="n">
        <f aca="false">IF(H189="","",IF(H189&gt;=Assumptions!$B$5,1,IF(H189&gt;=Assumptions!$B$6,2,IF(H189&gt;=Assumptions!$B$7,3,""))))</f>
        <v>1</v>
      </c>
      <c r="O189" s="9" t="n">
        <f aca="false">IF(N189=1,Assumptions!$B$8,IF(N189=2,Assumptions!$B$9,IF(N189=3,Assumptions!$B$10,0)))</f>
        <v>3</v>
      </c>
      <c r="P189" s="6" t="s">
        <v>30</v>
      </c>
      <c r="Q189" s="6" t="s">
        <v>30</v>
      </c>
      <c r="R189" s="11" t="s">
        <v>30</v>
      </c>
      <c r="S189" s="6" t="s">
        <v>30</v>
      </c>
      <c r="T189" s="11" t="s">
        <v>30</v>
      </c>
      <c r="U189" s="6" t="s">
        <v>30</v>
      </c>
      <c r="V189" s="6" t="s">
        <v>30</v>
      </c>
      <c r="W189" s="6" t="s">
        <v>30</v>
      </c>
      <c r="X189" s="2" t="s">
        <v>30</v>
      </c>
      <c r="Y189" s="6" t="str">
        <f aca="false">IF(AND(X189="processed",ISNUMBER(S189)),S189*O189,"")</f>
        <v/>
      </c>
      <c r="Z189" s="6" t="n">
        <f aca="false">IF(ISNUMBER(K189),K189*O189,0)</f>
        <v>420</v>
      </c>
      <c r="AA189" s="2" t="s">
        <v>31</v>
      </c>
      <c r="AB189" s="6" t="n">
        <v>15098</v>
      </c>
      <c r="AC189" s="6" t="n">
        <v>12331</v>
      </c>
      <c r="AD189" s="6" t="n">
        <v>373</v>
      </c>
      <c r="AE189" s="6" t="n">
        <v>1791.87133789063</v>
      </c>
      <c r="AF189" s="8" t="n">
        <v>1230.525325877</v>
      </c>
      <c r="AG189" s="11" t="n">
        <v>-0.04121568359</v>
      </c>
      <c r="AH189" s="12" t="n">
        <v>0.712136803872899</v>
      </c>
      <c r="AI189" s="2" t="s">
        <v>317</v>
      </c>
      <c r="AJ189" s="2" t="s">
        <v>44</v>
      </c>
      <c r="AK189" s="2" t="s">
        <v>44</v>
      </c>
    </row>
    <row r="190" customFormat="false" ht="15" hidden="false" customHeight="false" outlineLevel="0" collapsed="false">
      <c r="A190" s="9" t="n">
        <v>189</v>
      </c>
      <c r="B190" s="2" t="s">
        <v>567</v>
      </c>
      <c r="C190" s="2" t="s">
        <v>44</v>
      </c>
      <c r="D190" s="2" t="s">
        <v>44</v>
      </c>
      <c r="E190" s="2" t="s">
        <v>44</v>
      </c>
      <c r="F190" s="2" t="s">
        <v>568</v>
      </c>
      <c r="G190" s="2" t="s">
        <v>322</v>
      </c>
      <c r="H190" s="8" t="n">
        <v>993.953676215921</v>
      </c>
      <c r="I190" s="2" t="s">
        <v>316</v>
      </c>
      <c r="J190" s="8" t="n">
        <v>1378960.71428571</v>
      </c>
      <c r="K190" s="6" t="n">
        <v>140</v>
      </c>
      <c r="L190" s="2"/>
      <c r="M190" s="10" t="b">
        <f aca="false">TRUE()</f>
        <v>1</v>
      </c>
      <c r="N190" s="9" t="n">
        <f aca="false">IF(H190="","",IF(H190&gt;=Assumptions!$B$5,1,IF(H190&gt;=Assumptions!$B$6,2,IF(H190&gt;=Assumptions!$B$7,3,""))))</f>
        <v>1</v>
      </c>
      <c r="O190" s="9" t="n">
        <f aca="false">IF(N190=1,Assumptions!$B$8,IF(N190=2,Assumptions!$B$9,IF(N190=3,Assumptions!$B$10,0)))</f>
        <v>3</v>
      </c>
      <c r="P190" s="6" t="s">
        <v>30</v>
      </c>
      <c r="Q190" s="6" t="s">
        <v>30</v>
      </c>
      <c r="R190" s="11" t="s">
        <v>30</v>
      </c>
      <c r="S190" s="6" t="s">
        <v>30</v>
      </c>
      <c r="T190" s="11" t="s">
        <v>30</v>
      </c>
      <c r="U190" s="6" t="s">
        <v>30</v>
      </c>
      <c r="V190" s="6" t="s">
        <v>30</v>
      </c>
      <c r="W190" s="6" t="s">
        <v>30</v>
      </c>
      <c r="X190" s="2" t="s">
        <v>30</v>
      </c>
      <c r="Y190" s="6" t="str">
        <f aca="false">IF(AND(X190="processed",ISNUMBER(S190)),S190*O190,"")</f>
        <v/>
      </c>
      <c r="Z190" s="6" t="n">
        <f aca="false">IF(ISNUMBER(K190),K190*O190,0)</f>
        <v>420</v>
      </c>
      <c r="AA190" s="2" t="s">
        <v>31</v>
      </c>
      <c r="AB190" s="6" t="n">
        <v>11228</v>
      </c>
      <c r="AC190" s="6" t="n">
        <v>8533</v>
      </c>
      <c r="AD190" s="6" t="n">
        <v>3031</v>
      </c>
      <c r="AE190" s="6" t="n">
        <v>1538.18249511719</v>
      </c>
      <c r="AF190" s="8" t="n">
        <v>1034.565530485</v>
      </c>
      <c r="AG190" s="11" t="n">
        <v>0.01231965258</v>
      </c>
      <c r="AH190" s="12" t="n">
        <v>0.999999999999999</v>
      </c>
      <c r="AI190" s="2" t="s">
        <v>317</v>
      </c>
      <c r="AJ190" s="2" t="s">
        <v>44</v>
      </c>
      <c r="AK190" s="2" t="s">
        <v>44</v>
      </c>
    </row>
    <row r="191" customFormat="false" ht="15" hidden="false" customHeight="false" outlineLevel="0" collapsed="false">
      <c r="A191" s="9" t="n">
        <v>190</v>
      </c>
      <c r="B191" s="2" t="s">
        <v>569</v>
      </c>
      <c r="C191" s="2" t="s">
        <v>570</v>
      </c>
      <c r="D191" s="2" t="s">
        <v>70</v>
      </c>
      <c r="E191" s="2" t="s">
        <v>71</v>
      </c>
      <c r="F191" s="2" t="s">
        <v>571</v>
      </c>
      <c r="G191" s="2" t="s">
        <v>329</v>
      </c>
      <c r="H191" s="8" t="n">
        <v>1109.80756572006</v>
      </c>
      <c r="I191" s="2" t="s">
        <v>316</v>
      </c>
      <c r="J191" s="8" t="n">
        <v>2234769.78417266</v>
      </c>
      <c r="K191" s="6" t="n">
        <v>139</v>
      </c>
      <c r="L191" s="2"/>
      <c r="M191" s="10" t="b">
        <f aca="false">TRUE()</f>
        <v>1</v>
      </c>
      <c r="N191" s="9" t="n">
        <f aca="false">IF(H191="","",IF(H191&gt;=Assumptions!$B$5,1,IF(H191&gt;=Assumptions!$B$6,2,IF(H191&gt;=Assumptions!$B$7,3,""))))</f>
        <v>1</v>
      </c>
      <c r="O191" s="9" t="n">
        <f aca="false">IF(N191=1,Assumptions!$B$8,IF(N191=2,Assumptions!$B$9,IF(N191=3,Assumptions!$B$10,0)))</f>
        <v>3</v>
      </c>
      <c r="P191" s="6" t="s">
        <v>30</v>
      </c>
      <c r="Q191" s="6" t="s">
        <v>30</v>
      </c>
      <c r="R191" s="11" t="s">
        <v>30</v>
      </c>
      <c r="S191" s="6" t="s">
        <v>30</v>
      </c>
      <c r="T191" s="11" t="s">
        <v>30</v>
      </c>
      <c r="U191" s="6" t="s">
        <v>30</v>
      </c>
      <c r="V191" s="6" t="s">
        <v>30</v>
      </c>
      <c r="W191" s="6" t="s">
        <v>30</v>
      </c>
      <c r="X191" s="2" t="s">
        <v>30</v>
      </c>
      <c r="Y191" s="6" t="str">
        <f aca="false">IF(AND(X191="processed",ISNUMBER(S191)),S191*O191,"")</f>
        <v/>
      </c>
      <c r="Z191" s="6" t="n">
        <f aca="false">IF(ISNUMBER(K191),K191*O191,0)</f>
        <v>417</v>
      </c>
      <c r="AA191" s="2" t="s">
        <v>31</v>
      </c>
      <c r="AB191" s="6" t="n">
        <v>11164</v>
      </c>
      <c r="AC191" s="6" t="n">
        <v>9080</v>
      </c>
      <c r="AD191" s="6" t="n">
        <v>108</v>
      </c>
      <c r="AE191" s="6" t="n">
        <v>1974.52868652344</v>
      </c>
      <c r="AF191" s="8" t="n">
        <v>1223.754989602</v>
      </c>
      <c r="AG191" s="11" t="n">
        <v>0.05462254803</v>
      </c>
      <c r="AH191" s="12" t="n">
        <v>0.756375182613299</v>
      </c>
      <c r="AI191" s="2" t="s">
        <v>317</v>
      </c>
      <c r="AJ191" s="2" t="s">
        <v>570</v>
      </c>
      <c r="AK191" s="2" t="s">
        <v>570</v>
      </c>
    </row>
    <row r="192" customFormat="false" ht="15" hidden="false" customHeight="false" outlineLevel="0" collapsed="false">
      <c r="A192" s="9" t="n">
        <v>191</v>
      </c>
      <c r="B192" s="2" t="s">
        <v>572</v>
      </c>
      <c r="C192" s="2" t="s">
        <v>573</v>
      </c>
      <c r="D192" s="2" t="s">
        <v>27</v>
      </c>
      <c r="E192" s="2" t="s">
        <v>28</v>
      </c>
      <c r="F192" s="2" t="s">
        <v>574</v>
      </c>
      <c r="G192" s="2" t="s">
        <v>315</v>
      </c>
      <c r="H192" s="8" t="n">
        <v>645.654617052734</v>
      </c>
      <c r="I192" s="2" t="s">
        <v>316</v>
      </c>
      <c r="J192" s="8" t="n">
        <v>933265.700483092</v>
      </c>
      <c r="K192" s="6" t="n">
        <v>207</v>
      </c>
      <c r="L192" s="2"/>
      <c r="M192" s="10" t="b">
        <f aca="false">TRUE()</f>
        <v>1</v>
      </c>
      <c r="N192" s="9" t="n">
        <f aca="false">IF(H192="","",IF(H192&gt;=Assumptions!$B$5,1,IF(H192&gt;=Assumptions!$B$6,2,IF(H192&gt;=Assumptions!$B$7,3,""))))</f>
        <v>2</v>
      </c>
      <c r="O192" s="9" t="n">
        <f aca="false">IF(N192=1,Assumptions!$B$8,IF(N192=2,Assumptions!$B$9,IF(N192=3,Assumptions!$B$10,0)))</f>
        <v>2</v>
      </c>
      <c r="P192" s="6" t="s">
        <v>30</v>
      </c>
      <c r="Q192" s="6" t="s">
        <v>30</v>
      </c>
      <c r="R192" s="11" t="s">
        <v>30</v>
      </c>
      <c r="S192" s="6" t="s">
        <v>30</v>
      </c>
      <c r="T192" s="11" t="s">
        <v>30</v>
      </c>
      <c r="U192" s="6" t="s">
        <v>30</v>
      </c>
      <c r="V192" s="6" t="s">
        <v>30</v>
      </c>
      <c r="W192" s="6" t="s">
        <v>30</v>
      </c>
      <c r="X192" s="2" t="s">
        <v>30</v>
      </c>
      <c r="Y192" s="6" t="str">
        <f aca="false">IF(AND(X192="processed",ISNUMBER(S192)),S192*O192,"")</f>
        <v/>
      </c>
      <c r="Z192" s="6" t="n">
        <f aca="false">IF(ISNUMBER(K192),K192*O192,0)</f>
        <v>414</v>
      </c>
      <c r="AA192" s="2" t="s">
        <v>31</v>
      </c>
      <c r="AB192" s="6" t="n">
        <v>14815</v>
      </c>
      <c r="AC192" s="6" t="n">
        <v>12477</v>
      </c>
      <c r="AD192" s="6" t="n">
        <v>397</v>
      </c>
      <c r="AE192" s="6" t="n">
        <v>2307.583984375</v>
      </c>
      <c r="AF192" s="8" t="n">
        <v>635.414570869</v>
      </c>
      <c r="AG192" s="11" t="n">
        <v>0.01187503652</v>
      </c>
      <c r="AH192" s="12" t="n">
        <v>0.999999999999999</v>
      </c>
      <c r="AI192" s="2" t="s">
        <v>317</v>
      </c>
      <c r="AJ192" s="2" t="s">
        <v>573</v>
      </c>
      <c r="AK192" s="2" t="s">
        <v>573</v>
      </c>
    </row>
    <row r="193" customFormat="false" ht="15" hidden="false" customHeight="false" outlineLevel="0" collapsed="false">
      <c r="A193" s="9" t="n">
        <v>192</v>
      </c>
      <c r="B193" s="2" t="s">
        <v>575</v>
      </c>
      <c r="C193" s="2" t="s">
        <v>368</v>
      </c>
      <c r="D193" s="2" t="s">
        <v>70</v>
      </c>
      <c r="E193" s="2" t="s">
        <v>71</v>
      </c>
      <c r="F193" s="2"/>
      <c r="G193" s="2" t="s">
        <v>329</v>
      </c>
      <c r="H193" s="8" t="n">
        <v>749.67614561821</v>
      </c>
      <c r="I193" s="2" t="s">
        <v>316</v>
      </c>
      <c r="J193" s="8" t="n">
        <v>2125478.26086957</v>
      </c>
      <c r="K193" s="6" t="n">
        <v>138</v>
      </c>
      <c r="L193" s="2"/>
      <c r="M193" s="10" t="b">
        <f aca="false">TRUE()</f>
        <v>1</v>
      </c>
      <c r="N193" s="9" t="n">
        <f aca="false">IF(H193="","",IF(H193&gt;=Assumptions!$B$5,1,IF(H193&gt;=Assumptions!$B$6,2,IF(H193&gt;=Assumptions!$B$7,3,""))))</f>
        <v>1</v>
      </c>
      <c r="O193" s="9" t="n">
        <f aca="false">IF(N193=1,Assumptions!$B$8,IF(N193=2,Assumptions!$B$9,IF(N193=3,Assumptions!$B$10,0)))</f>
        <v>3</v>
      </c>
      <c r="P193" s="6" t="s">
        <v>30</v>
      </c>
      <c r="Q193" s="6" t="s">
        <v>30</v>
      </c>
      <c r="R193" s="11" t="s">
        <v>30</v>
      </c>
      <c r="S193" s="6" t="s">
        <v>30</v>
      </c>
      <c r="T193" s="11" t="s">
        <v>30</v>
      </c>
      <c r="U193" s="6" t="s">
        <v>30</v>
      </c>
      <c r="V193" s="6" t="s">
        <v>30</v>
      </c>
      <c r="W193" s="6" t="s">
        <v>30</v>
      </c>
      <c r="X193" s="2" t="s">
        <v>30</v>
      </c>
      <c r="Y193" s="6" t="str">
        <f aca="false">IF(AND(X193="processed",ISNUMBER(S193)),S193*O193,"")</f>
        <v/>
      </c>
      <c r="Z193" s="6" t="n">
        <f aca="false">IF(ISNUMBER(K193),K193*O193,0)</f>
        <v>414</v>
      </c>
      <c r="AA193" s="2" t="s">
        <v>31</v>
      </c>
      <c r="AB193" s="6" t="n">
        <v>10916</v>
      </c>
      <c r="AC193" s="6" t="n">
        <v>8660</v>
      </c>
      <c r="AD193" s="6" t="n">
        <v>222</v>
      </c>
      <c r="AE193" s="6" t="n">
        <v>2590.53198242188</v>
      </c>
      <c r="AF193" s="8" t="n">
        <v>775.811547674</v>
      </c>
      <c r="AG193" s="11" t="n">
        <v>-0.04980454325</v>
      </c>
      <c r="AH193" s="12" t="n">
        <v>0.999999999999999</v>
      </c>
      <c r="AI193" s="2" t="s">
        <v>317</v>
      </c>
      <c r="AJ193" s="2" t="s">
        <v>368</v>
      </c>
      <c r="AK193" s="2" t="s">
        <v>368</v>
      </c>
    </row>
    <row r="194" customFormat="false" ht="15" hidden="false" customHeight="false" outlineLevel="0" collapsed="false">
      <c r="A194" s="9" t="n">
        <v>193</v>
      </c>
      <c r="B194" s="2" t="s">
        <v>576</v>
      </c>
      <c r="C194" s="2" t="s">
        <v>44</v>
      </c>
      <c r="D194" s="2" t="s">
        <v>44</v>
      </c>
      <c r="E194" s="2" t="s">
        <v>44</v>
      </c>
      <c r="F194" s="2" t="s">
        <v>577</v>
      </c>
      <c r="G194" s="2" t="s">
        <v>322</v>
      </c>
      <c r="H194" s="8" t="n">
        <v>998.145185031826</v>
      </c>
      <c r="I194" s="2" t="s">
        <v>316</v>
      </c>
      <c r="J194" s="8" t="n">
        <v>1137905.79710145</v>
      </c>
      <c r="K194" s="6" t="n">
        <v>138</v>
      </c>
      <c r="L194" s="2"/>
      <c r="M194" s="10" t="b">
        <f aca="false">TRUE()</f>
        <v>1</v>
      </c>
      <c r="N194" s="9" t="n">
        <f aca="false">IF(H194="","",IF(H194&gt;=Assumptions!$B$5,1,IF(H194&gt;=Assumptions!$B$6,2,IF(H194&gt;=Assumptions!$B$7,3,""))))</f>
        <v>1</v>
      </c>
      <c r="O194" s="9" t="n">
        <f aca="false">IF(N194=1,Assumptions!$B$8,IF(N194=2,Assumptions!$B$9,IF(N194=3,Assumptions!$B$10,0)))</f>
        <v>3</v>
      </c>
      <c r="P194" s="6" t="s">
        <v>30</v>
      </c>
      <c r="Q194" s="6" t="s">
        <v>30</v>
      </c>
      <c r="R194" s="11" t="s">
        <v>30</v>
      </c>
      <c r="S194" s="6" t="s">
        <v>30</v>
      </c>
      <c r="T194" s="11" t="s">
        <v>30</v>
      </c>
      <c r="U194" s="6" t="s">
        <v>30</v>
      </c>
      <c r="V194" s="6" t="s">
        <v>30</v>
      </c>
      <c r="W194" s="6" t="s">
        <v>30</v>
      </c>
      <c r="X194" s="2" t="s">
        <v>30</v>
      </c>
      <c r="Y194" s="6" t="str">
        <f aca="false">IF(AND(X194="processed",ISNUMBER(S194)),S194*O194,"")</f>
        <v/>
      </c>
      <c r="Z194" s="6" t="n">
        <f aca="false">IF(ISNUMBER(K194),K194*O194,0)</f>
        <v>414</v>
      </c>
      <c r="AA194" s="2" t="s">
        <v>31</v>
      </c>
      <c r="AB194" s="6" t="n">
        <v>12635</v>
      </c>
      <c r="AC194" s="6" t="n">
        <v>10453</v>
      </c>
      <c r="AD194" s="6" t="n">
        <v>2793</v>
      </c>
      <c r="AE194" s="6" t="n">
        <v>1529.92138671875</v>
      </c>
      <c r="AF194" s="8" t="n">
        <v>1000</v>
      </c>
      <c r="AG194" s="11" t="n">
        <v>-0.05329254548</v>
      </c>
      <c r="AH194" s="12" t="n">
        <v>1</v>
      </c>
      <c r="AI194" s="2" t="s">
        <v>317</v>
      </c>
      <c r="AJ194" s="2" t="s">
        <v>44</v>
      </c>
      <c r="AK194" s="2" t="s">
        <v>44</v>
      </c>
    </row>
    <row r="195" customFormat="false" ht="15" hidden="false" customHeight="false" outlineLevel="0" collapsed="false">
      <c r="A195" s="9" t="n">
        <v>194</v>
      </c>
      <c r="B195" s="2" t="s">
        <v>578</v>
      </c>
      <c r="C195" s="2" t="s">
        <v>39</v>
      </c>
      <c r="D195" s="2" t="s">
        <v>39</v>
      </c>
      <c r="E195" s="2" t="s">
        <v>40</v>
      </c>
      <c r="F195" s="2"/>
      <c r="G195" s="2" t="s">
        <v>320</v>
      </c>
      <c r="H195" s="8" t="n">
        <v>1295.61565998351</v>
      </c>
      <c r="I195" s="2" t="s">
        <v>316</v>
      </c>
      <c r="J195" s="8" t="n">
        <v>1833913.04347826</v>
      </c>
      <c r="K195" s="6" t="n">
        <v>138</v>
      </c>
      <c r="L195" s="2"/>
      <c r="M195" s="10" t="b">
        <f aca="false">TRUE()</f>
        <v>1</v>
      </c>
      <c r="N195" s="9" t="n">
        <f aca="false">IF(H195="","",IF(H195&gt;=Assumptions!$B$5,1,IF(H195&gt;=Assumptions!$B$6,2,IF(H195&gt;=Assumptions!$B$7,3,""))))</f>
        <v>1</v>
      </c>
      <c r="O195" s="9" t="n">
        <f aca="false">IF(N195=1,Assumptions!$B$8,IF(N195=2,Assumptions!$B$9,IF(N195=3,Assumptions!$B$10,0)))</f>
        <v>3</v>
      </c>
      <c r="P195" s="6" t="s">
        <v>30</v>
      </c>
      <c r="Q195" s="6" t="s">
        <v>30</v>
      </c>
      <c r="R195" s="11" t="s">
        <v>30</v>
      </c>
      <c r="S195" s="6" t="s">
        <v>30</v>
      </c>
      <c r="T195" s="11" t="s">
        <v>30</v>
      </c>
      <c r="U195" s="6" t="s">
        <v>30</v>
      </c>
      <c r="V195" s="6" t="s">
        <v>30</v>
      </c>
      <c r="W195" s="6" t="s">
        <v>30</v>
      </c>
      <c r="X195" s="2" t="s">
        <v>30</v>
      </c>
      <c r="Y195" s="6" t="str">
        <f aca="false">IF(AND(X195="processed",ISNUMBER(S195)),S195*O195,"")</f>
        <v/>
      </c>
      <c r="Z195" s="6" t="n">
        <f aca="false">IF(ISNUMBER(K195),K195*O195,0)</f>
        <v>414</v>
      </c>
      <c r="AA195" s="2" t="s">
        <v>31</v>
      </c>
      <c r="AB195" s="6" t="n">
        <v>14049</v>
      </c>
      <c r="AC195" s="6" t="n">
        <v>8984</v>
      </c>
      <c r="AD195" s="6" t="n">
        <v>248</v>
      </c>
      <c r="AE195" s="6" t="n">
        <v>1995.10302734375</v>
      </c>
      <c r="AF195" s="8" t="n">
        <v>1308.717792318</v>
      </c>
      <c r="AG195" s="11" t="n">
        <v>-0.01179676489</v>
      </c>
      <c r="AH195" s="12" t="n">
        <v>1</v>
      </c>
      <c r="AI195" s="2" t="s">
        <v>317</v>
      </c>
      <c r="AJ195" s="2" t="s">
        <v>39</v>
      </c>
      <c r="AK195" s="2" t="s">
        <v>39</v>
      </c>
    </row>
    <row r="196" customFormat="false" ht="15" hidden="false" customHeight="false" outlineLevel="0" collapsed="false">
      <c r="A196" s="9" t="n">
        <v>195</v>
      </c>
      <c r="B196" s="2" t="s">
        <v>579</v>
      </c>
      <c r="C196" s="2" t="s">
        <v>570</v>
      </c>
      <c r="D196" s="2" t="s">
        <v>70</v>
      </c>
      <c r="E196" s="2" t="s">
        <v>71</v>
      </c>
      <c r="F196" s="2" t="s">
        <v>580</v>
      </c>
      <c r="G196" s="2" t="s">
        <v>329</v>
      </c>
      <c r="H196" s="8" t="n">
        <v>962.225526409533</v>
      </c>
      <c r="I196" s="2" t="s">
        <v>316</v>
      </c>
      <c r="J196" s="8" t="n">
        <v>1535233.57664234</v>
      </c>
      <c r="K196" s="6" t="n">
        <v>137</v>
      </c>
      <c r="L196" s="2"/>
      <c r="M196" s="10" t="b">
        <f aca="false">TRUE()</f>
        <v>1</v>
      </c>
      <c r="N196" s="9" t="n">
        <f aca="false">IF(H196="","",IF(H196&gt;=Assumptions!$B$5,1,IF(H196&gt;=Assumptions!$B$6,2,IF(H196&gt;=Assumptions!$B$7,3,""))))</f>
        <v>1</v>
      </c>
      <c r="O196" s="9" t="n">
        <f aca="false">IF(N196=1,Assumptions!$B$8,IF(N196=2,Assumptions!$B$9,IF(N196=3,Assumptions!$B$10,0)))</f>
        <v>3</v>
      </c>
      <c r="P196" s="6" t="s">
        <v>30</v>
      </c>
      <c r="Q196" s="6" t="s">
        <v>30</v>
      </c>
      <c r="R196" s="11" t="s">
        <v>30</v>
      </c>
      <c r="S196" s="6" t="s">
        <v>30</v>
      </c>
      <c r="T196" s="11" t="s">
        <v>30</v>
      </c>
      <c r="U196" s="6" t="s">
        <v>30</v>
      </c>
      <c r="V196" s="6" t="s">
        <v>30</v>
      </c>
      <c r="W196" s="6" t="s">
        <v>30</v>
      </c>
      <c r="X196" s="2" t="s">
        <v>30</v>
      </c>
      <c r="Y196" s="6" t="str">
        <f aca="false">IF(AND(X196="processed",ISNUMBER(S196)),S196*O196,"")</f>
        <v/>
      </c>
      <c r="Z196" s="6" t="n">
        <f aca="false">IF(ISNUMBER(K196),K196*O196,0)</f>
        <v>411</v>
      </c>
      <c r="AA196" s="2" t="s">
        <v>31</v>
      </c>
      <c r="AB196" s="6" t="n">
        <v>13107</v>
      </c>
      <c r="AC196" s="6" t="n">
        <v>11234</v>
      </c>
      <c r="AD196" s="6" t="n">
        <v>103</v>
      </c>
      <c r="AE196" s="6" t="n">
        <v>1751.69555664063</v>
      </c>
      <c r="AF196" s="8" t="n">
        <v>942.117377423</v>
      </c>
      <c r="AG196" s="11" t="n">
        <v>0.008606834342</v>
      </c>
      <c r="AH196" s="12" t="n">
        <v>1</v>
      </c>
      <c r="AI196" s="2" t="s">
        <v>317</v>
      </c>
      <c r="AJ196" s="2" t="s">
        <v>570</v>
      </c>
      <c r="AK196" s="2" t="s">
        <v>570</v>
      </c>
    </row>
    <row r="197" customFormat="false" ht="15" hidden="false" customHeight="false" outlineLevel="0" collapsed="false">
      <c r="A197" s="9" t="n">
        <v>196</v>
      </c>
      <c r="B197" s="2" t="s">
        <v>581</v>
      </c>
      <c r="C197" s="2" t="s">
        <v>273</v>
      </c>
      <c r="D197" s="2" t="s">
        <v>273</v>
      </c>
      <c r="E197" s="2" t="s">
        <v>273</v>
      </c>
      <c r="F197" s="2"/>
      <c r="G197" s="2" t="s">
        <v>348</v>
      </c>
      <c r="H197" s="8" t="n">
        <v>797.698389954438</v>
      </c>
      <c r="I197" s="2" t="s">
        <v>316</v>
      </c>
      <c r="J197" s="8" t="n">
        <v>1137788.32116788</v>
      </c>
      <c r="K197" s="6" t="n">
        <v>137</v>
      </c>
      <c r="L197" s="2"/>
      <c r="M197" s="10" t="b">
        <f aca="false">TRUE()</f>
        <v>1</v>
      </c>
      <c r="N197" s="9" t="n">
        <f aca="false">IF(H197="","",IF(H197&gt;=Assumptions!$B$5,1,IF(H197&gt;=Assumptions!$B$6,2,IF(H197&gt;=Assumptions!$B$7,3,""))))</f>
        <v>1</v>
      </c>
      <c r="O197" s="9" t="n">
        <f aca="false">IF(N197=1,Assumptions!$B$8,IF(N197=2,Assumptions!$B$9,IF(N197=3,Assumptions!$B$10,0)))</f>
        <v>3</v>
      </c>
      <c r="P197" s="6" t="s">
        <v>30</v>
      </c>
      <c r="Q197" s="6" t="s">
        <v>30</v>
      </c>
      <c r="R197" s="11" t="s">
        <v>30</v>
      </c>
      <c r="S197" s="6" t="s">
        <v>30</v>
      </c>
      <c r="T197" s="11" t="s">
        <v>30</v>
      </c>
      <c r="U197" s="6" t="s">
        <v>30</v>
      </c>
      <c r="V197" s="6" t="s">
        <v>30</v>
      </c>
      <c r="W197" s="6" t="s">
        <v>30</v>
      </c>
      <c r="X197" s="2" t="s">
        <v>30</v>
      </c>
      <c r="Y197" s="6" t="str">
        <f aca="false">IF(AND(X197="processed",ISNUMBER(S197)),S197*O197,"")</f>
        <v/>
      </c>
      <c r="Z197" s="6" t="n">
        <f aca="false">IF(ISNUMBER(K197),K197*O197,0)</f>
        <v>411</v>
      </c>
      <c r="AA197" s="2" t="s">
        <v>31</v>
      </c>
      <c r="AB197" s="6" t="n">
        <v>13863</v>
      </c>
      <c r="AC197" s="6" t="n">
        <v>11313</v>
      </c>
      <c r="AD197" s="6" t="n">
        <v>6483</v>
      </c>
      <c r="AE197" s="6" t="n">
        <v>1665.51000976563</v>
      </c>
      <c r="AF197" s="8" t="n">
        <v>870.500533835</v>
      </c>
      <c r="AG197" s="11" t="n">
        <v>0.06978220218</v>
      </c>
      <c r="AH197" s="12" t="n">
        <v>0.421781632376248</v>
      </c>
      <c r="AI197" s="2" t="s">
        <v>582</v>
      </c>
      <c r="AJ197" s="2" t="s">
        <v>273</v>
      </c>
      <c r="AK197" s="2" t="s">
        <v>273</v>
      </c>
    </row>
    <row r="198" customFormat="false" ht="15" hidden="false" customHeight="false" outlineLevel="0" collapsed="false">
      <c r="A198" s="9" t="n">
        <v>197</v>
      </c>
      <c r="B198" s="2" t="s">
        <v>583</v>
      </c>
      <c r="C198" s="2" t="s">
        <v>81</v>
      </c>
      <c r="D198" s="2" t="s">
        <v>34</v>
      </c>
      <c r="E198" s="2" t="s">
        <v>35</v>
      </c>
      <c r="F198" s="2"/>
      <c r="G198" s="2" t="s">
        <v>318</v>
      </c>
      <c r="H198" s="8" t="n">
        <v>1042.08750945953</v>
      </c>
      <c r="I198" s="2" t="s">
        <v>316</v>
      </c>
      <c r="J198" s="8" t="n">
        <v>1757445.25547445</v>
      </c>
      <c r="K198" s="6" t="n">
        <v>137</v>
      </c>
      <c r="L198" s="2"/>
      <c r="M198" s="10" t="b">
        <f aca="false">TRUE()</f>
        <v>1</v>
      </c>
      <c r="N198" s="9" t="n">
        <f aca="false">IF(H198="","",IF(H198&gt;=Assumptions!$B$5,1,IF(H198&gt;=Assumptions!$B$6,2,IF(H198&gt;=Assumptions!$B$7,3,""))))</f>
        <v>1</v>
      </c>
      <c r="O198" s="9" t="n">
        <f aca="false">IF(N198=1,Assumptions!$B$8,IF(N198=2,Assumptions!$B$9,IF(N198=3,Assumptions!$B$10,0)))</f>
        <v>3</v>
      </c>
      <c r="P198" s="6" t="s">
        <v>30</v>
      </c>
      <c r="Q198" s="6" t="s">
        <v>30</v>
      </c>
      <c r="R198" s="11" t="s">
        <v>30</v>
      </c>
      <c r="S198" s="6" t="s">
        <v>30</v>
      </c>
      <c r="T198" s="11" t="s">
        <v>30</v>
      </c>
      <c r="U198" s="6" t="s">
        <v>30</v>
      </c>
      <c r="V198" s="6" t="s">
        <v>30</v>
      </c>
      <c r="W198" s="6" t="s">
        <v>30</v>
      </c>
      <c r="X198" s="2" t="s">
        <v>30</v>
      </c>
      <c r="Y198" s="6" t="str">
        <f aca="false">IF(AND(X198="processed",ISNUMBER(S198)),S198*O198,"")</f>
        <v/>
      </c>
      <c r="Z198" s="6" t="n">
        <f aca="false">IF(ISNUMBER(K198),K198*O198,0)</f>
        <v>411</v>
      </c>
      <c r="AA198" s="2" t="s">
        <v>31</v>
      </c>
      <c r="AB198" s="6" t="n">
        <v>9927</v>
      </c>
      <c r="AC198" s="6" t="n">
        <v>8965</v>
      </c>
      <c r="AD198" s="6" t="n">
        <v>44</v>
      </c>
      <c r="AE198" s="6" t="n">
        <v>2186.24829101563</v>
      </c>
      <c r="AF198" s="8" t="n">
        <v>1105.232216343</v>
      </c>
      <c r="AG198" s="11" t="n">
        <v>-0.01548035003</v>
      </c>
      <c r="AH198" s="12" t="n">
        <v>0.891545354464753</v>
      </c>
      <c r="AI198" s="2" t="s">
        <v>319</v>
      </c>
      <c r="AJ198" s="2"/>
      <c r="AK198" s="2" t="s">
        <v>81</v>
      </c>
    </row>
    <row r="199" customFormat="false" ht="15" hidden="false" customHeight="false" outlineLevel="0" collapsed="false">
      <c r="A199" s="9" t="n">
        <v>198</v>
      </c>
      <c r="B199" s="2" t="s">
        <v>584</v>
      </c>
      <c r="C199" s="2" t="s">
        <v>585</v>
      </c>
      <c r="D199" s="2" t="s">
        <v>27</v>
      </c>
      <c r="E199" s="2" t="s">
        <v>28</v>
      </c>
      <c r="F199" s="2" t="s">
        <v>586</v>
      </c>
      <c r="G199" s="2" t="s">
        <v>315</v>
      </c>
      <c r="H199" s="8" t="n">
        <v>650.741391023146</v>
      </c>
      <c r="I199" s="2" t="s">
        <v>316</v>
      </c>
      <c r="J199" s="8" t="n">
        <v>964365.853658537</v>
      </c>
      <c r="K199" s="6" t="n">
        <v>205</v>
      </c>
      <c r="L199" s="2"/>
      <c r="M199" s="10" t="b">
        <f aca="false">TRUE()</f>
        <v>1</v>
      </c>
      <c r="N199" s="9" t="n">
        <f aca="false">IF(H199="","",IF(H199&gt;=Assumptions!$B$5,1,IF(H199&gt;=Assumptions!$B$6,2,IF(H199&gt;=Assumptions!$B$7,3,""))))</f>
        <v>2</v>
      </c>
      <c r="O199" s="9" t="n">
        <f aca="false">IF(N199=1,Assumptions!$B$8,IF(N199=2,Assumptions!$B$9,IF(N199=3,Assumptions!$B$10,0)))</f>
        <v>2</v>
      </c>
      <c r="P199" s="6" t="s">
        <v>30</v>
      </c>
      <c r="Q199" s="6" t="s">
        <v>30</v>
      </c>
      <c r="R199" s="11" t="s">
        <v>30</v>
      </c>
      <c r="S199" s="6" t="s">
        <v>30</v>
      </c>
      <c r="T199" s="11" t="s">
        <v>30</v>
      </c>
      <c r="U199" s="6" t="s">
        <v>30</v>
      </c>
      <c r="V199" s="6" t="s">
        <v>30</v>
      </c>
      <c r="W199" s="6" t="s">
        <v>30</v>
      </c>
      <c r="X199" s="2" t="s">
        <v>30</v>
      </c>
      <c r="Y199" s="6" t="str">
        <f aca="false">IF(AND(X199="processed",ISNUMBER(S199)),S199*O199,"")</f>
        <v/>
      </c>
      <c r="Z199" s="6" t="n">
        <f aca="false">IF(ISNUMBER(K199),K199*O199,0)</f>
        <v>410</v>
      </c>
      <c r="AA199" s="2" t="s">
        <v>31</v>
      </c>
      <c r="AB199" s="6" t="n">
        <v>16634</v>
      </c>
      <c r="AC199" s="6" t="n">
        <v>14688</v>
      </c>
      <c r="AD199" s="6" t="n">
        <v>410</v>
      </c>
      <c r="AE199" s="6" t="n">
        <v>2502.58642578125</v>
      </c>
      <c r="AF199" s="8" t="n">
        <v>674.418604651</v>
      </c>
      <c r="AG199" s="11" t="n">
        <v>0.06811046512</v>
      </c>
      <c r="AH199" s="12" t="n">
        <v>0.999999999999999</v>
      </c>
      <c r="AI199" s="2" t="s">
        <v>325</v>
      </c>
      <c r="AJ199" s="2" t="s">
        <v>587</v>
      </c>
      <c r="AK199" s="2" t="s">
        <v>585</v>
      </c>
    </row>
    <row r="200" customFormat="false" ht="15" hidden="false" customHeight="false" outlineLevel="0" collapsed="false">
      <c r="A200" s="9" t="n">
        <v>199</v>
      </c>
      <c r="B200" s="2" t="s">
        <v>588</v>
      </c>
      <c r="C200" s="2" t="s">
        <v>589</v>
      </c>
      <c r="D200" s="2" t="s">
        <v>27</v>
      </c>
      <c r="E200" s="2" t="s">
        <v>28</v>
      </c>
      <c r="F200" s="2"/>
      <c r="G200" s="2" t="s">
        <v>315</v>
      </c>
      <c r="H200" s="8" t="n">
        <v>779.937211613515</v>
      </c>
      <c r="I200" s="2" t="s">
        <v>316</v>
      </c>
      <c r="J200" s="8" t="n">
        <v>1617691.17647059</v>
      </c>
      <c r="K200" s="6" t="n">
        <v>136</v>
      </c>
      <c r="L200" s="2"/>
      <c r="M200" s="10" t="b">
        <f aca="false">TRUE()</f>
        <v>1</v>
      </c>
      <c r="N200" s="9" t="n">
        <f aca="false">IF(H200="","",IF(H200&gt;=Assumptions!$B$5,1,IF(H200&gt;=Assumptions!$B$6,2,IF(H200&gt;=Assumptions!$B$7,3,""))))</f>
        <v>1</v>
      </c>
      <c r="O200" s="9" t="n">
        <f aca="false">IF(N200=1,Assumptions!$B$8,IF(N200=2,Assumptions!$B$9,IF(N200=3,Assumptions!$B$10,0)))</f>
        <v>3</v>
      </c>
      <c r="P200" s="6" t="s">
        <v>30</v>
      </c>
      <c r="Q200" s="6" t="s">
        <v>30</v>
      </c>
      <c r="R200" s="11" t="s">
        <v>30</v>
      </c>
      <c r="S200" s="6" t="s">
        <v>30</v>
      </c>
      <c r="T200" s="11" t="s">
        <v>30</v>
      </c>
      <c r="U200" s="6" t="s">
        <v>30</v>
      </c>
      <c r="V200" s="6" t="s">
        <v>30</v>
      </c>
      <c r="W200" s="6" t="s">
        <v>30</v>
      </c>
      <c r="X200" s="2" t="s">
        <v>30</v>
      </c>
      <c r="Y200" s="6" t="str">
        <f aca="false">IF(AND(X200="processed",ISNUMBER(S200)),S200*O200,"")</f>
        <v/>
      </c>
      <c r="Z200" s="6" t="n">
        <f aca="false">IF(ISNUMBER(K200),K200*O200,0)</f>
        <v>408</v>
      </c>
      <c r="AA200" s="2" t="s">
        <v>31</v>
      </c>
      <c r="AB200" s="6" t="n">
        <v>8633</v>
      </c>
      <c r="AC200" s="6" t="n">
        <v>7273</v>
      </c>
      <c r="AD200" s="6" t="n">
        <v>703</v>
      </c>
      <c r="AE200" s="6" t="n">
        <v>2734.11840820313</v>
      </c>
      <c r="AF200" s="8" t="n">
        <v>841.42394822</v>
      </c>
      <c r="AG200" s="11" t="n">
        <v>0.05907227616</v>
      </c>
      <c r="AH200" s="12" t="n">
        <v>0.99889842428979</v>
      </c>
      <c r="AI200" s="2" t="s">
        <v>590</v>
      </c>
      <c r="AJ200" s="2" t="s">
        <v>591</v>
      </c>
      <c r="AK200" s="2" t="s">
        <v>589</v>
      </c>
    </row>
    <row r="201" customFormat="false" ht="15" hidden="false" customHeight="false" outlineLevel="0" collapsed="false">
      <c r="A201" s="9" t="n">
        <v>200</v>
      </c>
      <c r="B201" s="2" t="s">
        <v>592</v>
      </c>
      <c r="C201" s="2" t="s">
        <v>38</v>
      </c>
      <c r="D201" s="2" t="s">
        <v>39</v>
      </c>
      <c r="E201" s="2" t="s">
        <v>40</v>
      </c>
      <c r="F201" s="2" t="s">
        <v>593</v>
      </c>
      <c r="G201" s="2" t="s">
        <v>320</v>
      </c>
      <c r="H201" s="8" t="n">
        <v>780.913918889081</v>
      </c>
      <c r="I201" s="2" t="s">
        <v>316</v>
      </c>
      <c r="J201" s="8" t="n">
        <v>1128327.20588235</v>
      </c>
      <c r="K201" s="6" t="n">
        <v>136</v>
      </c>
      <c r="L201" s="2"/>
      <c r="M201" s="10" t="b">
        <f aca="false">TRUE()</f>
        <v>1</v>
      </c>
      <c r="N201" s="9" t="n">
        <f aca="false">IF(H201="","",IF(H201&gt;=Assumptions!$B$5,1,IF(H201&gt;=Assumptions!$B$6,2,IF(H201&gt;=Assumptions!$B$7,3,""))))</f>
        <v>1</v>
      </c>
      <c r="O201" s="9" t="n">
        <f aca="false">IF(N201=1,Assumptions!$B$8,IF(N201=2,Assumptions!$B$9,IF(N201=3,Assumptions!$B$10,0)))</f>
        <v>3</v>
      </c>
      <c r="P201" s="6" t="s">
        <v>30</v>
      </c>
      <c r="Q201" s="6" t="s">
        <v>30</v>
      </c>
      <c r="R201" s="11" t="s">
        <v>30</v>
      </c>
      <c r="S201" s="6" t="s">
        <v>30</v>
      </c>
      <c r="T201" s="11" t="s">
        <v>30</v>
      </c>
      <c r="U201" s="6" t="s">
        <v>30</v>
      </c>
      <c r="V201" s="6" t="s">
        <v>30</v>
      </c>
      <c r="W201" s="6" t="s">
        <v>30</v>
      </c>
      <c r="X201" s="2" t="s">
        <v>30</v>
      </c>
      <c r="Y201" s="6" t="str">
        <f aca="false">IF(AND(X201="processed",ISNUMBER(S201)),S201*O201,"")</f>
        <v/>
      </c>
      <c r="Z201" s="6" t="n">
        <f aca="false">IF(ISNUMBER(K201),K201*O201,0)</f>
        <v>408</v>
      </c>
      <c r="AA201" s="2" t="s">
        <v>31</v>
      </c>
      <c r="AB201" s="6" t="n">
        <v>16164</v>
      </c>
      <c r="AC201" s="6" t="n">
        <v>11590</v>
      </c>
      <c r="AD201" s="6" t="n">
        <v>312</v>
      </c>
      <c r="AE201" s="6" t="n">
        <v>2152.7080078125</v>
      </c>
      <c r="AF201" s="8" t="n">
        <v>797.999047165</v>
      </c>
      <c r="AG201" s="11" t="n">
        <v>-0.1055565264</v>
      </c>
      <c r="AH201" s="12" t="n">
        <v>1</v>
      </c>
      <c r="AI201" s="2" t="s">
        <v>317</v>
      </c>
      <c r="AJ201" s="2" t="s">
        <v>38</v>
      </c>
      <c r="AK201" s="2" t="s">
        <v>38</v>
      </c>
    </row>
    <row r="202" customFormat="false" ht="15" hidden="false" customHeight="false" outlineLevel="0" collapsed="false">
      <c r="A202" s="9" t="n">
        <v>201</v>
      </c>
      <c r="B202" s="2" t="s">
        <v>594</v>
      </c>
      <c r="C202" s="2" t="s">
        <v>595</v>
      </c>
      <c r="D202" s="2" t="s">
        <v>595</v>
      </c>
      <c r="E202" s="2" t="s">
        <v>51</v>
      </c>
      <c r="F202" s="2" t="s">
        <v>596</v>
      </c>
      <c r="G202" s="2" t="s">
        <v>597</v>
      </c>
      <c r="H202" s="8" t="n">
        <v>654.37124545965</v>
      </c>
      <c r="I202" s="2" t="s">
        <v>316</v>
      </c>
      <c r="J202" s="8" t="n">
        <v>1225275.86206897</v>
      </c>
      <c r="K202" s="6" t="n">
        <v>203</v>
      </c>
      <c r="L202" s="2"/>
      <c r="M202" s="10" t="b">
        <f aca="false">TRUE()</f>
        <v>1</v>
      </c>
      <c r="N202" s="9" t="n">
        <f aca="false">IF(H202="","",IF(H202&gt;=Assumptions!$B$5,1,IF(H202&gt;=Assumptions!$B$6,2,IF(H202&gt;=Assumptions!$B$7,3,""))))</f>
        <v>2</v>
      </c>
      <c r="O202" s="9" t="n">
        <f aca="false">IF(N202=1,Assumptions!$B$8,IF(N202=2,Assumptions!$B$9,IF(N202=3,Assumptions!$B$10,0)))</f>
        <v>2</v>
      </c>
      <c r="P202" s="6" t="s">
        <v>30</v>
      </c>
      <c r="Q202" s="6" t="s">
        <v>30</v>
      </c>
      <c r="R202" s="11" t="s">
        <v>30</v>
      </c>
      <c r="S202" s="6" t="s">
        <v>30</v>
      </c>
      <c r="T202" s="11" t="s">
        <v>30</v>
      </c>
      <c r="U202" s="6" t="s">
        <v>30</v>
      </c>
      <c r="V202" s="6" t="s">
        <v>30</v>
      </c>
      <c r="W202" s="6" t="s">
        <v>30</v>
      </c>
      <c r="X202" s="2" t="s">
        <v>30</v>
      </c>
      <c r="Y202" s="6" t="str">
        <f aca="false">IF(AND(X202="processed",ISNUMBER(S202)),S202*O202,"")</f>
        <v/>
      </c>
      <c r="Z202" s="6" t="n">
        <f aca="false">IF(ISNUMBER(K202),K202*O202,0)</f>
        <v>406</v>
      </c>
      <c r="AA202" s="2" t="s">
        <v>31</v>
      </c>
      <c r="AB202" s="6" t="n">
        <v>16928</v>
      </c>
      <c r="AC202" s="6" t="n">
        <v>13115</v>
      </c>
      <c r="AD202" s="6" t="n">
        <v>369</v>
      </c>
      <c r="AE202" s="6" t="n">
        <v>1944.93762207031</v>
      </c>
      <c r="AF202" s="8" t="n">
        <v>653.421945701</v>
      </c>
      <c r="AG202" s="11" t="n">
        <v>-0.04388434048</v>
      </c>
      <c r="AH202" s="12" t="n">
        <v>0.999999999999999</v>
      </c>
      <c r="AI202" s="2" t="s">
        <v>317</v>
      </c>
      <c r="AJ202" s="2" t="s">
        <v>595</v>
      </c>
      <c r="AK202" s="2" t="s">
        <v>595</v>
      </c>
    </row>
    <row r="203" customFormat="false" ht="15" hidden="false" customHeight="false" outlineLevel="0" collapsed="false">
      <c r="A203" s="9" t="n">
        <v>202</v>
      </c>
      <c r="B203" s="2" t="s">
        <v>598</v>
      </c>
      <c r="C203" s="2" t="s">
        <v>263</v>
      </c>
      <c r="D203" s="2" t="s">
        <v>27</v>
      </c>
      <c r="E203" s="2" t="s">
        <v>28</v>
      </c>
      <c r="F203" s="2" t="s">
        <v>599</v>
      </c>
      <c r="G203" s="2" t="s">
        <v>315</v>
      </c>
      <c r="H203" s="8" t="n">
        <v>950.246809521163</v>
      </c>
      <c r="I203" s="2" t="s">
        <v>316</v>
      </c>
      <c r="J203" s="8" t="n">
        <v>2752577.77777778</v>
      </c>
      <c r="K203" s="6" t="n">
        <v>135</v>
      </c>
      <c r="L203" s="2"/>
      <c r="M203" s="10" t="b">
        <f aca="false">TRUE()</f>
        <v>1</v>
      </c>
      <c r="N203" s="9" t="n">
        <f aca="false">IF(H203="","",IF(H203&gt;=Assumptions!$B$5,1,IF(H203&gt;=Assumptions!$B$6,2,IF(H203&gt;=Assumptions!$B$7,3,""))))</f>
        <v>1</v>
      </c>
      <c r="O203" s="9" t="n">
        <f aca="false">IF(N203=1,Assumptions!$B$8,IF(N203=2,Assumptions!$B$9,IF(N203=3,Assumptions!$B$10,0)))</f>
        <v>3</v>
      </c>
      <c r="P203" s="6" t="s">
        <v>30</v>
      </c>
      <c r="Q203" s="6" t="s">
        <v>30</v>
      </c>
      <c r="R203" s="11" t="s">
        <v>30</v>
      </c>
      <c r="S203" s="6" t="s">
        <v>30</v>
      </c>
      <c r="T203" s="11" t="s">
        <v>30</v>
      </c>
      <c r="U203" s="6" t="s">
        <v>30</v>
      </c>
      <c r="V203" s="6" t="s">
        <v>30</v>
      </c>
      <c r="W203" s="6" t="s">
        <v>30</v>
      </c>
      <c r="X203" s="2" t="s">
        <v>30</v>
      </c>
      <c r="Y203" s="6" t="str">
        <f aca="false">IF(AND(X203="processed",ISNUMBER(S203)),S203*O203,"")</f>
        <v/>
      </c>
      <c r="Z203" s="6" t="n">
        <f aca="false">IF(ISNUMBER(K203),K203*O203,0)</f>
        <v>405</v>
      </c>
      <c r="AA203" s="2" t="s">
        <v>31</v>
      </c>
      <c r="AB203" s="6" t="n">
        <v>6578</v>
      </c>
      <c r="AC203" s="6" t="n">
        <v>6179</v>
      </c>
      <c r="AD203" s="6" t="n">
        <v>78</v>
      </c>
      <c r="AE203" s="6" t="n">
        <v>2107.484375</v>
      </c>
      <c r="AF203" s="8" t="n">
        <v>893.776321947</v>
      </c>
      <c r="AG203" s="11" t="n">
        <v>-0.0647498847</v>
      </c>
      <c r="AH203" s="12" t="n">
        <v>1</v>
      </c>
      <c r="AI203" s="2" t="s">
        <v>317</v>
      </c>
      <c r="AJ203" s="2" t="s">
        <v>263</v>
      </c>
      <c r="AK203" s="2" t="s">
        <v>263</v>
      </c>
    </row>
    <row r="204" customFormat="false" ht="15" hidden="false" customHeight="false" outlineLevel="0" collapsed="false">
      <c r="A204" s="9" t="n">
        <v>203</v>
      </c>
      <c r="B204" s="2" t="s">
        <v>600</v>
      </c>
      <c r="C204" s="2" t="s">
        <v>471</v>
      </c>
      <c r="D204" s="2" t="s">
        <v>39</v>
      </c>
      <c r="E204" s="2" t="s">
        <v>40</v>
      </c>
      <c r="F204" s="2"/>
      <c r="G204" s="2" t="s">
        <v>320</v>
      </c>
      <c r="H204" s="8" t="n">
        <v>1505.73437115951</v>
      </c>
      <c r="I204" s="2" t="s">
        <v>316</v>
      </c>
      <c r="J204" s="8" t="n">
        <v>3795000</v>
      </c>
      <c r="K204" s="6" t="n">
        <v>135</v>
      </c>
      <c r="L204" s="2"/>
      <c r="M204" s="10" t="b">
        <f aca="false">TRUE()</f>
        <v>1</v>
      </c>
      <c r="N204" s="9" t="n">
        <f aca="false">IF(H204="","",IF(H204&gt;=Assumptions!$B$5,1,IF(H204&gt;=Assumptions!$B$6,2,IF(H204&gt;=Assumptions!$B$7,3,""))))</f>
        <v>1</v>
      </c>
      <c r="O204" s="9" t="n">
        <f aca="false">IF(N204=1,Assumptions!$B$8,IF(N204=2,Assumptions!$B$9,IF(N204=3,Assumptions!$B$10,0)))</f>
        <v>3</v>
      </c>
      <c r="P204" s="6" t="s">
        <v>30</v>
      </c>
      <c r="Q204" s="6" t="s">
        <v>30</v>
      </c>
      <c r="R204" s="11" t="s">
        <v>30</v>
      </c>
      <c r="S204" s="6" t="s">
        <v>30</v>
      </c>
      <c r="T204" s="11" t="s">
        <v>30</v>
      </c>
      <c r="U204" s="6" t="s">
        <v>30</v>
      </c>
      <c r="V204" s="6" t="s">
        <v>30</v>
      </c>
      <c r="W204" s="6" t="s">
        <v>30</v>
      </c>
      <c r="X204" s="2" t="s">
        <v>30</v>
      </c>
      <c r="Y204" s="6" t="str">
        <f aca="false">IF(AND(X204="processed",ISNUMBER(S204)),S204*O204,"")</f>
        <v/>
      </c>
      <c r="Z204" s="6" t="n">
        <f aca="false">IF(ISNUMBER(K204),K204*O204,0)</f>
        <v>405</v>
      </c>
      <c r="AA204" s="2" t="s">
        <v>31</v>
      </c>
      <c r="AB204" s="6" t="n">
        <v>6381</v>
      </c>
      <c r="AC204" s="6" t="n">
        <v>5421</v>
      </c>
      <c r="AD204" s="6" t="n">
        <v>3614</v>
      </c>
      <c r="AE204" s="6" t="n">
        <v>2385.78979492188</v>
      </c>
      <c r="AF204" s="8" t="n">
        <v>1586.157840154</v>
      </c>
      <c r="AG204" s="11" t="n">
        <v>0.06269435502</v>
      </c>
      <c r="AH204" s="12" t="n">
        <v>1</v>
      </c>
      <c r="AI204" s="2" t="s">
        <v>601</v>
      </c>
      <c r="AJ204" s="2" t="s">
        <v>602</v>
      </c>
      <c r="AK204" s="2" t="s">
        <v>471</v>
      </c>
    </row>
    <row r="205" customFormat="false" ht="15" hidden="false" customHeight="false" outlineLevel="0" collapsed="false">
      <c r="A205" s="9" t="n">
        <v>204</v>
      </c>
      <c r="B205" s="2" t="s">
        <v>603</v>
      </c>
      <c r="C205" s="2" t="s">
        <v>604</v>
      </c>
      <c r="D205" s="2" t="s">
        <v>70</v>
      </c>
      <c r="E205" s="2" t="s">
        <v>71</v>
      </c>
      <c r="F205" s="2"/>
      <c r="G205" s="2" t="s">
        <v>329</v>
      </c>
      <c r="H205" s="8" t="n">
        <v>613.043922390475</v>
      </c>
      <c r="I205" s="2" t="s">
        <v>316</v>
      </c>
      <c r="J205" s="8" t="n">
        <v>1206940.59405941</v>
      </c>
      <c r="K205" s="6" t="n">
        <v>202</v>
      </c>
      <c r="L205" s="2"/>
      <c r="M205" s="10" t="b">
        <f aca="false">TRUE()</f>
        <v>1</v>
      </c>
      <c r="N205" s="9" t="n">
        <f aca="false">IF(H205="","",IF(H205&gt;=Assumptions!$B$5,1,IF(H205&gt;=Assumptions!$B$6,2,IF(H205&gt;=Assumptions!$B$7,3,""))))</f>
        <v>2</v>
      </c>
      <c r="O205" s="9" t="n">
        <f aca="false">IF(N205=1,Assumptions!$B$8,IF(N205=2,Assumptions!$B$9,IF(N205=3,Assumptions!$B$10,0)))</f>
        <v>2</v>
      </c>
      <c r="P205" s="6" t="s">
        <v>30</v>
      </c>
      <c r="Q205" s="6" t="s">
        <v>30</v>
      </c>
      <c r="R205" s="11" t="s">
        <v>30</v>
      </c>
      <c r="S205" s="6" t="s">
        <v>30</v>
      </c>
      <c r="T205" s="11" t="s">
        <v>30</v>
      </c>
      <c r="U205" s="6" t="s">
        <v>30</v>
      </c>
      <c r="V205" s="6" t="s">
        <v>30</v>
      </c>
      <c r="W205" s="6" t="s">
        <v>30</v>
      </c>
      <c r="X205" s="2" t="s">
        <v>30</v>
      </c>
      <c r="Y205" s="6" t="str">
        <f aca="false">IF(AND(X205="processed",ISNUMBER(S205)),S205*O205,"")</f>
        <v/>
      </c>
      <c r="Z205" s="6" t="n">
        <f aca="false">IF(ISNUMBER(K205),K205*O205,0)</f>
        <v>404</v>
      </c>
      <c r="AA205" s="2" t="s">
        <v>31</v>
      </c>
      <c r="AB205" s="6" t="n">
        <v>14640</v>
      </c>
      <c r="AC205" s="6" t="n">
        <v>13337</v>
      </c>
      <c r="AD205" s="6" t="n">
        <v>363</v>
      </c>
      <c r="AE205" s="6" t="n">
        <v>2594.90478515625</v>
      </c>
      <c r="AF205" s="8" t="n">
        <v>609.208600183</v>
      </c>
      <c r="AG205" s="11" t="n">
        <v>-0.02295779894</v>
      </c>
      <c r="AH205" s="12" t="n">
        <v>1</v>
      </c>
      <c r="AI205" s="2" t="s">
        <v>317</v>
      </c>
      <c r="AJ205" s="2" t="s">
        <v>604</v>
      </c>
      <c r="AK205" s="2" t="s">
        <v>604</v>
      </c>
    </row>
    <row r="206" customFormat="false" ht="15" hidden="false" customHeight="false" outlineLevel="0" collapsed="false">
      <c r="A206" s="9" t="n">
        <v>205</v>
      </c>
      <c r="B206" s="2" t="s">
        <v>605</v>
      </c>
      <c r="C206" s="2" t="s">
        <v>266</v>
      </c>
      <c r="D206" s="2" t="s">
        <v>34</v>
      </c>
      <c r="E206" s="2" t="s">
        <v>35</v>
      </c>
      <c r="F206" s="2"/>
      <c r="G206" s="2" t="s">
        <v>318</v>
      </c>
      <c r="H206" s="8" t="n">
        <v>603.647405318363</v>
      </c>
      <c r="I206" s="2" t="s">
        <v>316</v>
      </c>
      <c r="J206" s="8" t="n">
        <v>848686.567164179</v>
      </c>
      <c r="K206" s="6" t="n">
        <v>201</v>
      </c>
      <c r="L206" s="2"/>
      <c r="M206" s="10" t="b">
        <f aca="false">TRUE()</f>
        <v>1</v>
      </c>
      <c r="N206" s="9" t="n">
        <f aca="false">IF(H206="","",IF(H206&gt;=Assumptions!$B$5,1,IF(H206&gt;=Assumptions!$B$6,2,IF(H206&gt;=Assumptions!$B$7,3,""))))</f>
        <v>2</v>
      </c>
      <c r="O206" s="9" t="n">
        <f aca="false">IF(N206=1,Assumptions!$B$8,IF(N206=2,Assumptions!$B$9,IF(N206=3,Assumptions!$B$10,0)))</f>
        <v>2</v>
      </c>
      <c r="P206" s="6" t="s">
        <v>30</v>
      </c>
      <c r="Q206" s="6" t="s">
        <v>30</v>
      </c>
      <c r="R206" s="11" t="s">
        <v>30</v>
      </c>
      <c r="S206" s="6" t="s">
        <v>30</v>
      </c>
      <c r="T206" s="11" t="s">
        <v>30</v>
      </c>
      <c r="U206" s="6" t="s">
        <v>30</v>
      </c>
      <c r="V206" s="6" t="s">
        <v>30</v>
      </c>
      <c r="W206" s="6" t="s">
        <v>30</v>
      </c>
      <c r="X206" s="2" t="s">
        <v>30</v>
      </c>
      <c r="Y206" s="6" t="str">
        <f aca="false">IF(AND(X206="processed",ISNUMBER(S206)),S206*O206,"")</f>
        <v/>
      </c>
      <c r="Z206" s="6" t="n">
        <f aca="false">IF(ISNUMBER(K206),K206*O206,0)</f>
        <v>402</v>
      </c>
      <c r="AA206" s="2" t="s">
        <v>31</v>
      </c>
      <c r="AB206" s="6" t="n">
        <v>20127</v>
      </c>
      <c r="AC206" s="6" t="n">
        <v>15286</v>
      </c>
      <c r="AD206" s="6" t="n">
        <v>5403</v>
      </c>
      <c r="AE206" s="6" t="n">
        <v>1785.69702148438</v>
      </c>
      <c r="AF206" s="8" t="n">
        <v>644.590180005</v>
      </c>
      <c r="AG206" s="11" t="n">
        <v>-0.01121118019</v>
      </c>
      <c r="AH206" s="12" t="n">
        <v>1</v>
      </c>
      <c r="AI206" s="2" t="s">
        <v>319</v>
      </c>
      <c r="AJ206" s="2"/>
      <c r="AK206" s="2" t="s">
        <v>266</v>
      </c>
    </row>
    <row r="207" customFormat="false" ht="15" hidden="false" customHeight="false" outlineLevel="0" collapsed="false">
      <c r="A207" s="9" t="n">
        <v>206</v>
      </c>
      <c r="B207" s="2" t="s">
        <v>606</v>
      </c>
      <c r="C207" s="2" t="s">
        <v>607</v>
      </c>
      <c r="D207" s="2" t="s">
        <v>70</v>
      </c>
      <c r="E207" s="2" t="s">
        <v>71</v>
      </c>
      <c r="F207" s="2"/>
      <c r="G207" s="2" t="s">
        <v>329</v>
      </c>
      <c r="H207" s="8" t="n">
        <v>709.780730180489</v>
      </c>
      <c r="I207" s="2" t="s">
        <v>316</v>
      </c>
      <c r="J207" s="8" t="n">
        <v>1180045.11278196</v>
      </c>
      <c r="K207" s="6" t="n">
        <v>133</v>
      </c>
      <c r="L207" s="2"/>
      <c r="M207" s="10" t="b">
        <f aca="false">TRUE()</f>
        <v>1</v>
      </c>
      <c r="N207" s="9" t="n">
        <f aca="false">IF(H207="","",IF(H207&gt;=Assumptions!$B$5,1,IF(H207&gt;=Assumptions!$B$6,2,IF(H207&gt;=Assumptions!$B$7,3,""))))</f>
        <v>1</v>
      </c>
      <c r="O207" s="9" t="n">
        <f aca="false">IF(N207=1,Assumptions!$B$8,IF(N207=2,Assumptions!$B$9,IF(N207=3,Assumptions!$B$10,0)))</f>
        <v>3</v>
      </c>
      <c r="P207" s="6" t="s">
        <v>30</v>
      </c>
      <c r="Q207" s="6" t="s">
        <v>30</v>
      </c>
      <c r="R207" s="11" t="s">
        <v>30</v>
      </c>
      <c r="S207" s="6" t="s">
        <v>30</v>
      </c>
      <c r="T207" s="11" t="s">
        <v>30</v>
      </c>
      <c r="U207" s="6" t="s">
        <v>30</v>
      </c>
      <c r="V207" s="6" t="s">
        <v>30</v>
      </c>
      <c r="W207" s="6" t="s">
        <v>30</v>
      </c>
      <c r="X207" s="2" t="s">
        <v>30</v>
      </c>
      <c r="Y207" s="6" t="str">
        <f aca="false">IF(AND(X207="processed",ISNUMBER(S207)),S207*O207,"")</f>
        <v/>
      </c>
      <c r="Z207" s="6" t="n">
        <f aca="false">IF(ISNUMBER(K207),K207*O207,0)</f>
        <v>399</v>
      </c>
      <c r="AA207" s="2" t="s">
        <v>31</v>
      </c>
      <c r="AB207" s="6" t="n">
        <v>15480</v>
      </c>
      <c r="AC207" s="6" t="n">
        <v>12384</v>
      </c>
      <c r="AD207" s="6" t="n">
        <v>240</v>
      </c>
      <c r="AE207" s="6" t="n">
        <v>1918.0263671875</v>
      </c>
      <c r="AF207" s="8" t="n">
        <v>710.228748758</v>
      </c>
      <c r="AG207" s="11" t="n">
        <v>-0.02518609718</v>
      </c>
      <c r="AH207" s="12" t="n">
        <v>1</v>
      </c>
      <c r="AI207" s="2" t="s">
        <v>317</v>
      </c>
      <c r="AJ207" s="2" t="s">
        <v>607</v>
      </c>
      <c r="AK207" s="2" t="s">
        <v>607</v>
      </c>
    </row>
    <row r="208" customFormat="false" ht="15" hidden="false" customHeight="false" outlineLevel="0" collapsed="false">
      <c r="A208" s="9" t="n">
        <v>207</v>
      </c>
      <c r="B208" s="2" t="s">
        <v>608</v>
      </c>
      <c r="C208" s="2" t="s">
        <v>609</v>
      </c>
      <c r="D208" s="2" t="s">
        <v>27</v>
      </c>
      <c r="E208" s="2" t="s">
        <v>28</v>
      </c>
      <c r="F208" s="2"/>
      <c r="G208" s="2" t="s">
        <v>315</v>
      </c>
      <c r="H208" s="8" t="n">
        <v>645.652509675475</v>
      </c>
      <c r="I208" s="2" t="s">
        <v>316</v>
      </c>
      <c r="J208" s="8" t="n">
        <v>1155883.83838384</v>
      </c>
      <c r="K208" s="6" t="n">
        <v>198</v>
      </c>
      <c r="L208" s="2"/>
      <c r="M208" s="10" t="b">
        <f aca="false">TRUE()</f>
        <v>1</v>
      </c>
      <c r="N208" s="9" t="n">
        <f aca="false">IF(H208="","",IF(H208&gt;=Assumptions!$B$5,1,IF(H208&gt;=Assumptions!$B$6,2,IF(H208&gt;=Assumptions!$B$7,3,""))))</f>
        <v>2</v>
      </c>
      <c r="O208" s="9" t="n">
        <f aca="false">IF(N208=1,Assumptions!$B$8,IF(N208=2,Assumptions!$B$9,IF(N208=3,Assumptions!$B$10,0)))</f>
        <v>2</v>
      </c>
      <c r="P208" s="6" t="s">
        <v>30</v>
      </c>
      <c r="Q208" s="6" t="s">
        <v>30</v>
      </c>
      <c r="R208" s="11" t="s">
        <v>30</v>
      </c>
      <c r="S208" s="6" t="s">
        <v>30</v>
      </c>
      <c r="T208" s="11" t="s">
        <v>30</v>
      </c>
      <c r="U208" s="6" t="s">
        <v>30</v>
      </c>
      <c r="V208" s="6" t="s">
        <v>30</v>
      </c>
      <c r="W208" s="6" t="s">
        <v>30</v>
      </c>
      <c r="X208" s="2" t="s">
        <v>30</v>
      </c>
      <c r="Y208" s="6" t="str">
        <f aca="false">IF(AND(X208="processed",ISNUMBER(S208)),S208*O208,"")</f>
        <v/>
      </c>
      <c r="Z208" s="6" t="n">
        <f aca="false">IF(ISNUMBER(K208),K208*O208,0)</f>
        <v>396</v>
      </c>
      <c r="AA208" s="2" t="s">
        <v>31</v>
      </c>
      <c r="AB208" s="6" t="n">
        <v>13324</v>
      </c>
      <c r="AC208" s="6" t="n">
        <v>12255</v>
      </c>
      <c r="AD208" s="6" t="n">
        <v>356</v>
      </c>
      <c r="AE208" s="6" t="n">
        <v>2299.77587890625</v>
      </c>
      <c r="AF208" s="8" t="n">
        <v>627.597672485</v>
      </c>
      <c r="AG208" s="11" t="n">
        <v>-0.0291114465</v>
      </c>
      <c r="AH208" s="12" t="n">
        <v>0.99403039457777</v>
      </c>
      <c r="AI208" s="2" t="s">
        <v>317</v>
      </c>
      <c r="AJ208" s="2" t="s">
        <v>609</v>
      </c>
      <c r="AK208" s="2" t="s">
        <v>609</v>
      </c>
    </row>
    <row r="209" customFormat="false" ht="15" hidden="false" customHeight="false" outlineLevel="0" collapsed="false">
      <c r="A209" s="9" t="n">
        <v>208</v>
      </c>
      <c r="B209" s="2" t="s">
        <v>610</v>
      </c>
      <c r="C209" s="2" t="s">
        <v>56</v>
      </c>
      <c r="D209" s="2" t="s">
        <v>56</v>
      </c>
      <c r="E209" s="2" t="s">
        <v>56</v>
      </c>
      <c r="F209" s="2" t="s">
        <v>611</v>
      </c>
      <c r="G209" s="2" t="s">
        <v>324</v>
      </c>
      <c r="H209" s="8" t="n">
        <v>1109.90776992771</v>
      </c>
      <c r="I209" s="2" t="s">
        <v>316</v>
      </c>
      <c r="J209" s="8" t="n">
        <v>2125590.90909091</v>
      </c>
      <c r="K209" s="6" t="n">
        <v>132</v>
      </c>
      <c r="L209" s="2"/>
      <c r="M209" s="10" t="b">
        <f aca="false">TRUE()</f>
        <v>1</v>
      </c>
      <c r="N209" s="9" t="n">
        <f aca="false">IF(H209="","",IF(H209&gt;=Assumptions!$B$5,1,IF(H209&gt;=Assumptions!$B$6,2,IF(H209&gt;=Assumptions!$B$7,3,""))))</f>
        <v>1</v>
      </c>
      <c r="O209" s="9" t="n">
        <f aca="false">IF(N209=1,Assumptions!$B$8,IF(N209=2,Assumptions!$B$9,IF(N209=3,Assumptions!$B$10,0)))</f>
        <v>3</v>
      </c>
      <c r="P209" s="6" t="s">
        <v>30</v>
      </c>
      <c r="Q209" s="6" t="s">
        <v>30</v>
      </c>
      <c r="R209" s="11" t="s">
        <v>30</v>
      </c>
      <c r="S209" s="6" t="s">
        <v>30</v>
      </c>
      <c r="T209" s="11" t="s">
        <v>30</v>
      </c>
      <c r="U209" s="6" t="s">
        <v>30</v>
      </c>
      <c r="V209" s="6" t="s">
        <v>30</v>
      </c>
      <c r="W209" s="6" t="s">
        <v>30</v>
      </c>
      <c r="X209" s="2" t="s">
        <v>30</v>
      </c>
      <c r="Y209" s="6" t="str">
        <f aca="false">IF(AND(X209="processed",ISNUMBER(S209)),S209*O209,"")</f>
        <v/>
      </c>
      <c r="Z209" s="6" t="n">
        <f aca="false">IF(ISNUMBER(K209),K209*O209,0)</f>
        <v>396</v>
      </c>
      <c r="AA209" s="2" t="s">
        <v>31</v>
      </c>
      <c r="AB209" s="6" t="n">
        <v>9935</v>
      </c>
      <c r="AC209" s="6" t="n">
        <v>9380</v>
      </c>
      <c r="AD209" s="6" t="n">
        <v>53</v>
      </c>
      <c r="AE209" s="6" t="n">
        <v>1492.27282714844</v>
      </c>
      <c r="AF209" s="8" t="n">
        <v>1222.222222222</v>
      </c>
      <c r="AG209" s="11" t="n">
        <v>0.1640708342</v>
      </c>
      <c r="AH209" s="12" t="n">
        <v>0.943545193159416</v>
      </c>
      <c r="AI209" s="2" t="s">
        <v>317</v>
      </c>
      <c r="AJ209" s="2" t="s">
        <v>56</v>
      </c>
      <c r="AK209" s="2" t="s">
        <v>56</v>
      </c>
    </row>
    <row r="210" customFormat="false" ht="15" hidden="false" customHeight="false" outlineLevel="0" collapsed="false">
      <c r="A210" s="9" t="n">
        <v>209</v>
      </c>
      <c r="B210" s="2" t="s">
        <v>612</v>
      </c>
      <c r="C210" s="2" t="s">
        <v>133</v>
      </c>
      <c r="D210" s="2" t="s">
        <v>34</v>
      </c>
      <c r="E210" s="2" t="s">
        <v>35</v>
      </c>
      <c r="F210" s="2" t="s">
        <v>613</v>
      </c>
      <c r="G210" s="2" t="s">
        <v>318</v>
      </c>
      <c r="H210" s="8" t="n">
        <v>634.999198311036</v>
      </c>
      <c r="I210" s="2" t="s">
        <v>316</v>
      </c>
      <c r="J210" s="8" t="n">
        <v>955609.137055838</v>
      </c>
      <c r="K210" s="6" t="n">
        <v>197</v>
      </c>
      <c r="L210" s="2"/>
      <c r="M210" s="10" t="b">
        <f aca="false">TRUE()</f>
        <v>1</v>
      </c>
      <c r="N210" s="9" t="n">
        <f aca="false">IF(H210="","",IF(H210&gt;=Assumptions!$B$5,1,IF(H210&gt;=Assumptions!$B$6,2,IF(H210&gt;=Assumptions!$B$7,3,""))))</f>
        <v>2</v>
      </c>
      <c r="O210" s="9" t="n">
        <f aca="false">IF(N210=1,Assumptions!$B$8,IF(N210=2,Assumptions!$B$9,IF(N210=3,Assumptions!$B$10,0)))</f>
        <v>2</v>
      </c>
      <c r="P210" s="6" t="s">
        <v>30</v>
      </c>
      <c r="Q210" s="6" t="s">
        <v>30</v>
      </c>
      <c r="R210" s="11" t="s">
        <v>30</v>
      </c>
      <c r="S210" s="6" t="s">
        <v>30</v>
      </c>
      <c r="T210" s="11" t="s">
        <v>30</v>
      </c>
      <c r="U210" s="6" t="s">
        <v>30</v>
      </c>
      <c r="V210" s="6" t="s">
        <v>30</v>
      </c>
      <c r="W210" s="6" t="s">
        <v>30</v>
      </c>
      <c r="X210" s="2" t="s">
        <v>30</v>
      </c>
      <c r="Y210" s="6" t="str">
        <f aca="false">IF(AND(X210="processed",ISNUMBER(S210)),S210*O210,"")</f>
        <v/>
      </c>
      <c r="Z210" s="6" t="n">
        <f aca="false">IF(ISNUMBER(K210),K210*O210,0)</f>
        <v>394</v>
      </c>
      <c r="AA210" s="2" t="s">
        <v>31</v>
      </c>
      <c r="AB210" s="6" t="n">
        <v>11741</v>
      </c>
      <c r="AC210" s="6" t="n">
        <v>8223</v>
      </c>
      <c r="AD210" s="6" t="n">
        <v>81</v>
      </c>
      <c r="AE210" s="6" t="n">
        <v>1560.59973144531</v>
      </c>
      <c r="AF210" s="8" t="n">
        <v>622.57751938</v>
      </c>
      <c r="AG210" s="11" t="n">
        <v>-0.04846989364</v>
      </c>
      <c r="AH210" s="12" t="n">
        <v>0.997734489221038</v>
      </c>
      <c r="AI210" s="2" t="s">
        <v>319</v>
      </c>
      <c r="AJ210" s="2"/>
      <c r="AK210" s="2" t="s">
        <v>133</v>
      </c>
    </row>
    <row r="211" customFormat="false" ht="15" hidden="false" customHeight="false" outlineLevel="0" collapsed="false">
      <c r="A211" s="9" t="n">
        <v>210</v>
      </c>
      <c r="B211" s="2" t="s">
        <v>614</v>
      </c>
      <c r="C211" s="2" t="s">
        <v>70</v>
      </c>
      <c r="D211" s="2" t="s">
        <v>70</v>
      </c>
      <c r="E211" s="2" t="s">
        <v>71</v>
      </c>
      <c r="F211" s="2" t="s">
        <v>615</v>
      </c>
      <c r="G211" s="2" t="s">
        <v>329</v>
      </c>
      <c r="H211" s="8" t="n">
        <v>1014.52948386957</v>
      </c>
      <c r="I211" s="2" t="s">
        <v>316</v>
      </c>
      <c r="J211" s="8" t="n">
        <v>1625267.17557252</v>
      </c>
      <c r="K211" s="6" t="n">
        <v>131</v>
      </c>
      <c r="L211" s="2"/>
      <c r="M211" s="10" t="b">
        <f aca="false">TRUE()</f>
        <v>1</v>
      </c>
      <c r="N211" s="9" t="n">
        <f aca="false">IF(H211="","",IF(H211&gt;=Assumptions!$B$5,1,IF(H211&gt;=Assumptions!$B$6,2,IF(H211&gt;=Assumptions!$B$7,3,""))))</f>
        <v>1</v>
      </c>
      <c r="O211" s="9" t="n">
        <f aca="false">IF(N211=1,Assumptions!$B$8,IF(N211=2,Assumptions!$B$9,IF(N211=3,Assumptions!$B$10,0)))</f>
        <v>3</v>
      </c>
      <c r="P211" s="6" t="s">
        <v>30</v>
      </c>
      <c r="Q211" s="6" t="s">
        <v>30</v>
      </c>
      <c r="R211" s="11" t="s">
        <v>30</v>
      </c>
      <c r="S211" s="6" t="s">
        <v>30</v>
      </c>
      <c r="T211" s="11" t="s">
        <v>30</v>
      </c>
      <c r="U211" s="6" t="s">
        <v>30</v>
      </c>
      <c r="V211" s="6" t="s">
        <v>30</v>
      </c>
      <c r="W211" s="6" t="s">
        <v>30</v>
      </c>
      <c r="X211" s="2" t="s">
        <v>30</v>
      </c>
      <c r="Y211" s="6" t="str">
        <f aca="false">IF(AND(X211="processed",ISNUMBER(S211)),S211*O211,"")</f>
        <v/>
      </c>
      <c r="Z211" s="6" t="n">
        <f aca="false">IF(ISNUMBER(K211),K211*O211,0)</f>
        <v>393</v>
      </c>
      <c r="AA211" s="2" t="s">
        <v>31</v>
      </c>
      <c r="AB211" s="6" t="n">
        <v>11328</v>
      </c>
      <c r="AC211" s="6" t="n">
        <v>7756</v>
      </c>
      <c r="AD211" s="6" t="n">
        <v>55</v>
      </c>
      <c r="AE211" s="6" t="n">
        <v>1937.19262695313</v>
      </c>
      <c r="AF211" s="8" t="n">
        <v>1046.153846154</v>
      </c>
      <c r="AG211" s="11" t="n">
        <v>0.0555454095</v>
      </c>
      <c r="AH211" s="12" t="n">
        <v>1</v>
      </c>
      <c r="AI211" s="2" t="s">
        <v>317</v>
      </c>
      <c r="AJ211" s="2" t="s">
        <v>70</v>
      </c>
      <c r="AK211" s="2" t="s">
        <v>70</v>
      </c>
    </row>
    <row r="212" customFormat="false" ht="15" hidden="false" customHeight="false" outlineLevel="0" collapsed="false">
      <c r="A212" s="9" t="n">
        <v>211</v>
      </c>
      <c r="B212" s="2" t="s">
        <v>616</v>
      </c>
      <c r="C212" s="2" t="s">
        <v>44</v>
      </c>
      <c r="D212" s="2" t="s">
        <v>44</v>
      </c>
      <c r="E212" s="2" t="s">
        <v>44</v>
      </c>
      <c r="F212" s="2" t="s">
        <v>617</v>
      </c>
      <c r="G212" s="2" t="s">
        <v>322</v>
      </c>
      <c r="H212" s="8" t="n">
        <v>1039.42674261099</v>
      </c>
      <c r="I212" s="2" t="s">
        <v>316</v>
      </c>
      <c r="J212" s="8" t="n">
        <v>1852641.22137405</v>
      </c>
      <c r="K212" s="6" t="n">
        <v>131</v>
      </c>
      <c r="L212" s="2"/>
      <c r="M212" s="10" t="b">
        <f aca="false">TRUE()</f>
        <v>1</v>
      </c>
      <c r="N212" s="9" t="n">
        <f aca="false">IF(H212="","",IF(H212&gt;=Assumptions!$B$5,1,IF(H212&gt;=Assumptions!$B$6,2,IF(H212&gt;=Assumptions!$B$7,3,""))))</f>
        <v>1</v>
      </c>
      <c r="O212" s="9" t="n">
        <f aca="false">IF(N212=1,Assumptions!$B$8,IF(N212=2,Assumptions!$B$9,IF(N212=3,Assumptions!$B$10,0)))</f>
        <v>3</v>
      </c>
      <c r="P212" s="6" t="s">
        <v>30</v>
      </c>
      <c r="Q212" s="6" t="s">
        <v>30</v>
      </c>
      <c r="R212" s="11" t="s">
        <v>30</v>
      </c>
      <c r="S212" s="6" t="s">
        <v>30</v>
      </c>
      <c r="T212" s="11" t="s">
        <v>30</v>
      </c>
      <c r="U212" s="6" t="s">
        <v>30</v>
      </c>
      <c r="V212" s="6" t="s">
        <v>30</v>
      </c>
      <c r="W212" s="6" t="s">
        <v>30</v>
      </c>
      <c r="X212" s="2" t="s">
        <v>30</v>
      </c>
      <c r="Y212" s="6" t="str">
        <f aca="false">IF(AND(X212="processed",ISNUMBER(S212)),S212*O212,"")</f>
        <v/>
      </c>
      <c r="Z212" s="6" t="n">
        <f aca="false">IF(ISNUMBER(K212),K212*O212,0)</f>
        <v>393</v>
      </c>
      <c r="AA212" s="2" t="s">
        <v>31</v>
      </c>
      <c r="AB212" s="6" t="n">
        <v>9755</v>
      </c>
      <c r="AC212" s="6" t="n">
        <v>8032</v>
      </c>
      <c r="AD212" s="6" t="n">
        <v>5563</v>
      </c>
      <c r="AE212" s="6" t="n">
        <v>1644.20861816406</v>
      </c>
      <c r="AF212" s="8" t="n">
        <v>1120.607422579</v>
      </c>
      <c r="AG212" s="11" t="n">
        <v>-0.02722446076</v>
      </c>
      <c r="AH212" s="12" t="n">
        <v>0.790791514092615</v>
      </c>
      <c r="AI212" s="2" t="s">
        <v>317</v>
      </c>
      <c r="AJ212" s="2" t="s">
        <v>44</v>
      </c>
      <c r="AK212" s="2" t="s">
        <v>44</v>
      </c>
    </row>
    <row r="213" customFormat="false" ht="15" hidden="false" customHeight="false" outlineLevel="0" collapsed="false">
      <c r="A213" s="9" t="n">
        <v>212</v>
      </c>
      <c r="B213" s="2" t="s">
        <v>618</v>
      </c>
      <c r="C213" s="2" t="s">
        <v>138</v>
      </c>
      <c r="D213" s="2" t="s">
        <v>27</v>
      </c>
      <c r="E213" s="2" t="s">
        <v>28</v>
      </c>
      <c r="F213" s="2" t="s">
        <v>619</v>
      </c>
      <c r="G213" s="2" t="s">
        <v>315</v>
      </c>
      <c r="H213" s="8" t="n">
        <v>1757.86986569873</v>
      </c>
      <c r="I213" s="2" t="s">
        <v>316</v>
      </c>
      <c r="J213" s="8" t="n">
        <v>4607265.04580153</v>
      </c>
      <c r="K213" s="6" t="n">
        <v>131</v>
      </c>
      <c r="L213" s="2"/>
      <c r="M213" s="10" t="b">
        <f aca="false">TRUE()</f>
        <v>1</v>
      </c>
      <c r="N213" s="9" t="n">
        <f aca="false">IF(H213="","",IF(H213&gt;=Assumptions!$B$5,1,IF(H213&gt;=Assumptions!$B$6,2,IF(H213&gt;=Assumptions!$B$7,3,""))))</f>
        <v>1</v>
      </c>
      <c r="O213" s="9" t="n">
        <f aca="false">IF(N213=1,Assumptions!$B$8,IF(N213=2,Assumptions!$B$9,IF(N213=3,Assumptions!$B$10,0)))</f>
        <v>3</v>
      </c>
      <c r="P213" s="6" t="s">
        <v>30</v>
      </c>
      <c r="Q213" s="6" t="s">
        <v>30</v>
      </c>
      <c r="R213" s="11" t="s">
        <v>30</v>
      </c>
      <c r="S213" s="6" t="s">
        <v>30</v>
      </c>
      <c r="T213" s="11" t="s">
        <v>30</v>
      </c>
      <c r="U213" s="6" t="s">
        <v>30</v>
      </c>
      <c r="V213" s="6" t="s">
        <v>30</v>
      </c>
      <c r="W213" s="6" t="s">
        <v>30</v>
      </c>
      <c r="X213" s="2" t="s">
        <v>30</v>
      </c>
      <c r="Y213" s="6" t="str">
        <f aca="false">IF(AND(X213="processed",ISNUMBER(S213)),S213*O213,"")</f>
        <v/>
      </c>
      <c r="Z213" s="6" t="n">
        <f aca="false">IF(ISNUMBER(K213),K213*O213,0)</f>
        <v>393</v>
      </c>
      <c r="AA213" s="2" t="s">
        <v>31</v>
      </c>
      <c r="AB213" s="6" t="n">
        <v>7445</v>
      </c>
      <c r="AC213" s="6" t="n">
        <v>6724</v>
      </c>
      <c r="AD213" s="6" t="n">
        <v>118</v>
      </c>
      <c r="AE213" s="6" t="n">
        <v>1933.19384765625</v>
      </c>
      <c r="AF213" s="8" t="n">
        <v>1518.852797054</v>
      </c>
      <c r="AG213" s="11" t="n">
        <v>-0.2279609645</v>
      </c>
      <c r="AH213" s="12" t="n">
        <v>0.93587915638682</v>
      </c>
      <c r="AI213" s="2" t="s">
        <v>317</v>
      </c>
      <c r="AJ213" s="2" t="s">
        <v>138</v>
      </c>
      <c r="AK213" s="2" t="s">
        <v>138</v>
      </c>
    </row>
    <row r="214" customFormat="false" ht="15" hidden="false" customHeight="false" outlineLevel="0" collapsed="false">
      <c r="A214" s="9" t="n">
        <v>213</v>
      </c>
      <c r="B214" s="2" t="s">
        <v>620</v>
      </c>
      <c r="C214" s="2" t="s">
        <v>56</v>
      </c>
      <c r="D214" s="2" t="s">
        <v>56</v>
      </c>
      <c r="E214" s="2" t="s">
        <v>56</v>
      </c>
      <c r="F214" s="2" t="s">
        <v>621</v>
      </c>
      <c r="G214" s="2" t="s">
        <v>324</v>
      </c>
      <c r="H214" s="8" t="n">
        <v>785.098112534535</v>
      </c>
      <c r="I214" s="2" t="s">
        <v>316</v>
      </c>
      <c r="J214" s="8" t="n">
        <v>1144503.81679389</v>
      </c>
      <c r="K214" s="6" t="n">
        <v>131</v>
      </c>
      <c r="L214" s="2"/>
      <c r="M214" s="10" t="b">
        <f aca="false">TRUE()</f>
        <v>1</v>
      </c>
      <c r="N214" s="9" t="n">
        <f aca="false">IF(H214="","",IF(H214&gt;=Assumptions!$B$5,1,IF(H214&gt;=Assumptions!$B$6,2,IF(H214&gt;=Assumptions!$B$7,3,""))))</f>
        <v>1</v>
      </c>
      <c r="O214" s="9" t="n">
        <f aca="false">IF(N214=1,Assumptions!$B$8,IF(N214=2,Assumptions!$B$9,IF(N214=3,Assumptions!$B$10,0)))</f>
        <v>3</v>
      </c>
      <c r="P214" s="6" t="s">
        <v>30</v>
      </c>
      <c r="Q214" s="6" t="s">
        <v>30</v>
      </c>
      <c r="R214" s="11" t="s">
        <v>30</v>
      </c>
      <c r="S214" s="6" t="s">
        <v>30</v>
      </c>
      <c r="T214" s="11" t="s">
        <v>30</v>
      </c>
      <c r="U214" s="6" t="s">
        <v>30</v>
      </c>
      <c r="V214" s="6" t="s">
        <v>30</v>
      </c>
      <c r="W214" s="6" t="s">
        <v>30</v>
      </c>
      <c r="X214" s="2" t="s">
        <v>30</v>
      </c>
      <c r="Y214" s="6" t="str">
        <f aca="false">IF(AND(X214="processed",ISNUMBER(S214)),S214*O214,"")</f>
        <v/>
      </c>
      <c r="Z214" s="6" t="n">
        <f aca="false">IF(ISNUMBER(K214),K214*O214,0)</f>
        <v>393</v>
      </c>
      <c r="AA214" s="2" t="s">
        <v>31</v>
      </c>
      <c r="AB214" s="6" t="n">
        <v>9496</v>
      </c>
      <c r="AC214" s="6" t="n">
        <v>8793</v>
      </c>
      <c r="AD214" s="6" t="n">
        <v>78</v>
      </c>
      <c r="AE214" s="6" t="n">
        <v>1240.66845703125</v>
      </c>
      <c r="AF214" s="8" t="n">
        <v>779.347296639</v>
      </c>
      <c r="AG214" s="11" t="n">
        <v>-0.05001666368</v>
      </c>
      <c r="AH214" s="12" t="n">
        <v>0.999771049014083</v>
      </c>
      <c r="AI214" s="2" t="s">
        <v>317</v>
      </c>
      <c r="AJ214" s="2" t="s">
        <v>56</v>
      </c>
      <c r="AK214" s="2" t="s">
        <v>199</v>
      </c>
    </row>
    <row r="215" customFormat="false" ht="15" hidden="false" customHeight="false" outlineLevel="0" collapsed="false">
      <c r="A215" s="9" t="n">
        <v>214</v>
      </c>
      <c r="B215" s="2" t="s">
        <v>622</v>
      </c>
      <c r="C215" s="2" t="s">
        <v>70</v>
      </c>
      <c r="D215" s="2" t="s">
        <v>70</v>
      </c>
      <c r="E215" s="2" t="s">
        <v>71</v>
      </c>
      <c r="F215" s="2" t="s">
        <v>623</v>
      </c>
      <c r="G215" s="2" t="s">
        <v>329</v>
      </c>
      <c r="H215" s="8" t="n">
        <v>756.307812855285</v>
      </c>
      <c r="I215" s="2" t="s">
        <v>316</v>
      </c>
      <c r="J215" s="8" t="n">
        <v>1041215.38461539</v>
      </c>
      <c r="K215" s="6" t="n">
        <v>130</v>
      </c>
      <c r="L215" s="2"/>
      <c r="M215" s="10" t="b">
        <f aca="false">TRUE()</f>
        <v>1</v>
      </c>
      <c r="N215" s="9" t="n">
        <f aca="false">IF(H215="","",IF(H215&gt;=Assumptions!$B$5,1,IF(H215&gt;=Assumptions!$B$6,2,IF(H215&gt;=Assumptions!$B$7,3,""))))</f>
        <v>1</v>
      </c>
      <c r="O215" s="9" t="n">
        <f aca="false">IF(N215=1,Assumptions!$B$8,IF(N215=2,Assumptions!$B$9,IF(N215=3,Assumptions!$B$10,0)))</f>
        <v>3</v>
      </c>
      <c r="P215" s="6" t="s">
        <v>30</v>
      </c>
      <c r="Q215" s="6" t="s">
        <v>30</v>
      </c>
      <c r="R215" s="11" t="s">
        <v>30</v>
      </c>
      <c r="S215" s="6" t="s">
        <v>30</v>
      </c>
      <c r="T215" s="11" t="s">
        <v>30</v>
      </c>
      <c r="U215" s="6" t="s">
        <v>30</v>
      </c>
      <c r="V215" s="6" t="s">
        <v>30</v>
      </c>
      <c r="W215" s="6" t="s">
        <v>30</v>
      </c>
      <c r="X215" s="2" t="s">
        <v>30</v>
      </c>
      <c r="Y215" s="6" t="str">
        <f aca="false">IF(AND(X215="processed",ISNUMBER(S215)),S215*O215,"")</f>
        <v/>
      </c>
      <c r="Z215" s="6" t="n">
        <f aca="false">IF(ISNUMBER(K215),K215*O215,0)</f>
        <v>390</v>
      </c>
      <c r="AA215" s="2" t="s">
        <v>31</v>
      </c>
      <c r="AB215" s="6" t="n">
        <v>16324</v>
      </c>
      <c r="AC215" s="6" t="n">
        <v>10425</v>
      </c>
      <c r="AD215" s="6" t="n">
        <v>123</v>
      </c>
      <c r="AE215" s="6" t="n">
        <v>1580.63732910156</v>
      </c>
      <c r="AF215" s="8" t="n">
        <v>724.843661171</v>
      </c>
      <c r="AG215" s="11" t="n">
        <v>-0.02755107756</v>
      </c>
      <c r="AH215" s="12" t="n">
        <v>1</v>
      </c>
      <c r="AI215" s="2" t="s">
        <v>317</v>
      </c>
      <c r="AJ215" s="2" t="s">
        <v>70</v>
      </c>
      <c r="AK215" s="2" t="s">
        <v>70</v>
      </c>
    </row>
    <row r="216" customFormat="false" ht="15" hidden="false" customHeight="false" outlineLevel="0" collapsed="false">
      <c r="A216" s="9" t="n">
        <v>215</v>
      </c>
      <c r="B216" s="2" t="s">
        <v>624</v>
      </c>
      <c r="C216" s="2" t="s">
        <v>199</v>
      </c>
      <c r="D216" s="2" t="s">
        <v>62</v>
      </c>
      <c r="E216" s="2" t="s">
        <v>40</v>
      </c>
      <c r="F216" s="2" t="s">
        <v>625</v>
      </c>
      <c r="G216" s="2" t="s">
        <v>324</v>
      </c>
      <c r="H216" s="8" t="n">
        <v>736.346431375808</v>
      </c>
      <c r="I216" s="2" t="s">
        <v>316</v>
      </c>
      <c r="J216" s="8" t="n">
        <v>1090030.76923077</v>
      </c>
      <c r="K216" s="6" t="n">
        <v>130</v>
      </c>
      <c r="L216" s="2"/>
      <c r="M216" s="10" t="b">
        <f aca="false">TRUE()</f>
        <v>1</v>
      </c>
      <c r="N216" s="9" t="n">
        <f aca="false">IF(H216="","",IF(H216&gt;=Assumptions!$B$5,1,IF(H216&gt;=Assumptions!$B$6,2,IF(H216&gt;=Assumptions!$B$7,3,""))))</f>
        <v>1</v>
      </c>
      <c r="O216" s="9" t="n">
        <f aca="false">IF(N216=1,Assumptions!$B$8,IF(N216=2,Assumptions!$B$9,IF(N216=3,Assumptions!$B$10,0)))</f>
        <v>3</v>
      </c>
      <c r="P216" s="6" t="s">
        <v>30</v>
      </c>
      <c r="Q216" s="6" t="s">
        <v>30</v>
      </c>
      <c r="R216" s="11" t="s">
        <v>30</v>
      </c>
      <c r="S216" s="6" t="s">
        <v>30</v>
      </c>
      <c r="T216" s="11" t="s">
        <v>30</v>
      </c>
      <c r="U216" s="6" t="s">
        <v>30</v>
      </c>
      <c r="V216" s="6" t="s">
        <v>30</v>
      </c>
      <c r="W216" s="6" t="s">
        <v>30</v>
      </c>
      <c r="X216" s="2" t="s">
        <v>30</v>
      </c>
      <c r="Y216" s="6" t="str">
        <f aca="false">IF(AND(X216="processed",ISNUMBER(S216)),S216*O216,"")</f>
        <v/>
      </c>
      <c r="Z216" s="6" t="n">
        <f aca="false">IF(ISNUMBER(K216),K216*O216,0)</f>
        <v>390</v>
      </c>
      <c r="AA216" s="2" t="s">
        <v>31</v>
      </c>
      <c r="AB216" s="6" t="n">
        <v>11963</v>
      </c>
      <c r="AC216" s="6" t="n">
        <v>10009</v>
      </c>
      <c r="AD216" s="6" t="n">
        <v>213</v>
      </c>
      <c r="AE216" s="6" t="n">
        <v>1319.08898925781</v>
      </c>
      <c r="AF216" s="8" t="n">
        <v>723.859608568</v>
      </c>
      <c r="AG216" s="11" t="n">
        <v>-0.111626844</v>
      </c>
      <c r="AH216" s="12" t="n">
        <v>0.999226594643063</v>
      </c>
      <c r="AI216" s="2" t="s">
        <v>342</v>
      </c>
      <c r="AJ216" s="2" t="s">
        <v>199</v>
      </c>
      <c r="AK216" s="2" t="s">
        <v>199</v>
      </c>
    </row>
    <row r="217" customFormat="false" ht="15" hidden="false" customHeight="false" outlineLevel="0" collapsed="false">
      <c r="A217" s="9" t="n">
        <v>216</v>
      </c>
      <c r="B217" s="2" t="s">
        <v>626</v>
      </c>
      <c r="C217" s="2" t="s">
        <v>70</v>
      </c>
      <c r="D217" s="2" t="s">
        <v>70</v>
      </c>
      <c r="E217" s="2" t="s">
        <v>71</v>
      </c>
      <c r="F217" s="2" t="s">
        <v>627</v>
      </c>
      <c r="G217" s="2" t="s">
        <v>329</v>
      </c>
      <c r="H217" s="8" t="n">
        <v>795.687499018008</v>
      </c>
      <c r="I217" s="2" t="s">
        <v>316</v>
      </c>
      <c r="J217" s="8" t="n">
        <v>1363720.93023256</v>
      </c>
      <c r="K217" s="6" t="n">
        <v>129</v>
      </c>
      <c r="L217" s="2"/>
      <c r="M217" s="10" t="b">
        <f aca="false">TRUE()</f>
        <v>1</v>
      </c>
      <c r="N217" s="9" t="n">
        <f aca="false">IF(H217="","",IF(H217&gt;=Assumptions!$B$5,1,IF(H217&gt;=Assumptions!$B$6,2,IF(H217&gt;=Assumptions!$B$7,3,""))))</f>
        <v>1</v>
      </c>
      <c r="O217" s="9" t="n">
        <f aca="false">IF(N217=1,Assumptions!$B$8,IF(N217=2,Assumptions!$B$9,IF(N217=3,Assumptions!$B$10,0)))</f>
        <v>3</v>
      </c>
      <c r="P217" s="6" t="s">
        <v>30</v>
      </c>
      <c r="Q217" s="6" t="s">
        <v>30</v>
      </c>
      <c r="R217" s="11" t="s">
        <v>30</v>
      </c>
      <c r="S217" s="6" t="s">
        <v>30</v>
      </c>
      <c r="T217" s="11" t="s">
        <v>30</v>
      </c>
      <c r="U217" s="6" t="s">
        <v>30</v>
      </c>
      <c r="V217" s="6" t="s">
        <v>30</v>
      </c>
      <c r="W217" s="6" t="s">
        <v>30</v>
      </c>
      <c r="X217" s="2" t="s">
        <v>30</v>
      </c>
      <c r="Y217" s="6" t="str">
        <f aca="false">IF(AND(X217="processed",ISNUMBER(S217)),S217*O217,"")</f>
        <v/>
      </c>
      <c r="Z217" s="6" t="n">
        <f aca="false">IF(ISNUMBER(K217),K217*O217,0)</f>
        <v>387</v>
      </c>
      <c r="AA217" s="2" t="s">
        <v>31</v>
      </c>
      <c r="AB217" s="6" t="n">
        <v>18853</v>
      </c>
      <c r="AC217" s="6" t="n">
        <v>12805</v>
      </c>
      <c r="AD217" s="6" t="n">
        <v>113</v>
      </c>
      <c r="AE217" s="6" t="n">
        <v>1793.19702148438</v>
      </c>
      <c r="AF217" s="8" t="n">
        <v>864.85837734</v>
      </c>
      <c r="AG217" s="11" t="n">
        <v>0.1765354743</v>
      </c>
      <c r="AH217" s="12" t="n">
        <v>1</v>
      </c>
      <c r="AI217" s="2" t="s">
        <v>317</v>
      </c>
      <c r="AJ217" s="2" t="s">
        <v>70</v>
      </c>
      <c r="AK217" s="2" t="s">
        <v>70</v>
      </c>
    </row>
    <row r="218" customFormat="false" ht="15" hidden="false" customHeight="false" outlineLevel="0" collapsed="false">
      <c r="A218" s="9" t="n">
        <v>217</v>
      </c>
      <c r="B218" s="2" t="s">
        <v>628</v>
      </c>
      <c r="C218" s="2" t="s">
        <v>250</v>
      </c>
      <c r="D218" s="2" t="s">
        <v>70</v>
      </c>
      <c r="E218" s="2" t="s">
        <v>71</v>
      </c>
      <c r="F218" s="2" t="s">
        <v>629</v>
      </c>
      <c r="G218" s="2" t="s">
        <v>329</v>
      </c>
      <c r="H218" s="8" t="n">
        <v>825.08597552914</v>
      </c>
      <c r="I218" s="2" t="s">
        <v>316</v>
      </c>
      <c r="J218" s="8" t="n">
        <v>1990906.97674419</v>
      </c>
      <c r="K218" s="6" t="n">
        <v>129</v>
      </c>
      <c r="L218" s="2"/>
      <c r="M218" s="10" t="b">
        <f aca="false">TRUE()</f>
        <v>1</v>
      </c>
      <c r="N218" s="9" t="n">
        <f aca="false">IF(H218="","",IF(H218&gt;=Assumptions!$B$5,1,IF(H218&gt;=Assumptions!$B$6,2,IF(H218&gt;=Assumptions!$B$7,3,""))))</f>
        <v>1</v>
      </c>
      <c r="O218" s="9" t="n">
        <f aca="false">IF(N218=1,Assumptions!$B$8,IF(N218=2,Assumptions!$B$9,IF(N218=3,Assumptions!$B$10,0)))</f>
        <v>3</v>
      </c>
      <c r="P218" s="6" t="s">
        <v>30</v>
      </c>
      <c r="Q218" s="6" t="s">
        <v>30</v>
      </c>
      <c r="R218" s="11" t="s">
        <v>30</v>
      </c>
      <c r="S218" s="6" t="s">
        <v>30</v>
      </c>
      <c r="T218" s="11" t="s">
        <v>30</v>
      </c>
      <c r="U218" s="6" t="s">
        <v>30</v>
      </c>
      <c r="V218" s="6" t="s">
        <v>30</v>
      </c>
      <c r="W218" s="6" t="s">
        <v>30</v>
      </c>
      <c r="X218" s="2" t="s">
        <v>30</v>
      </c>
      <c r="Y218" s="6" t="str">
        <f aca="false">IF(AND(X218="processed",ISNUMBER(S218)),S218*O218,"")</f>
        <v/>
      </c>
      <c r="Z218" s="6" t="n">
        <f aca="false">IF(ISNUMBER(K218),K218*O218,0)</f>
        <v>387</v>
      </c>
      <c r="AA218" s="2" t="s">
        <v>31</v>
      </c>
      <c r="AB218" s="6" t="n">
        <v>7630</v>
      </c>
      <c r="AC218" s="6" t="n">
        <v>5673</v>
      </c>
      <c r="AD218" s="6" t="n">
        <v>150</v>
      </c>
      <c r="AE218" s="6" t="n">
        <v>2606.7021484375</v>
      </c>
      <c r="AF218" s="8" t="n">
        <v>784.050591014</v>
      </c>
      <c r="AG218" s="11" t="n">
        <v>-0.01151004927</v>
      </c>
      <c r="AH218" s="12" t="n">
        <v>0.999999999999997</v>
      </c>
      <c r="AI218" s="2" t="s">
        <v>317</v>
      </c>
      <c r="AJ218" s="2" t="s">
        <v>250</v>
      </c>
      <c r="AK218" s="2" t="s">
        <v>70</v>
      </c>
    </row>
    <row r="219" customFormat="false" ht="15" hidden="false" customHeight="false" outlineLevel="0" collapsed="false">
      <c r="A219" s="9" t="n">
        <v>218</v>
      </c>
      <c r="B219" s="2" t="s">
        <v>630</v>
      </c>
      <c r="C219" s="2" t="s">
        <v>631</v>
      </c>
      <c r="D219" s="2" t="s">
        <v>380</v>
      </c>
      <c r="E219" s="2" t="s">
        <v>51</v>
      </c>
      <c r="F219" s="2" t="s">
        <v>632</v>
      </c>
      <c r="G219" s="2" t="s">
        <v>381</v>
      </c>
      <c r="H219" s="8" t="n">
        <v>1063.04265674431</v>
      </c>
      <c r="I219" s="2" t="s">
        <v>316</v>
      </c>
      <c r="J219" s="8" t="n">
        <v>1393627.90697674</v>
      </c>
      <c r="K219" s="6" t="n">
        <v>129</v>
      </c>
      <c r="L219" s="2"/>
      <c r="M219" s="10" t="b">
        <f aca="false">TRUE()</f>
        <v>1</v>
      </c>
      <c r="N219" s="9" t="n">
        <f aca="false">IF(H219="","",IF(H219&gt;=Assumptions!$B$5,1,IF(H219&gt;=Assumptions!$B$6,2,IF(H219&gt;=Assumptions!$B$7,3,""))))</f>
        <v>1</v>
      </c>
      <c r="O219" s="9" t="n">
        <f aca="false">IF(N219=1,Assumptions!$B$8,IF(N219=2,Assumptions!$B$9,IF(N219=3,Assumptions!$B$10,0)))</f>
        <v>3</v>
      </c>
      <c r="P219" s="6" t="s">
        <v>30</v>
      </c>
      <c r="Q219" s="6" t="s">
        <v>30</v>
      </c>
      <c r="R219" s="11" t="s">
        <v>30</v>
      </c>
      <c r="S219" s="6" t="s">
        <v>30</v>
      </c>
      <c r="T219" s="11" t="s">
        <v>30</v>
      </c>
      <c r="U219" s="6" t="s">
        <v>30</v>
      </c>
      <c r="V219" s="6" t="s">
        <v>30</v>
      </c>
      <c r="W219" s="6" t="s">
        <v>30</v>
      </c>
      <c r="X219" s="2" t="s">
        <v>30</v>
      </c>
      <c r="Y219" s="6" t="str">
        <f aca="false">IF(AND(X219="processed",ISNUMBER(S219)),S219*O219,"")</f>
        <v/>
      </c>
      <c r="Z219" s="6" t="n">
        <f aca="false">IF(ISNUMBER(K219),K219*O219,0)</f>
        <v>387</v>
      </c>
      <c r="AA219" s="2" t="s">
        <v>31</v>
      </c>
      <c r="AB219" s="6" t="n">
        <v>7856</v>
      </c>
      <c r="AC219" s="6" t="n">
        <v>6402</v>
      </c>
      <c r="AD219" s="6" t="n">
        <v>141</v>
      </c>
      <c r="AE219" s="6" t="n">
        <v>1689.58386230469</v>
      </c>
      <c r="AF219" s="8" t="n">
        <v>1069.796688325</v>
      </c>
      <c r="AG219" s="11" t="n">
        <v>-0.01716742956</v>
      </c>
      <c r="AH219" s="12" t="n">
        <v>0.830765934772357</v>
      </c>
      <c r="AI219" s="2" t="s">
        <v>317</v>
      </c>
      <c r="AJ219" s="2" t="s">
        <v>631</v>
      </c>
      <c r="AK219" s="2" t="s">
        <v>631</v>
      </c>
    </row>
    <row r="220" customFormat="false" ht="15" hidden="false" customHeight="false" outlineLevel="0" collapsed="false">
      <c r="A220" s="9" t="n">
        <v>219</v>
      </c>
      <c r="B220" s="2" t="s">
        <v>633</v>
      </c>
      <c r="C220" s="2" t="s">
        <v>133</v>
      </c>
      <c r="D220" s="2" t="s">
        <v>34</v>
      </c>
      <c r="E220" s="2" t="s">
        <v>35</v>
      </c>
      <c r="F220" s="2" t="s">
        <v>634</v>
      </c>
      <c r="G220" s="2" t="s">
        <v>318</v>
      </c>
      <c r="H220" s="8" t="n">
        <v>922.721492465163</v>
      </c>
      <c r="I220" s="2" t="s">
        <v>316</v>
      </c>
      <c r="J220" s="8" t="n">
        <v>1914294.57364341</v>
      </c>
      <c r="K220" s="6" t="n">
        <v>129</v>
      </c>
      <c r="L220" s="2"/>
      <c r="M220" s="10" t="b">
        <f aca="false">TRUE()</f>
        <v>1</v>
      </c>
      <c r="N220" s="9" t="n">
        <f aca="false">IF(H220="","",IF(H220&gt;=Assumptions!$B$5,1,IF(H220&gt;=Assumptions!$B$6,2,IF(H220&gt;=Assumptions!$B$7,3,""))))</f>
        <v>1</v>
      </c>
      <c r="O220" s="9" t="n">
        <f aca="false">IF(N220=1,Assumptions!$B$8,IF(N220=2,Assumptions!$B$9,IF(N220=3,Assumptions!$B$10,0)))</f>
        <v>3</v>
      </c>
      <c r="P220" s="6" t="s">
        <v>30</v>
      </c>
      <c r="Q220" s="6" t="s">
        <v>30</v>
      </c>
      <c r="R220" s="11" t="s">
        <v>30</v>
      </c>
      <c r="S220" s="6" t="s">
        <v>30</v>
      </c>
      <c r="T220" s="11" t="s">
        <v>30</v>
      </c>
      <c r="U220" s="6" t="s">
        <v>30</v>
      </c>
      <c r="V220" s="6" t="s">
        <v>30</v>
      </c>
      <c r="W220" s="6" t="s">
        <v>30</v>
      </c>
      <c r="X220" s="2" t="s">
        <v>30</v>
      </c>
      <c r="Y220" s="6" t="str">
        <f aca="false">IF(AND(X220="processed",ISNUMBER(S220)),S220*O220,"")</f>
        <v/>
      </c>
      <c r="Z220" s="6" t="n">
        <f aca="false">IF(ISNUMBER(K220),K220*O220,0)</f>
        <v>387</v>
      </c>
      <c r="AA220" s="2" t="s">
        <v>31</v>
      </c>
      <c r="AB220" s="6" t="n">
        <v>7707</v>
      </c>
      <c r="AC220" s="6" t="n">
        <v>5755</v>
      </c>
      <c r="AD220" s="6" t="n">
        <v>51</v>
      </c>
      <c r="AE220" s="6" t="n">
        <v>1739.98718261719</v>
      </c>
      <c r="AF220" s="8" t="n">
        <v>968.644476604</v>
      </c>
      <c r="AG220" s="11" t="n">
        <v>0.1141243922</v>
      </c>
      <c r="AH220" s="12" t="n">
        <v>0.999999999999999</v>
      </c>
      <c r="AI220" s="2" t="s">
        <v>319</v>
      </c>
      <c r="AJ220" s="2"/>
      <c r="AK220" s="2" t="s">
        <v>133</v>
      </c>
    </row>
    <row r="221" customFormat="false" ht="15" hidden="false" customHeight="false" outlineLevel="0" collapsed="false">
      <c r="A221" s="9" t="n">
        <v>220</v>
      </c>
      <c r="B221" s="2" t="s">
        <v>635</v>
      </c>
      <c r="C221" s="2" t="s">
        <v>636</v>
      </c>
      <c r="D221" s="2" t="s">
        <v>70</v>
      </c>
      <c r="E221" s="2" t="s">
        <v>71</v>
      </c>
      <c r="F221" s="2"/>
      <c r="G221" s="2" t="s">
        <v>329</v>
      </c>
      <c r="H221" s="8" t="n">
        <v>1199.90856423797</v>
      </c>
      <c r="I221" s="2" t="s">
        <v>316</v>
      </c>
      <c r="J221" s="8" t="n">
        <v>3155905.51181102</v>
      </c>
      <c r="K221" s="6" t="n">
        <v>127</v>
      </c>
      <c r="L221" s="2"/>
      <c r="M221" s="10" t="b">
        <f aca="false">TRUE()</f>
        <v>1</v>
      </c>
      <c r="N221" s="9" t="n">
        <f aca="false">IF(H221="","",IF(H221&gt;=Assumptions!$B$5,1,IF(H221&gt;=Assumptions!$B$6,2,IF(H221&gt;=Assumptions!$B$7,3,""))))</f>
        <v>1</v>
      </c>
      <c r="O221" s="9" t="n">
        <f aca="false">IF(N221=1,Assumptions!$B$8,IF(N221=2,Assumptions!$B$9,IF(N221=3,Assumptions!$B$10,0)))</f>
        <v>3</v>
      </c>
      <c r="P221" s="6" t="s">
        <v>30</v>
      </c>
      <c r="Q221" s="6" t="s">
        <v>30</v>
      </c>
      <c r="R221" s="11" t="s">
        <v>30</v>
      </c>
      <c r="S221" s="6" t="s">
        <v>30</v>
      </c>
      <c r="T221" s="11" t="s">
        <v>30</v>
      </c>
      <c r="U221" s="6" t="s">
        <v>30</v>
      </c>
      <c r="V221" s="6" t="s">
        <v>30</v>
      </c>
      <c r="W221" s="6" t="s">
        <v>30</v>
      </c>
      <c r="X221" s="2" t="s">
        <v>30</v>
      </c>
      <c r="Y221" s="6" t="str">
        <f aca="false">IF(AND(X221="processed",ISNUMBER(S221)),S221*O221,"")</f>
        <v/>
      </c>
      <c r="Z221" s="6" t="n">
        <f aca="false">IF(ISNUMBER(K221),K221*O221,0)</f>
        <v>381</v>
      </c>
      <c r="AA221" s="2" t="s">
        <v>31</v>
      </c>
      <c r="AB221" s="6" t="n">
        <v>5253</v>
      </c>
      <c r="AC221" s="6" t="n">
        <v>3861</v>
      </c>
      <c r="AD221" s="6" t="n">
        <v>92</v>
      </c>
      <c r="AE221" s="6" t="n">
        <v>2232.77368164063</v>
      </c>
      <c r="AF221" s="8" t="n">
        <v>1220.996228721</v>
      </c>
      <c r="AG221" s="11" t="n">
        <v>-0.04585461009</v>
      </c>
      <c r="AH221" s="12" t="n">
        <v>0.999999999999999</v>
      </c>
      <c r="AI221" s="2" t="s">
        <v>317</v>
      </c>
      <c r="AJ221" s="2" t="s">
        <v>636</v>
      </c>
      <c r="AK221" s="2" t="s">
        <v>70</v>
      </c>
    </row>
    <row r="222" customFormat="false" ht="15" hidden="false" customHeight="false" outlineLevel="0" collapsed="false">
      <c r="A222" s="9" t="n">
        <v>221</v>
      </c>
      <c r="B222" s="2" t="s">
        <v>637</v>
      </c>
      <c r="C222" s="2" t="s">
        <v>638</v>
      </c>
      <c r="D222" s="2" t="s">
        <v>70</v>
      </c>
      <c r="E222" s="2" t="s">
        <v>71</v>
      </c>
      <c r="F222" s="2"/>
      <c r="G222" s="2" t="s">
        <v>329</v>
      </c>
      <c r="H222" s="8" t="n">
        <v>653.183223071221</v>
      </c>
      <c r="I222" s="2" t="s">
        <v>316</v>
      </c>
      <c r="J222" s="8" t="n">
        <v>1241189.47368421</v>
      </c>
      <c r="K222" s="6" t="n">
        <v>190</v>
      </c>
      <c r="L222" s="2"/>
      <c r="M222" s="10" t="b">
        <f aca="false">TRUE()</f>
        <v>1</v>
      </c>
      <c r="N222" s="9" t="n">
        <f aca="false">IF(H222="","",IF(H222&gt;=Assumptions!$B$5,1,IF(H222&gt;=Assumptions!$B$6,2,IF(H222&gt;=Assumptions!$B$7,3,""))))</f>
        <v>2</v>
      </c>
      <c r="O222" s="9" t="n">
        <f aca="false">IF(N222=1,Assumptions!$B$8,IF(N222=2,Assumptions!$B$9,IF(N222=3,Assumptions!$B$10,0)))</f>
        <v>2</v>
      </c>
      <c r="P222" s="6" t="s">
        <v>30</v>
      </c>
      <c r="Q222" s="6" t="s">
        <v>30</v>
      </c>
      <c r="R222" s="11" t="s">
        <v>30</v>
      </c>
      <c r="S222" s="6" t="s">
        <v>30</v>
      </c>
      <c r="T222" s="11" t="s">
        <v>30</v>
      </c>
      <c r="U222" s="6" t="s">
        <v>30</v>
      </c>
      <c r="V222" s="6" t="s">
        <v>30</v>
      </c>
      <c r="W222" s="6" t="s">
        <v>30</v>
      </c>
      <c r="X222" s="2" t="s">
        <v>30</v>
      </c>
      <c r="Y222" s="6" t="str">
        <f aca="false">IF(AND(X222="processed",ISNUMBER(S222)),S222*O222,"")</f>
        <v/>
      </c>
      <c r="Z222" s="6" t="n">
        <f aca="false">IF(ISNUMBER(K222),K222*O222,0)</f>
        <v>380</v>
      </c>
      <c r="AA222" s="2" t="s">
        <v>31</v>
      </c>
      <c r="AB222" s="6" t="n">
        <v>15717</v>
      </c>
      <c r="AC222" s="6" t="n">
        <v>14414</v>
      </c>
      <c r="AD222" s="6" t="n">
        <v>125</v>
      </c>
      <c r="AE222" s="6" t="n">
        <v>2394.45043945313</v>
      </c>
      <c r="AF222" s="8" t="n">
        <v>661.932815762</v>
      </c>
      <c r="AG222" s="11" t="n">
        <v>-0.01018806946</v>
      </c>
      <c r="AH222" s="12" t="n">
        <v>0.999277633866864</v>
      </c>
      <c r="AI222" s="2" t="s">
        <v>317</v>
      </c>
      <c r="AJ222" s="2" t="s">
        <v>638</v>
      </c>
      <c r="AK222" s="2" t="s">
        <v>638</v>
      </c>
    </row>
    <row r="223" customFormat="false" ht="15" hidden="false" customHeight="false" outlineLevel="0" collapsed="false">
      <c r="A223" s="9" t="n">
        <v>222</v>
      </c>
      <c r="B223" s="2" t="s">
        <v>639</v>
      </c>
      <c r="C223" s="2" t="s">
        <v>27</v>
      </c>
      <c r="D223" s="2" t="s">
        <v>27</v>
      </c>
      <c r="E223" s="2" t="s">
        <v>28</v>
      </c>
      <c r="F223" s="2" t="s">
        <v>640</v>
      </c>
      <c r="G223" s="2" t="s">
        <v>315</v>
      </c>
      <c r="H223" s="8" t="n">
        <v>636.606304227679</v>
      </c>
      <c r="I223" s="2" t="s">
        <v>316</v>
      </c>
      <c r="J223" s="8" t="n">
        <v>1351736.84210526</v>
      </c>
      <c r="K223" s="6" t="n">
        <v>190</v>
      </c>
      <c r="L223" s="2"/>
      <c r="M223" s="10" t="b">
        <f aca="false">TRUE()</f>
        <v>1</v>
      </c>
      <c r="N223" s="9" t="n">
        <f aca="false">IF(H223="","",IF(H223&gt;=Assumptions!$B$5,1,IF(H223&gt;=Assumptions!$B$6,2,IF(H223&gt;=Assumptions!$B$7,3,""))))</f>
        <v>2</v>
      </c>
      <c r="O223" s="9" t="n">
        <f aca="false">IF(N223=1,Assumptions!$B$8,IF(N223=2,Assumptions!$B$9,IF(N223=3,Assumptions!$B$10,0)))</f>
        <v>2</v>
      </c>
      <c r="P223" s="6" t="s">
        <v>30</v>
      </c>
      <c r="Q223" s="6" t="s">
        <v>30</v>
      </c>
      <c r="R223" s="11" t="s">
        <v>30</v>
      </c>
      <c r="S223" s="6" t="s">
        <v>30</v>
      </c>
      <c r="T223" s="11" t="s">
        <v>30</v>
      </c>
      <c r="U223" s="6" t="s">
        <v>30</v>
      </c>
      <c r="V223" s="6" t="s">
        <v>30</v>
      </c>
      <c r="W223" s="6" t="s">
        <v>30</v>
      </c>
      <c r="X223" s="2" t="s">
        <v>30</v>
      </c>
      <c r="Y223" s="6" t="str">
        <f aca="false">IF(AND(X223="processed",ISNUMBER(S223)),S223*O223,"")</f>
        <v/>
      </c>
      <c r="Z223" s="6" t="n">
        <f aca="false">IF(ISNUMBER(K223),K223*O223,0)</f>
        <v>380</v>
      </c>
      <c r="AA223" s="2" t="s">
        <v>31</v>
      </c>
      <c r="AB223" s="6" t="n">
        <v>11412</v>
      </c>
      <c r="AC223" s="6" t="n">
        <v>10000</v>
      </c>
      <c r="AD223" s="6" t="n">
        <v>371</v>
      </c>
      <c r="AE223" s="6" t="n">
        <v>2652.19140625</v>
      </c>
      <c r="AF223" s="8" t="n">
        <v>634.195839675</v>
      </c>
      <c r="AG223" s="11" t="n">
        <v>-0.009132420091</v>
      </c>
      <c r="AH223" s="12" t="n">
        <v>0.999999999999999</v>
      </c>
      <c r="AI223" s="2" t="s">
        <v>335</v>
      </c>
      <c r="AJ223" s="2" t="s">
        <v>27</v>
      </c>
      <c r="AK223" s="2" t="s">
        <v>27</v>
      </c>
    </row>
    <row r="224" customFormat="false" ht="15" hidden="false" customHeight="false" outlineLevel="0" collapsed="false">
      <c r="A224" s="9" t="n">
        <v>223</v>
      </c>
      <c r="B224" s="2" t="s">
        <v>641</v>
      </c>
      <c r="C224" s="2" t="s">
        <v>642</v>
      </c>
      <c r="D224" s="2" t="s">
        <v>27</v>
      </c>
      <c r="E224" s="2" t="s">
        <v>28</v>
      </c>
      <c r="F224" s="2" t="s">
        <v>643</v>
      </c>
      <c r="G224" s="2" t="s">
        <v>315</v>
      </c>
      <c r="H224" s="8" t="n">
        <v>609.943707491222</v>
      </c>
      <c r="I224" s="2" t="s">
        <v>316</v>
      </c>
      <c r="J224" s="8" t="n">
        <v>1180687.83068783</v>
      </c>
      <c r="K224" s="6" t="n">
        <v>189</v>
      </c>
      <c r="L224" s="2"/>
      <c r="M224" s="10" t="b">
        <f aca="false">TRUE()</f>
        <v>1</v>
      </c>
      <c r="N224" s="9" t="n">
        <f aca="false">IF(H224="","",IF(H224&gt;=Assumptions!$B$5,1,IF(H224&gt;=Assumptions!$B$6,2,IF(H224&gt;=Assumptions!$B$7,3,""))))</f>
        <v>2</v>
      </c>
      <c r="O224" s="9" t="n">
        <f aca="false">IF(N224=1,Assumptions!$B$8,IF(N224=2,Assumptions!$B$9,IF(N224=3,Assumptions!$B$10,0)))</f>
        <v>2</v>
      </c>
      <c r="P224" s="6" t="s">
        <v>30</v>
      </c>
      <c r="Q224" s="6" t="s">
        <v>30</v>
      </c>
      <c r="R224" s="11" t="s">
        <v>30</v>
      </c>
      <c r="S224" s="6" t="s">
        <v>30</v>
      </c>
      <c r="T224" s="11" t="s">
        <v>30</v>
      </c>
      <c r="U224" s="6" t="s">
        <v>30</v>
      </c>
      <c r="V224" s="6" t="s">
        <v>30</v>
      </c>
      <c r="W224" s="6" t="s">
        <v>30</v>
      </c>
      <c r="X224" s="2" t="s">
        <v>30</v>
      </c>
      <c r="Y224" s="6" t="str">
        <f aca="false">IF(AND(X224="processed",ISNUMBER(S224)),S224*O224,"")</f>
        <v/>
      </c>
      <c r="Z224" s="6" t="n">
        <f aca="false">IF(ISNUMBER(K224),K224*O224,0)</f>
        <v>378</v>
      </c>
      <c r="AA224" s="2" t="s">
        <v>31</v>
      </c>
      <c r="AB224" s="6" t="n">
        <v>12151</v>
      </c>
      <c r="AC224" s="6" t="n">
        <v>10578</v>
      </c>
      <c r="AD224" s="6" t="n">
        <v>268</v>
      </c>
      <c r="AE224" s="6" t="n">
        <v>2442.71142578125</v>
      </c>
      <c r="AF224" s="8" t="n">
        <v>621.338410051</v>
      </c>
      <c r="AG224" s="11" t="n">
        <v>-0.01031696683</v>
      </c>
      <c r="AH224" s="12" t="n">
        <v>0.999510898390504</v>
      </c>
      <c r="AI224" s="2" t="s">
        <v>317</v>
      </c>
      <c r="AJ224" s="2" t="s">
        <v>642</v>
      </c>
      <c r="AK224" s="2" t="s">
        <v>642</v>
      </c>
    </row>
    <row r="225" customFormat="false" ht="15" hidden="false" customHeight="false" outlineLevel="0" collapsed="false">
      <c r="A225" s="9" t="n">
        <v>224</v>
      </c>
      <c r="B225" s="2" t="s">
        <v>644</v>
      </c>
      <c r="C225" s="2" t="s">
        <v>521</v>
      </c>
      <c r="D225" s="2" t="s">
        <v>70</v>
      </c>
      <c r="E225" s="2" t="s">
        <v>71</v>
      </c>
      <c r="F225" s="2"/>
      <c r="G225" s="2" t="s">
        <v>329</v>
      </c>
      <c r="H225" s="8" t="n">
        <v>636.694678426186</v>
      </c>
      <c r="I225" s="2" t="s">
        <v>316</v>
      </c>
      <c r="J225" s="8" t="n">
        <v>865930.85106383</v>
      </c>
      <c r="K225" s="6" t="n">
        <v>188</v>
      </c>
      <c r="L225" s="2"/>
      <c r="M225" s="10" t="b">
        <f aca="false">TRUE()</f>
        <v>1</v>
      </c>
      <c r="N225" s="9" t="n">
        <f aca="false">IF(H225="","",IF(H225&gt;=Assumptions!$B$5,1,IF(H225&gt;=Assumptions!$B$6,2,IF(H225&gt;=Assumptions!$B$7,3,""))))</f>
        <v>2</v>
      </c>
      <c r="O225" s="9" t="n">
        <f aca="false">IF(N225=1,Assumptions!$B$8,IF(N225=2,Assumptions!$B$9,IF(N225=3,Assumptions!$B$10,0)))</f>
        <v>2</v>
      </c>
      <c r="P225" s="6" t="s">
        <v>30</v>
      </c>
      <c r="Q225" s="6" t="s">
        <v>30</v>
      </c>
      <c r="R225" s="11" t="s">
        <v>30</v>
      </c>
      <c r="S225" s="6" t="s">
        <v>30</v>
      </c>
      <c r="T225" s="11" t="s">
        <v>30</v>
      </c>
      <c r="U225" s="6" t="s">
        <v>30</v>
      </c>
      <c r="V225" s="6" t="s">
        <v>30</v>
      </c>
      <c r="W225" s="6" t="s">
        <v>30</v>
      </c>
      <c r="X225" s="2" t="s">
        <v>30</v>
      </c>
      <c r="Y225" s="6" t="str">
        <f aca="false">IF(AND(X225="processed",ISNUMBER(S225)),S225*O225,"")</f>
        <v/>
      </c>
      <c r="Z225" s="6" t="n">
        <f aca="false">IF(ISNUMBER(K225),K225*O225,0)</f>
        <v>376</v>
      </c>
      <c r="AA225" s="2" t="s">
        <v>31</v>
      </c>
      <c r="AB225" s="6" t="n">
        <v>16423</v>
      </c>
      <c r="AC225" s="6" t="n">
        <v>11086</v>
      </c>
      <c r="AD225" s="6" t="n">
        <v>94</v>
      </c>
      <c r="AE225" s="6" t="n">
        <v>1726.62658691406</v>
      </c>
      <c r="AF225" s="8" t="n">
        <v>641.247833622</v>
      </c>
      <c r="AG225" s="11" t="n">
        <v>-0.05965209245</v>
      </c>
      <c r="AH225" s="12" t="n">
        <v>1</v>
      </c>
      <c r="AI225" s="2" t="s">
        <v>317</v>
      </c>
      <c r="AJ225" s="2" t="s">
        <v>521</v>
      </c>
      <c r="AK225" s="2" t="s">
        <v>521</v>
      </c>
    </row>
    <row r="226" customFormat="false" ht="15" hidden="false" customHeight="false" outlineLevel="0" collapsed="false">
      <c r="A226" s="9" t="n">
        <v>225</v>
      </c>
      <c r="B226" s="2" t="s">
        <v>645</v>
      </c>
      <c r="C226" s="2" t="s">
        <v>70</v>
      </c>
      <c r="D226" s="2" t="s">
        <v>70</v>
      </c>
      <c r="E226" s="2" t="s">
        <v>71</v>
      </c>
      <c r="F226" s="2" t="s">
        <v>646</v>
      </c>
      <c r="G226" s="2" t="s">
        <v>329</v>
      </c>
      <c r="H226" s="8" t="n">
        <v>983.59606341192</v>
      </c>
      <c r="I226" s="2" t="s">
        <v>316</v>
      </c>
      <c r="J226" s="8" t="n">
        <v>3206440</v>
      </c>
      <c r="K226" s="6" t="n">
        <v>125</v>
      </c>
      <c r="L226" s="2"/>
      <c r="M226" s="10" t="b">
        <f aca="false">TRUE()</f>
        <v>1</v>
      </c>
      <c r="N226" s="9" t="n">
        <f aca="false">IF(H226="","",IF(H226&gt;=Assumptions!$B$5,1,IF(H226&gt;=Assumptions!$B$6,2,IF(H226&gt;=Assumptions!$B$7,3,""))))</f>
        <v>1</v>
      </c>
      <c r="O226" s="9" t="n">
        <f aca="false">IF(N226=1,Assumptions!$B$8,IF(N226=2,Assumptions!$B$9,IF(N226=3,Assumptions!$B$10,0)))</f>
        <v>3</v>
      </c>
      <c r="P226" s="6" t="s">
        <v>30</v>
      </c>
      <c r="Q226" s="6" t="s">
        <v>30</v>
      </c>
      <c r="R226" s="11" t="s">
        <v>30</v>
      </c>
      <c r="S226" s="6" t="s">
        <v>30</v>
      </c>
      <c r="T226" s="11" t="s">
        <v>30</v>
      </c>
      <c r="U226" s="6" t="s">
        <v>30</v>
      </c>
      <c r="V226" s="6" t="s">
        <v>30</v>
      </c>
      <c r="W226" s="6" t="s">
        <v>30</v>
      </c>
      <c r="X226" s="2" t="s">
        <v>30</v>
      </c>
      <c r="Y226" s="6" t="str">
        <f aca="false">IF(AND(X226="processed",ISNUMBER(S226)),S226*O226,"")</f>
        <v/>
      </c>
      <c r="Z226" s="6" t="n">
        <f aca="false">IF(ISNUMBER(K226),K226*O226,0)</f>
        <v>375</v>
      </c>
      <c r="AA226" s="2" t="s">
        <v>31</v>
      </c>
      <c r="AB226" s="6" t="n">
        <v>4640</v>
      </c>
      <c r="AC226" s="6" t="n">
        <v>3486</v>
      </c>
      <c r="AD226" s="6" t="n">
        <v>116</v>
      </c>
      <c r="AE226" s="6" t="n">
        <v>2915.20190429688</v>
      </c>
      <c r="AF226" s="8" t="n">
        <v>1087.214503431</v>
      </c>
      <c r="AG226" s="11" t="n">
        <v>0.140473322</v>
      </c>
      <c r="AH226" s="12" t="n">
        <v>1</v>
      </c>
      <c r="AI226" s="2" t="s">
        <v>317</v>
      </c>
      <c r="AJ226" s="2" t="s">
        <v>70</v>
      </c>
      <c r="AK226" s="2" t="s">
        <v>70</v>
      </c>
    </row>
    <row r="227" customFormat="false" ht="15" hidden="false" customHeight="false" outlineLevel="0" collapsed="false">
      <c r="A227" s="9" t="n">
        <v>226</v>
      </c>
      <c r="B227" s="2" t="s">
        <v>647</v>
      </c>
      <c r="C227" s="2" t="s">
        <v>648</v>
      </c>
      <c r="D227" s="2" t="s">
        <v>44</v>
      </c>
      <c r="E227" s="2" t="s">
        <v>44</v>
      </c>
      <c r="F227" s="2" t="s">
        <v>649</v>
      </c>
      <c r="G227" s="2" t="s">
        <v>322</v>
      </c>
      <c r="H227" s="8" t="n">
        <v>1498.7465025108</v>
      </c>
      <c r="I227" s="2" t="s">
        <v>316</v>
      </c>
      <c r="J227" s="8" t="n">
        <v>3197264</v>
      </c>
      <c r="K227" s="6" t="n">
        <v>125</v>
      </c>
      <c r="L227" s="2"/>
      <c r="M227" s="10" t="b">
        <f aca="false">TRUE()</f>
        <v>1</v>
      </c>
      <c r="N227" s="9" t="n">
        <f aca="false">IF(H227="","",IF(H227&gt;=Assumptions!$B$5,1,IF(H227&gt;=Assumptions!$B$6,2,IF(H227&gt;=Assumptions!$B$7,3,""))))</f>
        <v>1</v>
      </c>
      <c r="O227" s="9" t="n">
        <f aca="false">IF(N227=1,Assumptions!$B$8,IF(N227=2,Assumptions!$B$9,IF(N227=3,Assumptions!$B$10,0)))</f>
        <v>3</v>
      </c>
      <c r="P227" s="6" t="s">
        <v>30</v>
      </c>
      <c r="Q227" s="6" t="s">
        <v>30</v>
      </c>
      <c r="R227" s="11" t="s">
        <v>30</v>
      </c>
      <c r="S227" s="6" t="s">
        <v>30</v>
      </c>
      <c r="T227" s="11" t="s">
        <v>30</v>
      </c>
      <c r="U227" s="6" t="s">
        <v>30</v>
      </c>
      <c r="V227" s="6" t="s">
        <v>30</v>
      </c>
      <c r="W227" s="6" t="s">
        <v>30</v>
      </c>
      <c r="X227" s="2" t="s">
        <v>30</v>
      </c>
      <c r="Y227" s="6" t="str">
        <f aca="false">IF(AND(X227="processed",ISNUMBER(S227)),S227*O227,"")</f>
        <v/>
      </c>
      <c r="Z227" s="6" t="n">
        <f aca="false">IF(ISNUMBER(K227),K227*O227,0)</f>
        <v>375</v>
      </c>
      <c r="AA227" s="2" t="s">
        <v>31</v>
      </c>
      <c r="AB227" s="6" t="n">
        <v>8304</v>
      </c>
      <c r="AC227" s="6" t="n">
        <v>6202</v>
      </c>
      <c r="AD227" s="6" t="n">
        <v>219</v>
      </c>
      <c r="AE227" s="6" t="n">
        <v>1922.49462890625</v>
      </c>
      <c r="AF227" s="8" t="n">
        <v>1628.194558945</v>
      </c>
      <c r="AG227" s="11" t="n">
        <v>0.1344839507</v>
      </c>
      <c r="AH227" s="12" t="n">
        <v>0.789433966640498</v>
      </c>
      <c r="AI227" s="2" t="s">
        <v>317</v>
      </c>
      <c r="AJ227" s="2" t="s">
        <v>648</v>
      </c>
      <c r="AK227" s="2" t="s">
        <v>648</v>
      </c>
    </row>
    <row r="228" customFormat="false" ht="15" hidden="false" customHeight="false" outlineLevel="0" collapsed="false">
      <c r="A228" s="9" t="n">
        <v>227</v>
      </c>
      <c r="B228" s="2" t="s">
        <v>650</v>
      </c>
      <c r="C228" s="2" t="s">
        <v>651</v>
      </c>
      <c r="D228" s="2" t="s">
        <v>70</v>
      </c>
      <c r="E228" s="2" t="s">
        <v>71</v>
      </c>
      <c r="F228" s="2"/>
      <c r="G228" s="2" t="s">
        <v>329</v>
      </c>
      <c r="H228" s="8" t="n">
        <v>1072.75233410826</v>
      </c>
      <c r="I228" s="2" t="s">
        <v>316</v>
      </c>
      <c r="J228" s="8" t="n">
        <v>3059435.48387097</v>
      </c>
      <c r="K228" s="6" t="n">
        <v>124</v>
      </c>
      <c r="L228" s="2"/>
      <c r="M228" s="10" t="b">
        <f aca="false">TRUE()</f>
        <v>1</v>
      </c>
      <c r="N228" s="9" t="n">
        <f aca="false">IF(H228="","",IF(H228&gt;=Assumptions!$B$5,1,IF(H228&gt;=Assumptions!$B$6,2,IF(H228&gt;=Assumptions!$B$7,3,""))))</f>
        <v>1</v>
      </c>
      <c r="O228" s="9" t="n">
        <f aca="false">IF(N228=1,Assumptions!$B$8,IF(N228=2,Assumptions!$B$9,IF(N228=3,Assumptions!$B$10,0)))</f>
        <v>3</v>
      </c>
      <c r="P228" s="6" t="s">
        <v>30</v>
      </c>
      <c r="Q228" s="6" t="s">
        <v>30</v>
      </c>
      <c r="R228" s="11" t="s">
        <v>30</v>
      </c>
      <c r="S228" s="6" t="s">
        <v>30</v>
      </c>
      <c r="T228" s="11" t="s">
        <v>30</v>
      </c>
      <c r="U228" s="6" t="s">
        <v>30</v>
      </c>
      <c r="V228" s="6" t="s">
        <v>30</v>
      </c>
      <c r="W228" s="6" t="s">
        <v>30</v>
      </c>
      <c r="X228" s="2" t="s">
        <v>30</v>
      </c>
      <c r="Y228" s="6" t="str">
        <f aca="false">IF(AND(X228="processed",ISNUMBER(S228)),S228*O228,"")</f>
        <v/>
      </c>
      <c r="Z228" s="6" t="n">
        <f aca="false">IF(ISNUMBER(K228),K228*O228,0)</f>
        <v>372</v>
      </c>
      <c r="AA228" s="2" t="s">
        <v>31</v>
      </c>
      <c r="AB228" s="6" t="n">
        <v>8358</v>
      </c>
      <c r="AC228" s="6" t="n">
        <v>6277</v>
      </c>
      <c r="AD228" s="6" t="n">
        <v>144</v>
      </c>
      <c r="AE228" s="6" t="n">
        <v>2278.64086914063</v>
      </c>
      <c r="AF228" s="8" t="n">
        <v>1113.663580186</v>
      </c>
      <c r="AG228" s="11" t="n">
        <v>-0.01557034736</v>
      </c>
      <c r="AH228" s="12" t="n">
        <v>1</v>
      </c>
      <c r="AI228" s="2" t="s">
        <v>317</v>
      </c>
      <c r="AJ228" s="2" t="s">
        <v>651</v>
      </c>
      <c r="AK228" s="2" t="s">
        <v>651</v>
      </c>
    </row>
    <row r="229" customFormat="false" ht="15" hidden="false" customHeight="false" outlineLevel="0" collapsed="false">
      <c r="A229" s="9" t="n">
        <v>228</v>
      </c>
      <c r="B229" s="2" t="s">
        <v>652</v>
      </c>
      <c r="C229" s="2" t="s">
        <v>540</v>
      </c>
      <c r="D229" s="2" t="s">
        <v>540</v>
      </c>
      <c r="E229" s="2" t="s">
        <v>51</v>
      </c>
      <c r="F229" s="2"/>
      <c r="G229" s="2" t="s">
        <v>541</v>
      </c>
      <c r="H229" s="8" t="n">
        <v>636.221207309622</v>
      </c>
      <c r="I229" s="2" t="s">
        <v>316</v>
      </c>
      <c r="J229" s="8" t="n">
        <v>936535.135135135</v>
      </c>
      <c r="K229" s="6" t="n">
        <v>185</v>
      </c>
      <c r="L229" s="2"/>
      <c r="M229" s="10" t="b">
        <f aca="false">TRUE()</f>
        <v>1</v>
      </c>
      <c r="N229" s="9" t="n">
        <f aca="false">IF(H229="","",IF(H229&gt;=Assumptions!$B$5,1,IF(H229&gt;=Assumptions!$B$6,2,IF(H229&gt;=Assumptions!$B$7,3,""))))</f>
        <v>2</v>
      </c>
      <c r="O229" s="9" t="n">
        <f aca="false">IF(N229=1,Assumptions!$B$8,IF(N229=2,Assumptions!$B$9,IF(N229=3,Assumptions!$B$10,0)))</f>
        <v>2</v>
      </c>
      <c r="P229" s="6" t="s">
        <v>30</v>
      </c>
      <c r="Q229" s="6" t="s">
        <v>30</v>
      </c>
      <c r="R229" s="11" t="s">
        <v>30</v>
      </c>
      <c r="S229" s="6" t="s">
        <v>30</v>
      </c>
      <c r="T229" s="11" t="s">
        <v>30</v>
      </c>
      <c r="U229" s="6" t="s">
        <v>30</v>
      </c>
      <c r="V229" s="6" t="s">
        <v>30</v>
      </c>
      <c r="W229" s="6" t="s">
        <v>30</v>
      </c>
      <c r="X229" s="2" t="s">
        <v>30</v>
      </c>
      <c r="Y229" s="6" t="str">
        <f aca="false">IF(AND(X229="processed",ISNUMBER(S229)),S229*O229,"")</f>
        <v/>
      </c>
      <c r="Z229" s="6" t="n">
        <f aca="false">IF(ISNUMBER(K229),K229*O229,0)</f>
        <v>370</v>
      </c>
      <c r="AA229" s="2" t="s">
        <v>31</v>
      </c>
      <c r="AB229" s="6" t="n">
        <v>13372</v>
      </c>
      <c r="AC229" s="6" t="n">
        <v>10128</v>
      </c>
      <c r="AD229" s="6" t="n">
        <v>361</v>
      </c>
      <c r="AE229" s="6" t="n">
        <v>1800.123046875</v>
      </c>
      <c r="AF229" s="8" t="n">
        <v>618.503858155</v>
      </c>
      <c r="AG229" s="11" t="n">
        <v>-0.1009203007</v>
      </c>
      <c r="AH229" s="12" t="n">
        <v>0.994956613221022</v>
      </c>
      <c r="AI229" s="2" t="s">
        <v>317</v>
      </c>
      <c r="AJ229" s="2" t="s">
        <v>540</v>
      </c>
      <c r="AK229" s="2" t="s">
        <v>540</v>
      </c>
    </row>
    <row r="230" customFormat="false" ht="15" hidden="false" customHeight="false" outlineLevel="0" collapsed="false">
      <c r="A230" s="9" t="n">
        <v>229</v>
      </c>
      <c r="B230" s="2" t="s">
        <v>653</v>
      </c>
      <c r="C230" s="2" t="s">
        <v>452</v>
      </c>
      <c r="D230" s="2" t="s">
        <v>70</v>
      </c>
      <c r="E230" s="2" t="s">
        <v>71</v>
      </c>
      <c r="F230" s="2"/>
      <c r="G230" s="2" t="s">
        <v>329</v>
      </c>
      <c r="H230" s="8" t="n">
        <v>869.514616805197</v>
      </c>
      <c r="I230" s="2" t="s">
        <v>316</v>
      </c>
      <c r="J230" s="8" t="n">
        <v>1303401.63934426</v>
      </c>
      <c r="K230" s="6" t="n">
        <v>122</v>
      </c>
      <c r="L230" s="2"/>
      <c r="M230" s="10" t="b">
        <f aca="false">TRUE()</f>
        <v>1</v>
      </c>
      <c r="N230" s="9" t="n">
        <f aca="false">IF(H230="","",IF(H230&gt;=Assumptions!$B$5,1,IF(H230&gt;=Assumptions!$B$6,2,IF(H230&gt;=Assumptions!$B$7,3,""))))</f>
        <v>1</v>
      </c>
      <c r="O230" s="9" t="n">
        <f aca="false">IF(N230=1,Assumptions!$B$8,IF(N230=2,Assumptions!$B$9,IF(N230=3,Assumptions!$B$10,0)))</f>
        <v>3</v>
      </c>
      <c r="P230" s="6" t="s">
        <v>30</v>
      </c>
      <c r="Q230" s="6" t="s">
        <v>30</v>
      </c>
      <c r="R230" s="11" t="s">
        <v>30</v>
      </c>
      <c r="S230" s="6" t="s">
        <v>30</v>
      </c>
      <c r="T230" s="11" t="s">
        <v>30</v>
      </c>
      <c r="U230" s="6" t="s">
        <v>30</v>
      </c>
      <c r="V230" s="6" t="s">
        <v>30</v>
      </c>
      <c r="W230" s="6" t="s">
        <v>30</v>
      </c>
      <c r="X230" s="2" t="s">
        <v>30</v>
      </c>
      <c r="Y230" s="6" t="str">
        <f aca="false">IF(AND(X230="processed",ISNUMBER(S230)),S230*O230,"")</f>
        <v/>
      </c>
      <c r="Z230" s="6" t="n">
        <f aca="false">IF(ISNUMBER(K230),K230*O230,0)</f>
        <v>366</v>
      </c>
      <c r="AA230" s="2" t="s">
        <v>31</v>
      </c>
      <c r="AB230" s="6" t="n">
        <v>10095</v>
      </c>
      <c r="AC230" s="6" t="n">
        <v>7434</v>
      </c>
      <c r="AD230" s="6" t="n">
        <v>58</v>
      </c>
      <c r="AE230" s="6" t="n">
        <v>1694.98254394531</v>
      </c>
      <c r="AF230" s="8" t="n">
        <v>895.587592835</v>
      </c>
      <c r="AG230" s="11" t="n">
        <v>-0.01485364788</v>
      </c>
      <c r="AH230" s="12" t="n">
        <v>1</v>
      </c>
      <c r="AI230" s="2" t="s">
        <v>317</v>
      </c>
      <c r="AJ230" s="2" t="s">
        <v>452</v>
      </c>
      <c r="AK230" s="2" t="s">
        <v>452</v>
      </c>
    </row>
    <row r="231" customFormat="false" ht="15" hidden="false" customHeight="false" outlineLevel="0" collapsed="false">
      <c r="A231" s="9" t="n">
        <v>230</v>
      </c>
      <c r="B231" s="2" t="s">
        <v>654</v>
      </c>
      <c r="C231" s="2" t="s">
        <v>38</v>
      </c>
      <c r="D231" s="2" t="s">
        <v>39</v>
      </c>
      <c r="E231" s="2" t="s">
        <v>40</v>
      </c>
      <c r="F231" s="2" t="s">
        <v>655</v>
      </c>
      <c r="G231" s="2" t="s">
        <v>320</v>
      </c>
      <c r="H231" s="8" t="n">
        <v>804.720626440639</v>
      </c>
      <c r="I231" s="2" t="s">
        <v>316</v>
      </c>
      <c r="J231" s="8" t="n">
        <v>1008745.90163934</v>
      </c>
      <c r="K231" s="6" t="n">
        <v>122</v>
      </c>
      <c r="L231" s="2"/>
      <c r="M231" s="10" t="b">
        <f aca="false">TRUE()</f>
        <v>1</v>
      </c>
      <c r="N231" s="9" t="n">
        <f aca="false">IF(H231="","",IF(H231&gt;=Assumptions!$B$5,1,IF(H231&gt;=Assumptions!$B$6,2,IF(H231&gt;=Assumptions!$B$7,3,""))))</f>
        <v>1</v>
      </c>
      <c r="O231" s="9" t="n">
        <f aca="false">IF(N231=1,Assumptions!$B$8,IF(N231=2,Assumptions!$B$9,IF(N231=3,Assumptions!$B$10,0)))</f>
        <v>3</v>
      </c>
      <c r="P231" s="6" t="s">
        <v>30</v>
      </c>
      <c r="Q231" s="6" t="s">
        <v>30</v>
      </c>
      <c r="R231" s="11" t="s">
        <v>30</v>
      </c>
      <c r="S231" s="6" t="s">
        <v>30</v>
      </c>
      <c r="T231" s="11" t="s">
        <v>30</v>
      </c>
      <c r="U231" s="6" t="s">
        <v>30</v>
      </c>
      <c r="V231" s="6" t="s">
        <v>30</v>
      </c>
      <c r="W231" s="6" t="s">
        <v>30</v>
      </c>
      <c r="X231" s="2" t="s">
        <v>30</v>
      </c>
      <c r="Y231" s="6" t="str">
        <f aca="false">IF(AND(X231="processed",ISNUMBER(S231)),S231*O231,"")</f>
        <v/>
      </c>
      <c r="Z231" s="6" t="n">
        <f aca="false">IF(ISNUMBER(K231),K231*O231,0)</f>
        <v>366</v>
      </c>
      <c r="AA231" s="2" t="s">
        <v>31</v>
      </c>
      <c r="AB231" s="6" t="n">
        <v>13509</v>
      </c>
      <c r="AC231" s="6" t="n">
        <v>9406</v>
      </c>
      <c r="AD231" s="6" t="n">
        <v>119</v>
      </c>
      <c r="AE231" s="6" t="n">
        <v>2103.95166015625</v>
      </c>
      <c r="AF231" s="8" t="n">
        <v>784.427658338</v>
      </c>
      <c r="AG231" s="11" t="n">
        <v>0.06292457571</v>
      </c>
      <c r="AH231" s="12" t="n">
        <v>1</v>
      </c>
      <c r="AI231" s="2" t="s">
        <v>317</v>
      </c>
      <c r="AJ231" s="2" t="s">
        <v>38</v>
      </c>
      <c r="AK231" s="2" t="s">
        <v>38</v>
      </c>
    </row>
    <row r="232" customFormat="false" ht="15" hidden="false" customHeight="false" outlineLevel="0" collapsed="false">
      <c r="A232" s="9" t="n">
        <v>231</v>
      </c>
      <c r="B232" s="2" t="s">
        <v>656</v>
      </c>
      <c r="C232" s="2" t="s">
        <v>657</v>
      </c>
      <c r="D232" s="2" t="s">
        <v>70</v>
      </c>
      <c r="E232" s="2" t="s">
        <v>71</v>
      </c>
      <c r="F232" s="2"/>
      <c r="G232" s="2" t="s">
        <v>329</v>
      </c>
      <c r="H232" s="8" t="n">
        <v>614.5156077</v>
      </c>
      <c r="I232" s="2" t="s">
        <v>316</v>
      </c>
      <c r="J232" s="8" t="n">
        <v>1549332.41758242</v>
      </c>
      <c r="K232" s="6" t="n">
        <v>182</v>
      </c>
      <c r="L232" s="2"/>
      <c r="M232" s="10" t="b">
        <f aca="false">TRUE()</f>
        <v>1</v>
      </c>
      <c r="N232" s="9" t="n">
        <f aca="false">IF(H232="","",IF(H232&gt;=Assumptions!$B$5,1,IF(H232&gt;=Assumptions!$B$6,2,IF(H232&gt;=Assumptions!$B$7,3,""))))</f>
        <v>2</v>
      </c>
      <c r="O232" s="9" t="n">
        <f aca="false">IF(N232=1,Assumptions!$B$8,IF(N232=2,Assumptions!$B$9,IF(N232=3,Assumptions!$B$10,0)))</f>
        <v>2</v>
      </c>
      <c r="P232" s="6" t="s">
        <v>30</v>
      </c>
      <c r="Q232" s="6" t="s">
        <v>30</v>
      </c>
      <c r="R232" s="11" t="s">
        <v>30</v>
      </c>
      <c r="S232" s="6" t="s">
        <v>30</v>
      </c>
      <c r="T232" s="11" t="s">
        <v>30</v>
      </c>
      <c r="U232" s="6" t="s">
        <v>30</v>
      </c>
      <c r="V232" s="6" t="s">
        <v>30</v>
      </c>
      <c r="W232" s="6" t="s">
        <v>30</v>
      </c>
      <c r="X232" s="2" t="s">
        <v>30</v>
      </c>
      <c r="Y232" s="6" t="str">
        <f aca="false">IF(AND(X232="processed",ISNUMBER(S232)),S232*O232,"")</f>
        <v/>
      </c>
      <c r="Z232" s="6" t="n">
        <f aca="false">IF(ISNUMBER(K232),K232*O232,0)</f>
        <v>364</v>
      </c>
      <c r="AA232" s="2" t="s">
        <v>31</v>
      </c>
      <c r="AB232" s="6" t="n">
        <v>9837</v>
      </c>
      <c r="AC232" s="6" t="n">
        <v>8355</v>
      </c>
      <c r="AD232" s="6" t="n">
        <v>318</v>
      </c>
      <c r="AE232" s="6" t="n">
        <v>2612.12573242188</v>
      </c>
      <c r="AF232" s="8" t="n">
        <v>615.90005218</v>
      </c>
      <c r="AG232" s="11" t="n">
        <v>-0.0539921531</v>
      </c>
      <c r="AH232" s="12" t="n">
        <v>0.999843811296403</v>
      </c>
      <c r="AI232" s="2" t="s">
        <v>317</v>
      </c>
      <c r="AJ232" s="2" t="s">
        <v>657</v>
      </c>
      <c r="AK232" s="2" t="s">
        <v>559</v>
      </c>
    </row>
    <row r="233" customFormat="false" ht="15" hidden="false" customHeight="false" outlineLevel="0" collapsed="false">
      <c r="A233" s="9" t="n">
        <v>232</v>
      </c>
      <c r="B233" s="2" t="s">
        <v>658</v>
      </c>
      <c r="C233" s="2" t="s">
        <v>659</v>
      </c>
      <c r="D233" s="2" t="s">
        <v>62</v>
      </c>
      <c r="E233" s="2" t="s">
        <v>40</v>
      </c>
      <c r="F233" s="2"/>
      <c r="G233" s="2" t="s">
        <v>324</v>
      </c>
      <c r="H233" s="8" t="n">
        <v>819.23965625919</v>
      </c>
      <c r="I233" s="2" t="s">
        <v>316</v>
      </c>
      <c r="J233" s="8" t="n">
        <v>1661239.66942149</v>
      </c>
      <c r="K233" s="6" t="n">
        <v>121</v>
      </c>
      <c r="L233" s="2"/>
      <c r="M233" s="10" t="b">
        <f aca="false">TRUE()</f>
        <v>1</v>
      </c>
      <c r="N233" s="9" t="n">
        <f aca="false">IF(H233="","",IF(H233&gt;=Assumptions!$B$5,1,IF(H233&gt;=Assumptions!$B$6,2,IF(H233&gt;=Assumptions!$B$7,3,""))))</f>
        <v>1</v>
      </c>
      <c r="O233" s="9" t="n">
        <f aca="false">IF(N233=1,Assumptions!$B$8,IF(N233=2,Assumptions!$B$9,IF(N233=3,Assumptions!$B$10,0)))</f>
        <v>3</v>
      </c>
      <c r="P233" s="6" t="s">
        <v>30</v>
      </c>
      <c r="Q233" s="6" t="s">
        <v>30</v>
      </c>
      <c r="R233" s="11" t="s">
        <v>30</v>
      </c>
      <c r="S233" s="6" t="s">
        <v>30</v>
      </c>
      <c r="T233" s="11" t="s">
        <v>30</v>
      </c>
      <c r="U233" s="6" t="s">
        <v>30</v>
      </c>
      <c r="V233" s="6" t="s">
        <v>30</v>
      </c>
      <c r="W233" s="6" t="s">
        <v>30</v>
      </c>
      <c r="X233" s="2" t="s">
        <v>30</v>
      </c>
      <c r="Y233" s="6" t="str">
        <f aca="false">IF(AND(X233="processed",ISNUMBER(S233)),S233*O233,"")</f>
        <v/>
      </c>
      <c r="Z233" s="6" t="n">
        <f aca="false">IF(ISNUMBER(K233),K233*O233,0)</f>
        <v>363</v>
      </c>
      <c r="AA233" s="2" t="s">
        <v>31</v>
      </c>
      <c r="AB233" s="6" t="n">
        <v>8696</v>
      </c>
      <c r="AC233" s="6" t="n">
        <v>7139</v>
      </c>
      <c r="AD233" s="6" t="n">
        <v>187</v>
      </c>
      <c r="AE233" s="6" t="n">
        <v>2144.0673828125</v>
      </c>
      <c r="AF233" s="8" t="n">
        <v>785.686728395</v>
      </c>
      <c r="AG233" s="11" t="n">
        <v>-0.1774379735</v>
      </c>
      <c r="AH233" s="12" t="n">
        <v>0.989454454215657</v>
      </c>
      <c r="AI233" s="2" t="s">
        <v>660</v>
      </c>
      <c r="AJ233" s="2" t="s">
        <v>659</v>
      </c>
      <c r="AK233" s="2" t="s">
        <v>659</v>
      </c>
    </row>
    <row r="234" customFormat="false" ht="15" hidden="false" customHeight="false" outlineLevel="0" collapsed="false">
      <c r="A234" s="9" t="n">
        <v>233</v>
      </c>
      <c r="B234" s="2" t="s">
        <v>661</v>
      </c>
      <c r="C234" s="2" t="s">
        <v>116</v>
      </c>
      <c r="D234" s="2" t="s">
        <v>39</v>
      </c>
      <c r="E234" s="2" t="s">
        <v>40</v>
      </c>
      <c r="F234" s="2" t="s">
        <v>662</v>
      </c>
      <c r="G234" s="2" t="s">
        <v>320</v>
      </c>
      <c r="H234" s="8" t="n">
        <v>1468.8014028271</v>
      </c>
      <c r="I234" s="2" t="s">
        <v>316</v>
      </c>
      <c r="J234" s="8" t="n">
        <v>2522892.56198347</v>
      </c>
      <c r="K234" s="6" t="n">
        <v>121</v>
      </c>
      <c r="L234" s="2"/>
      <c r="M234" s="10" t="b">
        <f aca="false">TRUE()</f>
        <v>1</v>
      </c>
      <c r="N234" s="9" t="n">
        <f aca="false">IF(H234="","",IF(H234&gt;=Assumptions!$B$5,1,IF(H234&gt;=Assumptions!$B$6,2,IF(H234&gt;=Assumptions!$B$7,3,""))))</f>
        <v>1</v>
      </c>
      <c r="O234" s="9" t="n">
        <f aca="false">IF(N234=1,Assumptions!$B$8,IF(N234=2,Assumptions!$B$9,IF(N234=3,Assumptions!$B$10,0)))</f>
        <v>3</v>
      </c>
      <c r="P234" s="6" t="s">
        <v>30</v>
      </c>
      <c r="Q234" s="6" t="s">
        <v>30</v>
      </c>
      <c r="R234" s="11" t="s">
        <v>30</v>
      </c>
      <c r="S234" s="6" t="s">
        <v>30</v>
      </c>
      <c r="T234" s="11" t="s">
        <v>30</v>
      </c>
      <c r="U234" s="6" t="s">
        <v>30</v>
      </c>
      <c r="V234" s="6" t="s">
        <v>30</v>
      </c>
      <c r="W234" s="6" t="s">
        <v>30</v>
      </c>
      <c r="X234" s="2" t="s">
        <v>30</v>
      </c>
      <c r="Y234" s="6" t="str">
        <f aca="false">IF(AND(X234="processed",ISNUMBER(S234)),S234*O234,"")</f>
        <v/>
      </c>
      <c r="Z234" s="6" t="n">
        <f aca="false">IF(ISNUMBER(K234),K234*O234,0)</f>
        <v>363</v>
      </c>
      <c r="AA234" s="2" t="s">
        <v>31</v>
      </c>
      <c r="AB234" s="6" t="n">
        <v>11649</v>
      </c>
      <c r="AC234" s="6" t="n">
        <v>8729</v>
      </c>
      <c r="AD234" s="6" t="n">
        <v>255</v>
      </c>
      <c r="AE234" s="6" t="n">
        <v>2213.94775390625</v>
      </c>
      <c r="AF234" s="8" t="n">
        <v>1542.079446903</v>
      </c>
      <c r="AG234" s="11" t="n">
        <v>-0.001270024277</v>
      </c>
      <c r="AH234" s="12" t="n">
        <v>1</v>
      </c>
      <c r="AI234" s="2" t="s">
        <v>317</v>
      </c>
      <c r="AJ234" s="2" t="s">
        <v>116</v>
      </c>
      <c r="AK234" s="2" t="s">
        <v>116</v>
      </c>
    </row>
    <row r="235" customFormat="false" ht="15" hidden="false" customHeight="false" outlineLevel="0" collapsed="false">
      <c r="A235" s="9" t="n">
        <v>234</v>
      </c>
      <c r="B235" s="2" t="s">
        <v>663</v>
      </c>
      <c r="C235" s="2" t="s">
        <v>146</v>
      </c>
      <c r="D235" s="2" t="s">
        <v>27</v>
      </c>
      <c r="E235" s="2" t="s">
        <v>28</v>
      </c>
      <c r="F235" s="2" t="s">
        <v>664</v>
      </c>
      <c r="G235" s="2" t="s">
        <v>315</v>
      </c>
      <c r="H235" s="8" t="n">
        <v>643.031761667276</v>
      </c>
      <c r="I235" s="2" t="s">
        <v>316</v>
      </c>
      <c r="J235" s="8" t="n">
        <v>1262629.83425414</v>
      </c>
      <c r="K235" s="6" t="n">
        <v>181</v>
      </c>
      <c r="L235" s="2"/>
      <c r="M235" s="10" t="b">
        <f aca="false">TRUE()</f>
        <v>1</v>
      </c>
      <c r="N235" s="9" t="n">
        <f aca="false">IF(H235="","",IF(H235&gt;=Assumptions!$B$5,1,IF(H235&gt;=Assumptions!$B$6,2,IF(H235&gt;=Assumptions!$B$7,3,""))))</f>
        <v>2</v>
      </c>
      <c r="O235" s="9" t="n">
        <f aca="false">IF(N235=1,Assumptions!$B$8,IF(N235=2,Assumptions!$B$9,IF(N235=3,Assumptions!$B$10,0)))</f>
        <v>2</v>
      </c>
      <c r="P235" s="6" t="s">
        <v>30</v>
      </c>
      <c r="Q235" s="6" t="s">
        <v>30</v>
      </c>
      <c r="R235" s="11" t="s">
        <v>30</v>
      </c>
      <c r="S235" s="6" t="s">
        <v>30</v>
      </c>
      <c r="T235" s="11" t="s">
        <v>30</v>
      </c>
      <c r="U235" s="6" t="s">
        <v>30</v>
      </c>
      <c r="V235" s="6" t="s">
        <v>30</v>
      </c>
      <c r="W235" s="6" t="s">
        <v>30</v>
      </c>
      <c r="X235" s="2" t="s">
        <v>30</v>
      </c>
      <c r="Y235" s="6" t="str">
        <f aca="false">IF(AND(X235="processed",ISNUMBER(S235)),S235*O235,"")</f>
        <v/>
      </c>
      <c r="Z235" s="6" t="n">
        <f aca="false">IF(ISNUMBER(K235),K235*O235,0)</f>
        <v>362</v>
      </c>
      <c r="AA235" s="2" t="s">
        <v>31</v>
      </c>
      <c r="AB235" s="6" t="n">
        <v>9704</v>
      </c>
      <c r="AC235" s="6" t="n">
        <v>8727</v>
      </c>
      <c r="AD235" s="6" t="n">
        <v>193</v>
      </c>
      <c r="AE235" s="6" t="n">
        <v>1935.60339355469</v>
      </c>
      <c r="AF235" s="8" t="n">
        <v>658.487731597</v>
      </c>
      <c r="AG235" s="11" t="n">
        <v>-0.009847491826</v>
      </c>
      <c r="AH235" s="12" t="n">
        <v>0.999999999999998</v>
      </c>
      <c r="AI235" s="2" t="s">
        <v>665</v>
      </c>
      <c r="AJ235" s="2" t="s">
        <v>666</v>
      </c>
      <c r="AK235" s="2" t="s">
        <v>146</v>
      </c>
    </row>
    <row r="236" customFormat="false" ht="15" hidden="false" customHeight="false" outlineLevel="0" collapsed="false">
      <c r="A236" s="9" t="n">
        <v>235</v>
      </c>
      <c r="B236" s="2" t="s">
        <v>667</v>
      </c>
      <c r="C236" s="2" t="s">
        <v>668</v>
      </c>
      <c r="D236" s="2" t="s">
        <v>70</v>
      </c>
      <c r="E236" s="2" t="s">
        <v>71</v>
      </c>
      <c r="F236" s="2"/>
      <c r="G236" s="2" t="s">
        <v>329</v>
      </c>
      <c r="H236" s="8" t="n">
        <v>792.636426866367</v>
      </c>
      <c r="I236" s="2" t="s">
        <v>316</v>
      </c>
      <c r="J236" s="8" t="n">
        <v>1365783.33333333</v>
      </c>
      <c r="K236" s="6" t="n">
        <v>120</v>
      </c>
      <c r="L236" s="2"/>
      <c r="M236" s="10" t="b">
        <f aca="false">TRUE()</f>
        <v>1</v>
      </c>
      <c r="N236" s="9" t="n">
        <f aca="false">IF(H236="","",IF(H236&gt;=Assumptions!$B$5,1,IF(H236&gt;=Assumptions!$B$6,2,IF(H236&gt;=Assumptions!$B$7,3,""))))</f>
        <v>1</v>
      </c>
      <c r="O236" s="9" t="n">
        <f aca="false">IF(N236=1,Assumptions!$B$8,IF(N236=2,Assumptions!$B$9,IF(N236=3,Assumptions!$B$10,0)))</f>
        <v>3</v>
      </c>
      <c r="P236" s="6" t="s">
        <v>30</v>
      </c>
      <c r="Q236" s="6" t="s">
        <v>30</v>
      </c>
      <c r="R236" s="11" t="s">
        <v>30</v>
      </c>
      <c r="S236" s="6" t="s">
        <v>30</v>
      </c>
      <c r="T236" s="11" t="s">
        <v>30</v>
      </c>
      <c r="U236" s="6" t="s">
        <v>30</v>
      </c>
      <c r="V236" s="6" t="s">
        <v>30</v>
      </c>
      <c r="W236" s="6" t="s">
        <v>30</v>
      </c>
      <c r="X236" s="2" t="s">
        <v>30</v>
      </c>
      <c r="Y236" s="6" t="str">
        <f aca="false">IF(AND(X236="processed",ISNUMBER(S236)),S236*O236,"")</f>
        <v/>
      </c>
      <c r="Z236" s="6" t="n">
        <f aca="false">IF(ISNUMBER(K236),K236*O236,0)</f>
        <v>360</v>
      </c>
      <c r="AA236" s="2" t="s">
        <v>31</v>
      </c>
      <c r="AB236" s="6" t="n">
        <v>10902</v>
      </c>
      <c r="AC236" s="6" t="n">
        <v>8278</v>
      </c>
      <c r="AD236" s="6" t="n">
        <v>155</v>
      </c>
      <c r="AE236" s="6" t="n">
        <v>2033.29431152344</v>
      </c>
      <c r="AF236" s="8" t="n">
        <v>824.396922948</v>
      </c>
      <c r="AG236" s="11" t="n">
        <v>0.1122988947</v>
      </c>
      <c r="AH236" s="12" t="n">
        <v>1</v>
      </c>
      <c r="AI236" s="2" t="s">
        <v>317</v>
      </c>
      <c r="AJ236" s="2" t="s">
        <v>668</v>
      </c>
      <c r="AK236" s="2" t="s">
        <v>668</v>
      </c>
    </row>
    <row r="237" customFormat="false" ht="15" hidden="false" customHeight="false" outlineLevel="0" collapsed="false">
      <c r="A237" s="9" t="n">
        <v>236</v>
      </c>
      <c r="B237" s="2" t="s">
        <v>669</v>
      </c>
      <c r="C237" s="2" t="s">
        <v>138</v>
      </c>
      <c r="D237" s="2" t="s">
        <v>27</v>
      </c>
      <c r="E237" s="2" t="s">
        <v>28</v>
      </c>
      <c r="F237" s="2" t="s">
        <v>670</v>
      </c>
      <c r="G237" s="2" t="s">
        <v>315</v>
      </c>
      <c r="H237" s="8" t="n">
        <v>2087.36877334122</v>
      </c>
      <c r="I237" s="2" t="s">
        <v>316</v>
      </c>
      <c r="J237" s="8" t="n">
        <v>5625000</v>
      </c>
      <c r="K237" s="6" t="n">
        <v>119</v>
      </c>
      <c r="L237" s="2"/>
      <c r="M237" s="10" t="b">
        <f aca="false">TRUE()</f>
        <v>1</v>
      </c>
      <c r="N237" s="9" t="n">
        <f aca="false">IF(H237="","",IF(H237&gt;=Assumptions!$B$5,1,IF(H237&gt;=Assumptions!$B$6,2,IF(H237&gt;=Assumptions!$B$7,3,""))))</f>
        <v>1</v>
      </c>
      <c r="O237" s="9" t="n">
        <f aca="false">IF(N237=1,Assumptions!$B$8,IF(N237=2,Assumptions!$B$9,IF(N237=3,Assumptions!$B$10,0)))</f>
        <v>3</v>
      </c>
      <c r="P237" s="6" t="s">
        <v>30</v>
      </c>
      <c r="Q237" s="6" t="s">
        <v>30</v>
      </c>
      <c r="R237" s="11" t="s">
        <v>30</v>
      </c>
      <c r="S237" s="6" t="s">
        <v>30</v>
      </c>
      <c r="T237" s="11" t="s">
        <v>30</v>
      </c>
      <c r="U237" s="6" t="s">
        <v>30</v>
      </c>
      <c r="V237" s="6" t="s">
        <v>30</v>
      </c>
      <c r="W237" s="6" t="s">
        <v>30</v>
      </c>
      <c r="X237" s="2" t="s">
        <v>30</v>
      </c>
      <c r="Y237" s="6" t="str">
        <f aca="false">IF(AND(X237="processed",ISNUMBER(S237)),S237*O237,"")</f>
        <v/>
      </c>
      <c r="Z237" s="6" t="n">
        <f aca="false">IF(ISNUMBER(K237),K237*O237,0)</f>
        <v>357</v>
      </c>
      <c r="AA237" s="2" t="s">
        <v>31</v>
      </c>
      <c r="AB237" s="6" t="n">
        <v>5760</v>
      </c>
      <c r="AC237" s="6" t="n">
        <v>5296</v>
      </c>
      <c r="AD237" s="6" t="n">
        <v>57</v>
      </c>
      <c r="AE237" s="6" t="n">
        <v>2685.07055664063</v>
      </c>
      <c r="AF237" s="8" t="n">
        <v>2315.255312401</v>
      </c>
      <c r="AG237" s="11" t="n">
        <v>0.1960398466</v>
      </c>
      <c r="AH237" s="12" t="n">
        <v>0.905126932072054</v>
      </c>
      <c r="AI237" s="2" t="s">
        <v>317</v>
      </c>
      <c r="AJ237" s="2" t="s">
        <v>138</v>
      </c>
      <c r="AK237" s="2" t="s">
        <v>138</v>
      </c>
    </row>
    <row r="238" customFormat="false" ht="15" hidden="false" customHeight="false" outlineLevel="0" collapsed="false">
      <c r="A238" s="9" t="n">
        <v>237</v>
      </c>
      <c r="B238" s="2" t="s">
        <v>671</v>
      </c>
      <c r="C238" s="2" t="s">
        <v>672</v>
      </c>
      <c r="D238" s="2" t="s">
        <v>423</v>
      </c>
      <c r="E238" s="2" t="s">
        <v>51</v>
      </c>
      <c r="F238" s="2"/>
      <c r="G238" s="2" t="s">
        <v>425</v>
      </c>
      <c r="H238" s="8" t="n">
        <v>981.73333153058</v>
      </c>
      <c r="I238" s="2" t="s">
        <v>316</v>
      </c>
      <c r="J238" s="8" t="n">
        <v>1775848.7394958</v>
      </c>
      <c r="K238" s="6" t="n">
        <v>119</v>
      </c>
      <c r="L238" s="2"/>
      <c r="M238" s="10" t="b">
        <f aca="false">TRUE()</f>
        <v>1</v>
      </c>
      <c r="N238" s="9" t="n">
        <f aca="false">IF(H238="","",IF(H238&gt;=Assumptions!$B$5,1,IF(H238&gt;=Assumptions!$B$6,2,IF(H238&gt;=Assumptions!$B$7,3,""))))</f>
        <v>1</v>
      </c>
      <c r="O238" s="9" t="n">
        <f aca="false">IF(N238=1,Assumptions!$B$8,IF(N238=2,Assumptions!$B$9,IF(N238=3,Assumptions!$B$10,0)))</f>
        <v>3</v>
      </c>
      <c r="P238" s="6" t="s">
        <v>30</v>
      </c>
      <c r="Q238" s="6" t="s">
        <v>30</v>
      </c>
      <c r="R238" s="11" t="s">
        <v>30</v>
      </c>
      <c r="S238" s="6" t="s">
        <v>30</v>
      </c>
      <c r="T238" s="11" t="s">
        <v>30</v>
      </c>
      <c r="U238" s="6" t="s">
        <v>30</v>
      </c>
      <c r="V238" s="6" t="s">
        <v>30</v>
      </c>
      <c r="W238" s="6" t="s">
        <v>30</v>
      </c>
      <c r="X238" s="2" t="s">
        <v>30</v>
      </c>
      <c r="Y238" s="6" t="str">
        <f aca="false">IF(AND(X238="processed",ISNUMBER(S238)),S238*O238,"")</f>
        <v/>
      </c>
      <c r="Z238" s="6" t="n">
        <f aca="false">IF(ISNUMBER(K238),K238*O238,0)</f>
        <v>357</v>
      </c>
      <c r="AA238" s="2" t="s">
        <v>31</v>
      </c>
      <c r="AB238" s="6" t="n">
        <v>6207</v>
      </c>
      <c r="AC238" s="6" t="n">
        <v>5588</v>
      </c>
      <c r="AD238" s="6" t="n">
        <v>296</v>
      </c>
      <c r="AE238" s="6" t="n">
        <v>2884.8603515625</v>
      </c>
      <c r="AF238" s="8" t="n">
        <v>976.174718729</v>
      </c>
      <c r="AG238" s="11" t="n">
        <v>-0.03021960067</v>
      </c>
      <c r="AH238" s="12" t="n">
        <v>0.986161652128894</v>
      </c>
      <c r="AI238" s="2" t="s">
        <v>660</v>
      </c>
      <c r="AJ238" s="2" t="s">
        <v>673</v>
      </c>
      <c r="AK238" s="2" t="s">
        <v>674</v>
      </c>
    </row>
    <row r="239" customFormat="false" ht="15" hidden="false" customHeight="false" outlineLevel="0" collapsed="false">
      <c r="A239" s="9" t="n">
        <v>238</v>
      </c>
      <c r="B239" s="2" t="s">
        <v>675</v>
      </c>
      <c r="C239" s="2" t="s">
        <v>676</v>
      </c>
      <c r="D239" s="2" t="s">
        <v>39</v>
      </c>
      <c r="E239" s="2" t="s">
        <v>40</v>
      </c>
      <c r="F239" s="2" t="s">
        <v>677</v>
      </c>
      <c r="G239" s="2" t="s">
        <v>320</v>
      </c>
      <c r="H239" s="8" t="n">
        <v>1817.94141553072</v>
      </c>
      <c r="I239" s="2" t="s">
        <v>316</v>
      </c>
      <c r="J239" s="8" t="n">
        <v>3626000</v>
      </c>
      <c r="K239" s="6" t="n">
        <v>119</v>
      </c>
      <c r="L239" s="2"/>
      <c r="M239" s="10" t="b">
        <f aca="false">TRUE()</f>
        <v>1</v>
      </c>
      <c r="N239" s="9" t="n">
        <f aca="false">IF(H239="","",IF(H239&gt;=Assumptions!$B$5,1,IF(H239&gt;=Assumptions!$B$6,2,IF(H239&gt;=Assumptions!$B$7,3,""))))</f>
        <v>1</v>
      </c>
      <c r="O239" s="9" t="n">
        <f aca="false">IF(N239=1,Assumptions!$B$8,IF(N239=2,Assumptions!$B$9,IF(N239=3,Assumptions!$B$10,0)))</f>
        <v>3</v>
      </c>
      <c r="P239" s="6" t="s">
        <v>30</v>
      </c>
      <c r="Q239" s="6" t="s">
        <v>30</v>
      </c>
      <c r="R239" s="11" t="s">
        <v>30</v>
      </c>
      <c r="S239" s="6" t="s">
        <v>30</v>
      </c>
      <c r="T239" s="11" t="s">
        <v>30</v>
      </c>
      <c r="U239" s="6" t="s">
        <v>30</v>
      </c>
      <c r="V239" s="6" t="s">
        <v>30</v>
      </c>
      <c r="W239" s="6" t="s">
        <v>30</v>
      </c>
      <c r="X239" s="2" t="s">
        <v>30</v>
      </c>
      <c r="Y239" s="6" t="str">
        <f aca="false">IF(AND(X239="processed",ISNUMBER(S239)),S239*O239,"")</f>
        <v/>
      </c>
      <c r="Z239" s="6" t="n">
        <f aca="false">IF(ISNUMBER(K239),K239*O239,0)</f>
        <v>357</v>
      </c>
      <c r="AA239" s="2" t="s">
        <v>31</v>
      </c>
      <c r="AB239" s="6" t="n">
        <v>7797</v>
      </c>
      <c r="AC239" s="6" t="n">
        <v>6670</v>
      </c>
      <c r="AD239" s="6" t="n">
        <v>200</v>
      </c>
      <c r="AE239" s="6" t="n">
        <v>2420.74169921875</v>
      </c>
      <c r="AF239" s="8" t="n">
        <v>1764.146457442</v>
      </c>
      <c r="AG239" s="11" t="n">
        <v>-0.07284302848</v>
      </c>
      <c r="AH239" s="12" t="n">
        <v>0.999999999999999</v>
      </c>
      <c r="AI239" s="2" t="s">
        <v>317</v>
      </c>
      <c r="AJ239" s="2" t="s">
        <v>676</v>
      </c>
      <c r="AK239" s="2" t="s">
        <v>676</v>
      </c>
    </row>
    <row r="240" customFormat="false" ht="15" hidden="false" customHeight="false" outlineLevel="0" collapsed="false">
      <c r="A240" s="9" t="n">
        <v>239</v>
      </c>
      <c r="B240" s="2" t="s">
        <v>678</v>
      </c>
      <c r="C240" s="2" t="s">
        <v>679</v>
      </c>
      <c r="D240" s="2" t="s">
        <v>70</v>
      </c>
      <c r="E240" s="2" t="s">
        <v>71</v>
      </c>
      <c r="F240" s="2"/>
      <c r="G240" s="2" t="s">
        <v>329</v>
      </c>
      <c r="H240" s="8" t="n">
        <v>1873.29247710105</v>
      </c>
      <c r="I240" s="2" t="s">
        <v>316</v>
      </c>
      <c r="J240" s="8" t="n">
        <v>5212036.01694915</v>
      </c>
      <c r="K240" s="6" t="n">
        <v>118</v>
      </c>
      <c r="L240" s="2"/>
      <c r="M240" s="10" t="b">
        <f aca="false">TRUE()</f>
        <v>1</v>
      </c>
      <c r="N240" s="9" t="n">
        <f aca="false">IF(H240="","",IF(H240&gt;=Assumptions!$B$5,1,IF(H240&gt;=Assumptions!$B$6,2,IF(H240&gt;=Assumptions!$B$7,3,""))))</f>
        <v>1</v>
      </c>
      <c r="O240" s="9" t="n">
        <f aca="false">IF(N240=1,Assumptions!$B$8,IF(N240=2,Assumptions!$B$9,IF(N240=3,Assumptions!$B$10,0)))</f>
        <v>3</v>
      </c>
      <c r="P240" s="6" t="s">
        <v>30</v>
      </c>
      <c r="Q240" s="6" t="s">
        <v>30</v>
      </c>
      <c r="R240" s="11" t="s">
        <v>30</v>
      </c>
      <c r="S240" s="6" t="s">
        <v>30</v>
      </c>
      <c r="T240" s="11" t="s">
        <v>30</v>
      </c>
      <c r="U240" s="6" t="s">
        <v>30</v>
      </c>
      <c r="V240" s="6" t="s">
        <v>30</v>
      </c>
      <c r="W240" s="6" t="s">
        <v>30</v>
      </c>
      <c r="X240" s="2" t="s">
        <v>30</v>
      </c>
      <c r="Y240" s="6" t="str">
        <f aca="false">IF(AND(X240="processed",ISNUMBER(S240)),S240*O240,"")</f>
        <v/>
      </c>
      <c r="Z240" s="6" t="n">
        <f aca="false">IF(ISNUMBER(K240),K240*O240,0)</f>
        <v>354</v>
      </c>
      <c r="AA240" s="2" t="s">
        <v>31</v>
      </c>
      <c r="AB240" s="6" t="n">
        <v>6117</v>
      </c>
      <c r="AC240" s="6" t="n">
        <v>4599</v>
      </c>
      <c r="AD240" s="6" t="n">
        <v>60</v>
      </c>
      <c r="AE240" s="6" t="n">
        <v>2292.05053710938</v>
      </c>
      <c r="AF240" s="8" t="n">
        <v>1947.236180905</v>
      </c>
      <c r="AG240" s="11" t="n">
        <v>0.009032948033</v>
      </c>
      <c r="AH240" s="12" t="n">
        <v>0.972359660923856</v>
      </c>
      <c r="AI240" s="2" t="s">
        <v>317</v>
      </c>
      <c r="AJ240" s="2" t="s">
        <v>679</v>
      </c>
      <c r="AK240" s="2" t="s">
        <v>679</v>
      </c>
    </row>
    <row r="241" customFormat="false" ht="15" hidden="false" customHeight="false" outlineLevel="0" collapsed="false">
      <c r="A241" s="9" t="n">
        <v>240</v>
      </c>
      <c r="B241" s="2" t="s">
        <v>680</v>
      </c>
      <c r="C241" s="2" t="s">
        <v>681</v>
      </c>
      <c r="D241" s="2" t="s">
        <v>27</v>
      </c>
      <c r="E241" s="2" t="s">
        <v>28</v>
      </c>
      <c r="F241" s="2"/>
      <c r="G241" s="2" t="s">
        <v>315</v>
      </c>
      <c r="H241" s="8" t="n">
        <v>729.318388069771</v>
      </c>
      <c r="I241" s="2" t="s">
        <v>316</v>
      </c>
      <c r="J241" s="8" t="n">
        <v>1127135.59322034</v>
      </c>
      <c r="K241" s="6" t="n">
        <v>118</v>
      </c>
      <c r="L241" s="2"/>
      <c r="M241" s="10" t="b">
        <f aca="false">TRUE()</f>
        <v>1</v>
      </c>
      <c r="N241" s="9" t="n">
        <f aca="false">IF(H241="","",IF(H241&gt;=Assumptions!$B$5,1,IF(H241&gt;=Assumptions!$B$6,2,IF(H241&gt;=Assumptions!$B$7,3,""))))</f>
        <v>1</v>
      </c>
      <c r="O241" s="9" t="n">
        <f aca="false">IF(N241=1,Assumptions!$B$8,IF(N241=2,Assumptions!$B$9,IF(N241=3,Assumptions!$B$10,0)))</f>
        <v>3</v>
      </c>
      <c r="P241" s="6" t="s">
        <v>30</v>
      </c>
      <c r="Q241" s="6" t="s">
        <v>30</v>
      </c>
      <c r="R241" s="11" t="s">
        <v>30</v>
      </c>
      <c r="S241" s="6" t="s">
        <v>30</v>
      </c>
      <c r="T241" s="11" t="s">
        <v>30</v>
      </c>
      <c r="U241" s="6" t="s">
        <v>30</v>
      </c>
      <c r="V241" s="6" t="s">
        <v>30</v>
      </c>
      <c r="W241" s="6" t="s">
        <v>30</v>
      </c>
      <c r="X241" s="2" t="s">
        <v>30</v>
      </c>
      <c r="Y241" s="6" t="str">
        <f aca="false">IF(AND(X241="processed",ISNUMBER(S241)),S241*O241,"")</f>
        <v/>
      </c>
      <c r="Z241" s="6" t="n">
        <f aca="false">IF(ISNUMBER(K241),K241*O241,0)</f>
        <v>354</v>
      </c>
      <c r="AA241" s="2" t="s">
        <v>31</v>
      </c>
      <c r="AB241" s="6" t="n">
        <v>5278</v>
      </c>
      <c r="AC241" s="6" t="n">
        <v>5067</v>
      </c>
      <c r="AD241" s="6" t="n">
        <v>116</v>
      </c>
      <c r="AE241" s="6" t="n">
        <v>2438.18115234375</v>
      </c>
      <c r="AF241" s="8" t="n">
        <v>774.938169827</v>
      </c>
      <c r="AG241" s="11" t="n">
        <v>0.04040048718</v>
      </c>
      <c r="AH241" s="12" t="n">
        <v>1</v>
      </c>
      <c r="AI241" s="2" t="s">
        <v>317</v>
      </c>
      <c r="AJ241" s="2" t="s">
        <v>681</v>
      </c>
      <c r="AK241" s="2" t="s">
        <v>681</v>
      </c>
    </row>
    <row r="242" customFormat="false" ht="15" hidden="false" customHeight="false" outlineLevel="0" collapsed="false">
      <c r="A242" s="9" t="n">
        <v>241</v>
      </c>
      <c r="B242" s="2" t="s">
        <v>682</v>
      </c>
      <c r="C242" s="2" t="s">
        <v>683</v>
      </c>
      <c r="D242" s="2" t="s">
        <v>105</v>
      </c>
      <c r="E242" s="2" t="s">
        <v>51</v>
      </c>
      <c r="F242" s="2" t="s">
        <v>684</v>
      </c>
      <c r="G242" s="2" t="s">
        <v>318</v>
      </c>
      <c r="H242" s="8" t="n">
        <v>510.057886085733</v>
      </c>
      <c r="I242" s="2" t="s">
        <v>316</v>
      </c>
      <c r="J242" s="8" t="n">
        <v>831275.568181818</v>
      </c>
      <c r="K242" s="6" t="n">
        <v>352</v>
      </c>
      <c r="L242" s="2"/>
      <c r="M242" s="10" t="b">
        <f aca="false">TRUE()</f>
        <v>1</v>
      </c>
      <c r="N242" s="9" t="n">
        <f aca="false">IF(H242="","",IF(H242&gt;=Assumptions!$B$5,1,IF(H242&gt;=Assumptions!$B$6,2,IF(H242&gt;=Assumptions!$B$7,3,""))))</f>
        <v>3</v>
      </c>
      <c r="O242" s="9" t="n">
        <f aca="false">IF(N242=1,Assumptions!$B$8,IF(N242=2,Assumptions!$B$9,IF(N242=3,Assumptions!$B$10,0)))</f>
        <v>1</v>
      </c>
      <c r="P242" s="6" t="s">
        <v>30</v>
      </c>
      <c r="Q242" s="6" t="s">
        <v>30</v>
      </c>
      <c r="R242" s="11" t="s">
        <v>30</v>
      </c>
      <c r="S242" s="6" t="s">
        <v>30</v>
      </c>
      <c r="T242" s="11" t="s">
        <v>30</v>
      </c>
      <c r="U242" s="6" t="s">
        <v>30</v>
      </c>
      <c r="V242" s="6" t="s">
        <v>30</v>
      </c>
      <c r="W242" s="6" t="s">
        <v>30</v>
      </c>
      <c r="X242" s="2" t="s">
        <v>30</v>
      </c>
      <c r="Y242" s="6" t="str">
        <f aca="false">IF(AND(X242="processed",ISNUMBER(S242)),S242*O242,"")</f>
        <v/>
      </c>
      <c r="Z242" s="6" t="n">
        <f aca="false">IF(ISNUMBER(K242),K242*O242,0)</f>
        <v>352</v>
      </c>
      <c r="AA242" s="2" t="s">
        <v>31</v>
      </c>
      <c r="AB242" s="6" t="n">
        <v>19505</v>
      </c>
      <c r="AC242" s="6" t="n">
        <v>17264</v>
      </c>
      <c r="AD242" s="6" t="n">
        <v>15512</v>
      </c>
      <c r="AE242" s="6" t="n">
        <v>2063.20361328125</v>
      </c>
      <c r="AF242" s="8" t="n">
        <v>528.822798071</v>
      </c>
      <c r="AG242" s="11" t="n">
        <v>-0.02326191709</v>
      </c>
      <c r="AH242" s="12" t="n">
        <v>1</v>
      </c>
      <c r="AI242" s="2" t="s">
        <v>435</v>
      </c>
      <c r="AJ242" s="2" t="s">
        <v>683</v>
      </c>
      <c r="AK242" s="2" t="s">
        <v>683</v>
      </c>
    </row>
    <row r="243" customFormat="false" ht="15" hidden="false" customHeight="false" outlineLevel="0" collapsed="false">
      <c r="A243" s="9" t="n">
        <v>242</v>
      </c>
      <c r="B243" s="2" t="s">
        <v>685</v>
      </c>
      <c r="C243" s="2" t="s">
        <v>686</v>
      </c>
      <c r="D243" s="2" t="s">
        <v>44</v>
      </c>
      <c r="E243" s="2" t="s">
        <v>44</v>
      </c>
      <c r="F243" s="2"/>
      <c r="G243" s="2" t="s">
        <v>322</v>
      </c>
      <c r="H243" s="8" t="n">
        <v>983.797492556761</v>
      </c>
      <c r="I243" s="2" t="s">
        <v>316</v>
      </c>
      <c r="J243" s="8" t="n">
        <v>5129017.09401709</v>
      </c>
      <c r="K243" s="6" t="n">
        <v>117</v>
      </c>
      <c r="L243" s="2"/>
      <c r="M243" s="10" t="b">
        <f aca="false">TRUE()</f>
        <v>1</v>
      </c>
      <c r="N243" s="9" t="n">
        <f aca="false">IF(H243="","",IF(H243&gt;=Assumptions!$B$5,1,IF(H243&gt;=Assumptions!$B$6,2,IF(H243&gt;=Assumptions!$B$7,3,""))))</f>
        <v>1</v>
      </c>
      <c r="O243" s="9" t="n">
        <f aca="false">IF(N243=1,Assumptions!$B$8,IF(N243=2,Assumptions!$B$9,IF(N243=3,Assumptions!$B$10,0)))</f>
        <v>3</v>
      </c>
      <c r="P243" s="6" t="s">
        <v>30</v>
      </c>
      <c r="Q243" s="6" t="s">
        <v>30</v>
      </c>
      <c r="R243" s="11" t="s">
        <v>30</v>
      </c>
      <c r="S243" s="6" t="s">
        <v>30</v>
      </c>
      <c r="T243" s="11" t="s">
        <v>30</v>
      </c>
      <c r="U243" s="6" t="s">
        <v>30</v>
      </c>
      <c r="V243" s="6" t="s">
        <v>30</v>
      </c>
      <c r="W243" s="6" t="s">
        <v>30</v>
      </c>
      <c r="X243" s="2" t="s">
        <v>30</v>
      </c>
      <c r="Y243" s="6" t="str">
        <f aca="false">IF(AND(X243="processed",ISNUMBER(S243)),S243*O243,"")</f>
        <v/>
      </c>
      <c r="Z243" s="6" t="n">
        <f aca="false">IF(ISNUMBER(K243),K243*O243,0)</f>
        <v>351</v>
      </c>
      <c r="AA243" s="2" t="s">
        <v>31</v>
      </c>
      <c r="AB243" s="6" t="n">
        <v>8264</v>
      </c>
      <c r="AC243" s="6" t="n">
        <v>4166</v>
      </c>
      <c r="AD243" s="6" t="n">
        <v>483</v>
      </c>
      <c r="AE243" s="6" t="n">
        <v>2114.10668945313</v>
      </c>
      <c r="AF243" s="8" t="n">
        <v>1004.198760312</v>
      </c>
      <c r="AG243" s="11" t="n">
        <v>-0.002164789157</v>
      </c>
      <c r="AH243" s="12" t="n">
        <v>0.999999999999999</v>
      </c>
      <c r="AI243" s="2" t="s">
        <v>317</v>
      </c>
      <c r="AJ243" s="2" t="s">
        <v>686</v>
      </c>
      <c r="AK243" s="2" t="s">
        <v>44</v>
      </c>
    </row>
    <row r="244" customFormat="false" ht="15" hidden="false" customHeight="false" outlineLevel="0" collapsed="false">
      <c r="A244" s="9" t="n">
        <v>243</v>
      </c>
      <c r="B244" s="2" t="s">
        <v>687</v>
      </c>
      <c r="C244" s="2" t="s">
        <v>70</v>
      </c>
      <c r="D244" s="2" t="s">
        <v>70</v>
      </c>
      <c r="E244" s="2" t="s">
        <v>71</v>
      </c>
      <c r="F244" s="2" t="s">
        <v>688</v>
      </c>
      <c r="G244" s="2" t="s">
        <v>329</v>
      </c>
      <c r="H244" s="8" t="n">
        <v>694.628950733931</v>
      </c>
      <c r="I244" s="2" t="s">
        <v>316</v>
      </c>
      <c r="J244" s="8" t="n">
        <v>860804.597701149</v>
      </c>
      <c r="K244" s="6" t="n">
        <v>174</v>
      </c>
      <c r="L244" s="2"/>
      <c r="M244" s="10" t="b">
        <f aca="false">TRUE()</f>
        <v>1</v>
      </c>
      <c r="N244" s="9" t="n">
        <f aca="false">IF(H244="","",IF(H244&gt;=Assumptions!$B$5,1,IF(H244&gt;=Assumptions!$B$6,2,IF(H244&gt;=Assumptions!$B$7,3,""))))</f>
        <v>2</v>
      </c>
      <c r="O244" s="9" t="n">
        <f aca="false">IF(N244=1,Assumptions!$B$8,IF(N244=2,Assumptions!$B$9,IF(N244=3,Assumptions!$B$10,0)))</f>
        <v>2</v>
      </c>
      <c r="P244" s="6" t="s">
        <v>30</v>
      </c>
      <c r="Q244" s="6" t="s">
        <v>30</v>
      </c>
      <c r="R244" s="11" t="s">
        <v>30</v>
      </c>
      <c r="S244" s="6" t="s">
        <v>30</v>
      </c>
      <c r="T244" s="11" t="s">
        <v>30</v>
      </c>
      <c r="U244" s="6" t="s">
        <v>30</v>
      </c>
      <c r="V244" s="6" t="s">
        <v>30</v>
      </c>
      <c r="W244" s="6" t="s">
        <v>30</v>
      </c>
      <c r="X244" s="2" t="s">
        <v>30</v>
      </c>
      <c r="Y244" s="6" t="str">
        <f aca="false">IF(AND(X244="processed",ISNUMBER(S244)),S244*O244,"")</f>
        <v/>
      </c>
      <c r="Z244" s="6" t="n">
        <f aca="false">IF(ISNUMBER(K244),K244*O244,0)</f>
        <v>348</v>
      </c>
      <c r="AA244" s="2" t="s">
        <v>31</v>
      </c>
      <c r="AB244" s="6" t="n">
        <v>16467</v>
      </c>
      <c r="AC244" s="6" t="n">
        <v>10876</v>
      </c>
      <c r="AD244" s="6" t="n">
        <v>203</v>
      </c>
      <c r="AE244" s="6" t="n">
        <v>1527.70300292969</v>
      </c>
      <c r="AF244" s="8" t="n">
        <v>685.715471448</v>
      </c>
      <c r="AG244" s="11" t="n">
        <v>-0.08515955222</v>
      </c>
      <c r="AH244" s="12" t="n">
        <v>1</v>
      </c>
      <c r="AI244" s="2" t="s">
        <v>317</v>
      </c>
      <c r="AJ244" s="2" t="s">
        <v>70</v>
      </c>
      <c r="AK244" s="2" t="s">
        <v>70</v>
      </c>
    </row>
    <row r="245" customFormat="false" ht="15" hidden="false" customHeight="false" outlineLevel="0" collapsed="false">
      <c r="A245" s="9" t="n">
        <v>244</v>
      </c>
      <c r="B245" s="2" t="s">
        <v>689</v>
      </c>
      <c r="C245" s="2" t="s">
        <v>690</v>
      </c>
      <c r="D245" s="2" t="s">
        <v>70</v>
      </c>
      <c r="E245" s="2" t="s">
        <v>71</v>
      </c>
      <c r="F245" s="2"/>
      <c r="G245" s="2" t="s">
        <v>329</v>
      </c>
      <c r="H245" s="8" t="n">
        <v>1005.52211323397</v>
      </c>
      <c r="I245" s="2" t="s">
        <v>316</v>
      </c>
      <c r="J245" s="8" t="n">
        <v>2039426.72413793</v>
      </c>
      <c r="K245" s="6" t="n">
        <v>116</v>
      </c>
      <c r="L245" s="2"/>
      <c r="M245" s="10" t="b">
        <f aca="false">TRUE()</f>
        <v>1</v>
      </c>
      <c r="N245" s="9" t="n">
        <f aca="false">IF(H245="","",IF(H245&gt;=Assumptions!$B$5,1,IF(H245&gt;=Assumptions!$B$6,2,IF(H245&gt;=Assumptions!$B$7,3,""))))</f>
        <v>1</v>
      </c>
      <c r="O245" s="9" t="n">
        <f aca="false">IF(N245=1,Assumptions!$B$8,IF(N245=2,Assumptions!$B$9,IF(N245=3,Assumptions!$B$10,0)))</f>
        <v>3</v>
      </c>
      <c r="P245" s="6" t="s">
        <v>30</v>
      </c>
      <c r="Q245" s="6" t="s">
        <v>30</v>
      </c>
      <c r="R245" s="11" t="s">
        <v>30</v>
      </c>
      <c r="S245" s="6" t="s">
        <v>30</v>
      </c>
      <c r="T245" s="11" t="s">
        <v>30</v>
      </c>
      <c r="U245" s="6" t="s">
        <v>30</v>
      </c>
      <c r="V245" s="6" t="s">
        <v>30</v>
      </c>
      <c r="W245" s="6" t="s">
        <v>30</v>
      </c>
      <c r="X245" s="2" t="s">
        <v>30</v>
      </c>
      <c r="Y245" s="6" t="str">
        <f aca="false">IF(AND(X245="processed",ISNUMBER(S245)),S245*O245,"")</f>
        <v/>
      </c>
      <c r="Z245" s="6" t="n">
        <f aca="false">IF(ISNUMBER(K245),K245*O245,0)</f>
        <v>348</v>
      </c>
      <c r="AA245" s="2" t="s">
        <v>31</v>
      </c>
      <c r="AB245" s="6" t="n">
        <v>9362</v>
      </c>
      <c r="AC245" s="6" t="n">
        <v>7364</v>
      </c>
      <c r="AD245" s="6" t="n">
        <v>166</v>
      </c>
      <c r="AE245" s="6" t="n">
        <v>1934.78295898438</v>
      </c>
      <c r="AF245" s="8" t="n">
        <v>1083.815913021</v>
      </c>
      <c r="AG245" s="11" t="n">
        <v>-0.005815977037</v>
      </c>
      <c r="AH245" s="12" t="n">
        <v>1</v>
      </c>
      <c r="AI245" s="2" t="s">
        <v>317</v>
      </c>
      <c r="AJ245" s="2" t="s">
        <v>690</v>
      </c>
      <c r="AK245" s="2" t="s">
        <v>690</v>
      </c>
    </row>
    <row r="246" customFormat="false" ht="15" hidden="false" customHeight="false" outlineLevel="0" collapsed="false">
      <c r="A246" s="9" t="n">
        <v>245</v>
      </c>
      <c r="B246" s="2" t="s">
        <v>691</v>
      </c>
      <c r="C246" s="2" t="s">
        <v>692</v>
      </c>
      <c r="D246" s="2" t="s">
        <v>455</v>
      </c>
      <c r="E246" s="2" t="s">
        <v>456</v>
      </c>
      <c r="F246" s="2"/>
      <c r="G246" s="2" t="s">
        <v>458</v>
      </c>
      <c r="H246" s="8" t="n">
        <v>600.308670728558</v>
      </c>
      <c r="I246" s="2" t="s">
        <v>316</v>
      </c>
      <c r="J246" s="8" t="n">
        <v>1901250</v>
      </c>
      <c r="K246" s="6" t="n">
        <v>174</v>
      </c>
      <c r="L246" s="2"/>
      <c r="M246" s="10" t="b">
        <f aca="false">TRUE()</f>
        <v>1</v>
      </c>
      <c r="N246" s="9" t="n">
        <f aca="false">IF(H246="","",IF(H246&gt;=Assumptions!$B$5,1,IF(H246&gt;=Assumptions!$B$6,2,IF(H246&gt;=Assumptions!$B$7,3,""))))</f>
        <v>2</v>
      </c>
      <c r="O246" s="9" t="n">
        <f aca="false">IF(N246=1,Assumptions!$B$8,IF(N246=2,Assumptions!$B$9,IF(N246=3,Assumptions!$B$10,0)))</f>
        <v>2</v>
      </c>
      <c r="P246" s="6" t="s">
        <v>30</v>
      </c>
      <c r="Q246" s="6" t="s">
        <v>30</v>
      </c>
      <c r="R246" s="11" t="s">
        <v>30</v>
      </c>
      <c r="S246" s="6" t="s">
        <v>30</v>
      </c>
      <c r="T246" s="11" t="s">
        <v>30</v>
      </c>
      <c r="U246" s="6" t="s">
        <v>30</v>
      </c>
      <c r="V246" s="6" t="s">
        <v>30</v>
      </c>
      <c r="W246" s="6" t="s">
        <v>30</v>
      </c>
      <c r="X246" s="2" t="s">
        <v>30</v>
      </c>
      <c r="Y246" s="6" t="str">
        <f aca="false">IF(AND(X246="processed",ISNUMBER(S246)),S246*O246,"")</f>
        <v/>
      </c>
      <c r="Z246" s="6" t="n">
        <f aca="false">IF(ISNUMBER(K246),K246*O246,0)</f>
        <v>348</v>
      </c>
      <c r="AA246" s="2" t="s">
        <v>31</v>
      </c>
      <c r="AB246" s="6" t="n">
        <v>4280</v>
      </c>
      <c r="AC246" s="6" t="n">
        <v>2682</v>
      </c>
      <c r="AD246" s="6" t="n">
        <v>3880</v>
      </c>
      <c r="AE246" s="6" t="n">
        <v>4197.7314453125</v>
      </c>
      <c r="AF246" s="8" t="n">
        <v>615.558867715</v>
      </c>
      <c r="AG246" s="11" t="n">
        <v>-0.04471918421</v>
      </c>
      <c r="AH246" s="12" t="n">
        <v>1</v>
      </c>
      <c r="AI246" s="2" t="s">
        <v>317</v>
      </c>
      <c r="AJ246" s="2" t="s">
        <v>692</v>
      </c>
      <c r="AK246" s="2" t="s">
        <v>692</v>
      </c>
    </row>
    <row r="247" customFormat="false" ht="15" hidden="false" customHeight="false" outlineLevel="0" collapsed="false">
      <c r="A247" s="9" t="n">
        <v>246</v>
      </c>
      <c r="B247" s="2" t="s">
        <v>693</v>
      </c>
      <c r="C247" s="2" t="s">
        <v>674</v>
      </c>
      <c r="D247" s="2" t="s">
        <v>423</v>
      </c>
      <c r="E247" s="2" t="s">
        <v>51</v>
      </c>
      <c r="F247" s="2" t="s">
        <v>694</v>
      </c>
      <c r="G247" s="2" t="s">
        <v>425</v>
      </c>
      <c r="H247" s="8" t="n">
        <v>888.790989111138</v>
      </c>
      <c r="I247" s="2" t="s">
        <v>316</v>
      </c>
      <c r="J247" s="8" t="n">
        <v>1561271.55172414</v>
      </c>
      <c r="K247" s="6" t="n">
        <v>116</v>
      </c>
      <c r="L247" s="2"/>
      <c r="M247" s="10" t="b">
        <f aca="false">TRUE()</f>
        <v>1</v>
      </c>
      <c r="N247" s="9" t="n">
        <f aca="false">IF(H247="","",IF(H247&gt;=Assumptions!$B$5,1,IF(H247&gt;=Assumptions!$B$6,2,IF(H247&gt;=Assumptions!$B$7,3,""))))</f>
        <v>1</v>
      </c>
      <c r="O247" s="9" t="n">
        <f aca="false">IF(N247=1,Assumptions!$B$8,IF(N247=2,Assumptions!$B$9,IF(N247=3,Assumptions!$B$10,0)))</f>
        <v>3</v>
      </c>
      <c r="P247" s="6" t="s">
        <v>30</v>
      </c>
      <c r="Q247" s="6" t="s">
        <v>30</v>
      </c>
      <c r="R247" s="11" t="s">
        <v>30</v>
      </c>
      <c r="S247" s="6" t="s">
        <v>30</v>
      </c>
      <c r="T247" s="11" t="s">
        <v>30</v>
      </c>
      <c r="U247" s="6" t="s">
        <v>30</v>
      </c>
      <c r="V247" s="6" t="s">
        <v>30</v>
      </c>
      <c r="W247" s="6" t="s">
        <v>30</v>
      </c>
      <c r="X247" s="2" t="s">
        <v>30</v>
      </c>
      <c r="Y247" s="6" t="str">
        <f aca="false">IF(AND(X247="processed",ISNUMBER(S247)),S247*O247,"")</f>
        <v/>
      </c>
      <c r="Z247" s="6" t="n">
        <f aca="false">IF(ISNUMBER(K247),K247*O247,0)</f>
        <v>348</v>
      </c>
      <c r="AA247" s="2" t="s">
        <v>31</v>
      </c>
      <c r="AB247" s="6" t="n">
        <v>13089</v>
      </c>
      <c r="AC247" s="6" t="n">
        <v>10887</v>
      </c>
      <c r="AD247" s="6" t="n">
        <v>1042</v>
      </c>
      <c r="AE247" s="6" t="n">
        <v>2349.43139648438</v>
      </c>
      <c r="AF247" s="8" t="n">
        <v>909.225310467</v>
      </c>
      <c r="AG247" s="11" t="n">
        <v>-0.02200975009</v>
      </c>
      <c r="AH247" s="12" t="n">
        <v>0.98512417522421</v>
      </c>
      <c r="AI247" s="2" t="s">
        <v>695</v>
      </c>
      <c r="AJ247" s="2" t="s">
        <v>696</v>
      </c>
      <c r="AK247" s="2" t="s">
        <v>674</v>
      </c>
    </row>
    <row r="248" customFormat="false" ht="15" hidden="false" customHeight="false" outlineLevel="0" collapsed="false">
      <c r="A248" s="9" t="n">
        <v>247</v>
      </c>
      <c r="B248" s="2" t="s">
        <v>697</v>
      </c>
      <c r="C248" s="2" t="s">
        <v>38</v>
      </c>
      <c r="D248" s="2" t="s">
        <v>39</v>
      </c>
      <c r="E248" s="2" t="s">
        <v>40</v>
      </c>
      <c r="F248" s="2"/>
      <c r="G248" s="2" t="s">
        <v>320</v>
      </c>
      <c r="H248" s="8" t="n">
        <v>888.918110486802</v>
      </c>
      <c r="I248" s="2" t="s">
        <v>316</v>
      </c>
      <c r="J248" s="8" t="n">
        <v>1319784.48275862</v>
      </c>
      <c r="K248" s="6" t="n">
        <v>116</v>
      </c>
      <c r="L248" s="2"/>
      <c r="M248" s="10" t="b">
        <f aca="false">TRUE()</f>
        <v>1</v>
      </c>
      <c r="N248" s="9" t="n">
        <f aca="false">IF(H248="","",IF(H248&gt;=Assumptions!$B$5,1,IF(H248&gt;=Assumptions!$B$6,2,IF(H248&gt;=Assumptions!$B$7,3,""))))</f>
        <v>1</v>
      </c>
      <c r="O248" s="9" t="n">
        <f aca="false">IF(N248=1,Assumptions!$B$8,IF(N248=2,Assumptions!$B$9,IF(N248=3,Assumptions!$B$10,0)))</f>
        <v>3</v>
      </c>
      <c r="P248" s="6" t="s">
        <v>30</v>
      </c>
      <c r="Q248" s="6" t="s">
        <v>30</v>
      </c>
      <c r="R248" s="11" t="s">
        <v>30</v>
      </c>
      <c r="S248" s="6" t="s">
        <v>30</v>
      </c>
      <c r="T248" s="11" t="s">
        <v>30</v>
      </c>
      <c r="U248" s="6" t="s">
        <v>30</v>
      </c>
      <c r="V248" s="6" t="s">
        <v>30</v>
      </c>
      <c r="W248" s="6" t="s">
        <v>30</v>
      </c>
      <c r="X248" s="2" t="s">
        <v>30</v>
      </c>
      <c r="Y248" s="6" t="str">
        <f aca="false">IF(AND(X248="processed",ISNUMBER(S248)),S248*O248,"")</f>
        <v/>
      </c>
      <c r="Z248" s="6" t="n">
        <f aca="false">IF(ISNUMBER(K248),K248*O248,0)</f>
        <v>348</v>
      </c>
      <c r="AA248" s="2" t="s">
        <v>31</v>
      </c>
      <c r="AB248" s="6" t="n">
        <v>11908</v>
      </c>
      <c r="AC248" s="6" t="n">
        <v>8568</v>
      </c>
      <c r="AD248" s="6" t="n">
        <v>144</v>
      </c>
      <c r="AE248" s="6" t="n">
        <v>2365.1923828125</v>
      </c>
      <c r="AF248" s="8" t="n">
        <v>928.165007112</v>
      </c>
      <c r="AG248" s="11" t="n">
        <v>0.01142037859</v>
      </c>
      <c r="AH248" s="12" t="n">
        <v>0.999999999999999</v>
      </c>
      <c r="AI248" s="2" t="s">
        <v>317</v>
      </c>
      <c r="AJ248" s="2" t="s">
        <v>38</v>
      </c>
      <c r="AK248" s="2" t="s">
        <v>38</v>
      </c>
    </row>
    <row r="249" customFormat="false" ht="15" hidden="false" customHeight="false" outlineLevel="0" collapsed="false">
      <c r="A249" s="9" t="n">
        <v>248</v>
      </c>
      <c r="B249" s="2" t="s">
        <v>698</v>
      </c>
      <c r="C249" s="2" t="s">
        <v>699</v>
      </c>
      <c r="D249" s="2" t="s">
        <v>39</v>
      </c>
      <c r="E249" s="2" t="s">
        <v>40</v>
      </c>
      <c r="F249" s="2" t="s">
        <v>700</v>
      </c>
      <c r="G249" s="2" t="s">
        <v>320</v>
      </c>
      <c r="H249" s="8" t="n">
        <v>525.270534680441</v>
      </c>
      <c r="I249" s="2" t="s">
        <v>316</v>
      </c>
      <c r="J249" s="8" t="n">
        <v>1164893.37175793</v>
      </c>
      <c r="K249" s="6" t="n">
        <v>347</v>
      </c>
      <c r="L249" s="2"/>
      <c r="M249" s="10" t="b">
        <f aca="false">TRUE()</f>
        <v>1</v>
      </c>
      <c r="N249" s="9" t="n">
        <f aca="false">IF(H249="","",IF(H249&gt;=Assumptions!$B$5,1,IF(H249&gt;=Assumptions!$B$6,2,IF(H249&gt;=Assumptions!$B$7,3,""))))</f>
        <v>3</v>
      </c>
      <c r="O249" s="9" t="n">
        <f aca="false">IF(N249=1,Assumptions!$B$8,IF(N249=2,Assumptions!$B$9,IF(N249=3,Assumptions!$B$10,0)))</f>
        <v>1</v>
      </c>
      <c r="P249" s="6" t="s">
        <v>30</v>
      </c>
      <c r="Q249" s="6" t="s">
        <v>30</v>
      </c>
      <c r="R249" s="11" t="s">
        <v>30</v>
      </c>
      <c r="S249" s="6" t="s">
        <v>30</v>
      </c>
      <c r="T249" s="11" t="s">
        <v>30</v>
      </c>
      <c r="U249" s="6" t="s">
        <v>30</v>
      </c>
      <c r="V249" s="6" t="s">
        <v>30</v>
      </c>
      <c r="W249" s="6" t="s">
        <v>30</v>
      </c>
      <c r="X249" s="2" t="s">
        <v>30</v>
      </c>
      <c r="Y249" s="6" t="str">
        <f aca="false">IF(AND(X249="processed",ISNUMBER(S249)),S249*O249,"")</f>
        <v/>
      </c>
      <c r="Z249" s="6" t="n">
        <f aca="false">IF(ISNUMBER(K249),K249*O249,0)</f>
        <v>347</v>
      </c>
      <c r="AA249" s="2" t="s">
        <v>31</v>
      </c>
      <c r="AB249" s="6" t="n">
        <v>25190</v>
      </c>
      <c r="AC249" s="6" t="n">
        <v>21517</v>
      </c>
      <c r="AD249" s="6" t="n">
        <v>3573</v>
      </c>
      <c r="AE249" s="6" t="n">
        <v>2085.42138671875</v>
      </c>
      <c r="AF249" s="8" t="n">
        <v>526.809844172</v>
      </c>
      <c r="AG249" s="11" t="n">
        <v>-0.03095337184</v>
      </c>
      <c r="AH249" s="12" t="n">
        <v>0.998117395804166</v>
      </c>
      <c r="AI249" s="2" t="s">
        <v>321</v>
      </c>
      <c r="AJ249" s="2" t="s">
        <v>699</v>
      </c>
      <c r="AK249" s="2" t="s">
        <v>699</v>
      </c>
    </row>
    <row r="250" customFormat="false" ht="15" hidden="false" customHeight="false" outlineLevel="0" collapsed="false">
      <c r="A250" s="9" t="n">
        <v>249</v>
      </c>
      <c r="B250" s="2" t="s">
        <v>701</v>
      </c>
      <c r="C250" s="2" t="s">
        <v>702</v>
      </c>
      <c r="D250" s="2" t="s">
        <v>273</v>
      </c>
      <c r="E250" s="2" t="s">
        <v>273</v>
      </c>
      <c r="F250" s="2" t="s">
        <v>703</v>
      </c>
      <c r="G250" s="2" t="s">
        <v>348</v>
      </c>
      <c r="H250" s="8" t="n">
        <v>536.083506701737</v>
      </c>
      <c r="I250" s="2" t="s">
        <v>316</v>
      </c>
      <c r="J250" s="8" t="n">
        <v>1106693.6416185</v>
      </c>
      <c r="K250" s="6" t="n">
        <v>346</v>
      </c>
      <c r="L250" s="2"/>
      <c r="M250" s="10" t="b">
        <f aca="false">TRUE()</f>
        <v>1</v>
      </c>
      <c r="N250" s="9" t="n">
        <f aca="false">IF(H250="","",IF(H250&gt;=Assumptions!$B$5,1,IF(H250&gt;=Assumptions!$B$6,2,IF(H250&gt;=Assumptions!$B$7,3,""))))</f>
        <v>3</v>
      </c>
      <c r="O250" s="9" t="n">
        <f aca="false">IF(N250=1,Assumptions!$B$8,IF(N250=2,Assumptions!$B$9,IF(N250=3,Assumptions!$B$10,0)))</f>
        <v>1</v>
      </c>
      <c r="P250" s="6" t="s">
        <v>30</v>
      </c>
      <c r="Q250" s="6" t="s">
        <v>30</v>
      </c>
      <c r="R250" s="11" t="s">
        <v>30</v>
      </c>
      <c r="S250" s="6" t="s">
        <v>30</v>
      </c>
      <c r="T250" s="11" t="s">
        <v>30</v>
      </c>
      <c r="U250" s="6" t="s">
        <v>30</v>
      </c>
      <c r="V250" s="6" t="s">
        <v>30</v>
      </c>
      <c r="W250" s="6" t="s">
        <v>30</v>
      </c>
      <c r="X250" s="2" t="s">
        <v>30</v>
      </c>
      <c r="Y250" s="6" t="str">
        <f aca="false">IF(AND(X250="processed",ISNUMBER(S250)),S250*O250,"")</f>
        <v/>
      </c>
      <c r="Z250" s="6" t="n">
        <f aca="false">IF(ISNUMBER(K250),K250*O250,0)</f>
        <v>346</v>
      </c>
      <c r="AA250" s="2" t="s">
        <v>31</v>
      </c>
      <c r="AB250" s="6" t="n">
        <v>14560</v>
      </c>
      <c r="AC250" s="6" t="n">
        <v>13374</v>
      </c>
      <c r="AD250" s="6" t="n">
        <v>1800</v>
      </c>
      <c r="AE250" s="6" t="n">
        <v>2555.53759765625</v>
      </c>
      <c r="AF250" s="8" t="n">
        <v>545.481134835</v>
      </c>
      <c r="AG250" s="11" t="n">
        <v>0.006631295893</v>
      </c>
      <c r="AH250" s="12" t="n">
        <v>0.999999999999999</v>
      </c>
      <c r="AI250" s="2" t="s">
        <v>317</v>
      </c>
      <c r="AJ250" s="2" t="s">
        <v>702</v>
      </c>
      <c r="AK250" s="2" t="s">
        <v>349</v>
      </c>
    </row>
    <row r="251" customFormat="false" ht="15" hidden="false" customHeight="false" outlineLevel="0" collapsed="false">
      <c r="A251" s="9" t="n">
        <v>250</v>
      </c>
      <c r="B251" s="2" t="s">
        <v>704</v>
      </c>
      <c r="C251" s="2" t="s">
        <v>44</v>
      </c>
      <c r="D251" s="2" t="s">
        <v>44</v>
      </c>
      <c r="E251" s="2" t="s">
        <v>44</v>
      </c>
      <c r="F251" s="2" t="s">
        <v>705</v>
      </c>
      <c r="G251" s="2" t="s">
        <v>322</v>
      </c>
      <c r="H251" s="8" t="n">
        <v>868.422883108139</v>
      </c>
      <c r="I251" s="2" t="s">
        <v>316</v>
      </c>
      <c r="J251" s="8" t="n">
        <v>1653352.17391304</v>
      </c>
      <c r="K251" s="6" t="n">
        <v>115</v>
      </c>
      <c r="L251" s="2"/>
      <c r="M251" s="10" t="b">
        <f aca="false">TRUE()</f>
        <v>1</v>
      </c>
      <c r="N251" s="9" t="n">
        <f aca="false">IF(H251="","",IF(H251&gt;=Assumptions!$B$5,1,IF(H251&gt;=Assumptions!$B$6,2,IF(H251&gt;=Assumptions!$B$7,3,""))))</f>
        <v>1</v>
      </c>
      <c r="O251" s="9" t="n">
        <f aca="false">IF(N251=1,Assumptions!$B$8,IF(N251=2,Assumptions!$B$9,IF(N251=3,Assumptions!$B$10,0)))</f>
        <v>3</v>
      </c>
      <c r="P251" s="6" t="s">
        <v>30</v>
      </c>
      <c r="Q251" s="6" t="s">
        <v>30</v>
      </c>
      <c r="R251" s="11" t="s">
        <v>30</v>
      </c>
      <c r="S251" s="6" t="s">
        <v>30</v>
      </c>
      <c r="T251" s="11" t="s">
        <v>30</v>
      </c>
      <c r="U251" s="6" t="s">
        <v>30</v>
      </c>
      <c r="V251" s="6" t="s">
        <v>30</v>
      </c>
      <c r="W251" s="6" t="s">
        <v>30</v>
      </c>
      <c r="X251" s="2" t="s">
        <v>30</v>
      </c>
      <c r="Y251" s="6" t="str">
        <f aca="false">IF(AND(X251="processed",ISNUMBER(S251)),S251*O251,"")</f>
        <v/>
      </c>
      <c r="Z251" s="6" t="n">
        <f aca="false">IF(ISNUMBER(K251),K251*O251,0)</f>
        <v>345</v>
      </c>
      <c r="AA251" s="2" t="s">
        <v>31</v>
      </c>
      <c r="AB251" s="6" t="n">
        <v>7279</v>
      </c>
      <c r="AC251" s="6" t="n">
        <v>6276</v>
      </c>
      <c r="AD251" s="6" t="n">
        <v>285</v>
      </c>
      <c r="AE251" s="6" t="n">
        <v>2528.19970703125</v>
      </c>
      <c r="AF251" s="8" t="n">
        <v>890.322580645</v>
      </c>
      <c r="AG251" s="11" t="n">
        <v>0.1384800768</v>
      </c>
      <c r="AH251" s="12" t="n">
        <v>1</v>
      </c>
      <c r="AI251" s="2" t="s">
        <v>317</v>
      </c>
      <c r="AJ251" s="2" t="s">
        <v>44</v>
      </c>
      <c r="AK251" s="2" t="s">
        <v>44</v>
      </c>
    </row>
    <row r="252" customFormat="false" ht="15" hidden="false" customHeight="false" outlineLevel="0" collapsed="false">
      <c r="A252" s="9" t="n">
        <v>251</v>
      </c>
      <c r="B252" s="2" t="s">
        <v>706</v>
      </c>
      <c r="C252" s="2" t="s">
        <v>44</v>
      </c>
      <c r="D252" s="2" t="s">
        <v>44</v>
      </c>
      <c r="E252" s="2" t="s">
        <v>44</v>
      </c>
      <c r="F252" s="2" t="s">
        <v>707</v>
      </c>
      <c r="G252" s="2" t="s">
        <v>322</v>
      </c>
      <c r="H252" s="8" t="n">
        <v>687.74422745418</v>
      </c>
      <c r="I252" s="2" t="s">
        <v>316</v>
      </c>
      <c r="J252" s="8" t="n">
        <v>1664563.95348837</v>
      </c>
      <c r="K252" s="6" t="n">
        <v>172</v>
      </c>
      <c r="L252" s="2"/>
      <c r="M252" s="10" t="b">
        <f aca="false">TRUE()</f>
        <v>1</v>
      </c>
      <c r="N252" s="9" t="n">
        <f aca="false">IF(H252="","",IF(H252&gt;=Assumptions!$B$5,1,IF(H252&gt;=Assumptions!$B$6,2,IF(H252&gt;=Assumptions!$B$7,3,""))))</f>
        <v>2</v>
      </c>
      <c r="O252" s="9" t="n">
        <f aca="false">IF(N252=1,Assumptions!$B$8,IF(N252=2,Assumptions!$B$9,IF(N252=3,Assumptions!$B$10,0)))</f>
        <v>2</v>
      </c>
      <c r="P252" s="6" t="s">
        <v>30</v>
      </c>
      <c r="Q252" s="6" t="s">
        <v>30</v>
      </c>
      <c r="R252" s="11" t="s">
        <v>30</v>
      </c>
      <c r="S252" s="6" t="s">
        <v>30</v>
      </c>
      <c r="T252" s="11" t="s">
        <v>30</v>
      </c>
      <c r="U252" s="6" t="s">
        <v>30</v>
      </c>
      <c r="V252" s="6" t="s">
        <v>30</v>
      </c>
      <c r="W252" s="6" t="s">
        <v>30</v>
      </c>
      <c r="X252" s="2" t="s">
        <v>30</v>
      </c>
      <c r="Y252" s="6" t="str">
        <f aca="false">IF(AND(X252="processed",ISNUMBER(S252)),S252*O252,"")</f>
        <v/>
      </c>
      <c r="Z252" s="6" t="n">
        <f aca="false">IF(ISNUMBER(K252),K252*O252,0)</f>
        <v>344</v>
      </c>
      <c r="AA252" s="2" t="s">
        <v>31</v>
      </c>
      <c r="AB252" s="6" t="n">
        <v>10527</v>
      </c>
      <c r="AC252" s="6" t="n">
        <v>9327</v>
      </c>
      <c r="AD252" s="6" t="n">
        <v>280</v>
      </c>
      <c r="AE252" s="6" t="n">
        <v>2654.44018554688</v>
      </c>
      <c r="AF252" s="8" t="n">
        <v>672.353961828</v>
      </c>
      <c r="AG252" s="11" t="n">
        <v>-0.05736645247</v>
      </c>
      <c r="AH252" s="12" t="n">
        <v>1</v>
      </c>
      <c r="AI252" s="2" t="s">
        <v>317</v>
      </c>
      <c r="AJ252" s="2" t="s">
        <v>44</v>
      </c>
      <c r="AK252" s="2" t="s">
        <v>44</v>
      </c>
    </row>
    <row r="253" customFormat="false" ht="15" hidden="false" customHeight="false" outlineLevel="0" collapsed="false">
      <c r="A253" s="9" t="n">
        <v>252</v>
      </c>
      <c r="B253" s="2" t="s">
        <v>708</v>
      </c>
      <c r="C253" s="2" t="s">
        <v>709</v>
      </c>
      <c r="D253" s="2" t="s">
        <v>70</v>
      </c>
      <c r="E253" s="2" t="s">
        <v>71</v>
      </c>
      <c r="F253" s="2" t="s">
        <v>710</v>
      </c>
      <c r="G253" s="2" t="s">
        <v>329</v>
      </c>
      <c r="H253" s="8" t="n">
        <v>1228.47356795298</v>
      </c>
      <c r="I253" s="2" t="s">
        <v>316</v>
      </c>
      <c r="J253" s="8" t="n">
        <v>3915127.19298246</v>
      </c>
      <c r="K253" s="6" t="n">
        <v>114</v>
      </c>
      <c r="L253" s="2"/>
      <c r="M253" s="10" t="b">
        <f aca="false">TRUE()</f>
        <v>1</v>
      </c>
      <c r="N253" s="9" t="n">
        <f aca="false">IF(H253="","",IF(H253&gt;=Assumptions!$B$5,1,IF(H253&gt;=Assumptions!$B$6,2,IF(H253&gt;=Assumptions!$B$7,3,""))))</f>
        <v>1</v>
      </c>
      <c r="O253" s="9" t="n">
        <f aca="false">IF(N253=1,Assumptions!$B$8,IF(N253=2,Assumptions!$B$9,IF(N253=3,Assumptions!$B$10,0)))</f>
        <v>3</v>
      </c>
      <c r="P253" s="6" t="s">
        <v>30</v>
      </c>
      <c r="Q253" s="6" t="s">
        <v>30</v>
      </c>
      <c r="R253" s="11" t="s">
        <v>30</v>
      </c>
      <c r="S253" s="6" t="s">
        <v>30</v>
      </c>
      <c r="T253" s="11" t="s">
        <v>30</v>
      </c>
      <c r="U253" s="6" t="s">
        <v>30</v>
      </c>
      <c r="V253" s="6" t="s">
        <v>30</v>
      </c>
      <c r="W253" s="6" t="s">
        <v>30</v>
      </c>
      <c r="X253" s="2" t="s">
        <v>30</v>
      </c>
      <c r="Y253" s="6" t="str">
        <f aca="false">IF(AND(X253="processed",ISNUMBER(S253)),S253*O253,"")</f>
        <v/>
      </c>
      <c r="Z253" s="6" t="n">
        <f aca="false">IF(ISNUMBER(K253),K253*O253,0)</f>
        <v>342</v>
      </c>
      <c r="AA253" s="2" t="s">
        <v>31</v>
      </c>
      <c r="AB253" s="6" t="n">
        <v>8075</v>
      </c>
      <c r="AC253" s="6" t="n">
        <v>6688</v>
      </c>
      <c r="AD253" s="6" t="n">
        <v>3347</v>
      </c>
      <c r="AE253" s="6" t="n">
        <v>2764.21484375</v>
      </c>
      <c r="AF253" s="8" t="n">
        <v>1242.636327805</v>
      </c>
      <c r="AG253" s="11" t="n">
        <v>-0.08152967075</v>
      </c>
      <c r="AH253" s="12" t="n">
        <v>0.986264880212423</v>
      </c>
      <c r="AI253" s="2" t="s">
        <v>317</v>
      </c>
      <c r="AJ253" s="2" t="s">
        <v>709</v>
      </c>
      <c r="AK253" s="2" t="s">
        <v>70</v>
      </c>
    </row>
    <row r="254" customFormat="false" ht="15" hidden="false" customHeight="false" outlineLevel="0" collapsed="false">
      <c r="A254" s="9" t="n">
        <v>253</v>
      </c>
      <c r="B254" s="2" t="s">
        <v>711</v>
      </c>
      <c r="C254" s="2" t="s">
        <v>712</v>
      </c>
      <c r="D254" s="2" t="s">
        <v>70</v>
      </c>
      <c r="E254" s="2" t="s">
        <v>71</v>
      </c>
      <c r="F254" s="2" t="s">
        <v>713</v>
      </c>
      <c r="G254" s="2" t="s">
        <v>329</v>
      </c>
      <c r="H254" s="8" t="n">
        <v>781.84361423129</v>
      </c>
      <c r="I254" s="2" t="s">
        <v>316</v>
      </c>
      <c r="J254" s="8" t="n">
        <v>1489210.52631579</v>
      </c>
      <c r="K254" s="6" t="n">
        <v>114</v>
      </c>
      <c r="L254" s="2"/>
      <c r="M254" s="10" t="b">
        <f aca="false">TRUE()</f>
        <v>1</v>
      </c>
      <c r="N254" s="9" t="n">
        <f aca="false">IF(H254="","",IF(H254&gt;=Assumptions!$B$5,1,IF(H254&gt;=Assumptions!$B$6,2,IF(H254&gt;=Assumptions!$B$7,3,""))))</f>
        <v>1</v>
      </c>
      <c r="O254" s="9" t="n">
        <f aca="false">IF(N254=1,Assumptions!$B$8,IF(N254=2,Assumptions!$B$9,IF(N254=3,Assumptions!$B$10,0)))</f>
        <v>3</v>
      </c>
      <c r="P254" s="6" t="s">
        <v>30</v>
      </c>
      <c r="Q254" s="6" t="s">
        <v>30</v>
      </c>
      <c r="R254" s="11" t="s">
        <v>30</v>
      </c>
      <c r="S254" s="6" t="s">
        <v>30</v>
      </c>
      <c r="T254" s="11" t="s">
        <v>30</v>
      </c>
      <c r="U254" s="6" t="s">
        <v>30</v>
      </c>
      <c r="V254" s="6" t="s">
        <v>30</v>
      </c>
      <c r="W254" s="6" t="s">
        <v>30</v>
      </c>
      <c r="X254" s="2" t="s">
        <v>30</v>
      </c>
      <c r="Y254" s="6" t="str">
        <f aca="false">IF(AND(X254="processed",ISNUMBER(S254)),S254*O254,"")</f>
        <v/>
      </c>
      <c r="Z254" s="6" t="n">
        <f aca="false">IF(ISNUMBER(K254),K254*O254,0)</f>
        <v>342</v>
      </c>
      <c r="AA254" s="2" t="s">
        <v>31</v>
      </c>
      <c r="AB254" s="6" t="n">
        <v>7992</v>
      </c>
      <c r="AC254" s="6" t="n">
        <v>5386</v>
      </c>
      <c r="AD254" s="6" t="n">
        <v>84</v>
      </c>
      <c r="AE254" s="6" t="n">
        <v>2317.44262695313</v>
      </c>
      <c r="AF254" s="8" t="n">
        <v>786.726323639</v>
      </c>
      <c r="AG254" s="11" t="n">
        <v>0.02541489528</v>
      </c>
      <c r="AH254" s="12" t="n">
        <v>1</v>
      </c>
      <c r="AI254" s="2" t="s">
        <v>317</v>
      </c>
      <c r="AJ254" s="2" t="s">
        <v>712</v>
      </c>
      <c r="AK254" s="2" t="s">
        <v>70</v>
      </c>
    </row>
    <row r="255" customFormat="false" ht="15" hidden="false" customHeight="false" outlineLevel="0" collapsed="false">
      <c r="A255" s="9" t="n">
        <v>254</v>
      </c>
      <c r="B255" s="2" t="s">
        <v>714</v>
      </c>
      <c r="C255" s="2" t="s">
        <v>715</v>
      </c>
      <c r="D255" s="2" t="s">
        <v>62</v>
      </c>
      <c r="E255" s="2" t="s">
        <v>40</v>
      </c>
      <c r="F255" s="2"/>
      <c r="G255" s="2" t="s">
        <v>324</v>
      </c>
      <c r="H255" s="8" t="n">
        <v>1220.2771141564</v>
      </c>
      <c r="I255" s="2" t="s">
        <v>316</v>
      </c>
      <c r="J255" s="8" t="n">
        <v>2186140.35087719</v>
      </c>
      <c r="K255" s="6" t="n">
        <v>114</v>
      </c>
      <c r="L255" s="2"/>
      <c r="M255" s="10" t="b">
        <f aca="false">TRUE()</f>
        <v>1</v>
      </c>
      <c r="N255" s="9" t="n">
        <f aca="false">IF(H255="","",IF(H255&gt;=Assumptions!$B$5,1,IF(H255&gt;=Assumptions!$B$6,2,IF(H255&gt;=Assumptions!$B$7,3,""))))</f>
        <v>1</v>
      </c>
      <c r="O255" s="9" t="n">
        <f aca="false">IF(N255=1,Assumptions!$B$8,IF(N255=2,Assumptions!$B$9,IF(N255=3,Assumptions!$B$10,0)))</f>
        <v>3</v>
      </c>
      <c r="P255" s="6" t="s">
        <v>30</v>
      </c>
      <c r="Q255" s="6" t="s">
        <v>30</v>
      </c>
      <c r="R255" s="11" t="s">
        <v>30</v>
      </c>
      <c r="S255" s="6" t="s">
        <v>30</v>
      </c>
      <c r="T255" s="11" t="s">
        <v>30</v>
      </c>
      <c r="U255" s="6" t="s">
        <v>30</v>
      </c>
      <c r="V255" s="6" t="s">
        <v>30</v>
      </c>
      <c r="W255" s="6" t="s">
        <v>30</v>
      </c>
      <c r="X255" s="2" t="s">
        <v>30</v>
      </c>
      <c r="Y255" s="6" t="str">
        <f aca="false">IF(AND(X255="processed",ISNUMBER(S255)),S255*O255,"")</f>
        <v/>
      </c>
      <c r="Z255" s="6" t="n">
        <f aca="false">IF(ISNUMBER(K255),K255*O255,0)</f>
        <v>342</v>
      </c>
      <c r="AA255" s="2" t="s">
        <v>31</v>
      </c>
      <c r="AB255" s="6" t="n">
        <v>6741</v>
      </c>
      <c r="AC255" s="6" t="n">
        <v>6099</v>
      </c>
      <c r="AD255" s="6" t="n">
        <v>128</v>
      </c>
      <c r="AE255" s="6" t="n">
        <v>2313.34545898438</v>
      </c>
      <c r="AF255" s="8" t="n">
        <v>1255.426219493</v>
      </c>
      <c r="AG255" s="11" t="n">
        <v>0.03118166046</v>
      </c>
      <c r="AH255" s="12" t="n">
        <v>0.994655309496714</v>
      </c>
      <c r="AI255" s="2" t="s">
        <v>321</v>
      </c>
      <c r="AJ255" s="2" t="s">
        <v>715</v>
      </c>
      <c r="AK255" s="2" t="s">
        <v>715</v>
      </c>
    </row>
    <row r="256" customFormat="false" ht="15" hidden="false" customHeight="false" outlineLevel="0" collapsed="false">
      <c r="A256" s="9" t="n">
        <v>255</v>
      </c>
      <c r="B256" s="2" t="s">
        <v>716</v>
      </c>
      <c r="C256" s="2" t="s">
        <v>717</v>
      </c>
      <c r="D256" s="2" t="s">
        <v>44</v>
      </c>
      <c r="E256" s="2" t="s">
        <v>44</v>
      </c>
      <c r="F256" s="2" t="s">
        <v>718</v>
      </c>
      <c r="G256" s="2" t="s">
        <v>322</v>
      </c>
      <c r="H256" s="8" t="n">
        <v>504.296764920529</v>
      </c>
      <c r="I256" s="2" t="s">
        <v>316</v>
      </c>
      <c r="J256" s="8" t="n">
        <v>787417.647058824</v>
      </c>
      <c r="K256" s="6" t="n">
        <v>340</v>
      </c>
      <c r="L256" s="2"/>
      <c r="M256" s="10" t="b">
        <f aca="false">TRUE()</f>
        <v>1</v>
      </c>
      <c r="N256" s="9" t="n">
        <f aca="false">IF(H256="","",IF(H256&gt;=Assumptions!$B$5,1,IF(H256&gt;=Assumptions!$B$6,2,IF(H256&gt;=Assumptions!$B$7,3,""))))</f>
        <v>3</v>
      </c>
      <c r="O256" s="9" t="n">
        <f aca="false">IF(N256=1,Assumptions!$B$8,IF(N256=2,Assumptions!$B$9,IF(N256=3,Assumptions!$B$10,0)))</f>
        <v>1</v>
      </c>
      <c r="P256" s="6" t="s">
        <v>30</v>
      </c>
      <c r="Q256" s="6" t="s">
        <v>30</v>
      </c>
      <c r="R256" s="11" t="s">
        <v>30</v>
      </c>
      <c r="S256" s="6" t="s">
        <v>30</v>
      </c>
      <c r="T256" s="11" t="s">
        <v>30</v>
      </c>
      <c r="U256" s="6" t="s">
        <v>30</v>
      </c>
      <c r="V256" s="6" t="s">
        <v>30</v>
      </c>
      <c r="W256" s="6" t="s">
        <v>30</v>
      </c>
      <c r="X256" s="2" t="s">
        <v>30</v>
      </c>
      <c r="Y256" s="6" t="str">
        <f aca="false">IF(AND(X256="processed",ISNUMBER(S256)),S256*O256,"")</f>
        <v/>
      </c>
      <c r="Z256" s="6" t="n">
        <f aca="false">IF(ISNUMBER(K256),K256*O256,0)</f>
        <v>340</v>
      </c>
      <c r="AA256" s="2" t="s">
        <v>31</v>
      </c>
      <c r="AB256" s="6" t="n">
        <v>17602</v>
      </c>
      <c r="AC256" s="6" t="n">
        <v>15346</v>
      </c>
      <c r="AD256" s="6" t="n">
        <v>7760</v>
      </c>
      <c r="AE256" s="6" t="n">
        <v>2196.65454101563</v>
      </c>
      <c r="AF256" s="8" t="n">
        <v>526.061309866</v>
      </c>
      <c r="AG256" s="11" t="n">
        <v>0.06950105567</v>
      </c>
      <c r="AH256" s="12" t="n">
        <v>1</v>
      </c>
      <c r="AI256" s="2" t="s">
        <v>317</v>
      </c>
      <c r="AJ256" s="2" t="s">
        <v>717</v>
      </c>
      <c r="AK256" s="2" t="s">
        <v>719</v>
      </c>
    </row>
    <row r="257" customFormat="false" ht="15" hidden="false" customHeight="false" outlineLevel="0" collapsed="false">
      <c r="A257" s="9" t="n">
        <v>256</v>
      </c>
      <c r="B257" s="2" t="s">
        <v>720</v>
      </c>
      <c r="C257" s="2" t="s">
        <v>56</v>
      </c>
      <c r="D257" s="2" t="s">
        <v>56</v>
      </c>
      <c r="E257" s="2" t="s">
        <v>56</v>
      </c>
      <c r="F257" s="2" t="s">
        <v>721</v>
      </c>
      <c r="G257" s="2" t="s">
        <v>324</v>
      </c>
      <c r="H257" s="8" t="n">
        <v>1279.14572564588</v>
      </c>
      <c r="I257" s="2" t="s">
        <v>316</v>
      </c>
      <c r="J257" s="8" t="n">
        <v>3276548.67256637</v>
      </c>
      <c r="K257" s="6" t="n">
        <v>113</v>
      </c>
      <c r="L257" s="2"/>
      <c r="M257" s="10" t="b">
        <f aca="false">TRUE()</f>
        <v>1</v>
      </c>
      <c r="N257" s="9" t="n">
        <f aca="false">IF(H257="","",IF(H257&gt;=Assumptions!$B$5,1,IF(H257&gt;=Assumptions!$B$6,2,IF(H257&gt;=Assumptions!$B$7,3,""))))</f>
        <v>1</v>
      </c>
      <c r="O257" s="9" t="n">
        <f aca="false">IF(N257=1,Assumptions!$B$8,IF(N257=2,Assumptions!$B$9,IF(N257=3,Assumptions!$B$10,0)))</f>
        <v>3</v>
      </c>
      <c r="P257" s="6" t="s">
        <v>30</v>
      </c>
      <c r="Q257" s="6" t="s">
        <v>30</v>
      </c>
      <c r="R257" s="11" t="s">
        <v>30</v>
      </c>
      <c r="S257" s="6" t="s">
        <v>30</v>
      </c>
      <c r="T257" s="11" t="s">
        <v>30</v>
      </c>
      <c r="U257" s="6" t="s">
        <v>30</v>
      </c>
      <c r="V257" s="6" t="s">
        <v>30</v>
      </c>
      <c r="W257" s="6" t="s">
        <v>30</v>
      </c>
      <c r="X257" s="2" t="s">
        <v>30</v>
      </c>
      <c r="Y257" s="6" t="str">
        <f aca="false">IF(AND(X257="processed",ISNUMBER(S257)),S257*O257,"")</f>
        <v/>
      </c>
      <c r="Z257" s="6" t="n">
        <f aca="false">IF(ISNUMBER(K257),K257*O257,0)</f>
        <v>339</v>
      </c>
      <c r="AA257" s="2" t="s">
        <v>31</v>
      </c>
      <c r="AB257" s="6" t="n">
        <v>8219</v>
      </c>
      <c r="AC257" s="6" t="n">
        <v>7791</v>
      </c>
      <c r="AD257" s="6" t="n">
        <v>74</v>
      </c>
      <c r="AE257" s="6" t="n">
        <v>1615.48681640625</v>
      </c>
      <c r="AF257" s="8" t="n">
        <v>1391.719745223</v>
      </c>
      <c r="AG257" s="11" t="n">
        <v>0.154831278</v>
      </c>
      <c r="AH257" s="12" t="n">
        <v>1</v>
      </c>
      <c r="AI257" s="2" t="s">
        <v>317</v>
      </c>
      <c r="AJ257" s="2" t="s">
        <v>56</v>
      </c>
      <c r="AK257" s="2" t="s">
        <v>56</v>
      </c>
    </row>
    <row r="258" customFormat="false" ht="15" hidden="false" customHeight="false" outlineLevel="0" collapsed="false">
      <c r="A258" s="9" t="n">
        <v>257</v>
      </c>
      <c r="B258" s="2" t="s">
        <v>722</v>
      </c>
      <c r="C258" s="2" t="s">
        <v>723</v>
      </c>
      <c r="D258" s="2" t="s">
        <v>44</v>
      </c>
      <c r="E258" s="2" t="s">
        <v>44</v>
      </c>
      <c r="F258" s="2" t="s">
        <v>724</v>
      </c>
      <c r="G258" s="2" t="s">
        <v>322</v>
      </c>
      <c r="H258" s="8" t="n">
        <v>618.264877277461</v>
      </c>
      <c r="I258" s="2" t="s">
        <v>316</v>
      </c>
      <c r="J258" s="8" t="n">
        <v>883863.905325444</v>
      </c>
      <c r="K258" s="6" t="n">
        <v>169</v>
      </c>
      <c r="L258" s="2"/>
      <c r="M258" s="10" t="b">
        <f aca="false">TRUE()</f>
        <v>1</v>
      </c>
      <c r="N258" s="9" t="n">
        <f aca="false">IF(H258="","",IF(H258&gt;=Assumptions!$B$5,1,IF(H258&gt;=Assumptions!$B$6,2,IF(H258&gt;=Assumptions!$B$7,3,""))))</f>
        <v>2</v>
      </c>
      <c r="O258" s="9" t="n">
        <f aca="false">IF(N258=1,Assumptions!$B$8,IF(N258=2,Assumptions!$B$9,IF(N258=3,Assumptions!$B$10,0)))</f>
        <v>2</v>
      </c>
      <c r="P258" s="6" t="s">
        <v>30</v>
      </c>
      <c r="Q258" s="6" t="s">
        <v>30</v>
      </c>
      <c r="R258" s="11" t="s">
        <v>30</v>
      </c>
      <c r="S258" s="6" t="s">
        <v>30</v>
      </c>
      <c r="T258" s="11" t="s">
        <v>30</v>
      </c>
      <c r="U258" s="6" t="s">
        <v>30</v>
      </c>
      <c r="V258" s="6" t="s">
        <v>30</v>
      </c>
      <c r="W258" s="6" t="s">
        <v>30</v>
      </c>
      <c r="X258" s="2" t="s">
        <v>30</v>
      </c>
      <c r="Y258" s="6" t="str">
        <f aca="false">IF(AND(X258="processed",ISNUMBER(S258)),S258*O258,"")</f>
        <v/>
      </c>
      <c r="Z258" s="6" t="n">
        <f aca="false">IF(ISNUMBER(K258),K258*O258,0)</f>
        <v>338</v>
      </c>
      <c r="AA258" s="2" t="s">
        <v>31</v>
      </c>
      <c r="AB258" s="6" t="n">
        <v>10499</v>
      </c>
      <c r="AC258" s="6" t="n">
        <v>8914</v>
      </c>
      <c r="AD258" s="6" t="n">
        <v>9604</v>
      </c>
      <c r="AE258" s="6" t="n">
        <v>2215.00854492188</v>
      </c>
      <c r="AF258" s="8" t="n">
        <v>614.253173515</v>
      </c>
      <c r="AG258" s="11" t="n">
        <v>-0.04027183718</v>
      </c>
      <c r="AH258" s="12" t="n">
        <v>0.999999999999999</v>
      </c>
      <c r="AI258" s="2" t="s">
        <v>317</v>
      </c>
      <c r="AJ258" s="2" t="s">
        <v>723</v>
      </c>
      <c r="AK258" s="2" t="s">
        <v>723</v>
      </c>
    </row>
    <row r="259" customFormat="false" ht="15" hidden="false" customHeight="false" outlineLevel="0" collapsed="false">
      <c r="A259" s="9" t="n">
        <v>258</v>
      </c>
      <c r="B259" s="2" t="s">
        <v>725</v>
      </c>
      <c r="C259" s="2" t="s">
        <v>537</v>
      </c>
      <c r="D259" s="2" t="s">
        <v>27</v>
      </c>
      <c r="E259" s="2" t="s">
        <v>28</v>
      </c>
      <c r="F259" s="2"/>
      <c r="G259" s="2" t="s">
        <v>315</v>
      </c>
      <c r="H259" s="8" t="n">
        <v>628.992752771817</v>
      </c>
      <c r="I259" s="2" t="s">
        <v>316</v>
      </c>
      <c r="J259" s="8" t="n">
        <v>1429769.23076923</v>
      </c>
      <c r="K259" s="6" t="n">
        <v>169</v>
      </c>
      <c r="L259" s="2"/>
      <c r="M259" s="10" t="b">
        <f aca="false">TRUE()</f>
        <v>1</v>
      </c>
      <c r="N259" s="9" t="n">
        <f aca="false">IF(H259="","",IF(H259&gt;=Assumptions!$B$5,1,IF(H259&gt;=Assumptions!$B$6,2,IF(H259&gt;=Assumptions!$B$7,3,""))))</f>
        <v>2</v>
      </c>
      <c r="O259" s="9" t="n">
        <f aca="false">IF(N259=1,Assumptions!$B$8,IF(N259=2,Assumptions!$B$9,IF(N259=3,Assumptions!$B$10,0)))</f>
        <v>2</v>
      </c>
      <c r="P259" s="6" t="s">
        <v>30</v>
      </c>
      <c r="Q259" s="6" t="s">
        <v>30</v>
      </c>
      <c r="R259" s="11" t="s">
        <v>30</v>
      </c>
      <c r="S259" s="6" t="s">
        <v>30</v>
      </c>
      <c r="T259" s="11" t="s">
        <v>30</v>
      </c>
      <c r="U259" s="6" t="s">
        <v>30</v>
      </c>
      <c r="V259" s="6" t="s">
        <v>30</v>
      </c>
      <c r="W259" s="6" t="s">
        <v>30</v>
      </c>
      <c r="X259" s="2" t="s">
        <v>30</v>
      </c>
      <c r="Y259" s="6" t="str">
        <f aca="false">IF(AND(X259="processed",ISNUMBER(S259)),S259*O259,"")</f>
        <v/>
      </c>
      <c r="Z259" s="6" t="n">
        <f aca="false">IF(ISNUMBER(K259),K259*O259,0)</f>
        <v>338</v>
      </c>
      <c r="AA259" s="2" t="s">
        <v>31</v>
      </c>
      <c r="AB259" s="6" t="n">
        <v>7822</v>
      </c>
      <c r="AC259" s="6" t="n">
        <v>6963</v>
      </c>
      <c r="AD259" s="6" t="n">
        <v>256</v>
      </c>
      <c r="AE259" s="6" t="n">
        <v>2893.38061523438</v>
      </c>
      <c r="AF259" s="8" t="n">
        <v>655.021834061</v>
      </c>
      <c r="AG259" s="11" t="n">
        <v>0.03912693884</v>
      </c>
      <c r="AH259" s="12" t="n">
        <v>1</v>
      </c>
      <c r="AI259" s="2" t="s">
        <v>317</v>
      </c>
      <c r="AJ259" s="2" t="s">
        <v>537</v>
      </c>
      <c r="AK259" s="2" t="s">
        <v>537</v>
      </c>
    </row>
    <row r="260" customFormat="false" ht="15" hidden="false" customHeight="false" outlineLevel="0" collapsed="false">
      <c r="A260" s="9" t="n">
        <v>259</v>
      </c>
      <c r="B260" s="2" t="s">
        <v>726</v>
      </c>
      <c r="C260" s="2" t="s">
        <v>727</v>
      </c>
      <c r="D260" s="2" t="s">
        <v>70</v>
      </c>
      <c r="E260" s="2" t="s">
        <v>71</v>
      </c>
      <c r="F260" s="2" t="s">
        <v>728</v>
      </c>
      <c r="G260" s="2" t="s">
        <v>329</v>
      </c>
      <c r="H260" s="8" t="n">
        <v>563.428434190528</v>
      </c>
      <c r="I260" s="2" t="s">
        <v>316</v>
      </c>
      <c r="J260" s="8" t="n">
        <v>1060519.28783383</v>
      </c>
      <c r="K260" s="6" t="n">
        <v>337</v>
      </c>
      <c r="L260" s="2"/>
      <c r="M260" s="10" t="b">
        <f aca="false">TRUE()</f>
        <v>1</v>
      </c>
      <c r="N260" s="9" t="n">
        <f aca="false">IF(H260="","",IF(H260&gt;=Assumptions!$B$5,1,IF(H260&gt;=Assumptions!$B$6,2,IF(H260&gt;=Assumptions!$B$7,3,""))))</f>
        <v>3</v>
      </c>
      <c r="O260" s="9" t="n">
        <f aca="false">IF(N260=1,Assumptions!$B$8,IF(N260=2,Assumptions!$B$9,IF(N260=3,Assumptions!$B$10,0)))</f>
        <v>1</v>
      </c>
      <c r="P260" s="6" t="s">
        <v>30</v>
      </c>
      <c r="Q260" s="6" t="s">
        <v>30</v>
      </c>
      <c r="R260" s="11" t="s">
        <v>30</v>
      </c>
      <c r="S260" s="6" t="s">
        <v>30</v>
      </c>
      <c r="T260" s="11" t="s">
        <v>30</v>
      </c>
      <c r="U260" s="6" t="s">
        <v>30</v>
      </c>
      <c r="V260" s="6" t="s">
        <v>30</v>
      </c>
      <c r="W260" s="6" t="s">
        <v>30</v>
      </c>
      <c r="X260" s="2" t="s">
        <v>30</v>
      </c>
      <c r="Y260" s="6" t="str">
        <f aca="false">IF(AND(X260="processed",ISNUMBER(S260)),S260*O260,"")</f>
        <v/>
      </c>
      <c r="Z260" s="6" t="n">
        <f aca="false">IF(ISNUMBER(K260),K260*O260,0)</f>
        <v>337</v>
      </c>
      <c r="AA260" s="2" t="s">
        <v>31</v>
      </c>
      <c r="AB260" s="6" t="n">
        <v>22020</v>
      </c>
      <c r="AC260" s="6" t="n">
        <v>16251</v>
      </c>
      <c r="AD260" s="6" t="n">
        <v>366</v>
      </c>
      <c r="AE260" s="6" t="n">
        <v>2611.38940429688</v>
      </c>
      <c r="AF260" s="8" t="n">
        <v>567.069972484</v>
      </c>
      <c r="AG260" s="11" t="n">
        <v>-0.05671718756</v>
      </c>
      <c r="AH260" s="12" t="n">
        <v>0.999999999999998</v>
      </c>
      <c r="AI260" s="2" t="s">
        <v>317</v>
      </c>
      <c r="AJ260" s="2" t="s">
        <v>727</v>
      </c>
      <c r="AK260" s="2" t="s">
        <v>70</v>
      </c>
    </row>
    <row r="261" customFormat="false" ht="15" hidden="false" customHeight="false" outlineLevel="0" collapsed="false">
      <c r="A261" s="9" t="n">
        <v>260</v>
      </c>
      <c r="B261" s="2" t="s">
        <v>729</v>
      </c>
      <c r="C261" s="2" t="s">
        <v>730</v>
      </c>
      <c r="D261" s="2" t="s">
        <v>190</v>
      </c>
      <c r="E261" s="2" t="s">
        <v>51</v>
      </c>
      <c r="F261" s="2"/>
      <c r="G261" s="2" t="s">
        <v>336</v>
      </c>
      <c r="H261" s="8" t="n">
        <v>694.764930304964</v>
      </c>
      <c r="I261" s="2" t="s">
        <v>316</v>
      </c>
      <c r="J261" s="8" t="n">
        <v>1166559.52380952</v>
      </c>
      <c r="K261" s="6" t="n">
        <v>168</v>
      </c>
      <c r="L261" s="2"/>
      <c r="M261" s="10" t="b">
        <f aca="false">TRUE()</f>
        <v>1</v>
      </c>
      <c r="N261" s="9" t="n">
        <f aca="false">IF(H261="","",IF(H261&gt;=Assumptions!$B$5,1,IF(H261&gt;=Assumptions!$B$6,2,IF(H261&gt;=Assumptions!$B$7,3,""))))</f>
        <v>2</v>
      </c>
      <c r="O261" s="9" t="n">
        <f aca="false">IF(N261=1,Assumptions!$B$8,IF(N261=2,Assumptions!$B$9,IF(N261=3,Assumptions!$B$10,0)))</f>
        <v>2</v>
      </c>
      <c r="P261" s="6" t="s">
        <v>30</v>
      </c>
      <c r="Q261" s="6" t="s">
        <v>30</v>
      </c>
      <c r="R261" s="11" t="s">
        <v>30</v>
      </c>
      <c r="S261" s="6" t="s">
        <v>30</v>
      </c>
      <c r="T261" s="11" t="s">
        <v>30</v>
      </c>
      <c r="U261" s="6" t="s">
        <v>30</v>
      </c>
      <c r="V261" s="6" t="s">
        <v>30</v>
      </c>
      <c r="W261" s="6" t="s">
        <v>30</v>
      </c>
      <c r="X261" s="2" t="s">
        <v>30</v>
      </c>
      <c r="Y261" s="6" t="str">
        <f aca="false">IF(AND(X261="processed",ISNUMBER(S261)),S261*O261,"")</f>
        <v/>
      </c>
      <c r="Z261" s="6" t="n">
        <f aca="false">IF(ISNUMBER(K261),K261*O261,0)</f>
        <v>336</v>
      </c>
      <c r="AA261" s="2" t="s">
        <v>31</v>
      </c>
      <c r="AB261" s="6" t="n">
        <v>17056</v>
      </c>
      <c r="AC261" s="6" t="n">
        <v>10670</v>
      </c>
      <c r="AD261" s="6" t="n">
        <v>677</v>
      </c>
      <c r="AE261" s="6" t="n">
        <v>1861.76806640625</v>
      </c>
      <c r="AF261" s="8" t="n">
        <v>662.5</v>
      </c>
      <c r="AG261" s="11" t="n">
        <v>-0.1053568247</v>
      </c>
      <c r="AH261" s="12" t="n">
        <v>0.999948846240162</v>
      </c>
      <c r="AI261" s="2" t="s">
        <v>317</v>
      </c>
      <c r="AJ261" s="2" t="s">
        <v>730</v>
      </c>
      <c r="AK261" s="2" t="s">
        <v>730</v>
      </c>
    </row>
    <row r="262" customFormat="false" ht="15" hidden="false" customHeight="false" outlineLevel="0" collapsed="false">
      <c r="A262" s="9" t="n">
        <v>261</v>
      </c>
      <c r="B262" s="2" t="s">
        <v>731</v>
      </c>
      <c r="C262" s="2" t="s">
        <v>516</v>
      </c>
      <c r="D262" s="2" t="s">
        <v>34</v>
      </c>
      <c r="E262" s="2" t="s">
        <v>35</v>
      </c>
      <c r="F262" s="2" t="s">
        <v>732</v>
      </c>
      <c r="G262" s="2" t="s">
        <v>318</v>
      </c>
      <c r="H262" s="8" t="n">
        <v>960.45757066627</v>
      </c>
      <c r="I262" s="2" t="s">
        <v>316</v>
      </c>
      <c r="J262" s="8" t="n">
        <v>1724324.32432432</v>
      </c>
      <c r="K262" s="6" t="n">
        <v>111</v>
      </c>
      <c r="L262" s="2"/>
      <c r="M262" s="10" t="b">
        <f aca="false">TRUE()</f>
        <v>1</v>
      </c>
      <c r="N262" s="9" t="n">
        <f aca="false">IF(H262="","",IF(H262&gt;=Assumptions!$B$5,1,IF(H262&gt;=Assumptions!$B$6,2,IF(H262&gt;=Assumptions!$B$7,3,""))))</f>
        <v>1</v>
      </c>
      <c r="O262" s="9" t="n">
        <f aca="false">IF(N262=1,Assumptions!$B$8,IF(N262=2,Assumptions!$B$9,IF(N262=3,Assumptions!$B$10,0)))</f>
        <v>3</v>
      </c>
      <c r="P262" s="6" t="s">
        <v>30</v>
      </c>
      <c r="Q262" s="6" t="s">
        <v>30</v>
      </c>
      <c r="R262" s="11" t="s">
        <v>30</v>
      </c>
      <c r="S262" s="6" t="s">
        <v>30</v>
      </c>
      <c r="T262" s="11" t="s">
        <v>30</v>
      </c>
      <c r="U262" s="6" t="s">
        <v>30</v>
      </c>
      <c r="V262" s="6" t="s">
        <v>30</v>
      </c>
      <c r="W262" s="6" t="s">
        <v>30</v>
      </c>
      <c r="X262" s="2" t="s">
        <v>30</v>
      </c>
      <c r="Y262" s="6" t="str">
        <f aca="false">IF(AND(X262="processed",ISNUMBER(S262)),S262*O262,"")</f>
        <v/>
      </c>
      <c r="Z262" s="6" t="n">
        <f aca="false">IF(ISNUMBER(K262),K262*O262,0)</f>
        <v>333</v>
      </c>
      <c r="AA262" s="2" t="s">
        <v>31</v>
      </c>
      <c r="AB262" s="6" t="n">
        <v>6085</v>
      </c>
      <c r="AC262" s="6" t="n">
        <v>4937</v>
      </c>
      <c r="AD262" s="6" t="n">
        <v>735</v>
      </c>
      <c r="AE262" s="6" t="n">
        <v>1676.50659179688</v>
      </c>
      <c r="AF262" s="8" t="n">
        <v>968.430167008</v>
      </c>
      <c r="AG262" s="11" t="n">
        <v>0.03550758117</v>
      </c>
      <c r="AH262" s="12" t="n">
        <v>0.653354512990335</v>
      </c>
      <c r="AI262" s="2" t="s">
        <v>319</v>
      </c>
      <c r="AJ262" s="2"/>
      <c r="AK262" s="2" t="s">
        <v>516</v>
      </c>
    </row>
    <row r="263" customFormat="false" ht="15" hidden="false" customHeight="false" outlineLevel="0" collapsed="false">
      <c r="A263" s="9" t="n">
        <v>262</v>
      </c>
      <c r="B263" s="2" t="s">
        <v>733</v>
      </c>
      <c r="C263" s="2" t="s">
        <v>734</v>
      </c>
      <c r="D263" s="2" t="s">
        <v>70</v>
      </c>
      <c r="E263" s="2" t="s">
        <v>71</v>
      </c>
      <c r="F263" s="2" t="s">
        <v>735</v>
      </c>
      <c r="G263" s="2" t="s">
        <v>329</v>
      </c>
      <c r="H263" s="8" t="n">
        <v>683.130275523079</v>
      </c>
      <c r="I263" s="2" t="s">
        <v>316</v>
      </c>
      <c r="J263" s="8" t="n">
        <v>898313.253012048</v>
      </c>
      <c r="K263" s="6" t="n">
        <v>166</v>
      </c>
      <c r="L263" s="2"/>
      <c r="M263" s="10" t="b">
        <f aca="false">TRUE()</f>
        <v>1</v>
      </c>
      <c r="N263" s="9" t="n">
        <f aca="false">IF(H263="","",IF(H263&gt;=Assumptions!$B$5,1,IF(H263&gt;=Assumptions!$B$6,2,IF(H263&gt;=Assumptions!$B$7,3,""))))</f>
        <v>2</v>
      </c>
      <c r="O263" s="9" t="n">
        <f aca="false">IF(N263=1,Assumptions!$B$8,IF(N263=2,Assumptions!$B$9,IF(N263=3,Assumptions!$B$10,0)))</f>
        <v>2</v>
      </c>
      <c r="P263" s="6" t="s">
        <v>30</v>
      </c>
      <c r="Q263" s="6" t="s">
        <v>30</v>
      </c>
      <c r="R263" s="11" t="s">
        <v>30</v>
      </c>
      <c r="S263" s="6" t="s">
        <v>30</v>
      </c>
      <c r="T263" s="11" t="s">
        <v>30</v>
      </c>
      <c r="U263" s="6" t="s">
        <v>30</v>
      </c>
      <c r="V263" s="6" t="s">
        <v>30</v>
      </c>
      <c r="W263" s="6" t="s">
        <v>30</v>
      </c>
      <c r="X263" s="2" t="s">
        <v>30</v>
      </c>
      <c r="Y263" s="6" t="str">
        <f aca="false">IF(AND(X263="processed",ISNUMBER(S263)),S263*O263,"")</f>
        <v/>
      </c>
      <c r="Z263" s="6" t="n">
        <f aca="false">IF(ISNUMBER(K263),K263*O263,0)</f>
        <v>332</v>
      </c>
      <c r="AA263" s="2" t="s">
        <v>31</v>
      </c>
      <c r="AB263" s="6" t="n">
        <v>23112</v>
      </c>
      <c r="AC263" s="6" t="n">
        <v>17669</v>
      </c>
      <c r="AD263" s="6" t="n">
        <v>241</v>
      </c>
      <c r="AE263" s="6" t="n">
        <v>1730.07543945313</v>
      </c>
      <c r="AF263" s="8" t="n">
        <v>686.905370194</v>
      </c>
      <c r="AG263" s="11" t="n">
        <v>-0.0781678861</v>
      </c>
      <c r="AH263" s="12" t="n">
        <v>1</v>
      </c>
      <c r="AI263" s="2" t="s">
        <v>317</v>
      </c>
      <c r="AJ263" s="2" t="s">
        <v>734</v>
      </c>
      <c r="AK263" s="2" t="s">
        <v>734</v>
      </c>
    </row>
    <row r="264" customFormat="false" ht="15" hidden="false" customHeight="false" outlineLevel="0" collapsed="false">
      <c r="A264" s="9" t="n">
        <v>263</v>
      </c>
      <c r="B264" s="2" t="s">
        <v>736</v>
      </c>
      <c r="C264" s="2" t="s">
        <v>44</v>
      </c>
      <c r="D264" s="2" t="s">
        <v>44</v>
      </c>
      <c r="E264" s="2" t="s">
        <v>44</v>
      </c>
      <c r="F264" s="2" t="s">
        <v>111</v>
      </c>
      <c r="G264" s="2" t="s">
        <v>322</v>
      </c>
      <c r="H264" s="8" t="n">
        <v>633.433674971236</v>
      </c>
      <c r="I264" s="2" t="s">
        <v>316</v>
      </c>
      <c r="J264" s="8" t="n">
        <v>1060145.45454546</v>
      </c>
      <c r="K264" s="6" t="n">
        <v>165</v>
      </c>
      <c r="L264" s="2"/>
      <c r="M264" s="10" t="b">
        <f aca="false">TRUE()</f>
        <v>1</v>
      </c>
      <c r="N264" s="9" t="n">
        <f aca="false">IF(H264="","",IF(H264&gt;=Assumptions!$B$5,1,IF(H264&gt;=Assumptions!$B$6,2,IF(H264&gt;=Assumptions!$B$7,3,""))))</f>
        <v>2</v>
      </c>
      <c r="O264" s="9" t="n">
        <f aca="false">IF(N264=1,Assumptions!$B$8,IF(N264=2,Assumptions!$B$9,IF(N264=3,Assumptions!$B$10,0)))</f>
        <v>2</v>
      </c>
      <c r="P264" s="6" t="s">
        <v>30</v>
      </c>
      <c r="Q264" s="6" t="s">
        <v>30</v>
      </c>
      <c r="R264" s="11" t="s">
        <v>30</v>
      </c>
      <c r="S264" s="6" t="s">
        <v>30</v>
      </c>
      <c r="T264" s="11" t="s">
        <v>30</v>
      </c>
      <c r="U264" s="6" t="s">
        <v>30</v>
      </c>
      <c r="V264" s="6" t="s">
        <v>30</v>
      </c>
      <c r="W264" s="6" t="s">
        <v>30</v>
      </c>
      <c r="X264" s="2" t="s">
        <v>30</v>
      </c>
      <c r="Y264" s="6" t="str">
        <f aca="false">IF(AND(X264="processed",ISNUMBER(S264)),S264*O264,"")</f>
        <v/>
      </c>
      <c r="Z264" s="6" t="n">
        <f aca="false">IF(ISNUMBER(K264),K264*O264,0)</f>
        <v>330</v>
      </c>
      <c r="AA264" s="2" t="s">
        <v>31</v>
      </c>
      <c r="AB264" s="6" t="n">
        <v>4691</v>
      </c>
      <c r="AC264" s="6" t="n">
        <v>4332</v>
      </c>
      <c r="AD264" s="6" t="n">
        <v>3462</v>
      </c>
      <c r="AE264" s="6" t="n">
        <v>2530.39184570313</v>
      </c>
      <c r="AF264" s="8" t="n">
        <v>654.731639344</v>
      </c>
      <c r="AG264" s="11" t="n">
        <v>0.02695354154</v>
      </c>
      <c r="AH264" s="12" t="n">
        <v>1</v>
      </c>
      <c r="AI264" s="2" t="s">
        <v>317</v>
      </c>
      <c r="AJ264" s="2" t="s">
        <v>44</v>
      </c>
      <c r="AK264" s="2" t="s">
        <v>44</v>
      </c>
    </row>
    <row r="265" customFormat="false" ht="15" hidden="false" customHeight="false" outlineLevel="0" collapsed="false">
      <c r="A265" s="9" t="n">
        <v>264</v>
      </c>
      <c r="B265" s="2" t="s">
        <v>737</v>
      </c>
      <c r="C265" s="2" t="s">
        <v>738</v>
      </c>
      <c r="D265" s="2" t="s">
        <v>44</v>
      </c>
      <c r="E265" s="2" t="s">
        <v>44</v>
      </c>
      <c r="F265" s="2" t="s">
        <v>739</v>
      </c>
      <c r="G265" s="2" t="s">
        <v>322</v>
      </c>
      <c r="H265" s="8" t="n">
        <v>559.446694443386</v>
      </c>
      <c r="I265" s="2" t="s">
        <v>316</v>
      </c>
      <c r="J265" s="8" t="n">
        <v>856767.477203647</v>
      </c>
      <c r="K265" s="6" t="n">
        <v>329</v>
      </c>
      <c r="L265" s="2"/>
      <c r="M265" s="10" t="b">
        <f aca="false">TRUE()</f>
        <v>1</v>
      </c>
      <c r="N265" s="9" t="n">
        <f aca="false">IF(H265="","",IF(H265&gt;=Assumptions!$B$5,1,IF(H265&gt;=Assumptions!$B$6,2,IF(H265&gt;=Assumptions!$B$7,3,""))))</f>
        <v>3</v>
      </c>
      <c r="O265" s="9" t="n">
        <f aca="false">IF(N265=1,Assumptions!$B$8,IF(N265=2,Assumptions!$B$9,IF(N265=3,Assumptions!$B$10,0)))</f>
        <v>1</v>
      </c>
      <c r="P265" s="6" t="s">
        <v>30</v>
      </c>
      <c r="Q265" s="6" t="s">
        <v>30</v>
      </c>
      <c r="R265" s="11" t="s">
        <v>30</v>
      </c>
      <c r="S265" s="6" t="s">
        <v>30</v>
      </c>
      <c r="T265" s="11" t="s">
        <v>30</v>
      </c>
      <c r="U265" s="6" t="s">
        <v>30</v>
      </c>
      <c r="V265" s="6" t="s">
        <v>30</v>
      </c>
      <c r="W265" s="6" t="s">
        <v>30</v>
      </c>
      <c r="X265" s="2" t="s">
        <v>30</v>
      </c>
      <c r="Y265" s="6" t="str">
        <f aca="false">IF(AND(X265="processed",ISNUMBER(S265)),S265*O265,"")</f>
        <v/>
      </c>
      <c r="Z265" s="6" t="n">
        <f aca="false">IF(ISNUMBER(K265),K265*O265,0)</f>
        <v>329</v>
      </c>
      <c r="AA265" s="2" t="s">
        <v>31</v>
      </c>
      <c r="AB265" s="6" t="n">
        <v>16383</v>
      </c>
      <c r="AC265" s="6" t="n">
        <v>15003</v>
      </c>
      <c r="AD265" s="6" t="n">
        <v>12774</v>
      </c>
      <c r="AE265" s="6" t="n">
        <v>2326.2158203125</v>
      </c>
      <c r="AF265" s="8" t="n">
        <v>573.415315723</v>
      </c>
      <c r="AG265" s="11" t="n">
        <v>0.02705054327</v>
      </c>
      <c r="AH265" s="12" t="n">
        <v>1</v>
      </c>
      <c r="AI265" s="2" t="s">
        <v>317</v>
      </c>
      <c r="AJ265" s="2" t="s">
        <v>738</v>
      </c>
      <c r="AK265" s="2" t="s">
        <v>738</v>
      </c>
    </row>
    <row r="266" customFormat="false" ht="15" hidden="false" customHeight="false" outlineLevel="0" collapsed="false">
      <c r="A266" s="9" t="n">
        <v>265</v>
      </c>
      <c r="B266" s="2" t="s">
        <v>740</v>
      </c>
      <c r="C266" s="2" t="s">
        <v>84</v>
      </c>
      <c r="D266" s="2" t="s">
        <v>70</v>
      </c>
      <c r="E266" s="2" t="s">
        <v>71</v>
      </c>
      <c r="F266" s="2" t="s">
        <v>741</v>
      </c>
      <c r="G266" s="2" t="s">
        <v>329</v>
      </c>
      <c r="H266" s="8" t="n">
        <v>660.35102492278</v>
      </c>
      <c r="I266" s="2" t="s">
        <v>316</v>
      </c>
      <c r="J266" s="8" t="n">
        <v>1128018.29268293</v>
      </c>
      <c r="K266" s="6" t="n">
        <v>164</v>
      </c>
      <c r="L266" s="2"/>
      <c r="M266" s="10" t="b">
        <f aca="false">TRUE()</f>
        <v>1</v>
      </c>
      <c r="N266" s="9" t="n">
        <f aca="false">IF(H266="","",IF(H266&gt;=Assumptions!$B$5,1,IF(H266&gt;=Assumptions!$B$6,2,IF(H266&gt;=Assumptions!$B$7,3,""))))</f>
        <v>2</v>
      </c>
      <c r="O266" s="9" t="n">
        <f aca="false">IF(N266=1,Assumptions!$B$8,IF(N266=2,Assumptions!$B$9,IF(N266=3,Assumptions!$B$10,0)))</f>
        <v>2</v>
      </c>
      <c r="P266" s="6" t="s">
        <v>30</v>
      </c>
      <c r="Q266" s="6" t="s">
        <v>30</v>
      </c>
      <c r="R266" s="11" t="s">
        <v>30</v>
      </c>
      <c r="S266" s="6" t="s">
        <v>30</v>
      </c>
      <c r="T266" s="11" t="s">
        <v>30</v>
      </c>
      <c r="U266" s="6" t="s">
        <v>30</v>
      </c>
      <c r="V266" s="6" t="s">
        <v>30</v>
      </c>
      <c r="W266" s="6" t="s">
        <v>30</v>
      </c>
      <c r="X266" s="2" t="s">
        <v>30</v>
      </c>
      <c r="Y266" s="6" t="str">
        <f aca="false">IF(AND(X266="processed",ISNUMBER(S266)),S266*O266,"")</f>
        <v/>
      </c>
      <c r="Z266" s="6" t="n">
        <f aca="false">IF(ISNUMBER(K266),K266*O266,0)</f>
        <v>328</v>
      </c>
      <c r="AA266" s="2" t="s">
        <v>31</v>
      </c>
      <c r="AB266" s="6" t="n">
        <v>14367</v>
      </c>
      <c r="AC266" s="6" t="n">
        <v>10169</v>
      </c>
      <c r="AD266" s="6" t="n">
        <v>123</v>
      </c>
      <c r="AE266" s="6" t="n">
        <v>1746.05126953125</v>
      </c>
      <c r="AF266" s="8" t="n">
        <v>666.666666667</v>
      </c>
      <c r="AG266" s="11" t="n">
        <v>-0.04806000869</v>
      </c>
      <c r="AH266" s="12" t="n">
        <v>1</v>
      </c>
      <c r="AI266" s="2" t="s">
        <v>317</v>
      </c>
      <c r="AJ266" s="2" t="s">
        <v>84</v>
      </c>
      <c r="AK266" s="2" t="s">
        <v>84</v>
      </c>
    </row>
    <row r="267" customFormat="false" ht="15" hidden="false" customHeight="false" outlineLevel="0" collapsed="false">
      <c r="A267" s="9" t="n">
        <v>266</v>
      </c>
      <c r="B267" s="2" t="s">
        <v>742</v>
      </c>
      <c r="C267" s="2" t="s">
        <v>266</v>
      </c>
      <c r="D267" s="2" t="s">
        <v>34</v>
      </c>
      <c r="E267" s="2" t="s">
        <v>35</v>
      </c>
      <c r="F267" s="2"/>
      <c r="G267" s="2" t="s">
        <v>318</v>
      </c>
      <c r="H267" s="8" t="n">
        <v>637.749056599494</v>
      </c>
      <c r="I267" s="2" t="s">
        <v>316</v>
      </c>
      <c r="J267" s="8" t="n">
        <v>827710.975609756</v>
      </c>
      <c r="K267" s="6" t="n">
        <v>164</v>
      </c>
      <c r="L267" s="2"/>
      <c r="M267" s="10" t="b">
        <f aca="false">TRUE()</f>
        <v>1</v>
      </c>
      <c r="N267" s="9" t="n">
        <f aca="false">IF(H267="","",IF(H267&gt;=Assumptions!$B$5,1,IF(H267&gt;=Assumptions!$B$6,2,IF(H267&gt;=Assumptions!$B$7,3,""))))</f>
        <v>2</v>
      </c>
      <c r="O267" s="9" t="n">
        <f aca="false">IF(N267=1,Assumptions!$B$8,IF(N267=2,Assumptions!$B$9,IF(N267=3,Assumptions!$B$10,0)))</f>
        <v>2</v>
      </c>
      <c r="P267" s="6" t="s">
        <v>30</v>
      </c>
      <c r="Q267" s="6" t="s">
        <v>30</v>
      </c>
      <c r="R267" s="11" t="s">
        <v>30</v>
      </c>
      <c r="S267" s="6" t="s">
        <v>30</v>
      </c>
      <c r="T267" s="11" t="s">
        <v>30</v>
      </c>
      <c r="U267" s="6" t="s">
        <v>30</v>
      </c>
      <c r="V267" s="6" t="s">
        <v>30</v>
      </c>
      <c r="W267" s="6" t="s">
        <v>30</v>
      </c>
      <c r="X267" s="2" t="s">
        <v>30</v>
      </c>
      <c r="Y267" s="6" t="str">
        <f aca="false">IF(AND(X267="processed",ISNUMBER(S267)),S267*O267,"")</f>
        <v/>
      </c>
      <c r="Z267" s="6" t="n">
        <f aca="false">IF(ISNUMBER(K267),K267*O267,0)</f>
        <v>328</v>
      </c>
      <c r="AA267" s="2" t="s">
        <v>31</v>
      </c>
      <c r="AB267" s="6" t="n">
        <v>10066</v>
      </c>
      <c r="AC267" s="6" t="n">
        <v>7921</v>
      </c>
      <c r="AD267" s="6" t="n">
        <v>3908</v>
      </c>
      <c r="AE267" s="6" t="n">
        <v>1992.2373046875</v>
      </c>
      <c r="AF267" s="8" t="n">
        <v>656.321592211</v>
      </c>
      <c r="AG267" s="11" t="n">
        <v>-0.02414142793</v>
      </c>
      <c r="AH267" s="12" t="n">
        <v>0.998024889061706</v>
      </c>
      <c r="AI267" s="2" t="s">
        <v>319</v>
      </c>
      <c r="AJ267" s="2"/>
      <c r="AK267" s="2" t="s">
        <v>266</v>
      </c>
    </row>
    <row r="268" customFormat="false" ht="15" hidden="false" customHeight="false" outlineLevel="0" collapsed="false">
      <c r="A268" s="9" t="n">
        <v>267</v>
      </c>
      <c r="B268" s="2" t="s">
        <v>743</v>
      </c>
      <c r="C268" s="2" t="s">
        <v>744</v>
      </c>
      <c r="D268" s="2" t="s">
        <v>27</v>
      </c>
      <c r="E268" s="2" t="s">
        <v>28</v>
      </c>
      <c r="F268" s="2" t="s">
        <v>745</v>
      </c>
      <c r="G268" s="2" t="s">
        <v>315</v>
      </c>
      <c r="H268" s="8" t="n">
        <v>834.400116764349</v>
      </c>
      <c r="I268" s="2" t="s">
        <v>316</v>
      </c>
      <c r="J268" s="8" t="n">
        <v>1636541.28440367</v>
      </c>
      <c r="K268" s="6" t="n">
        <v>109</v>
      </c>
      <c r="L268" s="2"/>
      <c r="M268" s="10" t="b">
        <f aca="false">TRUE()</f>
        <v>1</v>
      </c>
      <c r="N268" s="9" t="n">
        <f aca="false">IF(H268="","",IF(H268&gt;=Assumptions!$B$5,1,IF(H268&gt;=Assumptions!$B$6,2,IF(H268&gt;=Assumptions!$B$7,3,""))))</f>
        <v>1</v>
      </c>
      <c r="O268" s="9" t="n">
        <f aca="false">IF(N268=1,Assumptions!$B$8,IF(N268=2,Assumptions!$B$9,IF(N268=3,Assumptions!$B$10,0)))</f>
        <v>3</v>
      </c>
      <c r="P268" s="6" t="s">
        <v>30</v>
      </c>
      <c r="Q268" s="6" t="s">
        <v>30</v>
      </c>
      <c r="R268" s="11" t="s">
        <v>30</v>
      </c>
      <c r="S268" s="6" t="s">
        <v>30</v>
      </c>
      <c r="T268" s="11" t="s">
        <v>30</v>
      </c>
      <c r="U268" s="6" t="s">
        <v>30</v>
      </c>
      <c r="V268" s="6" t="s">
        <v>30</v>
      </c>
      <c r="W268" s="6" t="s">
        <v>30</v>
      </c>
      <c r="X268" s="2" t="s">
        <v>30</v>
      </c>
      <c r="Y268" s="6" t="str">
        <f aca="false">IF(AND(X268="processed",ISNUMBER(S268)),S268*O268,"")</f>
        <v/>
      </c>
      <c r="Z268" s="6" t="n">
        <f aca="false">IF(ISNUMBER(K268),K268*O268,0)</f>
        <v>327</v>
      </c>
      <c r="AA268" s="2" t="s">
        <v>31</v>
      </c>
      <c r="AB268" s="6" t="n">
        <v>6753</v>
      </c>
      <c r="AC268" s="6" t="n">
        <v>5413</v>
      </c>
      <c r="AD268" s="6" t="n">
        <v>460</v>
      </c>
      <c r="AE268" s="6" t="n">
        <v>2319.6806640625</v>
      </c>
      <c r="AF268" s="8" t="n">
        <v>838.122047122</v>
      </c>
      <c r="AG268" s="11" t="n">
        <v>0.08441686097</v>
      </c>
      <c r="AH268" s="12" t="n">
        <v>0.92279295383788</v>
      </c>
      <c r="AI268" s="2" t="s">
        <v>317</v>
      </c>
      <c r="AJ268" s="2" t="s">
        <v>744</v>
      </c>
      <c r="AK268" s="2" t="s">
        <v>744</v>
      </c>
    </row>
    <row r="269" customFormat="false" ht="15" hidden="false" customHeight="false" outlineLevel="0" collapsed="false">
      <c r="A269" s="9" t="n">
        <v>268</v>
      </c>
      <c r="B269" s="2" t="s">
        <v>746</v>
      </c>
      <c r="C269" s="2" t="s">
        <v>747</v>
      </c>
      <c r="D269" s="2" t="s">
        <v>70</v>
      </c>
      <c r="E269" s="2" t="s">
        <v>71</v>
      </c>
      <c r="F269" s="2" t="s">
        <v>748</v>
      </c>
      <c r="G269" s="2" t="s">
        <v>329</v>
      </c>
      <c r="H269" s="8" t="n">
        <v>949.104468609398</v>
      </c>
      <c r="I269" s="2" t="s">
        <v>316</v>
      </c>
      <c r="J269" s="8" t="n">
        <v>1465768.51851852</v>
      </c>
      <c r="K269" s="6" t="n">
        <v>108</v>
      </c>
      <c r="L269" s="2"/>
      <c r="M269" s="10" t="b">
        <f aca="false">TRUE()</f>
        <v>1</v>
      </c>
      <c r="N269" s="9" t="n">
        <f aca="false">IF(H269="","",IF(H269&gt;=Assumptions!$B$5,1,IF(H269&gt;=Assumptions!$B$6,2,IF(H269&gt;=Assumptions!$B$7,3,""))))</f>
        <v>1</v>
      </c>
      <c r="O269" s="9" t="n">
        <f aca="false">IF(N269=1,Assumptions!$B$8,IF(N269=2,Assumptions!$B$9,IF(N269=3,Assumptions!$B$10,0)))</f>
        <v>3</v>
      </c>
      <c r="P269" s="6" t="s">
        <v>30</v>
      </c>
      <c r="Q269" s="6" t="s">
        <v>30</v>
      </c>
      <c r="R269" s="11" t="s">
        <v>30</v>
      </c>
      <c r="S269" s="6" t="s">
        <v>30</v>
      </c>
      <c r="T269" s="11" t="s">
        <v>30</v>
      </c>
      <c r="U269" s="6" t="s">
        <v>30</v>
      </c>
      <c r="V269" s="6" t="s">
        <v>30</v>
      </c>
      <c r="W269" s="6" t="s">
        <v>30</v>
      </c>
      <c r="X269" s="2" t="s">
        <v>30</v>
      </c>
      <c r="Y269" s="6" t="str">
        <f aca="false">IF(AND(X269="processed",ISNUMBER(S269)),S269*O269,"")</f>
        <v/>
      </c>
      <c r="Z269" s="6" t="n">
        <f aca="false">IF(ISNUMBER(K269),K269*O269,0)</f>
        <v>324</v>
      </c>
      <c r="AA269" s="2" t="s">
        <v>31</v>
      </c>
      <c r="AB269" s="6" t="n">
        <v>9716</v>
      </c>
      <c r="AC269" s="6" t="n">
        <v>6568</v>
      </c>
      <c r="AD269" s="6" t="n">
        <v>93</v>
      </c>
      <c r="AE269" s="6" t="n">
        <v>1835.87670898438</v>
      </c>
      <c r="AF269" s="8" t="n">
        <v>961.877340158</v>
      </c>
      <c r="AG269" s="11" t="n">
        <v>-0.09470367985</v>
      </c>
      <c r="AH269" s="12" t="n">
        <v>1</v>
      </c>
      <c r="AI269" s="2" t="s">
        <v>317</v>
      </c>
      <c r="AJ269" s="2" t="s">
        <v>747</v>
      </c>
      <c r="AK269" s="2" t="s">
        <v>747</v>
      </c>
    </row>
    <row r="270" customFormat="false" ht="15" hidden="false" customHeight="false" outlineLevel="0" collapsed="false">
      <c r="A270" s="9" t="n">
        <v>269</v>
      </c>
      <c r="B270" s="2" t="s">
        <v>749</v>
      </c>
      <c r="C270" s="2" t="s">
        <v>403</v>
      </c>
      <c r="D270" s="2" t="s">
        <v>70</v>
      </c>
      <c r="E270" s="2" t="s">
        <v>71</v>
      </c>
      <c r="F270" s="2" t="s">
        <v>750</v>
      </c>
      <c r="G270" s="2" t="s">
        <v>329</v>
      </c>
      <c r="H270" s="8" t="n">
        <v>782.126345547324</v>
      </c>
      <c r="I270" s="2" t="s">
        <v>316</v>
      </c>
      <c r="J270" s="8" t="n">
        <v>1580750</v>
      </c>
      <c r="K270" s="6" t="n">
        <v>108</v>
      </c>
      <c r="L270" s="2"/>
      <c r="M270" s="10" t="b">
        <f aca="false">TRUE()</f>
        <v>1</v>
      </c>
      <c r="N270" s="9" t="n">
        <f aca="false">IF(H270="","",IF(H270&gt;=Assumptions!$B$5,1,IF(H270&gt;=Assumptions!$B$6,2,IF(H270&gt;=Assumptions!$B$7,3,""))))</f>
        <v>1</v>
      </c>
      <c r="O270" s="9" t="n">
        <f aca="false">IF(N270=1,Assumptions!$B$8,IF(N270=2,Assumptions!$B$9,IF(N270=3,Assumptions!$B$10,0)))</f>
        <v>3</v>
      </c>
      <c r="P270" s="6" t="s">
        <v>30</v>
      </c>
      <c r="Q270" s="6" t="s">
        <v>30</v>
      </c>
      <c r="R270" s="11" t="s">
        <v>30</v>
      </c>
      <c r="S270" s="6" t="s">
        <v>30</v>
      </c>
      <c r="T270" s="11" t="s">
        <v>30</v>
      </c>
      <c r="U270" s="6" t="s">
        <v>30</v>
      </c>
      <c r="V270" s="6" t="s">
        <v>30</v>
      </c>
      <c r="W270" s="6" t="s">
        <v>30</v>
      </c>
      <c r="X270" s="2" t="s">
        <v>30</v>
      </c>
      <c r="Y270" s="6" t="str">
        <f aca="false">IF(AND(X270="processed",ISNUMBER(S270)),S270*O270,"")</f>
        <v/>
      </c>
      <c r="Z270" s="6" t="n">
        <f aca="false">IF(ISNUMBER(K270),K270*O270,0)</f>
        <v>324</v>
      </c>
      <c r="AA270" s="2" t="s">
        <v>31</v>
      </c>
      <c r="AB270" s="6" t="n">
        <v>7866</v>
      </c>
      <c r="AC270" s="6" t="n">
        <v>5748</v>
      </c>
      <c r="AD270" s="6" t="n">
        <v>78</v>
      </c>
      <c r="AE270" s="6" t="n">
        <v>2267.64038085938</v>
      </c>
      <c r="AF270" s="8" t="n">
        <v>781.185718849</v>
      </c>
      <c r="AG270" s="11" t="n">
        <v>-0.02612180384</v>
      </c>
      <c r="AH270" s="12" t="n">
        <v>1</v>
      </c>
      <c r="AI270" s="2" t="s">
        <v>317</v>
      </c>
      <c r="AJ270" s="2" t="s">
        <v>403</v>
      </c>
      <c r="AK270" s="2" t="s">
        <v>403</v>
      </c>
    </row>
    <row r="271" customFormat="false" ht="15" hidden="false" customHeight="false" outlineLevel="0" collapsed="false">
      <c r="A271" s="9" t="n">
        <v>270</v>
      </c>
      <c r="B271" s="2" t="s">
        <v>751</v>
      </c>
      <c r="C271" s="2" t="s">
        <v>752</v>
      </c>
      <c r="D271" s="2" t="s">
        <v>70</v>
      </c>
      <c r="E271" s="2" t="s">
        <v>71</v>
      </c>
      <c r="F271" s="2" t="s">
        <v>753</v>
      </c>
      <c r="G271" s="2" t="s">
        <v>329</v>
      </c>
      <c r="H271" s="8" t="n">
        <v>662.472531549081</v>
      </c>
      <c r="I271" s="2" t="s">
        <v>316</v>
      </c>
      <c r="J271" s="8" t="n">
        <v>1858260.86956522</v>
      </c>
      <c r="K271" s="6" t="n">
        <v>161</v>
      </c>
      <c r="L271" s="2"/>
      <c r="M271" s="10" t="b">
        <f aca="false">TRUE()</f>
        <v>1</v>
      </c>
      <c r="N271" s="9" t="n">
        <f aca="false">IF(H271="","",IF(H271&gt;=Assumptions!$B$5,1,IF(H271&gt;=Assumptions!$B$6,2,IF(H271&gt;=Assumptions!$B$7,3,""))))</f>
        <v>2</v>
      </c>
      <c r="O271" s="9" t="n">
        <f aca="false">IF(N271=1,Assumptions!$B$8,IF(N271=2,Assumptions!$B$9,IF(N271=3,Assumptions!$B$10,0)))</f>
        <v>2</v>
      </c>
      <c r="P271" s="6" t="s">
        <v>30</v>
      </c>
      <c r="Q271" s="6" t="s">
        <v>30</v>
      </c>
      <c r="R271" s="11" t="s">
        <v>30</v>
      </c>
      <c r="S271" s="6" t="s">
        <v>30</v>
      </c>
      <c r="T271" s="11" t="s">
        <v>30</v>
      </c>
      <c r="U271" s="6" t="s">
        <v>30</v>
      </c>
      <c r="V271" s="6" t="s">
        <v>30</v>
      </c>
      <c r="W271" s="6" t="s">
        <v>30</v>
      </c>
      <c r="X271" s="2" t="s">
        <v>30</v>
      </c>
      <c r="Y271" s="6" t="str">
        <f aca="false">IF(AND(X271="processed",ISNUMBER(S271)),S271*O271,"")</f>
        <v/>
      </c>
      <c r="Z271" s="6" t="n">
        <f aca="false">IF(ISNUMBER(K271),K271*O271,0)</f>
        <v>322</v>
      </c>
      <c r="AA271" s="2" t="s">
        <v>31</v>
      </c>
      <c r="AB271" s="6" t="n">
        <v>9645</v>
      </c>
      <c r="AC271" s="6" t="n">
        <v>6937</v>
      </c>
      <c r="AD271" s="6" t="n">
        <v>262</v>
      </c>
      <c r="AE271" s="6" t="n">
        <v>3144.22729492188</v>
      </c>
      <c r="AF271" s="8" t="n">
        <v>664.573544955</v>
      </c>
      <c r="AG271" s="11" t="n">
        <v>-0.02225755167</v>
      </c>
      <c r="AH271" s="12" t="n">
        <v>1</v>
      </c>
      <c r="AI271" s="2" t="s">
        <v>317</v>
      </c>
      <c r="AJ271" s="2" t="s">
        <v>752</v>
      </c>
      <c r="AK271" s="2" t="s">
        <v>70</v>
      </c>
    </row>
    <row r="272" customFormat="false" ht="15" hidden="false" customHeight="false" outlineLevel="0" collapsed="false">
      <c r="A272" s="9" t="n">
        <v>271</v>
      </c>
      <c r="B272" s="2" t="s">
        <v>754</v>
      </c>
      <c r="C272" s="2" t="s">
        <v>278</v>
      </c>
      <c r="D272" s="2" t="s">
        <v>70</v>
      </c>
      <c r="E272" s="2" t="s">
        <v>71</v>
      </c>
      <c r="F272" s="2"/>
      <c r="G272" s="2" t="s">
        <v>329</v>
      </c>
      <c r="H272" s="8" t="n">
        <v>923.913331271907</v>
      </c>
      <c r="I272" s="2" t="s">
        <v>316</v>
      </c>
      <c r="J272" s="8" t="n">
        <v>2293144.85981308</v>
      </c>
      <c r="K272" s="6" t="n">
        <v>107</v>
      </c>
      <c r="L272" s="2"/>
      <c r="M272" s="10" t="b">
        <f aca="false">TRUE()</f>
        <v>1</v>
      </c>
      <c r="N272" s="9" t="n">
        <f aca="false">IF(H272="","",IF(H272&gt;=Assumptions!$B$5,1,IF(H272&gt;=Assumptions!$B$6,2,IF(H272&gt;=Assumptions!$B$7,3,""))))</f>
        <v>1</v>
      </c>
      <c r="O272" s="9" t="n">
        <f aca="false">IF(N272=1,Assumptions!$B$8,IF(N272=2,Assumptions!$B$9,IF(N272=3,Assumptions!$B$10,0)))</f>
        <v>3</v>
      </c>
      <c r="P272" s="6" t="s">
        <v>30</v>
      </c>
      <c r="Q272" s="6" t="s">
        <v>30</v>
      </c>
      <c r="R272" s="11" t="s">
        <v>30</v>
      </c>
      <c r="S272" s="6" t="s">
        <v>30</v>
      </c>
      <c r="T272" s="11" t="s">
        <v>30</v>
      </c>
      <c r="U272" s="6" t="s">
        <v>30</v>
      </c>
      <c r="V272" s="6" t="s">
        <v>30</v>
      </c>
      <c r="W272" s="6" t="s">
        <v>30</v>
      </c>
      <c r="X272" s="2" t="s">
        <v>30</v>
      </c>
      <c r="Y272" s="6" t="str">
        <f aca="false">IF(AND(X272="processed",ISNUMBER(S272)),S272*O272,"")</f>
        <v/>
      </c>
      <c r="Z272" s="6" t="n">
        <f aca="false">IF(ISNUMBER(K272),K272*O272,0)</f>
        <v>321</v>
      </c>
      <c r="AA272" s="2" t="s">
        <v>31</v>
      </c>
      <c r="AB272" s="6" t="n">
        <v>5949</v>
      </c>
      <c r="AC272" s="6" t="n">
        <v>4221</v>
      </c>
      <c r="AD272" s="6" t="n">
        <v>203</v>
      </c>
      <c r="AE272" s="6" t="n">
        <v>2335.20043945313</v>
      </c>
      <c r="AF272" s="8" t="n">
        <v>1013.259819674</v>
      </c>
      <c r="AG272" s="11" t="n">
        <v>-0.09741176257</v>
      </c>
      <c r="AH272" s="12" t="n">
        <v>1</v>
      </c>
      <c r="AI272" s="2" t="s">
        <v>317</v>
      </c>
      <c r="AJ272" s="2" t="s">
        <v>278</v>
      </c>
      <c r="AK272" s="2" t="s">
        <v>278</v>
      </c>
    </row>
    <row r="273" customFormat="false" ht="15" hidden="false" customHeight="false" outlineLevel="0" collapsed="false">
      <c r="A273" s="9" t="n">
        <v>272</v>
      </c>
      <c r="B273" s="2" t="s">
        <v>755</v>
      </c>
      <c r="C273" s="2" t="s">
        <v>756</v>
      </c>
      <c r="D273" s="2" t="s">
        <v>595</v>
      </c>
      <c r="E273" s="2" t="s">
        <v>51</v>
      </c>
      <c r="F273" s="2"/>
      <c r="G273" s="2" t="s">
        <v>597</v>
      </c>
      <c r="H273" s="8" t="n">
        <v>716.583216691935</v>
      </c>
      <c r="I273" s="2" t="s">
        <v>316</v>
      </c>
      <c r="J273" s="8" t="n">
        <v>1020074.76635514</v>
      </c>
      <c r="K273" s="6" t="n">
        <v>107</v>
      </c>
      <c r="L273" s="2"/>
      <c r="M273" s="10" t="b">
        <f aca="false">TRUE()</f>
        <v>1</v>
      </c>
      <c r="N273" s="9" t="n">
        <f aca="false">IF(H273="","",IF(H273&gt;=Assumptions!$B$5,1,IF(H273&gt;=Assumptions!$B$6,2,IF(H273&gt;=Assumptions!$B$7,3,""))))</f>
        <v>1</v>
      </c>
      <c r="O273" s="9" t="n">
        <f aca="false">IF(N273=1,Assumptions!$B$8,IF(N273=2,Assumptions!$B$9,IF(N273=3,Assumptions!$B$10,0)))</f>
        <v>3</v>
      </c>
      <c r="P273" s="6" t="s">
        <v>30</v>
      </c>
      <c r="Q273" s="6" t="s">
        <v>30</v>
      </c>
      <c r="R273" s="11" t="s">
        <v>30</v>
      </c>
      <c r="S273" s="6" t="s">
        <v>30</v>
      </c>
      <c r="T273" s="11" t="s">
        <v>30</v>
      </c>
      <c r="U273" s="6" t="s">
        <v>30</v>
      </c>
      <c r="V273" s="6" t="s">
        <v>30</v>
      </c>
      <c r="W273" s="6" t="s">
        <v>30</v>
      </c>
      <c r="X273" s="2" t="s">
        <v>30</v>
      </c>
      <c r="Y273" s="6" t="str">
        <f aca="false">IF(AND(X273="processed",ISNUMBER(S273)),S273*O273,"")</f>
        <v/>
      </c>
      <c r="Z273" s="6" t="n">
        <f aca="false">IF(ISNUMBER(K273),K273*O273,0)</f>
        <v>321</v>
      </c>
      <c r="AA273" s="2" t="s">
        <v>31</v>
      </c>
      <c r="AB273" s="6" t="n">
        <v>8341</v>
      </c>
      <c r="AC273" s="6" t="n">
        <v>6917</v>
      </c>
      <c r="AD273" s="6" t="n">
        <v>160</v>
      </c>
      <c r="AE273" s="6" t="n">
        <v>1624.08837890625</v>
      </c>
      <c r="AF273" s="8" t="n">
        <v>623.401534527</v>
      </c>
      <c r="AG273" s="11" t="n">
        <v>-0.117520759</v>
      </c>
      <c r="AH273" s="12" t="n">
        <v>0.983744495158545</v>
      </c>
      <c r="AI273" s="2" t="s">
        <v>317</v>
      </c>
      <c r="AJ273" s="2" t="s">
        <v>756</v>
      </c>
      <c r="AK273" s="2" t="s">
        <v>756</v>
      </c>
    </row>
    <row r="274" customFormat="false" ht="15" hidden="false" customHeight="false" outlineLevel="0" collapsed="false">
      <c r="A274" s="9" t="n">
        <v>273</v>
      </c>
      <c r="B274" s="2" t="s">
        <v>757</v>
      </c>
      <c r="C274" s="2" t="s">
        <v>758</v>
      </c>
      <c r="D274" s="2" t="s">
        <v>105</v>
      </c>
      <c r="E274" s="2" t="s">
        <v>51</v>
      </c>
      <c r="F274" s="2" t="s">
        <v>759</v>
      </c>
      <c r="G274" s="2" t="s">
        <v>318</v>
      </c>
      <c r="H274" s="8" t="n">
        <v>786.220883310991</v>
      </c>
      <c r="I274" s="2" t="s">
        <v>316</v>
      </c>
      <c r="J274" s="8" t="n">
        <v>1855467.28971963</v>
      </c>
      <c r="K274" s="6" t="n">
        <v>107</v>
      </c>
      <c r="L274" s="2"/>
      <c r="M274" s="10" t="b">
        <f aca="false">TRUE()</f>
        <v>1</v>
      </c>
      <c r="N274" s="9" t="n">
        <f aca="false">IF(H274="","",IF(H274&gt;=Assumptions!$B$5,1,IF(H274&gt;=Assumptions!$B$6,2,IF(H274&gt;=Assumptions!$B$7,3,""))))</f>
        <v>1</v>
      </c>
      <c r="O274" s="9" t="n">
        <f aca="false">IF(N274=1,Assumptions!$B$8,IF(N274=2,Assumptions!$B$9,IF(N274=3,Assumptions!$B$10,0)))</f>
        <v>3</v>
      </c>
      <c r="P274" s="6" t="s">
        <v>30</v>
      </c>
      <c r="Q274" s="6" t="s">
        <v>30</v>
      </c>
      <c r="R274" s="11" t="s">
        <v>30</v>
      </c>
      <c r="S274" s="6" t="s">
        <v>30</v>
      </c>
      <c r="T274" s="11" t="s">
        <v>30</v>
      </c>
      <c r="U274" s="6" t="s">
        <v>30</v>
      </c>
      <c r="V274" s="6" t="s">
        <v>30</v>
      </c>
      <c r="W274" s="6" t="s">
        <v>30</v>
      </c>
      <c r="X274" s="2" t="s">
        <v>30</v>
      </c>
      <c r="Y274" s="6" t="str">
        <f aca="false">IF(AND(X274="processed",ISNUMBER(S274)),S274*O274,"")</f>
        <v/>
      </c>
      <c r="Z274" s="6" t="n">
        <f aca="false">IF(ISNUMBER(K274),K274*O274,0)</f>
        <v>321</v>
      </c>
      <c r="AA274" s="2" t="s">
        <v>31</v>
      </c>
      <c r="AB274" s="6" t="n">
        <v>5065</v>
      </c>
      <c r="AC274" s="6" t="n">
        <v>4774</v>
      </c>
      <c r="AD274" s="6" t="n">
        <v>3909</v>
      </c>
      <c r="AE274" s="6" t="n">
        <v>3334.53857421875</v>
      </c>
      <c r="AF274" s="8" t="n">
        <v>808.609202965</v>
      </c>
      <c r="AG274" s="11" t="n">
        <v>-0.007276701591</v>
      </c>
      <c r="AH274" s="12" t="n">
        <v>0.999999999999999</v>
      </c>
      <c r="AI274" s="2" t="s">
        <v>317</v>
      </c>
      <c r="AJ274" s="2" t="s">
        <v>758</v>
      </c>
      <c r="AK274" s="2" t="s">
        <v>758</v>
      </c>
    </row>
    <row r="275" customFormat="false" ht="15" hidden="false" customHeight="false" outlineLevel="0" collapsed="false">
      <c r="A275" s="9" t="n">
        <v>274</v>
      </c>
      <c r="B275" s="2" t="s">
        <v>760</v>
      </c>
      <c r="C275" s="2" t="s">
        <v>386</v>
      </c>
      <c r="D275" s="2" t="s">
        <v>105</v>
      </c>
      <c r="E275" s="2" t="s">
        <v>51</v>
      </c>
      <c r="F275" s="2" t="s">
        <v>761</v>
      </c>
      <c r="G275" s="2" t="s">
        <v>318</v>
      </c>
      <c r="H275" s="8" t="n">
        <v>771.69205176</v>
      </c>
      <c r="I275" s="2" t="s">
        <v>316</v>
      </c>
      <c r="J275" s="8" t="n">
        <v>1682102.80373832</v>
      </c>
      <c r="K275" s="6" t="n">
        <v>107</v>
      </c>
      <c r="L275" s="2"/>
      <c r="M275" s="10" t="b">
        <f aca="false">TRUE()</f>
        <v>1</v>
      </c>
      <c r="N275" s="9" t="n">
        <f aca="false">IF(H275="","",IF(H275&gt;=Assumptions!$B$5,1,IF(H275&gt;=Assumptions!$B$6,2,IF(H275&gt;=Assumptions!$B$7,3,""))))</f>
        <v>1</v>
      </c>
      <c r="O275" s="9" t="n">
        <f aca="false">IF(N275=1,Assumptions!$B$8,IF(N275=2,Assumptions!$B$9,IF(N275=3,Assumptions!$B$10,0)))</f>
        <v>3</v>
      </c>
      <c r="P275" s="6" t="s">
        <v>30</v>
      </c>
      <c r="Q275" s="6" t="s">
        <v>30</v>
      </c>
      <c r="R275" s="11" t="s">
        <v>30</v>
      </c>
      <c r="S275" s="6" t="s">
        <v>30</v>
      </c>
      <c r="T275" s="11" t="s">
        <v>30</v>
      </c>
      <c r="U275" s="6" t="s">
        <v>30</v>
      </c>
      <c r="V275" s="6" t="s">
        <v>30</v>
      </c>
      <c r="W275" s="6" t="s">
        <v>30</v>
      </c>
      <c r="X275" s="2" t="s">
        <v>30</v>
      </c>
      <c r="Y275" s="6" t="str">
        <f aca="false">IF(AND(X275="processed",ISNUMBER(S275)),S275*O275,"")</f>
        <v/>
      </c>
      <c r="Z275" s="6" t="n">
        <f aca="false">IF(ISNUMBER(K275),K275*O275,0)</f>
        <v>321</v>
      </c>
      <c r="AA275" s="2" t="s">
        <v>31</v>
      </c>
      <c r="AB275" s="6" t="n">
        <v>5322</v>
      </c>
      <c r="AC275" s="6" t="n">
        <v>4564</v>
      </c>
      <c r="AD275" s="6" t="n">
        <v>3230</v>
      </c>
      <c r="AE275" s="6" t="n">
        <v>2897.5322265625</v>
      </c>
      <c r="AF275" s="8" t="n">
        <v>776.821862348</v>
      </c>
      <c r="AG275" s="11" t="n">
        <v>-0.007685735317</v>
      </c>
      <c r="AH275" s="12" t="n">
        <v>1</v>
      </c>
      <c r="AI275" s="2" t="s">
        <v>317</v>
      </c>
      <c r="AJ275" s="2" t="s">
        <v>386</v>
      </c>
      <c r="AK275" s="2" t="s">
        <v>386</v>
      </c>
    </row>
    <row r="276" customFormat="false" ht="15" hidden="false" customHeight="false" outlineLevel="0" collapsed="false">
      <c r="A276" s="9" t="n">
        <v>275</v>
      </c>
      <c r="B276" s="2" t="s">
        <v>762</v>
      </c>
      <c r="C276" s="2" t="s">
        <v>38</v>
      </c>
      <c r="D276" s="2" t="s">
        <v>39</v>
      </c>
      <c r="E276" s="2" t="s">
        <v>40</v>
      </c>
      <c r="F276" s="2" t="s">
        <v>763</v>
      </c>
      <c r="G276" s="2" t="s">
        <v>320</v>
      </c>
      <c r="H276" s="8" t="n">
        <v>1009.50266301099</v>
      </c>
      <c r="I276" s="2" t="s">
        <v>316</v>
      </c>
      <c r="J276" s="8" t="n">
        <v>1636794.39252336</v>
      </c>
      <c r="K276" s="6" t="n">
        <v>107</v>
      </c>
      <c r="L276" s="2"/>
      <c r="M276" s="10" t="b">
        <f aca="false">TRUE()</f>
        <v>1</v>
      </c>
      <c r="N276" s="9" t="n">
        <f aca="false">IF(H276="","",IF(H276&gt;=Assumptions!$B$5,1,IF(H276&gt;=Assumptions!$B$6,2,IF(H276&gt;=Assumptions!$B$7,3,""))))</f>
        <v>1</v>
      </c>
      <c r="O276" s="9" t="n">
        <f aca="false">IF(N276=1,Assumptions!$B$8,IF(N276=2,Assumptions!$B$9,IF(N276=3,Assumptions!$B$10,0)))</f>
        <v>3</v>
      </c>
      <c r="P276" s="6" t="s">
        <v>30</v>
      </c>
      <c r="Q276" s="6" t="s">
        <v>30</v>
      </c>
      <c r="R276" s="11" t="s">
        <v>30</v>
      </c>
      <c r="S276" s="6" t="s">
        <v>30</v>
      </c>
      <c r="T276" s="11" t="s">
        <v>30</v>
      </c>
      <c r="U276" s="6" t="s">
        <v>30</v>
      </c>
      <c r="V276" s="6" t="s">
        <v>30</v>
      </c>
      <c r="W276" s="6" t="s">
        <v>30</v>
      </c>
      <c r="X276" s="2" t="s">
        <v>30</v>
      </c>
      <c r="Y276" s="6" t="str">
        <f aca="false">IF(AND(X276="processed",ISNUMBER(S276)),S276*O276,"")</f>
        <v/>
      </c>
      <c r="Z276" s="6" t="n">
        <f aca="false">IF(ISNUMBER(K276),K276*O276,0)</f>
        <v>321</v>
      </c>
      <c r="AA276" s="2" t="s">
        <v>31</v>
      </c>
      <c r="AB276" s="6" t="n">
        <v>10535</v>
      </c>
      <c r="AC276" s="6" t="n">
        <v>6901</v>
      </c>
      <c r="AD276" s="6" t="n">
        <v>161</v>
      </c>
      <c r="AE276" s="6" t="n">
        <v>1708.18981933594</v>
      </c>
      <c r="AF276" s="8" t="n">
        <v>1025.419496815</v>
      </c>
      <c r="AG276" s="11" t="n">
        <v>-0.0999095528</v>
      </c>
      <c r="AH276" s="12" t="n">
        <v>1</v>
      </c>
      <c r="AI276" s="2" t="s">
        <v>317</v>
      </c>
      <c r="AJ276" s="2" t="s">
        <v>38</v>
      </c>
      <c r="AK276" s="2" t="s">
        <v>38</v>
      </c>
    </row>
    <row r="277" customFormat="false" ht="15" hidden="false" customHeight="false" outlineLevel="0" collapsed="false">
      <c r="A277" s="9" t="n">
        <v>276</v>
      </c>
      <c r="B277" s="2" t="s">
        <v>764</v>
      </c>
      <c r="C277" s="2" t="s">
        <v>765</v>
      </c>
      <c r="D277" s="2" t="s">
        <v>190</v>
      </c>
      <c r="E277" s="2" t="s">
        <v>51</v>
      </c>
      <c r="F277" s="2"/>
      <c r="G277" s="2" t="s">
        <v>336</v>
      </c>
      <c r="H277" s="8" t="n">
        <v>506.509215384287</v>
      </c>
      <c r="I277" s="2" t="s">
        <v>316</v>
      </c>
      <c r="J277" s="8" t="n">
        <v>1001947.04049844</v>
      </c>
      <c r="K277" s="6" t="n">
        <v>321</v>
      </c>
      <c r="L277" s="2"/>
      <c r="M277" s="10" t="b">
        <f aca="false">TRUE()</f>
        <v>1</v>
      </c>
      <c r="N277" s="9" t="n">
        <f aca="false">IF(H277="","",IF(H277&gt;=Assumptions!$B$5,1,IF(H277&gt;=Assumptions!$B$6,2,IF(H277&gt;=Assumptions!$B$7,3,""))))</f>
        <v>3</v>
      </c>
      <c r="O277" s="9" t="n">
        <f aca="false">IF(N277=1,Assumptions!$B$8,IF(N277=2,Assumptions!$B$9,IF(N277=3,Assumptions!$B$10,0)))</f>
        <v>1</v>
      </c>
      <c r="P277" s="6" t="s">
        <v>30</v>
      </c>
      <c r="Q277" s="6" t="s">
        <v>30</v>
      </c>
      <c r="R277" s="11" t="s">
        <v>30</v>
      </c>
      <c r="S277" s="6" t="s">
        <v>30</v>
      </c>
      <c r="T277" s="11" t="s">
        <v>30</v>
      </c>
      <c r="U277" s="6" t="s">
        <v>30</v>
      </c>
      <c r="V277" s="6" t="s">
        <v>30</v>
      </c>
      <c r="W277" s="6" t="s">
        <v>30</v>
      </c>
      <c r="X277" s="2" t="s">
        <v>30</v>
      </c>
      <c r="Y277" s="6" t="str">
        <f aca="false">IF(AND(X277="processed",ISNUMBER(S277)),S277*O277,"")</f>
        <v/>
      </c>
      <c r="Z277" s="6" t="n">
        <f aca="false">IF(ISNUMBER(K277),K277*O277,0)</f>
        <v>321</v>
      </c>
      <c r="AA277" s="2" t="s">
        <v>31</v>
      </c>
      <c r="AB277" s="6" t="n">
        <v>21748</v>
      </c>
      <c r="AC277" s="6" t="n">
        <v>15671</v>
      </c>
      <c r="AD277" s="6" t="n">
        <v>1057</v>
      </c>
      <c r="AE277" s="6" t="n">
        <v>1974.14782714844</v>
      </c>
      <c r="AF277" s="8" t="n">
        <v>519.801980198</v>
      </c>
      <c r="AG277" s="11" t="n">
        <v>-0.03130544268</v>
      </c>
      <c r="AH277" s="12" t="n">
        <v>0.999783238254537</v>
      </c>
      <c r="AI277" s="2" t="s">
        <v>317</v>
      </c>
      <c r="AJ277" s="2" t="s">
        <v>765</v>
      </c>
      <c r="AK277" s="2" t="s">
        <v>765</v>
      </c>
    </row>
    <row r="278" customFormat="false" ht="15" hidden="false" customHeight="false" outlineLevel="0" collapsed="false">
      <c r="A278" s="9" t="n">
        <v>277</v>
      </c>
      <c r="B278" s="2" t="s">
        <v>766</v>
      </c>
      <c r="C278" s="2" t="s">
        <v>767</v>
      </c>
      <c r="D278" s="2" t="s">
        <v>70</v>
      </c>
      <c r="E278" s="2" t="s">
        <v>71</v>
      </c>
      <c r="F278" s="2" t="s">
        <v>768</v>
      </c>
      <c r="G278" s="2" t="s">
        <v>329</v>
      </c>
      <c r="H278" s="8" t="n">
        <v>622.377278974709</v>
      </c>
      <c r="I278" s="2" t="s">
        <v>316</v>
      </c>
      <c r="J278" s="8" t="n">
        <v>800949.367088608</v>
      </c>
      <c r="K278" s="6" t="n">
        <v>158</v>
      </c>
      <c r="L278" s="2"/>
      <c r="M278" s="10" t="b">
        <f aca="false">TRUE()</f>
        <v>1</v>
      </c>
      <c r="N278" s="9" t="n">
        <f aca="false">IF(H278="","",IF(H278&gt;=Assumptions!$B$5,1,IF(H278&gt;=Assumptions!$B$6,2,IF(H278&gt;=Assumptions!$B$7,3,""))))</f>
        <v>2</v>
      </c>
      <c r="O278" s="9" t="n">
        <f aca="false">IF(N278=1,Assumptions!$B$8,IF(N278=2,Assumptions!$B$9,IF(N278=3,Assumptions!$B$10,0)))</f>
        <v>2</v>
      </c>
      <c r="P278" s="6" t="s">
        <v>30</v>
      </c>
      <c r="Q278" s="6" t="s">
        <v>30</v>
      </c>
      <c r="R278" s="11" t="s">
        <v>30</v>
      </c>
      <c r="S278" s="6" t="s">
        <v>30</v>
      </c>
      <c r="T278" s="11" t="s">
        <v>30</v>
      </c>
      <c r="U278" s="6" t="s">
        <v>30</v>
      </c>
      <c r="V278" s="6" t="s">
        <v>30</v>
      </c>
      <c r="W278" s="6" t="s">
        <v>30</v>
      </c>
      <c r="X278" s="2" t="s">
        <v>30</v>
      </c>
      <c r="Y278" s="6" t="str">
        <f aca="false">IF(AND(X278="processed",ISNUMBER(S278)),S278*O278,"")</f>
        <v/>
      </c>
      <c r="Z278" s="6" t="n">
        <f aca="false">IF(ISNUMBER(K278),K278*O278,0)</f>
        <v>316</v>
      </c>
      <c r="AA278" s="2" t="s">
        <v>31</v>
      </c>
      <c r="AB278" s="6" t="n">
        <v>15487</v>
      </c>
      <c r="AC278" s="6" t="n">
        <v>11262</v>
      </c>
      <c r="AD278" s="6" t="n">
        <v>188</v>
      </c>
      <c r="AE278" s="6" t="n">
        <v>1881.91589355469</v>
      </c>
      <c r="AF278" s="8" t="n">
        <v>638.063806381</v>
      </c>
      <c r="AG278" s="11" t="n">
        <v>0.04410441044</v>
      </c>
      <c r="AH278" s="12" t="n">
        <v>0.999999999999999</v>
      </c>
      <c r="AI278" s="2" t="s">
        <v>317</v>
      </c>
      <c r="AJ278" s="2" t="s">
        <v>767</v>
      </c>
      <c r="AK278" s="2" t="s">
        <v>767</v>
      </c>
    </row>
    <row r="279" customFormat="false" ht="15" hidden="false" customHeight="false" outlineLevel="0" collapsed="false">
      <c r="A279" s="9" t="n">
        <v>278</v>
      </c>
      <c r="B279" s="2" t="s">
        <v>769</v>
      </c>
      <c r="C279" s="2" t="s">
        <v>133</v>
      </c>
      <c r="D279" s="2" t="s">
        <v>34</v>
      </c>
      <c r="E279" s="2" t="s">
        <v>35</v>
      </c>
      <c r="F279" s="2" t="s">
        <v>770</v>
      </c>
      <c r="G279" s="2" t="s">
        <v>318</v>
      </c>
      <c r="H279" s="8" t="n">
        <v>503.499003032371</v>
      </c>
      <c r="I279" s="2" t="s">
        <v>316</v>
      </c>
      <c r="J279" s="8" t="n">
        <v>712066.666666667</v>
      </c>
      <c r="K279" s="6" t="n">
        <v>315</v>
      </c>
      <c r="L279" s="2"/>
      <c r="M279" s="10" t="b">
        <f aca="false">TRUE()</f>
        <v>1</v>
      </c>
      <c r="N279" s="9" t="n">
        <f aca="false">IF(H279="","",IF(H279&gt;=Assumptions!$B$5,1,IF(H279&gt;=Assumptions!$B$6,2,IF(H279&gt;=Assumptions!$B$7,3,""))))</f>
        <v>3</v>
      </c>
      <c r="O279" s="9" t="n">
        <f aca="false">IF(N279=1,Assumptions!$B$8,IF(N279=2,Assumptions!$B$9,IF(N279=3,Assumptions!$B$10,0)))</f>
        <v>1</v>
      </c>
      <c r="P279" s="6" t="s">
        <v>30</v>
      </c>
      <c r="Q279" s="6" t="s">
        <v>30</v>
      </c>
      <c r="R279" s="11" t="s">
        <v>30</v>
      </c>
      <c r="S279" s="6" t="s">
        <v>30</v>
      </c>
      <c r="T279" s="11" t="s">
        <v>30</v>
      </c>
      <c r="U279" s="6" t="s">
        <v>30</v>
      </c>
      <c r="V279" s="6" t="s">
        <v>30</v>
      </c>
      <c r="W279" s="6" t="s">
        <v>30</v>
      </c>
      <c r="X279" s="2" t="s">
        <v>30</v>
      </c>
      <c r="Y279" s="6" t="str">
        <f aca="false">IF(AND(X279="processed",ISNUMBER(S279)),S279*O279,"")</f>
        <v/>
      </c>
      <c r="Z279" s="6" t="n">
        <f aca="false">IF(ISNUMBER(K279),K279*O279,0)</f>
        <v>315</v>
      </c>
      <c r="AA279" s="2" t="s">
        <v>31</v>
      </c>
      <c r="AB279" s="6" t="n">
        <v>19151</v>
      </c>
      <c r="AC279" s="6" t="n">
        <v>13467</v>
      </c>
      <c r="AD279" s="6" t="n">
        <v>155</v>
      </c>
      <c r="AE279" s="6" t="n">
        <v>1540.64562988281</v>
      </c>
      <c r="AF279" s="8" t="n">
        <v>541.644954553</v>
      </c>
      <c r="AG279" s="11" t="n">
        <v>0.1017454269</v>
      </c>
      <c r="AH279" s="12" t="n">
        <v>0.999999999999997</v>
      </c>
      <c r="AI279" s="2" t="s">
        <v>319</v>
      </c>
      <c r="AJ279" s="2"/>
      <c r="AK279" s="2" t="s">
        <v>133</v>
      </c>
    </row>
    <row r="280" customFormat="false" ht="15" hidden="false" customHeight="false" outlineLevel="0" collapsed="false">
      <c r="A280" s="9" t="n">
        <v>279</v>
      </c>
      <c r="B280" s="2" t="s">
        <v>771</v>
      </c>
      <c r="C280" s="2" t="s">
        <v>772</v>
      </c>
      <c r="D280" s="2" t="s">
        <v>105</v>
      </c>
      <c r="E280" s="2" t="s">
        <v>51</v>
      </c>
      <c r="F280" s="2" t="s">
        <v>773</v>
      </c>
      <c r="G280" s="2" t="s">
        <v>318</v>
      </c>
      <c r="H280" s="8" t="n">
        <v>522.620383852522</v>
      </c>
      <c r="I280" s="2" t="s">
        <v>316</v>
      </c>
      <c r="J280" s="8" t="n">
        <v>858160.256410256</v>
      </c>
      <c r="K280" s="6" t="n">
        <v>312</v>
      </c>
      <c r="L280" s="2"/>
      <c r="M280" s="10" t="b">
        <f aca="false">TRUE()</f>
        <v>1</v>
      </c>
      <c r="N280" s="9" t="n">
        <f aca="false">IF(H280="","",IF(H280&gt;=Assumptions!$B$5,1,IF(H280&gt;=Assumptions!$B$6,2,IF(H280&gt;=Assumptions!$B$7,3,""))))</f>
        <v>3</v>
      </c>
      <c r="O280" s="9" t="n">
        <f aca="false">IF(N280=1,Assumptions!$B$8,IF(N280=2,Assumptions!$B$9,IF(N280=3,Assumptions!$B$10,0)))</f>
        <v>1</v>
      </c>
      <c r="P280" s="6" t="s">
        <v>30</v>
      </c>
      <c r="Q280" s="6" t="s">
        <v>30</v>
      </c>
      <c r="R280" s="11" t="s">
        <v>30</v>
      </c>
      <c r="S280" s="6" t="s">
        <v>30</v>
      </c>
      <c r="T280" s="11" t="s">
        <v>30</v>
      </c>
      <c r="U280" s="6" t="s">
        <v>30</v>
      </c>
      <c r="V280" s="6" t="s">
        <v>30</v>
      </c>
      <c r="W280" s="6" t="s">
        <v>30</v>
      </c>
      <c r="X280" s="2" t="s">
        <v>30</v>
      </c>
      <c r="Y280" s="6" t="str">
        <f aca="false">IF(AND(X280="processed",ISNUMBER(S280)),S280*O280,"")</f>
        <v/>
      </c>
      <c r="Z280" s="6" t="n">
        <f aca="false">IF(ISNUMBER(K280),K280*O280,0)</f>
        <v>312</v>
      </c>
      <c r="AA280" s="2" t="s">
        <v>31</v>
      </c>
      <c r="AB280" s="6" t="n">
        <v>13518</v>
      </c>
      <c r="AC280" s="6" t="n">
        <v>12782</v>
      </c>
      <c r="AD280" s="6" t="n">
        <v>12610</v>
      </c>
      <c r="AE280" s="6" t="n">
        <v>2427.57543945313</v>
      </c>
      <c r="AF280" s="8" t="n">
        <v>528.554070474</v>
      </c>
      <c r="AG280" s="11" t="n">
        <v>-0.03732231795</v>
      </c>
      <c r="AH280" s="12" t="n">
        <v>0.999999999999996</v>
      </c>
      <c r="AI280" s="2" t="s">
        <v>317</v>
      </c>
      <c r="AJ280" s="2" t="s">
        <v>772</v>
      </c>
      <c r="AK280" s="2" t="s">
        <v>772</v>
      </c>
    </row>
    <row r="281" customFormat="false" ht="15" hidden="false" customHeight="false" outlineLevel="0" collapsed="false">
      <c r="A281" s="9" t="n">
        <v>280</v>
      </c>
      <c r="B281" s="2" t="s">
        <v>774</v>
      </c>
      <c r="C281" s="2" t="s">
        <v>213</v>
      </c>
      <c r="D281" s="2" t="s">
        <v>27</v>
      </c>
      <c r="E281" s="2" t="s">
        <v>28</v>
      </c>
      <c r="F281" s="2"/>
      <c r="G281" s="2" t="s">
        <v>315</v>
      </c>
      <c r="H281" s="8" t="n">
        <v>616.630076373697</v>
      </c>
      <c r="I281" s="2" t="s">
        <v>316</v>
      </c>
      <c r="J281" s="8" t="n">
        <v>1599051.61290323</v>
      </c>
      <c r="K281" s="6" t="n">
        <v>155</v>
      </c>
      <c r="L281" s="2"/>
      <c r="M281" s="10" t="b">
        <f aca="false">TRUE()</f>
        <v>1</v>
      </c>
      <c r="N281" s="9" t="n">
        <f aca="false">IF(H281="","",IF(H281&gt;=Assumptions!$B$5,1,IF(H281&gt;=Assumptions!$B$6,2,IF(H281&gt;=Assumptions!$B$7,3,""))))</f>
        <v>2</v>
      </c>
      <c r="O281" s="9" t="n">
        <f aca="false">IF(N281=1,Assumptions!$B$8,IF(N281=2,Assumptions!$B$9,IF(N281=3,Assumptions!$B$10,0)))</f>
        <v>2</v>
      </c>
      <c r="P281" s="6" t="s">
        <v>30</v>
      </c>
      <c r="Q281" s="6" t="s">
        <v>30</v>
      </c>
      <c r="R281" s="11" t="s">
        <v>30</v>
      </c>
      <c r="S281" s="6" t="s">
        <v>30</v>
      </c>
      <c r="T281" s="11" t="s">
        <v>30</v>
      </c>
      <c r="U281" s="6" t="s">
        <v>30</v>
      </c>
      <c r="V281" s="6" t="s">
        <v>30</v>
      </c>
      <c r="W281" s="6" t="s">
        <v>30</v>
      </c>
      <c r="X281" s="2" t="s">
        <v>30</v>
      </c>
      <c r="Y281" s="6" t="str">
        <f aca="false">IF(AND(X281="processed",ISNUMBER(S281)),S281*O281,"")</f>
        <v/>
      </c>
      <c r="Z281" s="6" t="n">
        <f aca="false">IF(ISNUMBER(K281),K281*O281,0)</f>
        <v>310</v>
      </c>
      <c r="AA281" s="2" t="s">
        <v>31</v>
      </c>
      <c r="AB281" s="6" t="n">
        <v>6343</v>
      </c>
      <c r="AC281" s="6" t="n">
        <v>5849</v>
      </c>
      <c r="AD281" s="6" t="n">
        <v>442</v>
      </c>
      <c r="AE281" s="6" t="n">
        <v>2758.66821289063</v>
      </c>
      <c r="AF281" s="8" t="n">
        <v>642.135642136</v>
      </c>
      <c r="AG281" s="11" t="n">
        <v>-0.01562341562</v>
      </c>
      <c r="AH281" s="12" t="n">
        <v>0.993500920606163</v>
      </c>
      <c r="AI281" s="2" t="s">
        <v>317</v>
      </c>
      <c r="AJ281" s="2" t="s">
        <v>213</v>
      </c>
      <c r="AK281" s="2" t="s">
        <v>213</v>
      </c>
    </row>
    <row r="282" customFormat="false" ht="15" hidden="false" customHeight="false" outlineLevel="0" collapsed="false">
      <c r="A282" s="9" t="n">
        <v>281</v>
      </c>
      <c r="B282" s="2" t="s">
        <v>775</v>
      </c>
      <c r="C282" s="2" t="s">
        <v>62</v>
      </c>
      <c r="D282" s="2" t="s">
        <v>62</v>
      </c>
      <c r="E282" s="2" t="s">
        <v>40</v>
      </c>
      <c r="F282" s="2"/>
      <c r="G282" s="2" t="s">
        <v>324</v>
      </c>
      <c r="H282" s="8" t="n">
        <v>1115.67848523178</v>
      </c>
      <c r="I282" s="2" t="s">
        <v>316</v>
      </c>
      <c r="J282" s="8" t="n">
        <v>1467844.66019418</v>
      </c>
      <c r="K282" s="6" t="n">
        <v>103</v>
      </c>
      <c r="L282" s="2"/>
      <c r="M282" s="10" t="b">
        <f aca="false">TRUE()</f>
        <v>1</v>
      </c>
      <c r="N282" s="9" t="n">
        <f aca="false">IF(H282="","",IF(H282&gt;=Assumptions!$B$5,1,IF(H282&gt;=Assumptions!$B$6,2,IF(H282&gt;=Assumptions!$B$7,3,""))))</f>
        <v>1</v>
      </c>
      <c r="O282" s="9" t="n">
        <f aca="false">IF(N282=1,Assumptions!$B$8,IF(N282=2,Assumptions!$B$9,IF(N282=3,Assumptions!$B$10,0)))</f>
        <v>3</v>
      </c>
      <c r="P282" s="6" t="s">
        <v>30</v>
      </c>
      <c r="Q282" s="6" t="s">
        <v>30</v>
      </c>
      <c r="R282" s="11" t="s">
        <v>30</v>
      </c>
      <c r="S282" s="6" t="s">
        <v>30</v>
      </c>
      <c r="T282" s="11" t="s">
        <v>30</v>
      </c>
      <c r="U282" s="6" t="s">
        <v>30</v>
      </c>
      <c r="V282" s="6" t="s">
        <v>30</v>
      </c>
      <c r="W282" s="6" t="s">
        <v>30</v>
      </c>
      <c r="X282" s="2" t="s">
        <v>30</v>
      </c>
      <c r="Y282" s="6" t="str">
        <f aca="false">IF(AND(X282="processed",ISNUMBER(S282)),S282*O282,"")</f>
        <v/>
      </c>
      <c r="Z282" s="6" t="n">
        <f aca="false">IF(ISNUMBER(K282),K282*O282,0)</f>
        <v>309</v>
      </c>
      <c r="AA282" s="2" t="s">
        <v>31</v>
      </c>
      <c r="AB282" s="6" t="n">
        <v>7926</v>
      </c>
      <c r="AC282" s="6" t="n">
        <v>6321</v>
      </c>
      <c r="AD282" s="6" t="n">
        <v>285</v>
      </c>
      <c r="AE282" s="6" t="n">
        <v>1867.65490722656</v>
      </c>
      <c r="AF282" s="8" t="n">
        <v>1239.175257732</v>
      </c>
      <c r="AG282" s="11" t="n">
        <v>0.1153748932</v>
      </c>
      <c r="AH282" s="12" t="n">
        <v>0.737328547941574</v>
      </c>
      <c r="AI282" s="2" t="s">
        <v>317</v>
      </c>
      <c r="AJ282" s="2" t="s">
        <v>62</v>
      </c>
      <c r="AK282" s="2" t="s">
        <v>62</v>
      </c>
    </row>
    <row r="283" customFormat="false" ht="15" hidden="false" customHeight="false" outlineLevel="0" collapsed="false">
      <c r="A283" s="9" t="n">
        <v>282</v>
      </c>
      <c r="B283" s="2" t="s">
        <v>776</v>
      </c>
      <c r="C283" s="2" t="s">
        <v>352</v>
      </c>
      <c r="D283" s="2" t="s">
        <v>70</v>
      </c>
      <c r="E283" s="2" t="s">
        <v>71</v>
      </c>
      <c r="F283" s="2" t="s">
        <v>777</v>
      </c>
      <c r="G283" s="2" t="s">
        <v>329</v>
      </c>
      <c r="H283" s="8" t="n">
        <v>698.484866921649</v>
      </c>
      <c r="I283" s="2" t="s">
        <v>316</v>
      </c>
      <c r="J283" s="8" t="n">
        <v>1004259.74025974</v>
      </c>
      <c r="K283" s="6" t="n">
        <v>154</v>
      </c>
      <c r="L283" s="2"/>
      <c r="M283" s="10" t="b">
        <f aca="false">TRUE()</f>
        <v>1</v>
      </c>
      <c r="N283" s="9" t="n">
        <f aca="false">IF(H283="","",IF(H283&gt;=Assumptions!$B$5,1,IF(H283&gt;=Assumptions!$B$6,2,IF(H283&gt;=Assumptions!$B$7,3,""))))</f>
        <v>2</v>
      </c>
      <c r="O283" s="9" t="n">
        <f aca="false">IF(N283=1,Assumptions!$B$8,IF(N283=2,Assumptions!$B$9,IF(N283=3,Assumptions!$B$10,0)))</f>
        <v>2</v>
      </c>
      <c r="P283" s="6" t="s">
        <v>30</v>
      </c>
      <c r="Q283" s="6" t="s">
        <v>30</v>
      </c>
      <c r="R283" s="11" t="s">
        <v>30</v>
      </c>
      <c r="S283" s="6" t="s">
        <v>30</v>
      </c>
      <c r="T283" s="11" t="s">
        <v>30</v>
      </c>
      <c r="U283" s="6" t="s">
        <v>30</v>
      </c>
      <c r="V283" s="6" t="s">
        <v>30</v>
      </c>
      <c r="W283" s="6" t="s">
        <v>30</v>
      </c>
      <c r="X283" s="2" t="s">
        <v>30</v>
      </c>
      <c r="Y283" s="6" t="str">
        <f aca="false">IF(AND(X283="processed",ISNUMBER(S283)),S283*O283,"")</f>
        <v/>
      </c>
      <c r="Z283" s="6" t="n">
        <f aca="false">IF(ISNUMBER(K283),K283*O283,0)</f>
        <v>308</v>
      </c>
      <c r="AA283" s="2" t="s">
        <v>31</v>
      </c>
      <c r="AB283" s="6" t="n">
        <v>12531</v>
      </c>
      <c r="AC283" s="6" t="n">
        <v>9672</v>
      </c>
      <c r="AD283" s="6" t="n">
        <v>132</v>
      </c>
      <c r="AE283" s="6" t="n">
        <v>2023.64013671875</v>
      </c>
      <c r="AF283" s="8" t="n">
        <v>691.215877426</v>
      </c>
      <c r="AG283" s="11" t="n">
        <v>-0.1136172866</v>
      </c>
      <c r="AH283" s="12" t="n">
        <v>1</v>
      </c>
      <c r="AI283" s="2" t="s">
        <v>317</v>
      </c>
      <c r="AJ283" s="2" t="s">
        <v>352</v>
      </c>
      <c r="AK283" s="2" t="s">
        <v>352</v>
      </c>
    </row>
    <row r="284" customFormat="false" ht="15" hidden="false" customHeight="false" outlineLevel="0" collapsed="false">
      <c r="A284" s="9" t="n">
        <v>283</v>
      </c>
      <c r="B284" s="2" t="s">
        <v>778</v>
      </c>
      <c r="C284" s="2" t="s">
        <v>779</v>
      </c>
      <c r="D284" s="2" t="s">
        <v>70</v>
      </c>
      <c r="E284" s="2" t="s">
        <v>71</v>
      </c>
      <c r="F284" s="2" t="s">
        <v>780</v>
      </c>
      <c r="G284" s="2" t="s">
        <v>329</v>
      </c>
      <c r="H284" s="8" t="n">
        <v>521.059072938332</v>
      </c>
      <c r="I284" s="2" t="s">
        <v>316</v>
      </c>
      <c r="J284" s="8" t="n">
        <v>840944.625407166</v>
      </c>
      <c r="K284" s="6" t="n">
        <v>307</v>
      </c>
      <c r="L284" s="2"/>
      <c r="M284" s="10" t="b">
        <f aca="false">TRUE()</f>
        <v>1</v>
      </c>
      <c r="N284" s="9" t="n">
        <f aca="false">IF(H284="","",IF(H284&gt;=Assumptions!$B$5,1,IF(H284&gt;=Assumptions!$B$6,2,IF(H284&gt;=Assumptions!$B$7,3,""))))</f>
        <v>3</v>
      </c>
      <c r="O284" s="9" t="n">
        <f aca="false">IF(N284=1,Assumptions!$B$8,IF(N284=2,Assumptions!$B$9,IF(N284=3,Assumptions!$B$10,0)))</f>
        <v>1</v>
      </c>
      <c r="P284" s="6" t="s">
        <v>30</v>
      </c>
      <c r="Q284" s="6" t="s">
        <v>30</v>
      </c>
      <c r="R284" s="11" t="s">
        <v>30</v>
      </c>
      <c r="S284" s="6" t="s">
        <v>30</v>
      </c>
      <c r="T284" s="11" t="s">
        <v>30</v>
      </c>
      <c r="U284" s="6" t="s">
        <v>30</v>
      </c>
      <c r="V284" s="6" t="s">
        <v>30</v>
      </c>
      <c r="W284" s="6" t="s">
        <v>30</v>
      </c>
      <c r="X284" s="2" t="s">
        <v>30</v>
      </c>
      <c r="Y284" s="6" t="str">
        <f aca="false">IF(AND(X284="processed",ISNUMBER(S284)),S284*O284,"")</f>
        <v/>
      </c>
      <c r="Z284" s="6" t="n">
        <f aca="false">IF(ISNUMBER(K284),K284*O284,0)</f>
        <v>307</v>
      </c>
      <c r="AA284" s="2" t="s">
        <v>31</v>
      </c>
      <c r="AB284" s="6" t="n">
        <v>32852</v>
      </c>
      <c r="AC284" s="6" t="n">
        <v>23058</v>
      </c>
      <c r="AD284" s="6" t="n">
        <v>1009</v>
      </c>
      <c r="AE284" s="6" t="n">
        <v>2118.43530273438</v>
      </c>
      <c r="AF284" s="8" t="n">
        <v>529.004329004</v>
      </c>
      <c r="AG284" s="11" t="n">
        <v>-0.05852796803</v>
      </c>
      <c r="AH284" s="12" t="n">
        <v>1</v>
      </c>
      <c r="AI284" s="2" t="s">
        <v>317</v>
      </c>
      <c r="AJ284" s="2" t="s">
        <v>779</v>
      </c>
      <c r="AK284" s="2" t="s">
        <v>70</v>
      </c>
    </row>
    <row r="285" customFormat="false" ht="15" hidden="false" customHeight="false" outlineLevel="0" collapsed="false">
      <c r="A285" s="9" t="n">
        <v>284</v>
      </c>
      <c r="B285" s="2" t="s">
        <v>781</v>
      </c>
      <c r="C285" s="2" t="s">
        <v>278</v>
      </c>
      <c r="D285" s="2" t="s">
        <v>70</v>
      </c>
      <c r="E285" s="2" t="s">
        <v>71</v>
      </c>
      <c r="F285" s="2" t="s">
        <v>782</v>
      </c>
      <c r="G285" s="2" t="s">
        <v>329</v>
      </c>
      <c r="H285" s="8" t="n">
        <v>972.256844864275</v>
      </c>
      <c r="I285" s="2" t="s">
        <v>316</v>
      </c>
      <c r="J285" s="8" t="n">
        <v>1572524.50980392</v>
      </c>
      <c r="K285" s="6" t="n">
        <v>102</v>
      </c>
      <c r="L285" s="2"/>
      <c r="M285" s="10" t="b">
        <f aca="false">TRUE()</f>
        <v>1</v>
      </c>
      <c r="N285" s="9" t="n">
        <f aca="false">IF(H285="","",IF(H285&gt;=Assumptions!$B$5,1,IF(H285&gt;=Assumptions!$B$6,2,IF(H285&gt;=Assumptions!$B$7,3,""))))</f>
        <v>1</v>
      </c>
      <c r="O285" s="9" t="n">
        <f aca="false">IF(N285=1,Assumptions!$B$8,IF(N285=2,Assumptions!$B$9,IF(N285=3,Assumptions!$B$10,0)))</f>
        <v>3</v>
      </c>
      <c r="P285" s="6" t="s">
        <v>30</v>
      </c>
      <c r="Q285" s="6" t="s">
        <v>30</v>
      </c>
      <c r="R285" s="11" t="s">
        <v>30</v>
      </c>
      <c r="S285" s="6" t="s">
        <v>30</v>
      </c>
      <c r="T285" s="11" t="s">
        <v>30</v>
      </c>
      <c r="U285" s="6" t="s">
        <v>30</v>
      </c>
      <c r="V285" s="6" t="s">
        <v>30</v>
      </c>
      <c r="W285" s="6" t="s">
        <v>30</v>
      </c>
      <c r="X285" s="2" t="s">
        <v>30</v>
      </c>
      <c r="Y285" s="6" t="str">
        <f aca="false">IF(AND(X285="processed",ISNUMBER(S285)),S285*O285,"")</f>
        <v/>
      </c>
      <c r="Z285" s="6" t="n">
        <f aca="false">IF(ISNUMBER(K285),K285*O285,0)</f>
        <v>306</v>
      </c>
      <c r="AA285" s="2" t="s">
        <v>31</v>
      </c>
      <c r="AB285" s="6" t="n">
        <v>10512</v>
      </c>
      <c r="AC285" s="6" t="n">
        <v>7215</v>
      </c>
      <c r="AD285" s="6" t="n">
        <v>396</v>
      </c>
      <c r="AE285" s="6" t="n">
        <v>1722.75927734375</v>
      </c>
      <c r="AF285" s="8" t="n">
        <v>1027.319083645</v>
      </c>
      <c r="AG285" s="11" t="n">
        <v>0.2014544392</v>
      </c>
      <c r="AH285" s="12" t="n">
        <v>1</v>
      </c>
      <c r="AI285" s="2" t="s">
        <v>317</v>
      </c>
      <c r="AJ285" s="2" t="s">
        <v>278</v>
      </c>
      <c r="AK285" s="2" t="s">
        <v>278</v>
      </c>
    </row>
    <row r="286" customFormat="false" ht="15" hidden="false" customHeight="false" outlineLevel="0" collapsed="false">
      <c r="A286" s="9" t="n">
        <v>285</v>
      </c>
      <c r="B286" s="2" t="s">
        <v>783</v>
      </c>
      <c r="C286" s="2" t="s">
        <v>784</v>
      </c>
      <c r="D286" s="2" t="s">
        <v>595</v>
      </c>
      <c r="E286" s="2" t="s">
        <v>51</v>
      </c>
      <c r="F286" s="2" t="s">
        <v>785</v>
      </c>
      <c r="G286" s="2" t="s">
        <v>597</v>
      </c>
      <c r="H286" s="8" t="n">
        <v>798.015355888628</v>
      </c>
      <c r="I286" s="2" t="s">
        <v>316</v>
      </c>
      <c r="J286" s="8" t="n">
        <v>1407990.19607843</v>
      </c>
      <c r="K286" s="6" t="n">
        <v>102</v>
      </c>
      <c r="L286" s="2"/>
      <c r="M286" s="10" t="b">
        <f aca="false">TRUE()</f>
        <v>1</v>
      </c>
      <c r="N286" s="9" t="n">
        <f aca="false">IF(H286="","",IF(H286&gt;=Assumptions!$B$5,1,IF(H286&gt;=Assumptions!$B$6,2,IF(H286&gt;=Assumptions!$B$7,3,""))))</f>
        <v>1</v>
      </c>
      <c r="O286" s="9" t="n">
        <f aca="false">IF(N286=1,Assumptions!$B$8,IF(N286=2,Assumptions!$B$9,IF(N286=3,Assumptions!$B$10,0)))</f>
        <v>3</v>
      </c>
      <c r="P286" s="6" t="s">
        <v>30</v>
      </c>
      <c r="Q286" s="6" t="s">
        <v>30</v>
      </c>
      <c r="R286" s="11" t="s">
        <v>30</v>
      </c>
      <c r="S286" s="6" t="s">
        <v>30</v>
      </c>
      <c r="T286" s="11" t="s">
        <v>30</v>
      </c>
      <c r="U286" s="6" t="s">
        <v>30</v>
      </c>
      <c r="V286" s="6" t="s">
        <v>30</v>
      </c>
      <c r="W286" s="6" t="s">
        <v>30</v>
      </c>
      <c r="X286" s="2" t="s">
        <v>30</v>
      </c>
      <c r="Y286" s="6" t="str">
        <f aca="false">IF(AND(X286="processed",ISNUMBER(S286)),S286*O286,"")</f>
        <v/>
      </c>
      <c r="Z286" s="6" t="n">
        <f aca="false">IF(ISNUMBER(K286),K286*O286,0)</f>
        <v>306</v>
      </c>
      <c r="AA286" s="2" t="s">
        <v>31</v>
      </c>
      <c r="AB286" s="6" t="n">
        <v>5677</v>
      </c>
      <c r="AC286" s="6" t="n">
        <v>4946</v>
      </c>
      <c r="AD286" s="6" t="n">
        <v>51</v>
      </c>
      <c r="AE286" s="6" t="n">
        <v>2139.05712890625</v>
      </c>
      <c r="AF286" s="8" t="n">
        <v>871.605002117</v>
      </c>
      <c r="AG286" s="11" t="n">
        <v>-0.1008434947</v>
      </c>
      <c r="AH286" s="12" t="n">
        <v>0.972386882428093</v>
      </c>
      <c r="AI286" s="2" t="s">
        <v>317</v>
      </c>
      <c r="AJ286" s="2" t="s">
        <v>784</v>
      </c>
      <c r="AK286" s="2" t="s">
        <v>784</v>
      </c>
    </row>
    <row r="287" customFormat="false" ht="15" hidden="false" customHeight="false" outlineLevel="0" collapsed="false">
      <c r="A287" s="9" t="n">
        <v>286</v>
      </c>
      <c r="B287" s="2" t="s">
        <v>786</v>
      </c>
      <c r="C287" s="2" t="s">
        <v>585</v>
      </c>
      <c r="D287" s="2" t="s">
        <v>27</v>
      </c>
      <c r="E287" s="2" t="s">
        <v>28</v>
      </c>
      <c r="F287" s="2"/>
      <c r="G287" s="2" t="s">
        <v>315</v>
      </c>
      <c r="H287" s="8" t="n">
        <v>631.098993178671</v>
      </c>
      <c r="I287" s="2" t="s">
        <v>316</v>
      </c>
      <c r="J287" s="8" t="n">
        <v>893526.315789474</v>
      </c>
      <c r="K287" s="6" t="n">
        <v>152</v>
      </c>
      <c r="L287" s="2"/>
      <c r="M287" s="10" t="b">
        <f aca="false">TRUE()</f>
        <v>1</v>
      </c>
      <c r="N287" s="9" t="n">
        <f aca="false">IF(H287="","",IF(H287&gt;=Assumptions!$B$5,1,IF(H287&gt;=Assumptions!$B$6,2,IF(H287&gt;=Assumptions!$B$7,3,""))))</f>
        <v>2</v>
      </c>
      <c r="O287" s="9" t="n">
        <f aca="false">IF(N287=1,Assumptions!$B$8,IF(N287=2,Assumptions!$B$9,IF(N287=3,Assumptions!$B$10,0)))</f>
        <v>2</v>
      </c>
      <c r="P287" s="6" t="s">
        <v>30</v>
      </c>
      <c r="Q287" s="6" t="s">
        <v>30</v>
      </c>
      <c r="R287" s="11" t="s">
        <v>30</v>
      </c>
      <c r="S287" s="6" t="s">
        <v>30</v>
      </c>
      <c r="T287" s="11" t="s">
        <v>30</v>
      </c>
      <c r="U287" s="6" t="s">
        <v>30</v>
      </c>
      <c r="V287" s="6" t="s">
        <v>30</v>
      </c>
      <c r="W287" s="6" t="s">
        <v>30</v>
      </c>
      <c r="X287" s="2" t="s">
        <v>30</v>
      </c>
      <c r="Y287" s="6" t="str">
        <f aca="false">IF(AND(X287="processed",ISNUMBER(S287)),S287*O287,"")</f>
        <v/>
      </c>
      <c r="Z287" s="6" t="n">
        <f aca="false">IF(ISNUMBER(K287),K287*O287,0)</f>
        <v>304</v>
      </c>
      <c r="AA287" s="2" t="s">
        <v>31</v>
      </c>
      <c r="AB287" s="6" t="n">
        <v>15251</v>
      </c>
      <c r="AC287" s="6" t="n">
        <v>12010</v>
      </c>
      <c r="AD287" s="6" t="n">
        <v>252</v>
      </c>
      <c r="AE287" s="6" t="n">
        <v>2118.39306640625</v>
      </c>
      <c r="AF287" s="8" t="n">
        <v>670.84078712</v>
      </c>
      <c r="AG287" s="11" t="n">
        <v>0.03724067021</v>
      </c>
      <c r="AH287" s="12" t="n">
        <v>1</v>
      </c>
      <c r="AI287" s="2" t="s">
        <v>317</v>
      </c>
      <c r="AJ287" s="2" t="s">
        <v>585</v>
      </c>
      <c r="AK287" s="2" t="s">
        <v>585</v>
      </c>
    </row>
    <row r="288" customFormat="false" ht="15" hidden="false" customHeight="false" outlineLevel="0" collapsed="false">
      <c r="A288" s="9" t="n">
        <v>287</v>
      </c>
      <c r="B288" s="2" t="s">
        <v>787</v>
      </c>
      <c r="C288" s="2" t="s">
        <v>788</v>
      </c>
      <c r="D288" s="2" t="s">
        <v>70</v>
      </c>
      <c r="E288" s="2" t="s">
        <v>71</v>
      </c>
      <c r="F288" s="2" t="s">
        <v>789</v>
      </c>
      <c r="G288" s="2" t="s">
        <v>329</v>
      </c>
      <c r="H288" s="8" t="n">
        <v>629.514753071245</v>
      </c>
      <c r="I288" s="2" t="s">
        <v>316</v>
      </c>
      <c r="J288" s="8" t="n">
        <v>961158.940397351</v>
      </c>
      <c r="K288" s="6" t="n">
        <v>151</v>
      </c>
      <c r="L288" s="2"/>
      <c r="M288" s="10" t="b">
        <f aca="false">TRUE()</f>
        <v>1</v>
      </c>
      <c r="N288" s="9" t="n">
        <f aca="false">IF(H288="","",IF(H288&gt;=Assumptions!$B$5,1,IF(H288&gt;=Assumptions!$B$6,2,IF(H288&gt;=Assumptions!$B$7,3,""))))</f>
        <v>2</v>
      </c>
      <c r="O288" s="9" t="n">
        <f aca="false">IF(N288=1,Assumptions!$B$8,IF(N288=2,Assumptions!$B$9,IF(N288=3,Assumptions!$B$10,0)))</f>
        <v>2</v>
      </c>
      <c r="P288" s="6" t="s">
        <v>30</v>
      </c>
      <c r="Q288" s="6" t="s">
        <v>30</v>
      </c>
      <c r="R288" s="11" t="s">
        <v>30</v>
      </c>
      <c r="S288" s="6" t="s">
        <v>30</v>
      </c>
      <c r="T288" s="11" t="s">
        <v>30</v>
      </c>
      <c r="U288" s="6" t="s">
        <v>30</v>
      </c>
      <c r="V288" s="6" t="s">
        <v>30</v>
      </c>
      <c r="W288" s="6" t="s">
        <v>30</v>
      </c>
      <c r="X288" s="2" t="s">
        <v>30</v>
      </c>
      <c r="Y288" s="6" t="str">
        <f aca="false">IF(AND(X288="processed",ISNUMBER(S288)),S288*O288,"")</f>
        <v/>
      </c>
      <c r="Z288" s="6" t="n">
        <f aca="false">IF(ISNUMBER(K288),K288*O288,0)</f>
        <v>302</v>
      </c>
      <c r="AA288" s="2" t="s">
        <v>31</v>
      </c>
      <c r="AB288" s="6" t="n">
        <v>11975</v>
      </c>
      <c r="AC288" s="6" t="n">
        <v>7892</v>
      </c>
      <c r="AD288" s="6" t="n">
        <v>297</v>
      </c>
      <c r="AE288" s="6" t="n">
        <v>1898.84509277344</v>
      </c>
      <c r="AF288" s="8" t="n">
        <v>644.787408727</v>
      </c>
      <c r="AG288" s="11" t="n">
        <v>-0.004829277877</v>
      </c>
      <c r="AH288" s="12" t="n">
        <v>0.999999999999999</v>
      </c>
      <c r="AI288" s="2" t="s">
        <v>317</v>
      </c>
      <c r="AJ288" s="2" t="s">
        <v>788</v>
      </c>
      <c r="AK288" s="2" t="s">
        <v>70</v>
      </c>
    </row>
    <row r="289" customFormat="false" ht="15" hidden="false" customHeight="false" outlineLevel="0" collapsed="false">
      <c r="A289" s="9" t="n">
        <v>288</v>
      </c>
      <c r="B289" s="2" t="s">
        <v>790</v>
      </c>
      <c r="C289" s="2" t="s">
        <v>791</v>
      </c>
      <c r="D289" s="2" t="s">
        <v>273</v>
      </c>
      <c r="E289" s="2" t="s">
        <v>273</v>
      </c>
      <c r="F289" s="2" t="s">
        <v>792</v>
      </c>
      <c r="G289" s="2" t="s">
        <v>348</v>
      </c>
      <c r="H289" s="8" t="n">
        <v>508.812217882299</v>
      </c>
      <c r="I289" s="2" t="s">
        <v>316</v>
      </c>
      <c r="J289" s="8" t="n">
        <v>972888.139534884</v>
      </c>
      <c r="K289" s="6" t="n">
        <v>301</v>
      </c>
      <c r="L289" s="2"/>
      <c r="M289" s="10" t="b">
        <f aca="false">TRUE()</f>
        <v>1</v>
      </c>
      <c r="N289" s="9" t="n">
        <f aca="false">IF(H289="","",IF(H289&gt;=Assumptions!$B$5,1,IF(H289&gt;=Assumptions!$B$6,2,IF(H289&gt;=Assumptions!$B$7,3,""))))</f>
        <v>3</v>
      </c>
      <c r="O289" s="9" t="n">
        <f aca="false">IF(N289=1,Assumptions!$B$8,IF(N289=2,Assumptions!$B$9,IF(N289=3,Assumptions!$B$10,0)))</f>
        <v>1</v>
      </c>
      <c r="P289" s="6" t="s">
        <v>30</v>
      </c>
      <c r="Q289" s="6" t="s">
        <v>30</v>
      </c>
      <c r="R289" s="11" t="s">
        <v>30</v>
      </c>
      <c r="S289" s="6" t="s">
        <v>30</v>
      </c>
      <c r="T289" s="11" t="s">
        <v>30</v>
      </c>
      <c r="U289" s="6" t="s">
        <v>30</v>
      </c>
      <c r="V289" s="6" t="s">
        <v>30</v>
      </c>
      <c r="W289" s="6" t="s">
        <v>30</v>
      </c>
      <c r="X289" s="2" t="s">
        <v>30</v>
      </c>
      <c r="Y289" s="6" t="str">
        <f aca="false">IF(AND(X289="processed",ISNUMBER(S289)),S289*O289,"")</f>
        <v/>
      </c>
      <c r="Z289" s="6" t="n">
        <f aca="false">IF(ISNUMBER(K289),K289*O289,0)</f>
        <v>301</v>
      </c>
      <c r="AA289" s="2" t="s">
        <v>31</v>
      </c>
      <c r="AB289" s="6" t="n">
        <v>14793</v>
      </c>
      <c r="AC289" s="6" t="n">
        <v>13345</v>
      </c>
      <c r="AD289" s="6" t="n">
        <v>222</v>
      </c>
      <c r="AE289" s="6" t="n">
        <v>2609.61352539063</v>
      </c>
      <c r="AF289" s="8" t="n">
        <v>509.487397338</v>
      </c>
      <c r="AG289" s="11" t="n">
        <v>-0.03361753031</v>
      </c>
      <c r="AH289" s="12" t="n">
        <v>0.999999999999999</v>
      </c>
      <c r="AI289" s="2" t="s">
        <v>317</v>
      </c>
      <c r="AJ289" s="2" t="s">
        <v>791</v>
      </c>
      <c r="AK289" s="2" t="s">
        <v>791</v>
      </c>
    </row>
    <row r="290" customFormat="false" ht="15" hidden="false" customHeight="false" outlineLevel="0" collapsed="false">
      <c r="A290" s="9" t="n">
        <v>289</v>
      </c>
      <c r="B290" s="2" t="s">
        <v>793</v>
      </c>
      <c r="C290" s="2" t="s">
        <v>403</v>
      </c>
      <c r="D290" s="2" t="s">
        <v>70</v>
      </c>
      <c r="E290" s="2" t="s">
        <v>71</v>
      </c>
      <c r="F290" s="2" t="s">
        <v>794</v>
      </c>
      <c r="G290" s="2" t="s">
        <v>329</v>
      </c>
      <c r="H290" s="8" t="n">
        <v>781.0220301223</v>
      </c>
      <c r="I290" s="2" t="s">
        <v>316</v>
      </c>
      <c r="J290" s="8" t="n">
        <v>1619460</v>
      </c>
      <c r="K290" s="6" t="n">
        <v>100</v>
      </c>
      <c r="L290" s="2"/>
      <c r="M290" s="10" t="b">
        <f aca="false">TRUE()</f>
        <v>1</v>
      </c>
      <c r="N290" s="9" t="n">
        <f aca="false">IF(H290="","",IF(H290&gt;=Assumptions!$B$5,1,IF(H290&gt;=Assumptions!$B$6,2,IF(H290&gt;=Assumptions!$B$7,3,""))))</f>
        <v>1</v>
      </c>
      <c r="O290" s="9" t="n">
        <f aca="false">IF(N290=1,Assumptions!$B$8,IF(N290=2,Assumptions!$B$9,IF(N290=3,Assumptions!$B$10,0)))</f>
        <v>3</v>
      </c>
      <c r="P290" s="6" t="s">
        <v>30</v>
      </c>
      <c r="Q290" s="6" t="s">
        <v>30</v>
      </c>
      <c r="R290" s="11" t="s">
        <v>30</v>
      </c>
      <c r="S290" s="6" t="s">
        <v>30</v>
      </c>
      <c r="T290" s="11" t="s">
        <v>30</v>
      </c>
      <c r="U290" s="6" t="s">
        <v>30</v>
      </c>
      <c r="V290" s="6" t="s">
        <v>30</v>
      </c>
      <c r="W290" s="6" t="s">
        <v>30</v>
      </c>
      <c r="X290" s="2" t="s">
        <v>30</v>
      </c>
      <c r="Y290" s="6" t="str">
        <f aca="false">IF(AND(X290="processed",ISNUMBER(S290)),S290*O290,"")</f>
        <v/>
      </c>
      <c r="Z290" s="6" t="n">
        <f aca="false">IF(ISNUMBER(K290),K290*O290,0)</f>
        <v>300</v>
      </c>
      <c r="AA290" s="2" t="s">
        <v>31</v>
      </c>
      <c r="AB290" s="6" t="n">
        <v>7218</v>
      </c>
      <c r="AC290" s="6" t="n">
        <v>5381</v>
      </c>
      <c r="AD290" s="6" t="n">
        <v>88</v>
      </c>
      <c r="AE290" s="6" t="n">
        <v>2250.095703125</v>
      </c>
      <c r="AF290" s="8" t="n">
        <v>824.742268041</v>
      </c>
      <c r="AG290" s="11" t="n">
        <v>-0.02580618741</v>
      </c>
      <c r="AH290" s="12" t="n">
        <v>1</v>
      </c>
      <c r="AI290" s="2" t="s">
        <v>317</v>
      </c>
      <c r="AJ290" s="2" t="s">
        <v>403</v>
      </c>
      <c r="AK290" s="2" t="s">
        <v>403</v>
      </c>
    </row>
    <row r="291" customFormat="false" ht="15" hidden="false" customHeight="false" outlineLevel="0" collapsed="false">
      <c r="A291" s="9" t="n">
        <v>290</v>
      </c>
      <c r="B291" s="2" t="s">
        <v>795</v>
      </c>
      <c r="C291" s="2" t="s">
        <v>386</v>
      </c>
      <c r="D291" s="2" t="s">
        <v>105</v>
      </c>
      <c r="E291" s="2" t="s">
        <v>51</v>
      </c>
      <c r="F291" s="2" t="s">
        <v>796</v>
      </c>
      <c r="G291" s="2" t="s">
        <v>318</v>
      </c>
      <c r="H291" s="8" t="n">
        <v>745.78978652709</v>
      </c>
      <c r="I291" s="2" t="s">
        <v>316</v>
      </c>
      <c r="J291" s="8" t="n">
        <v>1337100</v>
      </c>
      <c r="K291" s="6" t="n">
        <v>100</v>
      </c>
      <c r="L291" s="2"/>
      <c r="M291" s="10" t="b">
        <f aca="false">TRUE()</f>
        <v>1</v>
      </c>
      <c r="N291" s="9" t="n">
        <f aca="false">IF(H291="","",IF(H291&gt;=Assumptions!$B$5,1,IF(H291&gt;=Assumptions!$B$6,2,IF(H291&gt;=Assumptions!$B$7,3,""))))</f>
        <v>1</v>
      </c>
      <c r="O291" s="9" t="n">
        <f aca="false">IF(N291=1,Assumptions!$B$8,IF(N291=2,Assumptions!$B$9,IF(N291=3,Assumptions!$B$10,0)))</f>
        <v>3</v>
      </c>
      <c r="P291" s="6" t="s">
        <v>30</v>
      </c>
      <c r="Q291" s="6" t="s">
        <v>30</v>
      </c>
      <c r="R291" s="11" t="s">
        <v>30</v>
      </c>
      <c r="S291" s="6" t="s">
        <v>30</v>
      </c>
      <c r="T291" s="11" t="s">
        <v>30</v>
      </c>
      <c r="U291" s="6" t="s">
        <v>30</v>
      </c>
      <c r="V291" s="6" t="s">
        <v>30</v>
      </c>
      <c r="W291" s="6" t="s">
        <v>30</v>
      </c>
      <c r="X291" s="2" t="s">
        <v>30</v>
      </c>
      <c r="Y291" s="6" t="str">
        <f aca="false">IF(AND(X291="processed",ISNUMBER(S291)),S291*O291,"")</f>
        <v/>
      </c>
      <c r="Z291" s="6" t="n">
        <f aca="false">IF(ISNUMBER(K291),K291*O291,0)</f>
        <v>300</v>
      </c>
      <c r="AA291" s="2" t="s">
        <v>31</v>
      </c>
      <c r="AB291" s="6" t="n">
        <v>5686</v>
      </c>
      <c r="AC291" s="6" t="n">
        <v>4965</v>
      </c>
      <c r="AD291" s="6" t="n">
        <v>4898</v>
      </c>
      <c r="AE291" s="6" t="n">
        <v>2478.56958007813</v>
      </c>
      <c r="AF291" s="8" t="n">
        <v>762.254284504</v>
      </c>
      <c r="AG291" s="11" t="n">
        <v>0.06929565946</v>
      </c>
      <c r="AH291" s="12" t="n">
        <v>0.999999999999999</v>
      </c>
      <c r="AI291" s="2" t="s">
        <v>317</v>
      </c>
      <c r="AJ291" s="2" t="s">
        <v>386</v>
      </c>
      <c r="AK291" s="2" t="s">
        <v>386</v>
      </c>
    </row>
    <row r="292" customFormat="false" ht="15" hidden="false" customHeight="false" outlineLevel="0" collapsed="false">
      <c r="A292" s="9" t="n">
        <v>291</v>
      </c>
      <c r="B292" s="2" t="s">
        <v>797</v>
      </c>
      <c r="C292" s="2" t="s">
        <v>798</v>
      </c>
      <c r="D292" s="2" t="s">
        <v>70</v>
      </c>
      <c r="E292" s="2" t="s">
        <v>71</v>
      </c>
      <c r="F292" s="2" t="s">
        <v>799</v>
      </c>
      <c r="G292" s="2" t="s">
        <v>329</v>
      </c>
      <c r="H292" s="8" t="n">
        <v>892.819206969182</v>
      </c>
      <c r="I292" s="2" t="s">
        <v>316</v>
      </c>
      <c r="J292" s="8" t="n">
        <v>1850782.82828283</v>
      </c>
      <c r="K292" s="6" t="n">
        <v>99</v>
      </c>
      <c r="L292" s="2"/>
      <c r="M292" s="10" t="b">
        <f aca="false">TRUE()</f>
        <v>1</v>
      </c>
      <c r="N292" s="9" t="n">
        <f aca="false">IF(H292="","",IF(H292&gt;=Assumptions!$B$5,1,IF(H292&gt;=Assumptions!$B$6,2,IF(H292&gt;=Assumptions!$B$7,3,""))))</f>
        <v>1</v>
      </c>
      <c r="O292" s="9" t="n">
        <f aca="false">IF(N292=1,Assumptions!$B$8,IF(N292=2,Assumptions!$B$9,IF(N292=3,Assumptions!$B$10,0)))</f>
        <v>3</v>
      </c>
      <c r="P292" s="6" t="s">
        <v>30</v>
      </c>
      <c r="Q292" s="6" t="s">
        <v>30</v>
      </c>
      <c r="R292" s="11" t="s">
        <v>30</v>
      </c>
      <c r="S292" s="6" t="s">
        <v>30</v>
      </c>
      <c r="T292" s="11" t="s">
        <v>30</v>
      </c>
      <c r="U292" s="6" t="s">
        <v>30</v>
      </c>
      <c r="V292" s="6" t="s">
        <v>30</v>
      </c>
      <c r="W292" s="6" t="s">
        <v>30</v>
      </c>
      <c r="X292" s="2" t="s">
        <v>30</v>
      </c>
      <c r="Y292" s="6" t="str">
        <f aca="false">IF(AND(X292="processed",ISNUMBER(S292)),S292*O292,"")</f>
        <v/>
      </c>
      <c r="Z292" s="6" t="n">
        <f aca="false">IF(ISNUMBER(K292),K292*O292,0)</f>
        <v>297</v>
      </c>
      <c r="AA292" s="2" t="s">
        <v>31</v>
      </c>
      <c r="AB292" s="6" t="n">
        <v>5522</v>
      </c>
      <c r="AC292" s="6" t="n">
        <v>3710</v>
      </c>
      <c r="AD292" s="6" t="n">
        <v>76</v>
      </c>
      <c r="AE292" s="6" t="n">
        <v>2160.26684570313</v>
      </c>
      <c r="AF292" s="8" t="n">
        <v>901.735598227</v>
      </c>
      <c r="AG292" s="11" t="n">
        <v>-0.03119841262</v>
      </c>
      <c r="AH292" s="12" t="n">
        <v>1</v>
      </c>
      <c r="AI292" s="2" t="s">
        <v>317</v>
      </c>
      <c r="AJ292" s="2" t="s">
        <v>798</v>
      </c>
      <c r="AK292" s="2" t="s">
        <v>70</v>
      </c>
    </row>
    <row r="293" customFormat="false" ht="15" hidden="false" customHeight="false" outlineLevel="0" collapsed="false">
      <c r="A293" s="9" t="n">
        <v>292</v>
      </c>
      <c r="B293" s="2" t="s">
        <v>800</v>
      </c>
      <c r="C293" s="2" t="s">
        <v>44</v>
      </c>
      <c r="D293" s="2" t="s">
        <v>44</v>
      </c>
      <c r="E293" s="2" t="s">
        <v>44</v>
      </c>
      <c r="F293" s="2" t="s">
        <v>801</v>
      </c>
      <c r="G293" s="2" t="s">
        <v>322</v>
      </c>
      <c r="H293" s="8" t="n">
        <v>922.42751719294</v>
      </c>
      <c r="I293" s="2" t="s">
        <v>316</v>
      </c>
      <c r="J293" s="8" t="n">
        <v>1501818.18181818</v>
      </c>
      <c r="K293" s="6" t="n">
        <v>99</v>
      </c>
      <c r="L293" s="2"/>
      <c r="M293" s="10" t="b">
        <f aca="false">TRUE()</f>
        <v>1</v>
      </c>
      <c r="N293" s="9" t="n">
        <f aca="false">IF(H293="","",IF(H293&gt;=Assumptions!$B$5,1,IF(H293&gt;=Assumptions!$B$6,2,IF(H293&gt;=Assumptions!$B$7,3,""))))</f>
        <v>1</v>
      </c>
      <c r="O293" s="9" t="n">
        <f aca="false">IF(N293=1,Assumptions!$B$8,IF(N293=2,Assumptions!$B$9,IF(N293=3,Assumptions!$B$10,0)))</f>
        <v>3</v>
      </c>
      <c r="P293" s="6" t="s">
        <v>30</v>
      </c>
      <c r="Q293" s="6" t="s">
        <v>30</v>
      </c>
      <c r="R293" s="11" t="s">
        <v>30</v>
      </c>
      <c r="S293" s="6" t="s">
        <v>30</v>
      </c>
      <c r="T293" s="11" t="s">
        <v>30</v>
      </c>
      <c r="U293" s="6" t="s">
        <v>30</v>
      </c>
      <c r="V293" s="6" t="s">
        <v>30</v>
      </c>
      <c r="W293" s="6" t="s">
        <v>30</v>
      </c>
      <c r="X293" s="2" t="s">
        <v>30</v>
      </c>
      <c r="Y293" s="6" t="str">
        <f aca="false">IF(AND(X293="processed",ISNUMBER(S293)),S293*O293,"")</f>
        <v/>
      </c>
      <c r="Z293" s="6" t="n">
        <f aca="false">IF(ISNUMBER(K293),K293*O293,0)</f>
        <v>297</v>
      </c>
      <c r="AA293" s="2" t="s">
        <v>31</v>
      </c>
      <c r="AB293" s="6" t="n">
        <v>7406</v>
      </c>
      <c r="AC293" s="6" t="n">
        <v>5713</v>
      </c>
      <c r="AD293" s="6" t="n">
        <v>1116</v>
      </c>
      <c r="AE293" s="6" t="n">
        <v>2192.64135742188</v>
      </c>
      <c r="AF293" s="8" t="n">
        <v>933.779408773</v>
      </c>
      <c r="AG293" s="11" t="n">
        <v>0.04403288113</v>
      </c>
      <c r="AH293" s="12" t="n">
        <v>0.998454882648926</v>
      </c>
      <c r="AI293" s="2" t="s">
        <v>317</v>
      </c>
      <c r="AJ293" s="2" t="s">
        <v>44</v>
      </c>
      <c r="AK293" s="2" t="s">
        <v>44</v>
      </c>
    </row>
    <row r="294" customFormat="false" ht="15" hidden="false" customHeight="false" outlineLevel="0" collapsed="false">
      <c r="A294" s="9" t="n">
        <v>293</v>
      </c>
      <c r="B294" s="2" t="s">
        <v>802</v>
      </c>
      <c r="C294" s="2" t="s">
        <v>791</v>
      </c>
      <c r="D294" s="2" t="s">
        <v>273</v>
      </c>
      <c r="E294" s="2" t="s">
        <v>273</v>
      </c>
      <c r="F294" s="2" t="s">
        <v>803</v>
      </c>
      <c r="G294" s="2" t="s">
        <v>348</v>
      </c>
      <c r="H294" s="8" t="n">
        <v>526.595861473075</v>
      </c>
      <c r="I294" s="2" t="s">
        <v>316</v>
      </c>
      <c r="J294" s="8" t="n">
        <v>923525.423728814</v>
      </c>
      <c r="K294" s="6" t="n">
        <v>295</v>
      </c>
      <c r="L294" s="2"/>
      <c r="M294" s="10" t="b">
        <f aca="false">TRUE()</f>
        <v>1</v>
      </c>
      <c r="N294" s="9" t="n">
        <f aca="false">IF(H294="","",IF(H294&gt;=Assumptions!$B$5,1,IF(H294&gt;=Assumptions!$B$6,2,IF(H294&gt;=Assumptions!$B$7,3,""))))</f>
        <v>3</v>
      </c>
      <c r="O294" s="9" t="n">
        <f aca="false">IF(N294=1,Assumptions!$B$8,IF(N294=2,Assumptions!$B$9,IF(N294=3,Assumptions!$B$10,0)))</f>
        <v>1</v>
      </c>
      <c r="P294" s="6" t="s">
        <v>30</v>
      </c>
      <c r="Q294" s="6" t="s">
        <v>30</v>
      </c>
      <c r="R294" s="11" t="s">
        <v>30</v>
      </c>
      <c r="S294" s="6" t="s">
        <v>30</v>
      </c>
      <c r="T294" s="11" t="s">
        <v>30</v>
      </c>
      <c r="U294" s="6" t="s">
        <v>30</v>
      </c>
      <c r="V294" s="6" t="s">
        <v>30</v>
      </c>
      <c r="W294" s="6" t="s">
        <v>30</v>
      </c>
      <c r="X294" s="2" t="s">
        <v>30</v>
      </c>
      <c r="Y294" s="6" t="str">
        <f aca="false">IF(AND(X294="processed",ISNUMBER(S294)),S294*O294,"")</f>
        <v/>
      </c>
      <c r="Z294" s="6" t="n">
        <f aca="false">IF(ISNUMBER(K294),K294*O294,0)</f>
        <v>295</v>
      </c>
      <c r="AA294" s="2" t="s">
        <v>31</v>
      </c>
      <c r="AB294" s="6" t="n">
        <v>13153</v>
      </c>
      <c r="AC294" s="6" t="n">
        <v>11265</v>
      </c>
      <c r="AD294" s="6" t="n">
        <v>1637</v>
      </c>
      <c r="AE294" s="6" t="n">
        <v>2576.32690429688</v>
      </c>
      <c r="AF294" s="8" t="n">
        <v>504.961411246</v>
      </c>
      <c r="AG294" s="11" t="n">
        <v>-0.05312635259</v>
      </c>
      <c r="AH294" s="12" t="n">
        <v>0.999999999999999</v>
      </c>
      <c r="AI294" s="2" t="s">
        <v>317</v>
      </c>
      <c r="AJ294" s="2" t="s">
        <v>791</v>
      </c>
      <c r="AK294" s="2" t="s">
        <v>791</v>
      </c>
    </row>
    <row r="295" customFormat="false" ht="15" hidden="false" customHeight="false" outlineLevel="0" collapsed="false">
      <c r="A295" s="9" t="n">
        <v>294</v>
      </c>
      <c r="B295" s="2" t="s">
        <v>804</v>
      </c>
      <c r="C295" s="2" t="s">
        <v>70</v>
      </c>
      <c r="D295" s="2" t="s">
        <v>70</v>
      </c>
      <c r="E295" s="2" t="s">
        <v>71</v>
      </c>
      <c r="F295" s="2" t="s">
        <v>805</v>
      </c>
      <c r="G295" s="2" t="s">
        <v>329</v>
      </c>
      <c r="H295" s="8" t="n">
        <v>986.24524255301</v>
      </c>
      <c r="I295" s="2" t="s">
        <v>316</v>
      </c>
      <c r="J295" s="8" t="n">
        <v>2151204.08163265</v>
      </c>
      <c r="K295" s="6" t="n">
        <v>98</v>
      </c>
      <c r="L295" s="2"/>
      <c r="M295" s="10" t="b">
        <f aca="false">TRUE()</f>
        <v>1</v>
      </c>
      <c r="N295" s="9" t="n">
        <f aca="false">IF(H295="","",IF(H295&gt;=Assumptions!$B$5,1,IF(H295&gt;=Assumptions!$B$6,2,IF(H295&gt;=Assumptions!$B$7,3,""))))</f>
        <v>1</v>
      </c>
      <c r="O295" s="9" t="n">
        <f aca="false">IF(N295=1,Assumptions!$B$8,IF(N295=2,Assumptions!$B$9,IF(N295=3,Assumptions!$B$10,0)))</f>
        <v>3</v>
      </c>
      <c r="P295" s="6" t="s">
        <v>30</v>
      </c>
      <c r="Q295" s="6" t="s">
        <v>30</v>
      </c>
      <c r="R295" s="11" t="s">
        <v>30</v>
      </c>
      <c r="S295" s="6" t="s">
        <v>30</v>
      </c>
      <c r="T295" s="11" t="s">
        <v>30</v>
      </c>
      <c r="U295" s="6" t="s">
        <v>30</v>
      </c>
      <c r="V295" s="6" t="s">
        <v>30</v>
      </c>
      <c r="W295" s="6" t="s">
        <v>30</v>
      </c>
      <c r="X295" s="2" t="s">
        <v>30</v>
      </c>
      <c r="Y295" s="6" t="str">
        <f aca="false">IF(AND(X295="processed",ISNUMBER(S295)),S295*O295,"")</f>
        <v/>
      </c>
      <c r="Z295" s="6" t="n">
        <f aca="false">IF(ISNUMBER(K295),K295*O295,0)</f>
        <v>294</v>
      </c>
      <c r="AA295" s="2" t="s">
        <v>31</v>
      </c>
      <c r="AB295" s="6" t="n">
        <v>11053</v>
      </c>
      <c r="AC295" s="6" t="n">
        <v>7575</v>
      </c>
      <c r="AD295" s="6" t="n">
        <v>57</v>
      </c>
      <c r="AE295" s="6" t="n">
        <v>2028.74462890625</v>
      </c>
      <c r="AF295" s="8" t="n">
        <v>992.254923656</v>
      </c>
      <c r="AG295" s="11" t="n">
        <v>-0.1571587148</v>
      </c>
      <c r="AH295" s="12" t="n">
        <v>1</v>
      </c>
      <c r="AI295" s="2" t="s">
        <v>317</v>
      </c>
      <c r="AJ295" s="2" t="s">
        <v>70</v>
      </c>
      <c r="AK295" s="2" t="s">
        <v>70</v>
      </c>
    </row>
    <row r="296" customFormat="false" ht="15" hidden="false" customHeight="false" outlineLevel="0" collapsed="false">
      <c r="A296" s="9" t="n">
        <v>295</v>
      </c>
      <c r="B296" s="2" t="s">
        <v>806</v>
      </c>
      <c r="C296" s="2" t="s">
        <v>91</v>
      </c>
      <c r="D296" s="2" t="s">
        <v>44</v>
      </c>
      <c r="E296" s="2" t="s">
        <v>44</v>
      </c>
      <c r="F296" s="2" t="s">
        <v>807</v>
      </c>
      <c r="G296" s="2" t="s">
        <v>322</v>
      </c>
      <c r="H296" s="8" t="n">
        <v>726.932148068929</v>
      </c>
      <c r="I296" s="2" t="s">
        <v>316</v>
      </c>
      <c r="J296" s="8" t="n">
        <v>1497193.87755102</v>
      </c>
      <c r="K296" s="6" t="n">
        <v>98</v>
      </c>
      <c r="L296" s="2"/>
      <c r="M296" s="10" t="b">
        <f aca="false">TRUE()</f>
        <v>1</v>
      </c>
      <c r="N296" s="9" t="n">
        <f aca="false">IF(H296="","",IF(H296&gt;=Assumptions!$B$5,1,IF(H296&gt;=Assumptions!$B$6,2,IF(H296&gt;=Assumptions!$B$7,3,""))))</f>
        <v>1</v>
      </c>
      <c r="O296" s="9" t="n">
        <f aca="false">IF(N296=1,Assumptions!$B$8,IF(N296=2,Assumptions!$B$9,IF(N296=3,Assumptions!$B$10,0)))</f>
        <v>3</v>
      </c>
      <c r="P296" s="6" t="s">
        <v>30</v>
      </c>
      <c r="Q296" s="6" t="s">
        <v>30</v>
      </c>
      <c r="R296" s="11" t="s">
        <v>30</v>
      </c>
      <c r="S296" s="6" t="s">
        <v>30</v>
      </c>
      <c r="T296" s="11" t="s">
        <v>30</v>
      </c>
      <c r="U296" s="6" t="s">
        <v>30</v>
      </c>
      <c r="V296" s="6" t="s">
        <v>30</v>
      </c>
      <c r="W296" s="6" t="s">
        <v>30</v>
      </c>
      <c r="X296" s="2" t="s">
        <v>30</v>
      </c>
      <c r="Y296" s="6" t="str">
        <f aca="false">IF(AND(X296="processed",ISNUMBER(S296)),S296*O296,"")</f>
        <v/>
      </c>
      <c r="Z296" s="6" t="n">
        <f aca="false">IF(ISNUMBER(K296),K296*O296,0)</f>
        <v>294</v>
      </c>
      <c r="AA296" s="2" t="s">
        <v>31</v>
      </c>
      <c r="AB296" s="6" t="n">
        <v>5883</v>
      </c>
      <c r="AC296" s="6" t="n">
        <v>5268</v>
      </c>
      <c r="AD296" s="6" t="n">
        <v>245</v>
      </c>
      <c r="AE296" s="6" t="n">
        <v>2430.95849609375</v>
      </c>
      <c r="AF296" s="8" t="n">
        <v>690.975690976</v>
      </c>
      <c r="AG296" s="11" t="n">
        <v>0.002579816102</v>
      </c>
      <c r="AH296" s="12" t="n">
        <v>0.999999999999999</v>
      </c>
      <c r="AI296" s="2" t="s">
        <v>317</v>
      </c>
      <c r="AJ296" s="2" t="s">
        <v>91</v>
      </c>
      <c r="AK296" s="2" t="s">
        <v>91</v>
      </c>
    </row>
    <row r="297" customFormat="false" ht="15" hidden="false" customHeight="false" outlineLevel="0" collapsed="false">
      <c r="A297" s="9" t="n">
        <v>296</v>
      </c>
      <c r="B297" s="2" t="s">
        <v>808</v>
      </c>
      <c r="C297" s="2" t="s">
        <v>809</v>
      </c>
      <c r="D297" s="2" t="s">
        <v>44</v>
      </c>
      <c r="E297" s="2" t="s">
        <v>44</v>
      </c>
      <c r="F297" s="2" t="s">
        <v>810</v>
      </c>
      <c r="G297" s="2" t="s">
        <v>322</v>
      </c>
      <c r="H297" s="8" t="n">
        <v>1312.00180666939</v>
      </c>
      <c r="I297" s="2" t="s">
        <v>316</v>
      </c>
      <c r="J297" s="8" t="n">
        <v>3573826.53061225</v>
      </c>
      <c r="K297" s="6" t="n">
        <v>98</v>
      </c>
      <c r="L297" s="2"/>
      <c r="M297" s="10" t="b">
        <f aca="false">TRUE()</f>
        <v>1</v>
      </c>
      <c r="N297" s="9" t="n">
        <f aca="false">IF(H297="","",IF(H297&gt;=Assumptions!$B$5,1,IF(H297&gt;=Assumptions!$B$6,2,IF(H297&gt;=Assumptions!$B$7,3,""))))</f>
        <v>1</v>
      </c>
      <c r="O297" s="9" t="n">
        <f aca="false">IF(N297=1,Assumptions!$B$8,IF(N297=2,Assumptions!$B$9,IF(N297=3,Assumptions!$B$10,0)))</f>
        <v>3</v>
      </c>
      <c r="P297" s="6" t="s">
        <v>30</v>
      </c>
      <c r="Q297" s="6" t="s">
        <v>30</v>
      </c>
      <c r="R297" s="11" t="s">
        <v>30</v>
      </c>
      <c r="S297" s="6" t="s">
        <v>30</v>
      </c>
      <c r="T297" s="11" t="s">
        <v>30</v>
      </c>
      <c r="U297" s="6" t="s">
        <v>30</v>
      </c>
      <c r="V297" s="6" t="s">
        <v>30</v>
      </c>
      <c r="W297" s="6" t="s">
        <v>30</v>
      </c>
      <c r="X297" s="2" t="s">
        <v>30</v>
      </c>
      <c r="Y297" s="6" t="str">
        <f aca="false">IF(AND(X297="processed",ISNUMBER(S297)),S297*O297,"")</f>
        <v/>
      </c>
      <c r="Z297" s="6" t="n">
        <f aca="false">IF(ISNUMBER(K297),K297*O297,0)</f>
        <v>294</v>
      </c>
      <c r="AA297" s="2" t="s">
        <v>31</v>
      </c>
      <c r="AB297" s="6" t="n">
        <v>6233</v>
      </c>
      <c r="AC297" s="6" t="n">
        <v>5246</v>
      </c>
      <c r="AD297" s="6" t="n">
        <v>194</v>
      </c>
      <c r="AE297" s="6" t="n">
        <v>2547.02685546875</v>
      </c>
      <c r="AF297" s="8" t="n">
        <v>1513.513513514</v>
      </c>
      <c r="AG297" s="11" t="n">
        <v>-0.06399576047</v>
      </c>
      <c r="AH297" s="12" t="n">
        <v>0.898660234496959</v>
      </c>
      <c r="AI297" s="2" t="s">
        <v>317</v>
      </c>
      <c r="AJ297" s="2" t="s">
        <v>809</v>
      </c>
      <c r="AK297" s="2" t="s">
        <v>44</v>
      </c>
    </row>
    <row r="298" customFormat="false" ht="15" hidden="false" customHeight="false" outlineLevel="0" collapsed="false">
      <c r="A298" s="9" t="n">
        <v>297</v>
      </c>
      <c r="B298" s="2" t="s">
        <v>811</v>
      </c>
      <c r="C298" s="2" t="s">
        <v>38</v>
      </c>
      <c r="D298" s="2" t="s">
        <v>39</v>
      </c>
      <c r="E298" s="2" t="s">
        <v>40</v>
      </c>
      <c r="F298" s="2" t="s">
        <v>812</v>
      </c>
      <c r="G298" s="2" t="s">
        <v>320</v>
      </c>
      <c r="H298" s="8" t="n">
        <v>952.287681551561</v>
      </c>
      <c r="I298" s="2" t="s">
        <v>316</v>
      </c>
      <c r="J298" s="8" t="n">
        <v>2870153.06122449</v>
      </c>
      <c r="K298" s="6" t="n">
        <v>98</v>
      </c>
      <c r="L298" s="2"/>
      <c r="M298" s="10" t="b">
        <f aca="false">TRUE()</f>
        <v>1</v>
      </c>
      <c r="N298" s="9" t="n">
        <f aca="false">IF(H298="","",IF(H298&gt;=Assumptions!$B$5,1,IF(H298&gt;=Assumptions!$B$6,2,IF(H298&gt;=Assumptions!$B$7,3,""))))</f>
        <v>1</v>
      </c>
      <c r="O298" s="9" t="n">
        <f aca="false">IF(N298=1,Assumptions!$B$8,IF(N298=2,Assumptions!$B$9,IF(N298=3,Assumptions!$B$10,0)))</f>
        <v>3</v>
      </c>
      <c r="P298" s="6" t="s">
        <v>30</v>
      </c>
      <c r="Q298" s="6" t="s">
        <v>30</v>
      </c>
      <c r="R298" s="11" t="s">
        <v>30</v>
      </c>
      <c r="S298" s="6" t="s">
        <v>30</v>
      </c>
      <c r="T298" s="11" t="s">
        <v>30</v>
      </c>
      <c r="U298" s="6" t="s">
        <v>30</v>
      </c>
      <c r="V298" s="6" t="s">
        <v>30</v>
      </c>
      <c r="W298" s="6" t="s">
        <v>30</v>
      </c>
      <c r="X298" s="2" t="s">
        <v>30</v>
      </c>
      <c r="Y298" s="6" t="str">
        <f aca="false">IF(AND(X298="processed",ISNUMBER(S298)),S298*O298,"")</f>
        <v/>
      </c>
      <c r="Z298" s="6" t="n">
        <f aca="false">IF(ISNUMBER(K298),K298*O298,0)</f>
        <v>294</v>
      </c>
      <c r="AA298" s="2" t="s">
        <v>31</v>
      </c>
      <c r="AB298" s="6" t="n">
        <v>6856</v>
      </c>
      <c r="AC298" s="6" t="n">
        <v>5189</v>
      </c>
      <c r="AD298" s="6" t="n">
        <v>192</v>
      </c>
      <c r="AE298" s="6" t="n">
        <v>2323.35571289063</v>
      </c>
      <c r="AF298" s="8" t="n">
        <v>964.187327824</v>
      </c>
      <c r="AG298" s="11" t="n">
        <v>0.03620655413</v>
      </c>
      <c r="AH298" s="12" t="n">
        <v>1</v>
      </c>
      <c r="AI298" s="2" t="s">
        <v>317</v>
      </c>
      <c r="AJ298" s="2" t="s">
        <v>38</v>
      </c>
      <c r="AK298" s="2" t="s">
        <v>38</v>
      </c>
    </row>
    <row r="299" customFormat="false" ht="15" hidden="false" customHeight="false" outlineLevel="0" collapsed="false">
      <c r="A299" s="9" t="n">
        <v>298</v>
      </c>
      <c r="B299" s="2" t="s">
        <v>813</v>
      </c>
      <c r="C299" s="2" t="s">
        <v>814</v>
      </c>
      <c r="D299" s="2" t="s">
        <v>70</v>
      </c>
      <c r="E299" s="2" t="s">
        <v>71</v>
      </c>
      <c r="F299" s="2" t="s">
        <v>815</v>
      </c>
      <c r="G299" s="2" t="s">
        <v>329</v>
      </c>
      <c r="H299" s="8" t="n">
        <v>653.547677872178</v>
      </c>
      <c r="I299" s="2" t="s">
        <v>316</v>
      </c>
      <c r="J299" s="8" t="n">
        <v>841719.178082192</v>
      </c>
      <c r="K299" s="6" t="n">
        <v>146</v>
      </c>
      <c r="L299" s="2"/>
      <c r="M299" s="10" t="b">
        <f aca="false">TRUE()</f>
        <v>1</v>
      </c>
      <c r="N299" s="9" t="n">
        <f aca="false">IF(H299="","",IF(H299&gt;=Assumptions!$B$5,1,IF(H299&gt;=Assumptions!$B$6,2,IF(H299&gt;=Assumptions!$B$7,3,""))))</f>
        <v>2</v>
      </c>
      <c r="O299" s="9" t="n">
        <f aca="false">IF(N299=1,Assumptions!$B$8,IF(N299=2,Assumptions!$B$9,IF(N299=3,Assumptions!$B$10,0)))</f>
        <v>2</v>
      </c>
      <c r="P299" s="6" t="s">
        <v>30</v>
      </c>
      <c r="Q299" s="6" t="s">
        <v>30</v>
      </c>
      <c r="R299" s="11" t="s">
        <v>30</v>
      </c>
      <c r="S299" s="6" t="s">
        <v>30</v>
      </c>
      <c r="T299" s="11" t="s">
        <v>30</v>
      </c>
      <c r="U299" s="6" t="s">
        <v>30</v>
      </c>
      <c r="V299" s="6" t="s">
        <v>30</v>
      </c>
      <c r="W299" s="6" t="s">
        <v>30</v>
      </c>
      <c r="X299" s="2" t="s">
        <v>30</v>
      </c>
      <c r="Y299" s="6" t="str">
        <f aca="false">IF(AND(X299="processed",ISNUMBER(S299)),S299*O299,"")</f>
        <v/>
      </c>
      <c r="Z299" s="6" t="n">
        <f aca="false">IF(ISNUMBER(K299),K299*O299,0)</f>
        <v>292</v>
      </c>
      <c r="AA299" s="2" t="s">
        <v>31</v>
      </c>
      <c r="AB299" s="6" t="n">
        <v>19987</v>
      </c>
      <c r="AC299" s="6" t="n">
        <v>14210</v>
      </c>
      <c r="AD299" s="6" t="n">
        <v>281</v>
      </c>
      <c r="AE299" s="6" t="n">
        <v>1585.50256347656</v>
      </c>
      <c r="AF299" s="8" t="n">
        <v>656.5</v>
      </c>
      <c r="AG299" s="11" t="n">
        <v>-0.07700962963</v>
      </c>
      <c r="AH299" s="12" t="n">
        <v>0.589132579189438</v>
      </c>
      <c r="AI299" s="2" t="s">
        <v>317</v>
      </c>
      <c r="AJ299" s="2" t="s">
        <v>814</v>
      </c>
      <c r="AK299" s="2" t="s">
        <v>70</v>
      </c>
    </row>
    <row r="300" customFormat="false" ht="15" hidden="false" customHeight="false" outlineLevel="0" collapsed="false">
      <c r="A300" s="9" t="n">
        <v>299</v>
      </c>
      <c r="B300" s="2" t="s">
        <v>816</v>
      </c>
      <c r="C300" s="2" t="s">
        <v>681</v>
      </c>
      <c r="D300" s="2" t="s">
        <v>27</v>
      </c>
      <c r="E300" s="2" t="s">
        <v>28</v>
      </c>
      <c r="F300" s="2"/>
      <c r="G300" s="2" t="s">
        <v>315</v>
      </c>
      <c r="H300" s="8" t="n">
        <v>657.665338596875</v>
      </c>
      <c r="I300" s="2" t="s">
        <v>316</v>
      </c>
      <c r="J300" s="8" t="n">
        <v>1044489.98611111</v>
      </c>
      <c r="K300" s="6" t="n">
        <v>144</v>
      </c>
      <c r="L300" s="2"/>
      <c r="M300" s="10" t="b">
        <f aca="false">TRUE()</f>
        <v>1</v>
      </c>
      <c r="N300" s="9" t="n">
        <f aca="false">IF(H300="","",IF(H300&gt;=Assumptions!$B$5,1,IF(H300&gt;=Assumptions!$B$6,2,IF(H300&gt;=Assumptions!$B$7,3,""))))</f>
        <v>2</v>
      </c>
      <c r="O300" s="9" t="n">
        <f aca="false">IF(N300=1,Assumptions!$B$8,IF(N300=2,Assumptions!$B$9,IF(N300=3,Assumptions!$B$10,0)))</f>
        <v>2</v>
      </c>
      <c r="P300" s="6" t="s">
        <v>30</v>
      </c>
      <c r="Q300" s="6" t="s">
        <v>30</v>
      </c>
      <c r="R300" s="11" t="s">
        <v>30</v>
      </c>
      <c r="S300" s="6" t="s">
        <v>30</v>
      </c>
      <c r="T300" s="11" t="s">
        <v>30</v>
      </c>
      <c r="U300" s="6" t="s">
        <v>30</v>
      </c>
      <c r="V300" s="6" t="s">
        <v>30</v>
      </c>
      <c r="W300" s="6" t="s">
        <v>30</v>
      </c>
      <c r="X300" s="2" t="s">
        <v>30</v>
      </c>
      <c r="Y300" s="6" t="str">
        <f aca="false">IF(AND(X300="processed",ISNUMBER(S300)),S300*O300,"")</f>
        <v/>
      </c>
      <c r="Z300" s="6" t="n">
        <f aca="false">IF(ISNUMBER(K300),K300*O300,0)</f>
        <v>288</v>
      </c>
      <c r="AA300" s="2" t="s">
        <v>31</v>
      </c>
      <c r="AB300" s="6" t="n">
        <v>12695</v>
      </c>
      <c r="AC300" s="6" t="n">
        <v>11392</v>
      </c>
      <c r="AD300" s="6" t="n">
        <v>636</v>
      </c>
      <c r="AE300" s="6" t="n">
        <v>2390.4462890625</v>
      </c>
      <c r="AF300" s="8" t="n">
        <v>708.57163125</v>
      </c>
      <c r="AG300" s="11" t="n">
        <v>0.02341462145</v>
      </c>
      <c r="AH300" s="12" t="n">
        <v>1</v>
      </c>
      <c r="AI300" s="2" t="s">
        <v>317</v>
      </c>
      <c r="AJ300" s="2" t="s">
        <v>681</v>
      </c>
      <c r="AK300" s="2" t="s">
        <v>681</v>
      </c>
    </row>
    <row r="301" customFormat="false" ht="15" hidden="false" customHeight="false" outlineLevel="0" collapsed="false">
      <c r="A301" s="9" t="n">
        <v>300</v>
      </c>
      <c r="B301" s="2" t="s">
        <v>817</v>
      </c>
      <c r="C301" s="2" t="s">
        <v>818</v>
      </c>
      <c r="D301" s="2" t="s">
        <v>62</v>
      </c>
      <c r="E301" s="2" t="s">
        <v>40</v>
      </c>
      <c r="F301" s="2"/>
      <c r="G301" s="2" t="s">
        <v>324</v>
      </c>
      <c r="H301" s="8" t="n">
        <v>1108.48660179795</v>
      </c>
      <c r="I301" s="2" t="s">
        <v>316</v>
      </c>
      <c r="J301" s="8" t="n">
        <v>2195885.41666667</v>
      </c>
      <c r="K301" s="6" t="n">
        <v>96</v>
      </c>
      <c r="L301" s="2"/>
      <c r="M301" s="10" t="b">
        <f aca="false">TRUE()</f>
        <v>1</v>
      </c>
      <c r="N301" s="9" t="n">
        <f aca="false">IF(H301="","",IF(H301&gt;=Assumptions!$B$5,1,IF(H301&gt;=Assumptions!$B$6,2,IF(H301&gt;=Assumptions!$B$7,3,""))))</f>
        <v>1</v>
      </c>
      <c r="O301" s="9" t="n">
        <f aca="false">IF(N301=1,Assumptions!$B$8,IF(N301=2,Assumptions!$B$9,IF(N301=3,Assumptions!$B$10,0)))</f>
        <v>3</v>
      </c>
      <c r="P301" s="6" t="s">
        <v>30</v>
      </c>
      <c r="Q301" s="6" t="s">
        <v>30</v>
      </c>
      <c r="R301" s="11" t="s">
        <v>30</v>
      </c>
      <c r="S301" s="6" t="s">
        <v>30</v>
      </c>
      <c r="T301" s="11" t="s">
        <v>30</v>
      </c>
      <c r="U301" s="6" t="s">
        <v>30</v>
      </c>
      <c r="V301" s="6" t="s">
        <v>30</v>
      </c>
      <c r="W301" s="6" t="s">
        <v>30</v>
      </c>
      <c r="X301" s="2" t="s">
        <v>30</v>
      </c>
      <c r="Y301" s="6" t="str">
        <f aca="false">IF(AND(X301="processed",ISNUMBER(S301)),S301*O301,"")</f>
        <v/>
      </c>
      <c r="Z301" s="6" t="n">
        <f aca="false">IF(ISNUMBER(K301),K301*O301,0)</f>
        <v>288</v>
      </c>
      <c r="AA301" s="2" t="s">
        <v>31</v>
      </c>
      <c r="AB301" s="6" t="n">
        <v>7593</v>
      </c>
      <c r="AC301" s="6" t="n">
        <v>6616</v>
      </c>
      <c r="AD301" s="6" t="n">
        <v>230</v>
      </c>
      <c r="AE301" s="6" t="n">
        <v>2454.21264648438</v>
      </c>
      <c r="AF301" s="8" t="n">
        <v>1084.487133019</v>
      </c>
      <c r="AG301" s="11" t="n">
        <v>-0.04957308453</v>
      </c>
      <c r="AH301" s="12" t="n">
        <v>0.965060891859506</v>
      </c>
      <c r="AI301" s="2" t="s">
        <v>819</v>
      </c>
      <c r="AJ301" s="2" t="s">
        <v>820</v>
      </c>
      <c r="AK301" s="2" t="s">
        <v>818</v>
      </c>
    </row>
    <row r="302" customFormat="false" ht="15" hidden="false" customHeight="false" outlineLevel="0" collapsed="false">
      <c r="A302" s="9" t="n">
        <v>301</v>
      </c>
      <c r="B302" s="2" t="s">
        <v>821</v>
      </c>
      <c r="C302" s="2" t="s">
        <v>822</v>
      </c>
      <c r="D302" s="2" t="s">
        <v>95</v>
      </c>
      <c r="E302" s="2" t="s">
        <v>95</v>
      </c>
      <c r="F302" s="2"/>
      <c r="G302" s="2" t="s">
        <v>330</v>
      </c>
      <c r="H302" s="8" t="n">
        <v>1066.31468325626</v>
      </c>
      <c r="I302" s="2" t="s">
        <v>316</v>
      </c>
      <c r="J302" s="8" t="n">
        <v>2598802.08333333</v>
      </c>
      <c r="K302" s="6" t="n">
        <v>96</v>
      </c>
      <c r="L302" s="2"/>
      <c r="M302" s="10" t="b">
        <f aca="false">TRUE()</f>
        <v>1</v>
      </c>
      <c r="N302" s="9" t="n">
        <f aca="false">IF(H302="","",IF(H302&gt;=Assumptions!$B$5,1,IF(H302&gt;=Assumptions!$B$6,2,IF(H302&gt;=Assumptions!$B$7,3,""))))</f>
        <v>1</v>
      </c>
      <c r="O302" s="9" t="n">
        <f aca="false">IF(N302=1,Assumptions!$B$8,IF(N302=2,Assumptions!$B$9,IF(N302=3,Assumptions!$B$10,0)))</f>
        <v>3</v>
      </c>
      <c r="P302" s="6" t="s">
        <v>30</v>
      </c>
      <c r="Q302" s="6" t="s">
        <v>30</v>
      </c>
      <c r="R302" s="11" t="s">
        <v>30</v>
      </c>
      <c r="S302" s="6" t="s">
        <v>30</v>
      </c>
      <c r="T302" s="11" t="s">
        <v>30</v>
      </c>
      <c r="U302" s="6" t="s">
        <v>30</v>
      </c>
      <c r="V302" s="6" t="s">
        <v>30</v>
      </c>
      <c r="W302" s="6" t="s">
        <v>30</v>
      </c>
      <c r="X302" s="2" t="s">
        <v>30</v>
      </c>
      <c r="Y302" s="6" t="str">
        <f aca="false">IF(AND(X302="processed",ISNUMBER(S302)),S302*O302,"")</f>
        <v/>
      </c>
      <c r="Z302" s="6" t="n">
        <f aca="false">IF(ISNUMBER(K302),K302*O302,0)</f>
        <v>288</v>
      </c>
      <c r="AA302" s="2" t="s">
        <v>31</v>
      </c>
      <c r="AB302" s="6" t="n">
        <v>4783</v>
      </c>
      <c r="AC302" s="6" t="n">
        <v>3798</v>
      </c>
      <c r="AD302" s="6" t="n">
        <v>122</v>
      </c>
      <c r="AE302" s="6" t="n">
        <v>2506.78662109375</v>
      </c>
      <c r="AF302" s="8" t="n">
        <v>1234.840019923</v>
      </c>
      <c r="AG302" s="11" t="n">
        <v>0.1277513728</v>
      </c>
      <c r="AH302" s="12" t="n">
        <v>0.974019365623752</v>
      </c>
      <c r="AI302" s="2" t="s">
        <v>823</v>
      </c>
      <c r="AJ302" s="2" t="s">
        <v>824</v>
      </c>
      <c r="AK302" s="2" t="s">
        <v>825</v>
      </c>
    </row>
    <row r="303" customFormat="false" ht="15" hidden="false" customHeight="false" outlineLevel="0" collapsed="false">
      <c r="A303" s="9" t="n">
        <v>302</v>
      </c>
      <c r="B303" s="2" t="s">
        <v>826</v>
      </c>
      <c r="C303" s="2" t="s">
        <v>827</v>
      </c>
      <c r="D303" s="2" t="s">
        <v>95</v>
      </c>
      <c r="E303" s="2" t="s">
        <v>95</v>
      </c>
      <c r="F303" s="2" t="s">
        <v>828</v>
      </c>
      <c r="G303" s="2" t="s">
        <v>330</v>
      </c>
      <c r="H303" s="8" t="n">
        <v>622.338807876438</v>
      </c>
      <c r="I303" s="2" t="s">
        <v>316</v>
      </c>
      <c r="J303" s="8" t="n">
        <v>1165250</v>
      </c>
      <c r="K303" s="6" t="n">
        <v>144</v>
      </c>
      <c r="L303" s="2"/>
      <c r="M303" s="10" t="b">
        <f aca="false">TRUE()</f>
        <v>1</v>
      </c>
      <c r="N303" s="9" t="n">
        <f aca="false">IF(H303="","",IF(H303&gt;=Assumptions!$B$5,1,IF(H303&gt;=Assumptions!$B$6,2,IF(H303&gt;=Assumptions!$B$7,3,""))))</f>
        <v>2</v>
      </c>
      <c r="O303" s="9" t="n">
        <f aca="false">IF(N303=1,Assumptions!$B$8,IF(N303=2,Assumptions!$B$9,IF(N303=3,Assumptions!$B$10,0)))</f>
        <v>2</v>
      </c>
      <c r="P303" s="6" t="s">
        <v>30</v>
      </c>
      <c r="Q303" s="6" t="s">
        <v>30</v>
      </c>
      <c r="R303" s="11" t="s">
        <v>30</v>
      </c>
      <c r="S303" s="6" t="s">
        <v>30</v>
      </c>
      <c r="T303" s="11" t="s">
        <v>30</v>
      </c>
      <c r="U303" s="6" t="s">
        <v>30</v>
      </c>
      <c r="V303" s="6" t="s">
        <v>30</v>
      </c>
      <c r="W303" s="6" t="s">
        <v>30</v>
      </c>
      <c r="X303" s="2" t="s">
        <v>30</v>
      </c>
      <c r="Y303" s="6" t="str">
        <f aca="false">IF(AND(X303="processed",ISNUMBER(S303)),S303*O303,"")</f>
        <v/>
      </c>
      <c r="Z303" s="6" t="n">
        <f aca="false">IF(ISNUMBER(K303),K303*O303,0)</f>
        <v>288</v>
      </c>
      <c r="AA303" s="2" t="s">
        <v>31</v>
      </c>
      <c r="AB303" s="6" t="n">
        <v>10294</v>
      </c>
      <c r="AC303" s="6" t="n">
        <v>8097</v>
      </c>
      <c r="AD303" s="6" t="n">
        <v>236</v>
      </c>
      <c r="AE303" s="6" t="n">
        <v>2485.99560546875</v>
      </c>
      <c r="AF303" s="8" t="n">
        <v>644.452581472</v>
      </c>
      <c r="AG303" s="11" t="n">
        <v>0.03979945357</v>
      </c>
      <c r="AH303" s="12" t="n">
        <v>0.999999999999999</v>
      </c>
      <c r="AI303" s="2" t="s">
        <v>317</v>
      </c>
      <c r="AJ303" s="2" t="s">
        <v>827</v>
      </c>
      <c r="AK303" s="2" t="s">
        <v>827</v>
      </c>
    </row>
    <row r="304" customFormat="false" ht="15" hidden="false" customHeight="false" outlineLevel="0" collapsed="false">
      <c r="A304" s="9" t="n">
        <v>303</v>
      </c>
      <c r="B304" s="2" t="s">
        <v>829</v>
      </c>
      <c r="C304" s="2" t="s">
        <v>38</v>
      </c>
      <c r="D304" s="2" t="s">
        <v>39</v>
      </c>
      <c r="E304" s="2" t="s">
        <v>40</v>
      </c>
      <c r="F304" s="2" t="s">
        <v>830</v>
      </c>
      <c r="G304" s="2" t="s">
        <v>320</v>
      </c>
      <c r="H304" s="8" t="n">
        <v>994.95528457899</v>
      </c>
      <c r="I304" s="2" t="s">
        <v>316</v>
      </c>
      <c r="J304" s="8" t="n">
        <v>1574468.75</v>
      </c>
      <c r="K304" s="6" t="n">
        <v>96</v>
      </c>
      <c r="L304" s="2"/>
      <c r="M304" s="10" t="b">
        <f aca="false">TRUE()</f>
        <v>1</v>
      </c>
      <c r="N304" s="9" t="n">
        <f aca="false">IF(H304="","",IF(H304&gt;=Assumptions!$B$5,1,IF(H304&gt;=Assumptions!$B$6,2,IF(H304&gt;=Assumptions!$B$7,3,""))))</f>
        <v>1</v>
      </c>
      <c r="O304" s="9" t="n">
        <f aca="false">IF(N304=1,Assumptions!$B$8,IF(N304=2,Assumptions!$B$9,IF(N304=3,Assumptions!$B$10,0)))</f>
        <v>3</v>
      </c>
      <c r="P304" s="6" t="s">
        <v>30</v>
      </c>
      <c r="Q304" s="6" t="s">
        <v>30</v>
      </c>
      <c r="R304" s="11" t="s">
        <v>30</v>
      </c>
      <c r="S304" s="6" t="s">
        <v>30</v>
      </c>
      <c r="T304" s="11" t="s">
        <v>30</v>
      </c>
      <c r="U304" s="6" t="s">
        <v>30</v>
      </c>
      <c r="V304" s="6" t="s">
        <v>30</v>
      </c>
      <c r="W304" s="6" t="s">
        <v>30</v>
      </c>
      <c r="X304" s="2" t="s">
        <v>30</v>
      </c>
      <c r="Y304" s="6" t="str">
        <f aca="false">IF(AND(X304="processed",ISNUMBER(S304)),S304*O304,"")</f>
        <v/>
      </c>
      <c r="Z304" s="6" t="n">
        <f aca="false">IF(ISNUMBER(K304),K304*O304,0)</f>
        <v>288</v>
      </c>
      <c r="AA304" s="2" t="s">
        <v>31</v>
      </c>
      <c r="AB304" s="6" t="n">
        <v>7369</v>
      </c>
      <c r="AC304" s="6" t="n">
        <v>6194</v>
      </c>
      <c r="AD304" s="6" t="n">
        <v>114</v>
      </c>
      <c r="AE304" s="6" t="n">
        <v>2003.33129882813</v>
      </c>
      <c r="AF304" s="8" t="n">
        <v>956.330579618</v>
      </c>
      <c r="AG304" s="11" t="n">
        <v>-0.0211731555</v>
      </c>
      <c r="AH304" s="12" t="n">
        <v>1</v>
      </c>
      <c r="AI304" s="2" t="s">
        <v>317</v>
      </c>
      <c r="AJ304" s="2" t="s">
        <v>38</v>
      </c>
      <c r="AK304" s="2" t="s">
        <v>38</v>
      </c>
    </row>
    <row r="305" customFormat="false" ht="15" hidden="false" customHeight="false" outlineLevel="0" collapsed="false">
      <c r="A305" s="9" t="n">
        <v>304</v>
      </c>
      <c r="B305" s="2" t="s">
        <v>831</v>
      </c>
      <c r="C305" s="2" t="s">
        <v>832</v>
      </c>
      <c r="D305" s="2" t="s">
        <v>27</v>
      </c>
      <c r="E305" s="2" t="s">
        <v>28</v>
      </c>
      <c r="F305" s="2" t="s">
        <v>833</v>
      </c>
      <c r="G305" s="2" t="s">
        <v>315</v>
      </c>
      <c r="H305" s="8" t="n">
        <v>577.245902539725</v>
      </c>
      <c r="I305" s="2" t="s">
        <v>316</v>
      </c>
      <c r="J305" s="8" t="n">
        <v>979076.655052265</v>
      </c>
      <c r="K305" s="6" t="n">
        <v>287</v>
      </c>
      <c r="L305" s="2"/>
      <c r="M305" s="10" t="b">
        <f aca="false">TRUE()</f>
        <v>1</v>
      </c>
      <c r="N305" s="9" t="n">
        <f aca="false">IF(H305="","",IF(H305&gt;=Assumptions!$B$5,1,IF(H305&gt;=Assumptions!$B$6,2,IF(H305&gt;=Assumptions!$B$7,3,""))))</f>
        <v>3</v>
      </c>
      <c r="O305" s="9" t="n">
        <f aca="false">IF(N305=1,Assumptions!$B$8,IF(N305=2,Assumptions!$B$9,IF(N305=3,Assumptions!$B$10,0)))</f>
        <v>1</v>
      </c>
      <c r="P305" s="6" t="s">
        <v>30</v>
      </c>
      <c r="Q305" s="6" t="s">
        <v>30</v>
      </c>
      <c r="R305" s="11" t="s">
        <v>30</v>
      </c>
      <c r="S305" s="6" t="s">
        <v>30</v>
      </c>
      <c r="T305" s="11" t="s">
        <v>30</v>
      </c>
      <c r="U305" s="6" t="s">
        <v>30</v>
      </c>
      <c r="V305" s="6" t="s">
        <v>30</v>
      </c>
      <c r="W305" s="6" t="s">
        <v>30</v>
      </c>
      <c r="X305" s="2" t="s">
        <v>30</v>
      </c>
      <c r="Y305" s="6" t="str">
        <f aca="false">IF(AND(X305="processed",ISNUMBER(S305)),S305*O305,"")</f>
        <v/>
      </c>
      <c r="Z305" s="6" t="n">
        <f aca="false">IF(ISNUMBER(K305),K305*O305,0)</f>
        <v>287</v>
      </c>
      <c r="AA305" s="2" t="s">
        <v>31</v>
      </c>
      <c r="AB305" s="6" t="n">
        <v>20426</v>
      </c>
      <c r="AC305" s="6" t="n">
        <v>17466</v>
      </c>
      <c r="AD305" s="6" t="n">
        <v>741</v>
      </c>
      <c r="AE305" s="6" t="n">
        <v>2414.365234375</v>
      </c>
      <c r="AF305" s="8" t="n">
        <v>533.522190746</v>
      </c>
      <c r="AG305" s="11" t="n">
        <v>-0.07339748931</v>
      </c>
      <c r="AH305" s="12" t="n">
        <v>0.547929327769942</v>
      </c>
      <c r="AI305" s="2" t="s">
        <v>317</v>
      </c>
      <c r="AJ305" s="2" t="s">
        <v>832</v>
      </c>
      <c r="AK305" s="2" t="s">
        <v>832</v>
      </c>
    </row>
    <row r="306" customFormat="false" ht="15" hidden="false" customHeight="false" outlineLevel="0" collapsed="false">
      <c r="A306" s="9" t="n">
        <v>305</v>
      </c>
      <c r="B306" s="2" t="s">
        <v>834</v>
      </c>
      <c r="C306" s="2" t="s">
        <v>835</v>
      </c>
      <c r="D306" s="2" t="s">
        <v>44</v>
      </c>
      <c r="E306" s="2" t="s">
        <v>44</v>
      </c>
      <c r="F306" s="2" t="s">
        <v>836</v>
      </c>
      <c r="G306" s="2" t="s">
        <v>322</v>
      </c>
      <c r="H306" s="8" t="n">
        <v>564.658536460352</v>
      </c>
      <c r="I306" s="2" t="s">
        <v>316</v>
      </c>
      <c r="J306" s="8" t="n">
        <v>1313069.86759582</v>
      </c>
      <c r="K306" s="6" t="n">
        <v>287</v>
      </c>
      <c r="L306" s="2"/>
      <c r="M306" s="10" t="b">
        <f aca="false">TRUE()</f>
        <v>1</v>
      </c>
      <c r="N306" s="9" t="n">
        <f aca="false">IF(H306="","",IF(H306&gt;=Assumptions!$B$5,1,IF(H306&gt;=Assumptions!$B$6,2,IF(H306&gt;=Assumptions!$B$7,3,""))))</f>
        <v>3</v>
      </c>
      <c r="O306" s="9" t="n">
        <f aca="false">IF(N306=1,Assumptions!$B$8,IF(N306=2,Assumptions!$B$9,IF(N306=3,Assumptions!$B$10,0)))</f>
        <v>1</v>
      </c>
      <c r="P306" s="6" t="s">
        <v>30</v>
      </c>
      <c r="Q306" s="6" t="s">
        <v>30</v>
      </c>
      <c r="R306" s="11" t="s">
        <v>30</v>
      </c>
      <c r="S306" s="6" t="s">
        <v>30</v>
      </c>
      <c r="T306" s="11" t="s">
        <v>30</v>
      </c>
      <c r="U306" s="6" t="s">
        <v>30</v>
      </c>
      <c r="V306" s="6" t="s">
        <v>30</v>
      </c>
      <c r="W306" s="6" t="s">
        <v>30</v>
      </c>
      <c r="X306" s="2" t="s">
        <v>30</v>
      </c>
      <c r="Y306" s="6" t="str">
        <f aca="false">IF(AND(X306="processed",ISNUMBER(S306)),S306*O306,"")</f>
        <v/>
      </c>
      <c r="Z306" s="6" t="n">
        <f aca="false">IF(ISNUMBER(K306),K306*O306,0)</f>
        <v>287</v>
      </c>
      <c r="AA306" s="2" t="s">
        <v>31</v>
      </c>
      <c r="AB306" s="6" t="n">
        <v>15748</v>
      </c>
      <c r="AC306" s="6" t="n">
        <v>13712</v>
      </c>
      <c r="AD306" s="6" t="n">
        <v>862</v>
      </c>
      <c r="AE306" s="6" t="n">
        <v>2511.88671875</v>
      </c>
      <c r="AF306" s="8" t="n">
        <v>561.653116531</v>
      </c>
      <c r="AG306" s="11" t="n">
        <v>-0.04096998244</v>
      </c>
      <c r="AH306" s="12" t="n">
        <v>1</v>
      </c>
      <c r="AI306" s="2" t="s">
        <v>317</v>
      </c>
      <c r="AJ306" s="2" t="s">
        <v>835</v>
      </c>
      <c r="AK306" s="2" t="s">
        <v>835</v>
      </c>
    </row>
    <row r="307" customFormat="false" ht="15" hidden="false" customHeight="false" outlineLevel="0" collapsed="false">
      <c r="A307" s="9" t="n">
        <v>306</v>
      </c>
      <c r="B307" s="2" t="s">
        <v>837</v>
      </c>
      <c r="C307" s="2" t="s">
        <v>44</v>
      </c>
      <c r="D307" s="2" t="s">
        <v>44</v>
      </c>
      <c r="E307" s="2" t="s">
        <v>44</v>
      </c>
      <c r="F307" s="2" t="s">
        <v>838</v>
      </c>
      <c r="G307" s="2" t="s">
        <v>322</v>
      </c>
      <c r="H307" s="8" t="n">
        <v>526.005173001585</v>
      </c>
      <c r="I307" s="2" t="s">
        <v>316</v>
      </c>
      <c r="J307" s="8" t="n">
        <v>760623.693379791</v>
      </c>
      <c r="K307" s="6" t="n">
        <v>287</v>
      </c>
      <c r="L307" s="2"/>
      <c r="M307" s="10" t="b">
        <f aca="false">TRUE()</f>
        <v>1</v>
      </c>
      <c r="N307" s="9" t="n">
        <f aca="false">IF(H307="","",IF(H307&gt;=Assumptions!$B$5,1,IF(H307&gt;=Assumptions!$B$6,2,IF(H307&gt;=Assumptions!$B$7,3,""))))</f>
        <v>3</v>
      </c>
      <c r="O307" s="9" t="n">
        <f aca="false">IF(N307=1,Assumptions!$B$8,IF(N307=2,Assumptions!$B$9,IF(N307=3,Assumptions!$B$10,0)))</f>
        <v>1</v>
      </c>
      <c r="P307" s="6" t="s">
        <v>30</v>
      </c>
      <c r="Q307" s="6" t="s">
        <v>30</v>
      </c>
      <c r="R307" s="11" t="s">
        <v>30</v>
      </c>
      <c r="S307" s="6" t="s">
        <v>30</v>
      </c>
      <c r="T307" s="11" t="s">
        <v>30</v>
      </c>
      <c r="U307" s="6" t="s">
        <v>30</v>
      </c>
      <c r="V307" s="6" t="s">
        <v>30</v>
      </c>
      <c r="W307" s="6" t="s">
        <v>30</v>
      </c>
      <c r="X307" s="2" t="s">
        <v>30</v>
      </c>
      <c r="Y307" s="6" t="str">
        <f aca="false">IF(AND(X307="processed",ISNUMBER(S307)),S307*O307,"")</f>
        <v/>
      </c>
      <c r="Z307" s="6" t="n">
        <f aca="false">IF(ISNUMBER(K307),K307*O307,0)</f>
        <v>287</v>
      </c>
      <c r="AA307" s="2" t="s">
        <v>31</v>
      </c>
      <c r="AB307" s="6" t="n">
        <v>17168</v>
      </c>
      <c r="AC307" s="6" t="n">
        <v>16017</v>
      </c>
      <c r="AD307" s="6" t="n">
        <v>16696</v>
      </c>
      <c r="AE307" s="6" t="n">
        <v>2135.76513671875</v>
      </c>
      <c r="AF307" s="8" t="n">
        <v>520.594965675</v>
      </c>
      <c r="AG307" s="11" t="n">
        <v>-0.07218118758</v>
      </c>
      <c r="AH307" s="12" t="n">
        <v>0.999999999999998</v>
      </c>
      <c r="AI307" s="2" t="s">
        <v>317</v>
      </c>
      <c r="AJ307" s="2" t="s">
        <v>44</v>
      </c>
      <c r="AK307" s="2" t="s">
        <v>44</v>
      </c>
    </row>
    <row r="308" customFormat="false" ht="15" hidden="false" customHeight="false" outlineLevel="0" collapsed="false">
      <c r="A308" s="9" t="n">
        <v>307</v>
      </c>
      <c r="B308" s="2" t="s">
        <v>839</v>
      </c>
      <c r="C308" s="2" t="s">
        <v>70</v>
      </c>
      <c r="D308" s="2" t="s">
        <v>70</v>
      </c>
      <c r="E308" s="2" t="s">
        <v>71</v>
      </c>
      <c r="F308" s="2" t="s">
        <v>840</v>
      </c>
      <c r="G308" s="2" t="s">
        <v>329</v>
      </c>
      <c r="H308" s="8" t="n">
        <v>913.390751318537</v>
      </c>
      <c r="I308" s="2" t="s">
        <v>316</v>
      </c>
      <c r="J308" s="8" t="n">
        <v>2218994.73684211</v>
      </c>
      <c r="K308" s="6" t="n">
        <v>95</v>
      </c>
      <c r="L308" s="2"/>
      <c r="M308" s="10" t="b">
        <f aca="false">TRUE()</f>
        <v>1</v>
      </c>
      <c r="N308" s="9" t="n">
        <f aca="false">IF(H308="","",IF(H308&gt;=Assumptions!$B$5,1,IF(H308&gt;=Assumptions!$B$6,2,IF(H308&gt;=Assumptions!$B$7,3,""))))</f>
        <v>1</v>
      </c>
      <c r="O308" s="9" t="n">
        <f aca="false">IF(N308=1,Assumptions!$B$8,IF(N308=2,Assumptions!$B$9,IF(N308=3,Assumptions!$B$10,0)))</f>
        <v>3</v>
      </c>
      <c r="P308" s="6" t="s">
        <v>30</v>
      </c>
      <c r="Q308" s="6" t="s">
        <v>30</v>
      </c>
      <c r="R308" s="11" t="s">
        <v>30</v>
      </c>
      <c r="S308" s="6" t="s">
        <v>30</v>
      </c>
      <c r="T308" s="11" t="s">
        <v>30</v>
      </c>
      <c r="U308" s="6" t="s">
        <v>30</v>
      </c>
      <c r="V308" s="6" t="s">
        <v>30</v>
      </c>
      <c r="W308" s="6" t="s">
        <v>30</v>
      </c>
      <c r="X308" s="2" t="s">
        <v>30</v>
      </c>
      <c r="Y308" s="6" t="str">
        <f aca="false">IF(AND(X308="processed",ISNUMBER(S308)),S308*O308,"")</f>
        <v/>
      </c>
      <c r="Z308" s="6" t="n">
        <f aca="false">IF(ISNUMBER(K308),K308*O308,0)</f>
        <v>285</v>
      </c>
      <c r="AA308" s="2" t="s">
        <v>31</v>
      </c>
      <c r="AB308" s="6" t="n">
        <v>9026</v>
      </c>
      <c r="AC308" s="6" t="n">
        <v>6076</v>
      </c>
      <c r="AD308" s="6" t="n">
        <v>59</v>
      </c>
      <c r="AE308" s="6" t="n">
        <v>2216.46337890625</v>
      </c>
      <c r="AF308" s="8" t="n">
        <v>847.351665752</v>
      </c>
      <c r="AG308" s="11" t="n">
        <v>-0.1509521382</v>
      </c>
      <c r="AH308" s="12" t="n">
        <v>1</v>
      </c>
      <c r="AI308" s="2" t="s">
        <v>317</v>
      </c>
      <c r="AJ308" s="2" t="s">
        <v>70</v>
      </c>
      <c r="AK308" s="2" t="s">
        <v>70</v>
      </c>
    </row>
    <row r="309" customFormat="false" ht="15" hidden="false" customHeight="false" outlineLevel="0" collapsed="false">
      <c r="A309" s="9" t="n">
        <v>308</v>
      </c>
      <c r="B309" s="2" t="s">
        <v>841</v>
      </c>
      <c r="C309" s="2" t="s">
        <v>70</v>
      </c>
      <c r="D309" s="2" t="s">
        <v>70</v>
      </c>
      <c r="E309" s="2" t="s">
        <v>71</v>
      </c>
      <c r="F309" s="2" t="s">
        <v>842</v>
      </c>
      <c r="G309" s="2" t="s">
        <v>329</v>
      </c>
      <c r="H309" s="8" t="n">
        <v>1090.17236559151</v>
      </c>
      <c r="I309" s="2" t="s">
        <v>316</v>
      </c>
      <c r="J309" s="8" t="n">
        <v>2396315.78947368</v>
      </c>
      <c r="K309" s="6" t="n">
        <v>95</v>
      </c>
      <c r="L309" s="2"/>
      <c r="M309" s="10" t="b">
        <f aca="false">TRUE()</f>
        <v>1</v>
      </c>
      <c r="N309" s="9" t="n">
        <f aca="false">IF(H309="","",IF(H309&gt;=Assumptions!$B$5,1,IF(H309&gt;=Assumptions!$B$6,2,IF(H309&gt;=Assumptions!$B$7,3,""))))</f>
        <v>1</v>
      </c>
      <c r="O309" s="9" t="n">
        <f aca="false">IF(N309=1,Assumptions!$B$8,IF(N309=2,Assumptions!$B$9,IF(N309=3,Assumptions!$B$10,0)))</f>
        <v>3</v>
      </c>
      <c r="P309" s="6" t="s">
        <v>30</v>
      </c>
      <c r="Q309" s="6" t="s">
        <v>30</v>
      </c>
      <c r="R309" s="11" t="s">
        <v>30</v>
      </c>
      <c r="S309" s="6" t="s">
        <v>30</v>
      </c>
      <c r="T309" s="11" t="s">
        <v>30</v>
      </c>
      <c r="U309" s="6" t="s">
        <v>30</v>
      </c>
      <c r="V309" s="6" t="s">
        <v>30</v>
      </c>
      <c r="W309" s="6" t="s">
        <v>30</v>
      </c>
      <c r="X309" s="2" t="s">
        <v>30</v>
      </c>
      <c r="Y309" s="6" t="str">
        <f aca="false">IF(AND(X309="processed",ISNUMBER(S309)),S309*O309,"")</f>
        <v/>
      </c>
      <c r="Z309" s="6" t="n">
        <f aca="false">IF(ISNUMBER(K309),K309*O309,0)</f>
        <v>285</v>
      </c>
      <c r="AA309" s="2" t="s">
        <v>31</v>
      </c>
      <c r="AB309" s="6" t="n">
        <v>8094</v>
      </c>
      <c r="AC309" s="6" t="n">
        <v>5235</v>
      </c>
      <c r="AD309" s="6" t="n">
        <v>13</v>
      </c>
      <c r="AE309" s="6" t="n">
        <v>2078.42431640625</v>
      </c>
      <c r="AF309" s="8" t="n">
        <v>1188.473520249</v>
      </c>
      <c r="AG309" s="11" t="n">
        <v>0.1961011494</v>
      </c>
      <c r="AH309" s="12" t="n">
        <v>1</v>
      </c>
      <c r="AI309" s="2" t="s">
        <v>317</v>
      </c>
      <c r="AJ309" s="2" t="s">
        <v>70</v>
      </c>
      <c r="AK309" s="2" t="s">
        <v>70</v>
      </c>
    </row>
    <row r="310" customFormat="false" ht="15" hidden="false" customHeight="false" outlineLevel="0" collapsed="false">
      <c r="A310" s="9" t="n">
        <v>309</v>
      </c>
      <c r="B310" s="2" t="s">
        <v>843</v>
      </c>
      <c r="C310" s="2" t="s">
        <v>452</v>
      </c>
      <c r="D310" s="2" t="s">
        <v>70</v>
      </c>
      <c r="E310" s="2" t="s">
        <v>71</v>
      </c>
      <c r="F310" s="2" t="s">
        <v>844</v>
      </c>
      <c r="G310" s="2" t="s">
        <v>329</v>
      </c>
      <c r="H310" s="8" t="n">
        <v>841.991720705979</v>
      </c>
      <c r="I310" s="2" t="s">
        <v>316</v>
      </c>
      <c r="J310" s="8" t="n">
        <v>1457957.89473684</v>
      </c>
      <c r="K310" s="6" t="n">
        <v>95</v>
      </c>
      <c r="L310" s="2"/>
      <c r="M310" s="10" t="b">
        <f aca="false">TRUE()</f>
        <v>1</v>
      </c>
      <c r="N310" s="9" t="n">
        <f aca="false">IF(H310="","",IF(H310&gt;=Assumptions!$B$5,1,IF(H310&gt;=Assumptions!$B$6,2,IF(H310&gt;=Assumptions!$B$7,3,""))))</f>
        <v>1</v>
      </c>
      <c r="O310" s="9" t="n">
        <f aca="false">IF(N310=1,Assumptions!$B$8,IF(N310=2,Assumptions!$B$9,IF(N310=3,Assumptions!$B$10,0)))</f>
        <v>3</v>
      </c>
      <c r="P310" s="6" t="s">
        <v>30</v>
      </c>
      <c r="Q310" s="6" t="s">
        <v>30</v>
      </c>
      <c r="R310" s="11" t="s">
        <v>30</v>
      </c>
      <c r="S310" s="6" t="s">
        <v>30</v>
      </c>
      <c r="T310" s="11" t="s">
        <v>30</v>
      </c>
      <c r="U310" s="6" t="s">
        <v>30</v>
      </c>
      <c r="V310" s="6" t="s">
        <v>30</v>
      </c>
      <c r="W310" s="6" t="s">
        <v>30</v>
      </c>
      <c r="X310" s="2" t="s">
        <v>30</v>
      </c>
      <c r="Y310" s="6" t="str">
        <f aca="false">IF(AND(X310="processed",ISNUMBER(S310)),S310*O310,"")</f>
        <v/>
      </c>
      <c r="Z310" s="6" t="n">
        <f aca="false">IF(ISNUMBER(K310),K310*O310,0)</f>
        <v>285</v>
      </c>
      <c r="AA310" s="2" t="s">
        <v>31</v>
      </c>
      <c r="AB310" s="6" t="n">
        <v>8965</v>
      </c>
      <c r="AC310" s="6" t="n">
        <v>6509</v>
      </c>
      <c r="AD310" s="6" t="n">
        <v>80</v>
      </c>
      <c r="AE310" s="6" t="n">
        <v>2149.11303710938</v>
      </c>
      <c r="AF310" s="8" t="n">
        <v>882.300184899</v>
      </c>
      <c r="AG310" s="11" t="n">
        <v>-0.06855328238</v>
      </c>
      <c r="AH310" s="12" t="n">
        <v>1</v>
      </c>
      <c r="AI310" s="2" t="s">
        <v>317</v>
      </c>
      <c r="AJ310" s="2" t="s">
        <v>452</v>
      </c>
      <c r="AK310" s="2" t="s">
        <v>452</v>
      </c>
    </row>
    <row r="311" customFormat="false" ht="15" hidden="false" customHeight="false" outlineLevel="0" collapsed="false">
      <c r="A311" s="9" t="n">
        <v>310</v>
      </c>
      <c r="B311" s="2" t="s">
        <v>845</v>
      </c>
      <c r="C311" s="2" t="s">
        <v>516</v>
      </c>
      <c r="D311" s="2" t="s">
        <v>34</v>
      </c>
      <c r="E311" s="2" t="s">
        <v>35</v>
      </c>
      <c r="F311" s="2" t="s">
        <v>846</v>
      </c>
      <c r="G311" s="2" t="s">
        <v>318</v>
      </c>
      <c r="H311" s="8" t="n">
        <v>1011.68696070388</v>
      </c>
      <c r="I311" s="2" t="s">
        <v>316</v>
      </c>
      <c r="J311" s="8" t="n">
        <v>1306736.84210526</v>
      </c>
      <c r="K311" s="6" t="n">
        <v>95</v>
      </c>
      <c r="L311" s="2"/>
      <c r="M311" s="10" t="b">
        <f aca="false">TRUE()</f>
        <v>1</v>
      </c>
      <c r="N311" s="9" t="n">
        <f aca="false">IF(H311="","",IF(H311&gt;=Assumptions!$B$5,1,IF(H311&gt;=Assumptions!$B$6,2,IF(H311&gt;=Assumptions!$B$7,3,""))))</f>
        <v>1</v>
      </c>
      <c r="O311" s="9" t="n">
        <f aca="false">IF(N311=1,Assumptions!$B$8,IF(N311=2,Assumptions!$B$9,IF(N311=3,Assumptions!$B$10,0)))</f>
        <v>3</v>
      </c>
      <c r="P311" s="6" t="s">
        <v>30</v>
      </c>
      <c r="Q311" s="6" t="s">
        <v>30</v>
      </c>
      <c r="R311" s="11" t="s">
        <v>30</v>
      </c>
      <c r="S311" s="6" t="s">
        <v>30</v>
      </c>
      <c r="T311" s="11" t="s">
        <v>30</v>
      </c>
      <c r="U311" s="6" t="s">
        <v>30</v>
      </c>
      <c r="V311" s="6" t="s">
        <v>30</v>
      </c>
      <c r="W311" s="6" t="s">
        <v>30</v>
      </c>
      <c r="X311" s="2" t="s">
        <v>30</v>
      </c>
      <c r="Y311" s="6" t="str">
        <f aca="false">IF(AND(X311="processed",ISNUMBER(S311)),S311*O311,"")</f>
        <v/>
      </c>
      <c r="Z311" s="6" t="n">
        <f aca="false">IF(ISNUMBER(K311),K311*O311,0)</f>
        <v>285</v>
      </c>
      <c r="AA311" s="2" t="s">
        <v>31</v>
      </c>
      <c r="AB311" s="6" t="n">
        <v>7063</v>
      </c>
      <c r="AC311" s="6" t="n">
        <v>5191</v>
      </c>
      <c r="AD311" s="6" t="n">
        <v>35</v>
      </c>
      <c r="AE311" s="6" t="n">
        <v>1423.37316894531</v>
      </c>
      <c r="AF311" s="8" t="n">
        <v>1069.214030954</v>
      </c>
      <c r="AG311" s="11" t="n">
        <v>0.06011323563</v>
      </c>
      <c r="AH311" s="12" t="n">
        <v>0.999999999999999</v>
      </c>
      <c r="AI311" s="2" t="s">
        <v>319</v>
      </c>
      <c r="AJ311" s="2"/>
      <c r="AK311" s="2" t="s">
        <v>516</v>
      </c>
    </row>
    <row r="312" customFormat="false" ht="15" hidden="false" customHeight="false" outlineLevel="0" collapsed="false">
      <c r="A312" s="9" t="n">
        <v>311</v>
      </c>
      <c r="B312" s="2" t="s">
        <v>847</v>
      </c>
      <c r="C312" s="2" t="s">
        <v>217</v>
      </c>
      <c r="D312" s="2" t="s">
        <v>27</v>
      </c>
      <c r="E312" s="2" t="s">
        <v>28</v>
      </c>
      <c r="F312" s="2" t="s">
        <v>848</v>
      </c>
      <c r="G312" s="2" t="s">
        <v>315</v>
      </c>
      <c r="H312" s="8" t="n">
        <v>659.645529637085</v>
      </c>
      <c r="I312" s="2" t="s">
        <v>316</v>
      </c>
      <c r="J312" s="8" t="n">
        <v>954288.732394366</v>
      </c>
      <c r="K312" s="6" t="n">
        <v>142</v>
      </c>
      <c r="L312" s="2"/>
      <c r="M312" s="10" t="b">
        <f aca="false">TRUE()</f>
        <v>1</v>
      </c>
      <c r="N312" s="9" t="n">
        <f aca="false">IF(H312="","",IF(H312&gt;=Assumptions!$B$5,1,IF(H312&gt;=Assumptions!$B$6,2,IF(H312&gt;=Assumptions!$B$7,3,""))))</f>
        <v>2</v>
      </c>
      <c r="O312" s="9" t="n">
        <f aca="false">IF(N312=1,Assumptions!$B$8,IF(N312=2,Assumptions!$B$9,IF(N312=3,Assumptions!$B$10,0)))</f>
        <v>2</v>
      </c>
      <c r="P312" s="6" t="s">
        <v>30</v>
      </c>
      <c r="Q312" s="6" t="s">
        <v>30</v>
      </c>
      <c r="R312" s="11" t="s">
        <v>30</v>
      </c>
      <c r="S312" s="6" t="s">
        <v>30</v>
      </c>
      <c r="T312" s="11" t="s">
        <v>30</v>
      </c>
      <c r="U312" s="6" t="s">
        <v>30</v>
      </c>
      <c r="V312" s="6" t="s">
        <v>30</v>
      </c>
      <c r="W312" s="6" t="s">
        <v>30</v>
      </c>
      <c r="X312" s="2" t="s">
        <v>30</v>
      </c>
      <c r="Y312" s="6" t="str">
        <f aca="false">IF(AND(X312="processed",ISNUMBER(S312)),S312*O312,"")</f>
        <v/>
      </c>
      <c r="Z312" s="6" t="n">
        <f aca="false">IF(ISNUMBER(K312),K312*O312,0)</f>
        <v>284</v>
      </c>
      <c r="AA312" s="2" t="s">
        <v>31</v>
      </c>
      <c r="AB312" s="6" t="n">
        <v>15911</v>
      </c>
      <c r="AC312" s="6" t="n">
        <v>14363</v>
      </c>
      <c r="AD312" s="6" t="n">
        <v>326</v>
      </c>
      <c r="AE312" s="6" t="n">
        <v>2348.74682617188</v>
      </c>
      <c r="AF312" s="8" t="n">
        <v>673.398738383</v>
      </c>
      <c r="AG312" s="11" t="n">
        <v>-0.001916161626</v>
      </c>
      <c r="AH312" s="12" t="n">
        <v>1</v>
      </c>
      <c r="AI312" s="2" t="s">
        <v>328</v>
      </c>
      <c r="AJ312" s="2" t="s">
        <v>217</v>
      </c>
      <c r="AK312" s="2" t="s">
        <v>217</v>
      </c>
    </row>
    <row r="313" customFormat="false" ht="15" hidden="false" customHeight="false" outlineLevel="0" collapsed="false">
      <c r="A313" s="9" t="n">
        <v>312</v>
      </c>
      <c r="B313" s="2" t="s">
        <v>849</v>
      </c>
      <c r="C313" s="2" t="s">
        <v>38</v>
      </c>
      <c r="D313" s="2" t="s">
        <v>39</v>
      </c>
      <c r="E313" s="2" t="s">
        <v>40</v>
      </c>
      <c r="F313" s="2" t="s">
        <v>850</v>
      </c>
      <c r="G313" s="2" t="s">
        <v>320</v>
      </c>
      <c r="H313" s="8" t="n">
        <v>761.553707460936</v>
      </c>
      <c r="I313" s="2" t="s">
        <v>316</v>
      </c>
      <c r="J313" s="8" t="n">
        <v>1005111.70212766</v>
      </c>
      <c r="K313" s="6" t="n">
        <v>94</v>
      </c>
      <c r="L313" s="2"/>
      <c r="M313" s="10" t="b">
        <f aca="false">TRUE()</f>
        <v>1</v>
      </c>
      <c r="N313" s="9" t="n">
        <f aca="false">IF(H313="","",IF(H313&gt;=Assumptions!$B$5,1,IF(H313&gt;=Assumptions!$B$6,2,IF(H313&gt;=Assumptions!$B$7,3,""))))</f>
        <v>1</v>
      </c>
      <c r="O313" s="9" t="n">
        <f aca="false">IF(N313=1,Assumptions!$B$8,IF(N313=2,Assumptions!$B$9,IF(N313=3,Assumptions!$B$10,0)))</f>
        <v>3</v>
      </c>
      <c r="P313" s="6" t="s">
        <v>30</v>
      </c>
      <c r="Q313" s="6" t="s">
        <v>30</v>
      </c>
      <c r="R313" s="11" t="s">
        <v>30</v>
      </c>
      <c r="S313" s="6" t="s">
        <v>30</v>
      </c>
      <c r="T313" s="11" t="s">
        <v>30</v>
      </c>
      <c r="U313" s="6" t="s">
        <v>30</v>
      </c>
      <c r="V313" s="6" t="s">
        <v>30</v>
      </c>
      <c r="W313" s="6" t="s">
        <v>30</v>
      </c>
      <c r="X313" s="2" t="s">
        <v>30</v>
      </c>
      <c r="Y313" s="6" t="str">
        <f aca="false">IF(AND(X313="processed",ISNUMBER(S313)),S313*O313,"")</f>
        <v/>
      </c>
      <c r="Z313" s="6" t="n">
        <f aca="false">IF(ISNUMBER(K313),K313*O313,0)</f>
        <v>282</v>
      </c>
      <c r="AA313" s="2" t="s">
        <v>31</v>
      </c>
      <c r="AB313" s="6" t="n">
        <v>11184</v>
      </c>
      <c r="AC313" s="6" t="n">
        <v>8422</v>
      </c>
      <c r="AD313" s="6" t="n">
        <v>325</v>
      </c>
      <c r="AE313" s="6" t="n">
        <v>1814.15307617188</v>
      </c>
      <c r="AF313" s="8" t="n">
        <v>822.172645106</v>
      </c>
      <c r="AG313" s="11" t="n">
        <v>-0.04057182837</v>
      </c>
      <c r="AH313" s="12" t="n">
        <v>0.999999999999999</v>
      </c>
      <c r="AI313" s="2" t="s">
        <v>317</v>
      </c>
      <c r="AJ313" s="2" t="s">
        <v>38</v>
      </c>
      <c r="AK313" s="2" t="s">
        <v>38</v>
      </c>
    </row>
    <row r="314" customFormat="false" ht="15" hidden="false" customHeight="false" outlineLevel="0" collapsed="false">
      <c r="A314" s="9" t="n">
        <v>313</v>
      </c>
      <c r="B314" s="2" t="s">
        <v>851</v>
      </c>
      <c r="C314" s="2" t="s">
        <v>44</v>
      </c>
      <c r="D314" s="2" t="s">
        <v>44</v>
      </c>
      <c r="E314" s="2" t="s">
        <v>44</v>
      </c>
      <c r="F314" s="2" t="s">
        <v>852</v>
      </c>
      <c r="G314" s="2" t="s">
        <v>322</v>
      </c>
      <c r="H314" s="8" t="n">
        <v>649.588864100293</v>
      </c>
      <c r="I314" s="2" t="s">
        <v>316</v>
      </c>
      <c r="J314" s="8" t="n">
        <v>717042.857142857</v>
      </c>
      <c r="K314" s="6" t="n">
        <v>140</v>
      </c>
      <c r="L314" s="2"/>
      <c r="M314" s="10" t="b">
        <f aca="false">TRUE()</f>
        <v>1</v>
      </c>
      <c r="N314" s="9" t="n">
        <f aca="false">IF(H314="","",IF(H314&gt;=Assumptions!$B$5,1,IF(H314&gt;=Assumptions!$B$6,2,IF(H314&gt;=Assumptions!$B$7,3,""))))</f>
        <v>2</v>
      </c>
      <c r="O314" s="9" t="n">
        <f aca="false">IF(N314=1,Assumptions!$B$8,IF(N314=2,Assumptions!$B$9,IF(N314=3,Assumptions!$B$10,0)))</f>
        <v>2</v>
      </c>
      <c r="P314" s="6" t="s">
        <v>30</v>
      </c>
      <c r="Q314" s="6" t="s">
        <v>30</v>
      </c>
      <c r="R314" s="11" t="s">
        <v>30</v>
      </c>
      <c r="S314" s="6" t="s">
        <v>30</v>
      </c>
      <c r="T314" s="11" t="s">
        <v>30</v>
      </c>
      <c r="U314" s="6" t="s">
        <v>30</v>
      </c>
      <c r="V314" s="6" t="s">
        <v>30</v>
      </c>
      <c r="W314" s="6" t="s">
        <v>30</v>
      </c>
      <c r="X314" s="2" t="s">
        <v>30</v>
      </c>
      <c r="Y314" s="6" t="str">
        <f aca="false">IF(AND(X314="processed",ISNUMBER(S314)),S314*O314,"")</f>
        <v/>
      </c>
      <c r="Z314" s="6" t="n">
        <f aca="false">IF(ISNUMBER(K314),K314*O314,0)</f>
        <v>280</v>
      </c>
      <c r="AA314" s="2" t="s">
        <v>31</v>
      </c>
      <c r="AB314" s="6" t="n">
        <v>13377</v>
      </c>
      <c r="AC314" s="6" t="n">
        <v>11519</v>
      </c>
      <c r="AD314" s="6" t="n">
        <v>8038</v>
      </c>
      <c r="AE314" s="6" t="n">
        <v>1720.50048828125</v>
      </c>
      <c r="AF314" s="8" t="n">
        <v>663.636363636</v>
      </c>
      <c r="AG314" s="11" t="n">
        <v>0.04832049307</v>
      </c>
      <c r="AH314" s="12" t="n">
        <v>0.999999999999999</v>
      </c>
      <c r="AI314" s="2" t="s">
        <v>317</v>
      </c>
      <c r="AJ314" s="2" t="s">
        <v>44</v>
      </c>
      <c r="AK314" s="2" t="s">
        <v>44</v>
      </c>
    </row>
    <row r="315" customFormat="false" ht="15" hidden="false" customHeight="false" outlineLevel="0" collapsed="false">
      <c r="A315" s="9" t="n">
        <v>314</v>
      </c>
      <c r="B315" s="2" t="s">
        <v>853</v>
      </c>
      <c r="C315" s="2" t="s">
        <v>423</v>
      </c>
      <c r="D315" s="2" t="s">
        <v>423</v>
      </c>
      <c r="E315" s="2" t="s">
        <v>51</v>
      </c>
      <c r="F315" s="2" t="s">
        <v>854</v>
      </c>
      <c r="G315" s="2" t="s">
        <v>425</v>
      </c>
      <c r="H315" s="8" t="n">
        <v>1552.44615052725</v>
      </c>
      <c r="I315" s="2" t="s">
        <v>316</v>
      </c>
      <c r="J315" s="8" t="n">
        <v>2746129.03225806</v>
      </c>
      <c r="K315" s="6" t="n">
        <v>93</v>
      </c>
      <c r="L315" s="2"/>
      <c r="M315" s="10" t="b">
        <f aca="false">TRUE()</f>
        <v>1</v>
      </c>
      <c r="N315" s="9" t="n">
        <f aca="false">IF(H315="","",IF(H315&gt;=Assumptions!$B$5,1,IF(H315&gt;=Assumptions!$B$6,2,IF(H315&gt;=Assumptions!$B$7,3,""))))</f>
        <v>1</v>
      </c>
      <c r="O315" s="9" t="n">
        <f aca="false">IF(N315=1,Assumptions!$B$8,IF(N315=2,Assumptions!$B$9,IF(N315=3,Assumptions!$B$10,0)))</f>
        <v>3</v>
      </c>
      <c r="P315" s="6" t="s">
        <v>30</v>
      </c>
      <c r="Q315" s="6" t="s">
        <v>30</v>
      </c>
      <c r="R315" s="11" t="s">
        <v>30</v>
      </c>
      <c r="S315" s="6" t="s">
        <v>30</v>
      </c>
      <c r="T315" s="11" t="s">
        <v>30</v>
      </c>
      <c r="U315" s="6" t="s">
        <v>30</v>
      </c>
      <c r="V315" s="6" t="s">
        <v>30</v>
      </c>
      <c r="W315" s="6" t="s">
        <v>30</v>
      </c>
      <c r="X315" s="2" t="s">
        <v>30</v>
      </c>
      <c r="Y315" s="6" t="str">
        <f aca="false">IF(AND(X315="processed",ISNUMBER(S315)),S315*O315,"")</f>
        <v/>
      </c>
      <c r="Z315" s="6" t="n">
        <f aca="false">IF(ISNUMBER(K315),K315*O315,0)</f>
        <v>279</v>
      </c>
      <c r="AA315" s="2" t="s">
        <v>31</v>
      </c>
      <c r="AB315" s="6" t="n">
        <v>4095</v>
      </c>
      <c r="AC315" s="6" t="n">
        <v>3774</v>
      </c>
      <c r="AD315" s="6" t="n">
        <v>118</v>
      </c>
      <c r="AE315" s="6" t="n">
        <v>2576.7275390625</v>
      </c>
      <c r="AF315" s="8" t="n">
        <v>1608.129265355</v>
      </c>
      <c r="AG315" s="11" t="n">
        <v>-0.02970351668</v>
      </c>
      <c r="AH315" s="12" t="n">
        <v>0.782308916066268</v>
      </c>
      <c r="AI315" s="2" t="s">
        <v>317</v>
      </c>
      <c r="AJ315" s="2" t="s">
        <v>423</v>
      </c>
      <c r="AK315" s="2" t="s">
        <v>423</v>
      </c>
    </row>
    <row r="316" customFormat="false" ht="15" hidden="false" customHeight="false" outlineLevel="0" collapsed="false">
      <c r="A316" s="9" t="n">
        <v>315</v>
      </c>
      <c r="B316" s="2" t="s">
        <v>855</v>
      </c>
      <c r="C316" s="2" t="s">
        <v>856</v>
      </c>
      <c r="D316" s="2" t="s">
        <v>70</v>
      </c>
      <c r="E316" s="2" t="s">
        <v>71</v>
      </c>
      <c r="F316" s="2" t="s">
        <v>857</v>
      </c>
      <c r="G316" s="2" t="s">
        <v>329</v>
      </c>
      <c r="H316" s="8" t="n">
        <v>686.674944891209</v>
      </c>
      <c r="I316" s="2" t="s">
        <v>316</v>
      </c>
      <c r="J316" s="8" t="n">
        <v>885431.654676259</v>
      </c>
      <c r="K316" s="6" t="n">
        <v>139</v>
      </c>
      <c r="L316" s="2"/>
      <c r="M316" s="10" t="b">
        <f aca="false">TRUE()</f>
        <v>1</v>
      </c>
      <c r="N316" s="9" t="n">
        <f aca="false">IF(H316="","",IF(H316&gt;=Assumptions!$B$5,1,IF(H316&gt;=Assumptions!$B$6,2,IF(H316&gt;=Assumptions!$B$7,3,""))))</f>
        <v>2</v>
      </c>
      <c r="O316" s="9" t="n">
        <f aca="false">IF(N316=1,Assumptions!$B$8,IF(N316=2,Assumptions!$B$9,IF(N316=3,Assumptions!$B$10,0)))</f>
        <v>2</v>
      </c>
      <c r="P316" s="6" t="s">
        <v>30</v>
      </c>
      <c r="Q316" s="6" t="s">
        <v>30</v>
      </c>
      <c r="R316" s="11" t="s">
        <v>30</v>
      </c>
      <c r="S316" s="6" t="s">
        <v>30</v>
      </c>
      <c r="T316" s="11" t="s">
        <v>30</v>
      </c>
      <c r="U316" s="6" t="s">
        <v>30</v>
      </c>
      <c r="V316" s="6" t="s">
        <v>30</v>
      </c>
      <c r="W316" s="6" t="s">
        <v>30</v>
      </c>
      <c r="X316" s="2" t="s">
        <v>30</v>
      </c>
      <c r="Y316" s="6" t="str">
        <f aca="false">IF(AND(X316="processed",ISNUMBER(S316)),S316*O316,"")</f>
        <v/>
      </c>
      <c r="Z316" s="6" t="n">
        <f aca="false">IF(ISNUMBER(K316),K316*O316,0)</f>
        <v>278</v>
      </c>
      <c r="AA316" s="2" t="s">
        <v>31</v>
      </c>
      <c r="AB316" s="6" t="n">
        <v>11899</v>
      </c>
      <c r="AC316" s="6" t="n">
        <v>8291</v>
      </c>
      <c r="AD316" s="6" t="n">
        <v>201</v>
      </c>
      <c r="AE316" s="6" t="n">
        <v>1889.60205078125</v>
      </c>
      <c r="AF316" s="8" t="n">
        <v>633.837152608</v>
      </c>
      <c r="AG316" s="11" t="n">
        <v>-0.0339021441</v>
      </c>
      <c r="AH316" s="12" t="n">
        <v>0.999999999999998</v>
      </c>
      <c r="AI316" s="2" t="s">
        <v>317</v>
      </c>
      <c r="AJ316" s="2" t="s">
        <v>856</v>
      </c>
      <c r="AK316" s="2" t="s">
        <v>70</v>
      </c>
    </row>
    <row r="317" customFormat="false" ht="15" hidden="false" customHeight="false" outlineLevel="0" collapsed="false">
      <c r="A317" s="9" t="n">
        <v>316</v>
      </c>
      <c r="B317" s="2" t="s">
        <v>858</v>
      </c>
      <c r="C317" s="2" t="s">
        <v>349</v>
      </c>
      <c r="D317" s="2" t="s">
        <v>273</v>
      </c>
      <c r="E317" s="2" t="s">
        <v>273</v>
      </c>
      <c r="F317" s="2" t="s">
        <v>859</v>
      </c>
      <c r="G317" s="2" t="s">
        <v>348</v>
      </c>
      <c r="H317" s="8" t="n">
        <v>576.489022566</v>
      </c>
      <c r="I317" s="2" t="s">
        <v>316</v>
      </c>
      <c r="J317" s="8" t="n">
        <v>1378935.25179856</v>
      </c>
      <c r="K317" s="6" t="n">
        <v>278</v>
      </c>
      <c r="L317" s="2"/>
      <c r="M317" s="10" t="b">
        <f aca="false">TRUE()</f>
        <v>1</v>
      </c>
      <c r="N317" s="9" t="n">
        <f aca="false">IF(H317="","",IF(H317&gt;=Assumptions!$B$5,1,IF(H317&gt;=Assumptions!$B$6,2,IF(H317&gt;=Assumptions!$B$7,3,""))))</f>
        <v>3</v>
      </c>
      <c r="O317" s="9" t="n">
        <f aca="false">IF(N317=1,Assumptions!$B$8,IF(N317=2,Assumptions!$B$9,IF(N317=3,Assumptions!$B$10,0)))</f>
        <v>1</v>
      </c>
      <c r="P317" s="6" t="s">
        <v>30</v>
      </c>
      <c r="Q317" s="6" t="s">
        <v>30</v>
      </c>
      <c r="R317" s="11" t="s">
        <v>30</v>
      </c>
      <c r="S317" s="6" t="s">
        <v>30</v>
      </c>
      <c r="T317" s="11" t="s">
        <v>30</v>
      </c>
      <c r="U317" s="6" t="s">
        <v>30</v>
      </c>
      <c r="V317" s="6" t="s">
        <v>30</v>
      </c>
      <c r="W317" s="6" t="s">
        <v>30</v>
      </c>
      <c r="X317" s="2" t="s">
        <v>30</v>
      </c>
      <c r="Y317" s="6" t="str">
        <f aca="false">IF(AND(X317="processed",ISNUMBER(S317)),S317*O317,"")</f>
        <v/>
      </c>
      <c r="Z317" s="6" t="n">
        <f aca="false">IF(ISNUMBER(K317),K317*O317,0)</f>
        <v>278</v>
      </c>
      <c r="AA317" s="2" t="s">
        <v>31</v>
      </c>
      <c r="AB317" s="6" t="n">
        <v>10940</v>
      </c>
      <c r="AC317" s="6" t="n">
        <v>9490</v>
      </c>
      <c r="AD317" s="6" t="n">
        <v>5232</v>
      </c>
      <c r="AE317" s="6" t="n">
        <v>2700.4599609375</v>
      </c>
      <c r="AF317" s="8" t="n">
        <v>586.838371218</v>
      </c>
      <c r="AG317" s="11" t="n">
        <v>-0.04671366809</v>
      </c>
      <c r="AH317" s="12" t="n">
        <v>0.947216856739368</v>
      </c>
      <c r="AI317" s="2" t="s">
        <v>342</v>
      </c>
      <c r="AJ317" s="2" t="s">
        <v>349</v>
      </c>
      <c r="AK317" s="2" t="s">
        <v>349</v>
      </c>
    </row>
    <row r="318" customFormat="false" ht="15" hidden="false" customHeight="false" outlineLevel="0" collapsed="false">
      <c r="A318" s="9" t="n">
        <v>317</v>
      </c>
      <c r="B318" s="2" t="s">
        <v>860</v>
      </c>
      <c r="C318" s="2" t="s">
        <v>723</v>
      </c>
      <c r="D318" s="2" t="s">
        <v>44</v>
      </c>
      <c r="E318" s="2" t="s">
        <v>44</v>
      </c>
      <c r="F318" s="2" t="s">
        <v>861</v>
      </c>
      <c r="G318" s="2" t="s">
        <v>322</v>
      </c>
      <c r="H318" s="8" t="n">
        <v>561.337267763736</v>
      </c>
      <c r="I318" s="2" t="s">
        <v>316</v>
      </c>
      <c r="J318" s="8" t="n">
        <v>1094648.55072464</v>
      </c>
      <c r="K318" s="6" t="n">
        <v>276</v>
      </c>
      <c r="L318" s="2"/>
      <c r="M318" s="10" t="b">
        <f aca="false">TRUE()</f>
        <v>1</v>
      </c>
      <c r="N318" s="9" t="n">
        <f aca="false">IF(H318="","",IF(H318&gt;=Assumptions!$B$5,1,IF(H318&gt;=Assumptions!$B$6,2,IF(H318&gt;=Assumptions!$B$7,3,""))))</f>
        <v>3</v>
      </c>
      <c r="O318" s="9" t="n">
        <f aca="false">IF(N318=1,Assumptions!$B$8,IF(N318=2,Assumptions!$B$9,IF(N318=3,Assumptions!$B$10,0)))</f>
        <v>1</v>
      </c>
      <c r="P318" s="6" t="s">
        <v>30</v>
      </c>
      <c r="Q318" s="6" t="s">
        <v>30</v>
      </c>
      <c r="R318" s="11" t="s">
        <v>30</v>
      </c>
      <c r="S318" s="6" t="s">
        <v>30</v>
      </c>
      <c r="T318" s="11" t="s">
        <v>30</v>
      </c>
      <c r="U318" s="6" t="s">
        <v>30</v>
      </c>
      <c r="V318" s="6" t="s">
        <v>30</v>
      </c>
      <c r="W318" s="6" t="s">
        <v>30</v>
      </c>
      <c r="X318" s="2" t="s">
        <v>30</v>
      </c>
      <c r="Y318" s="6" t="str">
        <f aca="false">IF(AND(X318="processed",ISNUMBER(S318)),S318*O318,"")</f>
        <v/>
      </c>
      <c r="Z318" s="6" t="n">
        <f aca="false">IF(ISNUMBER(K318),K318*O318,0)</f>
        <v>276</v>
      </c>
      <c r="AA318" s="2" t="s">
        <v>31</v>
      </c>
      <c r="AB318" s="6" t="n">
        <v>11033</v>
      </c>
      <c r="AC318" s="6" t="n">
        <v>9618</v>
      </c>
      <c r="AD318" s="6" t="n">
        <v>9569</v>
      </c>
      <c r="AE318" s="6" t="n">
        <v>2438.34521484375</v>
      </c>
      <c r="AF318" s="8" t="n">
        <v>567.767231555</v>
      </c>
      <c r="AG318" s="11" t="n">
        <v>0.01585409657</v>
      </c>
      <c r="AH318" s="12" t="n">
        <v>1</v>
      </c>
      <c r="AI318" s="2" t="s">
        <v>317</v>
      </c>
      <c r="AJ318" s="2" t="s">
        <v>723</v>
      </c>
      <c r="AK318" s="2" t="s">
        <v>723</v>
      </c>
    </row>
    <row r="319" customFormat="false" ht="15" hidden="false" customHeight="false" outlineLevel="0" collapsed="false">
      <c r="A319" s="9" t="n">
        <v>318</v>
      </c>
      <c r="B319" s="2" t="s">
        <v>862</v>
      </c>
      <c r="C319" s="2" t="s">
        <v>672</v>
      </c>
      <c r="D319" s="2" t="s">
        <v>423</v>
      </c>
      <c r="E319" s="2" t="s">
        <v>51</v>
      </c>
      <c r="F319" s="2" t="s">
        <v>863</v>
      </c>
      <c r="G319" s="2" t="s">
        <v>425</v>
      </c>
      <c r="H319" s="8" t="n">
        <v>1130.98383070021</v>
      </c>
      <c r="I319" s="2" t="s">
        <v>316</v>
      </c>
      <c r="J319" s="8" t="n">
        <v>2405586.95652174</v>
      </c>
      <c r="K319" s="6" t="n">
        <v>92</v>
      </c>
      <c r="L319" s="2"/>
      <c r="M319" s="10" t="b">
        <f aca="false">TRUE()</f>
        <v>1</v>
      </c>
      <c r="N319" s="9" t="n">
        <f aca="false">IF(H319="","",IF(H319&gt;=Assumptions!$B$5,1,IF(H319&gt;=Assumptions!$B$6,2,IF(H319&gt;=Assumptions!$B$7,3,""))))</f>
        <v>1</v>
      </c>
      <c r="O319" s="9" t="n">
        <f aca="false">IF(N319=1,Assumptions!$B$8,IF(N319=2,Assumptions!$B$9,IF(N319=3,Assumptions!$B$10,0)))</f>
        <v>3</v>
      </c>
      <c r="P319" s="6" t="s">
        <v>30</v>
      </c>
      <c r="Q319" s="6" t="s">
        <v>30</v>
      </c>
      <c r="R319" s="11" t="s">
        <v>30</v>
      </c>
      <c r="S319" s="6" t="s">
        <v>30</v>
      </c>
      <c r="T319" s="11" t="s">
        <v>30</v>
      </c>
      <c r="U319" s="6" t="s">
        <v>30</v>
      </c>
      <c r="V319" s="6" t="s">
        <v>30</v>
      </c>
      <c r="W319" s="6" t="s">
        <v>30</v>
      </c>
      <c r="X319" s="2" t="s">
        <v>30</v>
      </c>
      <c r="Y319" s="6" t="str">
        <f aca="false">IF(AND(X319="processed",ISNUMBER(S319)),S319*O319,"")</f>
        <v/>
      </c>
      <c r="Z319" s="6" t="n">
        <f aca="false">IF(ISNUMBER(K319),K319*O319,0)</f>
        <v>276</v>
      </c>
      <c r="AA319" s="2" t="s">
        <v>31</v>
      </c>
      <c r="AB319" s="6" t="n">
        <v>6231</v>
      </c>
      <c r="AC319" s="6" t="n">
        <v>5305</v>
      </c>
      <c r="AD319" s="6" t="n">
        <v>175</v>
      </c>
      <c r="AE319" s="6" t="n">
        <v>2448.89038085938</v>
      </c>
      <c r="AF319" s="8" t="n">
        <v>1126.599634369</v>
      </c>
      <c r="AG319" s="11" t="n">
        <v>-0.08348004334</v>
      </c>
      <c r="AH319" s="12" t="n">
        <v>0.981447329884143</v>
      </c>
      <c r="AI319" s="2" t="s">
        <v>345</v>
      </c>
      <c r="AJ319" s="2" t="s">
        <v>864</v>
      </c>
      <c r="AK319" s="2" t="s">
        <v>423</v>
      </c>
    </row>
    <row r="320" customFormat="false" ht="15" hidden="false" customHeight="false" outlineLevel="0" collapsed="false">
      <c r="A320" s="9" t="n">
        <v>319</v>
      </c>
      <c r="B320" s="2" t="s">
        <v>865</v>
      </c>
      <c r="C320" s="2" t="s">
        <v>866</v>
      </c>
      <c r="D320" s="2" t="s">
        <v>70</v>
      </c>
      <c r="E320" s="2" t="s">
        <v>71</v>
      </c>
      <c r="F320" s="2"/>
      <c r="G320" s="2" t="s">
        <v>329</v>
      </c>
      <c r="H320" s="8" t="n">
        <v>616.257436790518</v>
      </c>
      <c r="I320" s="2" t="s">
        <v>316</v>
      </c>
      <c r="J320" s="8" t="n">
        <v>815467.153284672</v>
      </c>
      <c r="K320" s="6" t="n">
        <v>137</v>
      </c>
      <c r="L320" s="2"/>
      <c r="M320" s="10" t="b">
        <f aca="false">TRUE()</f>
        <v>1</v>
      </c>
      <c r="N320" s="9" t="n">
        <f aca="false">IF(H320="","",IF(H320&gt;=Assumptions!$B$5,1,IF(H320&gt;=Assumptions!$B$6,2,IF(H320&gt;=Assumptions!$B$7,3,""))))</f>
        <v>2</v>
      </c>
      <c r="O320" s="9" t="n">
        <f aca="false">IF(N320=1,Assumptions!$B$8,IF(N320=2,Assumptions!$B$9,IF(N320=3,Assumptions!$B$10,0)))</f>
        <v>2</v>
      </c>
      <c r="P320" s="6" t="s">
        <v>30</v>
      </c>
      <c r="Q320" s="6" t="s">
        <v>30</v>
      </c>
      <c r="R320" s="11" t="s">
        <v>30</v>
      </c>
      <c r="S320" s="6" t="s">
        <v>30</v>
      </c>
      <c r="T320" s="11" t="s">
        <v>30</v>
      </c>
      <c r="U320" s="6" t="s">
        <v>30</v>
      </c>
      <c r="V320" s="6" t="s">
        <v>30</v>
      </c>
      <c r="W320" s="6" t="s">
        <v>30</v>
      </c>
      <c r="X320" s="2" t="s">
        <v>30</v>
      </c>
      <c r="Y320" s="6" t="str">
        <f aca="false">IF(AND(X320="processed",ISNUMBER(S320)),S320*O320,"")</f>
        <v/>
      </c>
      <c r="Z320" s="6" t="n">
        <f aca="false">IF(ISNUMBER(K320),K320*O320,0)</f>
        <v>274</v>
      </c>
      <c r="AA320" s="2" t="s">
        <v>31</v>
      </c>
      <c r="AB320" s="6" t="n">
        <v>22393</v>
      </c>
      <c r="AC320" s="6" t="n">
        <v>17394</v>
      </c>
      <c r="AD320" s="6" t="n">
        <v>259</v>
      </c>
      <c r="AE320" s="6" t="n">
        <v>1731.63940429688</v>
      </c>
      <c r="AF320" s="8" t="n">
        <v>605.116095144</v>
      </c>
      <c r="AG320" s="11" t="n">
        <v>-0.01189903451</v>
      </c>
      <c r="AH320" s="12" t="n">
        <v>1</v>
      </c>
      <c r="AI320" s="2" t="s">
        <v>317</v>
      </c>
      <c r="AJ320" s="2" t="s">
        <v>866</v>
      </c>
      <c r="AK320" s="2" t="s">
        <v>866</v>
      </c>
    </row>
    <row r="321" customFormat="false" ht="15" hidden="false" customHeight="false" outlineLevel="0" collapsed="false">
      <c r="A321" s="9" t="n">
        <v>320</v>
      </c>
      <c r="B321" s="2" t="s">
        <v>867</v>
      </c>
      <c r="C321" s="2" t="s">
        <v>868</v>
      </c>
      <c r="D321" s="2" t="s">
        <v>70</v>
      </c>
      <c r="E321" s="2" t="s">
        <v>71</v>
      </c>
      <c r="F321" s="2" t="s">
        <v>869</v>
      </c>
      <c r="G321" s="2" t="s">
        <v>329</v>
      </c>
      <c r="H321" s="8" t="n">
        <v>541.177984023996</v>
      </c>
      <c r="I321" s="2" t="s">
        <v>316</v>
      </c>
      <c r="J321" s="8" t="n">
        <v>1357901.45985402</v>
      </c>
      <c r="K321" s="6" t="n">
        <v>274</v>
      </c>
      <c r="L321" s="2"/>
      <c r="M321" s="10" t="b">
        <f aca="false">TRUE()</f>
        <v>1</v>
      </c>
      <c r="N321" s="9" t="n">
        <f aca="false">IF(H321="","",IF(H321&gt;=Assumptions!$B$5,1,IF(H321&gt;=Assumptions!$B$6,2,IF(H321&gt;=Assumptions!$B$7,3,""))))</f>
        <v>3</v>
      </c>
      <c r="O321" s="9" t="n">
        <f aca="false">IF(N321=1,Assumptions!$B$8,IF(N321=2,Assumptions!$B$9,IF(N321=3,Assumptions!$B$10,0)))</f>
        <v>1</v>
      </c>
      <c r="P321" s="6" t="s">
        <v>30</v>
      </c>
      <c r="Q321" s="6" t="s">
        <v>30</v>
      </c>
      <c r="R321" s="11" t="s">
        <v>30</v>
      </c>
      <c r="S321" s="6" t="s">
        <v>30</v>
      </c>
      <c r="T321" s="11" t="s">
        <v>30</v>
      </c>
      <c r="U321" s="6" t="s">
        <v>30</v>
      </c>
      <c r="V321" s="6" t="s">
        <v>30</v>
      </c>
      <c r="W321" s="6" t="s">
        <v>30</v>
      </c>
      <c r="X321" s="2" t="s">
        <v>30</v>
      </c>
      <c r="Y321" s="6" t="str">
        <f aca="false">IF(AND(X321="processed",ISNUMBER(S321)),S321*O321,"")</f>
        <v/>
      </c>
      <c r="Z321" s="6" t="n">
        <f aca="false">IF(ISNUMBER(K321),K321*O321,0)</f>
        <v>274</v>
      </c>
      <c r="AA321" s="2" t="s">
        <v>31</v>
      </c>
      <c r="AB321" s="6" t="n">
        <v>13166</v>
      </c>
      <c r="AC321" s="6" t="n">
        <v>11796</v>
      </c>
      <c r="AD321" s="6" t="n">
        <v>1317</v>
      </c>
      <c r="AE321" s="6" t="n">
        <v>2801.54663085938</v>
      </c>
      <c r="AF321" s="8" t="n">
        <v>541.237113402</v>
      </c>
      <c r="AG321" s="11" t="n">
        <v>-0.04748774703</v>
      </c>
      <c r="AH321" s="12" t="n">
        <v>1</v>
      </c>
      <c r="AI321" s="2" t="s">
        <v>317</v>
      </c>
      <c r="AJ321" s="2" t="s">
        <v>868</v>
      </c>
      <c r="AK321" s="2" t="s">
        <v>70</v>
      </c>
    </row>
    <row r="322" customFormat="false" ht="15" hidden="false" customHeight="false" outlineLevel="0" collapsed="false">
      <c r="A322" s="9" t="n">
        <v>321</v>
      </c>
      <c r="B322" s="2" t="s">
        <v>870</v>
      </c>
      <c r="C322" s="2" t="s">
        <v>349</v>
      </c>
      <c r="D322" s="2" t="s">
        <v>273</v>
      </c>
      <c r="E322" s="2" t="s">
        <v>273</v>
      </c>
      <c r="F322" s="2" t="s">
        <v>871</v>
      </c>
      <c r="G322" s="2" t="s">
        <v>348</v>
      </c>
      <c r="H322" s="8" t="n">
        <v>556.231881111945</v>
      </c>
      <c r="I322" s="2" t="s">
        <v>316</v>
      </c>
      <c r="J322" s="8" t="n">
        <v>1081578.75457876</v>
      </c>
      <c r="K322" s="6" t="n">
        <v>273</v>
      </c>
      <c r="L322" s="2"/>
      <c r="M322" s="10" t="b">
        <f aca="false">TRUE()</f>
        <v>1</v>
      </c>
      <c r="N322" s="9" t="n">
        <f aca="false">IF(H322="","",IF(H322&gt;=Assumptions!$B$5,1,IF(H322&gt;=Assumptions!$B$6,2,IF(H322&gt;=Assumptions!$B$7,3,""))))</f>
        <v>3</v>
      </c>
      <c r="O322" s="9" t="n">
        <f aca="false">IF(N322=1,Assumptions!$B$8,IF(N322=2,Assumptions!$B$9,IF(N322=3,Assumptions!$B$10,0)))</f>
        <v>1</v>
      </c>
      <c r="P322" s="6" t="s">
        <v>30</v>
      </c>
      <c r="Q322" s="6" t="s">
        <v>30</v>
      </c>
      <c r="R322" s="11" t="s">
        <v>30</v>
      </c>
      <c r="S322" s="6" t="s">
        <v>30</v>
      </c>
      <c r="T322" s="11" t="s">
        <v>30</v>
      </c>
      <c r="U322" s="6" t="s">
        <v>30</v>
      </c>
      <c r="V322" s="6" t="s">
        <v>30</v>
      </c>
      <c r="W322" s="6" t="s">
        <v>30</v>
      </c>
      <c r="X322" s="2" t="s">
        <v>30</v>
      </c>
      <c r="Y322" s="6" t="str">
        <f aca="false">IF(AND(X322="processed",ISNUMBER(S322)),S322*O322,"")</f>
        <v/>
      </c>
      <c r="Z322" s="6" t="n">
        <f aca="false">IF(ISNUMBER(K322),K322*O322,0)</f>
        <v>273</v>
      </c>
      <c r="AA322" s="2" t="s">
        <v>31</v>
      </c>
      <c r="AB322" s="6" t="n">
        <v>13548</v>
      </c>
      <c r="AC322" s="6" t="n">
        <v>12258</v>
      </c>
      <c r="AD322" s="6" t="n">
        <v>6572</v>
      </c>
      <c r="AE322" s="6" t="n">
        <v>2686.77587890625</v>
      </c>
      <c r="AF322" s="8" t="n">
        <v>588.036933236</v>
      </c>
      <c r="AG322" s="11" t="n">
        <v>0.04327097415</v>
      </c>
      <c r="AH322" s="12" t="n">
        <v>1</v>
      </c>
      <c r="AI322" s="2" t="s">
        <v>317</v>
      </c>
      <c r="AJ322" s="2" t="s">
        <v>349</v>
      </c>
      <c r="AK322" s="2" t="s">
        <v>349</v>
      </c>
    </row>
    <row r="323" customFormat="false" ht="15" hidden="false" customHeight="false" outlineLevel="0" collapsed="false">
      <c r="A323" s="9" t="n">
        <v>322</v>
      </c>
      <c r="B323" s="2" t="s">
        <v>872</v>
      </c>
      <c r="C323" s="2" t="s">
        <v>56</v>
      </c>
      <c r="D323" s="2" t="s">
        <v>56</v>
      </c>
      <c r="E323" s="2" t="s">
        <v>56</v>
      </c>
      <c r="F323" s="2" t="s">
        <v>873</v>
      </c>
      <c r="G323" s="2" t="s">
        <v>324</v>
      </c>
      <c r="H323" s="8" t="n">
        <v>981.487956959308</v>
      </c>
      <c r="I323" s="2" t="s">
        <v>316</v>
      </c>
      <c r="J323" s="8" t="n">
        <v>1557912.08791209</v>
      </c>
      <c r="K323" s="6" t="n">
        <v>91</v>
      </c>
      <c r="L323" s="2"/>
      <c r="M323" s="10" t="b">
        <f aca="false">TRUE()</f>
        <v>1</v>
      </c>
      <c r="N323" s="9" t="n">
        <f aca="false">IF(H323="","",IF(H323&gt;=Assumptions!$B$5,1,IF(H323&gt;=Assumptions!$B$6,2,IF(H323&gt;=Assumptions!$B$7,3,""))))</f>
        <v>1</v>
      </c>
      <c r="O323" s="9" t="n">
        <f aca="false">IF(N323=1,Assumptions!$B$8,IF(N323=2,Assumptions!$B$9,IF(N323=3,Assumptions!$B$10,0)))</f>
        <v>3</v>
      </c>
      <c r="P323" s="6" t="s">
        <v>30</v>
      </c>
      <c r="Q323" s="6" t="s">
        <v>30</v>
      </c>
      <c r="R323" s="11" t="s">
        <v>30</v>
      </c>
      <c r="S323" s="6" t="s">
        <v>30</v>
      </c>
      <c r="T323" s="11" t="s">
        <v>30</v>
      </c>
      <c r="U323" s="6" t="s">
        <v>30</v>
      </c>
      <c r="V323" s="6" t="s">
        <v>30</v>
      </c>
      <c r="W323" s="6" t="s">
        <v>30</v>
      </c>
      <c r="X323" s="2" t="s">
        <v>30</v>
      </c>
      <c r="Y323" s="6" t="str">
        <f aca="false">IF(AND(X323="processed",ISNUMBER(S323)),S323*O323,"")</f>
        <v/>
      </c>
      <c r="Z323" s="6" t="n">
        <f aca="false">IF(ISNUMBER(K323),K323*O323,0)</f>
        <v>273</v>
      </c>
      <c r="AA323" s="2" t="s">
        <v>31</v>
      </c>
      <c r="AB323" s="6" t="n">
        <v>5818</v>
      </c>
      <c r="AC323" s="6" t="n">
        <v>5274</v>
      </c>
      <c r="AD323" s="6" t="n">
        <v>53</v>
      </c>
      <c r="AE323" s="6" t="n">
        <v>1406.00610351563</v>
      </c>
      <c r="AF323" s="8" t="n">
        <v>1045.421773612</v>
      </c>
      <c r="AG323" s="11" t="n">
        <v>0.09852918367</v>
      </c>
      <c r="AH323" s="12" t="n">
        <v>0.995146332799149</v>
      </c>
      <c r="AI323" s="2" t="s">
        <v>317</v>
      </c>
      <c r="AJ323" s="2" t="s">
        <v>56</v>
      </c>
      <c r="AK323" s="2" t="s">
        <v>199</v>
      </c>
    </row>
    <row r="324" customFormat="false" ht="15" hidden="false" customHeight="false" outlineLevel="0" collapsed="false">
      <c r="A324" s="9" t="n">
        <v>323</v>
      </c>
      <c r="B324" s="2" t="s">
        <v>874</v>
      </c>
      <c r="C324" s="2" t="s">
        <v>133</v>
      </c>
      <c r="D324" s="2" t="s">
        <v>34</v>
      </c>
      <c r="E324" s="2" t="s">
        <v>35</v>
      </c>
      <c r="F324" s="2" t="s">
        <v>875</v>
      </c>
      <c r="G324" s="2" t="s">
        <v>318</v>
      </c>
      <c r="H324" s="8" t="n">
        <v>866.375377812813</v>
      </c>
      <c r="I324" s="2" t="s">
        <v>316</v>
      </c>
      <c r="J324" s="8" t="n">
        <v>2126098.9010989</v>
      </c>
      <c r="K324" s="6" t="n">
        <v>91</v>
      </c>
      <c r="L324" s="2"/>
      <c r="M324" s="10" t="b">
        <f aca="false">TRUE()</f>
        <v>1</v>
      </c>
      <c r="N324" s="9" t="n">
        <f aca="false">IF(H324="","",IF(H324&gt;=Assumptions!$B$5,1,IF(H324&gt;=Assumptions!$B$6,2,IF(H324&gt;=Assumptions!$B$7,3,""))))</f>
        <v>1</v>
      </c>
      <c r="O324" s="9" t="n">
        <f aca="false">IF(N324=1,Assumptions!$B$8,IF(N324=2,Assumptions!$B$9,IF(N324=3,Assumptions!$B$10,0)))</f>
        <v>3</v>
      </c>
      <c r="P324" s="6" t="s">
        <v>30</v>
      </c>
      <c r="Q324" s="6" t="s">
        <v>30</v>
      </c>
      <c r="R324" s="11" t="s">
        <v>30</v>
      </c>
      <c r="S324" s="6" t="s">
        <v>30</v>
      </c>
      <c r="T324" s="11" t="s">
        <v>30</v>
      </c>
      <c r="U324" s="6" t="s">
        <v>30</v>
      </c>
      <c r="V324" s="6" t="s">
        <v>30</v>
      </c>
      <c r="W324" s="6" t="s">
        <v>30</v>
      </c>
      <c r="X324" s="2" t="s">
        <v>30</v>
      </c>
      <c r="Y324" s="6" t="str">
        <f aca="false">IF(AND(X324="processed",ISNUMBER(S324)),S324*O324,"")</f>
        <v/>
      </c>
      <c r="Z324" s="6" t="n">
        <f aca="false">IF(ISNUMBER(K324),K324*O324,0)</f>
        <v>273</v>
      </c>
      <c r="AA324" s="2" t="s">
        <v>31</v>
      </c>
      <c r="AB324" s="6" t="n">
        <v>5481</v>
      </c>
      <c r="AC324" s="6" t="n">
        <v>4270</v>
      </c>
      <c r="AD324" s="6" t="n">
        <v>68</v>
      </c>
      <c r="AE324" s="6" t="n">
        <v>1762.66772460938</v>
      </c>
      <c r="AF324" s="8" t="n">
        <v>878.342245989</v>
      </c>
      <c r="AG324" s="11" t="n">
        <v>-0.1024909132</v>
      </c>
      <c r="AH324" s="12" t="n">
        <v>0.998187679517233</v>
      </c>
      <c r="AI324" s="2" t="s">
        <v>319</v>
      </c>
      <c r="AJ324" s="2"/>
      <c r="AK324" s="2" t="s">
        <v>133</v>
      </c>
    </row>
    <row r="325" customFormat="false" ht="15" hidden="false" customHeight="false" outlineLevel="0" collapsed="false">
      <c r="A325" s="9" t="n">
        <v>324</v>
      </c>
      <c r="B325" s="2" t="s">
        <v>876</v>
      </c>
      <c r="C325" s="2" t="s">
        <v>877</v>
      </c>
      <c r="D325" s="2" t="s">
        <v>34</v>
      </c>
      <c r="E325" s="2" t="s">
        <v>35</v>
      </c>
      <c r="F325" s="2" t="s">
        <v>878</v>
      </c>
      <c r="G325" s="2" t="s">
        <v>318</v>
      </c>
      <c r="H325" s="8" t="n">
        <v>1042.80172086852</v>
      </c>
      <c r="I325" s="2" t="s">
        <v>316</v>
      </c>
      <c r="J325" s="8" t="n">
        <v>1432747.25274725</v>
      </c>
      <c r="K325" s="6" t="n">
        <v>91</v>
      </c>
      <c r="L325" s="2"/>
      <c r="M325" s="10" t="b">
        <f aca="false">TRUE()</f>
        <v>1</v>
      </c>
      <c r="N325" s="9" t="n">
        <f aca="false">IF(H325="","",IF(H325&gt;=Assumptions!$B$5,1,IF(H325&gt;=Assumptions!$B$6,2,IF(H325&gt;=Assumptions!$B$7,3,""))))</f>
        <v>1</v>
      </c>
      <c r="O325" s="9" t="n">
        <f aca="false">IF(N325=1,Assumptions!$B$8,IF(N325=2,Assumptions!$B$9,IF(N325=3,Assumptions!$B$10,0)))</f>
        <v>3</v>
      </c>
      <c r="P325" s="6" t="s">
        <v>30</v>
      </c>
      <c r="Q325" s="6" t="s">
        <v>30</v>
      </c>
      <c r="R325" s="11" t="s">
        <v>30</v>
      </c>
      <c r="S325" s="6" t="s">
        <v>30</v>
      </c>
      <c r="T325" s="11" t="s">
        <v>30</v>
      </c>
      <c r="U325" s="6" t="s">
        <v>30</v>
      </c>
      <c r="V325" s="6" t="s">
        <v>30</v>
      </c>
      <c r="W325" s="6" t="s">
        <v>30</v>
      </c>
      <c r="X325" s="2" t="s">
        <v>30</v>
      </c>
      <c r="Y325" s="6" t="str">
        <f aca="false">IF(AND(X325="processed",ISNUMBER(S325)),S325*O325,"")</f>
        <v/>
      </c>
      <c r="Z325" s="6" t="n">
        <f aca="false">IF(ISNUMBER(K325),K325*O325,0)</f>
        <v>273</v>
      </c>
      <c r="AA325" s="2" t="s">
        <v>31</v>
      </c>
      <c r="AB325" s="6" t="n">
        <v>7812</v>
      </c>
      <c r="AC325" s="6" t="n">
        <v>5376</v>
      </c>
      <c r="AD325" s="6" t="n">
        <v>32</v>
      </c>
      <c r="AE325" s="6" t="n">
        <v>1437.66528320313</v>
      </c>
      <c r="AF325" s="8" t="n">
        <v>1045.938104449</v>
      </c>
      <c r="AG325" s="11" t="n">
        <v>-0.02270158366</v>
      </c>
      <c r="AH325" s="12" t="n">
        <v>0.98842117922471</v>
      </c>
      <c r="AI325" s="2" t="s">
        <v>319</v>
      </c>
      <c r="AJ325" s="2"/>
      <c r="AK325" s="2" t="s">
        <v>877</v>
      </c>
    </row>
    <row r="326" customFormat="false" ht="15" hidden="false" customHeight="false" outlineLevel="0" collapsed="false">
      <c r="A326" s="9" t="n">
        <v>325</v>
      </c>
      <c r="B326" s="2" t="s">
        <v>879</v>
      </c>
      <c r="C326" s="2" t="s">
        <v>880</v>
      </c>
      <c r="D326" s="2" t="s">
        <v>50</v>
      </c>
      <c r="E326" s="2" t="s">
        <v>51</v>
      </c>
      <c r="F326" s="2" t="s">
        <v>881</v>
      </c>
      <c r="G326" s="2" t="s">
        <v>323</v>
      </c>
      <c r="H326" s="8" t="n">
        <v>810.746280294297</v>
      </c>
      <c r="I326" s="2" t="s">
        <v>316</v>
      </c>
      <c r="J326" s="8" t="n">
        <v>1442307.69230769</v>
      </c>
      <c r="K326" s="6" t="n">
        <v>91</v>
      </c>
      <c r="L326" s="2"/>
      <c r="M326" s="10" t="b">
        <f aca="false">TRUE()</f>
        <v>1</v>
      </c>
      <c r="N326" s="9" t="n">
        <f aca="false">IF(H326="","",IF(H326&gt;=Assumptions!$B$5,1,IF(H326&gt;=Assumptions!$B$6,2,IF(H326&gt;=Assumptions!$B$7,3,""))))</f>
        <v>1</v>
      </c>
      <c r="O326" s="9" t="n">
        <f aca="false">IF(N326=1,Assumptions!$B$8,IF(N326=2,Assumptions!$B$9,IF(N326=3,Assumptions!$B$10,0)))</f>
        <v>3</v>
      </c>
      <c r="P326" s="6" t="s">
        <v>30</v>
      </c>
      <c r="Q326" s="6" t="s">
        <v>30</v>
      </c>
      <c r="R326" s="11" t="s">
        <v>30</v>
      </c>
      <c r="S326" s="6" t="s">
        <v>30</v>
      </c>
      <c r="T326" s="11" t="s">
        <v>30</v>
      </c>
      <c r="U326" s="6" t="s">
        <v>30</v>
      </c>
      <c r="V326" s="6" t="s">
        <v>30</v>
      </c>
      <c r="W326" s="6" t="s">
        <v>30</v>
      </c>
      <c r="X326" s="2" t="s">
        <v>30</v>
      </c>
      <c r="Y326" s="6" t="str">
        <f aca="false">IF(AND(X326="processed",ISNUMBER(S326)),S326*O326,"")</f>
        <v/>
      </c>
      <c r="Z326" s="6" t="n">
        <f aca="false">IF(ISNUMBER(K326),K326*O326,0)</f>
        <v>273</v>
      </c>
      <c r="AA326" s="2" t="s">
        <v>31</v>
      </c>
      <c r="AB326" s="6" t="n">
        <v>4041</v>
      </c>
      <c r="AC326" s="6" t="n">
        <v>3592</v>
      </c>
      <c r="AD326" s="6" t="n">
        <v>2516</v>
      </c>
      <c r="AE326" s="6" t="n">
        <v>1778.95971679688</v>
      </c>
      <c r="AF326" s="8" t="n">
        <v>796.591341307</v>
      </c>
      <c r="AG326" s="11" t="n">
        <v>-0.01312215131</v>
      </c>
      <c r="AH326" s="12" t="n">
        <v>1</v>
      </c>
      <c r="AI326" s="2" t="s">
        <v>342</v>
      </c>
      <c r="AJ326" s="2" t="s">
        <v>880</v>
      </c>
      <c r="AK326" s="2" t="s">
        <v>880</v>
      </c>
    </row>
    <row r="327" customFormat="false" ht="15" hidden="false" customHeight="false" outlineLevel="0" collapsed="false">
      <c r="A327" s="9" t="n">
        <v>326</v>
      </c>
      <c r="B327" s="2" t="s">
        <v>882</v>
      </c>
      <c r="C327" s="2" t="s">
        <v>44</v>
      </c>
      <c r="D327" s="2" t="s">
        <v>44</v>
      </c>
      <c r="E327" s="2" t="s">
        <v>44</v>
      </c>
      <c r="F327" s="2" t="s">
        <v>883</v>
      </c>
      <c r="G327" s="2" t="s">
        <v>322</v>
      </c>
      <c r="H327" s="8" t="n">
        <v>689.458133437</v>
      </c>
      <c r="I327" s="2" t="s">
        <v>316</v>
      </c>
      <c r="J327" s="8" t="n">
        <v>1044566.17647059</v>
      </c>
      <c r="K327" s="6" t="n">
        <v>136</v>
      </c>
      <c r="L327" s="2"/>
      <c r="M327" s="10" t="b">
        <f aca="false">TRUE()</f>
        <v>1</v>
      </c>
      <c r="N327" s="9" t="n">
        <f aca="false">IF(H327="","",IF(H327&gt;=Assumptions!$B$5,1,IF(H327&gt;=Assumptions!$B$6,2,IF(H327&gt;=Assumptions!$B$7,3,""))))</f>
        <v>2</v>
      </c>
      <c r="O327" s="9" t="n">
        <f aca="false">IF(N327=1,Assumptions!$B$8,IF(N327=2,Assumptions!$B$9,IF(N327=3,Assumptions!$B$10,0)))</f>
        <v>2</v>
      </c>
      <c r="P327" s="6" t="s">
        <v>30</v>
      </c>
      <c r="Q327" s="6" t="s">
        <v>30</v>
      </c>
      <c r="R327" s="11" t="s">
        <v>30</v>
      </c>
      <c r="S327" s="6" t="s">
        <v>30</v>
      </c>
      <c r="T327" s="11" t="s">
        <v>30</v>
      </c>
      <c r="U327" s="6" t="s">
        <v>30</v>
      </c>
      <c r="V327" s="6" t="s">
        <v>30</v>
      </c>
      <c r="W327" s="6" t="s">
        <v>30</v>
      </c>
      <c r="X327" s="2" t="s">
        <v>30</v>
      </c>
      <c r="Y327" s="6" t="str">
        <f aca="false">IF(AND(X327="processed",ISNUMBER(S327)),S327*O327,"")</f>
        <v/>
      </c>
      <c r="Z327" s="6" t="n">
        <f aca="false">IF(ISNUMBER(K327),K327*O327,0)</f>
        <v>272</v>
      </c>
      <c r="AA327" s="2" t="s">
        <v>31</v>
      </c>
      <c r="AB327" s="6" t="n">
        <v>5448</v>
      </c>
      <c r="AC327" s="6" t="n">
        <v>4354</v>
      </c>
      <c r="AD327" s="6" t="n">
        <v>2557</v>
      </c>
      <c r="AE327" s="6" t="n">
        <v>2410.9931640625</v>
      </c>
      <c r="AF327" s="8" t="n">
        <v>712.342915421</v>
      </c>
      <c r="AG327" s="11" t="n">
        <v>-0.009813789768</v>
      </c>
      <c r="AH327" s="12" t="n">
        <v>1</v>
      </c>
      <c r="AI327" s="2" t="s">
        <v>317</v>
      </c>
      <c r="AJ327" s="2" t="s">
        <v>44</v>
      </c>
      <c r="AK327" s="2" t="s">
        <v>44</v>
      </c>
    </row>
    <row r="328" customFormat="false" ht="15" hidden="false" customHeight="false" outlineLevel="0" collapsed="false">
      <c r="A328" s="9" t="n">
        <v>327</v>
      </c>
      <c r="B328" s="2" t="s">
        <v>884</v>
      </c>
      <c r="C328" s="2" t="s">
        <v>885</v>
      </c>
      <c r="D328" s="2" t="s">
        <v>44</v>
      </c>
      <c r="E328" s="2" t="s">
        <v>44</v>
      </c>
      <c r="F328" s="2" t="s">
        <v>886</v>
      </c>
      <c r="G328" s="2" t="s">
        <v>322</v>
      </c>
      <c r="H328" s="8" t="n">
        <v>506.574920901785</v>
      </c>
      <c r="I328" s="2" t="s">
        <v>316</v>
      </c>
      <c r="J328" s="8" t="n">
        <v>814259.259259259</v>
      </c>
      <c r="K328" s="6" t="n">
        <v>270</v>
      </c>
      <c r="L328" s="2"/>
      <c r="M328" s="10" t="b">
        <f aca="false">TRUE()</f>
        <v>1</v>
      </c>
      <c r="N328" s="9" t="n">
        <f aca="false">IF(H328="","",IF(H328&gt;=Assumptions!$B$5,1,IF(H328&gt;=Assumptions!$B$6,2,IF(H328&gt;=Assumptions!$B$7,3,""))))</f>
        <v>3</v>
      </c>
      <c r="O328" s="9" t="n">
        <f aca="false">IF(N328=1,Assumptions!$B$8,IF(N328=2,Assumptions!$B$9,IF(N328=3,Assumptions!$B$10,0)))</f>
        <v>1</v>
      </c>
      <c r="P328" s="6" t="s">
        <v>30</v>
      </c>
      <c r="Q328" s="6" t="s">
        <v>30</v>
      </c>
      <c r="R328" s="11" t="s">
        <v>30</v>
      </c>
      <c r="S328" s="6" t="s">
        <v>30</v>
      </c>
      <c r="T328" s="11" t="s">
        <v>30</v>
      </c>
      <c r="U328" s="6" t="s">
        <v>30</v>
      </c>
      <c r="V328" s="6" t="s">
        <v>30</v>
      </c>
      <c r="W328" s="6" t="s">
        <v>30</v>
      </c>
      <c r="X328" s="2" t="s">
        <v>30</v>
      </c>
      <c r="Y328" s="6" t="str">
        <f aca="false">IF(AND(X328="processed",ISNUMBER(S328)),S328*O328,"")</f>
        <v/>
      </c>
      <c r="Z328" s="6" t="n">
        <f aca="false">IF(ISNUMBER(K328),K328*O328,0)</f>
        <v>270</v>
      </c>
      <c r="AA328" s="2" t="s">
        <v>31</v>
      </c>
      <c r="AB328" s="6" t="n">
        <v>17162</v>
      </c>
      <c r="AC328" s="6" t="n">
        <v>15229</v>
      </c>
      <c r="AD328" s="6" t="n">
        <v>16385</v>
      </c>
      <c r="AE328" s="6" t="n">
        <v>2195.09301757813</v>
      </c>
      <c r="AF328" s="8" t="n">
        <v>516.988626861</v>
      </c>
      <c r="AG328" s="11" t="n">
        <v>-0.05438080251</v>
      </c>
      <c r="AH328" s="12" t="n">
        <v>0.999999999999999</v>
      </c>
      <c r="AI328" s="2" t="s">
        <v>317</v>
      </c>
      <c r="AJ328" s="2" t="s">
        <v>885</v>
      </c>
      <c r="AK328" s="2" t="s">
        <v>885</v>
      </c>
    </row>
    <row r="329" customFormat="false" ht="15" hidden="false" customHeight="false" outlineLevel="0" collapsed="false">
      <c r="A329" s="9" t="n">
        <v>328</v>
      </c>
      <c r="B329" s="2" t="s">
        <v>887</v>
      </c>
      <c r="C329" s="2" t="s">
        <v>888</v>
      </c>
      <c r="D329" s="2" t="s">
        <v>70</v>
      </c>
      <c r="E329" s="2" t="s">
        <v>71</v>
      </c>
      <c r="F329" s="2"/>
      <c r="G329" s="2" t="s">
        <v>329</v>
      </c>
      <c r="H329" s="8" t="n">
        <v>1420.51871137351</v>
      </c>
      <c r="I329" s="2" t="s">
        <v>316</v>
      </c>
      <c r="J329" s="8" t="n">
        <v>2646797.75280899</v>
      </c>
      <c r="K329" s="6" t="n">
        <v>89</v>
      </c>
      <c r="L329" s="2"/>
      <c r="M329" s="10" t="b">
        <f aca="false">TRUE()</f>
        <v>1</v>
      </c>
      <c r="N329" s="9" t="n">
        <f aca="false">IF(H329="","",IF(H329&gt;=Assumptions!$B$5,1,IF(H329&gt;=Assumptions!$B$6,2,IF(H329&gt;=Assumptions!$B$7,3,""))))</f>
        <v>1</v>
      </c>
      <c r="O329" s="9" t="n">
        <f aca="false">IF(N329=1,Assumptions!$B$8,IF(N329=2,Assumptions!$B$9,IF(N329=3,Assumptions!$B$10,0)))</f>
        <v>3</v>
      </c>
      <c r="P329" s="6" t="s">
        <v>30</v>
      </c>
      <c r="Q329" s="6" t="s">
        <v>30</v>
      </c>
      <c r="R329" s="11" t="s">
        <v>30</v>
      </c>
      <c r="S329" s="6" t="s">
        <v>30</v>
      </c>
      <c r="T329" s="11" t="s">
        <v>30</v>
      </c>
      <c r="U329" s="6" t="s">
        <v>30</v>
      </c>
      <c r="V329" s="6" t="s">
        <v>30</v>
      </c>
      <c r="W329" s="6" t="s">
        <v>30</v>
      </c>
      <c r="X329" s="2" t="s">
        <v>30</v>
      </c>
      <c r="Y329" s="6" t="str">
        <f aca="false">IF(AND(X329="processed",ISNUMBER(S329)),S329*O329,"")</f>
        <v/>
      </c>
      <c r="Z329" s="6" t="n">
        <f aca="false">IF(ISNUMBER(K329),K329*O329,0)</f>
        <v>267</v>
      </c>
      <c r="AA329" s="2" t="s">
        <v>31</v>
      </c>
      <c r="AB329" s="6" t="n">
        <v>7006</v>
      </c>
      <c r="AC329" s="6" t="n">
        <v>6236</v>
      </c>
      <c r="AD329" s="6" t="n">
        <v>29</v>
      </c>
      <c r="AE329" s="6" t="n">
        <v>1582.56982421875</v>
      </c>
      <c r="AF329" s="8" t="n">
        <v>1338.475499093</v>
      </c>
      <c r="AG329" s="11" t="n">
        <v>0.03258034245</v>
      </c>
      <c r="AH329" s="12" t="n">
        <v>0.782485468317498</v>
      </c>
      <c r="AI329" s="2" t="s">
        <v>317</v>
      </c>
      <c r="AJ329" s="2" t="s">
        <v>888</v>
      </c>
      <c r="AK329" s="2" t="s">
        <v>888</v>
      </c>
    </row>
    <row r="330" customFormat="false" ht="15" hidden="false" customHeight="false" outlineLevel="0" collapsed="false">
      <c r="A330" s="9" t="n">
        <v>329</v>
      </c>
      <c r="B330" s="2" t="s">
        <v>889</v>
      </c>
      <c r="C330" s="2" t="s">
        <v>890</v>
      </c>
      <c r="D330" s="2" t="s">
        <v>70</v>
      </c>
      <c r="E330" s="2" t="s">
        <v>71</v>
      </c>
      <c r="F330" s="2" t="s">
        <v>891</v>
      </c>
      <c r="G330" s="2" t="s">
        <v>329</v>
      </c>
      <c r="H330" s="8" t="n">
        <v>524.55698201348</v>
      </c>
      <c r="I330" s="2" t="s">
        <v>316</v>
      </c>
      <c r="J330" s="8" t="n">
        <v>1041910.11235955</v>
      </c>
      <c r="K330" s="6" t="n">
        <v>267</v>
      </c>
      <c r="L330" s="2"/>
      <c r="M330" s="10" t="b">
        <f aca="false">TRUE()</f>
        <v>1</v>
      </c>
      <c r="N330" s="9" t="n">
        <f aca="false">IF(H330="","",IF(H330&gt;=Assumptions!$B$5,1,IF(H330&gt;=Assumptions!$B$6,2,IF(H330&gt;=Assumptions!$B$7,3,""))))</f>
        <v>3</v>
      </c>
      <c r="O330" s="9" t="n">
        <f aca="false">IF(N330=1,Assumptions!$B$8,IF(N330=2,Assumptions!$B$9,IF(N330=3,Assumptions!$B$10,0)))</f>
        <v>1</v>
      </c>
      <c r="P330" s="6" t="s">
        <v>30</v>
      </c>
      <c r="Q330" s="6" t="s">
        <v>30</v>
      </c>
      <c r="R330" s="11" t="s">
        <v>30</v>
      </c>
      <c r="S330" s="6" t="s">
        <v>30</v>
      </c>
      <c r="T330" s="11" t="s">
        <v>30</v>
      </c>
      <c r="U330" s="6" t="s">
        <v>30</v>
      </c>
      <c r="V330" s="6" t="s">
        <v>30</v>
      </c>
      <c r="W330" s="6" t="s">
        <v>30</v>
      </c>
      <c r="X330" s="2" t="s">
        <v>30</v>
      </c>
      <c r="Y330" s="6" t="str">
        <f aca="false">IF(AND(X330="processed",ISNUMBER(S330)),S330*O330,"")</f>
        <v/>
      </c>
      <c r="Z330" s="6" t="n">
        <f aca="false">IF(ISNUMBER(K330),K330*O330,0)</f>
        <v>267</v>
      </c>
      <c r="AA330" s="2" t="s">
        <v>31</v>
      </c>
      <c r="AB330" s="6" t="n">
        <v>17645</v>
      </c>
      <c r="AC330" s="6" t="n">
        <v>15513</v>
      </c>
      <c r="AD330" s="6" t="n">
        <v>309</v>
      </c>
      <c r="AE330" s="6" t="n">
        <v>2629.03930664063</v>
      </c>
      <c r="AF330" s="8" t="n">
        <v>535.553944311</v>
      </c>
      <c r="AG330" s="11" t="n">
        <v>-0.03329049513</v>
      </c>
      <c r="AH330" s="12" t="n">
        <v>1</v>
      </c>
      <c r="AI330" s="2" t="s">
        <v>317</v>
      </c>
      <c r="AJ330" s="2" t="s">
        <v>890</v>
      </c>
      <c r="AK330" s="2" t="s">
        <v>892</v>
      </c>
    </row>
    <row r="331" customFormat="false" ht="15" hidden="false" customHeight="false" outlineLevel="0" collapsed="false">
      <c r="A331" s="9" t="n">
        <v>330</v>
      </c>
      <c r="B331" s="2" t="s">
        <v>893</v>
      </c>
      <c r="C331" s="2" t="s">
        <v>423</v>
      </c>
      <c r="D331" s="2" t="s">
        <v>423</v>
      </c>
      <c r="E331" s="2" t="s">
        <v>51</v>
      </c>
      <c r="F331" s="2" t="s">
        <v>894</v>
      </c>
      <c r="G331" s="2" t="s">
        <v>425</v>
      </c>
      <c r="H331" s="8" t="n">
        <v>1268.44249642877</v>
      </c>
      <c r="I331" s="2" t="s">
        <v>316</v>
      </c>
      <c r="J331" s="8" t="n">
        <v>1552267.04545455</v>
      </c>
      <c r="K331" s="6" t="n">
        <v>88</v>
      </c>
      <c r="L331" s="2"/>
      <c r="M331" s="10" t="b">
        <f aca="false">TRUE()</f>
        <v>1</v>
      </c>
      <c r="N331" s="9" t="n">
        <f aca="false">IF(H331="","",IF(H331&gt;=Assumptions!$B$5,1,IF(H331&gt;=Assumptions!$B$6,2,IF(H331&gt;=Assumptions!$B$7,3,""))))</f>
        <v>1</v>
      </c>
      <c r="O331" s="9" t="n">
        <f aca="false">IF(N331=1,Assumptions!$B$8,IF(N331=2,Assumptions!$B$9,IF(N331=3,Assumptions!$B$10,0)))</f>
        <v>3</v>
      </c>
      <c r="P331" s="6" t="s">
        <v>30</v>
      </c>
      <c r="Q331" s="6" t="s">
        <v>30</v>
      </c>
      <c r="R331" s="11" t="s">
        <v>30</v>
      </c>
      <c r="S331" s="6" t="s">
        <v>30</v>
      </c>
      <c r="T331" s="11" t="s">
        <v>30</v>
      </c>
      <c r="U331" s="6" t="s">
        <v>30</v>
      </c>
      <c r="V331" s="6" t="s">
        <v>30</v>
      </c>
      <c r="W331" s="6" t="s">
        <v>30</v>
      </c>
      <c r="X331" s="2" t="s">
        <v>30</v>
      </c>
      <c r="Y331" s="6" t="str">
        <f aca="false">IF(AND(X331="processed",ISNUMBER(S331)),S331*O331,"")</f>
        <v/>
      </c>
      <c r="Z331" s="6" t="n">
        <f aca="false">IF(ISNUMBER(K331),K331*O331,0)</f>
        <v>264</v>
      </c>
      <c r="AA331" s="2" t="s">
        <v>31</v>
      </c>
      <c r="AB331" s="6" t="n">
        <v>8180</v>
      </c>
      <c r="AC331" s="6" t="n">
        <v>6947</v>
      </c>
      <c r="AD331" s="6" t="n">
        <v>329</v>
      </c>
      <c r="AE331" s="6" t="n">
        <v>1750.509765625</v>
      </c>
      <c r="AF331" s="8" t="n">
        <v>1297.297297297</v>
      </c>
      <c r="AG331" s="11" t="n">
        <v>0.04923831442</v>
      </c>
      <c r="AH331" s="12" t="n">
        <v>1</v>
      </c>
      <c r="AI331" s="2" t="s">
        <v>317</v>
      </c>
      <c r="AJ331" s="2" t="s">
        <v>423</v>
      </c>
      <c r="AK331" s="2" t="s">
        <v>423</v>
      </c>
    </row>
    <row r="332" customFormat="false" ht="15" hidden="false" customHeight="false" outlineLevel="0" collapsed="false">
      <c r="A332" s="9" t="n">
        <v>331</v>
      </c>
      <c r="B332" s="2" t="s">
        <v>895</v>
      </c>
      <c r="C332" s="2" t="s">
        <v>56</v>
      </c>
      <c r="D332" s="2" t="s">
        <v>56</v>
      </c>
      <c r="E332" s="2" t="s">
        <v>56</v>
      </c>
      <c r="F332" s="2" t="s">
        <v>896</v>
      </c>
      <c r="G332" s="2" t="s">
        <v>324</v>
      </c>
      <c r="H332" s="8" t="n">
        <v>1531.15129655201</v>
      </c>
      <c r="I332" s="2" t="s">
        <v>316</v>
      </c>
      <c r="J332" s="8" t="n">
        <v>4530738.63636364</v>
      </c>
      <c r="K332" s="6" t="n">
        <v>88</v>
      </c>
      <c r="L332" s="2"/>
      <c r="M332" s="10" t="b">
        <f aca="false">TRUE()</f>
        <v>1</v>
      </c>
      <c r="N332" s="9" t="n">
        <f aca="false">IF(H332="","",IF(H332&gt;=Assumptions!$B$5,1,IF(H332&gt;=Assumptions!$B$6,2,IF(H332&gt;=Assumptions!$B$7,3,""))))</f>
        <v>1</v>
      </c>
      <c r="O332" s="9" t="n">
        <f aca="false">IF(N332=1,Assumptions!$B$8,IF(N332=2,Assumptions!$B$9,IF(N332=3,Assumptions!$B$10,0)))</f>
        <v>3</v>
      </c>
      <c r="P332" s="6" t="s">
        <v>30</v>
      </c>
      <c r="Q332" s="6" t="s">
        <v>30</v>
      </c>
      <c r="R332" s="11" t="s">
        <v>30</v>
      </c>
      <c r="S332" s="6" t="s">
        <v>30</v>
      </c>
      <c r="T332" s="11" t="s">
        <v>30</v>
      </c>
      <c r="U332" s="6" t="s">
        <v>30</v>
      </c>
      <c r="V332" s="6" t="s">
        <v>30</v>
      </c>
      <c r="W332" s="6" t="s">
        <v>30</v>
      </c>
      <c r="X332" s="2" t="s">
        <v>30</v>
      </c>
      <c r="Y332" s="6" t="str">
        <f aca="false">IF(AND(X332="processed",ISNUMBER(S332)),S332*O332,"")</f>
        <v/>
      </c>
      <c r="Z332" s="6" t="n">
        <f aca="false">IF(ISNUMBER(K332),K332*O332,0)</f>
        <v>264</v>
      </c>
      <c r="AA332" s="2" t="s">
        <v>31</v>
      </c>
      <c r="AB332" s="6" t="n">
        <v>4675</v>
      </c>
      <c r="AC332" s="6" t="n">
        <v>4402</v>
      </c>
      <c r="AD332" s="6" t="n">
        <v>20</v>
      </c>
      <c r="AE332" s="6" t="n">
        <v>1724.27905273438</v>
      </c>
      <c r="AF332" s="8" t="n">
        <v>1731.404958678</v>
      </c>
      <c r="AG332" s="11" t="n">
        <v>0.2128829304</v>
      </c>
      <c r="AH332" s="12" t="n">
        <v>0.945479911292039</v>
      </c>
      <c r="AI332" s="2" t="s">
        <v>317</v>
      </c>
      <c r="AJ332" s="2" t="s">
        <v>56</v>
      </c>
      <c r="AK332" s="2" t="s">
        <v>56</v>
      </c>
    </row>
    <row r="333" customFormat="false" ht="15" hidden="false" customHeight="false" outlineLevel="0" collapsed="false">
      <c r="A333" s="9" t="n">
        <v>332</v>
      </c>
      <c r="B333" s="2" t="s">
        <v>897</v>
      </c>
      <c r="C333" s="2" t="s">
        <v>526</v>
      </c>
      <c r="D333" s="2" t="s">
        <v>34</v>
      </c>
      <c r="E333" s="2" t="s">
        <v>35</v>
      </c>
      <c r="F333" s="2"/>
      <c r="G333" s="2" t="s">
        <v>318</v>
      </c>
      <c r="H333" s="8" t="n">
        <v>607.418306745151</v>
      </c>
      <c r="I333" s="2" t="s">
        <v>316</v>
      </c>
      <c r="J333" s="8" t="n">
        <v>817992.424242424</v>
      </c>
      <c r="K333" s="6" t="n">
        <v>132</v>
      </c>
      <c r="L333" s="2"/>
      <c r="M333" s="10" t="b">
        <f aca="false">TRUE()</f>
        <v>1</v>
      </c>
      <c r="N333" s="9" t="n">
        <f aca="false">IF(H333="","",IF(H333&gt;=Assumptions!$B$5,1,IF(H333&gt;=Assumptions!$B$6,2,IF(H333&gt;=Assumptions!$B$7,3,""))))</f>
        <v>2</v>
      </c>
      <c r="O333" s="9" t="n">
        <f aca="false">IF(N333=1,Assumptions!$B$8,IF(N333=2,Assumptions!$B$9,IF(N333=3,Assumptions!$B$10,0)))</f>
        <v>2</v>
      </c>
      <c r="P333" s="6" t="s">
        <v>30</v>
      </c>
      <c r="Q333" s="6" t="s">
        <v>30</v>
      </c>
      <c r="R333" s="11" t="s">
        <v>30</v>
      </c>
      <c r="S333" s="6" t="s">
        <v>30</v>
      </c>
      <c r="T333" s="11" t="s">
        <v>30</v>
      </c>
      <c r="U333" s="6" t="s">
        <v>30</v>
      </c>
      <c r="V333" s="6" t="s">
        <v>30</v>
      </c>
      <c r="W333" s="6" t="s">
        <v>30</v>
      </c>
      <c r="X333" s="2" t="s">
        <v>30</v>
      </c>
      <c r="Y333" s="6" t="str">
        <f aca="false">IF(AND(X333="processed",ISNUMBER(S333)),S333*O333,"")</f>
        <v/>
      </c>
      <c r="Z333" s="6" t="n">
        <f aca="false">IF(ISNUMBER(K333),K333*O333,0)</f>
        <v>264</v>
      </c>
      <c r="AA333" s="2" t="s">
        <v>31</v>
      </c>
      <c r="AB333" s="6" t="n">
        <v>10932</v>
      </c>
      <c r="AC333" s="6" t="n">
        <v>8495</v>
      </c>
      <c r="AD333" s="6" t="n">
        <v>471</v>
      </c>
      <c r="AE333" s="6" t="n">
        <v>1808.36145019531</v>
      </c>
      <c r="AF333" s="8" t="n">
        <v>608.378310727</v>
      </c>
      <c r="AG333" s="11" t="n">
        <v>-0.04357270221</v>
      </c>
      <c r="AH333" s="12" t="n">
        <v>1</v>
      </c>
      <c r="AI333" s="2" t="s">
        <v>319</v>
      </c>
      <c r="AJ333" s="2"/>
      <c r="AK333" s="2" t="s">
        <v>526</v>
      </c>
    </row>
    <row r="334" customFormat="false" ht="15" hidden="false" customHeight="false" outlineLevel="0" collapsed="false">
      <c r="A334" s="9" t="n">
        <v>333</v>
      </c>
      <c r="B334" s="2" t="s">
        <v>898</v>
      </c>
      <c r="C334" s="2" t="s">
        <v>899</v>
      </c>
      <c r="D334" s="2" t="s">
        <v>70</v>
      </c>
      <c r="E334" s="2" t="s">
        <v>71</v>
      </c>
      <c r="F334" s="2" t="s">
        <v>900</v>
      </c>
      <c r="G334" s="2" t="s">
        <v>329</v>
      </c>
      <c r="H334" s="8" t="n">
        <v>627.319053600672</v>
      </c>
      <c r="I334" s="2" t="s">
        <v>316</v>
      </c>
      <c r="J334" s="8" t="n">
        <v>873297.709923664</v>
      </c>
      <c r="K334" s="6" t="n">
        <v>131</v>
      </c>
      <c r="L334" s="2"/>
      <c r="M334" s="10" t="b">
        <f aca="false">TRUE()</f>
        <v>1</v>
      </c>
      <c r="N334" s="9" t="n">
        <f aca="false">IF(H334="","",IF(H334&gt;=Assumptions!$B$5,1,IF(H334&gt;=Assumptions!$B$6,2,IF(H334&gt;=Assumptions!$B$7,3,""))))</f>
        <v>2</v>
      </c>
      <c r="O334" s="9" t="n">
        <f aca="false">IF(N334=1,Assumptions!$B$8,IF(N334=2,Assumptions!$B$9,IF(N334=3,Assumptions!$B$10,0)))</f>
        <v>2</v>
      </c>
      <c r="P334" s="6" t="s">
        <v>30</v>
      </c>
      <c r="Q334" s="6" t="s">
        <v>30</v>
      </c>
      <c r="R334" s="11" t="s">
        <v>30</v>
      </c>
      <c r="S334" s="6" t="s">
        <v>30</v>
      </c>
      <c r="T334" s="11" t="s">
        <v>30</v>
      </c>
      <c r="U334" s="6" t="s">
        <v>30</v>
      </c>
      <c r="V334" s="6" t="s">
        <v>30</v>
      </c>
      <c r="W334" s="6" t="s">
        <v>30</v>
      </c>
      <c r="X334" s="2" t="s">
        <v>30</v>
      </c>
      <c r="Y334" s="6" t="str">
        <f aca="false">IF(AND(X334="processed",ISNUMBER(S334)),S334*O334,"")</f>
        <v/>
      </c>
      <c r="Z334" s="6" t="n">
        <f aca="false">IF(ISNUMBER(K334),K334*O334,0)</f>
        <v>262</v>
      </c>
      <c r="AA334" s="2" t="s">
        <v>31</v>
      </c>
      <c r="AB334" s="6" t="n">
        <v>19232</v>
      </c>
      <c r="AC334" s="6" t="n">
        <v>11902</v>
      </c>
      <c r="AD334" s="6" t="n">
        <v>465</v>
      </c>
      <c r="AE334" s="6" t="n">
        <v>1866.71166992188</v>
      </c>
      <c r="AF334" s="8" t="n">
        <v>583.756345178</v>
      </c>
      <c r="AG334" s="11" t="n">
        <v>-0.09275200135</v>
      </c>
      <c r="AH334" s="12" t="n">
        <v>1</v>
      </c>
      <c r="AI334" s="2" t="s">
        <v>317</v>
      </c>
      <c r="AJ334" s="2" t="s">
        <v>899</v>
      </c>
      <c r="AK334" s="2" t="s">
        <v>70</v>
      </c>
    </row>
    <row r="335" customFormat="false" ht="15" hidden="false" customHeight="false" outlineLevel="0" collapsed="false">
      <c r="A335" s="9" t="n">
        <v>334</v>
      </c>
      <c r="B335" s="2" t="s">
        <v>901</v>
      </c>
      <c r="C335" s="2" t="s">
        <v>386</v>
      </c>
      <c r="D335" s="2" t="s">
        <v>105</v>
      </c>
      <c r="E335" s="2" t="s">
        <v>51</v>
      </c>
      <c r="F335" s="2" t="s">
        <v>902</v>
      </c>
      <c r="G335" s="2" t="s">
        <v>318</v>
      </c>
      <c r="H335" s="8" t="n">
        <v>812.696001493709</v>
      </c>
      <c r="I335" s="2" t="s">
        <v>316</v>
      </c>
      <c r="J335" s="8" t="n">
        <v>1548709.30232558</v>
      </c>
      <c r="K335" s="6" t="n">
        <v>86</v>
      </c>
      <c r="L335" s="2"/>
      <c r="M335" s="10" t="b">
        <f aca="false">TRUE()</f>
        <v>1</v>
      </c>
      <c r="N335" s="9" t="n">
        <f aca="false">IF(H335="","",IF(H335&gt;=Assumptions!$B$5,1,IF(H335&gt;=Assumptions!$B$6,2,IF(H335&gt;=Assumptions!$B$7,3,""))))</f>
        <v>1</v>
      </c>
      <c r="O335" s="9" t="n">
        <f aca="false">IF(N335=1,Assumptions!$B$8,IF(N335=2,Assumptions!$B$9,IF(N335=3,Assumptions!$B$10,0)))</f>
        <v>3</v>
      </c>
      <c r="P335" s="6" t="s">
        <v>30</v>
      </c>
      <c r="Q335" s="6" t="s">
        <v>30</v>
      </c>
      <c r="R335" s="11" t="s">
        <v>30</v>
      </c>
      <c r="S335" s="6" t="s">
        <v>30</v>
      </c>
      <c r="T335" s="11" t="s">
        <v>30</v>
      </c>
      <c r="U335" s="6" t="s">
        <v>30</v>
      </c>
      <c r="V335" s="6" t="s">
        <v>30</v>
      </c>
      <c r="W335" s="6" t="s">
        <v>30</v>
      </c>
      <c r="X335" s="2" t="s">
        <v>30</v>
      </c>
      <c r="Y335" s="6" t="str">
        <f aca="false">IF(AND(X335="processed",ISNUMBER(S335)),S335*O335,"")</f>
        <v/>
      </c>
      <c r="Z335" s="6" t="n">
        <f aca="false">IF(ISNUMBER(K335),K335*O335,0)</f>
        <v>258</v>
      </c>
      <c r="AA335" s="2" t="s">
        <v>31</v>
      </c>
      <c r="AB335" s="6" t="n">
        <v>4838</v>
      </c>
      <c r="AC335" s="6" t="n">
        <v>3961</v>
      </c>
      <c r="AD335" s="6" t="n">
        <v>3495</v>
      </c>
      <c r="AE335" s="6" t="n">
        <v>2640.21606445313</v>
      </c>
      <c r="AF335" s="8" t="n">
        <v>833.583271305</v>
      </c>
      <c r="AG335" s="11" t="n">
        <v>0.07121671133</v>
      </c>
      <c r="AH335" s="12" t="n">
        <v>0.999999999999999</v>
      </c>
      <c r="AI335" s="2" t="s">
        <v>347</v>
      </c>
      <c r="AJ335" s="2" t="s">
        <v>386</v>
      </c>
      <c r="AK335" s="2" t="s">
        <v>386</v>
      </c>
    </row>
    <row r="336" customFormat="false" ht="15" hidden="false" customHeight="false" outlineLevel="0" collapsed="false">
      <c r="A336" s="9" t="n">
        <v>335</v>
      </c>
      <c r="B336" s="2" t="s">
        <v>903</v>
      </c>
      <c r="C336" s="2" t="s">
        <v>266</v>
      </c>
      <c r="D336" s="2" t="s">
        <v>34</v>
      </c>
      <c r="E336" s="2" t="s">
        <v>35</v>
      </c>
      <c r="F336" s="2" t="s">
        <v>904</v>
      </c>
      <c r="G336" s="2" t="s">
        <v>318</v>
      </c>
      <c r="H336" s="8" t="n">
        <v>637.700619131359</v>
      </c>
      <c r="I336" s="2" t="s">
        <v>316</v>
      </c>
      <c r="J336" s="8" t="n">
        <v>935007.8125</v>
      </c>
      <c r="K336" s="6" t="n">
        <v>128</v>
      </c>
      <c r="L336" s="2"/>
      <c r="M336" s="10" t="b">
        <f aca="false">TRUE()</f>
        <v>1</v>
      </c>
      <c r="N336" s="9" t="n">
        <f aca="false">IF(H336="","",IF(H336&gt;=Assumptions!$B$5,1,IF(H336&gt;=Assumptions!$B$6,2,IF(H336&gt;=Assumptions!$B$7,3,""))))</f>
        <v>2</v>
      </c>
      <c r="O336" s="9" t="n">
        <f aca="false">IF(N336=1,Assumptions!$B$8,IF(N336=2,Assumptions!$B$9,IF(N336=3,Assumptions!$B$10,0)))</f>
        <v>2</v>
      </c>
      <c r="P336" s="6" t="s">
        <v>30</v>
      </c>
      <c r="Q336" s="6" t="s">
        <v>30</v>
      </c>
      <c r="R336" s="11" t="s">
        <v>30</v>
      </c>
      <c r="S336" s="6" t="s">
        <v>30</v>
      </c>
      <c r="T336" s="11" t="s">
        <v>30</v>
      </c>
      <c r="U336" s="6" t="s">
        <v>30</v>
      </c>
      <c r="V336" s="6" t="s">
        <v>30</v>
      </c>
      <c r="W336" s="6" t="s">
        <v>30</v>
      </c>
      <c r="X336" s="2" t="s">
        <v>30</v>
      </c>
      <c r="Y336" s="6" t="str">
        <f aca="false">IF(AND(X336="processed",ISNUMBER(S336)),S336*O336,"")</f>
        <v/>
      </c>
      <c r="Z336" s="6" t="n">
        <f aca="false">IF(ISNUMBER(K336),K336*O336,0)</f>
        <v>256</v>
      </c>
      <c r="AA336" s="2" t="s">
        <v>31</v>
      </c>
      <c r="AB336" s="6" t="n">
        <v>10805</v>
      </c>
      <c r="AC336" s="6" t="n">
        <v>7969</v>
      </c>
      <c r="AD336" s="6" t="n">
        <v>2697</v>
      </c>
      <c r="AE336" s="6" t="n">
        <v>2152.82739257813</v>
      </c>
      <c r="AF336" s="8" t="n">
        <v>665.013623978</v>
      </c>
      <c r="AG336" s="11" t="n">
        <v>-0.02939678215</v>
      </c>
      <c r="AH336" s="12" t="n">
        <v>0.876103961400554</v>
      </c>
      <c r="AI336" s="2" t="s">
        <v>319</v>
      </c>
      <c r="AJ336" s="2"/>
      <c r="AK336" s="2" t="s">
        <v>266</v>
      </c>
    </row>
    <row r="337" customFormat="false" ht="15" hidden="false" customHeight="false" outlineLevel="0" collapsed="false">
      <c r="A337" s="9" t="n">
        <v>336</v>
      </c>
      <c r="B337" s="2" t="s">
        <v>905</v>
      </c>
      <c r="C337" s="2" t="s">
        <v>44</v>
      </c>
      <c r="D337" s="2" t="s">
        <v>44</v>
      </c>
      <c r="E337" s="2" t="s">
        <v>44</v>
      </c>
      <c r="F337" s="2" t="s">
        <v>906</v>
      </c>
      <c r="G337" s="2" t="s">
        <v>322</v>
      </c>
      <c r="H337" s="8" t="n">
        <v>724.384576559859</v>
      </c>
      <c r="I337" s="2" t="s">
        <v>316</v>
      </c>
      <c r="J337" s="8" t="n">
        <v>797682.352941177</v>
      </c>
      <c r="K337" s="6" t="n">
        <v>85</v>
      </c>
      <c r="L337" s="2"/>
      <c r="M337" s="10" t="b">
        <f aca="false">TRUE()</f>
        <v>1</v>
      </c>
      <c r="N337" s="9" t="n">
        <f aca="false">IF(H337="","",IF(H337&gt;=Assumptions!$B$5,1,IF(H337&gt;=Assumptions!$B$6,2,IF(H337&gt;=Assumptions!$B$7,3,""))))</f>
        <v>1</v>
      </c>
      <c r="O337" s="9" t="n">
        <f aca="false">IF(N337=1,Assumptions!$B$8,IF(N337=2,Assumptions!$B$9,IF(N337=3,Assumptions!$B$10,0)))</f>
        <v>3</v>
      </c>
      <c r="P337" s="6" t="s">
        <v>30</v>
      </c>
      <c r="Q337" s="6" t="s">
        <v>30</v>
      </c>
      <c r="R337" s="11" t="s">
        <v>30</v>
      </c>
      <c r="S337" s="6" t="s">
        <v>30</v>
      </c>
      <c r="T337" s="11" t="s">
        <v>30</v>
      </c>
      <c r="U337" s="6" t="s">
        <v>30</v>
      </c>
      <c r="V337" s="6" t="s">
        <v>30</v>
      </c>
      <c r="W337" s="6" t="s">
        <v>30</v>
      </c>
      <c r="X337" s="2" t="s">
        <v>30</v>
      </c>
      <c r="Y337" s="6" t="str">
        <f aca="false">IF(AND(X337="processed",ISNUMBER(S337)),S337*O337,"")</f>
        <v/>
      </c>
      <c r="Z337" s="6" t="n">
        <f aca="false">IF(ISNUMBER(K337),K337*O337,0)</f>
        <v>255</v>
      </c>
      <c r="AA337" s="2" t="s">
        <v>31</v>
      </c>
      <c r="AB337" s="6" t="n">
        <v>10218</v>
      </c>
      <c r="AC337" s="6" t="n">
        <v>8559</v>
      </c>
      <c r="AD337" s="6" t="n">
        <v>3724</v>
      </c>
      <c r="AE337" s="6" t="n">
        <v>1598.08044433594</v>
      </c>
      <c r="AF337" s="8" t="n">
        <v>826.923076923</v>
      </c>
      <c r="AG337" s="11" t="n">
        <v>0.1890286228</v>
      </c>
      <c r="AH337" s="12" t="n">
        <v>1</v>
      </c>
      <c r="AI337" s="2" t="s">
        <v>317</v>
      </c>
      <c r="AJ337" s="2" t="s">
        <v>44</v>
      </c>
      <c r="AK337" s="2" t="s">
        <v>44</v>
      </c>
    </row>
    <row r="338" customFormat="false" ht="15" hidden="false" customHeight="false" outlineLevel="0" collapsed="false">
      <c r="A338" s="9" t="n">
        <v>337</v>
      </c>
      <c r="B338" s="2" t="s">
        <v>907</v>
      </c>
      <c r="C338" s="2" t="s">
        <v>908</v>
      </c>
      <c r="D338" s="2" t="s">
        <v>62</v>
      </c>
      <c r="E338" s="2" t="s">
        <v>40</v>
      </c>
      <c r="F338" s="2"/>
      <c r="G338" s="2" t="s">
        <v>324</v>
      </c>
      <c r="H338" s="8" t="n">
        <v>2158.00546720604</v>
      </c>
      <c r="I338" s="2" t="s">
        <v>316</v>
      </c>
      <c r="J338" s="8" t="n">
        <v>11421835.2941177</v>
      </c>
      <c r="K338" s="6" t="n">
        <v>85</v>
      </c>
      <c r="L338" s="2"/>
      <c r="M338" s="10" t="b">
        <f aca="false">TRUE()</f>
        <v>1</v>
      </c>
      <c r="N338" s="9" t="n">
        <f aca="false">IF(H338="","",IF(H338&gt;=Assumptions!$B$5,1,IF(H338&gt;=Assumptions!$B$6,2,IF(H338&gt;=Assumptions!$B$7,3,""))))</f>
        <v>1</v>
      </c>
      <c r="O338" s="9" t="n">
        <f aca="false">IF(N338=1,Assumptions!$B$8,IF(N338=2,Assumptions!$B$9,IF(N338=3,Assumptions!$B$10,0)))</f>
        <v>3</v>
      </c>
      <c r="P338" s="6" t="s">
        <v>30</v>
      </c>
      <c r="Q338" s="6" t="s">
        <v>30</v>
      </c>
      <c r="R338" s="11" t="s">
        <v>30</v>
      </c>
      <c r="S338" s="6" t="s">
        <v>30</v>
      </c>
      <c r="T338" s="11" t="s">
        <v>30</v>
      </c>
      <c r="U338" s="6" t="s">
        <v>30</v>
      </c>
      <c r="V338" s="6" t="s">
        <v>30</v>
      </c>
      <c r="W338" s="6" t="s">
        <v>30</v>
      </c>
      <c r="X338" s="2" t="s">
        <v>30</v>
      </c>
      <c r="Y338" s="6" t="str">
        <f aca="false">IF(AND(X338="processed",ISNUMBER(S338)),S338*O338,"")</f>
        <v/>
      </c>
      <c r="Z338" s="6" t="n">
        <f aca="false">IF(ISNUMBER(K338),K338*O338,0)</f>
        <v>255</v>
      </c>
      <c r="AA338" s="2" t="s">
        <v>31</v>
      </c>
      <c r="AB338" s="6" t="n">
        <v>4778</v>
      </c>
      <c r="AC338" s="6" t="n">
        <v>3723</v>
      </c>
      <c r="AD338" s="6" t="n">
        <v>375</v>
      </c>
      <c r="AE338" s="6" t="n">
        <v>2557.31958007813</v>
      </c>
      <c r="AF338" s="8" t="n">
        <v>2199.664991625</v>
      </c>
      <c r="AG338" s="11" t="n">
        <v>0.02892041723</v>
      </c>
      <c r="AH338" s="12" t="n">
        <v>1</v>
      </c>
      <c r="AI338" s="2" t="s">
        <v>350</v>
      </c>
      <c r="AJ338" s="2" t="s">
        <v>908</v>
      </c>
      <c r="AK338" s="2" t="s">
        <v>908</v>
      </c>
    </row>
    <row r="339" customFormat="false" ht="15" hidden="false" customHeight="false" outlineLevel="0" collapsed="false">
      <c r="A339" s="9" t="n">
        <v>338</v>
      </c>
      <c r="B339" s="2" t="s">
        <v>909</v>
      </c>
      <c r="C339" s="2" t="s">
        <v>910</v>
      </c>
      <c r="D339" s="2" t="s">
        <v>595</v>
      </c>
      <c r="E339" s="2" t="s">
        <v>51</v>
      </c>
      <c r="F339" s="2" t="s">
        <v>911</v>
      </c>
      <c r="G339" s="2" t="s">
        <v>597</v>
      </c>
      <c r="H339" s="8" t="n">
        <v>559.24839226632</v>
      </c>
      <c r="I339" s="2" t="s">
        <v>316</v>
      </c>
      <c r="J339" s="8" t="n">
        <v>1110573.12252964</v>
      </c>
      <c r="K339" s="6" t="n">
        <v>253</v>
      </c>
      <c r="L339" s="2"/>
      <c r="M339" s="10" t="b">
        <f aca="false">TRUE()</f>
        <v>1</v>
      </c>
      <c r="N339" s="9" t="n">
        <f aca="false">IF(H339="","",IF(H339&gt;=Assumptions!$B$5,1,IF(H339&gt;=Assumptions!$B$6,2,IF(H339&gt;=Assumptions!$B$7,3,""))))</f>
        <v>3</v>
      </c>
      <c r="O339" s="9" t="n">
        <f aca="false">IF(N339=1,Assumptions!$B$8,IF(N339=2,Assumptions!$B$9,IF(N339=3,Assumptions!$B$10,0)))</f>
        <v>1</v>
      </c>
      <c r="P339" s="6" t="s">
        <v>30</v>
      </c>
      <c r="Q339" s="6" t="s">
        <v>30</v>
      </c>
      <c r="R339" s="11" t="s">
        <v>30</v>
      </c>
      <c r="S339" s="6" t="s">
        <v>30</v>
      </c>
      <c r="T339" s="11" t="s">
        <v>30</v>
      </c>
      <c r="U339" s="6" t="s">
        <v>30</v>
      </c>
      <c r="V339" s="6" t="s">
        <v>30</v>
      </c>
      <c r="W339" s="6" t="s">
        <v>30</v>
      </c>
      <c r="X339" s="2" t="s">
        <v>30</v>
      </c>
      <c r="Y339" s="6" t="str">
        <f aca="false">IF(AND(X339="processed",ISNUMBER(S339)),S339*O339,"")</f>
        <v/>
      </c>
      <c r="Z339" s="6" t="n">
        <f aca="false">IF(ISNUMBER(K339),K339*O339,0)</f>
        <v>253</v>
      </c>
      <c r="AA339" s="2" t="s">
        <v>31</v>
      </c>
      <c r="AB339" s="6" t="n">
        <v>18581</v>
      </c>
      <c r="AC339" s="6" t="n">
        <v>15222</v>
      </c>
      <c r="AD339" s="6" t="n">
        <v>873</v>
      </c>
      <c r="AE339" s="6" t="n">
        <v>2365.25</v>
      </c>
      <c r="AF339" s="8" t="n">
        <v>542.371389666</v>
      </c>
      <c r="AG339" s="11" t="n">
        <v>-0.05214870381</v>
      </c>
      <c r="AH339" s="12" t="n">
        <v>1.00000000000001</v>
      </c>
      <c r="AI339" s="2" t="s">
        <v>317</v>
      </c>
      <c r="AJ339" s="2" t="s">
        <v>910</v>
      </c>
      <c r="AK339" s="2" t="s">
        <v>910</v>
      </c>
    </row>
    <row r="340" customFormat="false" ht="15" hidden="false" customHeight="false" outlineLevel="0" collapsed="false">
      <c r="A340" s="9" t="n">
        <v>339</v>
      </c>
      <c r="B340" s="2" t="s">
        <v>912</v>
      </c>
      <c r="C340" s="2" t="s">
        <v>913</v>
      </c>
      <c r="D340" s="2" t="s">
        <v>423</v>
      </c>
      <c r="E340" s="2" t="s">
        <v>51</v>
      </c>
      <c r="F340" s="2"/>
      <c r="G340" s="2" t="s">
        <v>425</v>
      </c>
      <c r="H340" s="8" t="n">
        <v>1251.09874911148</v>
      </c>
      <c r="I340" s="2" t="s">
        <v>316</v>
      </c>
      <c r="J340" s="8" t="n">
        <v>1844750</v>
      </c>
      <c r="K340" s="6" t="n">
        <v>84</v>
      </c>
      <c r="L340" s="2"/>
      <c r="M340" s="10" t="b">
        <f aca="false">TRUE()</f>
        <v>1</v>
      </c>
      <c r="N340" s="9" t="n">
        <f aca="false">IF(H340="","",IF(H340&gt;=Assumptions!$B$5,1,IF(H340&gt;=Assumptions!$B$6,2,IF(H340&gt;=Assumptions!$B$7,3,""))))</f>
        <v>1</v>
      </c>
      <c r="O340" s="9" t="n">
        <f aca="false">IF(N340=1,Assumptions!$B$8,IF(N340=2,Assumptions!$B$9,IF(N340=3,Assumptions!$B$10,0)))</f>
        <v>3</v>
      </c>
      <c r="P340" s="6" t="s">
        <v>30</v>
      </c>
      <c r="Q340" s="6" t="s">
        <v>30</v>
      </c>
      <c r="R340" s="11" t="s">
        <v>30</v>
      </c>
      <c r="S340" s="6" t="s">
        <v>30</v>
      </c>
      <c r="T340" s="11" t="s">
        <v>30</v>
      </c>
      <c r="U340" s="6" t="s">
        <v>30</v>
      </c>
      <c r="V340" s="6" t="s">
        <v>30</v>
      </c>
      <c r="W340" s="6" t="s">
        <v>30</v>
      </c>
      <c r="X340" s="2" t="s">
        <v>30</v>
      </c>
      <c r="Y340" s="6" t="str">
        <f aca="false">IF(AND(X340="processed",ISNUMBER(S340)),S340*O340,"")</f>
        <v/>
      </c>
      <c r="Z340" s="6" t="n">
        <f aca="false">IF(ISNUMBER(K340),K340*O340,0)</f>
        <v>252</v>
      </c>
      <c r="AA340" s="2" t="s">
        <v>31</v>
      </c>
      <c r="AB340" s="6" t="n">
        <v>7413</v>
      </c>
      <c r="AC340" s="6" t="n">
        <v>5964</v>
      </c>
      <c r="AD340" s="6" t="n">
        <v>3014</v>
      </c>
      <c r="AE340" s="6" t="n">
        <v>2191.95458984375</v>
      </c>
      <c r="AF340" s="8" t="n">
        <v>1433.597474217</v>
      </c>
      <c r="AG340" s="11" t="n">
        <v>0.2369650714</v>
      </c>
      <c r="AH340" s="12" t="n">
        <v>0.838712586760214</v>
      </c>
      <c r="AI340" s="2" t="s">
        <v>601</v>
      </c>
      <c r="AJ340" s="2" t="s">
        <v>914</v>
      </c>
      <c r="AK340" s="2" t="s">
        <v>915</v>
      </c>
    </row>
    <row r="341" customFormat="false" ht="15" hidden="false" customHeight="false" outlineLevel="0" collapsed="false">
      <c r="A341" s="9" t="n">
        <v>340</v>
      </c>
      <c r="B341" s="2" t="s">
        <v>916</v>
      </c>
      <c r="C341" s="2" t="s">
        <v>537</v>
      </c>
      <c r="D341" s="2" t="s">
        <v>27</v>
      </c>
      <c r="E341" s="2" t="s">
        <v>28</v>
      </c>
      <c r="F341" s="2"/>
      <c r="G341" s="2" t="s">
        <v>315</v>
      </c>
      <c r="H341" s="8" t="n">
        <v>670.439854237784</v>
      </c>
      <c r="I341" s="2" t="s">
        <v>316</v>
      </c>
      <c r="J341" s="8" t="n">
        <v>1141360</v>
      </c>
      <c r="K341" s="6" t="n">
        <v>125</v>
      </c>
      <c r="L341" s="2"/>
      <c r="M341" s="10" t="b">
        <f aca="false">TRUE()</f>
        <v>1</v>
      </c>
      <c r="N341" s="9" t="n">
        <f aca="false">IF(H341="","",IF(H341&gt;=Assumptions!$B$5,1,IF(H341&gt;=Assumptions!$B$6,2,IF(H341&gt;=Assumptions!$B$7,3,""))))</f>
        <v>2</v>
      </c>
      <c r="O341" s="9" t="n">
        <f aca="false">IF(N341=1,Assumptions!$B$8,IF(N341=2,Assumptions!$B$9,IF(N341=3,Assumptions!$B$10,0)))</f>
        <v>2</v>
      </c>
      <c r="P341" s="6" t="s">
        <v>30</v>
      </c>
      <c r="Q341" s="6" t="s">
        <v>30</v>
      </c>
      <c r="R341" s="11" t="s">
        <v>30</v>
      </c>
      <c r="S341" s="6" t="s">
        <v>30</v>
      </c>
      <c r="T341" s="11" t="s">
        <v>30</v>
      </c>
      <c r="U341" s="6" t="s">
        <v>30</v>
      </c>
      <c r="V341" s="6" t="s">
        <v>30</v>
      </c>
      <c r="W341" s="6" t="s">
        <v>30</v>
      </c>
      <c r="X341" s="2" t="s">
        <v>30</v>
      </c>
      <c r="Y341" s="6" t="str">
        <f aca="false">IF(AND(X341="processed",ISNUMBER(S341)),S341*O341,"")</f>
        <v/>
      </c>
      <c r="Z341" s="6" t="n">
        <f aca="false">IF(ISNUMBER(K341),K341*O341,0)</f>
        <v>250</v>
      </c>
      <c r="AA341" s="2" t="s">
        <v>31</v>
      </c>
      <c r="AB341" s="6" t="n">
        <v>8443</v>
      </c>
      <c r="AC341" s="6" t="n">
        <v>6840</v>
      </c>
      <c r="AD341" s="6" t="n">
        <v>171</v>
      </c>
      <c r="AE341" s="6" t="n">
        <v>2620.49047851563</v>
      </c>
      <c r="AF341" s="8" t="n">
        <v>700.636942675</v>
      </c>
      <c r="AG341" s="11" t="n">
        <v>0.04384527499</v>
      </c>
      <c r="AH341" s="12" t="n">
        <v>1</v>
      </c>
      <c r="AI341" s="2" t="s">
        <v>317</v>
      </c>
      <c r="AJ341" s="2" t="s">
        <v>537</v>
      </c>
      <c r="AK341" s="2" t="s">
        <v>537</v>
      </c>
    </row>
    <row r="342" customFormat="false" ht="15" hidden="false" customHeight="false" outlineLevel="0" collapsed="false">
      <c r="A342" s="9" t="n">
        <v>341</v>
      </c>
      <c r="B342" s="2" t="s">
        <v>917</v>
      </c>
      <c r="C342" s="2" t="s">
        <v>70</v>
      </c>
      <c r="D342" s="2" t="s">
        <v>70</v>
      </c>
      <c r="E342" s="2" t="s">
        <v>71</v>
      </c>
      <c r="F342" s="2" t="s">
        <v>918</v>
      </c>
      <c r="G342" s="2" t="s">
        <v>329</v>
      </c>
      <c r="H342" s="8" t="n">
        <v>523.403071407225</v>
      </c>
      <c r="I342" s="2" t="s">
        <v>316</v>
      </c>
      <c r="J342" s="8" t="n">
        <v>725963.855421687</v>
      </c>
      <c r="K342" s="6" t="n">
        <v>249</v>
      </c>
      <c r="L342" s="2"/>
      <c r="M342" s="10" t="b">
        <f aca="false">TRUE()</f>
        <v>1</v>
      </c>
      <c r="N342" s="9" t="n">
        <f aca="false">IF(H342="","",IF(H342&gt;=Assumptions!$B$5,1,IF(H342&gt;=Assumptions!$B$6,2,IF(H342&gt;=Assumptions!$B$7,3,""))))</f>
        <v>3</v>
      </c>
      <c r="O342" s="9" t="n">
        <f aca="false">IF(N342=1,Assumptions!$B$8,IF(N342=2,Assumptions!$B$9,IF(N342=3,Assumptions!$B$10,0)))</f>
        <v>1</v>
      </c>
      <c r="P342" s="6" t="s">
        <v>30</v>
      </c>
      <c r="Q342" s="6" t="s">
        <v>30</v>
      </c>
      <c r="R342" s="11" t="s">
        <v>30</v>
      </c>
      <c r="S342" s="6" t="s">
        <v>30</v>
      </c>
      <c r="T342" s="11" t="s">
        <v>30</v>
      </c>
      <c r="U342" s="6" t="s">
        <v>30</v>
      </c>
      <c r="V342" s="6" t="s">
        <v>30</v>
      </c>
      <c r="W342" s="6" t="s">
        <v>30</v>
      </c>
      <c r="X342" s="2" t="s">
        <v>30</v>
      </c>
      <c r="Y342" s="6" t="str">
        <f aca="false">IF(AND(X342="processed",ISNUMBER(S342)),S342*O342,"")</f>
        <v/>
      </c>
      <c r="Z342" s="6" t="n">
        <f aca="false">IF(ISNUMBER(K342),K342*O342,0)</f>
        <v>249</v>
      </c>
      <c r="AA342" s="2" t="s">
        <v>31</v>
      </c>
      <c r="AB342" s="6" t="n">
        <v>26132</v>
      </c>
      <c r="AC342" s="6" t="n">
        <v>16081</v>
      </c>
      <c r="AD342" s="6" t="n">
        <v>141</v>
      </c>
      <c r="AE342" s="6" t="n">
        <v>1484.39526367188</v>
      </c>
      <c r="AF342" s="8" t="n">
        <v>512.195121951</v>
      </c>
      <c r="AG342" s="11" t="n">
        <v>-0.02915742794</v>
      </c>
      <c r="AH342" s="12" t="n">
        <v>1</v>
      </c>
      <c r="AI342" s="2" t="s">
        <v>317</v>
      </c>
      <c r="AJ342" s="2" t="s">
        <v>70</v>
      </c>
      <c r="AK342" s="2" t="s">
        <v>70</v>
      </c>
    </row>
    <row r="343" customFormat="false" ht="15" hidden="false" customHeight="false" outlineLevel="0" collapsed="false">
      <c r="A343" s="9" t="n">
        <v>342</v>
      </c>
      <c r="B343" s="2" t="s">
        <v>919</v>
      </c>
      <c r="C343" s="2" t="s">
        <v>920</v>
      </c>
      <c r="D343" s="2" t="s">
        <v>95</v>
      </c>
      <c r="E343" s="2" t="s">
        <v>95</v>
      </c>
      <c r="F343" s="2"/>
      <c r="G343" s="2" t="s">
        <v>330</v>
      </c>
      <c r="H343" s="8" t="n">
        <v>763.130674178193</v>
      </c>
      <c r="I343" s="2" t="s">
        <v>316</v>
      </c>
      <c r="J343" s="8" t="n">
        <v>1193433.73493976</v>
      </c>
      <c r="K343" s="6" t="n">
        <v>83</v>
      </c>
      <c r="L343" s="2"/>
      <c r="M343" s="10" t="b">
        <f aca="false">TRUE()</f>
        <v>1</v>
      </c>
      <c r="N343" s="9" t="n">
        <f aca="false">IF(H343="","",IF(H343&gt;=Assumptions!$B$5,1,IF(H343&gt;=Assumptions!$B$6,2,IF(H343&gt;=Assumptions!$B$7,3,""))))</f>
        <v>1</v>
      </c>
      <c r="O343" s="9" t="n">
        <f aca="false">IF(N343=1,Assumptions!$B$8,IF(N343=2,Assumptions!$B$9,IF(N343=3,Assumptions!$B$10,0)))</f>
        <v>3</v>
      </c>
      <c r="P343" s="6" t="s">
        <v>30</v>
      </c>
      <c r="Q343" s="6" t="s">
        <v>30</v>
      </c>
      <c r="R343" s="11" t="s">
        <v>30</v>
      </c>
      <c r="S343" s="6" t="s">
        <v>30</v>
      </c>
      <c r="T343" s="11" t="s">
        <v>30</v>
      </c>
      <c r="U343" s="6" t="s">
        <v>30</v>
      </c>
      <c r="V343" s="6" t="s">
        <v>30</v>
      </c>
      <c r="W343" s="6" t="s">
        <v>30</v>
      </c>
      <c r="X343" s="2" t="s">
        <v>30</v>
      </c>
      <c r="Y343" s="6" t="str">
        <f aca="false">IF(AND(X343="processed",ISNUMBER(S343)),S343*O343,"")</f>
        <v/>
      </c>
      <c r="Z343" s="6" t="n">
        <f aca="false">IF(ISNUMBER(K343),K343*O343,0)</f>
        <v>249</v>
      </c>
      <c r="AA343" s="2" t="s">
        <v>31</v>
      </c>
      <c r="AB343" s="6" t="n">
        <v>4391</v>
      </c>
      <c r="AC343" s="6" t="n">
        <v>3280</v>
      </c>
      <c r="AD343" s="6" t="n">
        <v>140</v>
      </c>
      <c r="AE343" s="6" t="n">
        <v>1630.51684570313</v>
      </c>
      <c r="AF343" s="8" t="n">
        <v>828.886952036</v>
      </c>
      <c r="AG343" s="11" t="n">
        <v>0.04377406421</v>
      </c>
      <c r="AH343" s="12" t="n">
        <v>0.999999999999999</v>
      </c>
      <c r="AI343" s="2" t="s">
        <v>317</v>
      </c>
      <c r="AJ343" s="2" t="s">
        <v>920</v>
      </c>
      <c r="AK343" s="2" t="s">
        <v>920</v>
      </c>
    </row>
    <row r="344" customFormat="false" ht="15" hidden="false" customHeight="false" outlineLevel="0" collapsed="false">
      <c r="A344" s="9" t="n">
        <v>343</v>
      </c>
      <c r="B344" s="2" t="s">
        <v>921</v>
      </c>
      <c r="C344" s="2" t="s">
        <v>922</v>
      </c>
      <c r="D344" s="2" t="s">
        <v>70</v>
      </c>
      <c r="E344" s="2" t="s">
        <v>71</v>
      </c>
      <c r="F344" s="2"/>
      <c r="G344" s="2" t="s">
        <v>329</v>
      </c>
      <c r="H344" s="8" t="n">
        <v>562.569474943512</v>
      </c>
      <c r="I344" s="2" t="s">
        <v>316</v>
      </c>
      <c r="J344" s="8" t="n">
        <v>1196048.38709677</v>
      </c>
      <c r="K344" s="6" t="n">
        <v>248</v>
      </c>
      <c r="L344" s="2"/>
      <c r="M344" s="10" t="b">
        <f aca="false">TRUE()</f>
        <v>1</v>
      </c>
      <c r="N344" s="9" t="n">
        <f aca="false">IF(H344="","",IF(H344&gt;=Assumptions!$B$5,1,IF(H344&gt;=Assumptions!$B$6,2,IF(H344&gt;=Assumptions!$B$7,3,""))))</f>
        <v>3</v>
      </c>
      <c r="O344" s="9" t="n">
        <f aca="false">IF(N344=1,Assumptions!$B$8,IF(N344=2,Assumptions!$B$9,IF(N344=3,Assumptions!$B$10,0)))</f>
        <v>1</v>
      </c>
      <c r="P344" s="6" t="s">
        <v>30</v>
      </c>
      <c r="Q344" s="6" t="s">
        <v>30</v>
      </c>
      <c r="R344" s="11" t="s">
        <v>30</v>
      </c>
      <c r="S344" s="6" t="s">
        <v>30</v>
      </c>
      <c r="T344" s="11" t="s">
        <v>30</v>
      </c>
      <c r="U344" s="6" t="s">
        <v>30</v>
      </c>
      <c r="V344" s="6" t="s">
        <v>30</v>
      </c>
      <c r="W344" s="6" t="s">
        <v>30</v>
      </c>
      <c r="X344" s="2" t="s">
        <v>30</v>
      </c>
      <c r="Y344" s="6" t="str">
        <f aca="false">IF(AND(X344="processed",ISNUMBER(S344)),S344*O344,"")</f>
        <v/>
      </c>
      <c r="Z344" s="6" t="n">
        <f aca="false">IF(ISNUMBER(K344),K344*O344,0)</f>
        <v>248</v>
      </c>
      <c r="AA344" s="2" t="s">
        <v>31</v>
      </c>
      <c r="AB344" s="6" t="n">
        <v>13495</v>
      </c>
      <c r="AC344" s="6" t="n">
        <v>12399</v>
      </c>
      <c r="AD344" s="6" t="n">
        <v>127</v>
      </c>
      <c r="AE344" s="6" t="n">
        <v>2669.17309570313</v>
      </c>
      <c r="AF344" s="8" t="n">
        <v>566.437546483</v>
      </c>
      <c r="AG344" s="11" t="n">
        <v>-0.01350791615</v>
      </c>
      <c r="AH344" s="12" t="n">
        <v>0.999339680265709</v>
      </c>
      <c r="AI344" s="2" t="s">
        <v>317</v>
      </c>
      <c r="AJ344" s="2" t="s">
        <v>922</v>
      </c>
      <c r="AK344" s="2" t="s">
        <v>922</v>
      </c>
    </row>
    <row r="345" customFormat="false" ht="15" hidden="false" customHeight="false" outlineLevel="0" collapsed="false">
      <c r="A345" s="9" t="n">
        <v>344</v>
      </c>
      <c r="B345" s="2" t="s">
        <v>923</v>
      </c>
      <c r="C345" s="2" t="s">
        <v>924</v>
      </c>
      <c r="D345" s="2" t="s">
        <v>70</v>
      </c>
      <c r="E345" s="2" t="s">
        <v>71</v>
      </c>
      <c r="F345" s="2" t="s">
        <v>925</v>
      </c>
      <c r="G345" s="2" t="s">
        <v>329</v>
      </c>
      <c r="H345" s="8" t="n">
        <v>653.78933850852</v>
      </c>
      <c r="I345" s="2" t="s">
        <v>316</v>
      </c>
      <c r="J345" s="8" t="n">
        <v>920170.731707317</v>
      </c>
      <c r="K345" s="6" t="n">
        <v>123</v>
      </c>
      <c r="L345" s="2"/>
      <c r="M345" s="10" t="b">
        <f aca="false">TRUE()</f>
        <v>1</v>
      </c>
      <c r="N345" s="9" t="n">
        <f aca="false">IF(H345="","",IF(H345&gt;=Assumptions!$B$5,1,IF(H345&gt;=Assumptions!$B$6,2,IF(H345&gt;=Assumptions!$B$7,3,""))))</f>
        <v>2</v>
      </c>
      <c r="O345" s="9" t="n">
        <f aca="false">IF(N345=1,Assumptions!$B$8,IF(N345=2,Assumptions!$B$9,IF(N345=3,Assumptions!$B$10,0)))</f>
        <v>2</v>
      </c>
      <c r="P345" s="6" t="s">
        <v>30</v>
      </c>
      <c r="Q345" s="6" t="s">
        <v>30</v>
      </c>
      <c r="R345" s="11" t="s">
        <v>30</v>
      </c>
      <c r="S345" s="6" t="s">
        <v>30</v>
      </c>
      <c r="T345" s="11" t="s">
        <v>30</v>
      </c>
      <c r="U345" s="6" t="s">
        <v>30</v>
      </c>
      <c r="V345" s="6" t="s">
        <v>30</v>
      </c>
      <c r="W345" s="6" t="s">
        <v>30</v>
      </c>
      <c r="X345" s="2" t="s">
        <v>30</v>
      </c>
      <c r="Y345" s="6" t="str">
        <f aca="false">IF(AND(X345="processed",ISNUMBER(S345)),S345*O345,"")</f>
        <v/>
      </c>
      <c r="Z345" s="6" t="n">
        <f aca="false">IF(ISNUMBER(K345),K345*O345,0)</f>
        <v>246</v>
      </c>
      <c r="AA345" s="2" t="s">
        <v>31</v>
      </c>
      <c r="AB345" s="6" t="n">
        <v>20677</v>
      </c>
      <c r="AC345" s="6" t="n">
        <v>16836</v>
      </c>
      <c r="AD345" s="6" t="n">
        <v>376</v>
      </c>
      <c r="AE345" s="6" t="n">
        <v>1747.396484375</v>
      </c>
      <c r="AF345" s="8" t="n">
        <v>634.674922601</v>
      </c>
      <c r="AG345" s="11" t="n">
        <v>-0.09690205281</v>
      </c>
      <c r="AH345" s="12" t="n">
        <v>0.999999999999999</v>
      </c>
      <c r="AI345" s="2" t="s">
        <v>317</v>
      </c>
      <c r="AJ345" s="2" t="s">
        <v>924</v>
      </c>
      <c r="AK345" s="2" t="s">
        <v>926</v>
      </c>
    </row>
    <row r="346" customFormat="false" ht="15" hidden="false" customHeight="false" outlineLevel="0" collapsed="false">
      <c r="A346" s="9" t="n">
        <v>345</v>
      </c>
      <c r="B346" s="2" t="s">
        <v>927</v>
      </c>
      <c r="C346" s="2" t="s">
        <v>885</v>
      </c>
      <c r="D346" s="2" t="s">
        <v>44</v>
      </c>
      <c r="E346" s="2" t="s">
        <v>44</v>
      </c>
      <c r="F346" s="2" t="s">
        <v>928</v>
      </c>
      <c r="G346" s="2" t="s">
        <v>322</v>
      </c>
      <c r="H346" s="8" t="n">
        <v>524.001510420146</v>
      </c>
      <c r="I346" s="2" t="s">
        <v>316</v>
      </c>
      <c r="J346" s="8" t="n">
        <v>958215.447154472</v>
      </c>
      <c r="K346" s="6" t="n">
        <v>246</v>
      </c>
      <c r="L346" s="2"/>
      <c r="M346" s="10" t="b">
        <f aca="false">TRUE()</f>
        <v>1</v>
      </c>
      <c r="N346" s="9" t="n">
        <f aca="false">IF(H346="","",IF(H346&gt;=Assumptions!$B$5,1,IF(H346&gt;=Assumptions!$B$6,2,IF(H346&gt;=Assumptions!$B$7,3,""))))</f>
        <v>3</v>
      </c>
      <c r="O346" s="9" t="n">
        <f aca="false">IF(N346=1,Assumptions!$B$8,IF(N346=2,Assumptions!$B$9,IF(N346=3,Assumptions!$B$10,0)))</f>
        <v>1</v>
      </c>
      <c r="P346" s="6" t="s">
        <v>30</v>
      </c>
      <c r="Q346" s="6" t="s">
        <v>30</v>
      </c>
      <c r="R346" s="11" t="s">
        <v>30</v>
      </c>
      <c r="S346" s="6" t="s">
        <v>30</v>
      </c>
      <c r="T346" s="11" t="s">
        <v>30</v>
      </c>
      <c r="U346" s="6" t="s">
        <v>30</v>
      </c>
      <c r="V346" s="6" t="s">
        <v>30</v>
      </c>
      <c r="W346" s="6" t="s">
        <v>30</v>
      </c>
      <c r="X346" s="2" t="s">
        <v>30</v>
      </c>
      <c r="Y346" s="6" t="str">
        <f aca="false">IF(AND(X346="processed",ISNUMBER(S346)),S346*O346,"")</f>
        <v/>
      </c>
      <c r="Z346" s="6" t="n">
        <f aca="false">IF(ISNUMBER(K346),K346*O346,0)</f>
        <v>246</v>
      </c>
      <c r="AA346" s="2" t="s">
        <v>31</v>
      </c>
      <c r="AB346" s="6" t="n">
        <v>13689</v>
      </c>
      <c r="AC346" s="6" t="n">
        <v>11728</v>
      </c>
      <c r="AD346" s="6" t="n">
        <v>9653</v>
      </c>
      <c r="AE346" s="6" t="n">
        <v>2360.86474609375</v>
      </c>
      <c r="AF346" s="8" t="n">
        <v>526.762956669</v>
      </c>
      <c r="AG346" s="11" t="n">
        <v>-0.01572671227</v>
      </c>
      <c r="AH346" s="12" t="n">
        <v>1</v>
      </c>
      <c r="AI346" s="2" t="s">
        <v>317</v>
      </c>
      <c r="AJ346" s="2" t="s">
        <v>885</v>
      </c>
      <c r="AK346" s="2" t="s">
        <v>885</v>
      </c>
    </row>
    <row r="347" customFormat="false" ht="15" hidden="false" customHeight="false" outlineLevel="0" collapsed="false">
      <c r="A347" s="9" t="n">
        <v>346</v>
      </c>
      <c r="B347" s="2" t="s">
        <v>929</v>
      </c>
      <c r="C347" s="2" t="s">
        <v>38</v>
      </c>
      <c r="D347" s="2" t="s">
        <v>39</v>
      </c>
      <c r="E347" s="2" t="s">
        <v>40</v>
      </c>
      <c r="F347" s="2"/>
      <c r="G347" s="2" t="s">
        <v>320</v>
      </c>
      <c r="H347" s="8" t="n">
        <v>1452.39258104322</v>
      </c>
      <c r="I347" s="2" t="s">
        <v>316</v>
      </c>
      <c r="J347" s="8" t="n">
        <v>2145903.04878049</v>
      </c>
      <c r="K347" s="6" t="n">
        <v>82</v>
      </c>
      <c r="L347" s="2"/>
      <c r="M347" s="10" t="b">
        <f aca="false">TRUE()</f>
        <v>1</v>
      </c>
      <c r="N347" s="9" t="n">
        <f aca="false">IF(H347="","",IF(H347&gt;=Assumptions!$B$5,1,IF(H347&gt;=Assumptions!$B$6,2,IF(H347&gt;=Assumptions!$B$7,3,""))))</f>
        <v>1</v>
      </c>
      <c r="O347" s="9" t="n">
        <f aca="false">IF(N347=1,Assumptions!$B$8,IF(N347=2,Assumptions!$B$9,IF(N347=3,Assumptions!$B$10,0)))</f>
        <v>3</v>
      </c>
      <c r="P347" s="6" t="s">
        <v>30</v>
      </c>
      <c r="Q347" s="6" t="s">
        <v>30</v>
      </c>
      <c r="R347" s="11" t="s">
        <v>30</v>
      </c>
      <c r="S347" s="6" t="s">
        <v>30</v>
      </c>
      <c r="T347" s="11" t="s">
        <v>30</v>
      </c>
      <c r="U347" s="6" t="s">
        <v>30</v>
      </c>
      <c r="V347" s="6" t="s">
        <v>30</v>
      </c>
      <c r="W347" s="6" t="s">
        <v>30</v>
      </c>
      <c r="X347" s="2" t="s">
        <v>30</v>
      </c>
      <c r="Y347" s="6" t="str">
        <f aca="false">IF(AND(X347="processed",ISNUMBER(S347)),S347*O347,"")</f>
        <v/>
      </c>
      <c r="Z347" s="6" t="n">
        <f aca="false">IF(ISNUMBER(K347),K347*O347,0)</f>
        <v>246</v>
      </c>
      <c r="AA347" s="2" t="s">
        <v>31</v>
      </c>
      <c r="AB347" s="6" t="n">
        <v>5200</v>
      </c>
      <c r="AC347" s="6" t="n">
        <v>4008</v>
      </c>
      <c r="AD347" s="6" t="n">
        <v>19</v>
      </c>
      <c r="AE347" s="6" t="n">
        <v>2396.7421875</v>
      </c>
      <c r="AF347" s="8" t="n">
        <v>1489.995742869</v>
      </c>
      <c r="AG347" s="11" t="n">
        <v>-0.02815320182</v>
      </c>
      <c r="AH347" s="12" t="n">
        <v>0.999999999999999</v>
      </c>
      <c r="AI347" s="2" t="s">
        <v>317</v>
      </c>
      <c r="AJ347" s="2" t="s">
        <v>38</v>
      </c>
      <c r="AK347" s="2" t="s">
        <v>38</v>
      </c>
    </row>
    <row r="348" customFormat="false" ht="15" hidden="false" customHeight="false" outlineLevel="0" collapsed="false">
      <c r="A348" s="9" t="n">
        <v>347</v>
      </c>
      <c r="B348" s="2" t="s">
        <v>930</v>
      </c>
      <c r="C348" s="2" t="s">
        <v>931</v>
      </c>
      <c r="D348" s="2" t="s">
        <v>70</v>
      </c>
      <c r="E348" s="2" t="s">
        <v>71</v>
      </c>
      <c r="F348" s="2" t="s">
        <v>932</v>
      </c>
      <c r="G348" s="2" t="s">
        <v>329</v>
      </c>
      <c r="H348" s="8" t="n">
        <v>539.018661407</v>
      </c>
      <c r="I348" s="2" t="s">
        <v>316</v>
      </c>
      <c r="J348" s="8" t="n">
        <v>1026741.80327869</v>
      </c>
      <c r="K348" s="6" t="n">
        <v>244</v>
      </c>
      <c r="L348" s="2"/>
      <c r="M348" s="10" t="b">
        <f aca="false">TRUE()</f>
        <v>1</v>
      </c>
      <c r="N348" s="9" t="n">
        <f aca="false">IF(H348="","",IF(H348&gt;=Assumptions!$B$5,1,IF(H348&gt;=Assumptions!$B$6,2,IF(H348&gt;=Assumptions!$B$7,3,""))))</f>
        <v>3</v>
      </c>
      <c r="O348" s="9" t="n">
        <f aca="false">IF(N348=1,Assumptions!$B$8,IF(N348=2,Assumptions!$B$9,IF(N348=3,Assumptions!$B$10,0)))</f>
        <v>1</v>
      </c>
      <c r="P348" s="6" t="s">
        <v>30</v>
      </c>
      <c r="Q348" s="6" t="s">
        <v>30</v>
      </c>
      <c r="R348" s="11" t="s">
        <v>30</v>
      </c>
      <c r="S348" s="6" t="s">
        <v>30</v>
      </c>
      <c r="T348" s="11" t="s">
        <v>30</v>
      </c>
      <c r="U348" s="6" t="s">
        <v>30</v>
      </c>
      <c r="V348" s="6" t="s">
        <v>30</v>
      </c>
      <c r="W348" s="6" t="s">
        <v>30</v>
      </c>
      <c r="X348" s="2" t="s">
        <v>30</v>
      </c>
      <c r="Y348" s="6" t="str">
        <f aca="false">IF(AND(X348="processed",ISNUMBER(S348)),S348*O348,"")</f>
        <v/>
      </c>
      <c r="Z348" s="6" t="n">
        <f aca="false">IF(ISNUMBER(K348),K348*O348,0)</f>
        <v>244</v>
      </c>
      <c r="AA348" s="2" t="s">
        <v>31</v>
      </c>
      <c r="AB348" s="6" t="n">
        <v>13889</v>
      </c>
      <c r="AC348" s="6" t="n">
        <v>10713</v>
      </c>
      <c r="AD348" s="6" t="n">
        <v>308</v>
      </c>
      <c r="AE348" s="6" t="n">
        <v>2635.70361328125</v>
      </c>
      <c r="AF348" s="8" t="n">
        <v>542.635658915</v>
      </c>
      <c r="AG348" s="11" t="n">
        <v>-0.01682120151</v>
      </c>
      <c r="AH348" s="12" t="n">
        <v>0.856343550503311</v>
      </c>
      <c r="AI348" s="2" t="s">
        <v>317</v>
      </c>
      <c r="AJ348" s="2" t="s">
        <v>931</v>
      </c>
      <c r="AK348" s="2" t="s">
        <v>70</v>
      </c>
    </row>
    <row r="349" customFormat="false" ht="15" hidden="false" customHeight="false" outlineLevel="0" collapsed="false">
      <c r="A349" s="9" t="n">
        <v>348</v>
      </c>
      <c r="B349" s="2" t="s">
        <v>933</v>
      </c>
      <c r="C349" s="2" t="s">
        <v>934</v>
      </c>
      <c r="D349" s="2" t="s">
        <v>70</v>
      </c>
      <c r="E349" s="2" t="s">
        <v>71</v>
      </c>
      <c r="F349" s="2"/>
      <c r="G349" s="2" t="s">
        <v>329</v>
      </c>
      <c r="H349" s="8" t="n">
        <v>561.16914277693</v>
      </c>
      <c r="I349" s="2" t="s">
        <v>316</v>
      </c>
      <c r="J349" s="8" t="n">
        <v>1126762.29508197</v>
      </c>
      <c r="K349" s="6" t="n">
        <v>244</v>
      </c>
      <c r="L349" s="2"/>
      <c r="M349" s="10" t="b">
        <f aca="false">TRUE()</f>
        <v>1</v>
      </c>
      <c r="N349" s="9" t="n">
        <f aca="false">IF(H349="","",IF(H349&gt;=Assumptions!$B$5,1,IF(H349&gt;=Assumptions!$B$6,2,IF(H349&gt;=Assumptions!$B$7,3,""))))</f>
        <v>3</v>
      </c>
      <c r="O349" s="9" t="n">
        <f aca="false">IF(N349=1,Assumptions!$B$8,IF(N349=2,Assumptions!$B$9,IF(N349=3,Assumptions!$B$10,0)))</f>
        <v>1</v>
      </c>
      <c r="P349" s="6" t="s">
        <v>30</v>
      </c>
      <c r="Q349" s="6" t="s">
        <v>30</v>
      </c>
      <c r="R349" s="11" t="s">
        <v>30</v>
      </c>
      <c r="S349" s="6" t="s">
        <v>30</v>
      </c>
      <c r="T349" s="11" t="s">
        <v>30</v>
      </c>
      <c r="U349" s="6" t="s">
        <v>30</v>
      </c>
      <c r="V349" s="6" t="s">
        <v>30</v>
      </c>
      <c r="W349" s="6" t="s">
        <v>30</v>
      </c>
      <c r="X349" s="2" t="s">
        <v>30</v>
      </c>
      <c r="Y349" s="6" t="str">
        <f aca="false">IF(AND(X349="processed",ISNUMBER(S349)),S349*O349,"")</f>
        <v/>
      </c>
      <c r="Z349" s="6" t="n">
        <f aca="false">IF(ISNUMBER(K349),K349*O349,0)</f>
        <v>244</v>
      </c>
      <c r="AA349" s="2" t="s">
        <v>31</v>
      </c>
      <c r="AB349" s="6" t="n">
        <v>13368</v>
      </c>
      <c r="AC349" s="6" t="n">
        <v>11074</v>
      </c>
      <c r="AD349" s="6" t="n">
        <v>441</v>
      </c>
      <c r="AE349" s="6" t="n">
        <v>2770.673828125</v>
      </c>
      <c r="AF349" s="8" t="n">
        <v>576.923076923</v>
      </c>
      <c r="AG349" s="11" t="n">
        <v>0.07353439512</v>
      </c>
      <c r="AH349" s="12" t="n">
        <v>0.998869955338887</v>
      </c>
      <c r="AI349" s="2" t="s">
        <v>317</v>
      </c>
      <c r="AJ349" s="2" t="s">
        <v>934</v>
      </c>
      <c r="AK349" s="2" t="s">
        <v>934</v>
      </c>
    </row>
    <row r="350" customFormat="false" ht="15" hidden="false" customHeight="false" outlineLevel="0" collapsed="false">
      <c r="A350" s="9" t="n">
        <v>349</v>
      </c>
      <c r="B350" s="2" t="s">
        <v>935</v>
      </c>
      <c r="C350" s="2" t="s">
        <v>70</v>
      </c>
      <c r="D350" s="2" t="s">
        <v>70</v>
      </c>
      <c r="E350" s="2" t="s">
        <v>71</v>
      </c>
      <c r="F350" s="2" t="s">
        <v>936</v>
      </c>
      <c r="G350" s="2" t="s">
        <v>329</v>
      </c>
      <c r="H350" s="8" t="n">
        <v>741.085887574519</v>
      </c>
      <c r="I350" s="2" t="s">
        <v>316</v>
      </c>
      <c r="J350" s="8" t="n">
        <v>1003703.7037037</v>
      </c>
      <c r="K350" s="6" t="n">
        <v>81</v>
      </c>
      <c r="L350" s="2"/>
      <c r="M350" s="10" t="b">
        <f aca="false">TRUE()</f>
        <v>1</v>
      </c>
      <c r="N350" s="9" t="n">
        <f aca="false">IF(H350="","",IF(H350&gt;=Assumptions!$B$5,1,IF(H350&gt;=Assumptions!$B$6,2,IF(H350&gt;=Assumptions!$B$7,3,""))))</f>
        <v>1</v>
      </c>
      <c r="O350" s="9" t="n">
        <f aca="false">IF(N350=1,Assumptions!$B$8,IF(N350=2,Assumptions!$B$9,IF(N350=3,Assumptions!$B$10,0)))</f>
        <v>3</v>
      </c>
      <c r="P350" s="6" t="s">
        <v>30</v>
      </c>
      <c r="Q350" s="6" t="s">
        <v>30</v>
      </c>
      <c r="R350" s="11" t="s">
        <v>30</v>
      </c>
      <c r="S350" s="6" t="s">
        <v>30</v>
      </c>
      <c r="T350" s="11" t="s">
        <v>30</v>
      </c>
      <c r="U350" s="6" t="s">
        <v>30</v>
      </c>
      <c r="V350" s="6" t="s">
        <v>30</v>
      </c>
      <c r="W350" s="6" t="s">
        <v>30</v>
      </c>
      <c r="X350" s="2" t="s">
        <v>30</v>
      </c>
      <c r="Y350" s="6" t="str">
        <f aca="false">IF(AND(X350="processed",ISNUMBER(S350)),S350*O350,"")</f>
        <v/>
      </c>
      <c r="Z350" s="6" t="n">
        <f aca="false">IF(ISNUMBER(K350),K350*O350,0)</f>
        <v>243</v>
      </c>
      <c r="AA350" s="2" t="s">
        <v>31</v>
      </c>
      <c r="AB350" s="6" t="n">
        <v>10228</v>
      </c>
      <c r="AC350" s="6" t="n">
        <v>7288</v>
      </c>
      <c r="AD350" s="6" t="n">
        <v>81</v>
      </c>
      <c r="AE350" s="6" t="n">
        <v>1503.24438476563</v>
      </c>
      <c r="AF350" s="8" t="n">
        <v>709.411210497</v>
      </c>
      <c r="AG350" s="11" t="n">
        <v>-0.05327685432</v>
      </c>
      <c r="AH350" s="12" t="n">
        <v>1</v>
      </c>
      <c r="AI350" s="2" t="s">
        <v>317</v>
      </c>
      <c r="AJ350" s="2" t="s">
        <v>70</v>
      </c>
      <c r="AK350" s="2" t="s">
        <v>70</v>
      </c>
    </row>
    <row r="351" customFormat="false" ht="15" hidden="false" customHeight="false" outlineLevel="0" collapsed="false">
      <c r="A351" s="9" t="n">
        <v>350</v>
      </c>
      <c r="B351" s="2" t="s">
        <v>937</v>
      </c>
      <c r="C351" s="2" t="s">
        <v>798</v>
      </c>
      <c r="D351" s="2" t="s">
        <v>70</v>
      </c>
      <c r="E351" s="2" t="s">
        <v>71</v>
      </c>
      <c r="F351" s="2" t="s">
        <v>938</v>
      </c>
      <c r="G351" s="2" t="s">
        <v>329</v>
      </c>
      <c r="H351" s="8" t="n">
        <v>755.93059754842</v>
      </c>
      <c r="I351" s="2" t="s">
        <v>316</v>
      </c>
      <c r="J351" s="8" t="n">
        <v>1172827.16049383</v>
      </c>
      <c r="K351" s="6" t="n">
        <v>81</v>
      </c>
      <c r="L351" s="2"/>
      <c r="M351" s="10" t="b">
        <f aca="false">TRUE()</f>
        <v>1</v>
      </c>
      <c r="N351" s="9" t="n">
        <f aca="false">IF(H351="","",IF(H351&gt;=Assumptions!$B$5,1,IF(H351&gt;=Assumptions!$B$6,2,IF(H351&gt;=Assumptions!$B$7,3,""))))</f>
        <v>1</v>
      </c>
      <c r="O351" s="9" t="n">
        <f aca="false">IF(N351=1,Assumptions!$B$8,IF(N351=2,Assumptions!$B$9,IF(N351=3,Assumptions!$B$10,0)))</f>
        <v>3</v>
      </c>
      <c r="P351" s="6" t="s">
        <v>30</v>
      </c>
      <c r="Q351" s="6" t="s">
        <v>30</v>
      </c>
      <c r="R351" s="11" t="s">
        <v>30</v>
      </c>
      <c r="S351" s="6" t="s">
        <v>30</v>
      </c>
      <c r="T351" s="11" t="s">
        <v>30</v>
      </c>
      <c r="U351" s="6" t="s">
        <v>30</v>
      </c>
      <c r="V351" s="6" t="s">
        <v>30</v>
      </c>
      <c r="W351" s="6" t="s">
        <v>30</v>
      </c>
      <c r="X351" s="2" t="s">
        <v>30</v>
      </c>
      <c r="Y351" s="6" t="str">
        <f aca="false">IF(AND(X351="processed",ISNUMBER(S351)),S351*O351,"")</f>
        <v/>
      </c>
      <c r="Z351" s="6" t="n">
        <f aca="false">IF(ISNUMBER(K351),K351*O351,0)</f>
        <v>243</v>
      </c>
      <c r="AA351" s="2" t="s">
        <v>31</v>
      </c>
      <c r="AB351" s="6" t="n">
        <v>9619</v>
      </c>
      <c r="AC351" s="6" t="n">
        <v>6491</v>
      </c>
      <c r="AD351" s="6" t="n">
        <v>107</v>
      </c>
      <c r="AE351" s="6" t="n">
        <v>1741.18188476563</v>
      </c>
      <c r="AF351" s="8" t="n">
        <v>767.909244472</v>
      </c>
      <c r="AG351" s="11" t="n">
        <v>-0.06693472491</v>
      </c>
      <c r="AH351" s="12" t="n">
        <v>0.999999999999999</v>
      </c>
      <c r="AI351" s="2" t="s">
        <v>317</v>
      </c>
      <c r="AJ351" s="2" t="s">
        <v>798</v>
      </c>
      <c r="AK351" s="2" t="s">
        <v>70</v>
      </c>
    </row>
    <row r="352" customFormat="false" ht="15" hidden="false" customHeight="false" outlineLevel="0" collapsed="false">
      <c r="A352" s="9" t="n">
        <v>351</v>
      </c>
      <c r="B352" s="2" t="s">
        <v>939</v>
      </c>
      <c r="C352" s="2" t="s">
        <v>138</v>
      </c>
      <c r="D352" s="2" t="s">
        <v>27</v>
      </c>
      <c r="E352" s="2" t="s">
        <v>28</v>
      </c>
      <c r="F352" s="2" t="s">
        <v>940</v>
      </c>
      <c r="G352" s="2" t="s">
        <v>315</v>
      </c>
      <c r="H352" s="8" t="n">
        <v>1649.78047956643</v>
      </c>
      <c r="I352" s="2" t="s">
        <v>316</v>
      </c>
      <c r="J352" s="8" t="n">
        <v>8198765.43209877</v>
      </c>
      <c r="K352" s="6" t="n">
        <v>81</v>
      </c>
      <c r="L352" s="2"/>
      <c r="M352" s="10" t="b">
        <f aca="false">TRUE()</f>
        <v>1</v>
      </c>
      <c r="N352" s="9" t="n">
        <f aca="false">IF(H352="","",IF(H352&gt;=Assumptions!$B$5,1,IF(H352&gt;=Assumptions!$B$6,2,IF(H352&gt;=Assumptions!$B$7,3,""))))</f>
        <v>1</v>
      </c>
      <c r="O352" s="9" t="n">
        <f aca="false">IF(N352=1,Assumptions!$B$8,IF(N352=2,Assumptions!$B$9,IF(N352=3,Assumptions!$B$10,0)))</f>
        <v>3</v>
      </c>
      <c r="P352" s="6" t="s">
        <v>30</v>
      </c>
      <c r="Q352" s="6" t="s">
        <v>30</v>
      </c>
      <c r="R352" s="11" t="s">
        <v>30</v>
      </c>
      <c r="S352" s="6" t="s">
        <v>30</v>
      </c>
      <c r="T352" s="11" t="s">
        <v>30</v>
      </c>
      <c r="U352" s="6" t="s">
        <v>30</v>
      </c>
      <c r="V352" s="6" t="s">
        <v>30</v>
      </c>
      <c r="W352" s="6" t="s">
        <v>30</v>
      </c>
      <c r="X352" s="2" t="s">
        <v>30</v>
      </c>
      <c r="Y352" s="6" t="str">
        <f aca="false">IF(AND(X352="processed",ISNUMBER(S352)),S352*O352,"")</f>
        <v/>
      </c>
      <c r="Z352" s="6" t="n">
        <f aca="false">IF(ISNUMBER(K352),K352*O352,0)</f>
        <v>243</v>
      </c>
      <c r="AA352" s="2" t="s">
        <v>31</v>
      </c>
      <c r="AB352" s="6" t="n">
        <v>3851</v>
      </c>
      <c r="AC352" s="6" t="n">
        <v>2967</v>
      </c>
      <c r="AD352" s="6" t="n">
        <v>36</v>
      </c>
      <c r="AE352" s="6" t="n">
        <v>2964.07861328125</v>
      </c>
      <c r="AF352" s="8" t="n">
        <v>1590.79826651</v>
      </c>
      <c r="AG352" s="11" t="n">
        <v>-0.04138909654</v>
      </c>
      <c r="AH352" s="12" t="n">
        <v>0.960043476499079</v>
      </c>
      <c r="AI352" s="2" t="s">
        <v>317</v>
      </c>
      <c r="AJ352" s="2" t="s">
        <v>138</v>
      </c>
      <c r="AK352" s="2" t="s">
        <v>138</v>
      </c>
    </row>
    <row r="353" customFormat="false" ht="15" hidden="false" customHeight="false" outlineLevel="0" collapsed="false">
      <c r="A353" s="9" t="n">
        <v>352</v>
      </c>
      <c r="B353" s="2" t="s">
        <v>941</v>
      </c>
      <c r="C353" s="2" t="s">
        <v>133</v>
      </c>
      <c r="D353" s="2" t="s">
        <v>34</v>
      </c>
      <c r="E353" s="2" t="s">
        <v>35</v>
      </c>
      <c r="F353" s="2" t="s">
        <v>942</v>
      </c>
      <c r="G353" s="2" t="s">
        <v>318</v>
      </c>
      <c r="H353" s="8" t="n">
        <v>801.04818809258</v>
      </c>
      <c r="I353" s="2" t="s">
        <v>316</v>
      </c>
      <c r="J353" s="8" t="n">
        <v>1277098.7654321</v>
      </c>
      <c r="K353" s="6" t="n">
        <v>81</v>
      </c>
      <c r="L353" s="2"/>
      <c r="M353" s="10" t="b">
        <f aca="false">TRUE()</f>
        <v>1</v>
      </c>
      <c r="N353" s="9" t="n">
        <f aca="false">IF(H353="","",IF(H353&gt;=Assumptions!$B$5,1,IF(H353&gt;=Assumptions!$B$6,2,IF(H353&gt;=Assumptions!$B$7,3,""))))</f>
        <v>1</v>
      </c>
      <c r="O353" s="9" t="n">
        <f aca="false">IF(N353=1,Assumptions!$B$8,IF(N353=2,Assumptions!$B$9,IF(N353=3,Assumptions!$B$10,0)))</f>
        <v>3</v>
      </c>
      <c r="P353" s="6" t="s">
        <v>30</v>
      </c>
      <c r="Q353" s="6" t="s">
        <v>30</v>
      </c>
      <c r="R353" s="11" t="s">
        <v>30</v>
      </c>
      <c r="S353" s="6" t="s">
        <v>30</v>
      </c>
      <c r="T353" s="11" t="s">
        <v>30</v>
      </c>
      <c r="U353" s="6" t="s">
        <v>30</v>
      </c>
      <c r="V353" s="6" t="s">
        <v>30</v>
      </c>
      <c r="W353" s="6" t="s">
        <v>30</v>
      </c>
      <c r="X353" s="2" t="s">
        <v>30</v>
      </c>
      <c r="Y353" s="6" t="str">
        <f aca="false">IF(AND(X353="processed",ISNUMBER(S353)),S353*O353,"")</f>
        <v/>
      </c>
      <c r="Z353" s="6" t="n">
        <f aca="false">IF(ISNUMBER(K353),K353*O353,0)</f>
        <v>243</v>
      </c>
      <c r="AA353" s="2" t="s">
        <v>31</v>
      </c>
      <c r="AB353" s="6" t="n">
        <v>7550</v>
      </c>
      <c r="AC353" s="6" t="n">
        <v>5513</v>
      </c>
      <c r="AD353" s="6" t="n">
        <v>66</v>
      </c>
      <c r="AE353" s="6" t="n">
        <v>1555.462890625</v>
      </c>
      <c r="AF353" s="8" t="n">
        <v>835.289514867</v>
      </c>
      <c r="AG353" s="11" t="n">
        <v>0.1100446446</v>
      </c>
      <c r="AH353" s="12" t="n">
        <v>0.999999999999999</v>
      </c>
      <c r="AI353" s="2" t="s">
        <v>319</v>
      </c>
      <c r="AJ353" s="2"/>
      <c r="AK353" s="2" t="s">
        <v>133</v>
      </c>
    </row>
    <row r="354" customFormat="false" ht="15" hidden="false" customHeight="false" outlineLevel="0" collapsed="false">
      <c r="A354" s="9" t="n">
        <v>353</v>
      </c>
      <c r="B354" s="2" t="s">
        <v>943</v>
      </c>
      <c r="C354" s="2" t="s">
        <v>507</v>
      </c>
      <c r="D354" s="2" t="s">
        <v>190</v>
      </c>
      <c r="E354" s="2" t="s">
        <v>51</v>
      </c>
      <c r="F354" s="2"/>
      <c r="G354" s="2" t="s">
        <v>336</v>
      </c>
      <c r="H354" s="8" t="n">
        <v>508.570286707901</v>
      </c>
      <c r="I354" s="2" t="s">
        <v>316</v>
      </c>
      <c r="J354" s="8" t="n">
        <v>846584.362139918</v>
      </c>
      <c r="K354" s="6" t="n">
        <v>243</v>
      </c>
      <c r="L354" s="2"/>
      <c r="M354" s="10" t="b">
        <f aca="false">TRUE()</f>
        <v>1</v>
      </c>
      <c r="N354" s="9" t="n">
        <f aca="false">IF(H354="","",IF(H354&gt;=Assumptions!$B$5,1,IF(H354&gt;=Assumptions!$B$6,2,IF(H354&gt;=Assumptions!$B$7,3,""))))</f>
        <v>3</v>
      </c>
      <c r="O354" s="9" t="n">
        <f aca="false">IF(N354=1,Assumptions!$B$8,IF(N354=2,Assumptions!$B$9,IF(N354=3,Assumptions!$B$10,0)))</f>
        <v>1</v>
      </c>
      <c r="P354" s="6" t="s">
        <v>30</v>
      </c>
      <c r="Q354" s="6" t="s">
        <v>30</v>
      </c>
      <c r="R354" s="11" t="s">
        <v>30</v>
      </c>
      <c r="S354" s="6" t="s">
        <v>30</v>
      </c>
      <c r="T354" s="11" t="s">
        <v>30</v>
      </c>
      <c r="U354" s="6" t="s">
        <v>30</v>
      </c>
      <c r="V354" s="6" t="s">
        <v>30</v>
      </c>
      <c r="W354" s="6" t="s">
        <v>30</v>
      </c>
      <c r="X354" s="2" t="s">
        <v>30</v>
      </c>
      <c r="Y354" s="6" t="str">
        <f aca="false">IF(AND(X354="processed",ISNUMBER(S354)),S354*O354,"")</f>
        <v/>
      </c>
      <c r="Z354" s="6" t="n">
        <f aca="false">IF(ISNUMBER(K354),K354*O354,0)</f>
        <v>243</v>
      </c>
      <c r="AA354" s="2" t="s">
        <v>31</v>
      </c>
      <c r="AB354" s="6" t="n">
        <v>16995</v>
      </c>
      <c r="AC354" s="6" t="n">
        <v>13076</v>
      </c>
      <c r="AD354" s="6" t="n">
        <v>296</v>
      </c>
      <c r="AE354" s="6" t="n">
        <v>2203.22265625</v>
      </c>
      <c r="AF354" s="8" t="n">
        <v>529.531568228</v>
      </c>
      <c r="AG354" s="11" t="n">
        <v>-0.04959005721</v>
      </c>
      <c r="AH354" s="12" t="n">
        <v>0.984302333434161</v>
      </c>
      <c r="AI354" s="2" t="s">
        <v>317</v>
      </c>
      <c r="AJ354" s="2" t="s">
        <v>507</v>
      </c>
      <c r="AK354" s="2" t="s">
        <v>507</v>
      </c>
    </row>
    <row r="355" customFormat="false" ht="15" hidden="false" customHeight="false" outlineLevel="0" collapsed="false">
      <c r="A355" s="9" t="n">
        <v>354</v>
      </c>
      <c r="B355" s="2" t="s">
        <v>944</v>
      </c>
      <c r="C355" s="2" t="s">
        <v>273</v>
      </c>
      <c r="D355" s="2" t="s">
        <v>273</v>
      </c>
      <c r="E355" s="2" t="s">
        <v>273</v>
      </c>
      <c r="F355" s="2"/>
      <c r="G355" s="2" t="s">
        <v>348</v>
      </c>
      <c r="H355" s="8" t="n">
        <v>590.634002698215</v>
      </c>
      <c r="I355" s="2" t="s">
        <v>316</v>
      </c>
      <c r="J355" s="8" t="n">
        <v>998553.719008265</v>
      </c>
      <c r="K355" s="6" t="n">
        <v>242</v>
      </c>
      <c r="L355" s="2"/>
      <c r="M355" s="10" t="b">
        <f aca="false">TRUE()</f>
        <v>1</v>
      </c>
      <c r="N355" s="9" t="n">
        <f aca="false">IF(H355="","",IF(H355&gt;=Assumptions!$B$5,1,IF(H355&gt;=Assumptions!$B$6,2,IF(H355&gt;=Assumptions!$B$7,3,""))))</f>
        <v>3</v>
      </c>
      <c r="O355" s="9" t="n">
        <f aca="false">IF(N355=1,Assumptions!$B$8,IF(N355=2,Assumptions!$B$9,IF(N355=3,Assumptions!$B$10,0)))</f>
        <v>1</v>
      </c>
      <c r="P355" s="6" t="s">
        <v>30</v>
      </c>
      <c r="Q355" s="6" t="s">
        <v>30</v>
      </c>
      <c r="R355" s="11" t="s">
        <v>30</v>
      </c>
      <c r="S355" s="6" t="s">
        <v>30</v>
      </c>
      <c r="T355" s="11" t="s">
        <v>30</v>
      </c>
      <c r="U355" s="6" t="s">
        <v>30</v>
      </c>
      <c r="V355" s="6" t="s">
        <v>30</v>
      </c>
      <c r="W355" s="6" t="s">
        <v>30</v>
      </c>
      <c r="X355" s="2" t="s">
        <v>30</v>
      </c>
      <c r="Y355" s="6" t="str">
        <f aca="false">IF(AND(X355="processed",ISNUMBER(S355)),S355*O355,"")</f>
        <v/>
      </c>
      <c r="Z355" s="6" t="n">
        <f aca="false">IF(ISNUMBER(K355),K355*O355,0)</f>
        <v>242</v>
      </c>
      <c r="AA355" s="2" t="s">
        <v>31</v>
      </c>
      <c r="AB355" s="6" t="n">
        <v>17456</v>
      </c>
      <c r="AC355" s="6" t="n">
        <v>14320</v>
      </c>
      <c r="AD355" s="6" t="n">
        <v>4638</v>
      </c>
      <c r="AE355" s="6" t="n">
        <v>2317.89575195313</v>
      </c>
      <c r="AF355" s="8" t="n">
        <v>588.074398249</v>
      </c>
      <c r="AG355" s="11" t="n">
        <v>-0.1015502385</v>
      </c>
      <c r="AH355" s="12" t="n">
        <v>1</v>
      </c>
      <c r="AI355" s="2" t="s">
        <v>317</v>
      </c>
      <c r="AJ355" s="2" t="s">
        <v>273</v>
      </c>
      <c r="AK355" s="2" t="s">
        <v>273</v>
      </c>
    </row>
    <row r="356" customFormat="false" ht="15" hidden="false" customHeight="false" outlineLevel="0" collapsed="false">
      <c r="A356" s="9" t="n">
        <v>355</v>
      </c>
      <c r="B356" s="2" t="s">
        <v>945</v>
      </c>
      <c r="C356" s="2" t="s">
        <v>946</v>
      </c>
      <c r="D356" s="2" t="s">
        <v>380</v>
      </c>
      <c r="E356" s="2" t="s">
        <v>51</v>
      </c>
      <c r="F356" s="2" t="s">
        <v>947</v>
      </c>
      <c r="G356" s="2" t="s">
        <v>381</v>
      </c>
      <c r="H356" s="8" t="n">
        <v>692.951251901537</v>
      </c>
      <c r="I356" s="2" t="s">
        <v>316</v>
      </c>
      <c r="J356" s="8" t="n">
        <v>821929.752066116</v>
      </c>
      <c r="K356" s="6" t="n">
        <v>121</v>
      </c>
      <c r="L356" s="2"/>
      <c r="M356" s="10" t="b">
        <f aca="false">TRUE()</f>
        <v>1</v>
      </c>
      <c r="N356" s="9" t="n">
        <f aca="false">IF(H356="","",IF(H356&gt;=Assumptions!$B$5,1,IF(H356&gt;=Assumptions!$B$6,2,IF(H356&gt;=Assumptions!$B$7,3,""))))</f>
        <v>2</v>
      </c>
      <c r="O356" s="9" t="n">
        <f aca="false">IF(N356=1,Assumptions!$B$8,IF(N356=2,Assumptions!$B$9,IF(N356=3,Assumptions!$B$10,0)))</f>
        <v>2</v>
      </c>
      <c r="P356" s="6" t="s">
        <v>30</v>
      </c>
      <c r="Q356" s="6" t="s">
        <v>30</v>
      </c>
      <c r="R356" s="11" t="s">
        <v>30</v>
      </c>
      <c r="S356" s="6" t="s">
        <v>30</v>
      </c>
      <c r="T356" s="11" t="s">
        <v>30</v>
      </c>
      <c r="U356" s="6" t="s">
        <v>30</v>
      </c>
      <c r="V356" s="6" t="s">
        <v>30</v>
      </c>
      <c r="W356" s="6" t="s">
        <v>30</v>
      </c>
      <c r="X356" s="2" t="s">
        <v>30</v>
      </c>
      <c r="Y356" s="6" t="str">
        <f aca="false">IF(AND(X356="processed",ISNUMBER(S356)),S356*O356,"")</f>
        <v/>
      </c>
      <c r="Z356" s="6" t="n">
        <f aca="false">IF(ISNUMBER(K356),K356*O356,0)</f>
        <v>242</v>
      </c>
      <c r="AA356" s="2" t="s">
        <v>31</v>
      </c>
      <c r="AB356" s="6" t="n">
        <v>12038</v>
      </c>
      <c r="AC356" s="6" t="n">
        <v>10150</v>
      </c>
      <c r="AD356" s="6" t="n">
        <v>276</v>
      </c>
      <c r="AE356" s="6" t="n">
        <v>1836.564453125</v>
      </c>
      <c r="AF356" s="8" t="n">
        <v>689.493433396</v>
      </c>
      <c r="AG356" s="11" t="n">
        <v>-0.01608754176</v>
      </c>
      <c r="AH356" s="12" t="n">
        <v>0.996950929004528</v>
      </c>
      <c r="AI356" s="2" t="s">
        <v>328</v>
      </c>
      <c r="AJ356" s="2" t="s">
        <v>946</v>
      </c>
      <c r="AK356" s="2" t="s">
        <v>946</v>
      </c>
    </row>
    <row r="357" customFormat="false" ht="15" hidden="false" customHeight="false" outlineLevel="0" collapsed="false">
      <c r="A357" s="9" t="n">
        <v>356</v>
      </c>
      <c r="B357" s="2" t="s">
        <v>948</v>
      </c>
      <c r="C357" s="2" t="s">
        <v>263</v>
      </c>
      <c r="D357" s="2" t="s">
        <v>27</v>
      </c>
      <c r="E357" s="2" t="s">
        <v>28</v>
      </c>
      <c r="F357" s="2" t="s">
        <v>949</v>
      </c>
      <c r="G357" s="2" t="s">
        <v>315</v>
      </c>
      <c r="H357" s="8" t="n">
        <v>846.258375698575</v>
      </c>
      <c r="I357" s="2" t="s">
        <v>316</v>
      </c>
      <c r="J357" s="8" t="n">
        <v>1569000</v>
      </c>
      <c r="K357" s="6" t="n">
        <v>80</v>
      </c>
      <c r="L357" s="2"/>
      <c r="M357" s="10" t="b">
        <f aca="false">TRUE()</f>
        <v>1</v>
      </c>
      <c r="N357" s="9" t="n">
        <f aca="false">IF(H357="","",IF(H357&gt;=Assumptions!$B$5,1,IF(H357&gt;=Assumptions!$B$6,2,IF(H357&gt;=Assumptions!$B$7,3,""))))</f>
        <v>1</v>
      </c>
      <c r="O357" s="9" t="n">
        <f aca="false">IF(N357=1,Assumptions!$B$8,IF(N357=2,Assumptions!$B$9,IF(N357=3,Assumptions!$B$10,0)))</f>
        <v>3</v>
      </c>
      <c r="P357" s="6" t="s">
        <v>30</v>
      </c>
      <c r="Q357" s="6" t="s">
        <v>30</v>
      </c>
      <c r="R357" s="11" t="s">
        <v>30</v>
      </c>
      <c r="S357" s="6" t="s">
        <v>30</v>
      </c>
      <c r="T357" s="11" t="s">
        <v>30</v>
      </c>
      <c r="U357" s="6" t="s">
        <v>30</v>
      </c>
      <c r="V357" s="6" t="s">
        <v>30</v>
      </c>
      <c r="W357" s="6" t="s">
        <v>30</v>
      </c>
      <c r="X357" s="2" t="s">
        <v>30</v>
      </c>
      <c r="Y357" s="6" t="str">
        <f aca="false">IF(AND(X357="processed",ISNUMBER(S357)),S357*O357,"")</f>
        <v/>
      </c>
      <c r="Z357" s="6" t="n">
        <f aca="false">IF(ISNUMBER(K357),K357*O357,0)</f>
        <v>240</v>
      </c>
      <c r="AA357" s="2" t="s">
        <v>31</v>
      </c>
      <c r="AB357" s="6" t="n">
        <v>8072</v>
      </c>
      <c r="AC357" s="6" t="n">
        <v>7605</v>
      </c>
      <c r="AD357" s="6" t="n">
        <v>110</v>
      </c>
      <c r="AE357" s="6" t="n">
        <v>2205.29833984375</v>
      </c>
      <c r="AF357" s="8" t="n">
        <v>862.322449041</v>
      </c>
      <c r="AG357" s="11" t="n">
        <v>-0.07173524603</v>
      </c>
      <c r="AH357" s="12" t="n">
        <v>1</v>
      </c>
      <c r="AI357" s="2" t="s">
        <v>317</v>
      </c>
      <c r="AJ357" s="2" t="s">
        <v>263</v>
      </c>
      <c r="AK357" s="2" t="s">
        <v>263</v>
      </c>
    </row>
    <row r="358" customFormat="false" ht="15" hidden="false" customHeight="false" outlineLevel="0" collapsed="false">
      <c r="A358" s="9" t="n">
        <v>357</v>
      </c>
      <c r="B358" s="2" t="s">
        <v>950</v>
      </c>
      <c r="C358" s="2" t="s">
        <v>423</v>
      </c>
      <c r="D358" s="2" t="s">
        <v>423</v>
      </c>
      <c r="E358" s="2" t="s">
        <v>51</v>
      </c>
      <c r="F358" s="2" t="s">
        <v>951</v>
      </c>
      <c r="G358" s="2" t="s">
        <v>425</v>
      </c>
      <c r="H358" s="8" t="n">
        <v>1380.74724689328</v>
      </c>
      <c r="I358" s="2" t="s">
        <v>316</v>
      </c>
      <c r="J358" s="8" t="n">
        <v>2712462.5</v>
      </c>
      <c r="K358" s="6" t="n">
        <v>80</v>
      </c>
      <c r="L358" s="2"/>
      <c r="M358" s="10" t="b">
        <f aca="false">TRUE()</f>
        <v>1</v>
      </c>
      <c r="N358" s="9" t="n">
        <f aca="false">IF(H358="","",IF(H358&gt;=Assumptions!$B$5,1,IF(H358&gt;=Assumptions!$B$6,2,IF(H358&gt;=Assumptions!$B$7,3,""))))</f>
        <v>1</v>
      </c>
      <c r="O358" s="9" t="n">
        <f aca="false">IF(N358=1,Assumptions!$B$8,IF(N358=2,Assumptions!$B$9,IF(N358=3,Assumptions!$B$10,0)))</f>
        <v>3</v>
      </c>
      <c r="P358" s="6" t="s">
        <v>30</v>
      </c>
      <c r="Q358" s="6" t="s">
        <v>30</v>
      </c>
      <c r="R358" s="11" t="s">
        <v>30</v>
      </c>
      <c r="S358" s="6" t="s">
        <v>30</v>
      </c>
      <c r="T358" s="11" t="s">
        <v>30</v>
      </c>
      <c r="U358" s="6" t="s">
        <v>30</v>
      </c>
      <c r="V358" s="6" t="s">
        <v>30</v>
      </c>
      <c r="W358" s="6" t="s">
        <v>30</v>
      </c>
      <c r="X358" s="2" t="s">
        <v>30</v>
      </c>
      <c r="Y358" s="6" t="str">
        <f aca="false">IF(AND(X358="processed",ISNUMBER(S358)),S358*O358,"")</f>
        <v/>
      </c>
      <c r="Z358" s="6" t="n">
        <f aca="false">IF(ISNUMBER(K358),K358*O358,0)</f>
        <v>240</v>
      </c>
      <c r="AA358" s="2" t="s">
        <v>31</v>
      </c>
      <c r="AB358" s="6" t="n">
        <v>6620</v>
      </c>
      <c r="AC358" s="6" t="n">
        <v>5679</v>
      </c>
      <c r="AD358" s="6" t="n">
        <v>334</v>
      </c>
      <c r="AE358" s="6" t="n">
        <v>2028.68029785156</v>
      </c>
      <c r="AF358" s="8" t="n">
        <v>1664.787570729</v>
      </c>
      <c r="AG358" s="11" t="n">
        <v>0.3433113502</v>
      </c>
      <c r="AH358" s="12" t="n">
        <v>0.995220054942599</v>
      </c>
      <c r="AI358" s="2" t="s">
        <v>317</v>
      </c>
      <c r="AJ358" s="2" t="s">
        <v>423</v>
      </c>
      <c r="AK358" s="2" t="s">
        <v>423</v>
      </c>
    </row>
    <row r="359" customFormat="false" ht="15" hidden="false" customHeight="false" outlineLevel="0" collapsed="false">
      <c r="A359" s="9" t="n">
        <v>358</v>
      </c>
      <c r="B359" s="2" t="s">
        <v>952</v>
      </c>
      <c r="C359" s="2" t="s">
        <v>953</v>
      </c>
      <c r="D359" s="2" t="s">
        <v>380</v>
      </c>
      <c r="E359" s="2" t="s">
        <v>51</v>
      </c>
      <c r="F359" s="2"/>
      <c r="G359" s="2" t="s">
        <v>381</v>
      </c>
      <c r="H359" s="8" t="n">
        <v>1072.93923962745</v>
      </c>
      <c r="I359" s="2" t="s">
        <v>316</v>
      </c>
      <c r="J359" s="8" t="n">
        <v>2788625</v>
      </c>
      <c r="K359" s="6" t="n">
        <v>80</v>
      </c>
      <c r="L359" s="2"/>
      <c r="M359" s="10" t="b">
        <f aca="false">TRUE()</f>
        <v>1</v>
      </c>
      <c r="N359" s="9" t="n">
        <f aca="false">IF(H359="","",IF(H359&gt;=Assumptions!$B$5,1,IF(H359&gt;=Assumptions!$B$6,2,IF(H359&gt;=Assumptions!$B$7,3,""))))</f>
        <v>1</v>
      </c>
      <c r="O359" s="9" t="n">
        <f aca="false">IF(N359=1,Assumptions!$B$8,IF(N359=2,Assumptions!$B$9,IF(N359=3,Assumptions!$B$10,0)))</f>
        <v>3</v>
      </c>
      <c r="P359" s="6" t="s">
        <v>30</v>
      </c>
      <c r="Q359" s="6" t="s">
        <v>30</v>
      </c>
      <c r="R359" s="11" t="s">
        <v>30</v>
      </c>
      <c r="S359" s="6" t="s">
        <v>30</v>
      </c>
      <c r="T359" s="11" t="s">
        <v>30</v>
      </c>
      <c r="U359" s="6" t="s">
        <v>30</v>
      </c>
      <c r="V359" s="6" t="s">
        <v>30</v>
      </c>
      <c r="W359" s="6" t="s">
        <v>30</v>
      </c>
      <c r="X359" s="2" t="s">
        <v>30</v>
      </c>
      <c r="Y359" s="6" t="str">
        <f aca="false">IF(AND(X359="processed",ISNUMBER(S359)),S359*O359,"")</f>
        <v/>
      </c>
      <c r="Z359" s="6" t="n">
        <f aca="false">IF(ISNUMBER(K359),K359*O359,0)</f>
        <v>240</v>
      </c>
      <c r="AA359" s="2" t="s">
        <v>31</v>
      </c>
      <c r="AB359" s="6" t="n">
        <v>3551</v>
      </c>
      <c r="AC359" s="6" t="n">
        <v>3015</v>
      </c>
      <c r="AD359" s="6" t="n">
        <v>194</v>
      </c>
      <c r="AE359" s="6" t="n">
        <v>3051.13549804688</v>
      </c>
      <c r="AF359" s="8" t="n">
        <v>1126.633618747</v>
      </c>
      <c r="AG359" s="11" t="n">
        <v>-0.07765721697</v>
      </c>
      <c r="AH359" s="12" t="n">
        <v>0.915941193401278</v>
      </c>
      <c r="AI359" s="2" t="s">
        <v>317</v>
      </c>
      <c r="AJ359" s="2" t="s">
        <v>953</v>
      </c>
      <c r="AK359" s="2" t="s">
        <v>631</v>
      </c>
    </row>
    <row r="360" customFormat="false" ht="15" hidden="false" customHeight="false" outlineLevel="0" collapsed="false">
      <c r="A360" s="9" t="n">
        <v>359</v>
      </c>
      <c r="B360" s="2" t="s">
        <v>954</v>
      </c>
      <c r="C360" s="2" t="s">
        <v>116</v>
      </c>
      <c r="D360" s="2" t="s">
        <v>39</v>
      </c>
      <c r="E360" s="2" t="s">
        <v>40</v>
      </c>
      <c r="F360" s="2"/>
      <c r="G360" s="2" t="s">
        <v>320</v>
      </c>
      <c r="H360" s="8" t="n">
        <v>1377.4561265111</v>
      </c>
      <c r="I360" s="2" t="s">
        <v>316</v>
      </c>
      <c r="J360" s="8" t="n">
        <v>1806562.5</v>
      </c>
      <c r="K360" s="6" t="n">
        <v>80</v>
      </c>
      <c r="L360" s="2"/>
      <c r="M360" s="10" t="b">
        <f aca="false">TRUE()</f>
        <v>1</v>
      </c>
      <c r="N360" s="9" t="n">
        <f aca="false">IF(H360="","",IF(H360&gt;=Assumptions!$B$5,1,IF(H360&gt;=Assumptions!$B$6,2,IF(H360&gt;=Assumptions!$B$7,3,""))))</f>
        <v>1</v>
      </c>
      <c r="O360" s="9" t="n">
        <f aca="false">IF(N360=1,Assumptions!$B$8,IF(N360=2,Assumptions!$B$9,IF(N360=3,Assumptions!$B$10,0)))</f>
        <v>3</v>
      </c>
      <c r="P360" s="6" t="s">
        <v>30</v>
      </c>
      <c r="Q360" s="6" t="s">
        <v>30</v>
      </c>
      <c r="R360" s="11" t="s">
        <v>30</v>
      </c>
      <c r="S360" s="6" t="s">
        <v>30</v>
      </c>
      <c r="T360" s="11" t="s">
        <v>30</v>
      </c>
      <c r="U360" s="6" t="s">
        <v>30</v>
      </c>
      <c r="V360" s="6" t="s">
        <v>30</v>
      </c>
      <c r="W360" s="6" t="s">
        <v>30</v>
      </c>
      <c r="X360" s="2" t="s">
        <v>30</v>
      </c>
      <c r="Y360" s="6" t="str">
        <f aca="false">IF(AND(X360="processed",ISNUMBER(S360)),S360*O360,"")</f>
        <v/>
      </c>
      <c r="Z360" s="6" t="n">
        <f aca="false">IF(ISNUMBER(K360),K360*O360,0)</f>
        <v>240</v>
      </c>
      <c r="AA360" s="2" t="s">
        <v>31</v>
      </c>
      <c r="AB360" s="6" t="n">
        <v>5197</v>
      </c>
      <c r="AC360" s="6" t="n">
        <v>3690</v>
      </c>
      <c r="AD360" s="6" t="n">
        <v>148</v>
      </c>
      <c r="AE360" s="6" t="n">
        <v>2018.87609863281</v>
      </c>
      <c r="AF360" s="8" t="n">
        <v>1421.864520456</v>
      </c>
      <c r="AG360" s="11" t="n">
        <v>0.05683311993</v>
      </c>
      <c r="AH360" s="12" t="n">
        <v>0.999999999999999</v>
      </c>
      <c r="AI360" s="2" t="s">
        <v>317</v>
      </c>
      <c r="AJ360" s="2" t="s">
        <v>116</v>
      </c>
      <c r="AK360" s="2" t="s">
        <v>116</v>
      </c>
    </row>
    <row r="361" customFormat="false" ht="15" hidden="false" customHeight="false" outlineLevel="0" collapsed="false">
      <c r="A361" s="9" t="n">
        <v>360</v>
      </c>
      <c r="B361" s="2" t="s">
        <v>955</v>
      </c>
      <c r="C361" s="2" t="s">
        <v>70</v>
      </c>
      <c r="D361" s="2" t="s">
        <v>70</v>
      </c>
      <c r="E361" s="2" t="s">
        <v>71</v>
      </c>
      <c r="F361" s="2" t="s">
        <v>956</v>
      </c>
      <c r="G361" s="2" t="s">
        <v>329</v>
      </c>
      <c r="H361" s="8" t="n">
        <v>630.356194371126</v>
      </c>
      <c r="I361" s="2" t="s">
        <v>316</v>
      </c>
      <c r="J361" s="8" t="n">
        <v>1274487.39495798</v>
      </c>
      <c r="K361" s="6" t="n">
        <v>119</v>
      </c>
      <c r="L361" s="2"/>
      <c r="M361" s="10" t="b">
        <f aca="false">TRUE()</f>
        <v>1</v>
      </c>
      <c r="N361" s="9" t="n">
        <f aca="false">IF(H361="","",IF(H361&gt;=Assumptions!$B$5,1,IF(H361&gt;=Assumptions!$B$6,2,IF(H361&gt;=Assumptions!$B$7,3,""))))</f>
        <v>2</v>
      </c>
      <c r="O361" s="9" t="n">
        <f aca="false">IF(N361=1,Assumptions!$B$8,IF(N361=2,Assumptions!$B$9,IF(N361=3,Assumptions!$B$10,0)))</f>
        <v>2</v>
      </c>
      <c r="P361" s="6" t="s">
        <v>30</v>
      </c>
      <c r="Q361" s="6" t="s">
        <v>30</v>
      </c>
      <c r="R361" s="11" t="s">
        <v>30</v>
      </c>
      <c r="S361" s="6" t="s">
        <v>30</v>
      </c>
      <c r="T361" s="11" t="s">
        <v>30</v>
      </c>
      <c r="U361" s="6" t="s">
        <v>30</v>
      </c>
      <c r="V361" s="6" t="s">
        <v>30</v>
      </c>
      <c r="W361" s="6" t="s">
        <v>30</v>
      </c>
      <c r="X361" s="2" t="s">
        <v>30</v>
      </c>
      <c r="Y361" s="6" t="str">
        <f aca="false">IF(AND(X361="processed",ISNUMBER(S361)),S361*O361,"")</f>
        <v/>
      </c>
      <c r="Z361" s="6" t="n">
        <f aca="false">IF(ISNUMBER(K361),K361*O361,0)</f>
        <v>238</v>
      </c>
      <c r="AA361" s="2" t="s">
        <v>31</v>
      </c>
      <c r="AB361" s="6" t="n">
        <v>10750</v>
      </c>
      <c r="AC361" s="6" t="n">
        <v>7113</v>
      </c>
      <c r="AD361" s="6" t="n">
        <v>63</v>
      </c>
      <c r="AE361" s="6" t="n">
        <v>2004.7216796875</v>
      </c>
      <c r="AF361" s="8" t="n">
        <v>596.862210095</v>
      </c>
      <c r="AG361" s="11" t="n">
        <v>-0.1111016371</v>
      </c>
      <c r="AH361" s="12" t="n">
        <v>1</v>
      </c>
      <c r="AI361" s="2" t="s">
        <v>317</v>
      </c>
      <c r="AJ361" s="2" t="s">
        <v>70</v>
      </c>
      <c r="AK361" s="2" t="s">
        <v>70</v>
      </c>
    </row>
    <row r="362" customFormat="false" ht="15" hidden="false" customHeight="false" outlineLevel="0" collapsed="false">
      <c r="A362" s="9" t="n">
        <v>361</v>
      </c>
      <c r="B362" s="2" t="s">
        <v>957</v>
      </c>
      <c r="C362" s="2" t="s">
        <v>585</v>
      </c>
      <c r="D362" s="2" t="s">
        <v>27</v>
      </c>
      <c r="E362" s="2" t="s">
        <v>28</v>
      </c>
      <c r="F362" s="2" t="s">
        <v>958</v>
      </c>
      <c r="G362" s="2" t="s">
        <v>315</v>
      </c>
      <c r="H362" s="8" t="n">
        <v>587.765858472059</v>
      </c>
      <c r="I362" s="2" t="s">
        <v>316</v>
      </c>
      <c r="J362" s="8" t="n">
        <v>1188613.44537815</v>
      </c>
      <c r="K362" s="6" t="n">
        <v>238</v>
      </c>
      <c r="L362" s="2"/>
      <c r="M362" s="10" t="b">
        <f aca="false">TRUE()</f>
        <v>1</v>
      </c>
      <c r="N362" s="9" t="n">
        <f aca="false">IF(H362="","",IF(H362&gt;=Assumptions!$B$5,1,IF(H362&gt;=Assumptions!$B$6,2,IF(H362&gt;=Assumptions!$B$7,3,""))))</f>
        <v>3</v>
      </c>
      <c r="O362" s="9" t="n">
        <f aca="false">IF(N362=1,Assumptions!$B$8,IF(N362=2,Assumptions!$B$9,IF(N362=3,Assumptions!$B$10,0)))</f>
        <v>1</v>
      </c>
      <c r="P362" s="6" t="s">
        <v>30</v>
      </c>
      <c r="Q362" s="6" t="s">
        <v>30</v>
      </c>
      <c r="R362" s="11" t="s">
        <v>30</v>
      </c>
      <c r="S362" s="6" t="s">
        <v>30</v>
      </c>
      <c r="T362" s="11" t="s">
        <v>30</v>
      </c>
      <c r="U362" s="6" t="s">
        <v>30</v>
      </c>
      <c r="V362" s="6" t="s">
        <v>30</v>
      </c>
      <c r="W362" s="6" t="s">
        <v>30</v>
      </c>
      <c r="X362" s="2" t="s">
        <v>30</v>
      </c>
      <c r="Y362" s="6" t="str">
        <f aca="false">IF(AND(X362="processed",ISNUMBER(S362)),S362*O362,"")</f>
        <v/>
      </c>
      <c r="Z362" s="6" t="n">
        <f aca="false">IF(ISNUMBER(K362),K362*O362,0)</f>
        <v>238</v>
      </c>
      <c r="AA362" s="2" t="s">
        <v>31</v>
      </c>
      <c r="AB362" s="6" t="n">
        <v>11594</v>
      </c>
      <c r="AC362" s="6" t="n">
        <v>10425</v>
      </c>
      <c r="AD362" s="6" t="n">
        <v>234</v>
      </c>
      <c r="AE362" s="6" t="n">
        <v>2569.92358398438</v>
      </c>
      <c r="AF362" s="8" t="n">
        <v>626.444144376</v>
      </c>
      <c r="AG362" s="11" t="n">
        <v>0.008870255549</v>
      </c>
      <c r="AH362" s="12" t="n">
        <v>0.999999999999999</v>
      </c>
      <c r="AI362" s="2" t="s">
        <v>317</v>
      </c>
      <c r="AJ362" s="2" t="s">
        <v>585</v>
      </c>
      <c r="AK362" s="2" t="s">
        <v>585</v>
      </c>
    </row>
    <row r="363" customFormat="false" ht="15" hidden="false" customHeight="false" outlineLevel="0" collapsed="false">
      <c r="A363" s="9" t="n">
        <v>362</v>
      </c>
      <c r="B363" s="2" t="s">
        <v>959</v>
      </c>
      <c r="C363" s="2" t="s">
        <v>960</v>
      </c>
      <c r="D363" s="2" t="s">
        <v>197</v>
      </c>
      <c r="E363" s="2" t="s">
        <v>51</v>
      </c>
      <c r="F363" s="2" t="s">
        <v>961</v>
      </c>
      <c r="G363" s="2" t="s">
        <v>338</v>
      </c>
      <c r="H363" s="8" t="n">
        <v>575.037824265131</v>
      </c>
      <c r="I363" s="2" t="s">
        <v>316</v>
      </c>
      <c r="J363" s="8" t="n">
        <v>866687.76371308</v>
      </c>
      <c r="K363" s="6" t="n">
        <v>237</v>
      </c>
      <c r="L363" s="2"/>
      <c r="M363" s="10" t="b">
        <f aca="false">TRUE()</f>
        <v>1</v>
      </c>
      <c r="N363" s="9" t="n">
        <f aca="false">IF(H363="","",IF(H363&gt;=Assumptions!$B$5,1,IF(H363&gt;=Assumptions!$B$6,2,IF(H363&gt;=Assumptions!$B$7,3,""))))</f>
        <v>3</v>
      </c>
      <c r="O363" s="9" t="n">
        <f aca="false">IF(N363=1,Assumptions!$B$8,IF(N363=2,Assumptions!$B$9,IF(N363=3,Assumptions!$B$10,0)))</f>
        <v>1</v>
      </c>
      <c r="P363" s="6" t="s">
        <v>30</v>
      </c>
      <c r="Q363" s="6" t="s">
        <v>30</v>
      </c>
      <c r="R363" s="11" t="s">
        <v>30</v>
      </c>
      <c r="S363" s="6" t="s">
        <v>30</v>
      </c>
      <c r="T363" s="11" t="s">
        <v>30</v>
      </c>
      <c r="U363" s="6" t="s">
        <v>30</v>
      </c>
      <c r="V363" s="6" t="s">
        <v>30</v>
      </c>
      <c r="W363" s="6" t="s">
        <v>30</v>
      </c>
      <c r="X363" s="2" t="s">
        <v>30</v>
      </c>
      <c r="Y363" s="6" t="str">
        <f aca="false">IF(AND(X363="processed",ISNUMBER(S363)),S363*O363,"")</f>
        <v/>
      </c>
      <c r="Z363" s="6" t="n">
        <f aca="false">IF(ISNUMBER(K363),K363*O363,0)</f>
        <v>237</v>
      </c>
      <c r="AA363" s="2" t="s">
        <v>31</v>
      </c>
      <c r="AB363" s="6" t="n">
        <v>32366</v>
      </c>
      <c r="AC363" s="6" t="n">
        <v>25443</v>
      </c>
      <c r="AD363" s="6" t="n">
        <v>14260</v>
      </c>
      <c r="AE363" s="6" t="n">
        <v>1871.93347167969</v>
      </c>
      <c r="AF363" s="8" t="n">
        <v>593.985285146</v>
      </c>
      <c r="AG363" s="11" t="n">
        <v>0.02247143128</v>
      </c>
      <c r="AH363" s="12" t="n">
        <v>0.713118607409173</v>
      </c>
      <c r="AI363" s="2" t="s">
        <v>962</v>
      </c>
      <c r="AJ363" s="2" t="s">
        <v>960</v>
      </c>
      <c r="AK363" s="2" t="s">
        <v>960</v>
      </c>
    </row>
    <row r="364" customFormat="false" ht="15" hidden="false" customHeight="false" outlineLevel="0" collapsed="false">
      <c r="A364" s="9" t="n">
        <v>363</v>
      </c>
      <c r="B364" s="2" t="s">
        <v>963</v>
      </c>
      <c r="C364" s="2" t="s">
        <v>964</v>
      </c>
      <c r="D364" s="2" t="s">
        <v>27</v>
      </c>
      <c r="E364" s="2" t="s">
        <v>28</v>
      </c>
      <c r="F364" s="2" t="s">
        <v>965</v>
      </c>
      <c r="G364" s="2" t="s">
        <v>315</v>
      </c>
      <c r="H364" s="8" t="n">
        <v>699.617846108195</v>
      </c>
      <c r="I364" s="2" t="s">
        <v>316</v>
      </c>
      <c r="J364" s="8" t="n">
        <v>1409457.62711864</v>
      </c>
      <c r="K364" s="6" t="n">
        <v>118</v>
      </c>
      <c r="L364" s="2"/>
      <c r="M364" s="10" t="b">
        <f aca="false">TRUE()</f>
        <v>1</v>
      </c>
      <c r="N364" s="9" t="n">
        <f aca="false">IF(H364="","",IF(H364&gt;=Assumptions!$B$5,1,IF(H364&gt;=Assumptions!$B$6,2,IF(H364&gt;=Assumptions!$B$7,3,""))))</f>
        <v>2</v>
      </c>
      <c r="O364" s="9" t="n">
        <f aca="false">IF(N364=1,Assumptions!$B$8,IF(N364=2,Assumptions!$B$9,IF(N364=3,Assumptions!$B$10,0)))</f>
        <v>2</v>
      </c>
      <c r="P364" s="6" t="s">
        <v>30</v>
      </c>
      <c r="Q364" s="6" t="s">
        <v>30</v>
      </c>
      <c r="R364" s="11" t="s">
        <v>30</v>
      </c>
      <c r="S364" s="6" t="s">
        <v>30</v>
      </c>
      <c r="T364" s="11" t="s">
        <v>30</v>
      </c>
      <c r="U364" s="6" t="s">
        <v>30</v>
      </c>
      <c r="V364" s="6" t="s">
        <v>30</v>
      </c>
      <c r="W364" s="6" t="s">
        <v>30</v>
      </c>
      <c r="X364" s="2" t="s">
        <v>30</v>
      </c>
      <c r="Y364" s="6" t="str">
        <f aca="false">IF(AND(X364="processed",ISNUMBER(S364)),S364*O364,"")</f>
        <v/>
      </c>
      <c r="Z364" s="6" t="n">
        <f aca="false">IF(ISNUMBER(K364),K364*O364,0)</f>
        <v>236</v>
      </c>
      <c r="AA364" s="2" t="s">
        <v>31</v>
      </c>
      <c r="AB364" s="6" t="n">
        <v>10224</v>
      </c>
      <c r="AC364" s="6" t="n">
        <v>9080</v>
      </c>
      <c r="AD364" s="6" t="n">
        <v>43</v>
      </c>
      <c r="AE364" s="6" t="n">
        <v>1753.6005859375</v>
      </c>
      <c r="AF364" s="8" t="n">
        <v>743.688254665</v>
      </c>
      <c r="AG364" s="11" t="n">
        <v>0.01813722563</v>
      </c>
      <c r="AH364" s="12" t="n">
        <v>1</v>
      </c>
      <c r="AI364" s="2" t="s">
        <v>582</v>
      </c>
      <c r="AJ364" s="2" t="s">
        <v>964</v>
      </c>
      <c r="AK364" s="2" t="s">
        <v>964</v>
      </c>
    </row>
    <row r="365" customFormat="false" ht="15" hidden="false" customHeight="false" outlineLevel="0" collapsed="false">
      <c r="A365" s="9" t="n">
        <v>364</v>
      </c>
      <c r="B365" s="2" t="s">
        <v>966</v>
      </c>
      <c r="C365" s="2" t="s">
        <v>500</v>
      </c>
      <c r="D365" s="2" t="s">
        <v>70</v>
      </c>
      <c r="E365" s="2" t="s">
        <v>71</v>
      </c>
      <c r="F365" s="2" t="s">
        <v>967</v>
      </c>
      <c r="G365" s="2" t="s">
        <v>329</v>
      </c>
      <c r="H365" s="8" t="n">
        <v>739.461664974372</v>
      </c>
      <c r="I365" s="2" t="s">
        <v>316</v>
      </c>
      <c r="J365" s="8" t="n">
        <v>1072769.23076923</v>
      </c>
      <c r="K365" s="6" t="n">
        <v>78</v>
      </c>
      <c r="L365" s="2"/>
      <c r="M365" s="10" t="b">
        <f aca="false">TRUE()</f>
        <v>1</v>
      </c>
      <c r="N365" s="9" t="n">
        <f aca="false">IF(H365="","",IF(H365&gt;=Assumptions!$B$5,1,IF(H365&gt;=Assumptions!$B$6,2,IF(H365&gt;=Assumptions!$B$7,3,""))))</f>
        <v>1</v>
      </c>
      <c r="O365" s="9" t="n">
        <f aca="false">IF(N365=1,Assumptions!$B$8,IF(N365=2,Assumptions!$B$9,IF(N365=3,Assumptions!$B$10,0)))</f>
        <v>3</v>
      </c>
      <c r="P365" s="6" t="s">
        <v>30</v>
      </c>
      <c r="Q365" s="6" t="s">
        <v>30</v>
      </c>
      <c r="R365" s="11" t="s">
        <v>30</v>
      </c>
      <c r="S365" s="6" t="s">
        <v>30</v>
      </c>
      <c r="T365" s="11" t="s">
        <v>30</v>
      </c>
      <c r="U365" s="6" t="s">
        <v>30</v>
      </c>
      <c r="V365" s="6" t="s">
        <v>30</v>
      </c>
      <c r="W365" s="6" t="s">
        <v>30</v>
      </c>
      <c r="X365" s="2" t="s">
        <v>30</v>
      </c>
      <c r="Y365" s="6" t="str">
        <f aca="false">IF(AND(X365="processed",ISNUMBER(S365)),S365*O365,"")</f>
        <v/>
      </c>
      <c r="Z365" s="6" t="n">
        <f aca="false">IF(ISNUMBER(K365),K365*O365,0)</f>
        <v>234</v>
      </c>
      <c r="AA365" s="2" t="s">
        <v>31</v>
      </c>
      <c r="AB365" s="6" t="n">
        <v>6099</v>
      </c>
      <c r="AC365" s="6" t="n">
        <v>3984</v>
      </c>
      <c r="AD365" s="6" t="n">
        <v>99</v>
      </c>
      <c r="AE365" s="6" t="n">
        <v>1967.06201171875</v>
      </c>
      <c r="AF365" s="8" t="n">
        <v>755.568905373</v>
      </c>
      <c r="AG365" s="11" t="n">
        <v>0.03050089506</v>
      </c>
      <c r="AH365" s="12" t="n">
        <v>1</v>
      </c>
      <c r="AI365" s="2" t="s">
        <v>317</v>
      </c>
      <c r="AJ365" s="2" t="s">
        <v>500</v>
      </c>
      <c r="AK365" s="2" t="s">
        <v>70</v>
      </c>
    </row>
    <row r="366" customFormat="false" ht="15" hidden="false" customHeight="false" outlineLevel="0" collapsed="false">
      <c r="A366" s="9" t="n">
        <v>365</v>
      </c>
      <c r="B366" s="2" t="s">
        <v>968</v>
      </c>
      <c r="C366" s="2" t="s">
        <v>969</v>
      </c>
      <c r="D366" s="2" t="s">
        <v>62</v>
      </c>
      <c r="E366" s="2" t="s">
        <v>40</v>
      </c>
      <c r="F366" s="2" t="s">
        <v>970</v>
      </c>
      <c r="G366" s="2" t="s">
        <v>324</v>
      </c>
      <c r="H366" s="8" t="n">
        <v>1493.73921275546</v>
      </c>
      <c r="I366" s="2" t="s">
        <v>316</v>
      </c>
      <c r="J366" s="8" t="n">
        <v>4265064.1025641</v>
      </c>
      <c r="K366" s="6" t="n">
        <v>78</v>
      </c>
      <c r="L366" s="2"/>
      <c r="M366" s="10" t="b">
        <f aca="false">TRUE()</f>
        <v>1</v>
      </c>
      <c r="N366" s="9" t="n">
        <f aca="false">IF(H366="","",IF(H366&gt;=Assumptions!$B$5,1,IF(H366&gt;=Assumptions!$B$6,2,IF(H366&gt;=Assumptions!$B$7,3,""))))</f>
        <v>1</v>
      </c>
      <c r="O366" s="9" t="n">
        <f aca="false">IF(N366=1,Assumptions!$B$8,IF(N366=2,Assumptions!$B$9,IF(N366=3,Assumptions!$B$10,0)))</f>
        <v>3</v>
      </c>
      <c r="P366" s="6" t="s">
        <v>30</v>
      </c>
      <c r="Q366" s="6" t="s">
        <v>30</v>
      </c>
      <c r="R366" s="11" t="s">
        <v>30</v>
      </c>
      <c r="S366" s="6" t="s">
        <v>30</v>
      </c>
      <c r="T366" s="11" t="s">
        <v>30</v>
      </c>
      <c r="U366" s="6" t="s">
        <v>30</v>
      </c>
      <c r="V366" s="6" t="s">
        <v>30</v>
      </c>
      <c r="W366" s="6" t="s">
        <v>30</v>
      </c>
      <c r="X366" s="2" t="s">
        <v>30</v>
      </c>
      <c r="Y366" s="6" t="str">
        <f aca="false">IF(AND(X366="processed",ISNUMBER(S366)),S366*O366,"")</f>
        <v/>
      </c>
      <c r="Z366" s="6" t="n">
        <f aca="false">IF(ISNUMBER(K366),K366*O366,0)</f>
        <v>234</v>
      </c>
      <c r="AA366" s="2" t="s">
        <v>31</v>
      </c>
      <c r="AB366" s="6" t="n">
        <v>4179</v>
      </c>
      <c r="AC366" s="6" t="n">
        <v>3113</v>
      </c>
      <c r="AD366" s="6" t="n">
        <v>201</v>
      </c>
      <c r="AE366" s="6" t="n">
        <v>2778.59155273438</v>
      </c>
      <c r="AF366" s="8" t="n">
        <v>1556.04719764</v>
      </c>
      <c r="AG366" s="11" t="n">
        <v>-0.05763506521</v>
      </c>
      <c r="AH366" s="12" t="n">
        <v>0.927873760626241</v>
      </c>
      <c r="AI366" s="2" t="s">
        <v>321</v>
      </c>
      <c r="AJ366" s="2" t="s">
        <v>969</v>
      </c>
      <c r="AK366" s="2" t="s">
        <v>969</v>
      </c>
    </row>
    <row r="367" customFormat="false" ht="15" hidden="false" customHeight="false" outlineLevel="0" collapsed="false">
      <c r="A367" s="9" t="n">
        <v>366</v>
      </c>
      <c r="B367" s="2" t="s">
        <v>971</v>
      </c>
      <c r="C367" s="2" t="s">
        <v>676</v>
      </c>
      <c r="D367" s="2" t="s">
        <v>39</v>
      </c>
      <c r="E367" s="2" t="s">
        <v>40</v>
      </c>
      <c r="F367" s="2" t="s">
        <v>972</v>
      </c>
      <c r="G367" s="2" t="s">
        <v>320</v>
      </c>
      <c r="H367" s="8" t="n">
        <v>1482.11600365882</v>
      </c>
      <c r="I367" s="2" t="s">
        <v>316</v>
      </c>
      <c r="J367" s="8" t="n">
        <v>2335608.97435897</v>
      </c>
      <c r="K367" s="6" t="n">
        <v>78</v>
      </c>
      <c r="L367" s="2"/>
      <c r="M367" s="10" t="b">
        <f aca="false">TRUE()</f>
        <v>1</v>
      </c>
      <c r="N367" s="9" t="n">
        <f aca="false">IF(H367="","",IF(H367&gt;=Assumptions!$B$5,1,IF(H367&gt;=Assumptions!$B$6,2,IF(H367&gt;=Assumptions!$B$7,3,""))))</f>
        <v>1</v>
      </c>
      <c r="O367" s="9" t="n">
        <f aca="false">IF(N367=1,Assumptions!$B$8,IF(N367=2,Assumptions!$B$9,IF(N367=3,Assumptions!$B$10,0)))</f>
        <v>3</v>
      </c>
      <c r="P367" s="6" t="s">
        <v>30</v>
      </c>
      <c r="Q367" s="6" t="s">
        <v>30</v>
      </c>
      <c r="R367" s="11" t="s">
        <v>30</v>
      </c>
      <c r="S367" s="6" t="s">
        <v>30</v>
      </c>
      <c r="T367" s="11" t="s">
        <v>30</v>
      </c>
      <c r="U367" s="6" t="s">
        <v>30</v>
      </c>
      <c r="V367" s="6" t="s">
        <v>30</v>
      </c>
      <c r="W367" s="6" t="s">
        <v>30</v>
      </c>
      <c r="X367" s="2" t="s">
        <v>30</v>
      </c>
      <c r="Y367" s="6" t="str">
        <f aca="false">IF(AND(X367="processed",ISNUMBER(S367)),S367*O367,"")</f>
        <v/>
      </c>
      <c r="Z367" s="6" t="n">
        <f aca="false">IF(ISNUMBER(K367),K367*O367,0)</f>
        <v>234</v>
      </c>
      <c r="AA367" s="2" t="s">
        <v>31</v>
      </c>
      <c r="AB367" s="6" t="n">
        <v>9146</v>
      </c>
      <c r="AC367" s="6" t="n">
        <v>6998</v>
      </c>
      <c r="AD367" s="6" t="n">
        <v>278</v>
      </c>
      <c r="AE367" s="6" t="n">
        <v>1973.4970703125</v>
      </c>
      <c r="AF367" s="8" t="n">
        <v>1600</v>
      </c>
      <c r="AG367" s="11" t="n">
        <v>0.05285245902</v>
      </c>
      <c r="AH367" s="12" t="n">
        <v>1</v>
      </c>
      <c r="AI367" s="2" t="s">
        <v>317</v>
      </c>
      <c r="AJ367" s="2" t="s">
        <v>676</v>
      </c>
      <c r="AK367" s="2" t="s">
        <v>676</v>
      </c>
    </row>
    <row r="368" customFormat="false" ht="15" hidden="false" customHeight="false" outlineLevel="0" collapsed="false">
      <c r="A368" s="9" t="n">
        <v>367</v>
      </c>
      <c r="B368" s="2" t="s">
        <v>973</v>
      </c>
      <c r="C368" s="2" t="s">
        <v>38</v>
      </c>
      <c r="D368" s="2" t="s">
        <v>39</v>
      </c>
      <c r="E368" s="2" t="s">
        <v>40</v>
      </c>
      <c r="F368" s="2" t="s">
        <v>974</v>
      </c>
      <c r="G368" s="2" t="s">
        <v>320</v>
      </c>
      <c r="H368" s="8" t="n">
        <v>991.199154811282</v>
      </c>
      <c r="I368" s="2" t="s">
        <v>316</v>
      </c>
      <c r="J368" s="8" t="n">
        <v>2346794.87179487</v>
      </c>
      <c r="K368" s="6" t="n">
        <v>78</v>
      </c>
      <c r="L368" s="2"/>
      <c r="M368" s="10" t="b">
        <f aca="false">TRUE()</f>
        <v>1</v>
      </c>
      <c r="N368" s="9" t="n">
        <f aca="false">IF(H368="","",IF(H368&gt;=Assumptions!$B$5,1,IF(H368&gt;=Assumptions!$B$6,2,IF(H368&gt;=Assumptions!$B$7,3,""))))</f>
        <v>1</v>
      </c>
      <c r="O368" s="9" t="n">
        <f aca="false">IF(N368=1,Assumptions!$B$8,IF(N368=2,Assumptions!$B$9,IF(N368=3,Assumptions!$B$10,0)))</f>
        <v>3</v>
      </c>
      <c r="P368" s="6" t="s">
        <v>30</v>
      </c>
      <c r="Q368" s="6" t="s">
        <v>30</v>
      </c>
      <c r="R368" s="11" t="s">
        <v>30</v>
      </c>
      <c r="S368" s="6" t="s">
        <v>30</v>
      </c>
      <c r="T368" s="11" t="s">
        <v>30</v>
      </c>
      <c r="U368" s="6" t="s">
        <v>30</v>
      </c>
      <c r="V368" s="6" t="s">
        <v>30</v>
      </c>
      <c r="W368" s="6" t="s">
        <v>30</v>
      </c>
      <c r="X368" s="2" t="s">
        <v>30</v>
      </c>
      <c r="Y368" s="6" t="str">
        <f aca="false">IF(AND(X368="processed",ISNUMBER(S368)),S368*O368,"")</f>
        <v/>
      </c>
      <c r="Z368" s="6" t="n">
        <f aca="false">IF(ISNUMBER(K368),K368*O368,0)</f>
        <v>234</v>
      </c>
      <c r="AA368" s="2" t="s">
        <v>31</v>
      </c>
      <c r="AB368" s="6" t="n">
        <v>7365</v>
      </c>
      <c r="AC368" s="6" t="n">
        <v>5180</v>
      </c>
      <c r="AD368" s="6" t="n">
        <v>377</v>
      </c>
      <c r="AE368" s="6" t="n">
        <v>2623.9921875</v>
      </c>
      <c r="AF368" s="8" t="n">
        <v>984.010795674</v>
      </c>
      <c r="AG368" s="11" t="n">
        <v>0.01615717838</v>
      </c>
      <c r="AH368" s="12" t="n">
        <v>1</v>
      </c>
      <c r="AI368" s="2" t="s">
        <v>317</v>
      </c>
      <c r="AJ368" s="2" t="s">
        <v>38</v>
      </c>
      <c r="AK368" s="2" t="s">
        <v>38</v>
      </c>
    </row>
    <row r="369" customFormat="false" ht="15" hidden="false" customHeight="false" outlineLevel="0" collapsed="false">
      <c r="A369" s="9" t="n">
        <v>368</v>
      </c>
      <c r="B369" s="2" t="s">
        <v>975</v>
      </c>
      <c r="C369" s="2" t="s">
        <v>976</v>
      </c>
      <c r="D369" s="2" t="s">
        <v>976</v>
      </c>
      <c r="E369" s="2" t="s">
        <v>976</v>
      </c>
      <c r="F369" s="2" t="s">
        <v>977</v>
      </c>
      <c r="G369" s="2" t="s">
        <v>323</v>
      </c>
      <c r="H369" s="8" t="n">
        <v>510.692968890283</v>
      </c>
      <c r="I369" s="2" t="s">
        <v>316</v>
      </c>
      <c r="J369" s="8" t="n">
        <v>745809.012875537</v>
      </c>
      <c r="K369" s="6" t="n">
        <v>233</v>
      </c>
      <c r="L369" s="2"/>
      <c r="M369" s="10" t="b">
        <f aca="false">TRUE()</f>
        <v>1</v>
      </c>
      <c r="N369" s="9" t="n">
        <f aca="false">IF(H369="","",IF(H369&gt;=Assumptions!$B$5,1,IF(H369&gt;=Assumptions!$B$6,2,IF(H369&gt;=Assumptions!$B$7,3,""))))</f>
        <v>3</v>
      </c>
      <c r="O369" s="9" t="n">
        <f aca="false">IF(N369=1,Assumptions!$B$8,IF(N369=2,Assumptions!$B$9,IF(N369=3,Assumptions!$B$10,0)))</f>
        <v>1</v>
      </c>
      <c r="P369" s="6" t="s">
        <v>30</v>
      </c>
      <c r="Q369" s="6" t="s">
        <v>30</v>
      </c>
      <c r="R369" s="11" t="s">
        <v>30</v>
      </c>
      <c r="S369" s="6" t="s">
        <v>30</v>
      </c>
      <c r="T369" s="11" t="s">
        <v>30</v>
      </c>
      <c r="U369" s="6" t="s">
        <v>30</v>
      </c>
      <c r="V369" s="6" t="s">
        <v>30</v>
      </c>
      <c r="W369" s="6" t="s">
        <v>30</v>
      </c>
      <c r="X369" s="2" t="s">
        <v>30</v>
      </c>
      <c r="Y369" s="6" t="str">
        <f aca="false">IF(AND(X369="processed",ISNUMBER(S369)),S369*O369,"")</f>
        <v/>
      </c>
      <c r="Z369" s="6" t="n">
        <f aca="false">IF(ISNUMBER(K369),K369*O369,0)</f>
        <v>233</v>
      </c>
      <c r="AA369" s="2" t="s">
        <v>31</v>
      </c>
      <c r="AB369" s="6" t="n">
        <v>12153</v>
      </c>
      <c r="AC369" s="6" t="n">
        <v>8753</v>
      </c>
      <c r="AD369" s="6" t="n">
        <v>886</v>
      </c>
      <c r="AE369" s="6" t="n">
        <v>1604.31591796875</v>
      </c>
      <c r="AF369" s="8" t="n">
        <v>521.753681392</v>
      </c>
      <c r="AG369" s="11" t="n">
        <v>0.0543129124</v>
      </c>
      <c r="AH369" s="12" t="n">
        <v>0.991310726166023</v>
      </c>
      <c r="AI369" s="2" t="s">
        <v>317</v>
      </c>
      <c r="AJ369" s="2" t="s">
        <v>976</v>
      </c>
      <c r="AK369" s="2" t="s">
        <v>976</v>
      </c>
    </row>
    <row r="370" customFormat="false" ht="15" hidden="false" customHeight="false" outlineLevel="0" collapsed="false">
      <c r="A370" s="9" t="n">
        <v>369</v>
      </c>
      <c r="B370" s="2" t="s">
        <v>978</v>
      </c>
      <c r="C370" s="2" t="s">
        <v>595</v>
      </c>
      <c r="D370" s="2" t="s">
        <v>595</v>
      </c>
      <c r="E370" s="2" t="s">
        <v>51</v>
      </c>
      <c r="F370" s="2"/>
      <c r="G370" s="2" t="s">
        <v>597</v>
      </c>
      <c r="H370" s="8" t="n">
        <v>662.196110897138</v>
      </c>
      <c r="I370" s="2" t="s">
        <v>316</v>
      </c>
      <c r="J370" s="8" t="n">
        <v>1164672.4137931</v>
      </c>
      <c r="K370" s="6" t="n">
        <v>116</v>
      </c>
      <c r="L370" s="2"/>
      <c r="M370" s="10" t="b">
        <f aca="false">TRUE()</f>
        <v>1</v>
      </c>
      <c r="N370" s="9" t="n">
        <f aca="false">IF(H370="","",IF(H370&gt;=Assumptions!$B$5,1,IF(H370&gt;=Assumptions!$B$6,2,IF(H370&gt;=Assumptions!$B$7,3,""))))</f>
        <v>2</v>
      </c>
      <c r="O370" s="9" t="n">
        <f aca="false">IF(N370=1,Assumptions!$B$8,IF(N370=2,Assumptions!$B$9,IF(N370=3,Assumptions!$B$10,0)))</f>
        <v>2</v>
      </c>
      <c r="P370" s="6" t="s">
        <v>30</v>
      </c>
      <c r="Q370" s="6" t="s">
        <v>30</v>
      </c>
      <c r="R370" s="11" t="s">
        <v>30</v>
      </c>
      <c r="S370" s="6" t="s">
        <v>30</v>
      </c>
      <c r="T370" s="11" t="s">
        <v>30</v>
      </c>
      <c r="U370" s="6" t="s">
        <v>30</v>
      </c>
      <c r="V370" s="6" t="s">
        <v>30</v>
      </c>
      <c r="W370" s="6" t="s">
        <v>30</v>
      </c>
      <c r="X370" s="2" t="s">
        <v>30</v>
      </c>
      <c r="Y370" s="6" t="str">
        <f aca="false">IF(AND(X370="processed",ISNUMBER(S370)),S370*O370,"")</f>
        <v/>
      </c>
      <c r="Z370" s="6" t="n">
        <f aca="false">IF(ISNUMBER(K370),K370*O370,0)</f>
        <v>232</v>
      </c>
      <c r="AA370" s="2" t="s">
        <v>31</v>
      </c>
      <c r="AB370" s="6" t="n">
        <v>10386</v>
      </c>
      <c r="AC370" s="6" t="n">
        <v>8190</v>
      </c>
      <c r="AD370" s="6" t="n">
        <v>377</v>
      </c>
      <c r="AE370" s="6" t="n">
        <v>2137.47314453125</v>
      </c>
      <c r="AF370" s="8" t="n">
        <v>727.1802359</v>
      </c>
      <c r="AG370" s="11" t="n">
        <v>0.1434645738</v>
      </c>
      <c r="AH370" s="12" t="n">
        <v>0.999977398659037</v>
      </c>
      <c r="AI370" s="2" t="s">
        <v>317</v>
      </c>
      <c r="AJ370" s="2" t="s">
        <v>595</v>
      </c>
      <c r="AK370" s="2" t="s">
        <v>595</v>
      </c>
    </row>
    <row r="371" customFormat="false" ht="15" hidden="false" customHeight="false" outlineLevel="0" collapsed="false">
      <c r="A371" s="9" t="n">
        <v>370</v>
      </c>
      <c r="B371" s="2" t="s">
        <v>979</v>
      </c>
      <c r="C371" s="2" t="s">
        <v>433</v>
      </c>
      <c r="D371" s="2" t="s">
        <v>27</v>
      </c>
      <c r="E371" s="2" t="s">
        <v>28</v>
      </c>
      <c r="F371" s="2" t="s">
        <v>980</v>
      </c>
      <c r="G371" s="2" t="s">
        <v>315</v>
      </c>
      <c r="H371" s="8" t="n">
        <v>770.200949459935</v>
      </c>
      <c r="I371" s="2" t="s">
        <v>316</v>
      </c>
      <c r="J371" s="8" t="n">
        <v>2011272.72727273</v>
      </c>
      <c r="K371" s="6" t="n">
        <v>77</v>
      </c>
      <c r="L371" s="2"/>
      <c r="M371" s="10" t="b">
        <f aca="false">TRUE()</f>
        <v>1</v>
      </c>
      <c r="N371" s="9" t="n">
        <f aca="false">IF(H371="","",IF(H371&gt;=Assumptions!$B$5,1,IF(H371&gt;=Assumptions!$B$6,2,IF(H371&gt;=Assumptions!$B$7,3,""))))</f>
        <v>1</v>
      </c>
      <c r="O371" s="9" t="n">
        <f aca="false">IF(N371=1,Assumptions!$B$8,IF(N371=2,Assumptions!$B$9,IF(N371=3,Assumptions!$B$10,0)))</f>
        <v>3</v>
      </c>
      <c r="P371" s="6" t="s">
        <v>30</v>
      </c>
      <c r="Q371" s="6" t="s">
        <v>30</v>
      </c>
      <c r="R371" s="11" t="s">
        <v>30</v>
      </c>
      <c r="S371" s="6" t="s">
        <v>30</v>
      </c>
      <c r="T371" s="11" t="s">
        <v>30</v>
      </c>
      <c r="U371" s="6" t="s">
        <v>30</v>
      </c>
      <c r="V371" s="6" t="s">
        <v>30</v>
      </c>
      <c r="W371" s="6" t="s">
        <v>30</v>
      </c>
      <c r="X371" s="2" t="s">
        <v>30</v>
      </c>
      <c r="Y371" s="6" t="str">
        <f aca="false">IF(AND(X371="processed",ISNUMBER(S371)),S371*O371,"")</f>
        <v/>
      </c>
      <c r="Z371" s="6" t="n">
        <f aca="false">IF(ISNUMBER(K371),K371*O371,0)</f>
        <v>231</v>
      </c>
      <c r="AA371" s="2" t="s">
        <v>31</v>
      </c>
      <c r="AB371" s="6" t="n">
        <v>5166</v>
      </c>
      <c r="AC371" s="6" t="n">
        <v>4538</v>
      </c>
      <c r="AD371" s="6" t="n">
        <v>31</v>
      </c>
      <c r="AE371" s="6" t="n">
        <v>2302.47998046875</v>
      </c>
      <c r="AF371" s="8" t="n">
        <v>771.971496437</v>
      </c>
      <c r="AG371" s="11" t="n">
        <v>-0.01554389288</v>
      </c>
      <c r="AH371" s="12" t="n">
        <v>1</v>
      </c>
      <c r="AI371" s="2" t="s">
        <v>317</v>
      </c>
      <c r="AJ371" s="2" t="s">
        <v>433</v>
      </c>
      <c r="AK371" s="2" t="s">
        <v>433</v>
      </c>
    </row>
    <row r="372" customFormat="false" ht="15" hidden="false" customHeight="false" outlineLevel="0" collapsed="false">
      <c r="A372" s="9" t="n">
        <v>371</v>
      </c>
      <c r="B372" s="2" t="s">
        <v>981</v>
      </c>
      <c r="C372" s="2" t="s">
        <v>169</v>
      </c>
      <c r="D372" s="2" t="s">
        <v>62</v>
      </c>
      <c r="E372" s="2" t="s">
        <v>40</v>
      </c>
      <c r="F372" s="2"/>
      <c r="G372" s="2" t="s">
        <v>324</v>
      </c>
      <c r="H372" s="8" t="n">
        <v>1074.84483636813</v>
      </c>
      <c r="I372" s="2" t="s">
        <v>316</v>
      </c>
      <c r="J372" s="8" t="n">
        <v>1434389.61038961</v>
      </c>
      <c r="K372" s="6" t="n">
        <v>77</v>
      </c>
      <c r="L372" s="2"/>
      <c r="M372" s="10" t="b">
        <f aca="false">TRUE()</f>
        <v>1</v>
      </c>
      <c r="N372" s="9" t="n">
        <f aca="false">IF(H372="","",IF(H372&gt;=Assumptions!$B$5,1,IF(H372&gt;=Assumptions!$B$6,2,IF(H372&gt;=Assumptions!$B$7,3,""))))</f>
        <v>1</v>
      </c>
      <c r="O372" s="9" t="n">
        <f aca="false">IF(N372=1,Assumptions!$B$8,IF(N372=2,Assumptions!$B$9,IF(N372=3,Assumptions!$B$10,0)))</f>
        <v>3</v>
      </c>
      <c r="P372" s="6" t="s">
        <v>30</v>
      </c>
      <c r="Q372" s="6" t="s">
        <v>30</v>
      </c>
      <c r="R372" s="11" t="s">
        <v>30</v>
      </c>
      <c r="S372" s="6" t="s">
        <v>30</v>
      </c>
      <c r="T372" s="11" t="s">
        <v>30</v>
      </c>
      <c r="U372" s="6" t="s">
        <v>30</v>
      </c>
      <c r="V372" s="6" t="s">
        <v>30</v>
      </c>
      <c r="W372" s="6" t="s">
        <v>30</v>
      </c>
      <c r="X372" s="2" t="s">
        <v>30</v>
      </c>
      <c r="Y372" s="6" t="str">
        <f aca="false">IF(AND(X372="processed",ISNUMBER(S372)),S372*O372,"")</f>
        <v/>
      </c>
      <c r="Z372" s="6" t="n">
        <f aca="false">IF(ISNUMBER(K372),K372*O372,0)</f>
        <v>231</v>
      </c>
      <c r="AA372" s="2" t="s">
        <v>31</v>
      </c>
      <c r="AB372" s="6" t="n">
        <v>7992</v>
      </c>
      <c r="AC372" s="6" t="n">
        <v>5710</v>
      </c>
      <c r="AD372" s="6" t="n">
        <v>221</v>
      </c>
      <c r="AE372" s="6" t="n">
        <v>1791.01000976563</v>
      </c>
      <c r="AF372" s="8" t="n">
        <v>1184.210526316</v>
      </c>
      <c r="AG372" s="11" t="n">
        <v>0.1077655484</v>
      </c>
      <c r="AH372" s="12" t="n">
        <v>0.819693778981915</v>
      </c>
      <c r="AI372" s="2" t="s">
        <v>321</v>
      </c>
      <c r="AJ372" s="2" t="s">
        <v>169</v>
      </c>
      <c r="AK372" s="2" t="s">
        <v>169</v>
      </c>
    </row>
    <row r="373" customFormat="false" ht="15" hidden="false" customHeight="false" outlineLevel="0" collapsed="false">
      <c r="A373" s="9" t="n">
        <v>372</v>
      </c>
      <c r="B373" s="2" t="s">
        <v>982</v>
      </c>
      <c r="C373" s="2" t="s">
        <v>56</v>
      </c>
      <c r="D373" s="2" t="s">
        <v>56</v>
      </c>
      <c r="E373" s="2" t="s">
        <v>56</v>
      </c>
      <c r="F373" s="2" t="s">
        <v>983</v>
      </c>
      <c r="G373" s="2" t="s">
        <v>324</v>
      </c>
      <c r="H373" s="8" t="n">
        <v>1200.3508525482</v>
      </c>
      <c r="I373" s="2" t="s">
        <v>316</v>
      </c>
      <c r="J373" s="8" t="n">
        <v>1602987.01298701</v>
      </c>
      <c r="K373" s="6" t="n">
        <v>77</v>
      </c>
      <c r="L373" s="2"/>
      <c r="M373" s="10" t="b">
        <f aca="false">TRUE()</f>
        <v>1</v>
      </c>
      <c r="N373" s="9" t="n">
        <f aca="false">IF(H373="","",IF(H373&gt;=Assumptions!$B$5,1,IF(H373&gt;=Assumptions!$B$6,2,IF(H373&gt;=Assumptions!$B$7,3,""))))</f>
        <v>1</v>
      </c>
      <c r="O373" s="9" t="n">
        <f aca="false">IF(N373=1,Assumptions!$B$8,IF(N373=2,Assumptions!$B$9,IF(N373=3,Assumptions!$B$10,0)))</f>
        <v>3</v>
      </c>
      <c r="P373" s="6" t="s">
        <v>30</v>
      </c>
      <c r="Q373" s="6" t="s">
        <v>30</v>
      </c>
      <c r="R373" s="11" t="s">
        <v>30</v>
      </c>
      <c r="S373" s="6" t="s">
        <v>30</v>
      </c>
      <c r="T373" s="11" t="s">
        <v>30</v>
      </c>
      <c r="U373" s="6" t="s">
        <v>30</v>
      </c>
      <c r="V373" s="6" t="s">
        <v>30</v>
      </c>
      <c r="W373" s="6" t="s">
        <v>30</v>
      </c>
      <c r="X373" s="2" t="s">
        <v>30</v>
      </c>
      <c r="Y373" s="6" t="str">
        <f aca="false">IF(AND(X373="processed",ISNUMBER(S373)),S373*O373,"")</f>
        <v/>
      </c>
      <c r="Z373" s="6" t="n">
        <f aca="false">IF(ISNUMBER(K373),K373*O373,0)</f>
        <v>231</v>
      </c>
      <c r="AA373" s="2" t="s">
        <v>31</v>
      </c>
      <c r="AB373" s="6" t="n">
        <v>4050</v>
      </c>
      <c r="AC373" s="6" t="n">
        <v>3360</v>
      </c>
      <c r="AD373" s="6" t="n">
        <v>21</v>
      </c>
      <c r="AE373" s="6" t="n">
        <v>2012.19482421875</v>
      </c>
      <c r="AF373" s="8" t="n">
        <v>1814.612447774</v>
      </c>
      <c r="AG373" s="11" t="n">
        <v>0.868095762</v>
      </c>
      <c r="AH373" s="12" t="n">
        <v>0.958104619840093</v>
      </c>
      <c r="AI373" s="2" t="s">
        <v>317</v>
      </c>
      <c r="AJ373" s="2" t="s">
        <v>56</v>
      </c>
      <c r="AK373" s="2" t="s">
        <v>56</v>
      </c>
    </row>
    <row r="374" customFormat="false" ht="15" hidden="false" customHeight="false" outlineLevel="0" collapsed="false">
      <c r="A374" s="9" t="n">
        <v>373</v>
      </c>
      <c r="B374" s="2" t="s">
        <v>984</v>
      </c>
      <c r="C374" s="2" t="s">
        <v>985</v>
      </c>
      <c r="D374" s="2" t="s">
        <v>70</v>
      </c>
      <c r="E374" s="2" t="s">
        <v>71</v>
      </c>
      <c r="F374" s="2" t="s">
        <v>986</v>
      </c>
      <c r="G374" s="2" t="s">
        <v>329</v>
      </c>
      <c r="H374" s="8" t="n">
        <v>575.766425827696</v>
      </c>
      <c r="I374" s="2" t="s">
        <v>316</v>
      </c>
      <c r="J374" s="8" t="n">
        <v>856391.304347826</v>
      </c>
      <c r="K374" s="6" t="n">
        <v>230</v>
      </c>
      <c r="L374" s="2"/>
      <c r="M374" s="10" t="b">
        <f aca="false">TRUE()</f>
        <v>1</v>
      </c>
      <c r="N374" s="9" t="n">
        <f aca="false">IF(H374="","",IF(H374&gt;=Assumptions!$B$5,1,IF(H374&gt;=Assumptions!$B$6,2,IF(H374&gt;=Assumptions!$B$7,3,""))))</f>
        <v>3</v>
      </c>
      <c r="O374" s="9" t="n">
        <f aca="false">IF(N374=1,Assumptions!$B$8,IF(N374=2,Assumptions!$B$9,IF(N374=3,Assumptions!$B$10,0)))</f>
        <v>1</v>
      </c>
      <c r="P374" s="6" t="s">
        <v>30</v>
      </c>
      <c r="Q374" s="6" t="s">
        <v>30</v>
      </c>
      <c r="R374" s="11" t="s">
        <v>30</v>
      </c>
      <c r="S374" s="6" t="s">
        <v>30</v>
      </c>
      <c r="T374" s="11" t="s">
        <v>30</v>
      </c>
      <c r="U374" s="6" t="s">
        <v>30</v>
      </c>
      <c r="V374" s="6" t="s">
        <v>30</v>
      </c>
      <c r="W374" s="6" t="s">
        <v>30</v>
      </c>
      <c r="X374" s="2" t="s">
        <v>30</v>
      </c>
      <c r="Y374" s="6" t="str">
        <f aca="false">IF(AND(X374="processed",ISNUMBER(S374)),S374*O374,"")</f>
        <v/>
      </c>
      <c r="Z374" s="6" t="n">
        <f aca="false">IF(ISNUMBER(K374),K374*O374,0)</f>
        <v>230</v>
      </c>
      <c r="AA374" s="2" t="s">
        <v>31</v>
      </c>
      <c r="AB374" s="6" t="n">
        <v>23820</v>
      </c>
      <c r="AC374" s="6" t="n">
        <v>16025</v>
      </c>
      <c r="AD374" s="6" t="n">
        <v>420</v>
      </c>
      <c r="AE374" s="6" t="n">
        <v>2054.97680664063</v>
      </c>
      <c r="AF374" s="8" t="n">
        <v>591.895632285</v>
      </c>
      <c r="AG374" s="11" t="n">
        <v>-0.0146678592</v>
      </c>
      <c r="AH374" s="12" t="n">
        <v>1</v>
      </c>
      <c r="AI374" s="2" t="s">
        <v>317</v>
      </c>
      <c r="AJ374" s="2" t="s">
        <v>985</v>
      </c>
      <c r="AK374" s="2" t="s">
        <v>70</v>
      </c>
    </row>
    <row r="375" customFormat="false" ht="15" hidden="false" customHeight="false" outlineLevel="0" collapsed="false">
      <c r="A375" s="9" t="n">
        <v>374</v>
      </c>
      <c r="B375" s="2" t="s">
        <v>987</v>
      </c>
      <c r="C375" s="2" t="s">
        <v>27</v>
      </c>
      <c r="D375" s="2" t="s">
        <v>27</v>
      </c>
      <c r="E375" s="2" t="s">
        <v>28</v>
      </c>
      <c r="F375" s="2" t="s">
        <v>988</v>
      </c>
      <c r="G375" s="2" t="s">
        <v>315</v>
      </c>
      <c r="H375" s="8" t="n">
        <v>633.275958700235</v>
      </c>
      <c r="I375" s="2" t="s">
        <v>316</v>
      </c>
      <c r="J375" s="8" t="n">
        <v>1156239.13043478</v>
      </c>
      <c r="K375" s="6" t="n">
        <v>115</v>
      </c>
      <c r="L375" s="2"/>
      <c r="M375" s="10" t="b">
        <f aca="false">TRUE()</f>
        <v>1</v>
      </c>
      <c r="N375" s="9" t="n">
        <f aca="false">IF(H375="","",IF(H375&gt;=Assumptions!$B$5,1,IF(H375&gt;=Assumptions!$B$6,2,IF(H375&gt;=Assumptions!$B$7,3,""))))</f>
        <v>2</v>
      </c>
      <c r="O375" s="9" t="n">
        <f aca="false">IF(N375=1,Assumptions!$B$8,IF(N375=2,Assumptions!$B$9,IF(N375=3,Assumptions!$B$10,0)))</f>
        <v>2</v>
      </c>
      <c r="P375" s="6" t="s">
        <v>30</v>
      </c>
      <c r="Q375" s="6" t="s">
        <v>30</v>
      </c>
      <c r="R375" s="11" t="s">
        <v>30</v>
      </c>
      <c r="S375" s="6" t="s">
        <v>30</v>
      </c>
      <c r="T375" s="11" t="s">
        <v>30</v>
      </c>
      <c r="U375" s="6" t="s">
        <v>30</v>
      </c>
      <c r="V375" s="6" t="s">
        <v>30</v>
      </c>
      <c r="W375" s="6" t="s">
        <v>30</v>
      </c>
      <c r="X375" s="2" t="s">
        <v>30</v>
      </c>
      <c r="Y375" s="6" t="str">
        <f aca="false">IF(AND(X375="processed",ISNUMBER(S375)),S375*O375,"")</f>
        <v/>
      </c>
      <c r="Z375" s="6" t="n">
        <f aca="false">IF(ISNUMBER(K375),K375*O375,0)</f>
        <v>230</v>
      </c>
      <c r="AA375" s="2" t="s">
        <v>31</v>
      </c>
      <c r="AB375" s="6" t="n">
        <v>6490</v>
      </c>
      <c r="AC375" s="6" t="n">
        <v>5637</v>
      </c>
      <c r="AD375" s="6" t="n">
        <v>166</v>
      </c>
      <c r="AE375" s="6" t="n">
        <v>2589.18579101563</v>
      </c>
      <c r="AF375" s="8" t="n">
        <v>692.699247303</v>
      </c>
      <c r="AG375" s="11" t="n">
        <v>0.04928970842</v>
      </c>
      <c r="AH375" s="12" t="n">
        <v>1</v>
      </c>
      <c r="AI375" s="2" t="s">
        <v>328</v>
      </c>
      <c r="AJ375" s="2" t="s">
        <v>27</v>
      </c>
      <c r="AK375" s="2" t="s">
        <v>27</v>
      </c>
    </row>
    <row r="376" customFormat="false" ht="15" hidden="false" customHeight="false" outlineLevel="0" collapsed="false">
      <c r="A376" s="9" t="n">
        <v>375</v>
      </c>
      <c r="B376" s="2" t="s">
        <v>989</v>
      </c>
      <c r="C376" s="2" t="s">
        <v>990</v>
      </c>
      <c r="D376" s="2" t="s">
        <v>34</v>
      </c>
      <c r="E376" s="2" t="s">
        <v>35</v>
      </c>
      <c r="F376" s="2" t="s">
        <v>991</v>
      </c>
      <c r="G376" s="2" t="s">
        <v>318</v>
      </c>
      <c r="H376" s="8" t="n">
        <v>604.757511060443</v>
      </c>
      <c r="I376" s="2" t="s">
        <v>316</v>
      </c>
      <c r="J376" s="8" t="n">
        <v>843147.826086957</v>
      </c>
      <c r="K376" s="6" t="n">
        <v>115</v>
      </c>
      <c r="L376" s="2"/>
      <c r="M376" s="10" t="b">
        <f aca="false">TRUE()</f>
        <v>1</v>
      </c>
      <c r="N376" s="9" t="n">
        <f aca="false">IF(H376="","",IF(H376&gt;=Assumptions!$B$5,1,IF(H376&gt;=Assumptions!$B$6,2,IF(H376&gt;=Assumptions!$B$7,3,""))))</f>
        <v>2</v>
      </c>
      <c r="O376" s="9" t="n">
        <f aca="false">IF(N376=1,Assumptions!$B$8,IF(N376=2,Assumptions!$B$9,IF(N376=3,Assumptions!$B$10,0)))</f>
        <v>2</v>
      </c>
      <c r="P376" s="6" t="s">
        <v>30</v>
      </c>
      <c r="Q376" s="6" t="s">
        <v>30</v>
      </c>
      <c r="R376" s="11" t="s">
        <v>30</v>
      </c>
      <c r="S376" s="6" t="s">
        <v>30</v>
      </c>
      <c r="T376" s="11" t="s">
        <v>30</v>
      </c>
      <c r="U376" s="6" t="s">
        <v>30</v>
      </c>
      <c r="V376" s="6" t="s">
        <v>30</v>
      </c>
      <c r="W376" s="6" t="s">
        <v>30</v>
      </c>
      <c r="X376" s="2" t="s">
        <v>30</v>
      </c>
      <c r="Y376" s="6" t="str">
        <f aca="false">IF(AND(X376="processed",ISNUMBER(S376)),S376*O376,"")</f>
        <v/>
      </c>
      <c r="Z376" s="6" t="n">
        <f aca="false">IF(ISNUMBER(K376),K376*O376,0)</f>
        <v>230</v>
      </c>
      <c r="AA376" s="2" t="s">
        <v>31</v>
      </c>
      <c r="AB376" s="6" t="n">
        <v>8495</v>
      </c>
      <c r="AC376" s="6" t="n">
        <v>6185</v>
      </c>
      <c r="AD376" s="6" t="n">
        <v>105</v>
      </c>
      <c r="AE376" s="6" t="n">
        <v>1428.90466308594</v>
      </c>
      <c r="AF376" s="8" t="n">
        <v>705.338251272</v>
      </c>
      <c r="AG376" s="11" t="n">
        <v>0.0537356763</v>
      </c>
      <c r="AH376" s="12" t="n">
        <v>0.845684866068553</v>
      </c>
      <c r="AI376" s="2" t="s">
        <v>319</v>
      </c>
      <c r="AJ376" s="2"/>
      <c r="AK376" s="2" t="s">
        <v>990</v>
      </c>
    </row>
    <row r="377" customFormat="false" ht="15" hidden="false" customHeight="false" outlineLevel="0" collapsed="false">
      <c r="A377" s="9" t="n">
        <v>376</v>
      </c>
      <c r="B377" s="2" t="s">
        <v>992</v>
      </c>
      <c r="C377" s="2" t="s">
        <v>993</v>
      </c>
      <c r="D377" s="2" t="s">
        <v>44</v>
      </c>
      <c r="E377" s="2" t="s">
        <v>44</v>
      </c>
      <c r="F377" s="2" t="s">
        <v>994</v>
      </c>
      <c r="G377" s="2" t="s">
        <v>322</v>
      </c>
      <c r="H377" s="8" t="n">
        <v>552.537942164673</v>
      </c>
      <c r="I377" s="2" t="s">
        <v>316</v>
      </c>
      <c r="J377" s="8" t="n">
        <v>813960.698689956</v>
      </c>
      <c r="K377" s="6" t="n">
        <v>229</v>
      </c>
      <c r="L377" s="2"/>
      <c r="M377" s="10" t="b">
        <f aca="false">TRUE()</f>
        <v>1</v>
      </c>
      <c r="N377" s="9" t="n">
        <f aca="false">IF(H377="","",IF(H377&gt;=Assumptions!$B$5,1,IF(H377&gt;=Assumptions!$B$6,2,IF(H377&gt;=Assumptions!$B$7,3,""))))</f>
        <v>3</v>
      </c>
      <c r="O377" s="9" t="n">
        <f aca="false">IF(N377=1,Assumptions!$B$8,IF(N377=2,Assumptions!$B$9,IF(N377=3,Assumptions!$B$10,0)))</f>
        <v>1</v>
      </c>
      <c r="P377" s="6" t="s">
        <v>30</v>
      </c>
      <c r="Q377" s="6" t="s">
        <v>30</v>
      </c>
      <c r="R377" s="11" t="s">
        <v>30</v>
      </c>
      <c r="S377" s="6" t="s">
        <v>30</v>
      </c>
      <c r="T377" s="11" t="s">
        <v>30</v>
      </c>
      <c r="U377" s="6" t="s">
        <v>30</v>
      </c>
      <c r="V377" s="6" t="s">
        <v>30</v>
      </c>
      <c r="W377" s="6" t="s">
        <v>30</v>
      </c>
      <c r="X377" s="2" t="s">
        <v>30</v>
      </c>
      <c r="Y377" s="6" t="str">
        <f aca="false">IF(AND(X377="processed",ISNUMBER(S377)),S377*O377,"")</f>
        <v/>
      </c>
      <c r="Z377" s="6" t="n">
        <f aca="false">IF(ISNUMBER(K377),K377*O377,0)</f>
        <v>229</v>
      </c>
      <c r="AA377" s="2" t="s">
        <v>31</v>
      </c>
      <c r="AB377" s="6" t="n">
        <v>32341</v>
      </c>
      <c r="AC377" s="6" t="n">
        <v>18780</v>
      </c>
      <c r="AD377" s="6" t="n">
        <v>283</v>
      </c>
      <c r="AE377" s="6" t="n">
        <v>2191.04736328125</v>
      </c>
      <c r="AF377" s="8" t="n">
        <v>553.074987626</v>
      </c>
      <c r="AG377" s="11" t="n">
        <v>0.02336713839</v>
      </c>
      <c r="AH377" s="12" t="n">
        <v>0.996917075980756</v>
      </c>
      <c r="AI377" s="2" t="s">
        <v>317</v>
      </c>
      <c r="AJ377" s="2" t="s">
        <v>993</v>
      </c>
      <c r="AK377" s="2" t="s">
        <v>993</v>
      </c>
    </row>
    <row r="378" customFormat="false" ht="15" hidden="false" customHeight="false" outlineLevel="0" collapsed="false">
      <c r="A378" s="9" t="n">
        <v>377</v>
      </c>
      <c r="B378" s="2" t="s">
        <v>995</v>
      </c>
      <c r="C378" s="2" t="s">
        <v>679</v>
      </c>
      <c r="D378" s="2" t="s">
        <v>70</v>
      </c>
      <c r="E378" s="2" t="s">
        <v>71</v>
      </c>
      <c r="F378" s="2" t="s">
        <v>996</v>
      </c>
      <c r="G378" s="2" t="s">
        <v>329</v>
      </c>
      <c r="H378" s="8" t="n">
        <v>1355.15771186568</v>
      </c>
      <c r="I378" s="2" t="s">
        <v>316</v>
      </c>
      <c r="J378" s="8" t="n">
        <v>2629802.63157895</v>
      </c>
      <c r="K378" s="6" t="n">
        <v>76</v>
      </c>
      <c r="L378" s="2"/>
      <c r="M378" s="10" t="b">
        <f aca="false">TRUE()</f>
        <v>1</v>
      </c>
      <c r="N378" s="9" t="n">
        <f aca="false">IF(H378="","",IF(H378&gt;=Assumptions!$B$5,1,IF(H378&gt;=Assumptions!$B$6,2,IF(H378&gt;=Assumptions!$B$7,3,""))))</f>
        <v>1</v>
      </c>
      <c r="O378" s="9" t="n">
        <f aca="false">IF(N378=1,Assumptions!$B$8,IF(N378=2,Assumptions!$B$9,IF(N378=3,Assumptions!$B$10,0)))</f>
        <v>3</v>
      </c>
      <c r="P378" s="6" t="s">
        <v>30</v>
      </c>
      <c r="Q378" s="6" t="s">
        <v>30</v>
      </c>
      <c r="R378" s="11" t="s">
        <v>30</v>
      </c>
      <c r="S378" s="6" t="s">
        <v>30</v>
      </c>
      <c r="T378" s="11" t="s">
        <v>30</v>
      </c>
      <c r="U378" s="6" t="s">
        <v>30</v>
      </c>
      <c r="V378" s="6" t="s">
        <v>30</v>
      </c>
      <c r="W378" s="6" t="s">
        <v>30</v>
      </c>
      <c r="X378" s="2" t="s">
        <v>30</v>
      </c>
      <c r="Y378" s="6" t="str">
        <f aca="false">IF(AND(X378="processed",ISNUMBER(S378)),S378*O378,"")</f>
        <v/>
      </c>
      <c r="Z378" s="6" t="n">
        <f aca="false">IF(ISNUMBER(K378),K378*O378,0)</f>
        <v>228</v>
      </c>
      <c r="AA378" s="2" t="s">
        <v>31</v>
      </c>
      <c r="AB378" s="6" t="n">
        <v>9081</v>
      </c>
      <c r="AC378" s="6" t="n">
        <v>6800</v>
      </c>
      <c r="AD378" s="6" t="n">
        <v>85</v>
      </c>
      <c r="AE378" s="6" t="n">
        <v>1693.63940429688</v>
      </c>
      <c r="AF378" s="8" t="n">
        <v>1420.029895366</v>
      </c>
      <c r="AG378" s="11" t="n">
        <v>-0.05911678836</v>
      </c>
      <c r="AH378" s="12" t="n">
        <v>0.96096393722257</v>
      </c>
      <c r="AI378" s="2" t="s">
        <v>317</v>
      </c>
      <c r="AJ378" s="2" t="s">
        <v>679</v>
      </c>
      <c r="AK378" s="2" t="s">
        <v>679</v>
      </c>
    </row>
    <row r="379" customFormat="false" ht="15" hidden="false" customHeight="false" outlineLevel="0" collapsed="false">
      <c r="A379" s="9" t="n">
        <v>378</v>
      </c>
      <c r="B379" s="2" t="s">
        <v>997</v>
      </c>
      <c r="C379" s="2" t="s">
        <v>814</v>
      </c>
      <c r="D379" s="2" t="s">
        <v>70</v>
      </c>
      <c r="E379" s="2" t="s">
        <v>71</v>
      </c>
      <c r="F379" s="2"/>
      <c r="G379" s="2" t="s">
        <v>329</v>
      </c>
      <c r="H379" s="8" t="n">
        <v>648.705064201053</v>
      </c>
      <c r="I379" s="2" t="s">
        <v>316</v>
      </c>
      <c r="J379" s="8" t="n">
        <v>1153535.0877193</v>
      </c>
      <c r="K379" s="6" t="n">
        <v>114</v>
      </c>
      <c r="L379" s="2"/>
      <c r="M379" s="10" t="b">
        <f aca="false">TRUE()</f>
        <v>1</v>
      </c>
      <c r="N379" s="9" t="n">
        <f aca="false">IF(H379="","",IF(H379&gt;=Assumptions!$B$5,1,IF(H379&gt;=Assumptions!$B$6,2,IF(H379&gt;=Assumptions!$B$7,3,""))))</f>
        <v>2</v>
      </c>
      <c r="O379" s="9" t="n">
        <f aca="false">IF(N379=1,Assumptions!$B$8,IF(N379=2,Assumptions!$B$9,IF(N379=3,Assumptions!$B$10,0)))</f>
        <v>2</v>
      </c>
      <c r="P379" s="6" t="s">
        <v>30</v>
      </c>
      <c r="Q379" s="6" t="s">
        <v>30</v>
      </c>
      <c r="R379" s="11" t="s">
        <v>30</v>
      </c>
      <c r="S379" s="6" t="s">
        <v>30</v>
      </c>
      <c r="T379" s="11" t="s">
        <v>30</v>
      </c>
      <c r="U379" s="6" t="s">
        <v>30</v>
      </c>
      <c r="V379" s="6" t="s">
        <v>30</v>
      </c>
      <c r="W379" s="6" t="s">
        <v>30</v>
      </c>
      <c r="X379" s="2" t="s">
        <v>30</v>
      </c>
      <c r="Y379" s="6" t="str">
        <f aca="false">IF(AND(X379="processed",ISNUMBER(S379)),S379*O379,"")</f>
        <v/>
      </c>
      <c r="Z379" s="6" t="n">
        <f aca="false">IF(ISNUMBER(K379),K379*O379,0)</f>
        <v>228</v>
      </c>
      <c r="AA379" s="2" t="s">
        <v>31</v>
      </c>
      <c r="AB379" s="6" t="n">
        <v>8302</v>
      </c>
      <c r="AC379" s="6" t="n">
        <v>6176</v>
      </c>
      <c r="AD379" s="6" t="n">
        <v>90</v>
      </c>
      <c r="AE379" s="6" t="n">
        <v>2232.49096679688</v>
      </c>
      <c r="AF379" s="8" t="n">
        <v>657.0525484</v>
      </c>
      <c r="AG379" s="11" t="n">
        <v>0.0330247223</v>
      </c>
      <c r="AH379" s="12" t="n">
        <v>0.888740489316281</v>
      </c>
      <c r="AI379" s="2" t="s">
        <v>317</v>
      </c>
      <c r="AJ379" s="2" t="s">
        <v>814</v>
      </c>
      <c r="AK379" s="2" t="s">
        <v>70</v>
      </c>
    </row>
    <row r="380" customFormat="false" ht="15" hidden="false" customHeight="false" outlineLevel="0" collapsed="false">
      <c r="A380" s="9" t="n">
        <v>379</v>
      </c>
      <c r="B380" s="2" t="s">
        <v>998</v>
      </c>
      <c r="C380" s="2" t="s">
        <v>999</v>
      </c>
      <c r="D380" s="2" t="s">
        <v>70</v>
      </c>
      <c r="E380" s="2" t="s">
        <v>71</v>
      </c>
      <c r="F380" s="2"/>
      <c r="G380" s="2" t="s">
        <v>329</v>
      </c>
      <c r="H380" s="8" t="n">
        <v>784.501531193303</v>
      </c>
      <c r="I380" s="2" t="s">
        <v>316</v>
      </c>
      <c r="J380" s="8" t="n">
        <v>1596144.73684211</v>
      </c>
      <c r="K380" s="6" t="n">
        <v>76</v>
      </c>
      <c r="L380" s="2"/>
      <c r="M380" s="10" t="b">
        <f aca="false">TRUE()</f>
        <v>1</v>
      </c>
      <c r="N380" s="9" t="n">
        <f aca="false">IF(H380="","",IF(H380&gt;=Assumptions!$B$5,1,IF(H380&gt;=Assumptions!$B$6,2,IF(H380&gt;=Assumptions!$B$7,3,""))))</f>
        <v>1</v>
      </c>
      <c r="O380" s="9" t="n">
        <f aca="false">IF(N380=1,Assumptions!$B$8,IF(N380=2,Assumptions!$B$9,IF(N380=3,Assumptions!$B$10,0)))</f>
        <v>3</v>
      </c>
      <c r="P380" s="6" t="s">
        <v>30</v>
      </c>
      <c r="Q380" s="6" t="s">
        <v>30</v>
      </c>
      <c r="R380" s="11" t="s">
        <v>30</v>
      </c>
      <c r="S380" s="6" t="s">
        <v>30</v>
      </c>
      <c r="T380" s="11" t="s">
        <v>30</v>
      </c>
      <c r="U380" s="6" t="s">
        <v>30</v>
      </c>
      <c r="V380" s="6" t="s">
        <v>30</v>
      </c>
      <c r="W380" s="6" t="s">
        <v>30</v>
      </c>
      <c r="X380" s="2" t="s">
        <v>30</v>
      </c>
      <c r="Y380" s="6" t="str">
        <f aca="false">IF(AND(X380="processed",ISNUMBER(S380)),S380*O380,"")</f>
        <v/>
      </c>
      <c r="Z380" s="6" t="n">
        <f aca="false">IF(ISNUMBER(K380),K380*O380,0)</f>
        <v>228</v>
      </c>
      <c r="AA380" s="2" t="s">
        <v>31</v>
      </c>
      <c r="AB380" s="6" t="n">
        <v>5546</v>
      </c>
      <c r="AC380" s="6" t="n">
        <v>4540</v>
      </c>
      <c r="AD380" s="6" t="n">
        <v>103</v>
      </c>
      <c r="AE380" s="6" t="n">
        <v>2010.61987304688</v>
      </c>
      <c r="AF380" s="8" t="n">
        <v>844.095989056</v>
      </c>
      <c r="AG380" s="11" t="n">
        <v>0.04057577848</v>
      </c>
      <c r="AH380" s="12" t="n">
        <v>1</v>
      </c>
      <c r="AI380" s="2" t="s">
        <v>317</v>
      </c>
      <c r="AJ380" s="2" t="s">
        <v>999</v>
      </c>
      <c r="AK380" s="2" t="s">
        <v>999</v>
      </c>
    </row>
    <row r="381" customFormat="false" ht="15" hidden="false" customHeight="false" outlineLevel="0" collapsed="false">
      <c r="A381" s="9" t="n">
        <v>380</v>
      </c>
      <c r="B381" s="2" t="s">
        <v>1000</v>
      </c>
      <c r="C381" s="2" t="s">
        <v>1001</v>
      </c>
      <c r="D381" s="2" t="s">
        <v>540</v>
      </c>
      <c r="E381" s="2" t="s">
        <v>51</v>
      </c>
      <c r="F381" s="2"/>
      <c r="G381" s="2" t="s">
        <v>541</v>
      </c>
      <c r="H381" s="8" t="n">
        <v>926.593758731184</v>
      </c>
      <c r="I381" s="2" t="s">
        <v>316</v>
      </c>
      <c r="J381" s="8" t="n">
        <v>1910921.05263158</v>
      </c>
      <c r="K381" s="6" t="n">
        <v>76</v>
      </c>
      <c r="L381" s="2"/>
      <c r="M381" s="10" t="b">
        <f aca="false">TRUE()</f>
        <v>1</v>
      </c>
      <c r="N381" s="9" t="n">
        <f aca="false">IF(H381="","",IF(H381&gt;=Assumptions!$B$5,1,IF(H381&gt;=Assumptions!$B$6,2,IF(H381&gt;=Assumptions!$B$7,3,""))))</f>
        <v>1</v>
      </c>
      <c r="O381" s="9" t="n">
        <f aca="false">IF(N381=1,Assumptions!$B$8,IF(N381=2,Assumptions!$B$9,IF(N381=3,Assumptions!$B$10,0)))</f>
        <v>3</v>
      </c>
      <c r="P381" s="6" t="s">
        <v>30</v>
      </c>
      <c r="Q381" s="6" t="s">
        <v>30</v>
      </c>
      <c r="R381" s="11" t="s">
        <v>30</v>
      </c>
      <c r="S381" s="6" t="s">
        <v>30</v>
      </c>
      <c r="T381" s="11" t="s">
        <v>30</v>
      </c>
      <c r="U381" s="6" t="s">
        <v>30</v>
      </c>
      <c r="V381" s="6" t="s">
        <v>30</v>
      </c>
      <c r="W381" s="6" t="s">
        <v>30</v>
      </c>
      <c r="X381" s="2" t="s">
        <v>30</v>
      </c>
      <c r="Y381" s="6" t="str">
        <f aca="false">IF(AND(X381="processed",ISNUMBER(S381)),S381*O381,"")</f>
        <v/>
      </c>
      <c r="Z381" s="6" t="n">
        <f aca="false">IF(ISNUMBER(K381),K381*O381,0)</f>
        <v>228</v>
      </c>
      <c r="AA381" s="2" t="s">
        <v>31</v>
      </c>
      <c r="AB381" s="6" t="n">
        <v>7677</v>
      </c>
      <c r="AC381" s="6" t="n">
        <v>5966</v>
      </c>
      <c r="AD381" s="6" t="n">
        <v>617</v>
      </c>
      <c r="AE381" s="6" t="n">
        <v>1943.65454101563</v>
      </c>
      <c r="AF381" s="8" t="n">
        <v>1019.350380097</v>
      </c>
      <c r="AG381" s="11" t="n">
        <v>0.01841173791</v>
      </c>
      <c r="AH381" s="12" t="n">
        <v>0.999659487606838</v>
      </c>
      <c r="AI381" s="2" t="s">
        <v>321</v>
      </c>
      <c r="AJ381" s="2" t="s">
        <v>1001</v>
      </c>
      <c r="AK381" s="2" t="s">
        <v>1002</v>
      </c>
    </row>
    <row r="382" customFormat="false" ht="15" hidden="false" customHeight="false" outlineLevel="0" collapsed="false">
      <c r="A382" s="9" t="n">
        <v>381</v>
      </c>
      <c r="B382" s="2" t="s">
        <v>1003</v>
      </c>
      <c r="C382" s="2" t="s">
        <v>1004</v>
      </c>
      <c r="D382" s="2" t="s">
        <v>95</v>
      </c>
      <c r="E382" s="2" t="s">
        <v>95</v>
      </c>
      <c r="F382" s="2" t="s">
        <v>1005</v>
      </c>
      <c r="G382" s="2" t="s">
        <v>330</v>
      </c>
      <c r="H382" s="8" t="n">
        <v>1175.20105735341</v>
      </c>
      <c r="I382" s="2" t="s">
        <v>316</v>
      </c>
      <c r="J382" s="8" t="n">
        <v>2019078.94736842</v>
      </c>
      <c r="K382" s="6" t="n">
        <v>76</v>
      </c>
      <c r="L382" s="2"/>
      <c r="M382" s="10" t="b">
        <f aca="false">TRUE()</f>
        <v>1</v>
      </c>
      <c r="N382" s="9" t="n">
        <f aca="false">IF(H382="","",IF(H382&gt;=Assumptions!$B$5,1,IF(H382&gt;=Assumptions!$B$6,2,IF(H382&gt;=Assumptions!$B$7,3,""))))</f>
        <v>1</v>
      </c>
      <c r="O382" s="9" t="n">
        <f aca="false">IF(N382=1,Assumptions!$B$8,IF(N382=2,Assumptions!$B$9,IF(N382=3,Assumptions!$B$10,0)))</f>
        <v>3</v>
      </c>
      <c r="P382" s="6" t="s">
        <v>30</v>
      </c>
      <c r="Q382" s="6" t="s">
        <v>30</v>
      </c>
      <c r="R382" s="11" t="s">
        <v>30</v>
      </c>
      <c r="S382" s="6" t="s">
        <v>30</v>
      </c>
      <c r="T382" s="11" t="s">
        <v>30</v>
      </c>
      <c r="U382" s="6" t="s">
        <v>30</v>
      </c>
      <c r="V382" s="6" t="s">
        <v>30</v>
      </c>
      <c r="W382" s="6" t="s">
        <v>30</v>
      </c>
      <c r="X382" s="2" t="s">
        <v>30</v>
      </c>
      <c r="Y382" s="6" t="str">
        <f aca="false">IF(AND(X382="processed",ISNUMBER(S382)),S382*O382,"")</f>
        <v/>
      </c>
      <c r="Z382" s="6" t="n">
        <f aca="false">IF(ISNUMBER(K382),K382*O382,0)</f>
        <v>228</v>
      </c>
      <c r="AA382" s="2" t="s">
        <v>31</v>
      </c>
      <c r="AB382" s="6" t="n">
        <v>3975</v>
      </c>
      <c r="AC382" s="6" t="n">
        <v>3143</v>
      </c>
      <c r="AD382" s="6" t="n">
        <v>45</v>
      </c>
      <c r="AE382" s="6" t="n">
        <v>2256.3310546875</v>
      </c>
      <c r="AF382" s="8" t="n">
        <v>1288.699690402</v>
      </c>
      <c r="AG382" s="11" t="n">
        <v>0.18443217</v>
      </c>
      <c r="AH382" s="12" t="n">
        <v>0.775391191451275</v>
      </c>
      <c r="AI382" s="2" t="s">
        <v>317</v>
      </c>
      <c r="AJ382" s="2" t="s">
        <v>1004</v>
      </c>
      <c r="AK382" s="2" t="s">
        <v>1004</v>
      </c>
    </row>
    <row r="383" customFormat="false" ht="15" hidden="false" customHeight="false" outlineLevel="0" collapsed="false">
      <c r="A383" s="9" t="n">
        <v>382</v>
      </c>
      <c r="B383" s="2" t="s">
        <v>1006</v>
      </c>
      <c r="C383" s="2" t="s">
        <v>471</v>
      </c>
      <c r="D383" s="2" t="s">
        <v>197</v>
      </c>
      <c r="E383" s="2" t="s">
        <v>51</v>
      </c>
      <c r="F383" s="2" t="s">
        <v>1007</v>
      </c>
      <c r="G383" s="2" t="s">
        <v>338</v>
      </c>
      <c r="H383" s="8" t="n">
        <v>678.860735554912</v>
      </c>
      <c r="I383" s="2" t="s">
        <v>316</v>
      </c>
      <c r="J383" s="8" t="n">
        <v>1393377.19298246</v>
      </c>
      <c r="K383" s="6" t="n">
        <v>114</v>
      </c>
      <c r="L383" s="2"/>
      <c r="M383" s="10" t="b">
        <f aca="false">TRUE()</f>
        <v>1</v>
      </c>
      <c r="N383" s="9" t="n">
        <f aca="false">IF(H383="","",IF(H383&gt;=Assumptions!$B$5,1,IF(H383&gt;=Assumptions!$B$6,2,IF(H383&gt;=Assumptions!$B$7,3,""))))</f>
        <v>2</v>
      </c>
      <c r="O383" s="9" t="n">
        <f aca="false">IF(N383=1,Assumptions!$B$8,IF(N383=2,Assumptions!$B$9,IF(N383=3,Assumptions!$B$10,0)))</f>
        <v>2</v>
      </c>
      <c r="P383" s="6" t="s">
        <v>30</v>
      </c>
      <c r="Q383" s="6" t="s">
        <v>30</v>
      </c>
      <c r="R383" s="11" t="s">
        <v>30</v>
      </c>
      <c r="S383" s="6" t="s">
        <v>30</v>
      </c>
      <c r="T383" s="11" t="s">
        <v>30</v>
      </c>
      <c r="U383" s="6" t="s">
        <v>30</v>
      </c>
      <c r="V383" s="6" t="s">
        <v>30</v>
      </c>
      <c r="W383" s="6" t="s">
        <v>30</v>
      </c>
      <c r="X383" s="2" t="s">
        <v>30</v>
      </c>
      <c r="Y383" s="6" t="str">
        <f aca="false">IF(AND(X383="processed",ISNUMBER(S383)),S383*O383,"")</f>
        <v/>
      </c>
      <c r="Z383" s="6" t="n">
        <f aca="false">IF(ISNUMBER(K383),K383*O383,0)</f>
        <v>228</v>
      </c>
      <c r="AA383" s="2" t="s">
        <v>31</v>
      </c>
      <c r="AB383" s="6" t="n">
        <v>6051</v>
      </c>
      <c r="AC383" s="6" t="n">
        <v>4670</v>
      </c>
      <c r="AD383" s="6" t="n">
        <v>2287</v>
      </c>
      <c r="AE383" s="6" t="n">
        <v>1833.4150390625</v>
      </c>
      <c r="AF383" s="8" t="n">
        <v>599.30835897</v>
      </c>
      <c r="AG383" s="11" t="n">
        <v>-0.08714872815</v>
      </c>
      <c r="AH383" s="12" t="n">
        <v>0.513548470096249</v>
      </c>
      <c r="AI383" s="2" t="s">
        <v>317</v>
      </c>
      <c r="AJ383" s="2" t="s">
        <v>471</v>
      </c>
      <c r="AK383" s="2" t="s">
        <v>428</v>
      </c>
    </row>
    <row r="384" customFormat="false" ht="15" hidden="false" customHeight="false" outlineLevel="0" collapsed="false">
      <c r="A384" s="9" t="n">
        <v>383</v>
      </c>
      <c r="B384" s="2" t="s">
        <v>1008</v>
      </c>
      <c r="C384" s="2" t="s">
        <v>885</v>
      </c>
      <c r="D384" s="2" t="s">
        <v>44</v>
      </c>
      <c r="E384" s="2" t="s">
        <v>44</v>
      </c>
      <c r="F384" s="2" t="s">
        <v>1009</v>
      </c>
      <c r="G384" s="2" t="s">
        <v>322</v>
      </c>
      <c r="H384" s="8" t="n">
        <v>523.279215460797</v>
      </c>
      <c r="I384" s="2" t="s">
        <v>316</v>
      </c>
      <c r="J384" s="8" t="n">
        <v>954480.176211454</v>
      </c>
      <c r="K384" s="6" t="n">
        <v>227</v>
      </c>
      <c r="L384" s="2"/>
      <c r="M384" s="10" t="b">
        <f aca="false">TRUE()</f>
        <v>1</v>
      </c>
      <c r="N384" s="9" t="n">
        <f aca="false">IF(H384="","",IF(H384&gt;=Assumptions!$B$5,1,IF(H384&gt;=Assumptions!$B$6,2,IF(H384&gt;=Assumptions!$B$7,3,""))))</f>
        <v>3</v>
      </c>
      <c r="O384" s="9" t="n">
        <f aca="false">IF(N384=1,Assumptions!$B$8,IF(N384=2,Assumptions!$B$9,IF(N384=3,Assumptions!$B$10,0)))</f>
        <v>1</v>
      </c>
      <c r="P384" s="6" t="s">
        <v>30</v>
      </c>
      <c r="Q384" s="6" t="s">
        <v>30</v>
      </c>
      <c r="R384" s="11" t="s">
        <v>30</v>
      </c>
      <c r="S384" s="6" t="s">
        <v>30</v>
      </c>
      <c r="T384" s="11" t="s">
        <v>30</v>
      </c>
      <c r="U384" s="6" t="s">
        <v>30</v>
      </c>
      <c r="V384" s="6" t="s">
        <v>30</v>
      </c>
      <c r="W384" s="6" t="s">
        <v>30</v>
      </c>
      <c r="X384" s="2" t="s">
        <v>30</v>
      </c>
      <c r="Y384" s="6" t="str">
        <f aca="false">IF(AND(X384="processed",ISNUMBER(S384)),S384*O384,"")</f>
        <v/>
      </c>
      <c r="Z384" s="6" t="n">
        <f aca="false">IF(ISNUMBER(K384),K384*O384,0)</f>
        <v>227</v>
      </c>
      <c r="AA384" s="2" t="s">
        <v>31</v>
      </c>
      <c r="AB384" s="6" t="n">
        <v>11343</v>
      </c>
      <c r="AC384" s="6" t="n">
        <v>9531</v>
      </c>
      <c r="AD384" s="6" t="n">
        <v>9646</v>
      </c>
      <c r="AE384" s="6" t="n">
        <v>2516.70141601563</v>
      </c>
      <c r="AF384" s="8" t="n">
        <v>534.042553191</v>
      </c>
      <c r="AG384" s="11" t="n">
        <v>-0.03234124683</v>
      </c>
      <c r="AH384" s="12" t="n">
        <v>0.999999999999999</v>
      </c>
      <c r="AI384" s="2" t="s">
        <v>317</v>
      </c>
      <c r="AJ384" s="2" t="s">
        <v>885</v>
      </c>
      <c r="AK384" s="2" t="s">
        <v>885</v>
      </c>
    </row>
    <row r="385" customFormat="false" ht="15" hidden="false" customHeight="false" outlineLevel="0" collapsed="false">
      <c r="A385" s="9" t="n">
        <v>384</v>
      </c>
      <c r="B385" s="2" t="s">
        <v>1010</v>
      </c>
      <c r="C385" s="2" t="s">
        <v>500</v>
      </c>
      <c r="D385" s="2" t="s">
        <v>70</v>
      </c>
      <c r="E385" s="2" t="s">
        <v>71</v>
      </c>
      <c r="F385" s="2" t="s">
        <v>1011</v>
      </c>
      <c r="G385" s="2" t="s">
        <v>329</v>
      </c>
      <c r="H385" s="8" t="n">
        <v>599.694405208035</v>
      </c>
      <c r="I385" s="2" t="s">
        <v>316</v>
      </c>
      <c r="J385" s="8" t="n">
        <v>890044.247787611</v>
      </c>
      <c r="K385" s="6" t="n">
        <v>226</v>
      </c>
      <c r="L385" s="2"/>
      <c r="M385" s="10" t="b">
        <f aca="false">TRUE()</f>
        <v>1</v>
      </c>
      <c r="N385" s="9" t="n">
        <f aca="false">IF(H385="","",IF(H385&gt;=Assumptions!$B$5,1,IF(H385&gt;=Assumptions!$B$6,2,IF(H385&gt;=Assumptions!$B$7,3,""))))</f>
        <v>3</v>
      </c>
      <c r="O385" s="9" t="n">
        <f aca="false">IF(N385=1,Assumptions!$B$8,IF(N385=2,Assumptions!$B$9,IF(N385=3,Assumptions!$B$10,0)))</f>
        <v>1</v>
      </c>
      <c r="P385" s="6" t="s">
        <v>30</v>
      </c>
      <c r="Q385" s="6" t="s">
        <v>30</v>
      </c>
      <c r="R385" s="11" t="s">
        <v>30</v>
      </c>
      <c r="S385" s="6" t="s">
        <v>30</v>
      </c>
      <c r="T385" s="11" t="s">
        <v>30</v>
      </c>
      <c r="U385" s="6" t="s">
        <v>30</v>
      </c>
      <c r="V385" s="6" t="s">
        <v>30</v>
      </c>
      <c r="W385" s="6" t="s">
        <v>30</v>
      </c>
      <c r="X385" s="2" t="s">
        <v>30</v>
      </c>
      <c r="Y385" s="6" t="str">
        <f aca="false">IF(AND(X385="processed",ISNUMBER(S385)),S385*O385,"")</f>
        <v/>
      </c>
      <c r="Z385" s="6" t="n">
        <f aca="false">IF(ISNUMBER(K385),K385*O385,0)</f>
        <v>226</v>
      </c>
      <c r="AA385" s="2" t="s">
        <v>31</v>
      </c>
      <c r="AB385" s="6" t="n">
        <v>17736</v>
      </c>
      <c r="AC385" s="6" t="n">
        <v>11042</v>
      </c>
      <c r="AD385" s="6" t="n">
        <v>303</v>
      </c>
      <c r="AE385" s="6" t="n">
        <v>1965.73779296875</v>
      </c>
      <c r="AF385" s="8" t="n">
        <v>590.577305906</v>
      </c>
      <c r="AG385" s="11" t="n">
        <v>-0.04689720267</v>
      </c>
      <c r="AH385" s="12" t="n">
        <v>0.999999999999999</v>
      </c>
      <c r="AI385" s="2" t="s">
        <v>317</v>
      </c>
      <c r="AJ385" s="2" t="s">
        <v>500</v>
      </c>
      <c r="AK385" s="2" t="s">
        <v>70</v>
      </c>
    </row>
    <row r="386" customFormat="false" ht="15" hidden="false" customHeight="false" outlineLevel="0" collapsed="false">
      <c r="A386" s="9" t="n">
        <v>385</v>
      </c>
      <c r="B386" s="2" t="s">
        <v>1012</v>
      </c>
      <c r="C386" s="2" t="s">
        <v>1013</v>
      </c>
      <c r="D386" s="2" t="s">
        <v>70</v>
      </c>
      <c r="E386" s="2" t="s">
        <v>71</v>
      </c>
      <c r="F386" s="2" t="s">
        <v>1014</v>
      </c>
      <c r="G386" s="2" t="s">
        <v>329</v>
      </c>
      <c r="H386" s="8" t="n">
        <v>556.916333611707</v>
      </c>
      <c r="I386" s="2" t="s">
        <v>316</v>
      </c>
      <c r="J386" s="8" t="n">
        <v>754973.333333333</v>
      </c>
      <c r="K386" s="6" t="n">
        <v>225</v>
      </c>
      <c r="L386" s="2"/>
      <c r="M386" s="10" t="b">
        <f aca="false">TRUE()</f>
        <v>1</v>
      </c>
      <c r="N386" s="9" t="n">
        <f aca="false">IF(H386="","",IF(H386&gt;=Assumptions!$B$5,1,IF(H386&gt;=Assumptions!$B$6,2,IF(H386&gt;=Assumptions!$B$7,3,""))))</f>
        <v>3</v>
      </c>
      <c r="O386" s="9" t="n">
        <f aca="false">IF(N386=1,Assumptions!$B$8,IF(N386=2,Assumptions!$B$9,IF(N386=3,Assumptions!$B$10,0)))</f>
        <v>1</v>
      </c>
      <c r="P386" s="6" t="s">
        <v>30</v>
      </c>
      <c r="Q386" s="6" t="s">
        <v>30</v>
      </c>
      <c r="R386" s="11" t="s">
        <v>30</v>
      </c>
      <c r="S386" s="6" t="s">
        <v>30</v>
      </c>
      <c r="T386" s="11" t="s">
        <v>30</v>
      </c>
      <c r="U386" s="6" t="s">
        <v>30</v>
      </c>
      <c r="V386" s="6" t="s">
        <v>30</v>
      </c>
      <c r="W386" s="6" t="s">
        <v>30</v>
      </c>
      <c r="X386" s="2" t="s">
        <v>30</v>
      </c>
      <c r="Y386" s="6" t="str">
        <f aca="false">IF(AND(X386="processed",ISNUMBER(S386)),S386*O386,"")</f>
        <v/>
      </c>
      <c r="Z386" s="6" t="n">
        <f aca="false">IF(ISNUMBER(K386),K386*O386,0)</f>
        <v>225</v>
      </c>
      <c r="AA386" s="2" t="s">
        <v>31</v>
      </c>
      <c r="AB386" s="6" t="n">
        <v>31558</v>
      </c>
      <c r="AC386" s="6" t="n">
        <v>19789</v>
      </c>
      <c r="AD386" s="6" t="n">
        <v>413</v>
      </c>
      <c r="AE386" s="6" t="n">
        <v>1932.10534667969</v>
      </c>
      <c r="AF386" s="8" t="n">
        <v>584.558052132</v>
      </c>
      <c r="AG386" s="11" t="n">
        <v>0.04383609307</v>
      </c>
      <c r="AH386" s="12" t="n">
        <v>1</v>
      </c>
      <c r="AI386" s="2" t="s">
        <v>317</v>
      </c>
      <c r="AJ386" s="2" t="s">
        <v>1013</v>
      </c>
      <c r="AK386" s="2" t="s">
        <v>70</v>
      </c>
    </row>
    <row r="387" customFormat="false" ht="15" hidden="false" customHeight="false" outlineLevel="0" collapsed="false">
      <c r="A387" s="9" t="n">
        <v>386</v>
      </c>
      <c r="B387" s="2" t="s">
        <v>1015</v>
      </c>
      <c r="C387" s="2" t="s">
        <v>1016</v>
      </c>
      <c r="D387" s="2" t="s">
        <v>380</v>
      </c>
      <c r="E387" s="2" t="s">
        <v>51</v>
      </c>
      <c r="F387" s="2"/>
      <c r="G387" s="2" t="s">
        <v>381</v>
      </c>
      <c r="H387" s="8" t="n">
        <v>705.2560496692</v>
      </c>
      <c r="I387" s="2" t="s">
        <v>316</v>
      </c>
      <c r="J387" s="8" t="n">
        <v>1471800</v>
      </c>
      <c r="K387" s="6" t="n">
        <v>75</v>
      </c>
      <c r="L387" s="2"/>
      <c r="M387" s="10" t="b">
        <f aca="false">TRUE()</f>
        <v>1</v>
      </c>
      <c r="N387" s="9" t="n">
        <f aca="false">IF(H387="","",IF(H387&gt;=Assumptions!$B$5,1,IF(H387&gt;=Assumptions!$B$6,2,IF(H387&gt;=Assumptions!$B$7,3,""))))</f>
        <v>1</v>
      </c>
      <c r="O387" s="9" t="n">
        <f aca="false">IF(N387=1,Assumptions!$B$8,IF(N387=2,Assumptions!$B$9,IF(N387=3,Assumptions!$B$10,0)))</f>
        <v>3</v>
      </c>
      <c r="P387" s="6" t="s">
        <v>30</v>
      </c>
      <c r="Q387" s="6" t="s">
        <v>30</v>
      </c>
      <c r="R387" s="11" t="s">
        <v>30</v>
      </c>
      <c r="S387" s="6" t="s">
        <v>30</v>
      </c>
      <c r="T387" s="11" t="s">
        <v>30</v>
      </c>
      <c r="U387" s="6" t="s">
        <v>30</v>
      </c>
      <c r="V387" s="6" t="s">
        <v>30</v>
      </c>
      <c r="W387" s="6" t="s">
        <v>30</v>
      </c>
      <c r="X387" s="2" t="s">
        <v>30</v>
      </c>
      <c r="Y387" s="6" t="str">
        <f aca="false">IF(AND(X387="processed",ISNUMBER(S387)),S387*O387,"")</f>
        <v/>
      </c>
      <c r="Z387" s="6" t="n">
        <f aca="false">IF(ISNUMBER(K387),K387*O387,0)</f>
        <v>225</v>
      </c>
      <c r="AA387" s="2" t="s">
        <v>31</v>
      </c>
      <c r="AB387" s="6" t="n">
        <v>5244</v>
      </c>
      <c r="AC387" s="6" t="n">
        <v>4083</v>
      </c>
      <c r="AD387" s="6" t="n">
        <v>1340</v>
      </c>
      <c r="AE387" s="6" t="n">
        <v>1931.201171875</v>
      </c>
      <c r="AF387" s="8" t="n">
        <v>708.945604537</v>
      </c>
      <c r="AG387" s="11" t="n">
        <v>-0.01800905977</v>
      </c>
      <c r="AH387" s="12" t="n">
        <v>1</v>
      </c>
      <c r="AI387" s="2" t="s">
        <v>317</v>
      </c>
      <c r="AJ387" s="2" t="s">
        <v>1016</v>
      </c>
      <c r="AK387" s="2" t="s">
        <v>1017</v>
      </c>
    </row>
    <row r="388" customFormat="false" ht="15" hidden="false" customHeight="false" outlineLevel="0" collapsed="false">
      <c r="A388" s="9" t="n">
        <v>387</v>
      </c>
      <c r="B388" s="2" t="s">
        <v>1018</v>
      </c>
      <c r="C388" s="2" t="s">
        <v>56</v>
      </c>
      <c r="D388" s="2" t="s">
        <v>56</v>
      </c>
      <c r="E388" s="2" t="s">
        <v>56</v>
      </c>
      <c r="F388" s="2" t="s">
        <v>1019</v>
      </c>
      <c r="G388" s="2" t="s">
        <v>324</v>
      </c>
      <c r="H388" s="8" t="n">
        <v>1191.29602422792</v>
      </c>
      <c r="I388" s="2" t="s">
        <v>316</v>
      </c>
      <c r="J388" s="8" t="n">
        <v>2749886.66666667</v>
      </c>
      <c r="K388" s="6" t="n">
        <v>75</v>
      </c>
      <c r="L388" s="2"/>
      <c r="M388" s="10" t="b">
        <f aca="false">TRUE()</f>
        <v>1</v>
      </c>
      <c r="N388" s="9" t="n">
        <f aca="false">IF(H388="","",IF(H388&gt;=Assumptions!$B$5,1,IF(H388&gt;=Assumptions!$B$6,2,IF(H388&gt;=Assumptions!$B$7,3,""))))</f>
        <v>1</v>
      </c>
      <c r="O388" s="9" t="n">
        <f aca="false">IF(N388=1,Assumptions!$B$8,IF(N388=2,Assumptions!$B$9,IF(N388=3,Assumptions!$B$10,0)))</f>
        <v>3</v>
      </c>
      <c r="P388" s="6" t="s">
        <v>30</v>
      </c>
      <c r="Q388" s="6" t="s">
        <v>30</v>
      </c>
      <c r="R388" s="11" t="s">
        <v>30</v>
      </c>
      <c r="S388" s="6" t="s">
        <v>30</v>
      </c>
      <c r="T388" s="11" t="s">
        <v>30</v>
      </c>
      <c r="U388" s="6" t="s">
        <v>30</v>
      </c>
      <c r="V388" s="6" t="s">
        <v>30</v>
      </c>
      <c r="W388" s="6" t="s">
        <v>30</v>
      </c>
      <c r="X388" s="2" t="s">
        <v>30</v>
      </c>
      <c r="Y388" s="6" t="str">
        <f aca="false">IF(AND(X388="processed",ISNUMBER(S388)),S388*O388,"")</f>
        <v/>
      </c>
      <c r="Z388" s="6" t="n">
        <f aca="false">IF(ISNUMBER(K388),K388*O388,0)</f>
        <v>225</v>
      </c>
      <c r="AA388" s="2" t="s">
        <v>31</v>
      </c>
      <c r="AB388" s="6" t="n">
        <v>6114</v>
      </c>
      <c r="AC388" s="6" t="n">
        <v>5754</v>
      </c>
      <c r="AD388" s="6" t="n">
        <v>47</v>
      </c>
      <c r="AE388" s="6" t="n">
        <v>1640.73828125</v>
      </c>
      <c r="AF388" s="8" t="n">
        <v>1193.701840343</v>
      </c>
      <c r="AG388" s="11" t="n">
        <v>-0.09746778503</v>
      </c>
      <c r="AH388" s="12" t="n">
        <v>1</v>
      </c>
      <c r="AI388" s="2" t="s">
        <v>317</v>
      </c>
      <c r="AJ388" s="2" t="s">
        <v>56</v>
      </c>
      <c r="AK388" s="2" t="s">
        <v>56</v>
      </c>
    </row>
    <row r="389" customFormat="false" ht="15" hidden="false" customHeight="false" outlineLevel="0" collapsed="false">
      <c r="A389" s="9" t="n">
        <v>388</v>
      </c>
      <c r="B389" s="2" t="s">
        <v>1020</v>
      </c>
      <c r="C389" s="2" t="s">
        <v>352</v>
      </c>
      <c r="D389" s="2" t="s">
        <v>70</v>
      </c>
      <c r="E389" s="2" t="s">
        <v>71</v>
      </c>
      <c r="F389" s="2" t="s">
        <v>1021</v>
      </c>
      <c r="G389" s="2" t="s">
        <v>329</v>
      </c>
      <c r="H389" s="8" t="n">
        <v>695.283159858866</v>
      </c>
      <c r="I389" s="2" t="s">
        <v>316</v>
      </c>
      <c r="J389" s="8" t="n">
        <v>1086875</v>
      </c>
      <c r="K389" s="6" t="n">
        <v>112</v>
      </c>
      <c r="L389" s="2"/>
      <c r="M389" s="10" t="b">
        <f aca="false">TRUE()</f>
        <v>1</v>
      </c>
      <c r="N389" s="9" t="n">
        <f aca="false">IF(H389="","",IF(H389&gt;=Assumptions!$B$5,1,IF(H389&gt;=Assumptions!$B$6,2,IF(H389&gt;=Assumptions!$B$7,3,""))))</f>
        <v>2</v>
      </c>
      <c r="O389" s="9" t="n">
        <f aca="false">IF(N389=1,Assumptions!$B$8,IF(N389=2,Assumptions!$B$9,IF(N389=3,Assumptions!$B$10,0)))</f>
        <v>2</v>
      </c>
      <c r="P389" s="6" t="s">
        <v>30</v>
      </c>
      <c r="Q389" s="6" t="s">
        <v>30</v>
      </c>
      <c r="R389" s="11" t="s">
        <v>30</v>
      </c>
      <c r="S389" s="6" t="s">
        <v>30</v>
      </c>
      <c r="T389" s="11" t="s">
        <v>30</v>
      </c>
      <c r="U389" s="6" t="s">
        <v>30</v>
      </c>
      <c r="V389" s="6" t="s">
        <v>30</v>
      </c>
      <c r="W389" s="6" t="s">
        <v>30</v>
      </c>
      <c r="X389" s="2" t="s">
        <v>30</v>
      </c>
      <c r="Y389" s="6" t="str">
        <f aca="false">IF(AND(X389="processed",ISNUMBER(S389)),S389*O389,"")</f>
        <v/>
      </c>
      <c r="Z389" s="6" t="n">
        <f aca="false">IF(ISNUMBER(K389),K389*O389,0)</f>
        <v>224</v>
      </c>
      <c r="AA389" s="2" t="s">
        <v>31</v>
      </c>
      <c r="AB389" s="6" t="n">
        <v>14186</v>
      </c>
      <c r="AC389" s="6" t="n">
        <v>10577</v>
      </c>
      <c r="AD389" s="6" t="n">
        <v>242</v>
      </c>
      <c r="AE389" s="6" t="n">
        <v>1818.57849121094</v>
      </c>
      <c r="AF389" s="8" t="n">
        <v>708.077614531</v>
      </c>
      <c r="AG389" s="11" t="n">
        <v>0.03553988718</v>
      </c>
      <c r="AH389" s="12" t="n">
        <v>1</v>
      </c>
      <c r="AI389" s="2" t="s">
        <v>317</v>
      </c>
      <c r="AJ389" s="2" t="s">
        <v>352</v>
      </c>
      <c r="AK389" s="2" t="s">
        <v>352</v>
      </c>
    </row>
    <row r="390" customFormat="false" ht="15" hidden="false" customHeight="false" outlineLevel="0" collapsed="false">
      <c r="A390" s="9" t="n">
        <v>389</v>
      </c>
      <c r="B390" s="2" t="s">
        <v>1022</v>
      </c>
      <c r="C390" s="2" t="s">
        <v>835</v>
      </c>
      <c r="D390" s="2" t="s">
        <v>44</v>
      </c>
      <c r="E390" s="2" t="s">
        <v>44</v>
      </c>
      <c r="F390" s="2" t="s">
        <v>1023</v>
      </c>
      <c r="G390" s="2" t="s">
        <v>322</v>
      </c>
      <c r="H390" s="8" t="n">
        <v>529.036448505116</v>
      </c>
      <c r="I390" s="2" t="s">
        <v>316</v>
      </c>
      <c r="J390" s="8" t="n">
        <v>991066.964285714</v>
      </c>
      <c r="K390" s="6" t="n">
        <v>224</v>
      </c>
      <c r="L390" s="2"/>
      <c r="M390" s="10" t="b">
        <f aca="false">TRUE()</f>
        <v>1</v>
      </c>
      <c r="N390" s="9" t="n">
        <f aca="false">IF(H390="","",IF(H390&gt;=Assumptions!$B$5,1,IF(H390&gt;=Assumptions!$B$6,2,IF(H390&gt;=Assumptions!$B$7,3,""))))</f>
        <v>3</v>
      </c>
      <c r="O390" s="9" t="n">
        <f aca="false">IF(N390=1,Assumptions!$B$8,IF(N390=2,Assumptions!$B$9,IF(N390=3,Assumptions!$B$10,0)))</f>
        <v>1</v>
      </c>
      <c r="P390" s="6" t="s">
        <v>30</v>
      </c>
      <c r="Q390" s="6" t="s">
        <v>30</v>
      </c>
      <c r="R390" s="11" t="s">
        <v>30</v>
      </c>
      <c r="S390" s="6" t="s">
        <v>30</v>
      </c>
      <c r="T390" s="11" t="s">
        <v>30</v>
      </c>
      <c r="U390" s="6" t="s">
        <v>30</v>
      </c>
      <c r="V390" s="6" t="s">
        <v>30</v>
      </c>
      <c r="W390" s="6" t="s">
        <v>30</v>
      </c>
      <c r="X390" s="2" t="s">
        <v>30</v>
      </c>
      <c r="Y390" s="6" t="str">
        <f aca="false">IF(AND(X390="processed",ISNUMBER(S390)),S390*O390,"")</f>
        <v/>
      </c>
      <c r="Z390" s="6" t="n">
        <f aca="false">IF(ISNUMBER(K390),K390*O390,0)</f>
        <v>224</v>
      </c>
      <c r="AA390" s="2" t="s">
        <v>31</v>
      </c>
      <c r="AB390" s="6" t="n">
        <v>13206</v>
      </c>
      <c r="AC390" s="6" t="n">
        <v>11563</v>
      </c>
      <c r="AD390" s="6" t="n">
        <v>10690</v>
      </c>
      <c r="AE390" s="6" t="n">
        <v>2328.05419921875</v>
      </c>
      <c r="AF390" s="8" t="n">
        <v>531.839239336</v>
      </c>
      <c r="AG390" s="11" t="n">
        <v>-0.008962978408</v>
      </c>
      <c r="AH390" s="12" t="n">
        <v>0.999999999999999</v>
      </c>
      <c r="AI390" s="2" t="s">
        <v>317</v>
      </c>
      <c r="AJ390" s="2" t="s">
        <v>835</v>
      </c>
      <c r="AK390" s="2" t="s">
        <v>835</v>
      </c>
    </row>
    <row r="391" customFormat="false" ht="15" hidden="false" customHeight="false" outlineLevel="0" collapsed="false">
      <c r="A391" s="9" t="n">
        <v>390</v>
      </c>
      <c r="B391" s="2" t="s">
        <v>1024</v>
      </c>
      <c r="C391" s="2" t="s">
        <v>1025</v>
      </c>
      <c r="D391" s="2" t="s">
        <v>70</v>
      </c>
      <c r="E391" s="2" t="s">
        <v>71</v>
      </c>
      <c r="F391" s="2"/>
      <c r="G391" s="2" t="s">
        <v>329</v>
      </c>
      <c r="H391" s="8" t="n">
        <v>731.58159915296</v>
      </c>
      <c r="I391" s="2" t="s">
        <v>316</v>
      </c>
      <c r="J391" s="8" t="n">
        <v>1091243.24324324</v>
      </c>
      <c r="K391" s="6" t="n">
        <v>74</v>
      </c>
      <c r="L391" s="2"/>
      <c r="M391" s="10" t="b">
        <f aca="false">TRUE()</f>
        <v>1</v>
      </c>
      <c r="N391" s="9" t="n">
        <f aca="false">IF(H391="","",IF(H391&gt;=Assumptions!$B$5,1,IF(H391&gt;=Assumptions!$B$6,2,IF(H391&gt;=Assumptions!$B$7,3,""))))</f>
        <v>1</v>
      </c>
      <c r="O391" s="9" t="n">
        <f aca="false">IF(N391=1,Assumptions!$B$8,IF(N391=2,Assumptions!$B$9,IF(N391=3,Assumptions!$B$10,0)))</f>
        <v>3</v>
      </c>
      <c r="P391" s="6" t="s">
        <v>30</v>
      </c>
      <c r="Q391" s="6" t="s">
        <v>30</v>
      </c>
      <c r="R391" s="11" t="s">
        <v>30</v>
      </c>
      <c r="S391" s="6" t="s">
        <v>30</v>
      </c>
      <c r="T391" s="11" t="s">
        <v>30</v>
      </c>
      <c r="U391" s="6" t="s">
        <v>30</v>
      </c>
      <c r="V391" s="6" t="s">
        <v>30</v>
      </c>
      <c r="W391" s="6" t="s">
        <v>30</v>
      </c>
      <c r="X391" s="2" t="s">
        <v>30</v>
      </c>
      <c r="Y391" s="6" t="str">
        <f aca="false">IF(AND(X391="processed",ISNUMBER(S391)),S391*O391,"")</f>
        <v/>
      </c>
      <c r="Z391" s="6" t="n">
        <f aca="false">IF(ISNUMBER(K391),K391*O391,0)</f>
        <v>222</v>
      </c>
      <c r="AA391" s="2" t="s">
        <v>31</v>
      </c>
      <c r="AB391" s="6" t="n">
        <v>15875</v>
      </c>
      <c r="AC391" s="6" t="n">
        <v>11800</v>
      </c>
      <c r="AD391" s="6" t="n">
        <v>138</v>
      </c>
      <c r="AE391" s="6" t="n">
        <v>1750.07495117188</v>
      </c>
      <c r="AF391" s="8" t="n">
        <v>745.542949757</v>
      </c>
      <c r="AG391" s="11" t="n">
        <v>-0.005047520471</v>
      </c>
      <c r="AH391" s="12" t="n">
        <v>1</v>
      </c>
      <c r="AI391" s="2" t="s">
        <v>317</v>
      </c>
      <c r="AJ391" s="2" t="s">
        <v>1025</v>
      </c>
      <c r="AK391" s="2" t="s">
        <v>1025</v>
      </c>
    </row>
    <row r="392" customFormat="false" ht="15" hidden="false" customHeight="false" outlineLevel="0" collapsed="false">
      <c r="A392" s="9" t="n">
        <v>391</v>
      </c>
      <c r="B392" s="2" t="s">
        <v>1026</v>
      </c>
      <c r="C392" s="2" t="s">
        <v>1027</v>
      </c>
      <c r="D392" s="2" t="s">
        <v>70</v>
      </c>
      <c r="E392" s="2" t="s">
        <v>71</v>
      </c>
      <c r="F392" s="2"/>
      <c r="G392" s="2" t="s">
        <v>329</v>
      </c>
      <c r="H392" s="8" t="n">
        <v>564.761996711765</v>
      </c>
      <c r="I392" s="2" t="s">
        <v>316</v>
      </c>
      <c r="J392" s="8" t="n">
        <v>1076334.84162896</v>
      </c>
      <c r="K392" s="6" t="n">
        <v>221</v>
      </c>
      <c r="L392" s="2"/>
      <c r="M392" s="10" t="b">
        <f aca="false">TRUE()</f>
        <v>1</v>
      </c>
      <c r="N392" s="9" t="n">
        <f aca="false">IF(H392="","",IF(H392&gt;=Assumptions!$B$5,1,IF(H392&gt;=Assumptions!$B$6,2,IF(H392&gt;=Assumptions!$B$7,3,""))))</f>
        <v>3</v>
      </c>
      <c r="O392" s="9" t="n">
        <f aca="false">IF(N392=1,Assumptions!$B$8,IF(N392=2,Assumptions!$B$9,IF(N392=3,Assumptions!$B$10,0)))</f>
        <v>1</v>
      </c>
      <c r="P392" s="6" t="s">
        <v>30</v>
      </c>
      <c r="Q392" s="6" t="s">
        <v>30</v>
      </c>
      <c r="R392" s="11" t="s">
        <v>30</v>
      </c>
      <c r="S392" s="6" t="s">
        <v>30</v>
      </c>
      <c r="T392" s="11" t="s">
        <v>30</v>
      </c>
      <c r="U392" s="6" t="s">
        <v>30</v>
      </c>
      <c r="V392" s="6" t="s">
        <v>30</v>
      </c>
      <c r="W392" s="6" t="s">
        <v>30</v>
      </c>
      <c r="X392" s="2" t="s">
        <v>30</v>
      </c>
      <c r="Y392" s="6" t="str">
        <f aca="false">IF(AND(X392="processed",ISNUMBER(S392)),S392*O392,"")</f>
        <v/>
      </c>
      <c r="Z392" s="6" t="n">
        <f aca="false">IF(ISNUMBER(K392),K392*O392,0)</f>
        <v>221</v>
      </c>
      <c r="AA392" s="2" t="s">
        <v>31</v>
      </c>
      <c r="AB392" s="6" t="n">
        <v>13206</v>
      </c>
      <c r="AC392" s="6" t="n">
        <v>10068</v>
      </c>
      <c r="AD392" s="6" t="n">
        <v>349</v>
      </c>
      <c r="AE392" s="6" t="n">
        <v>2507.8564453125</v>
      </c>
      <c r="AF392" s="8" t="n">
        <v>578.135949544</v>
      </c>
      <c r="AG392" s="11" t="n">
        <v>0.08163980378</v>
      </c>
      <c r="AH392" s="12" t="n">
        <v>1</v>
      </c>
      <c r="AI392" s="2" t="s">
        <v>317</v>
      </c>
      <c r="AJ392" s="2" t="s">
        <v>1027</v>
      </c>
      <c r="AK392" s="2" t="s">
        <v>1027</v>
      </c>
    </row>
    <row r="393" customFormat="false" ht="15" hidden="false" customHeight="false" outlineLevel="0" collapsed="false">
      <c r="A393" s="9" t="n">
        <v>392</v>
      </c>
      <c r="B393" s="2" t="s">
        <v>1028</v>
      </c>
      <c r="C393" s="2" t="s">
        <v>1029</v>
      </c>
      <c r="D393" s="2" t="s">
        <v>70</v>
      </c>
      <c r="E393" s="2" t="s">
        <v>71</v>
      </c>
      <c r="F393" s="2" t="s">
        <v>1030</v>
      </c>
      <c r="G393" s="2" t="s">
        <v>329</v>
      </c>
      <c r="H393" s="8" t="n">
        <v>611.502399137555</v>
      </c>
      <c r="I393" s="2" t="s">
        <v>316</v>
      </c>
      <c r="J393" s="8" t="n">
        <v>980181.818181818</v>
      </c>
      <c r="K393" s="6" t="n">
        <v>110</v>
      </c>
      <c r="L393" s="2"/>
      <c r="M393" s="10" t="b">
        <f aca="false">TRUE()</f>
        <v>1</v>
      </c>
      <c r="N393" s="9" t="n">
        <f aca="false">IF(H393="","",IF(H393&gt;=Assumptions!$B$5,1,IF(H393&gt;=Assumptions!$B$6,2,IF(H393&gt;=Assumptions!$B$7,3,""))))</f>
        <v>2</v>
      </c>
      <c r="O393" s="9" t="n">
        <f aca="false">IF(N393=1,Assumptions!$B$8,IF(N393=2,Assumptions!$B$9,IF(N393=3,Assumptions!$B$10,0)))</f>
        <v>2</v>
      </c>
      <c r="P393" s="6" t="s">
        <v>30</v>
      </c>
      <c r="Q393" s="6" t="s">
        <v>30</v>
      </c>
      <c r="R393" s="11" t="s">
        <v>30</v>
      </c>
      <c r="S393" s="6" t="s">
        <v>30</v>
      </c>
      <c r="T393" s="11" t="s">
        <v>30</v>
      </c>
      <c r="U393" s="6" t="s">
        <v>30</v>
      </c>
      <c r="V393" s="6" t="s">
        <v>30</v>
      </c>
      <c r="W393" s="6" t="s">
        <v>30</v>
      </c>
      <c r="X393" s="2" t="s">
        <v>30</v>
      </c>
      <c r="Y393" s="6" t="str">
        <f aca="false">IF(AND(X393="processed",ISNUMBER(S393)),S393*O393,"")</f>
        <v/>
      </c>
      <c r="Z393" s="6" t="n">
        <f aca="false">IF(ISNUMBER(K393),K393*O393,0)</f>
        <v>220</v>
      </c>
      <c r="AA393" s="2" t="s">
        <v>31</v>
      </c>
      <c r="AB393" s="6" t="n">
        <v>13184</v>
      </c>
      <c r="AC393" s="6" t="n">
        <v>10072</v>
      </c>
      <c r="AD393" s="6" t="n">
        <v>141</v>
      </c>
      <c r="AE393" s="6" t="n">
        <v>2113.2451171875</v>
      </c>
      <c r="AF393" s="8" t="n">
        <v>618.283009212</v>
      </c>
      <c r="AG393" s="11" t="n">
        <v>0.02279903037</v>
      </c>
      <c r="AH393" s="12" t="n">
        <v>1</v>
      </c>
      <c r="AI393" s="2" t="s">
        <v>317</v>
      </c>
      <c r="AJ393" s="2" t="s">
        <v>1029</v>
      </c>
      <c r="AK393" s="2" t="s">
        <v>1029</v>
      </c>
    </row>
    <row r="394" customFormat="false" ht="15" hidden="false" customHeight="false" outlineLevel="0" collapsed="false">
      <c r="A394" s="9" t="n">
        <v>393</v>
      </c>
      <c r="B394" s="2" t="s">
        <v>1031</v>
      </c>
      <c r="C394" s="2" t="s">
        <v>585</v>
      </c>
      <c r="D394" s="2" t="s">
        <v>27</v>
      </c>
      <c r="E394" s="2" t="s">
        <v>28</v>
      </c>
      <c r="F394" s="2"/>
      <c r="G394" s="2" t="s">
        <v>315</v>
      </c>
      <c r="H394" s="8" t="n">
        <v>606.166593959174</v>
      </c>
      <c r="I394" s="2" t="s">
        <v>316</v>
      </c>
      <c r="J394" s="8" t="n">
        <v>1382211.00917431</v>
      </c>
      <c r="K394" s="6" t="n">
        <v>109</v>
      </c>
      <c r="L394" s="2"/>
      <c r="M394" s="10" t="b">
        <f aca="false">TRUE()</f>
        <v>1</v>
      </c>
      <c r="N394" s="9" t="n">
        <f aca="false">IF(H394="","",IF(H394&gt;=Assumptions!$B$5,1,IF(H394&gt;=Assumptions!$B$6,2,IF(H394&gt;=Assumptions!$B$7,3,""))))</f>
        <v>2</v>
      </c>
      <c r="O394" s="9" t="n">
        <f aca="false">IF(N394=1,Assumptions!$B$8,IF(N394=2,Assumptions!$B$9,IF(N394=3,Assumptions!$B$10,0)))</f>
        <v>2</v>
      </c>
      <c r="P394" s="6" t="s">
        <v>30</v>
      </c>
      <c r="Q394" s="6" t="s">
        <v>30</v>
      </c>
      <c r="R394" s="11" t="s">
        <v>30</v>
      </c>
      <c r="S394" s="6" t="s">
        <v>30</v>
      </c>
      <c r="T394" s="11" t="s">
        <v>30</v>
      </c>
      <c r="U394" s="6" t="s">
        <v>30</v>
      </c>
      <c r="V394" s="6" t="s">
        <v>30</v>
      </c>
      <c r="W394" s="6" t="s">
        <v>30</v>
      </c>
      <c r="X394" s="2" t="s">
        <v>30</v>
      </c>
      <c r="Y394" s="6" t="str">
        <f aca="false">IF(AND(X394="processed",ISNUMBER(S394)),S394*O394,"")</f>
        <v/>
      </c>
      <c r="Z394" s="6" t="n">
        <f aca="false">IF(ISNUMBER(K394),K394*O394,0)</f>
        <v>218</v>
      </c>
      <c r="AA394" s="2" t="s">
        <v>31</v>
      </c>
      <c r="AB394" s="6" t="n">
        <v>5522</v>
      </c>
      <c r="AC394" s="6" t="n">
        <v>5092</v>
      </c>
      <c r="AD394" s="6" t="n">
        <v>202</v>
      </c>
      <c r="AE394" s="6" t="n">
        <v>2337.12060546875</v>
      </c>
      <c r="AF394" s="8" t="n">
        <v>590.412475573</v>
      </c>
      <c r="AG394" s="11" t="n">
        <v>-0.04671029545</v>
      </c>
      <c r="AH394" s="12" t="n">
        <v>1</v>
      </c>
      <c r="AI394" s="2" t="s">
        <v>317</v>
      </c>
      <c r="AJ394" s="2" t="s">
        <v>585</v>
      </c>
      <c r="AK394" s="2" t="s">
        <v>585</v>
      </c>
    </row>
    <row r="395" customFormat="false" ht="15" hidden="false" customHeight="false" outlineLevel="0" collapsed="false">
      <c r="A395" s="9" t="n">
        <v>394</v>
      </c>
      <c r="B395" s="2" t="s">
        <v>1032</v>
      </c>
      <c r="C395" s="2" t="s">
        <v>1033</v>
      </c>
      <c r="D395" s="2" t="s">
        <v>70</v>
      </c>
      <c r="E395" s="2" t="s">
        <v>71</v>
      </c>
      <c r="F395" s="2" t="s">
        <v>1034</v>
      </c>
      <c r="G395" s="2" t="s">
        <v>348</v>
      </c>
      <c r="H395" s="8" t="n">
        <v>580.131107386019</v>
      </c>
      <c r="I395" s="2" t="s">
        <v>316</v>
      </c>
      <c r="J395" s="8" t="n">
        <v>1054006.94444444</v>
      </c>
      <c r="K395" s="6" t="n">
        <v>216</v>
      </c>
      <c r="L395" s="2"/>
      <c r="M395" s="10" t="b">
        <f aca="false">TRUE()</f>
        <v>1</v>
      </c>
      <c r="N395" s="9" t="n">
        <f aca="false">IF(H395="","",IF(H395&gt;=Assumptions!$B$5,1,IF(H395&gt;=Assumptions!$B$6,2,IF(H395&gt;=Assumptions!$B$7,3,""))))</f>
        <v>3</v>
      </c>
      <c r="O395" s="9" t="n">
        <f aca="false">IF(N395=1,Assumptions!$B$8,IF(N395=2,Assumptions!$B$9,IF(N395=3,Assumptions!$B$10,0)))</f>
        <v>1</v>
      </c>
      <c r="P395" s="6" t="s">
        <v>30</v>
      </c>
      <c r="Q395" s="6" t="s">
        <v>30</v>
      </c>
      <c r="R395" s="11" t="s">
        <v>30</v>
      </c>
      <c r="S395" s="6" t="s">
        <v>30</v>
      </c>
      <c r="T395" s="11" t="s">
        <v>30</v>
      </c>
      <c r="U395" s="6" t="s">
        <v>30</v>
      </c>
      <c r="V395" s="6" t="s">
        <v>30</v>
      </c>
      <c r="W395" s="6" t="s">
        <v>30</v>
      </c>
      <c r="X395" s="2" t="s">
        <v>30</v>
      </c>
      <c r="Y395" s="6" t="str">
        <f aca="false">IF(AND(X395="processed",ISNUMBER(S395)),S395*O395,"")</f>
        <v/>
      </c>
      <c r="Z395" s="6" t="n">
        <f aca="false">IF(ISNUMBER(K395),K395*O395,0)</f>
        <v>216</v>
      </c>
      <c r="AA395" s="2" t="s">
        <v>31</v>
      </c>
      <c r="AB395" s="6" t="n">
        <v>10556</v>
      </c>
      <c r="AC395" s="6" t="n">
        <v>8505</v>
      </c>
      <c r="AD395" s="6" t="n">
        <v>116</v>
      </c>
      <c r="AE395" s="6" t="n">
        <v>2673.7626953125</v>
      </c>
      <c r="AF395" s="8" t="n">
        <v>538.74652111</v>
      </c>
      <c r="AG395" s="11" t="n">
        <v>-0.1020891315</v>
      </c>
      <c r="AH395" s="12" t="n">
        <v>0.549182360702717</v>
      </c>
      <c r="AI395" s="2" t="s">
        <v>317</v>
      </c>
      <c r="AJ395" s="2" t="s">
        <v>1033</v>
      </c>
      <c r="AK395" s="2" t="s">
        <v>70</v>
      </c>
    </row>
    <row r="396" customFormat="false" ht="15" hidden="false" customHeight="false" outlineLevel="0" collapsed="false">
      <c r="A396" s="9" t="n">
        <v>395</v>
      </c>
      <c r="B396" s="2" t="s">
        <v>1035</v>
      </c>
      <c r="C396" s="2" t="s">
        <v>263</v>
      </c>
      <c r="D396" s="2" t="s">
        <v>27</v>
      </c>
      <c r="E396" s="2" t="s">
        <v>28</v>
      </c>
      <c r="F396" s="2" t="s">
        <v>1036</v>
      </c>
      <c r="G396" s="2" t="s">
        <v>315</v>
      </c>
      <c r="H396" s="8" t="n">
        <v>1226.10999816111</v>
      </c>
      <c r="I396" s="2" t="s">
        <v>316</v>
      </c>
      <c r="J396" s="8" t="n">
        <v>3471972.22222222</v>
      </c>
      <c r="K396" s="6" t="n">
        <v>72</v>
      </c>
      <c r="L396" s="2"/>
      <c r="M396" s="10" t="b">
        <f aca="false">TRUE()</f>
        <v>1</v>
      </c>
      <c r="N396" s="9" t="n">
        <f aca="false">IF(H396="","",IF(H396&gt;=Assumptions!$B$5,1,IF(H396&gt;=Assumptions!$B$6,2,IF(H396&gt;=Assumptions!$B$7,3,""))))</f>
        <v>1</v>
      </c>
      <c r="O396" s="9" t="n">
        <f aca="false">IF(N396=1,Assumptions!$B$8,IF(N396=2,Assumptions!$B$9,IF(N396=3,Assumptions!$B$10,0)))</f>
        <v>3</v>
      </c>
      <c r="P396" s="6" t="s">
        <v>30</v>
      </c>
      <c r="Q396" s="6" t="s">
        <v>30</v>
      </c>
      <c r="R396" s="11" t="s">
        <v>30</v>
      </c>
      <c r="S396" s="6" t="s">
        <v>30</v>
      </c>
      <c r="T396" s="11" t="s">
        <v>30</v>
      </c>
      <c r="U396" s="6" t="s">
        <v>30</v>
      </c>
      <c r="V396" s="6" t="s">
        <v>30</v>
      </c>
      <c r="W396" s="6" t="s">
        <v>30</v>
      </c>
      <c r="X396" s="2" t="s">
        <v>30</v>
      </c>
      <c r="Y396" s="6" t="str">
        <f aca="false">IF(AND(X396="processed",ISNUMBER(S396)),S396*O396,"")</f>
        <v/>
      </c>
      <c r="Z396" s="6" t="n">
        <f aca="false">IF(ISNUMBER(K396),K396*O396,0)</f>
        <v>216</v>
      </c>
      <c r="AA396" s="2" t="s">
        <v>31</v>
      </c>
      <c r="AB396" s="6" t="n">
        <v>5512</v>
      </c>
      <c r="AC396" s="6" t="n">
        <v>4650</v>
      </c>
      <c r="AD396" s="6" t="n">
        <v>76</v>
      </c>
      <c r="AE396" s="6" t="n">
        <v>3045.89599609375</v>
      </c>
      <c r="AF396" s="8" t="n">
        <v>1126.587464154</v>
      </c>
      <c r="AG396" s="11" t="n">
        <v>-0.07523937536</v>
      </c>
      <c r="AH396" s="12" t="n">
        <v>1</v>
      </c>
      <c r="AI396" s="2" t="s">
        <v>317</v>
      </c>
      <c r="AJ396" s="2" t="s">
        <v>263</v>
      </c>
      <c r="AK396" s="2" t="s">
        <v>263</v>
      </c>
    </row>
    <row r="397" customFormat="false" ht="15" hidden="false" customHeight="false" outlineLevel="0" collapsed="false">
      <c r="A397" s="9" t="n">
        <v>396</v>
      </c>
      <c r="B397" s="2" t="s">
        <v>1037</v>
      </c>
      <c r="C397" s="2" t="s">
        <v>1038</v>
      </c>
      <c r="D397" s="2" t="s">
        <v>595</v>
      </c>
      <c r="E397" s="2" t="s">
        <v>51</v>
      </c>
      <c r="F397" s="2" t="s">
        <v>1039</v>
      </c>
      <c r="G397" s="2" t="s">
        <v>597</v>
      </c>
      <c r="H397" s="8" t="n">
        <v>673.524390451935</v>
      </c>
      <c r="I397" s="2" t="s">
        <v>316</v>
      </c>
      <c r="J397" s="8" t="n">
        <v>955833.333333333</v>
      </c>
      <c r="K397" s="6" t="n">
        <v>108</v>
      </c>
      <c r="L397" s="2"/>
      <c r="M397" s="10" t="b">
        <f aca="false">TRUE()</f>
        <v>1</v>
      </c>
      <c r="N397" s="9" t="n">
        <f aca="false">IF(H397="","",IF(H397&gt;=Assumptions!$B$5,1,IF(H397&gt;=Assumptions!$B$6,2,IF(H397&gt;=Assumptions!$B$7,3,""))))</f>
        <v>2</v>
      </c>
      <c r="O397" s="9" t="n">
        <f aca="false">IF(N397=1,Assumptions!$B$8,IF(N397=2,Assumptions!$B$9,IF(N397=3,Assumptions!$B$10,0)))</f>
        <v>2</v>
      </c>
      <c r="P397" s="6" t="s">
        <v>30</v>
      </c>
      <c r="Q397" s="6" t="s">
        <v>30</v>
      </c>
      <c r="R397" s="11" t="s">
        <v>30</v>
      </c>
      <c r="S397" s="6" t="s">
        <v>30</v>
      </c>
      <c r="T397" s="11" t="s">
        <v>30</v>
      </c>
      <c r="U397" s="6" t="s">
        <v>30</v>
      </c>
      <c r="V397" s="6" t="s">
        <v>30</v>
      </c>
      <c r="W397" s="6" t="s">
        <v>30</v>
      </c>
      <c r="X397" s="2" t="s">
        <v>30</v>
      </c>
      <c r="Y397" s="6" t="str">
        <f aca="false">IF(AND(X397="processed",ISNUMBER(S397)),S397*O397,"")</f>
        <v/>
      </c>
      <c r="Z397" s="6" t="n">
        <f aca="false">IF(ISNUMBER(K397),K397*O397,0)</f>
        <v>216</v>
      </c>
      <c r="AA397" s="2" t="s">
        <v>31</v>
      </c>
      <c r="AB397" s="6" t="n">
        <v>5767</v>
      </c>
      <c r="AC397" s="6" t="n">
        <v>4978</v>
      </c>
      <c r="AD397" s="6" t="n">
        <v>149</v>
      </c>
      <c r="AE397" s="6" t="n">
        <v>1726.86682128906</v>
      </c>
      <c r="AF397" s="8" t="n">
        <v>733.622350674</v>
      </c>
      <c r="AG397" s="11" t="n">
        <v>0.2187301301</v>
      </c>
      <c r="AH397" s="12" t="n">
        <v>0.977083545360533</v>
      </c>
      <c r="AI397" s="2" t="s">
        <v>317</v>
      </c>
      <c r="AJ397" s="2" t="s">
        <v>1038</v>
      </c>
      <c r="AK397" s="2" t="s">
        <v>1040</v>
      </c>
    </row>
    <row r="398" customFormat="false" ht="15" hidden="false" customHeight="false" outlineLevel="0" collapsed="false">
      <c r="A398" s="9" t="n">
        <v>397</v>
      </c>
      <c r="B398" s="2" t="s">
        <v>1041</v>
      </c>
      <c r="C398" s="2" t="s">
        <v>516</v>
      </c>
      <c r="D398" s="2" t="s">
        <v>34</v>
      </c>
      <c r="E398" s="2" t="s">
        <v>35</v>
      </c>
      <c r="F398" s="2" t="s">
        <v>1042</v>
      </c>
      <c r="G398" s="2" t="s">
        <v>318</v>
      </c>
      <c r="H398" s="8" t="n">
        <v>907.421320979</v>
      </c>
      <c r="I398" s="2" t="s">
        <v>316</v>
      </c>
      <c r="J398" s="8" t="n">
        <v>1328277.77777778</v>
      </c>
      <c r="K398" s="6" t="n">
        <v>72</v>
      </c>
      <c r="L398" s="2"/>
      <c r="M398" s="10" t="b">
        <f aca="false">TRUE()</f>
        <v>1</v>
      </c>
      <c r="N398" s="9" t="n">
        <f aca="false">IF(H398="","",IF(H398&gt;=Assumptions!$B$5,1,IF(H398&gt;=Assumptions!$B$6,2,IF(H398&gt;=Assumptions!$B$7,3,""))))</f>
        <v>1</v>
      </c>
      <c r="O398" s="9" t="n">
        <f aca="false">IF(N398=1,Assumptions!$B$8,IF(N398=2,Assumptions!$B$9,IF(N398=3,Assumptions!$B$10,0)))</f>
        <v>3</v>
      </c>
      <c r="P398" s="6" t="s">
        <v>30</v>
      </c>
      <c r="Q398" s="6" t="s">
        <v>30</v>
      </c>
      <c r="R398" s="11" t="s">
        <v>30</v>
      </c>
      <c r="S398" s="6" t="s">
        <v>30</v>
      </c>
      <c r="T398" s="11" t="s">
        <v>30</v>
      </c>
      <c r="U398" s="6" t="s">
        <v>30</v>
      </c>
      <c r="V398" s="6" t="s">
        <v>30</v>
      </c>
      <c r="W398" s="6" t="s">
        <v>30</v>
      </c>
      <c r="X398" s="2" t="s">
        <v>30</v>
      </c>
      <c r="Y398" s="6" t="str">
        <f aca="false">IF(AND(X398="processed",ISNUMBER(S398)),S398*O398,"")</f>
        <v/>
      </c>
      <c r="Z398" s="6" t="n">
        <f aca="false">IF(ISNUMBER(K398),K398*O398,0)</f>
        <v>216</v>
      </c>
      <c r="AA398" s="2" t="s">
        <v>31</v>
      </c>
      <c r="AB398" s="6" t="n">
        <v>6859</v>
      </c>
      <c r="AC398" s="6" t="n">
        <v>5292</v>
      </c>
      <c r="AD398" s="6" t="n">
        <v>84</v>
      </c>
      <c r="AE398" s="6" t="n">
        <v>1472.98193359375</v>
      </c>
      <c r="AF398" s="8" t="n">
        <v>1006.914433881</v>
      </c>
      <c r="AG398" s="11" t="n">
        <v>0.042630827</v>
      </c>
      <c r="AH398" s="12" t="n">
        <v>1</v>
      </c>
      <c r="AI398" s="2" t="s">
        <v>319</v>
      </c>
      <c r="AJ398" s="2"/>
      <c r="AK398" s="2" t="s">
        <v>516</v>
      </c>
    </row>
    <row r="399" customFormat="false" ht="15" hidden="false" customHeight="false" outlineLevel="0" collapsed="false">
      <c r="A399" s="9" t="n">
        <v>398</v>
      </c>
      <c r="B399" s="2" t="s">
        <v>1043</v>
      </c>
      <c r="C399" s="2" t="s">
        <v>38</v>
      </c>
      <c r="D399" s="2" t="s">
        <v>39</v>
      </c>
      <c r="E399" s="2" t="s">
        <v>40</v>
      </c>
      <c r="F399" s="2"/>
      <c r="G399" s="2" t="s">
        <v>320</v>
      </c>
      <c r="H399" s="8" t="n">
        <v>869.462151119625</v>
      </c>
      <c r="I399" s="2" t="s">
        <v>316</v>
      </c>
      <c r="J399" s="8" t="n">
        <v>1474032.33333333</v>
      </c>
      <c r="K399" s="6" t="n">
        <v>72</v>
      </c>
      <c r="L399" s="2"/>
      <c r="M399" s="10" t="b">
        <f aca="false">TRUE()</f>
        <v>1</v>
      </c>
      <c r="N399" s="9" t="n">
        <f aca="false">IF(H399="","",IF(H399&gt;=Assumptions!$B$5,1,IF(H399&gt;=Assumptions!$B$6,2,IF(H399&gt;=Assumptions!$B$7,3,""))))</f>
        <v>1</v>
      </c>
      <c r="O399" s="9" t="n">
        <f aca="false">IF(N399=1,Assumptions!$B$8,IF(N399=2,Assumptions!$B$9,IF(N399=3,Assumptions!$B$10,0)))</f>
        <v>3</v>
      </c>
      <c r="P399" s="6" t="s">
        <v>30</v>
      </c>
      <c r="Q399" s="6" t="s">
        <v>30</v>
      </c>
      <c r="R399" s="11" t="s">
        <v>30</v>
      </c>
      <c r="S399" s="6" t="s">
        <v>30</v>
      </c>
      <c r="T399" s="11" t="s">
        <v>30</v>
      </c>
      <c r="U399" s="6" t="s">
        <v>30</v>
      </c>
      <c r="V399" s="6" t="s">
        <v>30</v>
      </c>
      <c r="W399" s="6" t="s">
        <v>30</v>
      </c>
      <c r="X399" s="2" t="s">
        <v>30</v>
      </c>
      <c r="Y399" s="6" t="str">
        <f aca="false">IF(AND(X399="processed",ISNUMBER(S399)),S399*O399,"")</f>
        <v/>
      </c>
      <c r="Z399" s="6" t="n">
        <f aca="false">IF(ISNUMBER(K399),K399*O399,0)</f>
        <v>216</v>
      </c>
      <c r="AA399" s="2" t="s">
        <v>31</v>
      </c>
      <c r="AB399" s="6" t="n">
        <v>4069</v>
      </c>
      <c r="AC399" s="6" t="n">
        <v>2958</v>
      </c>
      <c r="AD399" s="6" t="n">
        <v>40</v>
      </c>
      <c r="AE399" s="6" t="n">
        <v>2253.5263671875</v>
      </c>
      <c r="AF399" s="8" t="n">
        <v>915.483347551</v>
      </c>
      <c r="AG399" s="11" t="n">
        <v>0.02256715729</v>
      </c>
      <c r="AH399" s="12" t="n">
        <v>1</v>
      </c>
      <c r="AI399" s="2" t="s">
        <v>317</v>
      </c>
      <c r="AJ399" s="2" t="s">
        <v>38</v>
      </c>
      <c r="AK399" s="2" t="s">
        <v>38</v>
      </c>
    </row>
    <row r="400" customFormat="false" ht="15" hidden="false" customHeight="false" outlineLevel="0" collapsed="false">
      <c r="A400" s="9" t="n">
        <v>399</v>
      </c>
      <c r="B400" s="2" t="s">
        <v>1044</v>
      </c>
      <c r="C400" s="2" t="s">
        <v>1045</v>
      </c>
      <c r="D400" s="2" t="s">
        <v>380</v>
      </c>
      <c r="E400" s="2" t="s">
        <v>51</v>
      </c>
      <c r="F400" s="2" t="s">
        <v>1046</v>
      </c>
      <c r="G400" s="2" t="s">
        <v>381</v>
      </c>
      <c r="H400" s="8" t="n">
        <v>508.172770865533</v>
      </c>
      <c r="I400" s="2" t="s">
        <v>316</v>
      </c>
      <c r="J400" s="8" t="n">
        <v>698528.037383178</v>
      </c>
      <c r="K400" s="6" t="n">
        <v>214</v>
      </c>
      <c r="L400" s="2"/>
      <c r="M400" s="10" t="b">
        <f aca="false">TRUE()</f>
        <v>1</v>
      </c>
      <c r="N400" s="9" t="n">
        <f aca="false">IF(H400="","",IF(H400&gt;=Assumptions!$B$5,1,IF(H400&gt;=Assumptions!$B$6,2,IF(H400&gt;=Assumptions!$B$7,3,""))))</f>
        <v>3</v>
      </c>
      <c r="O400" s="9" t="n">
        <f aca="false">IF(N400=1,Assumptions!$B$8,IF(N400=2,Assumptions!$B$9,IF(N400=3,Assumptions!$B$10,0)))</f>
        <v>1</v>
      </c>
      <c r="P400" s="6" t="s">
        <v>30</v>
      </c>
      <c r="Q400" s="6" t="s">
        <v>30</v>
      </c>
      <c r="R400" s="11" t="s">
        <v>30</v>
      </c>
      <c r="S400" s="6" t="s">
        <v>30</v>
      </c>
      <c r="T400" s="11" t="s">
        <v>30</v>
      </c>
      <c r="U400" s="6" t="s">
        <v>30</v>
      </c>
      <c r="V400" s="6" t="s">
        <v>30</v>
      </c>
      <c r="W400" s="6" t="s">
        <v>30</v>
      </c>
      <c r="X400" s="2" t="s">
        <v>30</v>
      </c>
      <c r="Y400" s="6" t="str">
        <f aca="false">IF(AND(X400="processed",ISNUMBER(S400)),S400*O400,"")</f>
        <v/>
      </c>
      <c r="Z400" s="6" t="n">
        <f aca="false">IF(ISNUMBER(K400),K400*O400,0)</f>
        <v>214</v>
      </c>
      <c r="AA400" s="2" t="s">
        <v>31</v>
      </c>
      <c r="AB400" s="6" t="n">
        <v>17361</v>
      </c>
      <c r="AC400" s="6" t="n">
        <v>13887</v>
      </c>
      <c r="AD400" s="6" t="n">
        <v>999</v>
      </c>
      <c r="AE400" s="6" t="n">
        <v>2114.82006835938</v>
      </c>
      <c r="AF400" s="8" t="n">
        <v>515.079365079</v>
      </c>
      <c r="AG400" s="11" t="n">
        <v>-0.04774702381</v>
      </c>
      <c r="AH400" s="12" t="n">
        <v>1</v>
      </c>
      <c r="AI400" s="2" t="s">
        <v>317</v>
      </c>
      <c r="AJ400" s="2" t="s">
        <v>1045</v>
      </c>
      <c r="AK400" s="2" t="s">
        <v>1045</v>
      </c>
    </row>
    <row r="401" customFormat="false" ht="15" hidden="false" customHeight="false" outlineLevel="0" collapsed="false">
      <c r="A401" s="9" t="n">
        <v>400</v>
      </c>
      <c r="B401" s="2" t="s">
        <v>1047</v>
      </c>
      <c r="C401" s="2" t="s">
        <v>70</v>
      </c>
      <c r="D401" s="2" t="s">
        <v>70</v>
      </c>
      <c r="E401" s="2" t="s">
        <v>71</v>
      </c>
      <c r="F401" s="2" t="s">
        <v>1048</v>
      </c>
      <c r="G401" s="2" t="s">
        <v>329</v>
      </c>
      <c r="H401" s="8" t="n">
        <v>1035.76584351013</v>
      </c>
      <c r="I401" s="2" t="s">
        <v>316</v>
      </c>
      <c r="J401" s="8" t="n">
        <v>2276422.53521127</v>
      </c>
      <c r="K401" s="6" t="n">
        <v>71</v>
      </c>
      <c r="L401" s="2"/>
      <c r="M401" s="10" t="b">
        <f aca="false">TRUE()</f>
        <v>1</v>
      </c>
      <c r="N401" s="9" t="n">
        <f aca="false">IF(H401="","",IF(H401&gt;=Assumptions!$B$5,1,IF(H401&gt;=Assumptions!$B$6,2,IF(H401&gt;=Assumptions!$B$7,3,""))))</f>
        <v>1</v>
      </c>
      <c r="O401" s="9" t="n">
        <f aca="false">IF(N401=1,Assumptions!$B$8,IF(N401=2,Assumptions!$B$9,IF(N401=3,Assumptions!$B$10,0)))</f>
        <v>3</v>
      </c>
      <c r="P401" s="6" t="s">
        <v>30</v>
      </c>
      <c r="Q401" s="6" t="s">
        <v>30</v>
      </c>
      <c r="R401" s="11" t="s">
        <v>30</v>
      </c>
      <c r="S401" s="6" t="s">
        <v>30</v>
      </c>
      <c r="T401" s="11" t="s">
        <v>30</v>
      </c>
      <c r="U401" s="6" t="s">
        <v>30</v>
      </c>
      <c r="V401" s="6" t="s">
        <v>30</v>
      </c>
      <c r="W401" s="6" t="s">
        <v>30</v>
      </c>
      <c r="X401" s="2" t="s">
        <v>30</v>
      </c>
      <c r="Y401" s="6" t="str">
        <f aca="false">IF(AND(X401="processed",ISNUMBER(S401)),S401*O401,"")</f>
        <v/>
      </c>
      <c r="Z401" s="6" t="n">
        <f aca="false">IF(ISNUMBER(K401),K401*O401,0)</f>
        <v>213</v>
      </c>
      <c r="AA401" s="2" t="s">
        <v>31</v>
      </c>
      <c r="AB401" s="6" t="n">
        <v>9410</v>
      </c>
      <c r="AC401" s="6" t="n">
        <v>6171</v>
      </c>
      <c r="AD401" s="6" t="n">
        <v>25</v>
      </c>
      <c r="AE401" s="6" t="n">
        <v>2115.35913085938</v>
      </c>
      <c r="AF401" s="8" t="n">
        <v>1045.494618279</v>
      </c>
      <c r="AG401" s="11" t="n">
        <v>0.0215622837</v>
      </c>
      <c r="AH401" s="12" t="n">
        <v>1</v>
      </c>
      <c r="AI401" s="2" t="s">
        <v>317</v>
      </c>
      <c r="AJ401" s="2" t="s">
        <v>70</v>
      </c>
      <c r="AK401" s="2" t="s">
        <v>70</v>
      </c>
    </row>
    <row r="402" customFormat="false" ht="15" hidden="false" customHeight="false" outlineLevel="0" collapsed="false">
      <c r="A402" s="9" t="n">
        <v>401</v>
      </c>
      <c r="B402" s="2" t="s">
        <v>1049</v>
      </c>
      <c r="C402" s="2" t="s">
        <v>56</v>
      </c>
      <c r="D402" s="2" t="s">
        <v>56</v>
      </c>
      <c r="E402" s="2" t="s">
        <v>56</v>
      </c>
      <c r="F402" s="2" t="s">
        <v>1050</v>
      </c>
      <c r="G402" s="2" t="s">
        <v>324</v>
      </c>
      <c r="H402" s="8" t="n">
        <v>1224.0898947252</v>
      </c>
      <c r="I402" s="2" t="s">
        <v>316</v>
      </c>
      <c r="J402" s="8" t="n">
        <v>3558428.57142857</v>
      </c>
      <c r="K402" s="6" t="n">
        <v>70</v>
      </c>
      <c r="L402" s="2"/>
      <c r="M402" s="10" t="b">
        <f aca="false">TRUE()</f>
        <v>1</v>
      </c>
      <c r="N402" s="9" t="n">
        <f aca="false">IF(H402="","",IF(H402&gt;=Assumptions!$B$5,1,IF(H402&gt;=Assumptions!$B$6,2,IF(H402&gt;=Assumptions!$B$7,3,""))))</f>
        <v>1</v>
      </c>
      <c r="O402" s="9" t="n">
        <f aca="false">IF(N402=1,Assumptions!$B$8,IF(N402=2,Assumptions!$B$9,IF(N402=3,Assumptions!$B$10,0)))</f>
        <v>3</v>
      </c>
      <c r="P402" s="6" t="s">
        <v>30</v>
      </c>
      <c r="Q402" s="6" t="s">
        <v>30</v>
      </c>
      <c r="R402" s="11" t="s">
        <v>30</v>
      </c>
      <c r="S402" s="6" t="s">
        <v>30</v>
      </c>
      <c r="T402" s="11" t="s">
        <v>30</v>
      </c>
      <c r="U402" s="6" t="s">
        <v>30</v>
      </c>
      <c r="V402" s="6" t="s">
        <v>30</v>
      </c>
      <c r="W402" s="6" t="s">
        <v>30</v>
      </c>
      <c r="X402" s="2" t="s">
        <v>30</v>
      </c>
      <c r="Y402" s="6" t="str">
        <f aca="false">IF(AND(X402="processed",ISNUMBER(S402)),S402*O402,"")</f>
        <v/>
      </c>
      <c r="Z402" s="6" t="n">
        <f aca="false">IF(ISNUMBER(K402),K402*O402,0)</f>
        <v>210</v>
      </c>
      <c r="AA402" s="2" t="s">
        <v>31</v>
      </c>
      <c r="AB402" s="6" t="n">
        <v>4294</v>
      </c>
      <c r="AC402" s="6" t="n">
        <v>3810</v>
      </c>
      <c r="AD402" s="6" t="n">
        <v>19</v>
      </c>
      <c r="AE402" s="6" t="n">
        <v>1813.88916015625</v>
      </c>
      <c r="AF402" s="8" t="n">
        <v>1294.670846395</v>
      </c>
      <c r="AG402" s="11" t="n">
        <v>-0.1888403408</v>
      </c>
      <c r="AH402" s="12" t="n">
        <v>1</v>
      </c>
      <c r="AI402" s="2" t="s">
        <v>317</v>
      </c>
      <c r="AJ402" s="2" t="s">
        <v>56</v>
      </c>
      <c r="AK402" s="2" t="s">
        <v>56</v>
      </c>
    </row>
    <row r="403" customFormat="false" ht="15" hidden="false" customHeight="false" outlineLevel="0" collapsed="false">
      <c r="A403" s="9" t="n">
        <v>402</v>
      </c>
      <c r="B403" s="2" t="s">
        <v>1051</v>
      </c>
      <c r="C403" s="2" t="s">
        <v>1052</v>
      </c>
      <c r="D403" s="2" t="s">
        <v>273</v>
      </c>
      <c r="E403" s="2" t="s">
        <v>273</v>
      </c>
      <c r="F403" s="2" t="s">
        <v>1053</v>
      </c>
      <c r="G403" s="2" t="s">
        <v>348</v>
      </c>
      <c r="H403" s="8" t="n">
        <v>610.182263114185</v>
      </c>
      <c r="I403" s="2" t="s">
        <v>316</v>
      </c>
      <c r="J403" s="8" t="n">
        <v>1333058.25242718</v>
      </c>
      <c r="K403" s="6" t="n">
        <v>103</v>
      </c>
      <c r="L403" s="2"/>
      <c r="M403" s="10" t="b">
        <f aca="false">TRUE()</f>
        <v>1</v>
      </c>
      <c r="N403" s="9" t="n">
        <f aca="false">IF(H403="","",IF(H403&gt;=Assumptions!$B$5,1,IF(H403&gt;=Assumptions!$B$6,2,IF(H403&gt;=Assumptions!$B$7,3,""))))</f>
        <v>2</v>
      </c>
      <c r="O403" s="9" t="n">
        <f aca="false">IF(N403=1,Assumptions!$B$8,IF(N403=2,Assumptions!$B$9,IF(N403=3,Assumptions!$B$10,0)))</f>
        <v>2</v>
      </c>
      <c r="P403" s="6" t="s">
        <v>30</v>
      </c>
      <c r="Q403" s="6" t="s">
        <v>30</v>
      </c>
      <c r="R403" s="11" t="s">
        <v>30</v>
      </c>
      <c r="S403" s="6" t="s">
        <v>30</v>
      </c>
      <c r="T403" s="11" t="s">
        <v>30</v>
      </c>
      <c r="U403" s="6" t="s">
        <v>30</v>
      </c>
      <c r="V403" s="6" t="s">
        <v>30</v>
      </c>
      <c r="W403" s="6" t="s">
        <v>30</v>
      </c>
      <c r="X403" s="2" t="s">
        <v>30</v>
      </c>
      <c r="Y403" s="6" t="str">
        <f aca="false">IF(AND(X403="processed",ISNUMBER(S403)),S403*O403,"")</f>
        <v/>
      </c>
      <c r="Z403" s="6" t="n">
        <f aca="false">IF(ISNUMBER(K403),K403*O403,0)</f>
        <v>206</v>
      </c>
      <c r="AA403" s="2" t="s">
        <v>31</v>
      </c>
      <c r="AB403" s="6" t="n">
        <v>3088</v>
      </c>
      <c r="AC403" s="6" t="n">
        <v>2942</v>
      </c>
      <c r="AD403" s="6" t="n">
        <v>2032</v>
      </c>
      <c r="AE403" s="6" t="n">
        <v>2561.23754882813</v>
      </c>
      <c r="AF403" s="8" t="n">
        <v>598.659003831</v>
      </c>
      <c r="AG403" s="11" t="n">
        <v>-0.01125884633</v>
      </c>
      <c r="AH403" s="12" t="n">
        <v>0.999541126351711</v>
      </c>
      <c r="AI403" s="2" t="s">
        <v>317</v>
      </c>
      <c r="AJ403" s="2" t="s">
        <v>1052</v>
      </c>
      <c r="AK403" s="2" t="s">
        <v>1052</v>
      </c>
    </row>
    <row r="404" customFormat="false" ht="15" hidden="false" customHeight="false" outlineLevel="0" collapsed="false">
      <c r="A404" s="9" t="n">
        <v>403</v>
      </c>
      <c r="B404" s="2" t="s">
        <v>1054</v>
      </c>
      <c r="C404" s="2" t="s">
        <v>1055</v>
      </c>
      <c r="D404" s="2" t="s">
        <v>70</v>
      </c>
      <c r="E404" s="2" t="s">
        <v>71</v>
      </c>
      <c r="F404" s="2"/>
      <c r="G404" s="2" t="s">
        <v>329</v>
      </c>
      <c r="H404" s="8" t="n">
        <v>575.352567858</v>
      </c>
      <c r="I404" s="2" t="s">
        <v>316</v>
      </c>
      <c r="J404" s="8" t="n">
        <v>759313.607843137</v>
      </c>
      <c r="K404" s="6" t="n">
        <v>204</v>
      </c>
      <c r="L404" s="2"/>
      <c r="M404" s="10" t="b">
        <f aca="false">TRUE()</f>
        <v>1</v>
      </c>
      <c r="N404" s="9" t="n">
        <f aca="false">IF(H404="","",IF(H404&gt;=Assumptions!$B$5,1,IF(H404&gt;=Assumptions!$B$6,2,IF(H404&gt;=Assumptions!$B$7,3,""))))</f>
        <v>3</v>
      </c>
      <c r="O404" s="9" t="n">
        <f aca="false">IF(N404=1,Assumptions!$B$8,IF(N404=2,Assumptions!$B$9,IF(N404=3,Assumptions!$B$10,0)))</f>
        <v>1</v>
      </c>
      <c r="P404" s="6" t="s">
        <v>30</v>
      </c>
      <c r="Q404" s="6" t="s">
        <v>30</v>
      </c>
      <c r="R404" s="11" t="s">
        <v>30</v>
      </c>
      <c r="S404" s="6" t="s">
        <v>30</v>
      </c>
      <c r="T404" s="11" t="s">
        <v>30</v>
      </c>
      <c r="U404" s="6" t="s">
        <v>30</v>
      </c>
      <c r="V404" s="6" t="s">
        <v>30</v>
      </c>
      <c r="W404" s="6" t="s">
        <v>30</v>
      </c>
      <c r="X404" s="2" t="s">
        <v>30</v>
      </c>
      <c r="Y404" s="6" t="str">
        <f aca="false">IF(AND(X404="processed",ISNUMBER(S404)),S404*O404,"")</f>
        <v/>
      </c>
      <c r="Z404" s="6" t="n">
        <f aca="false">IF(ISNUMBER(K404),K404*O404,0)</f>
        <v>204</v>
      </c>
      <c r="AA404" s="2" t="s">
        <v>31</v>
      </c>
      <c r="AB404" s="6" t="n">
        <v>21418</v>
      </c>
      <c r="AC404" s="6" t="n">
        <v>17922</v>
      </c>
      <c r="AD404" s="6" t="n">
        <v>420</v>
      </c>
      <c r="AE404" s="6" t="n">
        <v>2178.5947265625</v>
      </c>
      <c r="AF404" s="8" t="n">
        <v>566.279722506</v>
      </c>
      <c r="AG404" s="11" t="n">
        <v>-0.0175381226</v>
      </c>
      <c r="AH404" s="12" t="n">
        <v>0.999999999999999</v>
      </c>
      <c r="AI404" s="2" t="s">
        <v>317</v>
      </c>
      <c r="AJ404" s="2" t="s">
        <v>1055</v>
      </c>
      <c r="AK404" s="2" t="s">
        <v>1055</v>
      </c>
    </row>
    <row r="405" customFormat="false" ht="15" hidden="false" customHeight="false" outlineLevel="0" collapsed="false">
      <c r="A405" s="9" t="n">
        <v>404</v>
      </c>
      <c r="B405" s="2" t="s">
        <v>1056</v>
      </c>
      <c r="C405" s="2" t="s">
        <v>263</v>
      </c>
      <c r="D405" s="2" t="s">
        <v>27</v>
      </c>
      <c r="E405" s="2" t="s">
        <v>28</v>
      </c>
      <c r="F405" s="2" t="s">
        <v>1057</v>
      </c>
      <c r="G405" s="2" t="s">
        <v>315</v>
      </c>
      <c r="H405" s="8" t="n">
        <v>884.406745912324</v>
      </c>
      <c r="I405" s="2" t="s">
        <v>316</v>
      </c>
      <c r="J405" s="8" t="n">
        <v>1442205.88235294</v>
      </c>
      <c r="K405" s="6" t="n">
        <v>68</v>
      </c>
      <c r="L405" s="2"/>
      <c r="M405" s="10" t="b">
        <f aca="false">TRUE()</f>
        <v>1</v>
      </c>
      <c r="N405" s="9" t="n">
        <f aca="false">IF(H405="","",IF(H405&gt;=Assumptions!$B$5,1,IF(H405&gt;=Assumptions!$B$6,2,IF(H405&gt;=Assumptions!$B$7,3,""))))</f>
        <v>1</v>
      </c>
      <c r="O405" s="9" t="n">
        <f aca="false">IF(N405=1,Assumptions!$B$8,IF(N405=2,Assumptions!$B$9,IF(N405=3,Assumptions!$B$10,0)))</f>
        <v>3</v>
      </c>
      <c r="P405" s="6" t="s">
        <v>30</v>
      </c>
      <c r="Q405" s="6" t="s">
        <v>30</v>
      </c>
      <c r="R405" s="11" t="s">
        <v>30</v>
      </c>
      <c r="S405" s="6" t="s">
        <v>30</v>
      </c>
      <c r="T405" s="11" t="s">
        <v>30</v>
      </c>
      <c r="U405" s="6" t="s">
        <v>30</v>
      </c>
      <c r="V405" s="6" t="s">
        <v>30</v>
      </c>
      <c r="W405" s="6" t="s">
        <v>30</v>
      </c>
      <c r="X405" s="2" t="s">
        <v>30</v>
      </c>
      <c r="Y405" s="6" t="str">
        <f aca="false">IF(AND(X405="processed",ISNUMBER(S405)),S405*O405,"")</f>
        <v/>
      </c>
      <c r="Z405" s="6" t="n">
        <f aca="false">IF(ISNUMBER(K405),K405*O405,0)</f>
        <v>204</v>
      </c>
      <c r="AA405" s="2" t="s">
        <v>31</v>
      </c>
      <c r="AB405" s="6" t="n">
        <v>4959</v>
      </c>
      <c r="AC405" s="6" t="n">
        <v>3750</v>
      </c>
      <c r="AD405" s="6" t="n">
        <v>94</v>
      </c>
      <c r="AE405" s="6" t="n">
        <v>2135.09912109375</v>
      </c>
      <c r="AF405" s="8" t="n">
        <v>872.846855917</v>
      </c>
      <c r="AG405" s="11" t="n">
        <v>0.01834393098</v>
      </c>
      <c r="AH405" s="12" t="n">
        <v>1</v>
      </c>
      <c r="AI405" s="2" t="s">
        <v>317</v>
      </c>
      <c r="AJ405" s="2" t="s">
        <v>263</v>
      </c>
      <c r="AK405" s="2" t="s">
        <v>263</v>
      </c>
    </row>
    <row r="406" customFormat="false" ht="15" hidden="false" customHeight="false" outlineLevel="0" collapsed="false">
      <c r="A406" s="9" t="n">
        <v>405</v>
      </c>
      <c r="B406" s="2" t="s">
        <v>1058</v>
      </c>
      <c r="C406" s="2" t="s">
        <v>217</v>
      </c>
      <c r="D406" s="2" t="s">
        <v>27</v>
      </c>
      <c r="E406" s="2" t="s">
        <v>28</v>
      </c>
      <c r="F406" s="2" t="s">
        <v>1059</v>
      </c>
      <c r="G406" s="2" t="s">
        <v>315</v>
      </c>
      <c r="H406" s="8" t="n">
        <v>680.886421735588</v>
      </c>
      <c r="I406" s="2" t="s">
        <v>316</v>
      </c>
      <c r="J406" s="8" t="n">
        <v>1178676.47058824</v>
      </c>
      <c r="K406" s="6" t="n">
        <v>102</v>
      </c>
      <c r="L406" s="2"/>
      <c r="M406" s="10" t="b">
        <f aca="false">TRUE()</f>
        <v>1</v>
      </c>
      <c r="N406" s="9" t="n">
        <f aca="false">IF(H406="","",IF(H406&gt;=Assumptions!$B$5,1,IF(H406&gt;=Assumptions!$B$6,2,IF(H406&gt;=Assumptions!$B$7,3,""))))</f>
        <v>2</v>
      </c>
      <c r="O406" s="9" t="n">
        <f aca="false">IF(N406=1,Assumptions!$B$8,IF(N406=2,Assumptions!$B$9,IF(N406=3,Assumptions!$B$10,0)))</f>
        <v>2</v>
      </c>
      <c r="P406" s="6" t="s">
        <v>30</v>
      </c>
      <c r="Q406" s="6" t="s">
        <v>30</v>
      </c>
      <c r="R406" s="11" t="s">
        <v>30</v>
      </c>
      <c r="S406" s="6" t="s">
        <v>30</v>
      </c>
      <c r="T406" s="11" t="s">
        <v>30</v>
      </c>
      <c r="U406" s="6" t="s">
        <v>30</v>
      </c>
      <c r="V406" s="6" t="s">
        <v>30</v>
      </c>
      <c r="W406" s="6" t="s">
        <v>30</v>
      </c>
      <c r="X406" s="2" t="s">
        <v>30</v>
      </c>
      <c r="Y406" s="6" t="str">
        <f aca="false">IF(AND(X406="processed",ISNUMBER(S406)),S406*O406,"")</f>
        <v/>
      </c>
      <c r="Z406" s="6" t="n">
        <f aca="false">IF(ISNUMBER(K406),K406*O406,0)</f>
        <v>204</v>
      </c>
      <c r="AA406" s="2" t="s">
        <v>31</v>
      </c>
      <c r="AB406" s="6" t="n">
        <v>8931</v>
      </c>
      <c r="AC406" s="6" t="n">
        <v>7041</v>
      </c>
      <c r="AD406" s="6" t="n">
        <v>261</v>
      </c>
      <c r="AE406" s="6" t="n">
        <v>2302.04296875</v>
      </c>
      <c r="AF406" s="8" t="n">
        <v>704.113924051</v>
      </c>
      <c r="AG406" s="11" t="n">
        <v>0.05171814337</v>
      </c>
      <c r="AH406" s="12" t="n">
        <v>1</v>
      </c>
      <c r="AI406" s="2" t="s">
        <v>317</v>
      </c>
      <c r="AJ406" s="2" t="s">
        <v>217</v>
      </c>
      <c r="AK406" s="2" t="s">
        <v>217</v>
      </c>
    </row>
    <row r="407" customFormat="false" ht="15" hidden="false" customHeight="false" outlineLevel="0" collapsed="false">
      <c r="A407" s="9" t="n">
        <v>406</v>
      </c>
      <c r="B407" s="2" t="s">
        <v>1060</v>
      </c>
      <c r="C407" s="2" t="s">
        <v>38</v>
      </c>
      <c r="D407" s="2" t="s">
        <v>39</v>
      </c>
      <c r="E407" s="2" t="s">
        <v>40</v>
      </c>
      <c r="F407" s="2" t="s">
        <v>1061</v>
      </c>
      <c r="G407" s="2" t="s">
        <v>320</v>
      </c>
      <c r="H407" s="8" t="n">
        <v>826.725754528677</v>
      </c>
      <c r="I407" s="2" t="s">
        <v>316</v>
      </c>
      <c r="J407" s="8" t="n">
        <v>1506779.41176471</v>
      </c>
      <c r="K407" s="6" t="n">
        <v>68</v>
      </c>
      <c r="L407" s="2"/>
      <c r="M407" s="10" t="b">
        <f aca="false">TRUE()</f>
        <v>1</v>
      </c>
      <c r="N407" s="9" t="n">
        <f aca="false">IF(H407="","",IF(H407&gt;=Assumptions!$B$5,1,IF(H407&gt;=Assumptions!$B$6,2,IF(H407&gt;=Assumptions!$B$7,3,""))))</f>
        <v>1</v>
      </c>
      <c r="O407" s="9" t="n">
        <f aca="false">IF(N407=1,Assumptions!$B$8,IF(N407=2,Assumptions!$B$9,IF(N407=3,Assumptions!$B$10,0)))</f>
        <v>3</v>
      </c>
      <c r="P407" s="6" t="s">
        <v>30</v>
      </c>
      <c r="Q407" s="6" t="s">
        <v>30</v>
      </c>
      <c r="R407" s="11" t="s">
        <v>30</v>
      </c>
      <c r="S407" s="6" t="s">
        <v>30</v>
      </c>
      <c r="T407" s="11" t="s">
        <v>30</v>
      </c>
      <c r="U407" s="6" t="s">
        <v>30</v>
      </c>
      <c r="V407" s="6" t="s">
        <v>30</v>
      </c>
      <c r="W407" s="6" t="s">
        <v>30</v>
      </c>
      <c r="X407" s="2" t="s">
        <v>30</v>
      </c>
      <c r="Y407" s="6" t="str">
        <f aca="false">IF(AND(X407="processed",ISNUMBER(S407)),S407*O407,"")</f>
        <v/>
      </c>
      <c r="Z407" s="6" t="n">
        <f aca="false">IF(ISNUMBER(K407),K407*O407,0)</f>
        <v>204</v>
      </c>
      <c r="AA407" s="2" t="s">
        <v>31</v>
      </c>
      <c r="AB407" s="6" t="n">
        <v>6314</v>
      </c>
      <c r="AC407" s="6" t="n">
        <v>5089</v>
      </c>
      <c r="AD407" s="6" t="n">
        <v>104</v>
      </c>
      <c r="AE407" s="6" t="n">
        <v>2224.91772460938</v>
      </c>
      <c r="AF407" s="8" t="n">
        <v>843.333333333</v>
      </c>
      <c r="AG407" s="11" t="n">
        <v>-0.08594965278</v>
      </c>
      <c r="AH407" s="12" t="n">
        <v>1</v>
      </c>
      <c r="AI407" s="2" t="s">
        <v>317</v>
      </c>
      <c r="AJ407" s="2" t="s">
        <v>38</v>
      </c>
      <c r="AK407" s="2" t="s">
        <v>38</v>
      </c>
    </row>
    <row r="408" customFormat="false" ht="15" hidden="false" customHeight="false" outlineLevel="0" collapsed="false">
      <c r="A408" s="9" t="n">
        <v>407</v>
      </c>
      <c r="B408" s="2" t="s">
        <v>1062</v>
      </c>
      <c r="C408" s="2" t="s">
        <v>1063</v>
      </c>
      <c r="D408" s="2" t="s">
        <v>70</v>
      </c>
      <c r="E408" s="2" t="s">
        <v>71</v>
      </c>
      <c r="F408" s="2"/>
      <c r="G408" s="2" t="s">
        <v>329</v>
      </c>
      <c r="H408" s="8" t="n">
        <v>613.168861262594</v>
      </c>
      <c r="I408" s="2" t="s">
        <v>316</v>
      </c>
      <c r="J408" s="8" t="n">
        <v>850356.435643564</v>
      </c>
      <c r="K408" s="6" t="n">
        <v>101</v>
      </c>
      <c r="L408" s="2"/>
      <c r="M408" s="10" t="b">
        <f aca="false">TRUE()</f>
        <v>1</v>
      </c>
      <c r="N408" s="9" t="n">
        <f aca="false">IF(H408="","",IF(H408&gt;=Assumptions!$B$5,1,IF(H408&gt;=Assumptions!$B$6,2,IF(H408&gt;=Assumptions!$B$7,3,""))))</f>
        <v>2</v>
      </c>
      <c r="O408" s="9" t="n">
        <f aca="false">IF(N408=1,Assumptions!$B$8,IF(N408=2,Assumptions!$B$9,IF(N408=3,Assumptions!$B$10,0)))</f>
        <v>2</v>
      </c>
      <c r="P408" s="6" t="s">
        <v>30</v>
      </c>
      <c r="Q408" s="6" t="s">
        <v>30</v>
      </c>
      <c r="R408" s="11" t="s">
        <v>30</v>
      </c>
      <c r="S408" s="6" t="s">
        <v>30</v>
      </c>
      <c r="T408" s="11" t="s">
        <v>30</v>
      </c>
      <c r="U408" s="6" t="s">
        <v>30</v>
      </c>
      <c r="V408" s="6" t="s">
        <v>30</v>
      </c>
      <c r="W408" s="6" t="s">
        <v>30</v>
      </c>
      <c r="X408" s="2" t="s">
        <v>30</v>
      </c>
      <c r="Y408" s="6" t="str">
        <f aca="false">IF(AND(X408="processed",ISNUMBER(S408)),S408*O408,"")</f>
        <v/>
      </c>
      <c r="Z408" s="6" t="n">
        <f aca="false">IF(ISNUMBER(K408),K408*O408,0)</f>
        <v>202</v>
      </c>
      <c r="AA408" s="2" t="s">
        <v>31</v>
      </c>
      <c r="AB408" s="6" t="n">
        <v>8615</v>
      </c>
      <c r="AC408" s="6" t="n">
        <v>7021</v>
      </c>
      <c r="AD408" s="6" t="n">
        <v>201</v>
      </c>
      <c r="AE408" s="6" t="n">
        <v>1877.41638183594</v>
      </c>
      <c r="AF408" s="8" t="n">
        <v>650.123020725</v>
      </c>
      <c r="AG408" s="11" t="n">
        <v>0.08422808039</v>
      </c>
      <c r="AH408" s="12" t="n">
        <v>1</v>
      </c>
      <c r="AI408" s="2" t="s">
        <v>328</v>
      </c>
      <c r="AJ408" s="2" t="s">
        <v>1063</v>
      </c>
      <c r="AK408" s="2" t="s">
        <v>1063</v>
      </c>
    </row>
    <row r="409" customFormat="false" ht="15" hidden="false" customHeight="false" outlineLevel="0" collapsed="false">
      <c r="A409" s="9" t="n">
        <v>408</v>
      </c>
      <c r="B409" s="2" t="s">
        <v>1064</v>
      </c>
      <c r="C409" s="2" t="s">
        <v>1065</v>
      </c>
      <c r="D409" s="2" t="s">
        <v>70</v>
      </c>
      <c r="E409" s="2" t="s">
        <v>71</v>
      </c>
      <c r="F409" s="2"/>
      <c r="G409" s="2" t="s">
        <v>329</v>
      </c>
      <c r="H409" s="8" t="n">
        <v>671.268947108139</v>
      </c>
      <c r="I409" s="2" t="s">
        <v>316</v>
      </c>
      <c r="J409" s="8" t="n">
        <v>967079.207920792</v>
      </c>
      <c r="K409" s="6" t="n">
        <v>101</v>
      </c>
      <c r="L409" s="2"/>
      <c r="M409" s="10" t="b">
        <f aca="false">TRUE()</f>
        <v>1</v>
      </c>
      <c r="N409" s="9" t="n">
        <f aca="false">IF(H409="","",IF(H409&gt;=Assumptions!$B$5,1,IF(H409&gt;=Assumptions!$B$6,2,IF(H409&gt;=Assumptions!$B$7,3,""))))</f>
        <v>2</v>
      </c>
      <c r="O409" s="9" t="n">
        <f aca="false">IF(N409=1,Assumptions!$B$8,IF(N409=2,Assumptions!$B$9,IF(N409=3,Assumptions!$B$10,0)))</f>
        <v>2</v>
      </c>
      <c r="P409" s="6" t="s">
        <v>30</v>
      </c>
      <c r="Q409" s="6" t="s">
        <v>30</v>
      </c>
      <c r="R409" s="11" t="s">
        <v>30</v>
      </c>
      <c r="S409" s="6" t="s">
        <v>30</v>
      </c>
      <c r="T409" s="11" t="s">
        <v>30</v>
      </c>
      <c r="U409" s="6" t="s">
        <v>30</v>
      </c>
      <c r="V409" s="6" t="s">
        <v>30</v>
      </c>
      <c r="W409" s="6" t="s">
        <v>30</v>
      </c>
      <c r="X409" s="2" t="s">
        <v>30</v>
      </c>
      <c r="Y409" s="6" t="str">
        <f aca="false">IF(AND(X409="processed",ISNUMBER(S409)),S409*O409,"")</f>
        <v/>
      </c>
      <c r="Z409" s="6" t="n">
        <f aca="false">IF(ISNUMBER(K409),K409*O409,0)</f>
        <v>202</v>
      </c>
      <c r="AA409" s="2" t="s">
        <v>31</v>
      </c>
      <c r="AB409" s="6" t="n">
        <v>11197</v>
      </c>
      <c r="AC409" s="6" t="n">
        <v>9101</v>
      </c>
      <c r="AD409" s="6" t="n">
        <v>808</v>
      </c>
      <c r="AE409" s="6" t="n">
        <v>2209.69555664063</v>
      </c>
      <c r="AF409" s="8" t="n">
        <v>640.518417462</v>
      </c>
      <c r="AG409" s="11" t="n">
        <v>-0.1267217648</v>
      </c>
      <c r="AH409" s="12" t="n">
        <v>0.999999999999999</v>
      </c>
      <c r="AI409" s="2" t="s">
        <v>317</v>
      </c>
      <c r="AJ409" s="2" t="s">
        <v>1065</v>
      </c>
      <c r="AK409" s="2" t="s">
        <v>1065</v>
      </c>
    </row>
    <row r="410" customFormat="false" ht="15" hidden="false" customHeight="false" outlineLevel="0" collapsed="false">
      <c r="A410" s="9" t="n">
        <v>409</v>
      </c>
      <c r="B410" s="2" t="s">
        <v>1066</v>
      </c>
      <c r="C410" s="2" t="s">
        <v>1067</v>
      </c>
      <c r="D410" s="2" t="s">
        <v>44</v>
      </c>
      <c r="E410" s="2" t="s">
        <v>44</v>
      </c>
      <c r="F410" s="2" t="s">
        <v>1068</v>
      </c>
      <c r="G410" s="2" t="s">
        <v>322</v>
      </c>
      <c r="H410" s="8" t="n">
        <v>1169.96998450133</v>
      </c>
      <c r="I410" s="2" t="s">
        <v>316</v>
      </c>
      <c r="J410" s="8" t="n">
        <v>2332537.31343284</v>
      </c>
      <c r="K410" s="6" t="n">
        <v>67</v>
      </c>
      <c r="L410" s="2"/>
      <c r="M410" s="10" t="b">
        <f aca="false">TRUE()</f>
        <v>1</v>
      </c>
      <c r="N410" s="9" t="n">
        <f aca="false">IF(H410="","",IF(H410&gt;=Assumptions!$B$5,1,IF(H410&gt;=Assumptions!$B$6,2,IF(H410&gt;=Assumptions!$B$7,3,""))))</f>
        <v>1</v>
      </c>
      <c r="O410" s="9" t="n">
        <f aca="false">IF(N410=1,Assumptions!$B$8,IF(N410=2,Assumptions!$B$9,IF(N410=3,Assumptions!$B$10,0)))</f>
        <v>3</v>
      </c>
      <c r="P410" s="6" t="s">
        <v>30</v>
      </c>
      <c r="Q410" s="6" t="s">
        <v>30</v>
      </c>
      <c r="R410" s="11" t="s">
        <v>30</v>
      </c>
      <c r="S410" s="6" t="s">
        <v>30</v>
      </c>
      <c r="T410" s="11" t="s">
        <v>30</v>
      </c>
      <c r="U410" s="6" t="s">
        <v>30</v>
      </c>
      <c r="V410" s="6" t="s">
        <v>30</v>
      </c>
      <c r="W410" s="6" t="s">
        <v>30</v>
      </c>
      <c r="X410" s="2" t="s">
        <v>30</v>
      </c>
      <c r="Y410" s="6" t="str">
        <f aca="false">IF(AND(X410="processed",ISNUMBER(S410)),S410*O410,"")</f>
        <v/>
      </c>
      <c r="Z410" s="6" t="n">
        <f aca="false">IF(ISNUMBER(K410),K410*O410,0)</f>
        <v>201</v>
      </c>
      <c r="AA410" s="2" t="s">
        <v>31</v>
      </c>
      <c r="AB410" s="6" t="n">
        <v>4085</v>
      </c>
      <c r="AC410" s="6" t="n">
        <v>3593</v>
      </c>
      <c r="AD410" s="6" t="n">
        <v>148</v>
      </c>
      <c r="AE410" s="6" t="n">
        <v>2222.083984375</v>
      </c>
      <c r="AF410" s="8" t="n">
        <v>1238.798102267</v>
      </c>
      <c r="AG410" s="11" t="n">
        <v>0.03315761729</v>
      </c>
      <c r="AH410" s="12" t="n">
        <v>0.999851365424486</v>
      </c>
      <c r="AI410" s="2" t="s">
        <v>1069</v>
      </c>
      <c r="AJ410" s="2" t="s">
        <v>1070</v>
      </c>
      <c r="AK410" s="2" t="s">
        <v>43</v>
      </c>
    </row>
    <row r="411" customFormat="false" ht="15" hidden="false" customHeight="false" outlineLevel="0" collapsed="false">
      <c r="A411" s="9" t="n">
        <v>410</v>
      </c>
      <c r="B411" s="2" t="s">
        <v>1071</v>
      </c>
      <c r="C411" s="2" t="s">
        <v>70</v>
      </c>
      <c r="D411" s="2" t="s">
        <v>70</v>
      </c>
      <c r="E411" s="2" t="s">
        <v>71</v>
      </c>
      <c r="F411" s="2" t="s">
        <v>1072</v>
      </c>
      <c r="G411" s="2" t="s">
        <v>329</v>
      </c>
      <c r="H411" s="8" t="n">
        <v>615.1283704407</v>
      </c>
      <c r="I411" s="2" t="s">
        <v>316</v>
      </c>
      <c r="J411" s="8" t="n">
        <v>677950</v>
      </c>
      <c r="K411" s="6" t="n">
        <v>100</v>
      </c>
      <c r="L411" s="2"/>
      <c r="M411" s="10" t="b">
        <f aca="false">TRUE()</f>
        <v>1</v>
      </c>
      <c r="N411" s="9" t="n">
        <f aca="false">IF(H411="","",IF(H411&gt;=Assumptions!$B$5,1,IF(H411&gt;=Assumptions!$B$6,2,IF(H411&gt;=Assumptions!$B$7,3,""))))</f>
        <v>2</v>
      </c>
      <c r="O411" s="9" t="n">
        <f aca="false">IF(N411=1,Assumptions!$B$8,IF(N411=2,Assumptions!$B$9,IF(N411=3,Assumptions!$B$10,0)))</f>
        <v>2</v>
      </c>
      <c r="P411" s="6" t="s">
        <v>30</v>
      </c>
      <c r="Q411" s="6" t="s">
        <v>30</v>
      </c>
      <c r="R411" s="11" t="s">
        <v>30</v>
      </c>
      <c r="S411" s="6" t="s">
        <v>30</v>
      </c>
      <c r="T411" s="11" t="s">
        <v>30</v>
      </c>
      <c r="U411" s="6" t="s">
        <v>30</v>
      </c>
      <c r="V411" s="6" t="s">
        <v>30</v>
      </c>
      <c r="W411" s="6" t="s">
        <v>30</v>
      </c>
      <c r="X411" s="2" t="s">
        <v>30</v>
      </c>
      <c r="Y411" s="6" t="str">
        <f aca="false">IF(AND(X411="processed",ISNUMBER(S411)),S411*O411,"")</f>
        <v/>
      </c>
      <c r="Z411" s="6" t="n">
        <f aca="false">IF(ISNUMBER(K411),K411*O411,0)</f>
        <v>200</v>
      </c>
      <c r="AA411" s="2" t="s">
        <v>31</v>
      </c>
      <c r="AB411" s="6" t="n">
        <v>14233</v>
      </c>
      <c r="AC411" s="6" t="n">
        <v>11021</v>
      </c>
      <c r="AD411" s="6" t="n">
        <v>263</v>
      </c>
      <c r="AE411" s="6" t="n">
        <v>1385.77917480469</v>
      </c>
      <c r="AF411" s="8" t="n">
        <v>623.530789219</v>
      </c>
      <c r="AG411" s="11" t="n">
        <v>0.0874376964</v>
      </c>
      <c r="AH411" s="12" t="n">
        <v>1</v>
      </c>
      <c r="AI411" s="2" t="s">
        <v>317</v>
      </c>
      <c r="AJ411" s="2" t="s">
        <v>70</v>
      </c>
      <c r="AK411" s="2" t="s">
        <v>70</v>
      </c>
    </row>
    <row r="412" customFormat="false" ht="15" hidden="false" customHeight="false" outlineLevel="0" collapsed="false">
      <c r="A412" s="9" t="n">
        <v>411</v>
      </c>
      <c r="B412" s="2" t="s">
        <v>1073</v>
      </c>
      <c r="C412" s="2" t="s">
        <v>993</v>
      </c>
      <c r="D412" s="2" t="s">
        <v>44</v>
      </c>
      <c r="E412" s="2" t="s">
        <v>44</v>
      </c>
      <c r="F412" s="2" t="s">
        <v>1074</v>
      </c>
      <c r="G412" s="2" t="s">
        <v>322</v>
      </c>
      <c r="H412" s="8" t="n">
        <v>515.538436169869</v>
      </c>
      <c r="I412" s="2" t="s">
        <v>316</v>
      </c>
      <c r="J412" s="8" t="n">
        <v>893203.51758794</v>
      </c>
      <c r="K412" s="6" t="n">
        <v>199</v>
      </c>
      <c r="L412" s="2"/>
      <c r="M412" s="10" t="b">
        <f aca="false">TRUE()</f>
        <v>1</v>
      </c>
      <c r="N412" s="9" t="n">
        <f aca="false">IF(H412="","",IF(H412&gt;=Assumptions!$B$5,1,IF(H412&gt;=Assumptions!$B$6,2,IF(H412&gt;=Assumptions!$B$7,3,""))))</f>
        <v>3</v>
      </c>
      <c r="O412" s="9" t="n">
        <f aca="false">IF(N412=1,Assumptions!$B$8,IF(N412=2,Assumptions!$B$9,IF(N412=3,Assumptions!$B$10,0)))</f>
        <v>1</v>
      </c>
      <c r="P412" s="6" t="s">
        <v>30</v>
      </c>
      <c r="Q412" s="6" t="s">
        <v>30</v>
      </c>
      <c r="R412" s="11" t="s">
        <v>30</v>
      </c>
      <c r="S412" s="6" t="s">
        <v>30</v>
      </c>
      <c r="T412" s="11" t="s">
        <v>30</v>
      </c>
      <c r="U412" s="6" t="s">
        <v>30</v>
      </c>
      <c r="V412" s="6" t="s">
        <v>30</v>
      </c>
      <c r="W412" s="6" t="s">
        <v>30</v>
      </c>
      <c r="X412" s="2" t="s">
        <v>30</v>
      </c>
      <c r="Y412" s="6" t="str">
        <f aca="false">IF(AND(X412="processed",ISNUMBER(S412)),S412*O412,"")</f>
        <v/>
      </c>
      <c r="Z412" s="6" t="n">
        <f aca="false">IF(ISNUMBER(K412),K412*O412,0)</f>
        <v>199</v>
      </c>
      <c r="AA412" s="2" t="s">
        <v>31</v>
      </c>
      <c r="AB412" s="6" t="n">
        <v>29672</v>
      </c>
      <c r="AC412" s="6" t="n">
        <v>18427</v>
      </c>
      <c r="AD412" s="6" t="n">
        <v>336</v>
      </c>
      <c r="AE412" s="6" t="n">
        <v>2109.65771484375</v>
      </c>
      <c r="AF412" s="8" t="n">
        <v>515.956380363</v>
      </c>
      <c r="AG412" s="11" t="n">
        <v>-0.01286382221</v>
      </c>
      <c r="AH412" s="12" t="n">
        <v>0.990881278939515</v>
      </c>
      <c r="AI412" s="2" t="s">
        <v>317</v>
      </c>
      <c r="AJ412" s="2" t="s">
        <v>993</v>
      </c>
      <c r="AK412" s="2" t="s">
        <v>993</v>
      </c>
    </row>
    <row r="413" customFormat="false" ht="15" hidden="false" customHeight="false" outlineLevel="0" collapsed="false">
      <c r="A413" s="9" t="n">
        <v>412</v>
      </c>
      <c r="B413" s="2" t="s">
        <v>1075</v>
      </c>
      <c r="C413" s="2" t="s">
        <v>70</v>
      </c>
      <c r="D413" s="2" t="s">
        <v>70</v>
      </c>
      <c r="E413" s="2" t="s">
        <v>71</v>
      </c>
      <c r="F413" s="2" t="s">
        <v>1076</v>
      </c>
      <c r="G413" s="2" t="s">
        <v>329</v>
      </c>
      <c r="H413" s="8" t="n">
        <v>619.739241341414</v>
      </c>
      <c r="I413" s="2" t="s">
        <v>316</v>
      </c>
      <c r="J413" s="8" t="n">
        <v>924818.181818182</v>
      </c>
      <c r="K413" s="6" t="n">
        <v>99</v>
      </c>
      <c r="L413" s="2"/>
      <c r="M413" s="10" t="b">
        <f aca="false">TRUE()</f>
        <v>1</v>
      </c>
      <c r="N413" s="9" t="n">
        <f aca="false">IF(H413="","",IF(H413&gt;=Assumptions!$B$5,1,IF(H413&gt;=Assumptions!$B$6,2,IF(H413&gt;=Assumptions!$B$7,3,""))))</f>
        <v>2</v>
      </c>
      <c r="O413" s="9" t="n">
        <f aca="false">IF(N413=1,Assumptions!$B$8,IF(N413=2,Assumptions!$B$9,IF(N413=3,Assumptions!$B$10,0)))</f>
        <v>2</v>
      </c>
      <c r="P413" s="6" t="s">
        <v>30</v>
      </c>
      <c r="Q413" s="6" t="s">
        <v>30</v>
      </c>
      <c r="R413" s="11" t="s">
        <v>30</v>
      </c>
      <c r="S413" s="6" t="s">
        <v>30</v>
      </c>
      <c r="T413" s="11" t="s">
        <v>30</v>
      </c>
      <c r="U413" s="6" t="s">
        <v>30</v>
      </c>
      <c r="V413" s="6" t="s">
        <v>30</v>
      </c>
      <c r="W413" s="6" t="s">
        <v>30</v>
      </c>
      <c r="X413" s="2" t="s">
        <v>30</v>
      </c>
      <c r="Y413" s="6" t="str">
        <f aca="false">IF(AND(X413="processed",ISNUMBER(S413)),S413*O413,"")</f>
        <v/>
      </c>
      <c r="Z413" s="6" t="n">
        <f aca="false">IF(ISNUMBER(K413),K413*O413,0)</f>
        <v>198</v>
      </c>
      <c r="AA413" s="2" t="s">
        <v>31</v>
      </c>
      <c r="AB413" s="6" t="n">
        <v>14157</v>
      </c>
      <c r="AC413" s="6" t="n">
        <v>9515</v>
      </c>
      <c r="AD413" s="6" t="n">
        <v>113</v>
      </c>
      <c r="AE413" s="6" t="n">
        <v>1740.73413085938</v>
      </c>
      <c r="AF413" s="8" t="n">
        <v>599.052120848</v>
      </c>
      <c r="AG413" s="11" t="n">
        <v>0.009321181679</v>
      </c>
      <c r="AH413" s="12" t="n">
        <v>0.999999999999999</v>
      </c>
      <c r="AI413" s="2" t="s">
        <v>317</v>
      </c>
      <c r="AJ413" s="2" t="s">
        <v>70</v>
      </c>
      <c r="AK413" s="2" t="s">
        <v>70</v>
      </c>
    </row>
    <row r="414" customFormat="false" ht="15" hidden="false" customHeight="false" outlineLevel="0" collapsed="false">
      <c r="A414" s="9" t="n">
        <v>413</v>
      </c>
      <c r="B414" s="2" t="s">
        <v>1077</v>
      </c>
      <c r="C414" s="2" t="s">
        <v>1078</v>
      </c>
      <c r="D414" s="2" t="s">
        <v>70</v>
      </c>
      <c r="E414" s="2" t="s">
        <v>71</v>
      </c>
      <c r="F414" s="2" t="s">
        <v>1079</v>
      </c>
      <c r="G414" s="2" t="s">
        <v>329</v>
      </c>
      <c r="H414" s="8" t="n">
        <v>523.089714611416</v>
      </c>
      <c r="I414" s="2" t="s">
        <v>316</v>
      </c>
      <c r="J414" s="8" t="n">
        <v>861167.512690355</v>
      </c>
      <c r="K414" s="6" t="n">
        <v>197</v>
      </c>
      <c r="L414" s="2"/>
      <c r="M414" s="10" t="b">
        <f aca="false">TRUE()</f>
        <v>1</v>
      </c>
      <c r="N414" s="9" t="n">
        <f aca="false">IF(H414="","",IF(H414&gt;=Assumptions!$B$5,1,IF(H414&gt;=Assumptions!$B$6,2,IF(H414&gt;=Assumptions!$B$7,3,""))))</f>
        <v>3</v>
      </c>
      <c r="O414" s="9" t="n">
        <f aca="false">IF(N414=1,Assumptions!$B$8,IF(N414=2,Assumptions!$B$9,IF(N414=3,Assumptions!$B$10,0)))</f>
        <v>1</v>
      </c>
      <c r="P414" s="6" t="s">
        <v>30</v>
      </c>
      <c r="Q414" s="6" t="s">
        <v>30</v>
      </c>
      <c r="R414" s="11" t="s">
        <v>30</v>
      </c>
      <c r="S414" s="6" t="s">
        <v>30</v>
      </c>
      <c r="T414" s="11" t="s">
        <v>30</v>
      </c>
      <c r="U414" s="6" t="s">
        <v>30</v>
      </c>
      <c r="V414" s="6" t="s">
        <v>30</v>
      </c>
      <c r="W414" s="6" t="s">
        <v>30</v>
      </c>
      <c r="X414" s="2" t="s">
        <v>30</v>
      </c>
      <c r="Y414" s="6" t="str">
        <f aca="false">IF(AND(X414="processed",ISNUMBER(S414)),S414*O414,"")</f>
        <v/>
      </c>
      <c r="Z414" s="6" t="n">
        <f aca="false">IF(ISNUMBER(K414),K414*O414,0)</f>
        <v>197</v>
      </c>
      <c r="AA414" s="2" t="s">
        <v>31</v>
      </c>
      <c r="AB414" s="6" t="n">
        <v>13857</v>
      </c>
      <c r="AC414" s="6" t="n">
        <v>10138</v>
      </c>
      <c r="AD414" s="6" t="n">
        <v>202</v>
      </c>
      <c r="AE414" s="6" t="n">
        <v>2311.4833984375</v>
      </c>
      <c r="AF414" s="8" t="n">
        <v>491.750931346</v>
      </c>
      <c r="AG414" s="11" t="n">
        <v>-0.07764382447</v>
      </c>
      <c r="AH414" s="12" t="n">
        <v>1</v>
      </c>
      <c r="AI414" s="2" t="s">
        <v>317</v>
      </c>
      <c r="AJ414" s="2" t="s">
        <v>1078</v>
      </c>
      <c r="AK414" s="2" t="s">
        <v>70</v>
      </c>
    </row>
    <row r="415" customFormat="false" ht="15" hidden="false" customHeight="false" outlineLevel="0" collapsed="false">
      <c r="A415" s="9" t="n">
        <v>414</v>
      </c>
      <c r="B415" s="2" t="s">
        <v>1080</v>
      </c>
      <c r="C415" s="2" t="s">
        <v>798</v>
      </c>
      <c r="D415" s="2" t="s">
        <v>70</v>
      </c>
      <c r="E415" s="2" t="s">
        <v>71</v>
      </c>
      <c r="F415" s="2" t="s">
        <v>1081</v>
      </c>
      <c r="G415" s="2" t="s">
        <v>329</v>
      </c>
      <c r="H415" s="8" t="n">
        <v>621.435240763225</v>
      </c>
      <c r="I415" s="2" t="s">
        <v>316</v>
      </c>
      <c r="J415" s="8" t="n">
        <v>921234.693877551</v>
      </c>
      <c r="K415" s="6" t="n">
        <v>98</v>
      </c>
      <c r="L415" s="2"/>
      <c r="M415" s="10" t="b">
        <f aca="false">TRUE()</f>
        <v>1</v>
      </c>
      <c r="N415" s="9" t="n">
        <f aca="false">IF(H415="","",IF(H415&gt;=Assumptions!$B$5,1,IF(H415&gt;=Assumptions!$B$6,2,IF(H415&gt;=Assumptions!$B$7,3,""))))</f>
        <v>2</v>
      </c>
      <c r="O415" s="9" t="n">
        <f aca="false">IF(N415=1,Assumptions!$B$8,IF(N415=2,Assumptions!$B$9,IF(N415=3,Assumptions!$B$10,0)))</f>
        <v>2</v>
      </c>
      <c r="P415" s="6" t="s">
        <v>30</v>
      </c>
      <c r="Q415" s="6" t="s">
        <v>30</v>
      </c>
      <c r="R415" s="11" t="s">
        <v>30</v>
      </c>
      <c r="S415" s="6" t="s">
        <v>30</v>
      </c>
      <c r="T415" s="11" t="s">
        <v>30</v>
      </c>
      <c r="U415" s="6" t="s">
        <v>30</v>
      </c>
      <c r="V415" s="6" t="s">
        <v>30</v>
      </c>
      <c r="W415" s="6" t="s">
        <v>30</v>
      </c>
      <c r="X415" s="2" t="s">
        <v>30</v>
      </c>
      <c r="Y415" s="6" t="str">
        <f aca="false">IF(AND(X415="processed",ISNUMBER(S415)),S415*O415,"")</f>
        <v/>
      </c>
      <c r="Z415" s="6" t="n">
        <f aca="false">IF(ISNUMBER(K415),K415*O415,0)</f>
        <v>196</v>
      </c>
      <c r="AA415" s="2" t="s">
        <v>31</v>
      </c>
      <c r="AB415" s="6" t="n">
        <v>12861</v>
      </c>
      <c r="AC415" s="6" t="n">
        <v>8281</v>
      </c>
      <c r="AD415" s="6" t="n">
        <v>135</v>
      </c>
      <c r="AE415" s="6" t="n">
        <v>1833.14685058594</v>
      </c>
      <c r="AF415" s="8" t="n">
        <v>638.016528926</v>
      </c>
      <c r="AG415" s="11" t="n">
        <v>0.1129230352</v>
      </c>
      <c r="AH415" s="12" t="n">
        <v>1</v>
      </c>
      <c r="AI415" s="2" t="s">
        <v>317</v>
      </c>
      <c r="AJ415" s="2" t="s">
        <v>798</v>
      </c>
      <c r="AK415" s="2" t="s">
        <v>70</v>
      </c>
    </row>
    <row r="416" customFormat="false" ht="15" hidden="false" customHeight="false" outlineLevel="0" collapsed="false">
      <c r="A416" s="9" t="n">
        <v>415</v>
      </c>
      <c r="B416" s="2" t="s">
        <v>1082</v>
      </c>
      <c r="C416" s="2" t="s">
        <v>1083</v>
      </c>
      <c r="D416" s="2" t="s">
        <v>105</v>
      </c>
      <c r="E416" s="2" t="s">
        <v>51</v>
      </c>
      <c r="F416" s="2" t="s">
        <v>1084</v>
      </c>
      <c r="G416" s="2" t="s">
        <v>318</v>
      </c>
      <c r="H416" s="8" t="n">
        <v>514.138479677857</v>
      </c>
      <c r="I416" s="2" t="s">
        <v>316</v>
      </c>
      <c r="J416" s="8" t="n">
        <v>611336.734693878</v>
      </c>
      <c r="K416" s="6" t="n">
        <v>196</v>
      </c>
      <c r="L416" s="2"/>
      <c r="M416" s="10" t="b">
        <f aca="false">TRUE()</f>
        <v>1</v>
      </c>
      <c r="N416" s="9" t="n">
        <f aca="false">IF(H416="","",IF(H416&gt;=Assumptions!$B$5,1,IF(H416&gt;=Assumptions!$B$6,2,IF(H416&gt;=Assumptions!$B$7,3,""))))</f>
        <v>3</v>
      </c>
      <c r="O416" s="9" t="n">
        <f aca="false">IF(N416=1,Assumptions!$B$8,IF(N416=2,Assumptions!$B$9,IF(N416=3,Assumptions!$B$10,0)))</f>
        <v>1</v>
      </c>
      <c r="P416" s="6" t="s">
        <v>30</v>
      </c>
      <c r="Q416" s="6" t="s">
        <v>30</v>
      </c>
      <c r="R416" s="11" t="s">
        <v>30</v>
      </c>
      <c r="S416" s="6" t="s">
        <v>30</v>
      </c>
      <c r="T416" s="11" t="s">
        <v>30</v>
      </c>
      <c r="U416" s="6" t="s">
        <v>30</v>
      </c>
      <c r="V416" s="6" t="s">
        <v>30</v>
      </c>
      <c r="W416" s="6" t="s">
        <v>30</v>
      </c>
      <c r="X416" s="2" t="s">
        <v>30</v>
      </c>
      <c r="Y416" s="6" t="str">
        <f aca="false">IF(AND(X416="processed",ISNUMBER(S416)),S416*O416,"")</f>
        <v/>
      </c>
      <c r="Z416" s="6" t="n">
        <f aca="false">IF(ISNUMBER(K416),K416*O416,0)</f>
        <v>196</v>
      </c>
      <c r="AA416" s="2" t="s">
        <v>31</v>
      </c>
      <c r="AB416" s="6" t="n">
        <v>18861</v>
      </c>
      <c r="AC416" s="6" t="n">
        <v>12266</v>
      </c>
      <c r="AD416" s="6" t="n">
        <v>218</v>
      </c>
      <c r="AE416" s="6" t="n">
        <v>1503.36694335938</v>
      </c>
      <c r="AF416" s="8" t="n">
        <v>504.786771105</v>
      </c>
      <c r="AG416" s="11" t="n">
        <v>-0.06109660574</v>
      </c>
      <c r="AH416" s="12" t="n">
        <v>1</v>
      </c>
      <c r="AI416" s="2" t="s">
        <v>317</v>
      </c>
      <c r="AJ416" s="2" t="s">
        <v>1083</v>
      </c>
      <c r="AK416" s="2" t="s">
        <v>1083</v>
      </c>
    </row>
    <row r="417" customFormat="false" ht="15" hidden="false" customHeight="false" outlineLevel="0" collapsed="false">
      <c r="A417" s="9" t="n">
        <v>416</v>
      </c>
      <c r="B417" s="2" t="s">
        <v>1085</v>
      </c>
      <c r="C417" s="2" t="s">
        <v>1086</v>
      </c>
      <c r="D417" s="2" t="s">
        <v>44</v>
      </c>
      <c r="E417" s="2" t="s">
        <v>44</v>
      </c>
      <c r="F417" s="2" t="s">
        <v>1087</v>
      </c>
      <c r="G417" s="2" t="s">
        <v>322</v>
      </c>
      <c r="H417" s="8" t="n">
        <v>1345.90052520751</v>
      </c>
      <c r="I417" s="2" t="s">
        <v>316</v>
      </c>
      <c r="J417" s="8" t="n">
        <v>2951346.15384615</v>
      </c>
      <c r="K417" s="6" t="n">
        <v>65</v>
      </c>
      <c r="L417" s="2"/>
      <c r="M417" s="10" t="b">
        <f aca="false">TRUE()</f>
        <v>1</v>
      </c>
      <c r="N417" s="9" t="n">
        <f aca="false">IF(H417="","",IF(H417&gt;=Assumptions!$B$5,1,IF(H417&gt;=Assumptions!$B$6,2,IF(H417&gt;=Assumptions!$B$7,3,""))))</f>
        <v>1</v>
      </c>
      <c r="O417" s="9" t="n">
        <f aca="false">IF(N417=1,Assumptions!$B$8,IF(N417=2,Assumptions!$B$9,IF(N417=3,Assumptions!$B$10,0)))</f>
        <v>3</v>
      </c>
      <c r="P417" s="6" t="s">
        <v>30</v>
      </c>
      <c r="Q417" s="6" t="s">
        <v>30</v>
      </c>
      <c r="R417" s="11" t="s">
        <v>30</v>
      </c>
      <c r="S417" s="6" t="s">
        <v>30</v>
      </c>
      <c r="T417" s="11" t="s">
        <v>30</v>
      </c>
      <c r="U417" s="6" t="s">
        <v>30</v>
      </c>
      <c r="V417" s="6" t="s">
        <v>30</v>
      </c>
      <c r="W417" s="6" t="s">
        <v>30</v>
      </c>
      <c r="X417" s="2" t="s">
        <v>30</v>
      </c>
      <c r="Y417" s="6" t="str">
        <f aca="false">IF(AND(X417="processed",ISNUMBER(S417)),S417*O417,"")</f>
        <v/>
      </c>
      <c r="Z417" s="6" t="n">
        <f aca="false">IF(ISNUMBER(K417),K417*O417,0)</f>
        <v>195</v>
      </c>
      <c r="AA417" s="2" t="s">
        <v>31</v>
      </c>
      <c r="AB417" s="6" t="n">
        <v>4372</v>
      </c>
      <c r="AC417" s="6" t="n">
        <v>3549</v>
      </c>
      <c r="AD417" s="6" t="n">
        <v>119</v>
      </c>
      <c r="AE417" s="6" t="n">
        <v>2764.10107421875</v>
      </c>
      <c r="AF417" s="8" t="n">
        <v>1560.818083961</v>
      </c>
      <c r="AG417" s="11" t="n">
        <v>0.277604582</v>
      </c>
      <c r="AH417" s="12" t="n">
        <v>0.985459868474294</v>
      </c>
      <c r="AI417" s="2" t="s">
        <v>317</v>
      </c>
      <c r="AJ417" s="2" t="s">
        <v>1086</v>
      </c>
      <c r="AK417" s="2" t="s">
        <v>1086</v>
      </c>
    </row>
    <row r="418" customFormat="false" ht="15" hidden="false" customHeight="false" outlineLevel="0" collapsed="false">
      <c r="A418" s="9" t="n">
        <v>417</v>
      </c>
      <c r="B418" s="2" t="s">
        <v>1088</v>
      </c>
      <c r="C418" s="2" t="s">
        <v>827</v>
      </c>
      <c r="D418" s="2" t="s">
        <v>95</v>
      </c>
      <c r="E418" s="2" t="s">
        <v>95</v>
      </c>
      <c r="F418" s="2"/>
      <c r="G418" s="2" t="s">
        <v>330</v>
      </c>
      <c r="H418" s="8" t="n">
        <v>668.517128025052</v>
      </c>
      <c r="I418" s="2" t="s">
        <v>316</v>
      </c>
      <c r="J418" s="8" t="n">
        <v>1529000</v>
      </c>
      <c r="K418" s="6" t="n">
        <v>97</v>
      </c>
      <c r="L418" s="2"/>
      <c r="M418" s="10" t="b">
        <f aca="false">TRUE()</f>
        <v>1</v>
      </c>
      <c r="N418" s="9" t="n">
        <f aca="false">IF(H418="","",IF(H418&gt;=Assumptions!$B$5,1,IF(H418&gt;=Assumptions!$B$6,2,IF(H418&gt;=Assumptions!$B$7,3,""))))</f>
        <v>2</v>
      </c>
      <c r="O418" s="9" t="n">
        <f aca="false">IF(N418=1,Assumptions!$B$8,IF(N418=2,Assumptions!$B$9,IF(N418=3,Assumptions!$B$10,0)))</f>
        <v>2</v>
      </c>
      <c r="P418" s="6" t="s">
        <v>30</v>
      </c>
      <c r="Q418" s="6" t="s">
        <v>30</v>
      </c>
      <c r="R418" s="11" t="s">
        <v>30</v>
      </c>
      <c r="S418" s="6" t="s">
        <v>30</v>
      </c>
      <c r="T418" s="11" t="s">
        <v>30</v>
      </c>
      <c r="U418" s="6" t="s">
        <v>30</v>
      </c>
      <c r="V418" s="6" t="s">
        <v>30</v>
      </c>
      <c r="W418" s="6" t="s">
        <v>30</v>
      </c>
      <c r="X418" s="2" t="s">
        <v>30</v>
      </c>
      <c r="Y418" s="6" t="str">
        <f aca="false">IF(AND(X418="processed",ISNUMBER(S418)),S418*O418,"")</f>
        <v/>
      </c>
      <c r="Z418" s="6" t="n">
        <f aca="false">IF(ISNUMBER(K418),K418*O418,0)</f>
        <v>194</v>
      </c>
      <c r="AA418" s="2" t="s">
        <v>31</v>
      </c>
      <c r="AB418" s="6" t="n">
        <v>5956</v>
      </c>
      <c r="AC418" s="6" t="n">
        <v>4969</v>
      </c>
      <c r="AD418" s="6" t="n">
        <v>144</v>
      </c>
      <c r="AE418" s="6" t="n">
        <v>2422.66870117188</v>
      </c>
      <c r="AF418" s="8" t="n">
        <v>712.320536265</v>
      </c>
      <c r="AG418" s="11" t="n">
        <v>0.03731678094</v>
      </c>
      <c r="AH418" s="12" t="n">
        <v>0.93451460254526</v>
      </c>
      <c r="AI418" s="2" t="s">
        <v>317</v>
      </c>
      <c r="AJ418" s="2" t="s">
        <v>827</v>
      </c>
      <c r="AK418" s="2" t="s">
        <v>827</v>
      </c>
    </row>
    <row r="419" customFormat="false" ht="15" hidden="false" customHeight="false" outlineLevel="0" collapsed="false">
      <c r="A419" s="9" t="n">
        <v>418</v>
      </c>
      <c r="B419" s="2" t="s">
        <v>1089</v>
      </c>
      <c r="C419" s="2" t="s">
        <v>403</v>
      </c>
      <c r="D419" s="2" t="s">
        <v>70</v>
      </c>
      <c r="E419" s="2" t="s">
        <v>71</v>
      </c>
      <c r="F419" s="2" t="s">
        <v>1090</v>
      </c>
      <c r="G419" s="2" t="s">
        <v>329</v>
      </c>
      <c r="H419" s="8" t="n">
        <v>839.454209702516</v>
      </c>
      <c r="I419" s="2" t="s">
        <v>316</v>
      </c>
      <c r="J419" s="8" t="n">
        <v>1646640.625</v>
      </c>
      <c r="K419" s="6" t="n">
        <v>64</v>
      </c>
      <c r="L419" s="2"/>
      <c r="M419" s="10" t="b">
        <f aca="false">TRUE()</f>
        <v>1</v>
      </c>
      <c r="N419" s="9" t="n">
        <f aca="false">IF(H419="","",IF(H419&gt;=Assumptions!$B$5,1,IF(H419&gt;=Assumptions!$B$6,2,IF(H419&gt;=Assumptions!$B$7,3,""))))</f>
        <v>1</v>
      </c>
      <c r="O419" s="9" t="n">
        <f aca="false">IF(N419=1,Assumptions!$B$8,IF(N419=2,Assumptions!$B$9,IF(N419=3,Assumptions!$B$10,0)))</f>
        <v>3</v>
      </c>
      <c r="P419" s="6" t="s">
        <v>30</v>
      </c>
      <c r="Q419" s="6" t="s">
        <v>30</v>
      </c>
      <c r="R419" s="11" t="s">
        <v>30</v>
      </c>
      <c r="S419" s="6" t="s">
        <v>30</v>
      </c>
      <c r="T419" s="11" t="s">
        <v>30</v>
      </c>
      <c r="U419" s="6" t="s">
        <v>30</v>
      </c>
      <c r="V419" s="6" t="s">
        <v>30</v>
      </c>
      <c r="W419" s="6" t="s">
        <v>30</v>
      </c>
      <c r="X419" s="2" t="s">
        <v>30</v>
      </c>
      <c r="Y419" s="6" t="str">
        <f aca="false">IF(AND(X419="processed",ISNUMBER(S419)),S419*O419,"")</f>
        <v/>
      </c>
      <c r="Z419" s="6" t="n">
        <f aca="false">IF(ISNUMBER(K419),K419*O419,0)</f>
        <v>192</v>
      </c>
      <c r="AA419" s="2" t="s">
        <v>31</v>
      </c>
      <c r="AB419" s="6" t="n">
        <v>7646</v>
      </c>
      <c r="AC419" s="6" t="n">
        <v>4970</v>
      </c>
      <c r="AD419" s="6" t="n">
        <v>60</v>
      </c>
      <c r="AE419" s="6" t="n">
        <v>1975.71044921875</v>
      </c>
      <c r="AF419" s="8" t="n">
        <v>783.857007344</v>
      </c>
      <c r="AG419" s="11" t="n">
        <v>-0.07398642722</v>
      </c>
      <c r="AH419" s="12" t="n">
        <v>1</v>
      </c>
      <c r="AI419" s="2" t="s">
        <v>317</v>
      </c>
      <c r="AJ419" s="2" t="s">
        <v>403</v>
      </c>
      <c r="AK419" s="2" t="s">
        <v>403</v>
      </c>
    </row>
    <row r="420" customFormat="false" ht="15" hidden="false" customHeight="false" outlineLevel="0" collapsed="false">
      <c r="A420" s="9" t="n">
        <v>419</v>
      </c>
      <c r="B420" s="2" t="s">
        <v>1091</v>
      </c>
      <c r="C420" s="2" t="s">
        <v>1092</v>
      </c>
      <c r="D420" s="2" t="s">
        <v>595</v>
      </c>
      <c r="E420" s="2" t="s">
        <v>51</v>
      </c>
      <c r="F420" s="2"/>
      <c r="G420" s="2" t="s">
        <v>597</v>
      </c>
      <c r="H420" s="8" t="n">
        <v>520.742494721104</v>
      </c>
      <c r="I420" s="2" t="s">
        <v>316</v>
      </c>
      <c r="J420" s="8" t="n">
        <v>1064447.91666667</v>
      </c>
      <c r="K420" s="6" t="n">
        <v>192</v>
      </c>
      <c r="L420" s="2"/>
      <c r="M420" s="10" t="b">
        <f aca="false">TRUE()</f>
        <v>1</v>
      </c>
      <c r="N420" s="9" t="n">
        <f aca="false">IF(H420="","",IF(H420&gt;=Assumptions!$B$5,1,IF(H420&gt;=Assumptions!$B$6,2,IF(H420&gt;=Assumptions!$B$7,3,""))))</f>
        <v>3</v>
      </c>
      <c r="O420" s="9" t="n">
        <f aca="false">IF(N420=1,Assumptions!$B$8,IF(N420=2,Assumptions!$B$9,IF(N420=3,Assumptions!$B$10,0)))</f>
        <v>1</v>
      </c>
      <c r="P420" s="6" t="s">
        <v>30</v>
      </c>
      <c r="Q420" s="6" t="s">
        <v>30</v>
      </c>
      <c r="R420" s="11" t="s">
        <v>30</v>
      </c>
      <c r="S420" s="6" t="s">
        <v>30</v>
      </c>
      <c r="T420" s="11" t="s">
        <v>30</v>
      </c>
      <c r="U420" s="6" t="s">
        <v>30</v>
      </c>
      <c r="V420" s="6" t="s">
        <v>30</v>
      </c>
      <c r="W420" s="6" t="s">
        <v>30</v>
      </c>
      <c r="X420" s="2" t="s">
        <v>30</v>
      </c>
      <c r="Y420" s="6" t="str">
        <f aca="false">IF(AND(X420="processed",ISNUMBER(S420)),S420*O420,"")</f>
        <v/>
      </c>
      <c r="Z420" s="6" t="n">
        <f aca="false">IF(ISNUMBER(K420),K420*O420,0)</f>
        <v>192</v>
      </c>
      <c r="AA420" s="2" t="s">
        <v>31</v>
      </c>
      <c r="AB420" s="6" t="n">
        <v>12586</v>
      </c>
      <c r="AC420" s="6" t="n">
        <v>10397</v>
      </c>
      <c r="AD420" s="6" t="n">
        <v>593</v>
      </c>
      <c r="AE420" s="6" t="n">
        <v>2416.82250976563</v>
      </c>
      <c r="AF420" s="8" t="n">
        <v>534.59147482</v>
      </c>
      <c r="AG420" s="11" t="n">
        <v>0.03678346632</v>
      </c>
      <c r="AH420" s="12" t="n">
        <v>0.99998135549474</v>
      </c>
      <c r="AI420" s="2" t="s">
        <v>317</v>
      </c>
      <c r="AJ420" s="2" t="s">
        <v>1092</v>
      </c>
      <c r="AK420" s="2" t="s">
        <v>1092</v>
      </c>
    </row>
    <row r="421" customFormat="false" ht="15" hidden="false" customHeight="false" outlineLevel="0" collapsed="false">
      <c r="A421" s="9" t="n">
        <v>420</v>
      </c>
      <c r="B421" s="2" t="s">
        <v>1093</v>
      </c>
      <c r="C421" s="2" t="s">
        <v>1094</v>
      </c>
      <c r="D421" s="2" t="s">
        <v>70</v>
      </c>
      <c r="E421" s="2" t="s">
        <v>71</v>
      </c>
      <c r="F421" s="2" t="s">
        <v>1095</v>
      </c>
      <c r="G421" s="2" t="s">
        <v>329</v>
      </c>
      <c r="H421" s="8" t="n">
        <v>536.530772399215</v>
      </c>
      <c r="I421" s="2" t="s">
        <v>316</v>
      </c>
      <c r="J421" s="8" t="n">
        <v>909539.267015707</v>
      </c>
      <c r="K421" s="6" t="n">
        <v>191</v>
      </c>
      <c r="L421" s="2"/>
      <c r="M421" s="10" t="b">
        <f aca="false">TRUE()</f>
        <v>1</v>
      </c>
      <c r="N421" s="9" t="n">
        <f aca="false">IF(H421="","",IF(H421&gt;=Assumptions!$B$5,1,IF(H421&gt;=Assumptions!$B$6,2,IF(H421&gt;=Assumptions!$B$7,3,""))))</f>
        <v>3</v>
      </c>
      <c r="O421" s="9" t="n">
        <f aca="false">IF(N421=1,Assumptions!$B$8,IF(N421=2,Assumptions!$B$9,IF(N421=3,Assumptions!$B$10,0)))</f>
        <v>1</v>
      </c>
      <c r="P421" s="6" t="s">
        <v>30</v>
      </c>
      <c r="Q421" s="6" t="s">
        <v>30</v>
      </c>
      <c r="R421" s="11" t="s">
        <v>30</v>
      </c>
      <c r="S421" s="6" t="s">
        <v>30</v>
      </c>
      <c r="T421" s="11" t="s">
        <v>30</v>
      </c>
      <c r="U421" s="6" t="s">
        <v>30</v>
      </c>
      <c r="V421" s="6" t="s">
        <v>30</v>
      </c>
      <c r="W421" s="6" t="s">
        <v>30</v>
      </c>
      <c r="X421" s="2" t="s">
        <v>30</v>
      </c>
      <c r="Y421" s="6" t="str">
        <f aca="false">IF(AND(X421="processed",ISNUMBER(S421)),S421*O421,"")</f>
        <v/>
      </c>
      <c r="Z421" s="6" t="n">
        <f aca="false">IF(ISNUMBER(K421),K421*O421,0)</f>
        <v>191</v>
      </c>
      <c r="AA421" s="2" t="s">
        <v>31</v>
      </c>
      <c r="AB421" s="6" t="n">
        <v>16424</v>
      </c>
      <c r="AC421" s="6" t="n">
        <v>11682</v>
      </c>
      <c r="AD421" s="6" t="n">
        <v>354</v>
      </c>
      <c r="AE421" s="6" t="n">
        <v>2443.859375</v>
      </c>
      <c r="AF421" s="8" t="n">
        <v>534.330011074</v>
      </c>
      <c r="AG421" s="11" t="n">
        <v>-0.07119161157</v>
      </c>
      <c r="AH421" s="12" t="n">
        <v>1</v>
      </c>
      <c r="AI421" s="2" t="s">
        <v>317</v>
      </c>
      <c r="AJ421" s="2" t="s">
        <v>1094</v>
      </c>
      <c r="AK421" s="2" t="s">
        <v>70</v>
      </c>
    </row>
    <row r="422" customFormat="false" ht="15" hidden="false" customHeight="false" outlineLevel="0" collapsed="false">
      <c r="A422" s="9" t="n">
        <v>421</v>
      </c>
      <c r="B422" s="2" t="s">
        <v>1096</v>
      </c>
      <c r="C422" s="2" t="s">
        <v>56</v>
      </c>
      <c r="D422" s="2" t="s">
        <v>56</v>
      </c>
      <c r="E422" s="2" t="s">
        <v>56</v>
      </c>
      <c r="F422" s="2" t="s">
        <v>1097</v>
      </c>
      <c r="G422" s="2" t="s">
        <v>324</v>
      </c>
      <c r="H422" s="8" t="n">
        <v>665.779506971537</v>
      </c>
      <c r="I422" s="2" t="s">
        <v>316</v>
      </c>
      <c r="J422" s="8" t="n">
        <v>937631.578947368</v>
      </c>
      <c r="K422" s="6" t="n">
        <v>95</v>
      </c>
      <c r="L422" s="2"/>
      <c r="M422" s="10" t="b">
        <f aca="false">TRUE()</f>
        <v>1</v>
      </c>
      <c r="N422" s="9" t="n">
        <f aca="false">IF(H422="","",IF(H422&gt;=Assumptions!$B$5,1,IF(H422&gt;=Assumptions!$B$6,2,IF(H422&gt;=Assumptions!$B$7,3,""))))</f>
        <v>2</v>
      </c>
      <c r="O422" s="9" t="n">
        <f aca="false">IF(N422=1,Assumptions!$B$8,IF(N422=2,Assumptions!$B$9,IF(N422=3,Assumptions!$B$10,0)))</f>
        <v>2</v>
      </c>
      <c r="P422" s="6" t="s">
        <v>30</v>
      </c>
      <c r="Q422" s="6" t="s">
        <v>30</v>
      </c>
      <c r="R422" s="11" t="s">
        <v>30</v>
      </c>
      <c r="S422" s="6" t="s">
        <v>30</v>
      </c>
      <c r="T422" s="11" t="s">
        <v>30</v>
      </c>
      <c r="U422" s="6" t="s">
        <v>30</v>
      </c>
      <c r="V422" s="6" t="s">
        <v>30</v>
      </c>
      <c r="W422" s="6" t="s">
        <v>30</v>
      </c>
      <c r="X422" s="2" t="s">
        <v>30</v>
      </c>
      <c r="Y422" s="6" t="str">
        <f aca="false">IF(AND(X422="processed",ISNUMBER(S422)),S422*O422,"")</f>
        <v/>
      </c>
      <c r="Z422" s="6" t="n">
        <f aca="false">IF(ISNUMBER(K422),K422*O422,0)</f>
        <v>190</v>
      </c>
      <c r="AA422" s="2" t="s">
        <v>31</v>
      </c>
      <c r="AB422" s="6" t="n">
        <v>9292</v>
      </c>
      <c r="AC422" s="6" t="n">
        <v>7622</v>
      </c>
      <c r="AD422" s="6" t="n">
        <v>149</v>
      </c>
      <c r="AE422" s="6" t="n">
        <v>1262.20654296875</v>
      </c>
      <c r="AF422" s="8" t="n">
        <v>764.388594944</v>
      </c>
      <c r="AG422" s="11" t="n">
        <v>0.1670014919</v>
      </c>
      <c r="AH422" s="12" t="n">
        <v>0.799072102650207</v>
      </c>
      <c r="AI422" s="2" t="s">
        <v>317</v>
      </c>
      <c r="AJ422" s="2" t="s">
        <v>56</v>
      </c>
      <c r="AK422" s="2" t="s">
        <v>1098</v>
      </c>
    </row>
    <row r="423" customFormat="false" ht="15" hidden="false" customHeight="false" outlineLevel="0" collapsed="false">
      <c r="A423" s="9" t="n">
        <v>422</v>
      </c>
      <c r="B423" s="2" t="s">
        <v>1099</v>
      </c>
      <c r="C423" s="2" t="s">
        <v>1100</v>
      </c>
      <c r="D423" s="2" t="s">
        <v>70</v>
      </c>
      <c r="E423" s="2" t="s">
        <v>71</v>
      </c>
      <c r="F423" s="2" t="s">
        <v>1101</v>
      </c>
      <c r="G423" s="2" t="s">
        <v>329</v>
      </c>
      <c r="H423" s="8" t="n">
        <v>506.02635903481</v>
      </c>
      <c r="I423" s="2" t="s">
        <v>316</v>
      </c>
      <c r="J423" s="8" t="n">
        <v>894761.904761905</v>
      </c>
      <c r="K423" s="6" t="n">
        <v>189</v>
      </c>
      <c r="L423" s="2"/>
      <c r="M423" s="10" t="b">
        <f aca="false">TRUE()</f>
        <v>1</v>
      </c>
      <c r="N423" s="9" t="n">
        <f aca="false">IF(H423="","",IF(H423&gt;=Assumptions!$B$5,1,IF(H423&gt;=Assumptions!$B$6,2,IF(H423&gt;=Assumptions!$B$7,3,""))))</f>
        <v>3</v>
      </c>
      <c r="O423" s="9" t="n">
        <f aca="false">IF(N423=1,Assumptions!$B$8,IF(N423=2,Assumptions!$B$9,IF(N423=3,Assumptions!$B$10,0)))</f>
        <v>1</v>
      </c>
      <c r="P423" s="6" t="s">
        <v>30</v>
      </c>
      <c r="Q423" s="6" t="s">
        <v>30</v>
      </c>
      <c r="R423" s="11" t="s">
        <v>30</v>
      </c>
      <c r="S423" s="6" t="s">
        <v>30</v>
      </c>
      <c r="T423" s="11" t="s">
        <v>30</v>
      </c>
      <c r="U423" s="6" t="s">
        <v>30</v>
      </c>
      <c r="V423" s="6" t="s">
        <v>30</v>
      </c>
      <c r="W423" s="6" t="s">
        <v>30</v>
      </c>
      <c r="X423" s="2" t="s">
        <v>30</v>
      </c>
      <c r="Y423" s="6" t="str">
        <f aca="false">IF(AND(X423="processed",ISNUMBER(S423)),S423*O423,"")</f>
        <v/>
      </c>
      <c r="Z423" s="6" t="n">
        <f aca="false">IF(ISNUMBER(K423),K423*O423,0)</f>
        <v>189</v>
      </c>
      <c r="AA423" s="2" t="s">
        <v>31</v>
      </c>
      <c r="AB423" s="6" t="n">
        <v>9327</v>
      </c>
      <c r="AC423" s="6" t="n">
        <v>7875</v>
      </c>
      <c r="AD423" s="6" t="n">
        <v>343</v>
      </c>
      <c r="AE423" s="6" t="n">
        <v>2444.04296875</v>
      </c>
      <c r="AF423" s="8" t="n">
        <v>522.448979592</v>
      </c>
      <c r="AG423" s="11" t="n">
        <v>0.02111752287</v>
      </c>
      <c r="AH423" s="12" t="n">
        <v>1</v>
      </c>
      <c r="AI423" s="2" t="s">
        <v>317</v>
      </c>
      <c r="AJ423" s="2" t="s">
        <v>1100</v>
      </c>
      <c r="AK423" s="2" t="s">
        <v>1102</v>
      </c>
    </row>
    <row r="424" customFormat="false" ht="15" hidden="false" customHeight="false" outlineLevel="0" collapsed="false">
      <c r="A424" s="9" t="n">
        <v>423</v>
      </c>
      <c r="B424" s="2" t="s">
        <v>1103</v>
      </c>
      <c r="C424" s="2" t="s">
        <v>1104</v>
      </c>
      <c r="D424" s="2" t="s">
        <v>197</v>
      </c>
      <c r="E424" s="2" t="s">
        <v>51</v>
      </c>
      <c r="F424" s="2" t="s">
        <v>1105</v>
      </c>
      <c r="G424" s="2" t="s">
        <v>338</v>
      </c>
      <c r="H424" s="8" t="n">
        <v>697.828984080277</v>
      </c>
      <c r="I424" s="2" t="s">
        <v>316</v>
      </c>
      <c r="J424" s="8" t="n">
        <v>1401382.9787234</v>
      </c>
      <c r="K424" s="6" t="n">
        <v>94</v>
      </c>
      <c r="L424" s="2"/>
      <c r="M424" s="10" t="b">
        <f aca="false">TRUE()</f>
        <v>1</v>
      </c>
      <c r="N424" s="9" t="n">
        <f aca="false">IF(H424="","",IF(H424&gt;=Assumptions!$B$5,1,IF(H424&gt;=Assumptions!$B$6,2,IF(H424&gt;=Assumptions!$B$7,3,""))))</f>
        <v>2</v>
      </c>
      <c r="O424" s="9" t="n">
        <f aca="false">IF(N424=1,Assumptions!$B$8,IF(N424=2,Assumptions!$B$9,IF(N424=3,Assumptions!$B$10,0)))</f>
        <v>2</v>
      </c>
      <c r="P424" s="6" t="s">
        <v>30</v>
      </c>
      <c r="Q424" s="6" t="s">
        <v>30</v>
      </c>
      <c r="R424" s="11" t="s">
        <v>30</v>
      </c>
      <c r="S424" s="6" t="s">
        <v>30</v>
      </c>
      <c r="T424" s="11" t="s">
        <v>30</v>
      </c>
      <c r="U424" s="6" t="s">
        <v>30</v>
      </c>
      <c r="V424" s="6" t="s">
        <v>30</v>
      </c>
      <c r="W424" s="6" t="s">
        <v>30</v>
      </c>
      <c r="X424" s="2" t="s">
        <v>30</v>
      </c>
      <c r="Y424" s="6" t="str">
        <f aca="false">IF(AND(X424="processed",ISNUMBER(S424)),S424*O424,"")</f>
        <v/>
      </c>
      <c r="Z424" s="6" t="n">
        <f aca="false">IF(ISNUMBER(K424),K424*O424,0)</f>
        <v>188</v>
      </c>
      <c r="AA424" s="2" t="s">
        <v>31</v>
      </c>
      <c r="AB424" s="6" t="n">
        <v>6678</v>
      </c>
      <c r="AC424" s="6" t="n">
        <v>5667</v>
      </c>
      <c r="AD424" s="6" t="n">
        <v>647</v>
      </c>
      <c r="AE424" s="6" t="n">
        <v>2205.98974609375</v>
      </c>
      <c r="AF424" s="8" t="n">
        <v>682.947019868</v>
      </c>
      <c r="AG424" s="11" t="n">
        <v>-0.07373582326</v>
      </c>
      <c r="AH424" s="12" t="n">
        <v>1</v>
      </c>
      <c r="AI424" s="2" t="s">
        <v>317</v>
      </c>
      <c r="AJ424" s="2" t="s">
        <v>1104</v>
      </c>
      <c r="AK424" s="2" t="s">
        <v>1104</v>
      </c>
    </row>
    <row r="425" customFormat="false" ht="15" hidden="false" customHeight="false" outlineLevel="0" collapsed="false">
      <c r="A425" s="9" t="n">
        <v>424</v>
      </c>
      <c r="B425" s="2" t="s">
        <v>1106</v>
      </c>
      <c r="C425" s="2" t="s">
        <v>747</v>
      </c>
      <c r="D425" s="2" t="s">
        <v>70</v>
      </c>
      <c r="E425" s="2" t="s">
        <v>71</v>
      </c>
      <c r="F425" s="2" t="s">
        <v>1107</v>
      </c>
      <c r="G425" s="2" t="s">
        <v>329</v>
      </c>
      <c r="H425" s="8" t="n">
        <v>1149.72173266418</v>
      </c>
      <c r="I425" s="2" t="s">
        <v>316</v>
      </c>
      <c r="J425" s="8" t="n">
        <v>2262500</v>
      </c>
      <c r="K425" s="6" t="n">
        <v>62</v>
      </c>
      <c r="L425" s="2"/>
      <c r="M425" s="10" t="b">
        <f aca="false">TRUE()</f>
        <v>1</v>
      </c>
      <c r="N425" s="9" t="n">
        <f aca="false">IF(H425="","",IF(H425&gt;=Assumptions!$B$5,1,IF(H425&gt;=Assumptions!$B$6,2,IF(H425&gt;=Assumptions!$B$7,3,""))))</f>
        <v>1</v>
      </c>
      <c r="O425" s="9" t="n">
        <f aca="false">IF(N425=1,Assumptions!$B$8,IF(N425=2,Assumptions!$B$9,IF(N425=3,Assumptions!$B$10,0)))</f>
        <v>3</v>
      </c>
      <c r="P425" s="6" t="s">
        <v>30</v>
      </c>
      <c r="Q425" s="6" t="s">
        <v>30</v>
      </c>
      <c r="R425" s="11" t="s">
        <v>30</v>
      </c>
      <c r="S425" s="6" t="s">
        <v>30</v>
      </c>
      <c r="T425" s="11" t="s">
        <v>30</v>
      </c>
      <c r="U425" s="6" t="s">
        <v>30</v>
      </c>
      <c r="V425" s="6" t="s">
        <v>30</v>
      </c>
      <c r="W425" s="6" t="s">
        <v>30</v>
      </c>
      <c r="X425" s="2" t="s">
        <v>30</v>
      </c>
      <c r="Y425" s="6" t="str">
        <f aca="false">IF(AND(X425="processed",ISNUMBER(S425)),S425*O425,"")</f>
        <v/>
      </c>
      <c r="Z425" s="6" t="n">
        <f aca="false">IF(ISNUMBER(K425),K425*O425,0)</f>
        <v>186</v>
      </c>
      <c r="AA425" s="2" t="s">
        <v>31</v>
      </c>
      <c r="AB425" s="6" t="n">
        <v>6564</v>
      </c>
      <c r="AC425" s="6" t="n">
        <v>4581</v>
      </c>
      <c r="AD425" s="6" t="n">
        <v>59</v>
      </c>
      <c r="AE425" s="6" t="n">
        <v>1753.96215820313</v>
      </c>
      <c r="AF425" s="8" t="n">
        <v>1199.906803355</v>
      </c>
      <c r="AG425" s="11" t="n">
        <v>0.02990008681</v>
      </c>
      <c r="AH425" s="12" t="n">
        <v>1</v>
      </c>
      <c r="AI425" s="2" t="s">
        <v>317</v>
      </c>
      <c r="AJ425" s="2" t="s">
        <v>747</v>
      </c>
      <c r="AK425" s="2" t="s">
        <v>747</v>
      </c>
    </row>
    <row r="426" customFormat="false" ht="15" hidden="false" customHeight="false" outlineLevel="0" collapsed="false">
      <c r="A426" s="9" t="n">
        <v>425</v>
      </c>
      <c r="B426" s="2" t="s">
        <v>1108</v>
      </c>
      <c r="C426" s="2" t="s">
        <v>1109</v>
      </c>
      <c r="D426" s="2" t="s">
        <v>70</v>
      </c>
      <c r="E426" s="2" t="s">
        <v>71</v>
      </c>
      <c r="F426" s="2" t="s">
        <v>1110</v>
      </c>
      <c r="G426" s="2" t="s">
        <v>329</v>
      </c>
      <c r="H426" s="8" t="n">
        <v>503.454044688715</v>
      </c>
      <c r="I426" s="2" t="s">
        <v>316</v>
      </c>
      <c r="J426" s="8" t="n">
        <v>701897.849462366</v>
      </c>
      <c r="K426" s="6" t="n">
        <v>186</v>
      </c>
      <c r="L426" s="2"/>
      <c r="M426" s="10" t="b">
        <f aca="false">TRUE()</f>
        <v>1</v>
      </c>
      <c r="N426" s="9" t="n">
        <f aca="false">IF(H426="","",IF(H426&gt;=Assumptions!$B$5,1,IF(H426&gt;=Assumptions!$B$6,2,IF(H426&gt;=Assumptions!$B$7,3,""))))</f>
        <v>3</v>
      </c>
      <c r="O426" s="9" t="n">
        <f aca="false">IF(N426=1,Assumptions!$B$8,IF(N426=2,Assumptions!$B$9,IF(N426=3,Assumptions!$B$10,0)))</f>
        <v>1</v>
      </c>
      <c r="P426" s="6" t="s">
        <v>30</v>
      </c>
      <c r="Q426" s="6" t="s">
        <v>30</v>
      </c>
      <c r="R426" s="11" t="s">
        <v>30</v>
      </c>
      <c r="S426" s="6" t="s">
        <v>30</v>
      </c>
      <c r="T426" s="11" t="s">
        <v>30</v>
      </c>
      <c r="U426" s="6" t="s">
        <v>30</v>
      </c>
      <c r="V426" s="6" t="s">
        <v>30</v>
      </c>
      <c r="W426" s="6" t="s">
        <v>30</v>
      </c>
      <c r="X426" s="2" t="s">
        <v>30</v>
      </c>
      <c r="Y426" s="6" t="str">
        <f aca="false">IF(AND(X426="processed",ISNUMBER(S426)),S426*O426,"")</f>
        <v/>
      </c>
      <c r="Z426" s="6" t="n">
        <f aca="false">IF(ISNUMBER(K426),K426*O426,0)</f>
        <v>186</v>
      </c>
      <c r="AA426" s="2" t="s">
        <v>31</v>
      </c>
      <c r="AB426" s="6" t="n">
        <v>19663</v>
      </c>
      <c r="AC426" s="6" t="n">
        <v>16407</v>
      </c>
      <c r="AD426" s="6" t="n">
        <v>1843</v>
      </c>
      <c r="AE426" s="6" t="n">
        <v>1965.80834960938</v>
      </c>
      <c r="AF426" s="8" t="n">
        <v>518.915435602</v>
      </c>
      <c r="AG426" s="11" t="n">
        <v>0.04997860366</v>
      </c>
      <c r="AH426" s="12" t="n">
        <v>0.959085185423949</v>
      </c>
      <c r="AI426" s="2" t="s">
        <v>317</v>
      </c>
      <c r="AJ426" s="2" t="s">
        <v>1109</v>
      </c>
      <c r="AK426" s="2" t="s">
        <v>1109</v>
      </c>
    </row>
    <row r="427" customFormat="false" ht="15" hidden="false" customHeight="false" outlineLevel="0" collapsed="false">
      <c r="A427" s="9" t="n">
        <v>426</v>
      </c>
      <c r="B427" s="2" t="s">
        <v>1111</v>
      </c>
      <c r="C427" s="2" t="s">
        <v>1112</v>
      </c>
      <c r="D427" s="2" t="s">
        <v>70</v>
      </c>
      <c r="E427" s="2" t="s">
        <v>71</v>
      </c>
      <c r="F427" s="2" t="s">
        <v>1113</v>
      </c>
      <c r="G427" s="2" t="s">
        <v>329</v>
      </c>
      <c r="H427" s="8" t="n">
        <v>611.41185251362</v>
      </c>
      <c r="I427" s="2" t="s">
        <v>316</v>
      </c>
      <c r="J427" s="8" t="n">
        <v>810706.521739131</v>
      </c>
      <c r="K427" s="6" t="n">
        <v>92</v>
      </c>
      <c r="L427" s="2"/>
      <c r="M427" s="10" t="b">
        <f aca="false">TRUE()</f>
        <v>1</v>
      </c>
      <c r="N427" s="9" t="n">
        <f aca="false">IF(H427="","",IF(H427&gt;=Assumptions!$B$5,1,IF(H427&gt;=Assumptions!$B$6,2,IF(H427&gt;=Assumptions!$B$7,3,""))))</f>
        <v>2</v>
      </c>
      <c r="O427" s="9" t="n">
        <f aca="false">IF(N427=1,Assumptions!$B$8,IF(N427=2,Assumptions!$B$9,IF(N427=3,Assumptions!$B$10,0)))</f>
        <v>2</v>
      </c>
      <c r="P427" s="6" t="s">
        <v>30</v>
      </c>
      <c r="Q427" s="6" t="s">
        <v>30</v>
      </c>
      <c r="R427" s="11" t="s">
        <v>30</v>
      </c>
      <c r="S427" s="6" t="s">
        <v>30</v>
      </c>
      <c r="T427" s="11" t="s">
        <v>30</v>
      </c>
      <c r="U427" s="6" t="s">
        <v>30</v>
      </c>
      <c r="V427" s="6" t="s">
        <v>30</v>
      </c>
      <c r="W427" s="6" t="s">
        <v>30</v>
      </c>
      <c r="X427" s="2" t="s">
        <v>30</v>
      </c>
      <c r="Y427" s="6" t="str">
        <f aca="false">IF(AND(X427="processed",ISNUMBER(S427)),S427*O427,"")</f>
        <v/>
      </c>
      <c r="Z427" s="6" t="n">
        <f aca="false">IF(ISNUMBER(K427),K427*O427,0)</f>
        <v>184</v>
      </c>
      <c r="AA427" s="2" t="s">
        <v>31</v>
      </c>
      <c r="AB427" s="6" t="n">
        <v>10274</v>
      </c>
      <c r="AC427" s="6" t="n">
        <v>7450</v>
      </c>
      <c r="AD427" s="6" t="n">
        <v>134</v>
      </c>
      <c r="AE427" s="6" t="n">
        <v>1859.30883789063</v>
      </c>
      <c r="AF427" s="8" t="n">
        <v>641.200545703</v>
      </c>
      <c r="AG427" s="11" t="n">
        <v>0.06417737627</v>
      </c>
      <c r="AH427" s="12" t="n">
        <v>1</v>
      </c>
      <c r="AI427" s="2" t="s">
        <v>317</v>
      </c>
      <c r="AJ427" s="2" t="s">
        <v>1112</v>
      </c>
      <c r="AK427" s="2" t="s">
        <v>1112</v>
      </c>
    </row>
    <row r="428" customFormat="false" ht="15" hidden="false" customHeight="false" outlineLevel="0" collapsed="false">
      <c r="A428" s="9" t="n">
        <v>427</v>
      </c>
      <c r="B428" s="2" t="s">
        <v>1114</v>
      </c>
      <c r="C428" s="2" t="s">
        <v>1115</v>
      </c>
      <c r="D428" s="2" t="s">
        <v>70</v>
      </c>
      <c r="E428" s="2" t="s">
        <v>71</v>
      </c>
      <c r="F428" s="2" t="s">
        <v>1116</v>
      </c>
      <c r="G428" s="2" t="s">
        <v>329</v>
      </c>
      <c r="H428" s="8" t="n">
        <v>539.987950358217</v>
      </c>
      <c r="I428" s="2" t="s">
        <v>316</v>
      </c>
      <c r="J428" s="8" t="n">
        <v>1033478.26086957</v>
      </c>
      <c r="K428" s="6" t="n">
        <v>184</v>
      </c>
      <c r="L428" s="2"/>
      <c r="M428" s="10" t="b">
        <f aca="false">TRUE()</f>
        <v>1</v>
      </c>
      <c r="N428" s="9" t="n">
        <f aca="false">IF(H428="","",IF(H428&gt;=Assumptions!$B$5,1,IF(H428&gt;=Assumptions!$B$6,2,IF(H428&gt;=Assumptions!$B$7,3,""))))</f>
        <v>3</v>
      </c>
      <c r="O428" s="9" t="n">
        <f aca="false">IF(N428=1,Assumptions!$B$8,IF(N428=2,Assumptions!$B$9,IF(N428=3,Assumptions!$B$10,0)))</f>
        <v>1</v>
      </c>
      <c r="P428" s="6" t="s">
        <v>30</v>
      </c>
      <c r="Q428" s="6" t="s">
        <v>30</v>
      </c>
      <c r="R428" s="11" t="s">
        <v>30</v>
      </c>
      <c r="S428" s="6" t="s">
        <v>30</v>
      </c>
      <c r="T428" s="11" t="s">
        <v>30</v>
      </c>
      <c r="U428" s="6" t="s">
        <v>30</v>
      </c>
      <c r="V428" s="6" t="s">
        <v>30</v>
      </c>
      <c r="W428" s="6" t="s">
        <v>30</v>
      </c>
      <c r="X428" s="2" t="s">
        <v>30</v>
      </c>
      <c r="Y428" s="6" t="str">
        <f aca="false">IF(AND(X428="processed",ISNUMBER(S428)),S428*O428,"")</f>
        <v/>
      </c>
      <c r="Z428" s="6" t="n">
        <f aca="false">IF(ISNUMBER(K428),K428*O428,0)</f>
        <v>184</v>
      </c>
      <c r="AA428" s="2" t="s">
        <v>31</v>
      </c>
      <c r="AB428" s="6" t="n">
        <v>13385</v>
      </c>
      <c r="AC428" s="6" t="n">
        <v>11894</v>
      </c>
      <c r="AD428" s="6" t="n">
        <v>257</v>
      </c>
      <c r="AE428" s="6" t="n">
        <v>2503.2802734375</v>
      </c>
      <c r="AF428" s="8" t="n">
        <v>537.085663692</v>
      </c>
      <c r="AG428" s="11" t="n">
        <v>-0.02816526529</v>
      </c>
      <c r="AH428" s="12" t="n">
        <v>0.999643786163002</v>
      </c>
      <c r="AI428" s="2" t="s">
        <v>317</v>
      </c>
      <c r="AJ428" s="2" t="s">
        <v>1115</v>
      </c>
      <c r="AK428" s="2" t="s">
        <v>892</v>
      </c>
    </row>
    <row r="429" customFormat="false" ht="15" hidden="false" customHeight="false" outlineLevel="0" collapsed="false">
      <c r="A429" s="9" t="n">
        <v>428</v>
      </c>
      <c r="B429" s="2" t="s">
        <v>1117</v>
      </c>
      <c r="C429" s="2" t="s">
        <v>217</v>
      </c>
      <c r="D429" s="2" t="s">
        <v>27</v>
      </c>
      <c r="E429" s="2" t="s">
        <v>28</v>
      </c>
      <c r="F429" s="2"/>
      <c r="G429" s="2" t="s">
        <v>315</v>
      </c>
      <c r="H429" s="8" t="n">
        <v>672.754681625467</v>
      </c>
      <c r="I429" s="2" t="s">
        <v>316</v>
      </c>
      <c r="J429" s="8" t="n">
        <v>829630.434782609</v>
      </c>
      <c r="K429" s="6" t="n">
        <v>92</v>
      </c>
      <c r="L429" s="2"/>
      <c r="M429" s="10" t="b">
        <f aca="false">TRUE()</f>
        <v>1</v>
      </c>
      <c r="N429" s="9" t="n">
        <f aca="false">IF(H429="","",IF(H429&gt;=Assumptions!$B$5,1,IF(H429&gt;=Assumptions!$B$6,2,IF(H429&gt;=Assumptions!$B$7,3,""))))</f>
        <v>2</v>
      </c>
      <c r="O429" s="9" t="n">
        <f aca="false">IF(N429=1,Assumptions!$B$8,IF(N429=2,Assumptions!$B$9,IF(N429=3,Assumptions!$B$10,0)))</f>
        <v>2</v>
      </c>
      <c r="P429" s="6" t="s">
        <v>30</v>
      </c>
      <c r="Q429" s="6" t="s">
        <v>30</v>
      </c>
      <c r="R429" s="11" t="s">
        <v>30</v>
      </c>
      <c r="S429" s="6" t="s">
        <v>30</v>
      </c>
      <c r="T429" s="11" t="s">
        <v>30</v>
      </c>
      <c r="U429" s="6" t="s">
        <v>30</v>
      </c>
      <c r="V429" s="6" t="s">
        <v>30</v>
      </c>
      <c r="W429" s="6" t="s">
        <v>30</v>
      </c>
      <c r="X429" s="2" t="s">
        <v>30</v>
      </c>
      <c r="Y429" s="6" t="str">
        <f aca="false">IF(AND(X429="processed",ISNUMBER(S429)),S429*O429,"")</f>
        <v/>
      </c>
      <c r="Z429" s="6" t="n">
        <f aca="false">IF(ISNUMBER(K429),K429*O429,0)</f>
        <v>184</v>
      </c>
      <c r="AA429" s="2" t="s">
        <v>31</v>
      </c>
      <c r="AB429" s="6" t="n">
        <v>12348</v>
      </c>
      <c r="AC429" s="6" t="n">
        <v>10386</v>
      </c>
      <c r="AD429" s="6" t="n">
        <v>544</v>
      </c>
      <c r="AE429" s="6" t="n">
        <v>1961.2900390625</v>
      </c>
      <c r="AF429" s="8" t="n">
        <v>701.753910912</v>
      </c>
      <c r="AG429" s="11" t="n">
        <v>-0.01433038467</v>
      </c>
      <c r="AH429" s="12" t="n">
        <v>1</v>
      </c>
      <c r="AI429" s="2" t="s">
        <v>321</v>
      </c>
      <c r="AJ429" s="2" t="s">
        <v>217</v>
      </c>
      <c r="AK429" s="2" t="s">
        <v>217</v>
      </c>
    </row>
    <row r="430" customFormat="false" ht="15" hidden="false" customHeight="false" outlineLevel="0" collapsed="false">
      <c r="A430" s="9" t="n">
        <v>429</v>
      </c>
      <c r="B430" s="2" t="s">
        <v>1118</v>
      </c>
      <c r="C430" s="2" t="s">
        <v>70</v>
      </c>
      <c r="D430" s="2" t="s">
        <v>70</v>
      </c>
      <c r="E430" s="2" t="s">
        <v>71</v>
      </c>
      <c r="F430" s="2" t="s">
        <v>1119</v>
      </c>
      <c r="G430" s="2" t="s">
        <v>329</v>
      </c>
      <c r="H430" s="8" t="n">
        <v>1225.91903679966</v>
      </c>
      <c r="I430" s="2" t="s">
        <v>316</v>
      </c>
      <c r="J430" s="8" t="n">
        <v>3609836.06557377</v>
      </c>
      <c r="K430" s="6" t="n">
        <v>61</v>
      </c>
      <c r="L430" s="2"/>
      <c r="M430" s="10" t="b">
        <f aca="false">TRUE()</f>
        <v>1</v>
      </c>
      <c r="N430" s="9" t="n">
        <f aca="false">IF(H430="","",IF(H430&gt;=Assumptions!$B$5,1,IF(H430&gt;=Assumptions!$B$6,2,IF(H430&gt;=Assumptions!$B$7,3,""))))</f>
        <v>1</v>
      </c>
      <c r="O430" s="9" t="n">
        <f aca="false">IF(N430=1,Assumptions!$B$8,IF(N430=2,Assumptions!$B$9,IF(N430=3,Assumptions!$B$10,0)))</f>
        <v>3</v>
      </c>
      <c r="P430" s="6" t="s">
        <v>30</v>
      </c>
      <c r="Q430" s="6" t="s">
        <v>30</v>
      </c>
      <c r="R430" s="11" t="s">
        <v>30</v>
      </c>
      <c r="S430" s="6" t="s">
        <v>30</v>
      </c>
      <c r="T430" s="11" t="s">
        <v>30</v>
      </c>
      <c r="U430" s="6" t="s">
        <v>30</v>
      </c>
      <c r="V430" s="6" t="s">
        <v>30</v>
      </c>
      <c r="W430" s="6" t="s">
        <v>30</v>
      </c>
      <c r="X430" s="2" t="s">
        <v>30</v>
      </c>
      <c r="Y430" s="6" t="str">
        <f aca="false">IF(AND(X430="processed",ISNUMBER(S430)),S430*O430,"")</f>
        <v/>
      </c>
      <c r="Z430" s="6" t="n">
        <f aca="false">IF(ISNUMBER(K430),K430*O430,0)</f>
        <v>183</v>
      </c>
      <c r="AA430" s="2" t="s">
        <v>31</v>
      </c>
      <c r="AB430" s="6" t="n">
        <v>5509</v>
      </c>
      <c r="AC430" s="6" t="n">
        <v>3796</v>
      </c>
      <c r="AD430" s="6" t="n">
        <v>32</v>
      </c>
      <c r="AE430" s="6" t="n">
        <v>2552.63208007813</v>
      </c>
      <c r="AF430" s="8" t="n">
        <v>1218.201361519</v>
      </c>
      <c r="AG430" s="11" t="n">
        <v>-0.03705867762</v>
      </c>
      <c r="AH430" s="12" t="n">
        <v>1</v>
      </c>
      <c r="AI430" s="2" t="s">
        <v>317</v>
      </c>
      <c r="AJ430" s="2" t="s">
        <v>70</v>
      </c>
      <c r="AK430" s="2" t="s">
        <v>70</v>
      </c>
    </row>
    <row r="431" customFormat="false" ht="15" hidden="false" customHeight="false" outlineLevel="0" collapsed="false">
      <c r="A431" s="9" t="n">
        <v>430</v>
      </c>
      <c r="B431" s="2" t="s">
        <v>1120</v>
      </c>
      <c r="C431" s="2" t="s">
        <v>668</v>
      </c>
      <c r="D431" s="2" t="s">
        <v>70</v>
      </c>
      <c r="E431" s="2" t="s">
        <v>71</v>
      </c>
      <c r="F431" s="2"/>
      <c r="G431" s="2" t="s">
        <v>329</v>
      </c>
      <c r="H431" s="8" t="n">
        <v>741.409351129803</v>
      </c>
      <c r="I431" s="2" t="s">
        <v>316</v>
      </c>
      <c r="J431" s="8" t="n">
        <v>1024081.96721312</v>
      </c>
      <c r="K431" s="6" t="n">
        <v>61</v>
      </c>
      <c r="L431" s="2"/>
      <c r="M431" s="10" t="b">
        <f aca="false">TRUE()</f>
        <v>1</v>
      </c>
      <c r="N431" s="9" t="n">
        <f aca="false">IF(H431="","",IF(H431&gt;=Assumptions!$B$5,1,IF(H431&gt;=Assumptions!$B$6,2,IF(H431&gt;=Assumptions!$B$7,3,""))))</f>
        <v>1</v>
      </c>
      <c r="O431" s="9" t="n">
        <f aca="false">IF(N431=1,Assumptions!$B$8,IF(N431=2,Assumptions!$B$9,IF(N431=3,Assumptions!$B$10,0)))</f>
        <v>3</v>
      </c>
      <c r="P431" s="6" t="s">
        <v>30</v>
      </c>
      <c r="Q431" s="6" t="s">
        <v>30</v>
      </c>
      <c r="R431" s="11" t="s">
        <v>30</v>
      </c>
      <c r="S431" s="6" t="s">
        <v>30</v>
      </c>
      <c r="T431" s="11" t="s">
        <v>30</v>
      </c>
      <c r="U431" s="6" t="s">
        <v>30</v>
      </c>
      <c r="V431" s="6" t="s">
        <v>30</v>
      </c>
      <c r="W431" s="6" t="s">
        <v>30</v>
      </c>
      <c r="X431" s="2" t="s">
        <v>30</v>
      </c>
      <c r="Y431" s="6" t="str">
        <f aca="false">IF(AND(X431="processed",ISNUMBER(S431)),S431*O431,"")</f>
        <v/>
      </c>
      <c r="Z431" s="6" t="n">
        <f aca="false">IF(ISNUMBER(K431),K431*O431,0)</f>
        <v>183</v>
      </c>
      <c r="AA431" s="2" t="s">
        <v>31</v>
      </c>
      <c r="AB431" s="6" t="n">
        <v>11860</v>
      </c>
      <c r="AC431" s="6" t="n">
        <v>9057</v>
      </c>
      <c r="AD431" s="6" t="n">
        <v>150</v>
      </c>
      <c r="AE431" s="6" t="n">
        <v>1807.7451171875</v>
      </c>
      <c r="AF431" s="8" t="n">
        <v>726.392251816</v>
      </c>
      <c r="AG431" s="11" t="n">
        <v>-0.0007648319945</v>
      </c>
      <c r="AH431" s="12" t="n">
        <v>1</v>
      </c>
      <c r="AI431" s="2" t="s">
        <v>317</v>
      </c>
      <c r="AJ431" s="2" t="s">
        <v>668</v>
      </c>
      <c r="AK431" s="2" t="s">
        <v>668</v>
      </c>
    </row>
    <row r="432" customFormat="false" ht="15" hidden="false" customHeight="false" outlineLevel="0" collapsed="false">
      <c r="A432" s="9" t="n">
        <v>431</v>
      </c>
      <c r="B432" s="2" t="s">
        <v>1121</v>
      </c>
      <c r="C432" s="2" t="s">
        <v>1122</v>
      </c>
      <c r="D432" s="2" t="s">
        <v>44</v>
      </c>
      <c r="E432" s="2" t="s">
        <v>44</v>
      </c>
      <c r="F432" s="2" t="s">
        <v>1123</v>
      </c>
      <c r="G432" s="2" t="s">
        <v>322</v>
      </c>
      <c r="H432" s="8" t="n">
        <v>511.630189213552</v>
      </c>
      <c r="I432" s="2" t="s">
        <v>316</v>
      </c>
      <c r="J432" s="8" t="n">
        <v>1362382.5136612</v>
      </c>
      <c r="K432" s="6" t="n">
        <v>183</v>
      </c>
      <c r="L432" s="2"/>
      <c r="M432" s="10" t="b">
        <f aca="false">TRUE()</f>
        <v>1</v>
      </c>
      <c r="N432" s="9" t="n">
        <f aca="false">IF(H432="","",IF(H432&gt;=Assumptions!$B$5,1,IF(H432&gt;=Assumptions!$B$6,2,IF(H432&gt;=Assumptions!$B$7,3,""))))</f>
        <v>3</v>
      </c>
      <c r="O432" s="9" t="n">
        <f aca="false">IF(N432=1,Assumptions!$B$8,IF(N432=2,Assumptions!$B$9,IF(N432=3,Assumptions!$B$10,0)))</f>
        <v>1</v>
      </c>
      <c r="P432" s="6" t="s">
        <v>30</v>
      </c>
      <c r="Q432" s="6" t="s">
        <v>30</v>
      </c>
      <c r="R432" s="11" t="s">
        <v>30</v>
      </c>
      <c r="S432" s="6" t="s">
        <v>30</v>
      </c>
      <c r="T432" s="11" t="s">
        <v>30</v>
      </c>
      <c r="U432" s="6" t="s">
        <v>30</v>
      </c>
      <c r="V432" s="6" t="s">
        <v>30</v>
      </c>
      <c r="W432" s="6" t="s">
        <v>30</v>
      </c>
      <c r="X432" s="2" t="s">
        <v>30</v>
      </c>
      <c r="Y432" s="6" t="str">
        <f aca="false">IF(AND(X432="processed",ISNUMBER(S432)),S432*O432,"")</f>
        <v/>
      </c>
      <c r="Z432" s="6" t="n">
        <f aca="false">IF(ISNUMBER(K432),K432*O432,0)</f>
        <v>183</v>
      </c>
      <c r="AA432" s="2" t="s">
        <v>31</v>
      </c>
      <c r="AB432" s="6" t="n">
        <v>11402</v>
      </c>
      <c r="AC432" s="6" t="n">
        <v>8550</v>
      </c>
      <c r="AD432" s="6" t="n">
        <v>910</v>
      </c>
      <c r="AE432" s="6" t="n">
        <v>2716.509765625</v>
      </c>
      <c r="AF432" s="8" t="n">
        <v>501.381343938</v>
      </c>
      <c r="AG432" s="11" t="n">
        <v>-0.09120842254</v>
      </c>
      <c r="AH432" s="12" t="n">
        <v>1</v>
      </c>
      <c r="AI432" s="2" t="s">
        <v>317</v>
      </c>
      <c r="AJ432" s="2" t="s">
        <v>1122</v>
      </c>
      <c r="AK432" s="2" t="s">
        <v>1122</v>
      </c>
    </row>
    <row r="433" customFormat="false" ht="15" hidden="false" customHeight="false" outlineLevel="0" collapsed="false">
      <c r="A433" s="9" t="n">
        <v>432</v>
      </c>
      <c r="B433" s="2" t="s">
        <v>1124</v>
      </c>
      <c r="C433" s="2" t="s">
        <v>772</v>
      </c>
      <c r="D433" s="2" t="s">
        <v>105</v>
      </c>
      <c r="E433" s="2" t="s">
        <v>51</v>
      </c>
      <c r="F433" s="2" t="s">
        <v>1125</v>
      </c>
      <c r="G433" s="2" t="s">
        <v>318</v>
      </c>
      <c r="H433" s="8" t="n">
        <v>535.330672844846</v>
      </c>
      <c r="I433" s="2" t="s">
        <v>316</v>
      </c>
      <c r="J433" s="8" t="n">
        <v>949428.571428572</v>
      </c>
      <c r="K433" s="6" t="n">
        <v>182</v>
      </c>
      <c r="L433" s="2"/>
      <c r="M433" s="10" t="b">
        <f aca="false">TRUE()</f>
        <v>1</v>
      </c>
      <c r="N433" s="9" t="n">
        <f aca="false">IF(H433="","",IF(H433&gt;=Assumptions!$B$5,1,IF(H433&gt;=Assumptions!$B$6,2,IF(H433&gt;=Assumptions!$B$7,3,""))))</f>
        <v>3</v>
      </c>
      <c r="O433" s="9" t="n">
        <f aca="false">IF(N433=1,Assumptions!$B$8,IF(N433=2,Assumptions!$B$9,IF(N433=3,Assumptions!$B$10,0)))</f>
        <v>1</v>
      </c>
      <c r="P433" s="6" t="s">
        <v>30</v>
      </c>
      <c r="Q433" s="6" t="s">
        <v>30</v>
      </c>
      <c r="R433" s="11" t="s">
        <v>30</v>
      </c>
      <c r="S433" s="6" t="s">
        <v>30</v>
      </c>
      <c r="T433" s="11" t="s">
        <v>30</v>
      </c>
      <c r="U433" s="6" t="s">
        <v>30</v>
      </c>
      <c r="V433" s="6" t="s">
        <v>30</v>
      </c>
      <c r="W433" s="6" t="s">
        <v>30</v>
      </c>
      <c r="X433" s="2" t="s">
        <v>30</v>
      </c>
      <c r="Y433" s="6" t="str">
        <f aca="false">IF(AND(X433="processed",ISNUMBER(S433)),S433*O433,"")</f>
        <v/>
      </c>
      <c r="Z433" s="6" t="n">
        <f aca="false">IF(ISNUMBER(K433),K433*O433,0)</f>
        <v>182</v>
      </c>
      <c r="AA433" s="2" t="s">
        <v>31</v>
      </c>
      <c r="AB433" s="6" t="n">
        <v>8868</v>
      </c>
      <c r="AC433" s="6" t="n">
        <v>8262</v>
      </c>
      <c r="AD433" s="6" t="n">
        <v>8012</v>
      </c>
      <c r="AE433" s="6" t="n">
        <v>2447.8232421875</v>
      </c>
      <c r="AF433" s="8" t="n">
        <v>534.659121101</v>
      </c>
      <c r="AG433" s="11" t="n">
        <v>-0.09077922307</v>
      </c>
      <c r="AH433" s="12" t="n">
        <v>1</v>
      </c>
      <c r="AI433" s="2" t="s">
        <v>317</v>
      </c>
      <c r="AJ433" s="2" t="s">
        <v>772</v>
      </c>
      <c r="AK433" s="2" t="s">
        <v>772</v>
      </c>
    </row>
    <row r="434" customFormat="false" ht="15" hidden="false" customHeight="false" outlineLevel="0" collapsed="false">
      <c r="A434" s="9" t="n">
        <v>433</v>
      </c>
      <c r="B434" s="2" t="s">
        <v>1126</v>
      </c>
      <c r="C434" s="2" t="s">
        <v>767</v>
      </c>
      <c r="D434" s="2" t="s">
        <v>70</v>
      </c>
      <c r="E434" s="2" t="s">
        <v>71</v>
      </c>
      <c r="F434" s="2" t="s">
        <v>1127</v>
      </c>
      <c r="G434" s="2" t="s">
        <v>329</v>
      </c>
      <c r="H434" s="8" t="n">
        <v>583.014151120044</v>
      </c>
      <c r="I434" s="2" t="s">
        <v>316</v>
      </c>
      <c r="J434" s="8" t="n">
        <v>846381.215469613</v>
      </c>
      <c r="K434" s="6" t="n">
        <v>181</v>
      </c>
      <c r="L434" s="2"/>
      <c r="M434" s="10" t="b">
        <f aca="false">TRUE()</f>
        <v>1</v>
      </c>
      <c r="N434" s="9" t="n">
        <f aca="false">IF(H434="","",IF(H434&gt;=Assumptions!$B$5,1,IF(H434&gt;=Assumptions!$B$6,2,IF(H434&gt;=Assumptions!$B$7,3,""))))</f>
        <v>3</v>
      </c>
      <c r="O434" s="9" t="n">
        <f aca="false">IF(N434=1,Assumptions!$B$8,IF(N434=2,Assumptions!$B$9,IF(N434=3,Assumptions!$B$10,0)))</f>
        <v>1</v>
      </c>
      <c r="P434" s="6" t="s">
        <v>30</v>
      </c>
      <c r="Q434" s="6" t="s">
        <v>30</v>
      </c>
      <c r="R434" s="11" t="s">
        <v>30</v>
      </c>
      <c r="S434" s="6" t="s">
        <v>30</v>
      </c>
      <c r="T434" s="11" t="s">
        <v>30</v>
      </c>
      <c r="U434" s="6" t="s">
        <v>30</v>
      </c>
      <c r="V434" s="6" t="s">
        <v>30</v>
      </c>
      <c r="W434" s="6" t="s">
        <v>30</v>
      </c>
      <c r="X434" s="2" t="s">
        <v>30</v>
      </c>
      <c r="Y434" s="6" t="str">
        <f aca="false">IF(AND(X434="processed",ISNUMBER(S434)),S434*O434,"")</f>
        <v/>
      </c>
      <c r="Z434" s="6" t="n">
        <f aca="false">IF(ISNUMBER(K434),K434*O434,0)</f>
        <v>181</v>
      </c>
      <c r="AA434" s="2" t="s">
        <v>31</v>
      </c>
      <c r="AB434" s="6" t="n">
        <v>13718</v>
      </c>
      <c r="AC434" s="6" t="n">
        <v>10316</v>
      </c>
      <c r="AD434" s="6" t="n">
        <v>196</v>
      </c>
      <c r="AE434" s="6" t="n">
        <v>2236.23974609375</v>
      </c>
      <c r="AF434" s="8" t="n">
        <v>596.426370918</v>
      </c>
      <c r="AG434" s="11" t="n">
        <v>0.03530615329</v>
      </c>
      <c r="AH434" s="12" t="n">
        <v>0.999864641950224</v>
      </c>
      <c r="AI434" s="2" t="s">
        <v>317</v>
      </c>
      <c r="AJ434" s="2" t="s">
        <v>767</v>
      </c>
      <c r="AK434" s="2" t="s">
        <v>767</v>
      </c>
    </row>
    <row r="435" customFormat="false" ht="15" hidden="false" customHeight="false" outlineLevel="0" collapsed="false">
      <c r="A435" s="9" t="n">
        <v>434</v>
      </c>
      <c r="B435" s="2" t="s">
        <v>1128</v>
      </c>
      <c r="C435" s="2" t="s">
        <v>1129</v>
      </c>
      <c r="D435" s="2" t="s">
        <v>44</v>
      </c>
      <c r="E435" s="2" t="s">
        <v>44</v>
      </c>
      <c r="F435" s="2" t="s">
        <v>1130</v>
      </c>
      <c r="G435" s="2" t="s">
        <v>322</v>
      </c>
      <c r="H435" s="8" t="n">
        <v>519.840446408983</v>
      </c>
      <c r="I435" s="2" t="s">
        <v>316</v>
      </c>
      <c r="J435" s="8" t="n">
        <v>983480.662983425</v>
      </c>
      <c r="K435" s="6" t="n">
        <v>181</v>
      </c>
      <c r="L435" s="2"/>
      <c r="M435" s="10" t="b">
        <f aca="false">TRUE()</f>
        <v>1</v>
      </c>
      <c r="N435" s="9" t="n">
        <f aca="false">IF(H435="","",IF(H435&gt;=Assumptions!$B$5,1,IF(H435&gt;=Assumptions!$B$6,2,IF(H435&gt;=Assumptions!$B$7,3,""))))</f>
        <v>3</v>
      </c>
      <c r="O435" s="9" t="n">
        <f aca="false">IF(N435=1,Assumptions!$B$8,IF(N435=2,Assumptions!$B$9,IF(N435=3,Assumptions!$B$10,0)))</f>
        <v>1</v>
      </c>
      <c r="P435" s="6" t="s">
        <v>30</v>
      </c>
      <c r="Q435" s="6" t="s">
        <v>30</v>
      </c>
      <c r="R435" s="11" t="s">
        <v>30</v>
      </c>
      <c r="S435" s="6" t="s">
        <v>30</v>
      </c>
      <c r="T435" s="11" t="s">
        <v>30</v>
      </c>
      <c r="U435" s="6" t="s">
        <v>30</v>
      </c>
      <c r="V435" s="6" t="s">
        <v>30</v>
      </c>
      <c r="W435" s="6" t="s">
        <v>30</v>
      </c>
      <c r="X435" s="2" t="s">
        <v>30</v>
      </c>
      <c r="Y435" s="6" t="str">
        <f aca="false">IF(AND(X435="processed",ISNUMBER(S435)),S435*O435,"")</f>
        <v/>
      </c>
      <c r="Z435" s="6" t="n">
        <f aca="false">IF(ISNUMBER(K435),K435*O435,0)</f>
        <v>181</v>
      </c>
      <c r="AA435" s="2" t="s">
        <v>31</v>
      </c>
      <c r="AB435" s="6" t="n">
        <v>10783</v>
      </c>
      <c r="AC435" s="6" t="n">
        <v>8680</v>
      </c>
      <c r="AD435" s="6" t="n">
        <v>308</v>
      </c>
      <c r="AE435" s="6" t="n">
        <v>2196.49560546875</v>
      </c>
      <c r="AF435" s="8" t="n">
        <v>526.721763085</v>
      </c>
      <c r="AG435" s="11" t="n">
        <v>-0.02117234066</v>
      </c>
      <c r="AH435" s="12" t="n">
        <v>0.999999999999999</v>
      </c>
      <c r="AI435" s="2" t="s">
        <v>317</v>
      </c>
      <c r="AJ435" s="2" t="s">
        <v>1129</v>
      </c>
      <c r="AK435" s="2" t="s">
        <v>1129</v>
      </c>
    </row>
    <row r="436" customFormat="false" ht="15" hidden="false" customHeight="false" outlineLevel="0" collapsed="false">
      <c r="A436" s="9" t="n">
        <v>435</v>
      </c>
      <c r="B436" s="2" t="s">
        <v>1131</v>
      </c>
      <c r="C436" s="2" t="s">
        <v>70</v>
      </c>
      <c r="D436" s="2" t="s">
        <v>70</v>
      </c>
      <c r="E436" s="2" t="s">
        <v>71</v>
      </c>
      <c r="F436" s="2" t="s">
        <v>1132</v>
      </c>
      <c r="G436" s="2" t="s">
        <v>329</v>
      </c>
      <c r="H436" s="8" t="n">
        <v>1077.77238667887</v>
      </c>
      <c r="I436" s="2" t="s">
        <v>316</v>
      </c>
      <c r="J436" s="8" t="n">
        <v>2067383.33333333</v>
      </c>
      <c r="K436" s="6" t="n">
        <v>60</v>
      </c>
      <c r="L436" s="2"/>
      <c r="M436" s="10" t="b">
        <f aca="false">TRUE()</f>
        <v>1</v>
      </c>
      <c r="N436" s="9" t="n">
        <f aca="false">IF(H436="","",IF(H436&gt;=Assumptions!$B$5,1,IF(H436&gt;=Assumptions!$B$6,2,IF(H436&gt;=Assumptions!$B$7,3,""))))</f>
        <v>1</v>
      </c>
      <c r="O436" s="9" t="n">
        <f aca="false">IF(N436=1,Assumptions!$B$8,IF(N436=2,Assumptions!$B$9,IF(N436=3,Assumptions!$B$10,0)))</f>
        <v>3</v>
      </c>
      <c r="P436" s="6" t="s">
        <v>30</v>
      </c>
      <c r="Q436" s="6" t="s">
        <v>30</v>
      </c>
      <c r="R436" s="11" t="s">
        <v>30</v>
      </c>
      <c r="S436" s="6" t="s">
        <v>30</v>
      </c>
      <c r="T436" s="11" t="s">
        <v>30</v>
      </c>
      <c r="U436" s="6" t="s">
        <v>30</v>
      </c>
      <c r="V436" s="6" t="s">
        <v>30</v>
      </c>
      <c r="W436" s="6" t="s">
        <v>30</v>
      </c>
      <c r="X436" s="2" t="s">
        <v>30</v>
      </c>
      <c r="Y436" s="6" t="str">
        <f aca="false">IF(AND(X436="processed",ISNUMBER(S436)),S436*O436,"")</f>
        <v/>
      </c>
      <c r="Z436" s="6" t="n">
        <f aca="false">IF(ISNUMBER(K436),K436*O436,0)</f>
        <v>180</v>
      </c>
      <c r="AA436" s="2" t="s">
        <v>31</v>
      </c>
      <c r="AB436" s="6" t="n">
        <v>7201</v>
      </c>
      <c r="AC436" s="6" t="n">
        <v>4729</v>
      </c>
      <c r="AD436" s="6" t="n">
        <v>35</v>
      </c>
      <c r="AE436" s="6" t="n">
        <v>2138.08984375</v>
      </c>
      <c r="AF436" s="8" t="n">
        <v>1147.669867565</v>
      </c>
      <c r="AG436" s="11" t="n">
        <v>0.08282772465</v>
      </c>
      <c r="AH436" s="12" t="n">
        <v>1</v>
      </c>
      <c r="AI436" s="2" t="s">
        <v>317</v>
      </c>
      <c r="AJ436" s="2" t="s">
        <v>70</v>
      </c>
      <c r="AK436" s="2" t="s">
        <v>70</v>
      </c>
    </row>
    <row r="437" customFormat="false" ht="15" hidden="false" customHeight="false" outlineLevel="0" collapsed="false">
      <c r="A437" s="9" t="n">
        <v>436</v>
      </c>
      <c r="B437" s="2" t="s">
        <v>1133</v>
      </c>
      <c r="C437" s="2" t="s">
        <v>1029</v>
      </c>
      <c r="D437" s="2" t="s">
        <v>70</v>
      </c>
      <c r="E437" s="2" t="s">
        <v>71</v>
      </c>
      <c r="F437" s="2" t="s">
        <v>1134</v>
      </c>
      <c r="G437" s="2" t="s">
        <v>329</v>
      </c>
      <c r="H437" s="8" t="n">
        <v>631.307995171622</v>
      </c>
      <c r="I437" s="2" t="s">
        <v>316</v>
      </c>
      <c r="J437" s="8" t="n">
        <v>848077.777777778</v>
      </c>
      <c r="K437" s="6" t="n">
        <v>90</v>
      </c>
      <c r="L437" s="2"/>
      <c r="M437" s="10" t="b">
        <f aca="false">TRUE()</f>
        <v>1</v>
      </c>
      <c r="N437" s="9" t="n">
        <f aca="false">IF(H437="","",IF(H437&gt;=Assumptions!$B$5,1,IF(H437&gt;=Assumptions!$B$6,2,IF(H437&gt;=Assumptions!$B$7,3,""))))</f>
        <v>2</v>
      </c>
      <c r="O437" s="9" t="n">
        <f aca="false">IF(N437=1,Assumptions!$B$8,IF(N437=2,Assumptions!$B$9,IF(N437=3,Assumptions!$B$10,0)))</f>
        <v>2</v>
      </c>
      <c r="P437" s="6" t="s">
        <v>30</v>
      </c>
      <c r="Q437" s="6" t="s">
        <v>30</v>
      </c>
      <c r="R437" s="11" t="s">
        <v>30</v>
      </c>
      <c r="S437" s="6" t="s">
        <v>30</v>
      </c>
      <c r="T437" s="11" t="s">
        <v>30</v>
      </c>
      <c r="U437" s="6" t="s">
        <v>30</v>
      </c>
      <c r="V437" s="6" t="s">
        <v>30</v>
      </c>
      <c r="W437" s="6" t="s">
        <v>30</v>
      </c>
      <c r="X437" s="2" t="s">
        <v>30</v>
      </c>
      <c r="Y437" s="6" t="str">
        <f aca="false">IF(AND(X437="processed",ISNUMBER(S437)),S437*O437,"")</f>
        <v/>
      </c>
      <c r="Z437" s="6" t="n">
        <f aca="false">IF(ISNUMBER(K437),K437*O437,0)</f>
        <v>180</v>
      </c>
      <c r="AA437" s="2" t="s">
        <v>31</v>
      </c>
      <c r="AB437" s="6" t="n">
        <v>13284</v>
      </c>
      <c r="AC437" s="6" t="n">
        <v>9908</v>
      </c>
      <c r="AD437" s="6" t="n">
        <v>181</v>
      </c>
      <c r="AE437" s="6" t="n">
        <v>1826.29418945313</v>
      </c>
      <c r="AF437" s="8" t="n">
        <v>708.496025487</v>
      </c>
      <c r="AG437" s="11" t="n">
        <v>0.2052218104</v>
      </c>
      <c r="AH437" s="12" t="n">
        <v>1</v>
      </c>
      <c r="AI437" s="2" t="s">
        <v>317</v>
      </c>
      <c r="AJ437" s="2" t="s">
        <v>1029</v>
      </c>
      <c r="AK437" s="2" t="s">
        <v>1029</v>
      </c>
    </row>
    <row r="438" customFormat="false" ht="15" hidden="false" customHeight="false" outlineLevel="0" collapsed="false">
      <c r="A438" s="9" t="n">
        <v>437</v>
      </c>
      <c r="B438" s="2" t="s">
        <v>1135</v>
      </c>
      <c r="C438" s="2" t="s">
        <v>1136</v>
      </c>
      <c r="D438" s="2" t="s">
        <v>70</v>
      </c>
      <c r="E438" s="2" t="s">
        <v>71</v>
      </c>
      <c r="F438" s="2" t="s">
        <v>1137</v>
      </c>
      <c r="G438" s="2" t="s">
        <v>329</v>
      </c>
      <c r="H438" s="8" t="n">
        <v>804.520048043083</v>
      </c>
      <c r="I438" s="2" t="s">
        <v>316</v>
      </c>
      <c r="J438" s="8" t="n">
        <v>1590583.33333333</v>
      </c>
      <c r="K438" s="6" t="n">
        <v>60</v>
      </c>
      <c r="L438" s="2"/>
      <c r="M438" s="10" t="b">
        <f aca="false">TRUE()</f>
        <v>1</v>
      </c>
      <c r="N438" s="9" t="n">
        <f aca="false">IF(H438="","",IF(H438&gt;=Assumptions!$B$5,1,IF(H438&gt;=Assumptions!$B$6,2,IF(H438&gt;=Assumptions!$B$7,3,""))))</f>
        <v>1</v>
      </c>
      <c r="O438" s="9" t="n">
        <f aca="false">IF(N438=1,Assumptions!$B$8,IF(N438=2,Assumptions!$B$9,IF(N438=3,Assumptions!$B$10,0)))</f>
        <v>3</v>
      </c>
      <c r="P438" s="6" t="s">
        <v>30</v>
      </c>
      <c r="Q438" s="6" t="s">
        <v>30</v>
      </c>
      <c r="R438" s="11" t="s">
        <v>30</v>
      </c>
      <c r="S438" s="6" t="s">
        <v>30</v>
      </c>
      <c r="T438" s="11" t="s">
        <v>30</v>
      </c>
      <c r="U438" s="6" t="s">
        <v>30</v>
      </c>
      <c r="V438" s="6" t="s">
        <v>30</v>
      </c>
      <c r="W438" s="6" t="s">
        <v>30</v>
      </c>
      <c r="X438" s="2" t="s">
        <v>30</v>
      </c>
      <c r="Y438" s="6" t="str">
        <f aca="false">IF(AND(X438="processed",ISNUMBER(S438)),S438*O438,"")</f>
        <v/>
      </c>
      <c r="Z438" s="6" t="n">
        <f aca="false">IF(ISNUMBER(K438),K438*O438,0)</f>
        <v>180</v>
      </c>
      <c r="AA438" s="2" t="s">
        <v>31</v>
      </c>
      <c r="AB438" s="6" t="n">
        <v>3920</v>
      </c>
      <c r="AC438" s="6" t="n">
        <v>3045</v>
      </c>
      <c r="AD438" s="6" t="n">
        <v>341</v>
      </c>
      <c r="AE438" s="6" t="n">
        <v>1690.82690429688</v>
      </c>
      <c r="AF438" s="8" t="n">
        <v>753.333333333</v>
      </c>
      <c r="AG438" s="11" t="n">
        <v>-0.1391761194</v>
      </c>
      <c r="AH438" s="12" t="n">
        <v>0.998410899069553</v>
      </c>
      <c r="AI438" s="2" t="s">
        <v>317</v>
      </c>
      <c r="AJ438" s="2" t="s">
        <v>1136</v>
      </c>
      <c r="AK438" s="2" t="s">
        <v>70</v>
      </c>
    </row>
    <row r="439" customFormat="false" ht="15" hidden="false" customHeight="false" outlineLevel="0" collapsed="false">
      <c r="A439" s="9" t="n">
        <v>438</v>
      </c>
      <c r="B439" s="2" t="s">
        <v>1138</v>
      </c>
      <c r="C439" s="2" t="s">
        <v>44</v>
      </c>
      <c r="D439" s="2" t="s">
        <v>44</v>
      </c>
      <c r="E439" s="2" t="s">
        <v>44</v>
      </c>
      <c r="F439" s="2" t="s">
        <v>1139</v>
      </c>
      <c r="G439" s="2" t="s">
        <v>322</v>
      </c>
      <c r="H439" s="8" t="n">
        <v>641.348974078433</v>
      </c>
      <c r="I439" s="2" t="s">
        <v>316</v>
      </c>
      <c r="J439" s="8" t="n">
        <v>1207533.33333333</v>
      </c>
      <c r="K439" s="6" t="n">
        <v>90</v>
      </c>
      <c r="L439" s="2"/>
      <c r="M439" s="10" t="b">
        <f aca="false">TRUE()</f>
        <v>1</v>
      </c>
      <c r="N439" s="9" t="n">
        <f aca="false">IF(H439="","",IF(H439&gt;=Assumptions!$B$5,1,IF(H439&gt;=Assumptions!$B$6,2,IF(H439&gt;=Assumptions!$B$7,3,""))))</f>
        <v>2</v>
      </c>
      <c r="O439" s="9" t="n">
        <f aca="false">IF(N439=1,Assumptions!$B$8,IF(N439=2,Assumptions!$B$9,IF(N439=3,Assumptions!$B$10,0)))</f>
        <v>2</v>
      </c>
      <c r="P439" s="6" t="s">
        <v>30</v>
      </c>
      <c r="Q439" s="6" t="s">
        <v>30</v>
      </c>
      <c r="R439" s="11" t="s">
        <v>30</v>
      </c>
      <c r="S439" s="6" t="s">
        <v>30</v>
      </c>
      <c r="T439" s="11" t="s">
        <v>30</v>
      </c>
      <c r="U439" s="6" t="s">
        <v>30</v>
      </c>
      <c r="V439" s="6" t="s">
        <v>30</v>
      </c>
      <c r="W439" s="6" t="s">
        <v>30</v>
      </c>
      <c r="X439" s="2" t="s">
        <v>30</v>
      </c>
      <c r="Y439" s="6" t="str">
        <f aca="false">IF(AND(X439="processed",ISNUMBER(S439)),S439*O439,"")</f>
        <v/>
      </c>
      <c r="Z439" s="6" t="n">
        <f aca="false">IF(ISNUMBER(K439),K439*O439,0)</f>
        <v>180</v>
      </c>
      <c r="AA439" s="2" t="s">
        <v>31</v>
      </c>
      <c r="AB439" s="6" t="n">
        <v>7474</v>
      </c>
      <c r="AC439" s="6" t="n">
        <v>6375</v>
      </c>
      <c r="AD439" s="6" t="n">
        <v>3948</v>
      </c>
      <c r="AE439" s="6" t="n">
        <v>2178.6259765625</v>
      </c>
      <c r="AF439" s="8" t="n">
        <v>654.685494223</v>
      </c>
      <c r="AG439" s="11" t="n">
        <v>0.0004720164132</v>
      </c>
      <c r="AH439" s="12" t="n">
        <v>1</v>
      </c>
      <c r="AI439" s="2" t="s">
        <v>317</v>
      </c>
      <c r="AJ439" s="2" t="s">
        <v>44</v>
      </c>
      <c r="AK439" s="2" t="s">
        <v>44</v>
      </c>
    </row>
    <row r="440" customFormat="false" ht="15" hidden="false" customHeight="false" outlineLevel="0" collapsed="false">
      <c r="A440" s="9" t="n">
        <v>439</v>
      </c>
      <c r="B440" s="2" t="s">
        <v>1140</v>
      </c>
      <c r="C440" s="2" t="s">
        <v>363</v>
      </c>
      <c r="D440" s="2" t="s">
        <v>27</v>
      </c>
      <c r="E440" s="2" t="s">
        <v>28</v>
      </c>
      <c r="F440" s="2"/>
      <c r="G440" s="2" t="s">
        <v>315</v>
      </c>
      <c r="H440" s="8" t="n">
        <v>979.2738749021</v>
      </c>
      <c r="I440" s="2" t="s">
        <v>316</v>
      </c>
      <c r="J440" s="8" t="n">
        <v>2228075</v>
      </c>
      <c r="K440" s="6" t="n">
        <v>60</v>
      </c>
      <c r="L440" s="2"/>
      <c r="M440" s="10" t="b">
        <f aca="false">TRUE()</f>
        <v>1</v>
      </c>
      <c r="N440" s="9" t="n">
        <f aca="false">IF(H440="","",IF(H440&gt;=Assumptions!$B$5,1,IF(H440&gt;=Assumptions!$B$6,2,IF(H440&gt;=Assumptions!$B$7,3,""))))</f>
        <v>1</v>
      </c>
      <c r="O440" s="9" t="n">
        <f aca="false">IF(N440=1,Assumptions!$B$8,IF(N440=2,Assumptions!$B$9,IF(N440=3,Assumptions!$B$10,0)))</f>
        <v>3</v>
      </c>
      <c r="P440" s="6" t="s">
        <v>30</v>
      </c>
      <c r="Q440" s="6" t="s">
        <v>30</v>
      </c>
      <c r="R440" s="11" t="s">
        <v>30</v>
      </c>
      <c r="S440" s="6" t="s">
        <v>30</v>
      </c>
      <c r="T440" s="11" t="s">
        <v>30</v>
      </c>
      <c r="U440" s="6" t="s">
        <v>30</v>
      </c>
      <c r="V440" s="6" t="s">
        <v>30</v>
      </c>
      <c r="W440" s="6" t="s">
        <v>30</v>
      </c>
      <c r="X440" s="2" t="s">
        <v>30</v>
      </c>
      <c r="Y440" s="6" t="str">
        <f aca="false">IF(AND(X440="processed",ISNUMBER(S440)),S440*O440,"")</f>
        <v/>
      </c>
      <c r="Z440" s="6" t="n">
        <f aca="false">IF(ISNUMBER(K440),K440*O440,0)</f>
        <v>180</v>
      </c>
      <c r="AA440" s="2" t="s">
        <v>31</v>
      </c>
      <c r="AB440" s="6" t="n">
        <v>3083</v>
      </c>
      <c r="AC440" s="6" t="n">
        <v>2817</v>
      </c>
      <c r="AD440" s="6" t="n">
        <v>110</v>
      </c>
      <c r="AE440" s="6" t="n">
        <v>2207.78198242188</v>
      </c>
      <c r="AF440" s="8" t="n">
        <v>1059.121621622</v>
      </c>
      <c r="AG440" s="11" t="n">
        <v>0.1873310811</v>
      </c>
      <c r="AH440" s="12" t="n">
        <v>0.578000748768516</v>
      </c>
      <c r="AI440" s="2" t="s">
        <v>317</v>
      </c>
      <c r="AJ440" s="2" t="s">
        <v>363</v>
      </c>
      <c r="AK440" s="2" t="s">
        <v>363</v>
      </c>
    </row>
    <row r="441" customFormat="false" ht="15" hidden="false" customHeight="false" outlineLevel="0" collapsed="false">
      <c r="A441" s="9" t="n">
        <v>440</v>
      </c>
      <c r="B441" s="2" t="s">
        <v>1141</v>
      </c>
      <c r="C441" s="2" t="s">
        <v>1142</v>
      </c>
      <c r="D441" s="2" t="s">
        <v>95</v>
      </c>
      <c r="E441" s="2" t="s">
        <v>95</v>
      </c>
      <c r="F441" s="2"/>
      <c r="G441" s="2" t="s">
        <v>330</v>
      </c>
      <c r="H441" s="8" t="n">
        <v>1172.222466757</v>
      </c>
      <c r="I441" s="2" t="s">
        <v>316</v>
      </c>
      <c r="J441" s="8" t="n">
        <v>2304466.66666667</v>
      </c>
      <c r="K441" s="6" t="n">
        <v>60</v>
      </c>
      <c r="L441" s="2"/>
      <c r="M441" s="10" t="b">
        <f aca="false">TRUE()</f>
        <v>1</v>
      </c>
      <c r="N441" s="9" t="n">
        <f aca="false">IF(H441="","",IF(H441&gt;=Assumptions!$B$5,1,IF(H441&gt;=Assumptions!$B$6,2,IF(H441&gt;=Assumptions!$B$7,3,""))))</f>
        <v>1</v>
      </c>
      <c r="O441" s="9" t="n">
        <f aca="false">IF(N441=1,Assumptions!$B$8,IF(N441=2,Assumptions!$B$9,IF(N441=3,Assumptions!$B$10,0)))</f>
        <v>3</v>
      </c>
      <c r="P441" s="6" t="s">
        <v>30</v>
      </c>
      <c r="Q441" s="6" t="s">
        <v>30</v>
      </c>
      <c r="R441" s="11" t="s">
        <v>30</v>
      </c>
      <c r="S441" s="6" t="s">
        <v>30</v>
      </c>
      <c r="T441" s="11" t="s">
        <v>30</v>
      </c>
      <c r="U441" s="6" t="s">
        <v>30</v>
      </c>
      <c r="V441" s="6" t="s">
        <v>30</v>
      </c>
      <c r="W441" s="6" t="s">
        <v>30</v>
      </c>
      <c r="X441" s="2" t="s">
        <v>30</v>
      </c>
      <c r="Y441" s="6" t="str">
        <f aca="false">IF(AND(X441="processed",ISNUMBER(S441)),S441*O441,"")</f>
        <v/>
      </c>
      <c r="Z441" s="6" t="n">
        <f aca="false">IF(ISNUMBER(K441),K441*O441,0)</f>
        <v>180</v>
      </c>
      <c r="AA441" s="2" t="s">
        <v>31</v>
      </c>
      <c r="AB441" s="6" t="n">
        <v>5052</v>
      </c>
      <c r="AC441" s="6" t="n">
        <v>3827</v>
      </c>
      <c r="AD441" s="6" t="n">
        <v>105</v>
      </c>
      <c r="AE441" s="6" t="n">
        <v>1501.90905761719</v>
      </c>
      <c r="AF441" s="8" t="n">
        <v>1402.877697842</v>
      </c>
      <c r="AG441" s="11" t="n">
        <v>0.3043549893</v>
      </c>
      <c r="AH441" s="12" t="n">
        <v>0.793115096799318</v>
      </c>
      <c r="AI441" s="2" t="s">
        <v>321</v>
      </c>
      <c r="AJ441" s="2" t="s">
        <v>1142</v>
      </c>
      <c r="AK441" s="2" t="s">
        <v>1142</v>
      </c>
    </row>
    <row r="442" customFormat="false" ht="15" hidden="false" customHeight="false" outlineLevel="0" collapsed="false">
      <c r="A442" s="9" t="n">
        <v>441</v>
      </c>
      <c r="B442" s="2" t="s">
        <v>1143</v>
      </c>
      <c r="C442" s="2" t="s">
        <v>1122</v>
      </c>
      <c r="D442" s="2" t="s">
        <v>44</v>
      </c>
      <c r="E442" s="2" t="s">
        <v>44</v>
      </c>
      <c r="F442" s="2" t="s">
        <v>1144</v>
      </c>
      <c r="G442" s="2" t="s">
        <v>322</v>
      </c>
      <c r="H442" s="8" t="n">
        <v>504.943514029582</v>
      </c>
      <c r="I442" s="2" t="s">
        <v>316</v>
      </c>
      <c r="J442" s="8" t="n">
        <v>985649.717514124</v>
      </c>
      <c r="K442" s="6" t="n">
        <v>177</v>
      </c>
      <c r="L442" s="2"/>
      <c r="M442" s="10" t="b">
        <f aca="false">TRUE()</f>
        <v>1</v>
      </c>
      <c r="N442" s="9" t="n">
        <f aca="false">IF(H442="","",IF(H442&gt;=Assumptions!$B$5,1,IF(H442&gt;=Assumptions!$B$6,2,IF(H442&gt;=Assumptions!$B$7,3,""))))</f>
        <v>3</v>
      </c>
      <c r="O442" s="9" t="n">
        <f aca="false">IF(N442=1,Assumptions!$B$8,IF(N442=2,Assumptions!$B$9,IF(N442=3,Assumptions!$B$10,0)))</f>
        <v>1</v>
      </c>
      <c r="P442" s="6" t="s">
        <v>30</v>
      </c>
      <c r="Q442" s="6" t="s">
        <v>30</v>
      </c>
      <c r="R442" s="11" t="s">
        <v>30</v>
      </c>
      <c r="S442" s="6" t="s">
        <v>30</v>
      </c>
      <c r="T442" s="11" t="s">
        <v>30</v>
      </c>
      <c r="U442" s="6" t="s">
        <v>30</v>
      </c>
      <c r="V442" s="6" t="s">
        <v>30</v>
      </c>
      <c r="W442" s="6" t="s">
        <v>30</v>
      </c>
      <c r="X442" s="2" t="s">
        <v>30</v>
      </c>
      <c r="Y442" s="6" t="str">
        <f aca="false">IF(AND(X442="processed",ISNUMBER(S442)),S442*O442,"")</f>
        <v/>
      </c>
      <c r="Z442" s="6" t="n">
        <f aca="false">IF(ISNUMBER(K442),K442*O442,0)</f>
        <v>177</v>
      </c>
      <c r="AA442" s="2" t="s">
        <v>31</v>
      </c>
      <c r="AB442" s="6" t="n">
        <v>14795</v>
      </c>
      <c r="AC442" s="6" t="n">
        <v>12024</v>
      </c>
      <c r="AD442" s="6" t="n">
        <v>8625</v>
      </c>
      <c r="AE442" s="6" t="n">
        <v>2279.84765625</v>
      </c>
      <c r="AF442" s="8" t="n">
        <v>516.444937177</v>
      </c>
      <c r="AG442" s="11" t="n">
        <v>-0.02119277143</v>
      </c>
      <c r="AH442" s="12" t="n">
        <v>1</v>
      </c>
      <c r="AI442" s="2" t="s">
        <v>317</v>
      </c>
      <c r="AJ442" s="2" t="s">
        <v>1122</v>
      </c>
      <c r="AK442" s="2" t="s">
        <v>1122</v>
      </c>
    </row>
    <row r="443" customFormat="false" ht="15" hidden="false" customHeight="false" outlineLevel="0" collapsed="false">
      <c r="A443" s="9" t="n">
        <v>442</v>
      </c>
      <c r="B443" s="2" t="s">
        <v>1145</v>
      </c>
      <c r="C443" s="2" t="s">
        <v>681</v>
      </c>
      <c r="D443" s="2" t="s">
        <v>27</v>
      </c>
      <c r="E443" s="2" t="s">
        <v>28</v>
      </c>
      <c r="F443" s="2"/>
      <c r="G443" s="2" t="s">
        <v>315</v>
      </c>
      <c r="H443" s="8" t="n">
        <v>675.814541268295</v>
      </c>
      <c r="I443" s="2" t="s">
        <v>316</v>
      </c>
      <c r="J443" s="8" t="n">
        <v>1047823.86363636</v>
      </c>
      <c r="K443" s="6" t="n">
        <v>88</v>
      </c>
      <c r="L443" s="2"/>
      <c r="M443" s="10" t="b">
        <f aca="false">TRUE()</f>
        <v>1</v>
      </c>
      <c r="N443" s="9" t="n">
        <f aca="false">IF(H443="","",IF(H443&gt;=Assumptions!$B$5,1,IF(H443&gt;=Assumptions!$B$6,2,IF(H443&gt;=Assumptions!$B$7,3,""))))</f>
        <v>2</v>
      </c>
      <c r="O443" s="9" t="n">
        <f aca="false">IF(N443=1,Assumptions!$B$8,IF(N443=2,Assumptions!$B$9,IF(N443=3,Assumptions!$B$10,0)))</f>
        <v>2</v>
      </c>
      <c r="P443" s="6" t="s">
        <v>30</v>
      </c>
      <c r="Q443" s="6" t="s">
        <v>30</v>
      </c>
      <c r="R443" s="11" t="s">
        <v>30</v>
      </c>
      <c r="S443" s="6" t="s">
        <v>30</v>
      </c>
      <c r="T443" s="11" t="s">
        <v>30</v>
      </c>
      <c r="U443" s="6" t="s">
        <v>30</v>
      </c>
      <c r="V443" s="6" t="s">
        <v>30</v>
      </c>
      <c r="W443" s="6" t="s">
        <v>30</v>
      </c>
      <c r="X443" s="2" t="s">
        <v>30</v>
      </c>
      <c r="Y443" s="6" t="str">
        <f aca="false">IF(AND(X443="processed",ISNUMBER(S443)),S443*O443,"")</f>
        <v/>
      </c>
      <c r="Z443" s="6" t="n">
        <f aca="false">IF(ISNUMBER(K443),K443*O443,0)</f>
        <v>176</v>
      </c>
      <c r="AA443" s="2" t="s">
        <v>31</v>
      </c>
      <c r="AB443" s="6" t="n">
        <v>8753</v>
      </c>
      <c r="AC443" s="6" t="n">
        <v>7809</v>
      </c>
      <c r="AD443" s="6" t="n">
        <v>490</v>
      </c>
      <c r="AE443" s="6" t="n">
        <v>2515.17944335938</v>
      </c>
      <c r="AF443" s="8" t="n">
        <v>709.459459459</v>
      </c>
      <c r="AG443" s="11" t="n">
        <v>0.05475137059</v>
      </c>
      <c r="AH443" s="12" t="n">
        <v>0.999999999999999</v>
      </c>
      <c r="AI443" s="2" t="s">
        <v>665</v>
      </c>
      <c r="AJ443" s="2" t="s">
        <v>1146</v>
      </c>
      <c r="AK443" s="2" t="s">
        <v>681</v>
      </c>
    </row>
    <row r="444" customFormat="false" ht="15" hidden="false" customHeight="false" outlineLevel="0" collapsed="false">
      <c r="A444" s="9" t="n">
        <v>443</v>
      </c>
      <c r="B444" s="2" t="s">
        <v>1147</v>
      </c>
      <c r="C444" s="2" t="s">
        <v>526</v>
      </c>
      <c r="D444" s="2" t="s">
        <v>34</v>
      </c>
      <c r="E444" s="2" t="s">
        <v>35</v>
      </c>
      <c r="F444" s="2"/>
      <c r="G444" s="2" t="s">
        <v>318</v>
      </c>
      <c r="H444" s="8" t="n">
        <v>613.688363490989</v>
      </c>
      <c r="I444" s="2" t="s">
        <v>316</v>
      </c>
      <c r="J444" s="8" t="n">
        <v>865408.5</v>
      </c>
      <c r="K444" s="6" t="n">
        <v>88</v>
      </c>
      <c r="L444" s="2"/>
      <c r="M444" s="10" t="b">
        <f aca="false">TRUE()</f>
        <v>1</v>
      </c>
      <c r="N444" s="9" t="n">
        <f aca="false">IF(H444="","",IF(H444&gt;=Assumptions!$B$5,1,IF(H444&gt;=Assumptions!$B$6,2,IF(H444&gt;=Assumptions!$B$7,3,""))))</f>
        <v>2</v>
      </c>
      <c r="O444" s="9" t="n">
        <f aca="false">IF(N444=1,Assumptions!$B$8,IF(N444=2,Assumptions!$B$9,IF(N444=3,Assumptions!$B$10,0)))</f>
        <v>2</v>
      </c>
      <c r="P444" s="6" t="s">
        <v>30</v>
      </c>
      <c r="Q444" s="6" t="s">
        <v>30</v>
      </c>
      <c r="R444" s="11" t="s">
        <v>30</v>
      </c>
      <c r="S444" s="6" t="s">
        <v>30</v>
      </c>
      <c r="T444" s="11" t="s">
        <v>30</v>
      </c>
      <c r="U444" s="6" t="s">
        <v>30</v>
      </c>
      <c r="V444" s="6" t="s">
        <v>30</v>
      </c>
      <c r="W444" s="6" t="s">
        <v>30</v>
      </c>
      <c r="X444" s="2" t="s">
        <v>30</v>
      </c>
      <c r="Y444" s="6" t="str">
        <f aca="false">IF(AND(X444="processed",ISNUMBER(S444)),S444*O444,"")</f>
        <v/>
      </c>
      <c r="Z444" s="6" t="n">
        <f aca="false">IF(ISNUMBER(K444),K444*O444,0)</f>
        <v>176</v>
      </c>
      <c r="AA444" s="2" t="s">
        <v>31</v>
      </c>
      <c r="AB444" s="6" t="n">
        <v>7953</v>
      </c>
      <c r="AC444" s="6" t="n">
        <v>6361</v>
      </c>
      <c r="AD444" s="6" t="n">
        <v>3229</v>
      </c>
      <c r="AE444" s="6" t="n">
        <v>2075.41357421875</v>
      </c>
      <c r="AF444" s="8" t="n">
        <v>622.571243523</v>
      </c>
      <c r="AG444" s="11" t="n">
        <v>-0.08096625956</v>
      </c>
      <c r="AH444" s="12" t="n">
        <v>0.98426285964443</v>
      </c>
      <c r="AI444" s="2" t="s">
        <v>319</v>
      </c>
      <c r="AJ444" s="2"/>
      <c r="AK444" s="2" t="s">
        <v>526</v>
      </c>
    </row>
    <row r="445" customFormat="false" ht="15" hidden="false" customHeight="false" outlineLevel="0" collapsed="false">
      <c r="A445" s="9" t="n">
        <v>444</v>
      </c>
      <c r="B445" s="2" t="s">
        <v>1148</v>
      </c>
      <c r="C445" s="2" t="s">
        <v>278</v>
      </c>
      <c r="D445" s="2" t="s">
        <v>70</v>
      </c>
      <c r="E445" s="2" t="s">
        <v>71</v>
      </c>
      <c r="F445" s="2" t="s">
        <v>1149</v>
      </c>
      <c r="G445" s="2" t="s">
        <v>329</v>
      </c>
      <c r="H445" s="8" t="n">
        <v>978.186718464224</v>
      </c>
      <c r="I445" s="2" t="s">
        <v>316</v>
      </c>
      <c r="J445" s="8" t="n">
        <v>2159827.5862069</v>
      </c>
      <c r="K445" s="6" t="n">
        <v>58</v>
      </c>
      <c r="L445" s="2"/>
      <c r="M445" s="10" t="b">
        <f aca="false">TRUE()</f>
        <v>1</v>
      </c>
      <c r="N445" s="9" t="n">
        <f aca="false">IF(H445="","",IF(H445&gt;=Assumptions!$B$5,1,IF(H445&gt;=Assumptions!$B$6,2,IF(H445&gt;=Assumptions!$B$7,3,""))))</f>
        <v>1</v>
      </c>
      <c r="O445" s="9" t="n">
        <f aca="false">IF(N445=1,Assumptions!$B$8,IF(N445=2,Assumptions!$B$9,IF(N445=3,Assumptions!$B$10,0)))</f>
        <v>3</v>
      </c>
      <c r="P445" s="6" t="s">
        <v>30</v>
      </c>
      <c r="Q445" s="6" t="s">
        <v>30</v>
      </c>
      <c r="R445" s="11" t="s">
        <v>30</v>
      </c>
      <c r="S445" s="6" t="s">
        <v>30</v>
      </c>
      <c r="T445" s="11" t="s">
        <v>30</v>
      </c>
      <c r="U445" s="6" t="s">
        <v>30</v>
      </c>
      <c r="V445" s="6" t="s">
        <v>30</v>
      </c>
      <c r="W445" s="6" t="s">
        <v>30</v>
      </c>
      <c r="X445" s="2" t="s">
        <v>30</v>
      </c>
      <c r="Y445" s="6" t="str">
        <f aca="false">IF(AND(X445="processed",ISNUMBER(S445)),S445*O445,"")</f>
        <v/>
      </c>
      <c r="Z445" s="6" t="n">
        <f aca="false">IF(ISNUMBER(K445),K445*O445,0)</f>
        <v>174</v>
      </c>
      <c r="AA445" s="2" t="s">
        <v>31</v>
      </c>
      <c r="AB445" s="6" t="n">
        <v>7250</v>
      </c>
      <c r="AC445" s="6" t="n">
        <v>5521</v>
      </c>
      <c r="AD445" s="6" t="n">
        <v>604</v>
      </c>
      <c r="AE445" s="6" t="n">
        <v>1857.93444824219</v>
      </c>
      <c r="AF445" s="8" t="n">
        <v>923.652087145</v>
      </c>
      <c r="AG445" s="11" t="n">
        <v>-0.09126844657</v>
      </c>
      <c r="AH445" s="12" t="n">
        <v>1</v>
      </c>
      <c r="AI445" s="2" t="s">
        <v>317</v>
      </c>
      <c r="AJ445" s="2" t="s">
        <v>278</v>
      </c>
      <c r="AK445" s="2" t="s">
        <v>278</v>
      </c>
    </row>
    <row r="446" customFormat="false" ht="15" hidden="false" customHeight="false" outlineLevel="0" collapsed="false">
      <c r="A446" s="9" t="n">
        <v>445</v>
      </c>
      <c r="B446" s="2" t="s">
        <v>1150</v>
      </c>
      <c r="C446" s="2" t="s">
        <v>403</v>
      </c>
      <c r="D446" s="2" t="s">
        <v>70</v>
      </c>
      <c r="E446" s="2" t="s">
        <v>71</v>
      </c>
      <c r="F446" s="2"/>
      <c r="G446" s="2" t="s">
        <v>329</v>
      </c>
      <c r="H446" s="8" t="n">
        <v>851.234918030328</v>
      </c>
      <c r="I446" s="2" t="s">
        <v>316</v>
      </c>
      <c r="J446" s="8" t="n">
        <v>1931051.72413793</v>
      </c>
      <c r="K446" s="6" t="n">
        <v>58</v>
      </c>
      <c r="L446" s="2"/>
      <c r="M446" s="10" t="b">
        <f aca="false">TRUE()</f>
        <v>1</v>
      </c>
      <c r="N446" s="9" t="n">
        <f aca="false">IF(H446="","",IF(H446&gt;=Assumptions!$B$5,1,IF(H446&gt;=Assumptions!$B$6,2,IF(H446&gt;=Assumptions!$B$7,3,""))))</f>
        <v>1</v>
      </c>
      <c r="O446" s="9" t="n">
        <f aca="false">IF(N446=1,Assumptions!$B$8,IF(N446=2,Assumptions!$B$9,IF(N446=3,Assumptions!$B$10,0)))</f>
        <v>3</v>
      </c>
      <c r="P446" s="6" t="s">
        <v>30</v>
      </c>
      <c r="Q446" s="6" t="s">
        <v>30</v>
      </c>
      <c r="R446" s="11" t="s">
        <v>30</v>
      </c>
      <c r="S446" s="6" t="s">
        <v>30</v>
      </c>
      <c r="T446" s="11" t="s">
        <v>30</v>
      </c>
      <c r="U446" s="6" t="s">
        <v>30</v>
      </c>
      <c r="V446" s="6" t="s">
        <v>30</v>
      </c>
      <c r="W446" s="6" t="s">
        <v>30</v>
      </c>
      <c r="X446" s="2" t="s">
        <v>30</v>
      </c>
      <c r="Y446" s="6" t="str">
        <f aca="false">IF(AND(X446="processed",ISNUMBER(S446)),S446*O446,"")</f>
        <v/>
      </c>
      <c r="Z446" s="6" t="n">
        <f aca="false">IF(ISNUMBER(K446),K446*O446,0)</f>
        <v>174</v>
      </c>
      <c r="AA446" s="2" t="s">
        <v>31</v>
      </c>
      <c r="AB446" s="6" t="n">
        <v>4567</v>
      </c>
      <c r="AC446" s="6" t="n">
        <v>3135</v>
      </c>
      <c r="AD446" s="6" t="n">
        <v>26</v>
      </c>
      <c r="AE446" s="6" t="n">
        <v>2260.78173828125</v>
      </c>
      <c r="AF446" s="8" t="n">
        <v>861.78184846</v>
      </c>
      <c r="AG446" s="11" t="n">
        <v>-0.09123366133</v>
      </c>
      <c r="AH446" s="12" t="n">
        <v>0.999999999999999</v>
      </c>
      <c r="AI446" s="2" t="s">
        <v>317</v>
      </c>
      <c r="AJ446" s="2" t="s">
        <v>403</v>
      </c>
      <c r="AK446" s="2" t="s">
        <v>403</v>
      </c>
    </row>
    <row r="447" customFormat="false" ht="15" hidden="false" customHeight="false" outlineLevel="0" collapsed="false">
      <c r="A447" s="9" t="n">
        <v>446</v>
      </c>
      <c r="B447" s="2" t="s">
        <v>1151</v>
      </c>
      <c r="C447" s="2" t="s">
        <v>1152</v>
      </c>
      <c r="D447" s="2" t="s">
        <v>44</v>
      </c>
      <c r="E447" s="2" t="s">
        <v>44</v>
      </c>
      <c r="F447" s="2" t="s">
        <v>1153</v>
      </c>
      <c r="G447" s="2" t="s">
        <v>322</v>
      </c>
      <c r="H447" s="8" t="n">
        <v>652.71065015223</v>
      </c>
      <c r="I447" s="2" t="s">
        <v>316</v>
      </c>
      <c r="J447" s="8" t="n">
        <v>844137.931034483</v>
      </c>
      <c r="K447" s="6" t="n">
        <v>87</v>
      </c>
      <c r="L447" s="2"/>
      <c r="M447" s="10" t="b">
        <f aca="false">TRUE()</f>
        <v>1</v>
      </c>
      <c r="N447" s="9" t="n">
        <f aca="false">IF(H447="","",IF(H447&gt;=Assumptions!$B$5,1,IF(H447&gt;=Assumptions!$B$6,2,IF(H447&gt;=Assumptions!$B$7,3,""))))</f>
        <v>2</v>
      </c>
      <c r="O447" s="9" t="n">
        <f aca="false">IF(N447=1,Assumptions!$B$8,IF(N447=2,Assumptions!$B$9,IF(N447=3,Assumptions!$B$10,0)))</f>
        <v>2</v>
      </c>
      <c r="P447" s="6" t="s">
        <v>30</v>
      </c>
      <c r="Q447" s="6" t="s">
        <v>30</v>
      </c>
      <c r="R447" s="11" t="s">
        <v>30</v>
      </c>
      <c r="S447" s="6" t="s">
        <v>30</v>
      </c>
      <c r="T447" s="11" t="s">
        <v>30</v>
      </c>
      <c r="U447" s="6" t="s">
        <v>30</v>
      </c>
      <c r="V447" s="6" t="s">
        <v>30</v>
      </c>
      <c r="W447" s="6" t="s">
        <v>30</v>
      </c>
      <c r="X447" s="2" t="s">
        <v>30</v>
      </c>
      <c r="Y447" s="6" t="str">
        <f aca="false">IF(AND(X447="processed",ISNUMBER(S447)),S447*O447,"")</f>
        <v/>
      </c>
      <c r="Z447" s="6" t="n">
        <f aca="false">IF(ISNUMBER(K447),K447*O447,0)</f>
        <v>174</v>
      </c>
      <c r="AA447" s="2" t="s">
        <v>31</v>
      </c>
      <c r="AB447" s="6" t="n">
        <v>8681</v>
      </c>
      <c r="AC447" s="6" t="n">
        <v>5524</v>
      </c>
      <c r="AD447" s="6" t="n">
        <v>2380</v>
      </c>
      <c r="AE447" s="6" t="n">
        <v>1807.94970703125</v>
      </c>
      <c r="AF447" s="8" t="n">
        <v>628.970588235</v>
      </c>
      <c r="AG447" s="11" t="n">
        <v>0.01207085561</v>
      </c>
      <c r="AH447" s="12" t="n">
        <v>0.787982948978426</v>
      </c>
      <c r="AI447" s="2" t="s">
        <v>317</v>
      </c>
      <c r="AJ447" s="2" t="s">
        <v>1152</v>
      </c>
      <c r="AK447" s="2" t="s">
        <v>1152</v>
      </c>
    </row>
    <row r="448" customFormat="false" ht="15" hidden="false" customHeight="false" outlineLevel="0" collapsed="false">
      <c r="A448" s="9" t="n">
        <v>447</v>
      </c>
      <c r="B448" s="2" t="s">
        <v>1154</v>
      </c>
      <c r="C448" s="2" t="s">
        <v>1155</v>
      </c>
      <c r="D448" s="2" t="s">
        <v>197</v>
      </c>
      <c r="E448" s="2" t="s">
        <v>51</v>
      </c>
      <c r="F448" s="2"/>
      <c r="G448" s="2" t="s">
        <v>338</v>
      </c>
      <c r="H448" s="8" t="n">
        <v>831.822950469431</v>
      </c>
      <c r="I448" s="2" t="s">
        <v>316</v>
      </c>
      <c r="J448" s="8" t="n">
        <v>1446810.34482759</v>
      </c>
      <c r="K448" s="6" t="n">
        <v>58</v>
      </c>
      <c r="L448" s="2"/>
      <c r="M448" s="10" t="b">
        <f aca="false">TRUE()</f>
        <v>1</v>
      </c>
      <c r="N448" s="9" t="n">
        <f aca="false">IF(H448="","",IF(H448&gt;=Assumptions!$B$5,1,IF(H448&gt;=Assumptions!$B$6,2,IF(H448&gt;=Assumptions!$B$7,3,""))))</f>
        <v>1</v>
      </c>
      <c r="O448" s="9" t="n">
        <f aca="false">IF(N448=1,Assumptions!$B$8,IF(N448=2,Assumptions!$B$9,IF(N448=3,Assumptions!$B$10,0)))</f>
        <v>3</v>
      </c>
      <c r="P448" s="6" t="s">
        <v>30</v>
      </c>
      <c r="Q448" s="6" t="s">
        <v>30</v>
      </c>
      <c r="R448" s="11" t="s">
        <v>30</v>
      </c>
      <c r="S448" s="6" t="s">
        <v>30</v>
      </c>
      <c r="T448" s="11" t="s">
        <v>30</v>
      </c>
      <c r="U448" s="6" t="s">
        <v>30</v>
      </c>
      <c r="V448" s="6" t="s">
        <v>30</v>
      </c>
      <c r="W448" s="6" t="s">
        <v>30</v>
      </c>
      <c r="X448" s="2" t="s">
        <v>30</v>
      </c>
      <c r="Y448" s="6" t="str">
        <f aca="false">IF(AND(X448="processed",ISNUMBER(S448)),S448*O448,"")</f>
        <v/>
      </c>
      <c r="Z448" s="6" t="n">
        <f aca="false">IF(ISNUMBER(K448),K448*O448,0)</f>
        <v>174</v>
      </c>
      <c r="AA448" s="2" t="s">
        <v>31</v>
      </c>
      <c r="AB448" s="6" t="n">
        <v>5468</v>
      </c>
      <c r="AC448" s="6" t="n">
        <v>4700</v>
      </c>
      <c r="AD448" s="6" t="n">
        <v>4242</v>
      </c>
      <c r="AE448" s="6" t="n">
        <v>1903.2041015625</v>
      </c>
      <c r="AF448" s="8" t="n">
        <v>962.410887881</v>
      </c>
      <c r="AG448" s="11" t="n">
        <v>0.2028424699</v>
      </c>
      <c r="AH448" s="12" t="n">
        <v>1</v>
      </c>
      <c r="AI448" s="2" t="s">
        <v>317</v>
      </c>
      <c r="AJ448" s="2" t="s">
        <v>1155</v>
      </c>
      <c r="AK448" s="2" t="s">
        <v>339</v>
      </c>
    </row>
    <row r="449" customFormat="false" ht="15" hidden="false" customHeight="false" outlineLevel="0" collapsed="false">
      <c r="A449" s="9" t="n">
        <v>448</v>
      </c>
      <c r="B449" s="2" t="s">
        <v>1156</v>
      </c>
      <c r="C449" s="2" t="s">
        <v>585</v>
      </c>
      <c r="D449" s="2" t="s">
        <v>27</v>
      </c>
      <c r="E449" s="2" t="s">
        <v>28</v>
      </c>
      <c r="F449" s="2" t="s">
        <v>1157</v>
      </c>
      <c r="G449" s="2" t="s">
        <v>315</v>
      </c>
      <c r="H449" s="8" t="n">
        <v>649.952224269291</v>
      </c>
      <c r="I449" s="2" t="s">
        <v>316</v>
      </c>
      <c r="J449" s="8" t="n">
        <v>875186.046511628</v>
      </c>
      <c r="K449" s="6" t="n">
        <v>86</v>
      </c>
      <c r="L449" s="2"/>
      <c r="M449" s="10" t="b">
        <f aca="false">TRUE()</f>
        <v>1</v>
      </c>
      <c r="N449" s="9" t="n">
        <f aca="false">IF(H449="","",IF(H449&gt;=Assumptions!$B$5,1,IF(H449&gt;=Assumptions!$B$6,2,IF(H449&gt;=Assumptions!$B$7,3,""))))</f>
        <v>2</v>
      </c>
      <c r="O449" s="9" t="n">
        <f aca="false">IF(N449=1,Assumptions!$B$8,IF(N449=2,Assumptions!$B$9,IF(N449=3,Assumptions!$B$10,0)))</f>
        <v>2</v>
      </c>
      <c r="P449" s="6" t="s">
        <v>30</v>
      </c>
      <c r="Q449" s="6" t="s">
        <v>30</v>
      </c>
      <c r="R449" s="11" t="s">
        <v>30</v>
      </c>
      <c r="S449" s="6" t="s">
        <v>30</v>
      </c>
      <c r="T449" s="11" t="s">
        <v>30</v>
      </c>
      <c r="U449" s="6" t="s">
        <v>30</v>
      </c>
      <c r="V449" s="6" t="s">
        <v>30</v>
      </c>
      <c r="W449" s="6" t="s">
        <v>30</v>
      </c>
      <c r="X449" s="2" t="s">
        <v>30</v>
      </c>
      <c r="Y449" s="6" t="str">
        <f aca="false">IF(AND(X449="processed",ISNUMBER(S449)),S449*O449,"")</f>
        <v/>
      </c>
      <c r="Z449" s="6" t="n">
        <f aca="false">IF(ISNUMBER(K449),K449*O449,0)</f>
        <v>172</v>
      </c>
      <c r="AA449" s="2" t="s">
        <v>31</v>
      </c>
      <c r="AB449" s="6" t="n">
        <v>11118</v>
      </c>
      <c r="AC449" s="6" t="n">
        <v>9239</v>
      </c>
      <c r="AD449" s="6" t="n">
        <v>248</v>
      </c>
      <c r="AE449" s="6" t="n">
        <v>2351.06518554688</v>
      </c>
      <c r="AF449" s="8" t="n">
        <v>649.847094801</v>
      </c>
      <c r="AG449" s="11" t="n">
        <v>0.0499547579</v>
      </c>
      <c r="AH449" s="12" t="n">
        <v>1</v>
      </c>
      <c r="AI449" s="2" t="s">
        <v>321</v>
      </c>
      <c r="AJ449" s="2" t="s">
        <v>585</v>
      </c>
      <c r="AK449" s="2" t="s">
        <v>585</v>
      </c>
    </row>
    <row r="450" customFormat="false" ht="15" hidden="false" customHeight="false" outlineLevel="0" collapsed="false">
      <c r="A450" s="9" t="n">
        <v>449</v>
      </c>
      <c r="B450" s="2" t="s">
        <v>1158</v>
      </c>
      <c r="C450" s="2" t="s">
        <v>452</v>
      </c>
      <c r="D450" s="2" t="s">
        <v>70</v>
      </c>
      <c r="E450" s="2" t="s">
        <v>71</v>
      </c>
      <c r="F450" s="2"/>
      <c r="G450" s="2" t="s">
        <v>329</v>
      </c>
      <c r="H450" s="8" t="n">
        <v>816.680076799877</v>
      </c>
      <c r="I450" s="2" t="s">
        <v>316</v>
      </c>
      <c r="J450" s="8" t="n">
        <v>1477631.57894737</v>
      </c>
      <c r="K450" s="6" t="n">
        <v>57</v>
      </c>
      <c r="L450" s="2"/>
      <c r="M450" s="10" t="b">
        <f aca="false">TRUE()</f>
        <v>1</v>
      </c>
      <c r="N450" s="9" t="n">
        <f aca="false">IF(H450="","",IF(H450&gt;=Assumptions!$B$5,1,IF(H450&gt;=Assumptions!$B$6,2,IF(H450&gt;=Assumptions!$B$7,3,""))))</f>
        <v>1</v>
      </c>
      <c r="O450" s="9" t="n">
        <f aca="false">IF(N450=1,Assumptions!$B$8,IF(N450=2,Assumptions!$B$9,IF(N450=3,Assumptions!$B$10,0)))</f>
        <v>3</v>
      </c>
      <c r="P450" s="6" t="s">
        <v>30</v>
      </c>
      <c r="Q450" s="6" t="s">
        <v>30</v>
      </c>
      <c r="R450" s="11" t="s">
        <v>30</v>
      </c>
      <c r="S450" s="6" t="s">
        <v>30</v>
      </c>
      <c r="T450" s="11" t="s">
        <v>30</v>
      </c>
      <c r="U450" s="6" t="s">
        <v>30</v>
      </c>
      <c r="V450" s="6" t="s">
        <v>30</v>
      </c>
      <c r="W450" s="6" t="s">
        <v>30</v>
      </c>
      <c r="X450" s="2" t="s">
        <v>30</v>
      </c>
      <c r="Y450" s="6" t="str">
        <f aca="false">IF(AND(X450="processed",ISNUMBER(S450)),S450*O450,"")</f>
        <v/>
      </c>
      <c r="Z450" s="6" t="n">
        <f aca="false">IF(ISNUMBER(K450),K450*O450,0)</f>
        <v>171</v>
      </c>
      <c r="AA450" s="2" t="s">
        <v>31</v>
      </c>
      <c r="AB450" s="6" t="n">
        <v>5218</v>
      </c>
      <c r="AC450" s="6" t="n">
        <v>4040</v>
      </c>
      <c r="AD450" s="6" t="n">
        <v>24</v>
      </c>
      <c r="AE450" s="6" t="n">
        <v>2018.87475585938</v>
      </c>
      <c r="AF450" s="8" t="n">
        <v>802.23880597</v>
      </c>
      <c r="AG450" s="11" t="n">
        <v>-0.1830073769</v>
      </c>
      <c r="AH450" s="12" t="n">
        <v>1</v>
      </c>
      <c r="AI450" s="2" t="s">
        <v>317</v>
      </c>
      <c r="AJ450" s="2" t="s">
        <v>452</v>
      </c>
      <c r="AK450" s="2" t="s">
        <v>452</v>
      </c>
    </row>
    <row r="451" customFormat="false" ht="15" hidden="false" customHeight="false" outlineLevel="0" collapsed="false">
      <c r="A451" s="9" t="n">
        <v>450</v>
      </c>
      <c r="B451" s="2" t="s">
        <v>1159</v>
      </c>
      <c r="C451" s="2" t="s">
        <v>1160</v>
      </c>
      <c r="D451" s="2" t="s">
        <v>70</v>
      </c>
      <c r="E451" s="2" t="s">
        <v>71</v>
      </c>
      <c r="F451" s="2"/>
      <c r="G451" s="2" t="s">
        <v>329</v>
      </c>
      <c r="H451" s="8" t="n">
        <v>572.169445312734</v>
      </c>
      <c r="I451" s="2" t="s">
        <v>316</v>
      </c>
      <c r="J451" s="8" t="n">
        <v>741526.627218935</v>
      </c>
      <c r="K451" s="6" t="n">
        <v>169</v>
      </c>
      <c r="L451" s="2"/>
      <c r="M451" s="10" t="b">
        <f aca="false">TRUE()</f>
        <v>1</v>
      </c>
      <c r="N451" s="9" t="n">
        <f aca="false">IF(H451="","",IF(H451&gt;=Assumptions!$B$5,1,IF(H451&gt;=Assumptions!$B$6,2,IF(H451&gt;=Assumptions!$B$7,3,""))))</f>
        <v>3</v>
      </c>
      <c r="O451" s="9" t="n">
        <f aca="false">IF(N451=1,Assumptions!$B$8,IF(N451=2,Assumptions!$B$9,IF(N451=3,Assumptions!$B$10,0)))</f>
        <v>1</v>
      </c>
      <c r="P451" s="6" t="s">
        <v>30</v>
      </c>
      <c r="Q451" s="6" t="s">
        <v>30</v>
      </c>
      <c r="R451" s="11" t="s">
        <v>30</v>
      </c>
      <c r="S451" s="6" t="s">
        <v>30</v>
      </c>
      <c r="T451" s="11" t="s">
        <v>30</v>
      </c>
      <c r="U451" s="6" t="s">
        <v>30</v>
      </c>
      <c r="V451" s="6" t="s">
        <v>30</v>
      </c>
      <c r="W451" s="6" t="s">
        <v>30</v>
      </c>
      <c r="X451" s="2" t="s">
        <v>30</v>
      </c>
      <c r="Y451" s="6" t="str">
        <f aca="false">IF(AND(X451="processed",ISNUMBER(S451)),S451*O451,"")</f>
        <v/>
      </c>
      <c r="Z451" s="6" t="n">
        <f aca="false">IF(ISNUMBER(K451),K451*O451,0)</f>
        <v>169</v>
      </c>
      <c r="AA451" s="2" t="s">
        <v>31</v>
      </c>
      <c r="AB451" s="6" t="n">
        <v>22784</v>
      </c>
      <c r="AC451" s="6" t="n">
        <v>16225</v>
      </c>
      <c r="AD451" s="6" t="n">
        <v>180</v>
      </c>
      <c r="AE451" s="6" t="n">
        <v>1806.36987304688</v>
      </c>
      <c r="AF451" s="8" t="n">
        <v>570.684683735</v>
      </c>
      <c r="AG451" s="11" t="n">
        <v>-0.06458944601</v>
      </c>
      <c r="AH451" s="12" t="n">
        <v>1</v>
      </c>
      <c r="AI451" s="2" t="s">
        <v>317</v>
      </c>
      <c r="AJ451" s="2" t="s">
        <v>1160</v>
      </c>
      <c r="AK451" s="2" t="s">
        <v>1160</v>
      </c>
    </row>
    <row r="452" customFormat="false" ht="15" hidden="false" customHeight="false" outlineLevel="0" collapsed="false">
      <c r="A452" s="9" t="n">
        <v>451</v>
      </c>
      <c r="B452" s="2" t="s">
        <v>1161</v>
      </c>
      <c r="C452" s="2" t="s">
        <v>772</v>
      </c>
      <c r="D452" s="2" t="s">
        <v>105</v>
      </c>
      <c r="E452" s="2" t="s">
        <v>51</v>
      </c>
      <c r="F452" s="2" t="s">
        <v>1162</v>
      </c>
      <c r="G452" s="2" t="s">
        <v>318</v>
      </c>
      <c r="H452" s="8" t="n">
        <v>540.276858339639</v>
      </c>
      <c r="I452" s="2" t="s">
        <v>316</v>
      </c>
      <c r="J452" s="8" t="n">
        <v>739144.970414201</v>
      </c>
      <c r="K452" s="6" t="n">
        <v>169</v>
      </c>
      <c r="L452" s="2"/>
      <c r="M452" s="10" t="b">
        <f aca="false">TRUE()</f>
        <v>1</v>
      </c>
      <c r="N452" s="9" t="n">
        <f aca="false">IF(H452="","",IF(H452&gt;=Assumptions!$B$5,1,IF(H452&gt;=Assumptions!$B$6,2,IF(H452&gt;=Assumptions!$B$7,3,""))))</f>
        <v>3</v>
      </c>
      <c r="O452" s="9" t="n">
        <f aca="false">IF(N452=1,Assumptions!$B$8,IF(N452=2,Assumptions!$B$9,IF(N452=3,Assumptions!$B$10,0)))</f>
        <v>1</v>
      </c>
      <c r="P452" s="6" t="s">
        <v>30</v>
      </c>
      <c r="Q452" s="6" t="s">
        <v>30</v>
      </c>
      <c r="R452" s="11" t="s">
        <v>30</v>
      </c>
      <c r="S452" s="6" t="s">
        <v>30</v>
      </c>
      <c r="T452" s="11" t="s">
        <v>30</v>
      </c>
      <c r="U452" s="6" t="s">
        <v>30</v>
      </c>
      <c r="V452" s="6" t="s">
        <v>30</v>
      </c>
      <c r="W452" s="6" t="s">
        <v>30</v>
      </c>
      <c r="X452" s="2" t="s">
        <v>30</v>
      </c>
      <c r="Y452" s="6" t="str">
        <f aca="false">IF(AND(X452="processed",ISNUMBER(S452)),S452*O452,"")</f>
        <v/>
      </c>
      <c r="Z452" s="6" t="n">
        <f aca="false">IF(ISNUMBER(K452),K452*O452,0)</f>
        <v>169</v>
      </c>
      <c r="AA452" s="2" t="s">
        <v>31</v>
      </c>
      <c r="AB452" s="6" t="n">
        <v>7014</v>
      </c>
      <c r="AC452" s="6" t="n">
        <v>6519</v>
      </c>
      <c r="AD452" s="6" t="n">
        <v>6595</v>
      </c>
      <c r="AE452" s="6" t="n">
        <v>2211.23071289063</v>
      </c>
      <c r="AF452" s="8" t="n">
        <v>556.751551834</v>
      </c>
      <c r="AG452" s="11" t="n">
        <v>0.03886093636</v>
      </c>
      <c r="AH452" s="12" t="n">
        <v>0.999999999999999</v>
      </c>
      <c r="AI452" s="2" t="s">
        <v>317</v>
      </c>
      <c r="AJ452" s="2" t="s">
        <v>772</v>
      </c>
      <c r="AK452" s="2" t="s">
        <v>772</v>
      </c>
    </row>
    <row r="453" customFormat="false" ht="15" hidden="false" customHeight="false" outlineLevel="0" collapsed="false">
      <c r="A453" s="9" t="n">
        <v>452</v>
      </c>
      <c r="B453" s="2" t="s">
        <v>1163</v>
      </c>
      <c r="C453" s="2" t="s">
        <v>1164</v>
      </c>
      <c r="D453" s="2" t="s">
        <v>70</v>
      </c>
      <c r="E453" s="2" t="s">
        <v>71</v>
      </c>
      <c r="F453" s="2" t="s">
        <v>1165</v>
      </c>
      <c r="G453" s="2" t="s">
        <v>329</v>
      </c>
      <c r="H453" s="8" t="n">
        <v>551.469278434619</v>
      </c>
      <c r="I453" s="2" t="s">
        <v>316</v>
      </c>
      <c r="J453" s="8" t="n">
        <v>749982.142857143</v>
      </c>
      <c r="K453" s="6" t="n">
        <v>168</v>
      </c>
      <c r="L453" s="2"/>
      <c r="M453" s="10" t="b">
        <f aca="false">TRUE()</f>
        <v>1</v>
      </c>
      <c r="N453" s="9" t="n">
        <f aca="false">IF(H453="","",IF(H453&gt;=Assumptions!$B$5,1,IF(H453&gt;=Assumptions!$B$6,2,IF(H453&gt;=Assumptions!$B$7,3,""))))</f>
        <v>3</v>
      </c>
      <c r="O453" s="9" t="n">
        <f aca="false">IF(N453=1,Assumptions!$B$8,IF(N453=2,Assumptions!$B$9,IF(N453=3,Assumptions!$B$10,0)))</f>
        <v>1</v>
      </c>
      <c r="P453" s="6" t="s">
        <v>30</v>
      </c>
      <c r="Q453" s="6" t="s">
        <v>30</v>
      </c>
      <c r="R453" s="11" t="s">
        <v>30</v>
      </c>
      <c r="S453" s="6" t="s">
        <v>30</v>
      </c>
      <c r="T453" s="11" t="s">
        <v>30</v>
      </c>
      <c r="U453" s="6" t="s">
        <v>30</v>
      </c>
      <c r="V453" s="6" t="s">
        <v>30</v>
      </c>
      <c r="W453" s="6" t="s">
        <v>30</v>
      </c>
      <c r="X453" s="2" t="s">
        <v>30</v>
      </c>
      <c r="Y453" s="6" t="str">
        <f aca="false">IF(AND(X453="processed",ISNUMBER(S453)),S453*O453,"")</f>
        <v/>
      </c>
      <c r="Z453" s="6" t="n">
        <f aca="false">IF(ISNUMBER(K453),K453*O453,0)</f>
        <v>168</v>
      </c>
      <c r="AA453" s="2" t="s">
        <v>31</v>
      </c>
      <c r="AB453" s="6" t="n">
        <v>16879</v>
      </c>
      <c r="AC453" s="6" t="n">
        <v>13564</v>
      </c>
      <c r="AD453" s="6" t="n">
        <v>632</v>
      </c>
      <c r="AE453" s="6" t="n">
        <v>1994.19262695313</v>
      </c>
      <c r="AF453" s="8" t="n">
        <v>560.363217664</v>
      </c>
      <c r="AG453" s="11" t="n">
        <v>0.07747553722</v>
      </c>
      <c r="AH453" s="12" t="n">
        <v>0.999999999999998</v>
      </c>
      <c r="AI453" s="2" t="s">
        <v>317</v>
      </c>
      <c r="AJ453" s="2" t="s">
        <v>1164</v>
      </c>
      <c r="AK453" s="2" t="s">
        <v>1164</v>
      </c>
    </row>
    <row r="454" customFormat="false" ht="15" hidden="false" customHeight="false" outlineLevel="0" collapsed="false">
      <c r="A454" s="9" t="n">
        <v>453</v>
      </c>
      <c r="B454" s="2" t="s">
        <v>1166</v>
      </c>
      <c r="C454" s="2" t="s">
        <v>1167</v>
      </c>
      <c r="D454" s="2" t="s">
        <v>70</v>
      </c>
      <c r="E454" s="2" t="s">
        <v>71</v>
      </c>
      <c r="F454" s="2"/>
      <c r="G454" s="2" t="s">
        <v>329</v>
      </c>
      <c r="H454" s="8" t="n">
        <v>550.474993216292</v>
      </c>
      <c r="I454" s="2" t="s">
        <v>316</v>
      </c>
      <c r="J454" s="8" t="n">
        <v>1004202.38095238</v>
      </c>
      <c r="K454" s="6" t="n">
        <v>168</v>
      </c>
      <c r="L454" s="2"/>
      <c r="M454" s="10" t="b">
        <f aca="false">TRUE()</f>
        <v>1</v>
      </c>
      <c r="N454" s="9" t="n">
        <f aca="false">IF(H454="","",IF(H454&gt;=Assumptions!$B$5,1,IF(H454&gt;=Assumptions!$B$6,2,IF(H454&gt;=Assumptions!$B$7,3,""))))</f>
        <v>3</v>
      </c>
      <c r="O454" s="9" t="n">
        <f aca="false">IF(N454=1,Assumptions!$B$8,IF(N454=2,Assumptions!$B$9,IF(N454=3,Assumptions!$B$10,0)))</f>
        <v>1</v>
      </c>
      <c r="P454" s="6" t="s">
        <v>30</v>
      </c>
      <c r="Q454" s="6" t="s">
        <v>30</v>
      </c>
      <c r="R454" s="11" t="s">
        <v>30</v>
      </c>
      <c r="S454" s="6" t="s">
        <v>30</v>
      </c>
      <c r="T454" s="11" t="s">
        <v>30</v>
      </c>
      <c r="U454" s="6" t="s">
        <v>30</v>
      </c>
      <c r="V454" s="6" t="s">
        <v>30</v>
      </c>
      <c r="W454" s="6" t="s">
        <v>30</v>
      </c>
      <c r="X454" s="2" t="s">
        <v>30</v>
      </c>
      <c r="Y454" s="6" t="str">
        <f aca="false">IF(AND(X454="processed",ISNUMBER(S454)),S454*O454,"")</f>
        <v/>
      </c>
      <c r="Z454" s="6" t="n">
        <f aca="false">IF(ISNUMBER(K454),K454*O454,0)</f>
        <v>168</v>
      </c>
      <c r="AA454" s="2" t="s">
        <v>31</v>
      </c>
      <c r="AB454" s="6" t="n">
        <v>13522</v>
      </c>
      <c r="AC454" s="6" t="n">
        <v>12011</v>
      </c>
      <c r="AD454" s="6" t="n">
        <v>298</v>
      </c>
      <c r="AE454" s="6" t="n">
        <v>2547.9912109375</v>
      </c>
      <c r="AF454" s="8" t="n">
        <v>551.911685514</v>
      </c>
      <c r="AG454" s="11" t="n">
        <v>0.04668877668</v>
      </c>
      <c r="AH454" s="12" t="n">
        <v>1</v>
      </c>
      <c r="AI454" s="2" t="s">
        <v>317</v>
      </c>
      <c r="AJ454" s="2" t="s">
        <v>1167</v>
      </c>
      <c r="AK454" s="2" t="s">
        <v>1167</v>
      </c>
    </row>
    <row r="455" customFormat="false" ht="15" hidden="false" customHeight="false" outlineLevel="0" collapsed="false">
      <c r="A455" s="9" t="n">
        <v>454</v>
      </c>
      <c r="B455" s="2" t="s">
        <v>1168</v>
      </c>
      <c r="C455" s="2" t="s">
        <v>38</v>
      </c>
      <c r="D455" s="2" t="s">
        <v>39</v>
      </c>
      <c r="E455" s="2" t="s">
        <v>40</v>
      </c>
      <c r="F455" s="2"/>
      <c r="G455" s="2" t="s">
        <v>320</v>
      </c>
      <c r="H455" s="8" t="n">
        <v>1225.94250849179</v>
      </c>
      <c r="I455" s="2" t="s">
        <v>316</v>
      </c>
      <c r="J455" s="8" t="n">
        <v>1902321.42857143</v>
      </c>
      <c r="K455" s="6" t="n">
        <v>56</v>
      </c>
      <c r="L455" s="2"/>
      <c r="M455" s="10" t="b">
        <f aca="false">TRUE()</f>
        <v>1</v>
      </c>
      <c r="N455" s="9" t="n">
        <f aca="false">IF(H455="","",IF(H455&gt;=Assumptions!$B$5,1,IF(H455&gt;=Assumptions!$B$6,2,IF(H455&gt;=Assumptions!$B$7,3,""))))</f>
        <v>1</v>
      </c>
      <c r="O455" s="9" t="n">
        <f aca="false">IF(N455=1,Assumptions!$B$8,IF(N455=2,Assumptions!$B$9,IF(N455=3,Assumptions!$B$10,0)))</f>
        <v>3</v>
      </c>
      <c r="P455" s="6" t="s">
        <v>30</v>
      </c>
      <c r="Q455" s="6" t="s">
        <v>30</v>
      </c>
      <c r="R455" s="11" t="s">
        <v>30</v>
      </c>
      <c r="S455" s="6" t="s">
        <v>30</v>
      </c>
      <c r="T455" s="11" t="s">
        <v>30</v>
      </c>
      <c r="U455" s="6" t="s">
        <v>30</v>
      </c>
      <c r="V455" s="6" t="s">
        <v>30</v>
      </c>
      <c r="W455" s="6" t="s">
        <v>30</v>
      </c>
      <c r="X455" s="2" t="s">
        <v>30</v>
      </c>
      <c r="Y455" s="6" t="str">
        <f aca="false">IF(AND(X455="processed",ISNUMBER(S455)),S455*O455,"")</f>
        <v/>
      </c>
      <c r="Z455" s="6" t="n">
        <f aca="false">IF(ISNUMBER(K455),K455*O455,0)</f>
        <v>168</v>
      </c>
      <c r="AA455" s="2" t="s">
        <v>31</v>
      </c>
      <c r="AB455" s="6" t="n">
        <v>7345</v>
      </c>
      <c r="AC455" s="6" t="n">
        <v>5193</v>
      </c>
      <c r="AD455" s="6" t="n">
        <v>69</v>
      </c>
      <c r="AE455" s="6" t="n">
        <v>2528.12182617188</v>
      </c>
      <c r="AF455" s="8" t="n">
        <v>1264.705882353</v>
      </c>
      <c r="AG455" s="11" t="n">
        <v>-0.08379084967</v>
      </c>
      <c r="AH455" s="12" t="n">
        <v>0.999999999999998</v>
      </c>
      <c r="AI455" s="2" t="s">
        <v>317</v>
      </c>
      <c r="AJ455" s="2" t="s">
        <v>38</v>
      </c>
      <c r="AK455" s="2" t="s">
        <v>38</v>
      </c>
    </row>
    <row r="456" customFormat="false" ht="15" hidden="false" customHeight="false" outlineLevel="0" collapsed="false">
      <c r="A456" s="9" t="n">
        <v>455</v>
      </c>
      <c r="B456" s="2" t="s">
        <v>1169</v>
      </c>
      <c r="C456" s="2" t="s">
        <v>976</v>
      </c>
      <c r="D456" s="2" t="s">
        <v>976</v>
      </c>
      <c r="E456" s="2" t="s">
        <v>976</v>
      </c>
      <c r="F456" s="2" t="s">
        <v>1170</v>
      </c>
      <c r="G456" s="2" t="s">
        <v>323</v>
      </c>
      <c r="H456" s="8" t="n">
        <v>561.93857867572</v>
      </c>
      <c r="I456" s="2" t="s">
        <v>316</v>
      </c>
      <c r="J456" s="8" t="n">
        <v>765505.952380952</v>
      </c>
      <c r="K456" s="6" t="n">
        <v>168</v>
      </c>
      <c r="L456" s="2"/>
      <c r="M456" s="10" t="b">
        <f aca="false">TRUE()</f>
        <v>1</v>
      </c>
      <c r="N456" s="9" t="n">
        <f aca="false">IF(H456="","",IF(H456&gt;=Assumptions!$B$5,1,IF(H456&gt;=Assumptions!$B$6,2,IF(H456&gt;=Assumptions!$B$7,3,""))))</f>
        <v>3</v>
      </c>
      <c r="O456" s="9" t="n">
        <f aca="false">IF(N456=1,Assumptions!$B$8,IF(N456=2,Assumptions!$B$9,IF(N456=3,Assumptions!$B$10,0)))</f>
        <v>1</v>
      </c>
      <c r="P456" s="6" t="s">
        <v>30</v>
      </c>
      <c r="Q456" s="6" t="s">
        <v>30</v>
      </c>
      <c r="R456" s="11" t="s">
        <v>30</v>
      </c>
      <c r="S456" s="6" t="s">
        <v>30</v>
      </c>
      <c r="T456" s="11" t="s">
        <v>30</v>
      </c>
      <c r="U456" s="6" t="s">
        <v>30</v>
      </c>
      <c r="V456" s="6" t="s">
        <v>30</v>
      </c>
      <c r="W456" s="6" t="s">
        <v>30</v>
      </c>
      <c r="X456" s="2" t="s">
        <v>30</v>
      </c>
      <c r="Y456" s="6" t="str">
        <f aca="false">IF(AND(X456="processed",ISNUMBER(S456)),S456*O456,"")</f>
        <v/>
      </c>
      <c r="Z456" s="6" t="n">
        <f aca="false">IF(ISNUMBER(K456),K456*O456,0)</f>
        <v>168</v>
      </c>
      <c r="AA456" s="2" t="s">
        <v>31</v>
      </c>
      <c r="AB456" s="6" t="n">
        <v>9683</v>
      </c>
      <c r="AC456" s="6" t="n">
        <v>8125</v>
      </c>
      <c r="AD456" s="6" t="n">
        <v>5566</v>
      </c>
      <c r="AE456" s="6" t="n">
        <v>1754.87915039063</v>
      </c>
      <c r="AF456" s="8" t="n">
        <v>591.510090466</v>
      </c>
      <c r="AG456" s="11" t="n">
        <v>0.05762004175</v>
      </c>
      <c r="AH456" s="12" t="n">
        <v>0.999999999999999</v>
      </c>
      <c r="AI456" s="2" t="s">
        <v>317</v>
      </c>
      <c r="AJ456" s="2" t="s">
        <v>976</v>
      </c>
      <c r="AK456" s="2" t="s">
        <v>976</v>
      </c>
    </row>
    <row r="457" customFormat="false" ht="15" hidden="false" customHeight="false" outlineLevel="0" collapsed="false">
      <c r="A457" s="9" t="n">
        <v>456</v>
      </c>
      <c r="B457" s="2" t="s">
        <v>1171</v>
      </c>
      <c r="C457" s="2" t="s">
        <v>56</v>
      </c>
      <c r="D457" s="2" t="s">
        <v>56</v>
      </c>
      <c r="E457" s="2" t="s">
        <v>56</v>
      </c>
      <c r="F457" s="2" t="s">
        <v>1172</v>
      </c>
      <c r="G457" s="2" t="s">
        <v>324</v>
      </c>
      <c r="H457" s="8" t="n">
        <v>937.766548846709</v>
      </c>
      <c r="I457" s="2" t="s">
        <v>337</v>
      </c>
      <c r="J457" s="8" t="n">
        <v>1207363.63636364</v>
      </c>
      <c r="K457" s="6" t="n">
        <v>55</v>
      </c>
      <c r="L457" s="2"/>
      <c r="M457" s="10" t="b">
        <f aca="false">TRUE()</f>
        <v>1</v>
      </c>
      <c r="N457" s="9" t="n">
        <f aca="false">IF(H457="","",IF(H457&gt;=Assumptions!$B$5,1,IF(H457&gt;=Assumptions!$B$6,2,IF(H457&gt;=Assumptions!$B$7,3,""))))</f>
        <v>1</v>
      </c>
      <c r="O457" s="9" t="n">
        <f aca="false">IF(N457=1,Assumptions!$B$8,IF(N457=2,Assumptions!$B$9,IF(N457=3,Assumptions!$B$10,0)))</f>
        <v>3</v>
      </c>
      <c r="P457" s="6" t="s">
        <v>30</v>
      </c>
      <c r="Q457" s="6" t="s">
        <v>30</v>
      </c>
      <c r="R457" s="11" t="s">
        <v>30</v>
      </c>
      <c r="S457" s="6" t="s">
        <v>30</v>
      </c>
      <c r="T457" s="11" t="s">
        <v>30</v>
      </c>
      <c r="U457" s="6" t="s">
        <v>30</v>
      </c>
      <c r="V457" s="6" t="s">
        <v>30</v>
      </c>
      <c r="W457" s="6" t="s">
        <v>30</v>
      </c>
      <c r="X457" s="2" t="s">
        <v>30</v>
      </c>
      <c r="Y457" s="6" t="str">
        <f aca="false">IF(AND(X457="processed",ISNUMBER(S457)),S457*O457,"")</f>
        <v/>
      </c>
      <c r="Z457" s="6" t="n">
        <f aca="false">IF(ISNUMBER(K457),K457*O457,0)</f>
        <v>165</v>
      </c>
      <c r="AA457" s="2" t="s">
        <v>31</v>
      </c>
      <c r="AB457" s="6" t="n">
        <v>362</v>
      </c>
      <c r="AC457" s="6" t="n">
        <v>190</v>
      </c>
      <c r="AD457" s="6" t="n">
        <v>3</v>
      </c>
      <c r="AE457" s="6" t="n">
        <v>2428.39794921875</v>
      </c>
      <c r="AF457" s="8"/>
      <c r="AG457" s="11"/>
      <c r="AH457" s="12" t="n">
        <v>0.516606532054468</v>
      </c>
      <c r="AI457" s="2" t="s">
        <v>317</v>
      </c>
      <c r="AJ457" s="2" t="s">
        <v>56</v>
      </c>
      <c r="AK457" s="2" t="s">
        <v>56</v>
      </c>
    </row>
    <row r="458" customFormat="false" ht="15" hidden="false" customHeight="false" outlineLevel="0" collapsed="false">
      <c r="A458" s="9" t="n">
        <v>457</v>
      </c>
      <c r="B458" s="2" t="s">
        <v>1173</v>
      </c>
      <c r="C458" s="2" t="s">
        <v>56</v>
      </c>
      <c r="D458" s="2" t="s">
        <v>56</v>
      </c>
      <c r="E458" s="2" t="s">
        <v>56</v>
      </c>
      <c r="F458" s="2" t="s">
        <v>1174</v>
      </c>
      <c r="G458" s="2" t="s">
        <v>324</v>
      </c>
      <c r="H458" s="8" t="n">
        <v>1188.43811019253</v>
      </c>
      <c r="I458" s="2" t="s">
        <v>337</v>
      </c>
      <c r="J458" s="8" t="n">
        <v>1452327.27272727</v>
      </c>
      <c r="K458" s="6" t="n">
        <v>55</v>
      </c>
      <c r="L458" s="2"/>
      <c r="M458" s="10" t="b">
        <f aca="false">TRUE()</f>
        <v>1</v>
      </c>
      <c r="N458" s="9" t="n">
        <f aca="false">IF(H458="","",IF(H458&gt;=Assumptions!$B$5,1,IF(H458&gt;=Assumptions!$B$6,2,IF(H458&gt;=Assumptions!$B$7,3,""))))</f>
        <v>1</v>
      </c>
      <c r="O458" s="9" t="n">
        <f aca="false">IF(N458=1,Assumptions!$B$8,IF(N458=2,Assumptions!$B$9,IF(N458=3,Assumptions!$B$10,0)))</f>
        <v>3</v>
      </c>
      <c r="P458" s="6" t="s">
        <v>30</v>
      </c>
      <c r="Q458" s="6" t="s">
        <v>30</v>
      </c>
      <c r="R458" s="11" t="s">
        <v>30</v>
      </c>
      <c r="S458" s="6" t="s">
        <v>30</v>
      </c>
      <c r="T458" s="11" t="s">
        <v>30</v>
      </c>
      <c r="U458" s="6" t="s">
        <v>30</v>
      </c>
      <c r="V458" s="6" t="s">
        <v>30</v>
      </c>
      <c r="W458" s="6" t="s">
        <v>30</v>
      </c>
      <c r="X458" s="2" t="s">
        <v>30</v>
      </c>
      <c r="Y458" s="6" t="str">
        <f aca="false">IF(AND(X458="processed",ISNUMBER(S458)),S458*O458,"")</f>
        <v/>
      </c>
      <c r="Z458" s="6" t="n">
        <f aca="false">IF(ISNUMBER(K458),K458*O458,0)</f>
        <v>165</v>
      </c>
      <c r="AA458" s="2" t="s">
        <v>31</v>
      </c>
      <c r="AB458" s="6" t="n">
        <v>227</v>
      </c>
      <c r="AC458" s="6" t="n">
        <v>59</v>
      </c>
      <c r="AD458" s="6" t="n">
        <v>20</v>
      </c>
      <c r="AE458" s="6" t="n">
        <v>1462.58215332031</v>
      </c>
      <c r="AF458" s="8"/>
      <c r="AG458" s="11"/>
      <c r="AH458" s="12" t="n">
        <v>0.395896083090556</v>
      </c>
      <c r="AI458" s="2" t="s">
        <v>317</v>
      </c>
      <c r="AJ458" s="2" t="s">
        <v>56</v>
      </c>
      <c r="AK458" s="2" t="s">
        <v>56</v>
      </c>
    </row>
    <row r="459" customFormat="false" ht="15" hidden="false" customHeight="false" outlineLevel="0" collapsed="false">
      <c r="A459" s="9" t="n">
        <v>458</v>
      </c>
      <c r="B459" s="2" t="s">
        <v>1175</v>
      </c>
      <c r="C459" s="2" t="s">
        <v>1176</v>
      </c>
      <c r="D459" s="2" t="s">
        <v>70</v>
      </c>
      <c r="E459" s="2" t="s">
        <v>71</v>
      </c>
      <c r="F459" s="2" t="s">
        <v>1177</v>
      </c>
      <c r="G459" s="2" t="s">
        <v>329</v>
      </c>
      <c r="H459" s="8" t="n">
        <v>528.611629199024</v>
      </c>
      <c r="I459" s="2" t="s">
        <v>316</v>
      </c>
      <c r="J459" s="8" t="n">
        <v>1172841.46341463</v>
      </c>
      <c r="K459" s="6" t="n">
        <v>164</v>
      </c>
      <c r="L459" s="2"/>
      <c r="M459" s="10" t="b">
        <f aca="false">TRUE()</f>
        <v>1</v>
      </c>
      <c r="N459" s="9" t="n">
        <f aca="false">IF(H459="","",IF(H459&gt;=Assumptions!$B$5,1,IF(H459&gt;=Assumptions!$B$6,2,IF(H459&gt;=Assumptions!$B$7,3,""))))</f>
        <v>3</v>
      </c>
      <c r="O459" s="9" t="n">
        <f aca="false">IF(N459=1,Assumptions!$B$8,IF(N459=2,Assumptions!$B$9,IF(N459=3,Assumptions!$B$10,0)))</f>
        <v>1</v>
      </c>
      <c r="P459" s="6" t="s">
        <v>30</v>
      </c>
      <c r="Q459" s="6" t="s">
        <v>30</v>
      </c>
      <c r="R459" s="11" t="s">
        <v>30</v>
      </c>
      <c r="S459" s="6" t="s">
        <v>30</v>
      </c>
      <c r="T459" s="11" t="s">
        <v>30</v>
      </c>
      <c r="U459" s="6" t="s">
        <v>30</v>
      </c>
      <c r="V459" s="6" t="s">
        <v>30</v>
      </c>
      <c r="W459" s="6" t="s">
        <v>30</v>
      </c>
      <c r="X459" s="2" t="s">
        <v>30</v>
      </c>
      <c r="Y459" s="6" t="str">
        <f aca="false">IF(AND(X459="processed",ISNUMBER(S459)),S459*O459,"")</f>
        <v/>
      </c>
      <c r="Z459" s="6" t="n">
        <f aca="false">IF(ISNUMBER(K459),K459*O459,0)</f>
        <v>164</v>
      </c>
      <c r="AA459" s="2" t="s">
        <v>31</v>
      </c>
      <c r="AB459" s="6" t="n">
        <v>10641</v>
      </c>
      <c r="AC459" s="6" t="n">
        <v>7394</v>
      </c>
      <c r="AD459" s="6" t="n">
        <v>292</v>
      </c>
      <c r="AE459" s="6" t="n">
        <v>2813.56201171875</v>
      </c>
      <c r="AF459" s="8" t="n">
        <v>548.561310486</v>
      </c>
      <c r="AG459" s="11" t="n">
        <v>0.02519304491</v>
      </c>
      <c r="AH459" s="12" t="n">
        <v>1</v>
      </c>
      <c r="AI459" s="2" t="s">
        <v>317</v>
      </c>
      <c r="AJ459" s="2" t="s">
        <v>1176</v>
      </c>
      <c r="AK459" s="2" t="s">
        <v>70</v>
      </c>
    </row>
    <row r="460" customFormat="false" ht="15" hidden="false" customHeight="false" outlineLevel="0" collapsed="false">
      <c r="A460" s="9" t="n">
        <v>459</v>
      </c>
      <c r="B460" s="2" t="s">
        <v>1178</v>
      </c>
      <c r="C460" s="2" t="s">
        <v>585</v>
      </c>
      <c r="D460" s="2" t="s">
        <v>27</v>
      </c>
      <c r="E460" s="2" t="s">
        <v>28</v>
      </c>
      <c r="F460" s="2" t="s">
        <v>1179</v>
      </c>
      <c r="G460" s="2" t="s">
        <v>315</v>
      </c>
      <c r="H460" s="8" t="n">
        <v>631.125040600195</v>
      </c>
      <c r="I460" s="2" t="s">
        <v>316</v>
      </c>
      <c r="J460" s="8" t="n">
        <v>1017731.70731707</v>
      </c>
      <c r="K460" s="6" t="n">
        <v>82</v>
      </c>
      <c r="L460" s="2"/>
      <c r="M460" s="10" t="b">
        <f aca="false">TRUE()</f>
        <v>1</v>
      </c>
      <c r="N460" s="9" t="n">
        <f aca="false">IF(H460="","",IF(H460&gt;=Assumptions!$B$5,1,IF(H460&gt;=Assumptions!$B$6,2,IF(H460&gt;=Assumptions!$B$7,3,""))))</f>
        <v>2</v>
      </c>
      <c r="O460" s="9" t="n">
        <f aca="false">IF(N460=1,Assumptions!$B$8,IF(N460=2,Assumptions!$B$9,IF(N460=3,Assumptions!$B$10,0)))</f>
        <v>2</v>
      </c>
      <c r="P460" s="6" t="s">
        <v>30</v>
      </c>
      <c r="Q460" s="6" t="s">
        <v>30</v>
      </c>
      <c r="R460" s="11" t="s">
        <v>30</v>
      </c>
      <c r="S460" s="6" t="s">
        <v>30</v>
      </c>
      <c r="T460" s="11" t="s">
        <v>30</v>
      </c>
      <c r="U460" s="6" t="s">
        <v>30</v>
      </c>
      <c r="V460" s="6" t="s">
        <v>30</v>
      </c>
      <c r="W460" s="6" t="s">
        <v>30</v>
      </c>
      <c r="X460" s="2" t="s">
        <v>30</v>
      </c>
      <c r="Y460" s="6" t="str">
        <f aca="false">IF(AND(X460="processed",ISNUMBER(S460)),S460*O460,"")</f>
        <v/>
      </c>
      <c r="Z460" s="6" t="n">
        <f aca="false">IF(ISNUMBER(K460),K460*O460,0)</f>
        <v>164</v>
      </c>
      <c r="AA460" s="2" t="s">
        <v>31</v>
      </c>
      <c r="AB460" s="6" t="n">
        <v>9345</v>
      </c>
      <c r="AC460" s="6" t="n">
        <v>6863</v>
      </c>
      <c r="AD460" s="6" t="n">
        <v>136</v>
      </c>
      <c r="AE460" s="6" t="n">
        <v>2427.3896484375</v>
      </c>
      <c r="AF460" s="8" t="n">
        <v>636.302746149</v>
      </c>
      <c r="AG460" s="11" t="n">
        <v>0.1164510621</v>
      </c>
      <c r="AH460" s="12" t="n">
        <v>1</v>
      </c>
      <c r="AI460" s="2" t="s">
        <v>317</v>
      </c>
      <c r="AJ460" s="2" t="s">
        <v>585</v>
      </c>
      <c r="AK460" s="2" t="s">
        <v>585</v>
      </c>
    </row>
    <row r="461" customFormat="false" ht="15" hidden="false" customHeight="false" outlineLevel="0" collapsed="false">
      <c r="A461" s="9" t="n">
        <v>460</v>
      </c>
      <c r="B461" s="2" t="s">
        <v>1180</v>
      </c>
      <c r="C461" s="2" t="s">
        <v>273</v>
      </c>
      <c r="D461" s="2" t="s">
        <v>273</v>
      </c>
      <c r="E461" s="2" t="s">
        <v>273</v>
      </c>
      <c r="F461" s="2"/>
      <c r="G461" s="2" t="s">
        <v>348</v>
      </c>
      <c r="H461" s="8" t="n">
        <v>512.382506650884</v>
      </c>
      <c r="I461" s="2" t="s">
        <v>316</v>
      </c>
      <c r="J461" s="8" t="n">
        <v>893925.762195122</v>
      </c>
      <c r="K461" s="6" t="n">
        <v>164</v>
      </c>
      <c r="L461" s="2"/>
      <c r="M461" s="10" t="b">
        <f aca="false">TRUE()</f>
        <v>1</v>
      </c>
      <c r="N461" s="9" t="n">
        <f aca="false">IF(H461="","",IF(H461&gt;=Assumptions!$B$5,1,IF(H461&gt;=Assumptions!$B$6,2,IF(H461&gt;=Assumptions!$B$7,3,""))))</f>
        <v>3</v>
      </c>
      <c r="O461" s="9" t="n">
        <f aca="false">IF(N461=1,Assumptions!$B$8,IF(N461=2,Assumptions!$B$9,IF(N461=3,Assumptions!$B$10,0)))</f>
        <v>1</v>
      </c>
      <c r="P461" s="6" t="s">
        <v>30</v>
      </c>
      <c r="Q461" s="6" t="s">
        <v>30</v>
      </c>
      <c r="R461" s="11" t="s">
        <v>30</v>
      </c>
      <c r="S461" s="6" t="s">
        <v>30</v>
      </c>
      <c r="T461" s="11" t="s">
        <v>30</v>
      </c>
      <c r="U461" s="6" t="s">
        <v>30</v>
      </c>
      <c r="V461" s="6" t="s">
        <v>30</v>
      </c>
      <c r="W461" s="6" t="s">
        <v>30</v>
      </c>
      <c r="X461" s="2" t="s">
        <v>30</v>
      </c>
      <c r="Y461" s="6" t="str">
        <f aca="false">IF(AND(X461="processed",ISNUMBER(S461)),S461*O461,"")</f>
        <v/>
      </c>
      <c r="Z461" s="6" t="n">
        <f aca="false">IF(ISNUMBER(K461),K461*O461,0)</f>
        <v>164</v>
      </c>
      <c r="AA461" s="2" t="s">
        <v>31</v>
      </c>
      <c r="AB461" s="6" t="n">
        <v>9403</v>
      </c>
      <c r="AC461" s="6" t="n">
        <v>8907</v>
      </c>
      <c r="AD461" s="6" t="n">
        <v>8869</v>
      </c>
      <c r="AE461" s="6" t="n">
        <v>2337.77416992188</v>
      </c>
      <c r="AF461" s="8" t="n">
        <v>536.677454153</v>
      </c>
      <c r="AG461" s="11" t="n">
        <v>-0.0114463788</v>
      </c>
      <c r="AH461" s="12" t="n">
        <v>1</v>
      </c>
      <c r="AI461" s="2" t="s">
        <v>317</v>
      </c>
      <c r="AJ461" s="2" t="s">
        <v>273</v>
      </c>
      <c r="AK461" s="2" t="s">
        <v>273</v>
      </c>
    </row>
    <row r="462" customFormat="false" ht="15" hidden="false" customHeight="false" outlineLevel="0" collapsed="false">
      <c r="A462" s="9" t="n">
        <v>461</v>
      </c>
      <c r="B462" s="2" t="s">
        <v>1181</v>
      </c>
      <c r="C462" s="2" t="s">
        <v>84</v>
      </c>
      <c r="D462" s="2" t="s">
        <v>70</v>
      </c>
      <c r="E462" s="2" t="s">
        <v>71</v>
      </c>
      <c r="F462" s="2" t="s">
        <v>1182</v>
      </c>
      <c r="G462" s="2" t="s">
        <v>329</v>
      </c>
      <c r="H462" s="8" t="n">
        <v>643.41586679737</v>
      </c>
      <c r="I462" s="2" t="s">
        <v>316</v>
      </c>
      <c r="J462" s="8" t="n">
        <v>794259.259259259</v>
      </c>
      <c r="K462" s="6" t="n">
        <v>81</v>
      </c>
      <c r="L462" s="2"/>
      <c r="M462" s="10" t="b">
        <f aca="false">TRUE()</f>
        <v>1</v>
      </c>
      <c r="N462" s="9" t="n">
        <f aca="false">IF(H462="","",IF(H462&gt;=Assumptions!$B$5,1,IF(H462&gt;=Assumptions!$B$6,2,IF(H462&gt;=Assumptions!$B$7,3,""))))</f>
        <v>2</v>
      </c>
      <c r="O462" s="9" t="n">
        <f aca="false">IF(N462=1,Assumptions!$B$8,IF(N462=2,Assumptions!$B$9,IF(N462=3,Assumptions!$B$10,0)))</f>
        <v>2</v>
      </c>
      <c r="P462" s="6" t="s">
        <v>30</v>
      </c>
      <c r="Q462" s="6" t="s">
        <v>30</v>
      </c>
      <c r="R462" s="11" t="s">
        <v>30</v>
      </c>
      <c r="S462" s="6" t="s">
        <v>30</v>
      </c>
      <c r="T462" s="11" t="s">
        <v>30</v>
      </c>
      <c r="U462" s="6" t="s">
        <v>30</v>
      </c>
      <c r="V462" s="6" t="s">
        <v>30</v>
      </c>
      <c r="W462" s="6" t="s">
        <v>30</v>
      </c>
      <c r="X462" s="2" t="s">
        <v>30</v>
      </c>
      <c r="Y462" s="6" t="str">
        <f aca="false">IF(AND(X462="processed",ISNUMBER(S462)),S462*O462,"")</f>
        <v/>
      </c>
      <c r="Z462" s="6" t="n">
        <f aca="false">IF(ISNUMBER(K462),K462*O462,0)</f>
        <v>162</v>
      </c>
      <c r="AA462" s="2" t="s">
        <v>31</v>
      </c>
      <c r="AB462" s="6" t="n">
        <v>11862</v>
      </c>
      <c r="AC462" s="6" t="n">
        <v>8742</v>
      </c>
      <c r="AD462" s="6" t="n">
        <v>113</v>
      </c>
      <c r="AE462" s="6" t="n">
        <v>1522.3173828125</v>
      </c>
      <c r="AF462" s="8" t="n">
        <v>680.948737567</v>
      </c>
      <c r="AG462" s="11" t="n">
        <v>0.07049656123</v>
      </c>
      <c r="AH462" s="12" t="n">
        <v>1</v>
      </c>
      <c r="AI462" s="2" t="s">
        <v>317</v>
      </c>
      <c r="AJ462" s="2" t="s">
        <v>84</v>
      </c>
      <c r="AK462" s="2" t="s">
        <v>84</v>
      </c>
    </row>
    <row r="463" customFormat="false" ht="15" hidden="false" customHeight="false" outlineLevel="0" collapsed="false">
      <c r="A463" s="9" t="n">
        <v>462</v>
      </c>
      <c r="B463" s="2" t="s">
        <v>1183</v>
      </c>
      <c r="C463" s="2" t="s">
        <v>27</v>
      </c>
      <c r="D463" s="2" t="s">
        <v>27</v>
      </c>
      <c r="E463" s="2" t="s">
        <v>28</v>
      </c>
      <c r="F463" s="2"/>
      <c r="G463" s="2" t="s">
        <v>315</v>
      </c>
      <c r="H463" s="8" t="n">
        <v>813.030133852982</v>
      </c>
      <c r="I463" s="2" t="s">
        <v>316</v>
      </c>
      <c r="J463" s="8" t="n">
        <v>1202407.40740741</v>
      </c>
      <c r="K463" s="6" t="n">
        <v>54</v>
      </c>
      <c r="L463" s="2"/>
      <c r="M463" s="10" t="b">
        <f aca="false">TRUE()</f>
        <v>1</v>
      </c>
      <c r="N463" s="9" t="n">
        <f aca="false">IF(H463="","",IF(H463&gt;=Assumptions!$B$5,1,IF(H463&gt;=Assumptions!$B$6,2,IF(H463&gt;=Assumptions!$B$7,3,""))))</f>
        <v>1</v>
      </c>
      <c r="O463" s="9" t="n">
        <f aca="false">IF(N463=1,Assumptions!$B$8,IF(N463=2,Assumptions!$B$9,IF(N463=3,Assumptions!$B$10,0)))</f>
        <v>3</v>
      </c>
      <c r="P463" s="6" t="s">
        <v>30</v>
      </c>
      <c r="Q463" s="6" t="s">
        <v>30</v>
      </c>
      <c r="R463" s="11" t="s">
        <v>30</v>
      </c>
      <c r="S463" s="6" t="s">
        <v>30</v>
      </c>
      <c r="T463" s="11" t="s">
        <v>30</v>
      </c>
      <c r="U463" s="6" t="s">
        <v>30</v>
      </c>
      <c r="V463" s="6" t="s">
        <v>30</v>
      </c>
      <c r="W463" s="6" t="s">
        <v>30</v>
      </c>
      <c r="X463" s="2" t="s">
        <v>30</v>
      </c>
      <c r="Y463" s="6" t="str">
        <f aca="false">IF(AND(X463="processed",ISNUMBER(S463)),S463*O463,"")</f>
        <v/>
      </c>
      <c r="Z463" s="6" t="n">
        <f aca="false">IF(ISNUMBER(K463),K463*O463,0)</f>
        <v>162</v>
      </c>
      <c r="AA463" s="2" t="s">
        <v>31</v>
      </c>
      <c r="AB463" s="6" t="n">
        <v>5055</v>
      </c>
      <c r="AC463" s="6" t="n">
        <v>4364</v>
      </c>
      <c r="AD463" s="6" t="n">
        <v>427</v>
      </c>
      <c r="AE463" s="6" t="n">
        <v>1882.84521484375</v>
      </c>
      <c r="AF463" s="8" t="n">
        <v>794.40206843</v>
      </c>
      <c r="AG463" s="11" t="n">
        <v>0.1788601343</v>
      </c>
      <c r="AH463" s="12" t="n">
        <v>1</v>
      </c>
      <c r="AI463" s="2" t="s">
        <v>317</v>
      </c>
      <c r="AJ463" s="2" t="s">
        <v>27</v>
      </c>
      <c r="AK463" s="2" t="s">
        <v>27</v>
      </c>
    </row>
    <row r="464" customFormat="false" ht="15" hidden="false" customHeight="false" outlineLevel="0" collapsed="false">
      <c r="A464" s="9" t="n">
        <v>463</v>
      </c>
      <c r="B464" s="2" t="s">
        <v>1184</v>
      </c>
      <c r="C464" s="2" t="s">
        <v>34</v>
      </c>
      <c r="D464" s="2" t="s">
        <v>34</v>
      </c>
      <c r="E464" s="2" t="s">
        <v>35</v>
      </c>
      <c r="F464" s="2" t="s">
        <v>1185</v>
      </c>
      <c r="G464" s="2" t="s">
        <v>318</v>
      </c>
      <c r="H464" s="8" t="n">
        <v>775.191088777093</v>
      </c>
      <c r="I464" s="2" t="s">
        <v>316</v>
      </c>
      <c r="J464" s="8" t="n">
        <v>1467203.7037037</v>
      </c>
      <c r="K464" s="6" t="n">
        <v>54</v>
      </c>
      <c r="L464" s="2"/>
      <c r="M464" s="10" t="b">
        <f aca="false">TRUE()</f>
        <v>1</v>
      </c>
      <c r="N464" s="9" t="n">
        <f aca="false">IF(H464="","",IF(H464&gt;=Assumptions!$B$5,1,IF(H464&gt;=Assumptions!$B$6,2,IF(H464&gt;=Assumptions!$B$7,3,""))))</f>
        <v>1</v>
      </c>
      <c r="O464" s="9" t="n">
        <f aca="false">IF(N464=1,Assumptions!$B$8,IF(N464=2,Assumptions!$B$9,IF(N464=3,Assumptions!$B$10,0)))</f>
        <v>3</v>
      </c>
      <c r="P464" s="6" t="s">
        <v>30</v>
      </c>
      <c r="Q464" s="6" t="s">
        <v>30</v>
      </c>
      <c r="R464" s="11" t="s">
        <v>30</v>
      </c>
      <c r="S464" s="6" t="s">
        <v>30</v>
      </c>
      <c r="T464" s="11" t="s">
        <v>30</v>
      </c>
      <c r="U464" s="6" t="s">
        <v>30</v>
      </c>
      <c r="V464" s="6" t="s">
        <v>30</v>
      </c>
      <c r="W464" s="6" t="s">
        <v>30</v>
      </c>
      <c r="X464" s="2" t="s">
        <v>30</v>
      </c>
      <c r="Y464" s="6" t="str">
        <f aca="false">IF(AND(X464="processed",ISNUMBER(S464)),S464*O464,"")</f>
        <v/>
      </c>
      <c r="Z464" s="6" t="n">
        <f aca="false">IF(ISNUMBER(K464),K464*O464,0)</f>
        <v>162</v>
      </c>
      <c r="AA464" s="2" t="s">
        <v>31</v>
      </c>
      <c r="AB464" s="6" t="n">
        <v>6472</v>
      </c>
      <c r="AC464" s="6" t="n">
        <v>5038</v>
      </c>
      <c r="AD464" s="6" t="n">
        <v>50</v>
      </c>
      <c r="AE464" s="6" t="n">
        <v>1872.08435058594</v>
      </c>
      <c r="AF464" s="8" t="n">
        <v>806.523718851</v>
      </c>
      <c r="AG464" s="11" t="n">
        <v>-0.00723297502</v>
      </c>
      <c r="AH464" s="12" t="n">
        <v>0.6810003942499</v>
      </c>
      <c r="AI464" s="2" t="s">
        <v>319</v>
      </c>
      <c r="AJ464" s="2"/>
      <c r="AK464" s="2" t="s">
        <v>34</v>
      </c>
    </row>
    <row r="465" customFormat="false" ht="15" hidden="false" customHeight="false" outlineLevel="0" collapsed="false">
      <c r="A465" s="9" t="n">
        <v>464</v>
      </c>
      <c r="B465" s="2" t="s">
        <v>1186</v>
      </c>
      <c r="C465" s="2" t="s">
        <v>38</v>
      </c>
      <c r="D465" s="2" t="s">
        <v>39</v>
      </c>
      <c r="E465" s="2" t="s">
        <v>40</v>
      </c>
      <c r="F465" s="2" t="s">
        <v>1187</v>
      </c>
      <c r="G465" s="2" t="s">
        <v>320</v>
      </c>
      <c r="H465" s="8" t="n">
        <v>893.033182094</v>
      </c>
      <c r="I465" s="2" t="s">
        <v>316</v>
      </c>
      <c r="J465" s="8" t="n">
        <v>1011944.44444444</v>
      </c>
      <c r="K465" s="6" t="n">
        <v>54</v>
      </c>
      <c r="L465" s="2"/>
      <c r="M465" s="10" t="b">
        <f aca="false">TRUE()</f>
        <v>1</v>
      </c>
      <c r="N465" s="9" t="n">
        <f aca="false">IF(H465="","",IF(H465&gt;=Assumptions!$B$5,1,IF(H465&gt;=Assumptions!$B$6,2,IF(H465&gt;=Assumptions!$B$7,3,""))))</f>
        <v>1</v>
      </c>
      <c r="O465" s="9" t="n">
        <f aca="false">IF(N465=1,Assumptions!$B$8,IF(N465=2,Assumptions!$B$9,IF(N465=3,Assumptions!$B$10,0)))</f>
        <v>3</v>
      </c>
      <c r="P465" s="6" t="s">
        <v>30</v>
      </c>
      <c r="Q465" s="6" t="s">
        <v>30</v>
      </c>
      <c r="R465" s="11" t="s">
        <v>30</v>
      </c>
      <c r="S465" s="6" t="s">
        <v>30</v>
      </c>
      <c r="T465" s="11" t="s">
        <v>30</v>
      </c>
      <c r="U465" s="6" t="s">
        <v>30</v>
      </c>
      <c r="V465" s="6" t="s">
        <v>30</v>
      </c>
      <c r="W465" s="6" t="s">
        <v>30</v>
      </c>
      <c r="X465" s="2" t="s">
        <v>30</v>
      </c>
      <c r="Y465" s="6" t="str">
        <f aca="false">IF(AND(X465="processed",ISNUMBER(S465)),S465*O465,"")</f>
        <v/>
      </c>
      <c r="Z465" s="6" t="n">
        <f aca="false">IF(ISNUMBER(K465),K465*O465,0)</f>
        <v>162</v>
      </c>
      <c r="AA465" s="2" t="s">
        <v>31</v>
      </c>
      <c r="AB465" s="6" t="n">
        <v>5366</v>
      </c>
      <c r="AC465" s="6" t="n">
        <v>3555</v>
      </c>
      <c r="AD465" s="6" t="n">
        <v>152</v>
      </c>
      <c r="AE465" s="6" t="n">
        <v>1667.98498535156</v>
      </c>
      <c r="AF465" s="8" t="n">
        <v>907.457322552</v>
      </c>
      <c r="AG465" s="11" t="n">
        <v>0.05433672293</v>
      </c>
      <c r="AH465" s="12" t="n">
        <v>1</v>
      </c>
      <c r="AI465" s="2" t="s">
        <v>317</v>
      </c>
      <c r="AJ465" s="2" t="s">
        <v>38</v>
      </c>
      <c r="AK465" s="2" t="s">
        <v>38</v>
      </c>
    </row>
    <row r="466" customFormat="false" ht="15" hidden="false" customHeight="false" outlineLevel="0" collapsed="false">
      <c r="A466" s="9" t="n">
        <v>465</v>
      </c>
      <c r="B466" s="2" t="s">
        <v>1188</v>
      </c>
      <c r="C466" s="2" t="s">
        <v>84</v>
      </c>
      <c r="D466" s="2" t="s">
        <v>70</v>
      </c>
      <c r="E466" s="2" t="s">
        <v>71</v>
      </c>
      <c r="F466" s="2"/>
      <c r="G466" s="2" t="s">
        <v>329</v>
      </c>
      <c r="H466" s="8" t="n">
        <v>811.496640020189</v>
      </c>
      <c r="I466" s="2" t="s">
        <v>316</v>
      </c>
      <c r="J466" s="8" t="n">
        <v>1255283.01886793</v>
      </c>
      <c r="K466" s="6" t="n">
        <v>53</v>
      </c>
      <c r="L466" s="2"/>
      <c r="M466" s="10" t="b">
        <f aca="false">TRUE()</f>
        <v>1</v>
      </c>
      <c r="N466" s="9" t="n">
        <f aca="false">IF(H466="","",IF(H466&gt;=Assumptions!$B$5,1,IF(H466&gt;=Assumptions!$B$6,2,IF(H466&gt;=Assumptions!$B$7,3,""))))</f>
        <v>1</v>
      </c>
      <c r="O466" s="9" t="n">
        <f aca="false">IF(N466=1,Assumptions!$B$8,IF(N466=2,Assumptions!$B$9,IF(N466=3,Assumptions!$B$10,0)))</f>
        <v>3</v>
      </c>
      <c r="P466" s="6" t="s">
        <v>30</v>
      </c>
      <c r="Q466" s="6" t="s">
        <v>30</v>
      </c>
      <c r="R466" s="11" t="s">
        <v>30</v>
      </c>
      <c r="S466" s="6" t="s">
        <v>30</v>
      </c>
      <c r="T466" s="11" t="s">
        <v>30</v>
      </c>
      <c r="U466" s="6" t="s">
        <v>30</v>
      </c>
      <c r="V466" s="6" t="s">
        <v>30</v>
      </c>
      <c r="W466" s="6" t="s">
        <v>30</v>
      </c>
      <c r="X466" s="2" t="s">
        <v>30</v>
      </c>
      <c r="Y466" s="6" t="str">
        <f aca="false">IF(AND(X466="processed",ISNUMBER(S466)),S466*O466,"")</f>
        <v/>
      </c>
      <c r="Z466" s="6" t="n">
        <f aca="false">IF(ISNUMBER(K466),K466*O466,0)</f>
        <v>159</v>
      </c>
      <c r="AA466" s="2" t="s">
        <v>31</v>
      </c>
      <c r="AB466" s="6" t="n">
        <v>6091</v>
      </c>
      <c r="AC466" s="6" t="n">
        <v>4750</v>
      </c>
      <c r="AD466" s="6" t="n">
        <v>41</v>
      </c>
      <c r="AE466" s="6" t="n">
        <v>1734.78491210938</v>
      </c>
      <c r="AF466" s="8" t="n">
        <v>864.253393665</v>
      </c>
      <c r="AG466" s="11" t="n">
        <v>-0.08046948572</v>
      </c>
      <c r="AH466" s="12" t="n">
        <v>0.999632239092559</v>
      </c>
      <c r="AI466" s="2" t="s">
        <v>317</v>
      </c>
      <c r="AJ466" s="2" t="s">
        <v>84</v>
      </c>
      <c r="AK466" s="2" t="s">
        <v>84</v>
      </c>
    </row>
    <row r="467" customFormat="false" ht="15" hidden="false" customHeight="false" outlineLevel="0" collapsed="false">
      <c r="A467" s="9"/>
      <c r="B467" s="2" t="s">
        <v>1189</v>
      </c>
      <c r="C467" s="2"/>
      <c r="D467" s="2" t="s">
        <v>1190</v>
      </c>
      <c r="E467" s="2" t="s">
        <v>1191</v>
      </c>
      <c r="F467" s="2"/>
      <c r="G467" s="2" t="s">
        <v>322</v>
      </c>
      <c r="H467" s="8" t="n">
        <v>799.586857774264</v>
      </c>
      <c r="I467" s="2" t="s">
        <v>316</v>
      </c>
      <c r="J467" s="8" t="n">
        <v>1096867.9245283</v>
      </c>
      <c r="K467" s="6" t="n">
        <v>53</v>
      </c>
      <c r="L467" s="2"/>
      <c r="M467" s="10" t="b">
        <f aca="false">FALSE()</f>
        <v>0</v>
      </c>
      <c r="N467" s="9" t="n">
        <f aca="false">IF(H467="","",IF(H467&gt;=Assumptions!$B$5,1,IF(H467&gt;=Assumptions!$B$6,2,IF(H467&gt;=Assumptions!$B$7,3,""))))</f>
        <v>1</v>
      </c>
      <c r="O467" s="9" t="n">
        <f aca="false">IF(N467=1,Assumptions!$B$8,IF(N467=2,Assumptions!$B$9,IF(N467=3,Assumptions!$B$10,0)))</f>
        <v>3</v>
      </c>
      <c r="P467" s="6" t="s">
        <v>30</v>
      </c>
      <c r="Q467" s="6" t="s">
        <v>30</v>
      </c>
      <c r="R467" s="11" t="s">
        <v>30</v>
      </c>
      <c r="S467" s="6" t="s">
        <v>30</v>
      </c>
      <c r="T467" s="11" t="s">
        <v>30</v>
      </c>
      <c r="U467" s="6" t="s">
        <v>30</v>
      </c>
      <c r="V467" s="6" t="s">
        <v>30</v>
      </c>
      <c r="W467" s="6" t="s">
        <v>30</v>
      </c>
      <c r="X467" s="2" t="s">
        <v>30</v>
      </c>
      <c r="Y467" s="6" t="str">
        <f aca="false">IF(AND(X467="processed",ISNUMBER(S467)),S467*O467,"")</f>
        <v/>
      </c>
      <c r="Z467" s="6" t="n">
        <f aca="false">IF(ISNUMBER(K467),K467*O467,0)</f>
        <v>159</v>
      </c>
      <c r="AA467" s="2" t="s">
        <v>31</v>
      </c>
      <c r="AB467" s="6"/>
      <c r="AC467" s="6"/>
      <c r="AD467" s="6"/>
      <c r="AE467" s="6"/>
      <c r="AF467" s="8" t="n">
        <v>826.139457134</v>
      </c>
      <c r="AG467" s="11" t="n">
        <v>0.1372109622</v>
      </c>
      <c r="AH467" s="12"/>
      <c r="AI467" s="2"/>
      <c r="AJ467" s="2"/>
      <c r="AK467" s="2"/>
    </row>
    <row r="468" customFormat="false" ht="15" hidden="false" customHeight="false" outlineLevel="0" collapsed="false">
      <c r="A468" s="9" t="n">
        <v>466</v>
      </c>
      <c r="B468" s="2" t="s">
        <v>1192</v>
      </c>
      <c r="C468" s="2" t="s">
        <v>1193</v>
      </c>
      <c r="D468" s="2" t="s">
        <v>27</v>
      </c>
      <c r="E468" s="2" t="s">
        <v>28</v>
      </c>
      <c r="F468" s="2"/>
      <c r="G468" s="2" t="s">
        <v>315</v>
      </c>
      <c r="H468" s="8" t="n">
        <v>709.214209484076</v>
      </c>
      <c r="I468" s="2" t="s">
        <v>316</v>
      </c>
      <c r="J468" s="8" t="n">
        <v>2581415.09433962</v>
      </c>
      <c r="K468" s="6" t="n">
        <v>53</v>
      </c>
      <c r="L468" s="2"/>
      <c r="M468" s="10" t="b">
        <f aca="false">TRUE()</f>
        <v>1</v>
      </c>
      <c r="N468" s="9" t="n">
        <f aca="false">IF(H468="","",IF(H468&gt;=Assumptions!$B$5,1,IF(H468&gt;=Assumptions!$B$6,2,IF(H468&gt;=Assumptions!$B$7,3,""))))</f>
        <v>1</v>
      </c>
      <c r="O468" s="9" t="n">
        <f aca="false">IF(N468=1,Assumptions!$B$8,IF(N468=2,Assumptions!$B$9,IF(N468=3,Assumptions!$B$10,0)))</f>
        <v>3</v>
      </c>
      <c r="P468" s="6" t="s">
        <v>30</v>
      </c>
      <c r="Q468" s="6" t="s">
        <v>30</v>
      </c>
      <c r="R468" s="11" t="s">
        <v>30</v>
      </c>
      <c r="S468" s="6" t="s">
        <v>30</v>
      </c>
      <c r="T468" s="11" t="s">
        <v>30</v>
      </c>
      <c r="U468" s="6" t="s">
        <v>30</v>
      </c>
      <c r="V468" s="6" t="s">
        <v>30</v>
      </c>
      <c r="W468" s="6" t="s">
        <v>30</v>
      </c>
      <c r="X468" s="2" t="s">
        <v>30</v>
      </c>
      <c r="Y468" s="6" t="str">
        <f aca="false">IF(AND(X468="processed",ISNUMBER(S468)),S468*O468,"")</f>
        <v/>
      </c>
      <c r="Z468" s="6" t="n">
        <f aca="false">IF(ISNUMBER(K468),K468*O468,0)</f>
        <v>159</v>
      </c>
      <c r="AA468" s="2" t="s">
        <v>31</v>
      </c>
      <c r="AB468" s="6" t="n">
        <v>2688</v>
      </c>
      <c r="AC468" s="6" t="n">
        <v>2156</v>
      </c>
      <c r="AD468" s="6" t="n">
        <v>108</v>
      </c>
      <c r="AE468" s="6" t="n">
        <v>4030.63427734375</v>
      </c>
      <c r="AF468" s="8" t="n">
        <v>733.197556008</v>
      </c>
      <c r="AG468" s="11" t="n">
        <v>0.06646917238</v>
      </c>
      <c r="AH468" s="12" t="n">
        <v>1</v>
      </c>
      <c r="AI468" s="2" t="s">
        <v>317</v>
      </c>
      <c r="AJ468" s="2" t="s">
        <v>1193</v>
      </c>
      <c r="AK468" s="2" t="s">
        <v>1193</v>
      </c>
    </row>
    <row r="469" customFormat="false" ht="15" hidden="false" customHeight="false" outlineLevel="0" collapsed="false">
      <c r="A469" s="9"/>
      <c r="B469" s="2" t="s">
        <v>1194</v>
      </c>
      <c r="C469" s="2"/>
      <c r="D469" s="2" t="s">
        <v>1190</v>
      </c>
      <c r="E469" s="2" t="s">
        <v>1191</v>
      </c>
      <c r="F469" s="2"/>
      <c r="G469" s="2" t="s">
        <v>330</v>
      </c>
      <c r="H469" s="8" t="n">
        <v>1118.96997611351</v>
      </c>
      <c r="I469" s="2" t="s">
        <v>316</v>
      </c>
      <c r="J469" s="8" t="n">
        <v>3036471.69811321</v>
      </c>
      <c r="K469" s="6" t="n">
        <v>53</v>
      </c>
      <c r="L469" s="2"/>
      <c r="M469" s="10" t="b">
        <f aca="false">FALSE()</f>
        <v>0</v>
      </c>
      <c r="N469" s="9" t="n">
        <f aca="false">IF(H469="","",IF(H469&gt;=Assumptions!$B$5,1,IF(H469&gt;=Assumptions!$B$6,2,IF(H469&gt;=Assumptions!$B$7,3,""))))</f>
        <v>1</v>
      </c>
      <c r="O469" s="9" t="n">
        <f aca="false">IF(N469=1,Assumptions!$B$8,IF(N469=2,Assumptions!$B$9,IF(N469=3,Assumptions!$B$10,0)))</f>
        <v>3</v>
      </c>
      <c r="P469" s="6" t="s">
        <v>30</v>
      </c>
      <c r="Q469" s="6" t="s">
        <v>30</v>
      </c>
      <c r="R469" s="11" t="s">
        <v>30</v>
      </c>
      <c r="S469" s="6" t="s">
        <v>30</v>
      </c>
      <c r="T469" s="11" t="s">
        <v>30</v>
      </c>
      <c r="U469" s="6" t="s">
        <v>30</v>
      </c>
      <c r="V469" s="6" t="s">
        <v>30</v>
      </c>
      <c r="W469" s="6" t="s">
        <v>30</v>
      </c>
      <c r="X469" s="2" t="s">
        <v>30</v>
      </c>
      <c r="Y469" s="6" t="str">
        <f aca="false">IF(AND(X469="processed",ISNUMBER(S469)),S469*O469,"")</f>
        <v/>
      </c>
      <c r="Z469" s="6" t="n">
        <f aca="false">IF(ISNUMBER(K469),K469*O469,0)</f>
        <v>159</v>
      </c>
      <c r="AA469" s="2" t="s">
        <v>31</v>
      </c>
      <c r="AB469" s="6"/>
      <c r="AC469" s="6"/>
      <c r="AD469" s="6"/>
      <c r="AE469" s="6"/>
      <c r="AF469" s="8" t="n">
        <v>1391.788448156</v>
      </c>
      <c r="AG469" s="11" t="n">
        <v>0.2519261296</v>
      </c>
      <c r="AH469" s="12"/>
      <c r="AI469" s="2"/>
      <c r="AJ469" s="2"/>
      <c r="AK469" s="2"/>
    </row>
    <row r="470" customFormat="false" ht="15" hidden="false" customHeight="false" outlineLevel="0" collapsed="false">
      <c r="A470" s="9" t="n">
        <v>467</v>
      </c>
      <c r="B470" s="2" t="s">
        <v>1195</v>
      </c>
      <c r="C470" s="2" t="s">
        <v>339</v>
      </c>
      <c r="D470" s="2" t="s">
        <v>197</v>
      </c>
      <c r="E470" s="2" t="s">
        <v>51</v>
      </c>
      <c r="F470" s="2" t="s">
        <v>1196</v>
      </c>
      <c r="G470" s="2" t="s">
        <v>338</v>
      </c>
      <c r="H470" s="8" t="n">
        <v>1176.96488464326</v>
      </c>
      <c r="I470" s="2" t="s">
        <v>316</v>
      </c>
      <c r="J470" s="8" t="n">
        <v>1633377.35849057</v>
      </c>
      <c r="K470" s="6" t="n">
        <v>53</v>
      </c>
      <c r="L470" s="2"/>
      <c r="M470" s="10" t="b">
        <f aca="false">TRUE()</f>
        <v>1</v>
      </c>
      <c r="N470" s="9" t="n">
        <f aca="false">IF(H470="","",IF(H470&gt;=Assumptions!$B$5,1,IF(H470&gt;=Assumptions!$B$6,2,IF(H470&gt;=Assumptions!$B$7,3,""))))</f>
        <v>1</v>
      </c>
      <c r="O470" s="9" t="n">
        <f aca="false">IF(N470=1,Assumptions!$B$8,IF(N470=2,Assumptions!$B$9,IF(N470=3,Assumptions!$B$10,0)))</f>
        <v>3</v>
      </c>
      <c r="P470" s="6" t="s">
        <v>30</v>
      </c>
      <c r="Q470" s="6" t="s">
        <v>30</v>
      </c>
      <c r="R470" s="11" t="s">
        <v>30</v>
      </c>
      <c r="S470" s="6" t="s">
        <v>30</v>
      </c>
      <c r="T470" s="11" t="s">
        <v>30</v>
      </c>
      <c r="U470" s="6" t="s">
        <v>30</v>
      </c>
      <c r="V470" s="6" t="s">
        <v>30</v>
      </c>
      <c r="W470" s="6" t="s">
        <v>30</v>
      </c>
      <c r="X470" s="2" t="s">
        <v>30</v>
      </c>
      <c r="Y470" s="6" t="str">
        <f aca="false">IF(AND(X470="processed",ISNUMBER(S470)),S470*O470,"")</f>
        <v/>
      </c>
      <c r="Z470" s="6" t="n">
        <f aca="false">IF(ISNUMBER(K470),K470*O470,0)</f>
        <v>159</v>
      </c>
      <c r="AA470" s="2" t="s">
        <v>31</v>
      </c>
      <c r="AB470" s="6" t="n">
        <v>3673</v>
      </c>
      <c r="AC470" s="6" t="n">
        <v>3255</v>
      </c>
      <c r="AD470" s="6" t="n">
        <v>1944</v>
      </c>
      <c r="AE470" s="6" t="n">
        <v>1798.78637695313</v>
      </c>
      <c r="AF470" s="8" t="n">
        <v>1290.983606557</v>
      </c>
      <c r="AG470" s="11" t="n">
        <v>-0.09424037871</v>
      </c>
      <c r="AH470" s="12" t="n">
        <v>0.883273464743491</v>
      </c>
      <c r="AI470" s="2" t="s">
        <v>317</v>
      </c>
      <c r="AJ470" s="2" t="s">
        <v>339</v>
      </c>
      <c r="AK470" s="2" t="s">
        <v>339</v>
      </c>
    </row>
    <row r="471" customFormat="false" ht="15" hidden="false" customHeight="false" outlineLevel="0" collapsed="false">
      <c r="A471" s="9" t="n">
        <v>468</v>
      </c>
      <c r="B471" s="2" t="s">
        <v>1197</v>
      </c>
      <c r="C471" s="2" t="s">
        <v>1198</v>
      </c>
      <c r="D471" s="2" t="s">
        <v>70</v>
      </c>
      <c r="E471" s="2" t="s">
        <v>71</v>
      </c>
      <c r="F471" s="2"/>
      <c r="G471" s="2" t="s">
        <v>329</v>
      </c>
      <c r="H471" s="8" t="n">
        <v>532.985125673814</v>
      </c>
      <c r="I471" s="2" t="s">
        <v>316</v>
      </c>
      <c r="J471" s="8" t="n">
        <v>650788.461538462</v>
      </c>
      <c r="K471" s="6" t="n">
        <v>156</v>
      </c>
      <c r="L471" s="2"/>
      <c r="M471" s="10" t="b">
        <f aca="false">TRUE()</f>
        <v>1</v>
      </c>
      <c r="N471" s="9" t="n">
        <f aca="false">IF(H471="","",IF(H471&gt;=Assumptions!$B$5,1,IF(H471&gt;=Assumptions!$B$6,2,IF(H471&gt;=Assumptions!$B$7,3,""))))</f>
        <v>3</v>
      </c>
      <c r="O471" s="9" t="n">
        <f aca="false">IF(N471=1,Assumptions!$B$8,IF(N471=2,Assumptions!$B$9,IF(N471=3,Assumptions!$B$10,0)))</f>
        <v>1</v>
      </c>
      <c r="P471" s="6" t="s">
        <v>30</v>
      </c>
      <c r="Q471" s="6" t="s">
        <v>30</v>
      </c>
      <c r="R471" s="11" t="s">
        <v>30</v>
      </c>
      <c r="S471" s="6" t="s">
        <v>30</v>
      </c>
      <c r="T471" s="11" t="s">
        <v>30</v>
      </c>
      <c r="U471" s="6" t="s">
        <v>30</v>
      </c>
      <c r="V471" s="6" t="s">
        <v>30</v>
      </c>
      <c r="W471" s="6" t="s">
        <v>30</v>
      </c>
      <c r="X471" s="2" t="s">
        <v>30</v>
      </c>
      <c r="Y471" s="6" t="str">
        <f aca="false">IF(AND(X471="processed",ISNUMBER(S471)),S471*O471,"")</f>
        <v/>
      </c>
      <c r="Z471" s="6" t="n">
        <f aca="false">IF(ISNUMBER(K471),K471*O471,0)</f>
        <v>156</v>
      </c>
      <c r="AA471" s="2" t="s">
        <v>31</v>
      </c>
      <c r="AB471" s="6" t="n">
        <v>16946</v>
      </c>
      <c r="AC471" s="6" t="n">
        <v>12560</v>
      </c>
      <c r="AD471" s="6" t="n">
        <v>301</v>
      </c>
      <c r="AE471" s="6" t="n">
        <v>1647.84594726563</v>
      </c>
      <c r="AF471" s="8" t="n">
        <v>481.927710843</v>
      </c>
      <c r="AG471" s="11" t="n">
        <v>-0.04278440388</v>
      </c>
      <c r="AH471" s="12" t="n">
        <v>1</v>
      </c>
      <c r="AI471" s="2" t="s">
        <v>317</v>
      </c>
      <c r="AJ471" s="2" t="s">
        <v>1198</v>
      </c>
      <c r="AK471" s="2" t="s">
        <v>1199</v>
      </c>
    </row>
    <row r="472" customFormat="false" ht="15" hidden="false" customHeight="false" outlineLevel="0" collapsed="false">
      <c r="A472" s="9" t="n">
        <v>469</v>
      </c>
      <c r="B472" s="2" t="s">
        <v>1200</v>
      </c>
      <c r="C472" s="2" t="s">
        <v>1201</v>
      </c>
      <c r="D472" s="2" t="s">
        <v>70</v>
      </c>
      <c r="E472" s="2" t="s">
        <v>71</v>
      </c>
      <c r="F472" s="2" t="s">
        <v>1202</v>
      </c>
      <c r="G472" s="2" t="s">
        <v>329</v>
      </c>
      <c r="H472" s="8" t="n">
        <v>1020.66781417815</v>
      </c>
      <c r="I472" s="2" t="s">
        <v>316</v>
      </c>
      <c r="J472" s="8" t="n">
        <v>2051519.23076923</v>
      </c>
      <c r="K472" s="6" t="n">
        <v>52</v>
      </c>
      <c r="L472" s="2"/>
      <c r="M472" s="10" t="b">
        <f aca="false">TRUE()</f>
        <v>1</v>
      </c>
      <c r="N472" s="9" t="n">
        <f aca="false">IF(H472="","",IF(H472&gt;=Assumptions!$B$5,1,IF(H472&gt;=Assumptions!$B$6,2,IF(H472&gt;=Assumptions!$B$7,3,""))))</f>
        <v>1</v>
      </c>
      <c r="O472" s="9" t="n">
        <f aca="false">IF(N472=1,Assumptions!$B$8,IF(N472=2,Assumptions!$B$9,IF(N472=3,Assumptions!$B$10,0)))</f>
        <v>3</v>
      </c>
      <c r="P472" s="6" t="s">
        <v>30</v>
      </c>
      <c r="Q472" s="6" t="s">
        <v>30</v>
      </c>
      <c r="R472" s="11" t="s">
        <v>30</v>
      </c>
      <c r="S472" s="6" t="s">
        <v>30</v>
      </c>
      <c r="T472" s="11" t="s">
        <v>30</v>
      </c>
      <c r="U472" s="6" t="s">
        <v>30</v>
      </c>
      <c r="V472" s="6" t="s">
        <v>30</v>
      </c>
      <c r="W472" s="6" t="s">
        <v>30</v>
      </c>
      <c r="X472" s="2" t="s">
        <v>30</v>
      </c>
      <c r="Y472" s="6" t="str">
        <f aca="false">IF(AND(X472="processed",ISNUMBER(S472)),S472*O472,"")</f>
        <v/>
      </c>
      <c r="Z472" s="6" t="n">
        <f aca="false">IF(ISNUMBER(K472),K472*O472,0)</f>
        <v>156</v>
      </c>
      <c r="AA472" s="2" t="s">
        <v>31</v>
      </c>
      <c r="AB472" s="6" t="n">
        <v>7652</v>
      </c>
      <c r="AC472" s="6" t="n">
        <v>5381</v>
      </c>
      <c r="AD472" s="6" t="n">
        <v>233</v>
      </c>
      <c r="AE472" s="6" t="n">
        <v>1879.23571777344</v>
      </c>
      <c r="AF472" s="8" t="n">
        <v>1019.575856444</v>
      </c>
      <c r="AG472" s="11" t="n">
        <v>-0.02745619113</v>
      </c>
      <c r="AH472" s="12" t="n">
        <v>0.943965050980092</v>
      </c>
      <c r="AI472" s="2" t="s">
        <v>317</v>
      </c>
      <c r="AJ472" s="2" t="s">
        <v>1201</v>
      </c>
      <c r="AK472" s="2" t="s">
        <v>1201</v>
      </c>
    </row>
    <row r="473" customFormat="false" ht="15" hidden="false" customHeight="false" outlineLevel="0" collapsed="false">
      <c r="A473" s="9" t="n">
        <v>470</v>
      </c>
      <c r="B473" s="2" t="s">
        <v>1203</v>
      </c>
      <c r="C473" s="2" t="s">
        <v>1204</v>
      </c>
      <c r="D473" s="2" t="s">
        <v>70</v>
      </c>
      <c r="E473" s="2" t="s">
        <v>71</v>
      </c>
      <c r="F473" s="2"/>
      <c r="G473" s="2" t="s">
        <v>329</v>
      </c>
      <c r="H473" s="8" t="n">
        <v>573.535332320333</v>
      </c>
      <c r="I473" s="2" t="s">
        <v>316</v>
      </c>
      <c r="J473" s="8" t="n">
        <v>843525.641025641</v>
      </c>
      <c r="K473" s="6" t="n">
        <v>156</v>
      </c>
      <c r="L473" s="2"/>
      <c r="M473" s="10" t="b">
        <f aca="false">TRUE()</f>
        <v>1</v>
      </c>
      <c r="N473" s="9" t="n">
        <f aca="false">IF(H473="","",IF(H473&gt;=Assumptions!$B$5,1,IF(H473&gt;=Assumptions!$B$6,2,IF(H473&gt;=Assumptions!$B$7,3,""))))</f>
        <v>3</v>
      </c>
      <c r="O473" s="9" t="n">
        <f aca="false">IF(N473=1,Assumptions!$B$8,IF(N473=2,Assumptions!$B$9,IF(N473=3,Assumptions!$B$10,0)))</f>
        <v>1</v>
      </c>
      <c r="P473" s="6" t="s">
        <v>30</v>
      </c>
      <c r="Q473" s="6" t="s">
        <v>30</v>
      </c>
      <c r="R473" s="11" t="s">
        <v>30</v>
      </c>
      <c r="S473" s="6" t="s">
        <v>30</v>
      </c>
      <c r="T473" s="11" t="s">
        <v>30</v>
      </c>
      <c r="U473" s="6" t="s">
        <v>30</v>
      </c>
      <c r="V473" s="6" t="s">
        <v>30</v>
      </c>
      <c r="W473" s="6" t="s">
        <v>30</v>
      </c>
      <c r="X473" s="2" t="s">
        <v>30</v>
      </c>
      <c r="Y473" s="6" t="str">
        <f aca="false">IF(AND(X473="processed",ISNUMBER(S473)),S473*O473,"")</f>
        <v/>
      </c>
      <c r="Z473" s="6" t="n">
        <f aca="false">IF(ISNUMBER(K473),K473*O473,0)</f>
        <v>156</v>
      </c>
      <c r="AA473" s="2" t="s">
        <v>31</v>
      </c>
      <c r="AB473" s="6" t="n">
        <v>15847</v>
      </c>
      <c r="AC473" s="6" t="n">
        <v>12240</v>
      </c>
      <c r="AD473" s="6" t="n">
        <v>190</v>
      </c>
      <c r="AE473" s="6" t="n">
        <v>2233.85766601563</v>
      </c>
      <c r="AF473" s="8" t="n">
        <v>571.611986131</v>
      </c>
      <c r="AG473" s="11" t="n">
        <v>0.03521385464</v>
      </c>
      <c r="AH473" s="12" t="n">
        <v>1</v>
      </c>
      <c r="AI473" s="2" t="s">
        <v>317</v>
      </c>
      <c r="AJ473" s="2" t="s">
        <v>1204</v>
      </c>
      <c r="AK473" s="2" t="s">
        <v>1204</v>
      </c>
    </row>
    <row r="474" customFormat="false" ht="15" hidden="false" customHeight="false" outlineLevel="0" collapsed="false">
      <c r="A474" s="9" t="n">
        <v>471</v>
      </c>
      <c r="B474" s="2" t="s">
        <v>1205</v>
      </c>
      <c r="C474" s="2" t="s">
        <v>1206</v>
      </c>
      <c r="D474" s="2" t="s">
        <v>1207</v>
      </c>
      <c r="E474" s="2" t="s">
        <v>51</v>
      </c>
      <c r="F474" s="2" t="s">
        <v>1208</v>
      </c>
      <c r="G474" s="2" t="s">
        <v>323</v>
      </c>
      <c r="H474" s="8" t="n">
        <v>670.060938634718</v>
      </c>
      <c r="I474" s="2" t="s">
        <v>316</v>
      </c>
      <c r="J474" s="8" t="n">
        <v>1019660.25641026</v>
      </c>
      <c r="K474" s="6" t="n">
        <v>78</v>
      </c>
      <c r="L474" s="2"/>
      <c r="M474" s="10" t="b">
        <f aca="false">TRUE()</f>
        <v>1</v>
      </c>
      <c r="N474" s="9" t="n">
        <f aca="false">IF(H474="","",IF(H474&gt;=Assumptions!$B$5,1,IF(H474&gt;=Assumptions!$B$6,2,IF(H474&gt;=Assumptions!$B$7,3,""))))</f>
        <v>2</v>
      </c>
      <c r="O474" s="9" t="n">
        <f aca="false">IF(N474=1,Assumptions!$B$8,IF(N474=2,Assumptions!$B$9,IF(N474=3,Assumptions!$B$10,0)))</f>
        <v>2</v>
      </c>
      <c r="P474" s="6" t="s">
        <v>30</v>
      </c>
      <c r="Q474" s="6" t="s">
        <v>30</v>
      </c>
      <c r="R474" s="11" t="s">
        <v>30</v>
      </c>
      <c r="S474" s="6" t="s">
        <v>30</v>
      </c>
      <c r="T474" s="11" t="s">
        <v>30</v>
      </c>
      <c r="U474" s="6" t="s">
        <v>30</v>
      </c>
      <c r="V474" s="6" t="s">
        <v>30</v>
      </c>
      <c r="W474" s="6" t="s">
        <v>30</v>
      </c>
      <c r="X474" s="2" t="s">
        <v>30</v>
      </c>
      <c r="Y474" s="6" t="str">
        <f aca="false">IF(AND(X474="processed",ISNUMBER(S474)),S474*O474,"")</f>
        <v/>
      </c>
      <c r="Z474" s="6" t="n">
        <f aca="false">IF(ISNUMBER(K474),K474*O474,0)</f>
        <v>156</v>
      </c>
      <c r="AA474" s="2" t="s">
        <v>31</v>
      </c>
      <c r="AB474" s="6" t="n">
        <v>1931</v>
      </c>
      <c r="AC474" s="6" t="n">
        <v>1692</v>
      </c>
      <c r="AD474" s="6" t="n">
        <v>1587</v>
      </c>
      <c r="AE474" s="6" t="n">
        <v>1330.869140625</v>
      </c>
      <c r="AF474" s="8" t="n">
        <v>738.335467463</v>
      </c>
      <c r="AG474" s="11" t="n">
        <v>0.008044643806</v>
      </c>
      <c r="AH474" s="12" t="n">
        <v>0.990526708377927</v>
      </c>
      <c r="AI474" s="2" t="s">
        <v>317</v>
      </c>
      <c r="AJ474" s="2" t="s">
        <v>1206</v>
      </c>
      <c r="AK474" s="2" t="s">
        <v>1209</v>
      </c>
    </row>
    <row r="475" customFormat="false" ht="15" hidden="false" customHeight="false" outlineLevel="0" collapsed="false">
      <c r="A475" s="9" t="n">
        <v>472</v>
      </c>
      <c r="B475" s="2" t="s">
        <v>1210</v>
      </c>
      <c r="C475" s="2" t="s">
        <v>1211</v>
      </c>
      <c r="D475" s="2" t="s">
        <v>70</v>
      </c>
      <c r="E475" s="2" t="s">
        <v>71</v>
      </c>
      <c r="F475" s="2"/>
      <c r="G475" s="2" t="s">
        <v>329</v>
      </c>
      <c r="H475" s="8" t="n">
        <v>547.83997302113</v>
      </c>
      <c r="I475" s="2" t="s">
        <v>316</v>
      </c>
      <c r="J475" s="8" t="n">
        <v>958402.597402597</v>
      </c>
      <c r="K475" s="6" t="n">
        <v>154</v>
      </c>
      <c r="L475" s="2"/>
      <c r="M475" s="10" t="b">
        <f aca="false">TRUE()</f>
        <v>1</v>
      </c>
      <c r="N475" s="9" t="n">
        <f aca="false">IF(H475="","",IF(H475&gt;=Assumptions!$B$5,1,IF(H475&gt;=Assumptions!$B$6,2,IF(H475&gt;=Assumptions!$B$7,3,""))))</f>
        <v>3</v>
      </c>
      <c r="O475" s="9" t="n">
        <f aca="false">IF(N475=1,Assumptions!$B$8,IF(N475=2,Assumptions!$B$9,IF(N475=3,Assumptions!$B$10,0)))</f>
        <v>1</v>
      </c>
      <c r="P475" s="6" t="s">
        <v>30</v>
      </c>
      <c r="Q475" s="6" t="s">
        <v>30</v>
      </c>
      <c r="R475" s="11" t="s">
        <v>30</v>
      </c>
      <c r="S475" s="6" t="s">
        <v>30</v>
      </c>
      <c r="T475" s="11" t="s">
        <v>30</v>
      </c>
      <c r="U475" s="6" t="s">
        <v>30</v>
      </c>
      <c r="V475" s="6" t="s">
        <v>30</v>
      </c>
      <c r="W475" s="6" t="s">
        <v>30</v>
      </c>
      <c r="X475" s="2" t="s">
        <v>30</v>
      </c>
      <c r="Y475" s="6" t="str">
        <f aca="false">IF(AND(X475="processed",ISNUMBER(S475)),S475*O475,"")</f>
        <v/>
      </c>
      <c r="Z475" s="6" t="n">
        <f aca="false">IF(ISNUMBER(K475),K475*O475,0)</f>
        <v>154</v>
      </c>
      <c r="AA475" s="2" t="s">
        <v>31</v>
      </c>
      <c r="AB475" s="6" t="n">
        <v>12246</v>
      </c>
      <c r="AC475" s="6" t="n">
        <v>10829</v>
      </c>
      <c r="AD475" s="6" t="n">
        <v>318</v>
      </c>
      <c r="AE475" s="6" t="n">
        <v>2507.7509765625</v>
      </c>
      <c r="AF475" s="8" t="n">
        <v>543.704815225</v>
      </c>
      <c r="AG475" s="11" t="n">
        <v>0.01083786897</v>
      </c>
      <c r="AH475" s="12" t="n">
        <v>0.999999999999996</v>
      </c>
      <c r="AI475" s="2" t="s">
        <v>317</v>
      </c>
      <c r="AJ475" s="2" t="s">
        <v>1211</v>
      </c>
      <c r="AK475" s="2" t="s">
        <v>1211</v>
      </c>
    </row>
    <row r="476" customFormat="false" ht="15" hidden="false" customHeight="false" outlineLevel="0" collapsed="false">
      <c r="A476" s="9" t="n">
        <v>473</v>
      </c>
      <c r="B476" s="2" t="s">
        <v>1212</v>
      </c>
      <c r="C476" s="2" t="s">
        <v>125</v>
      </c>
      <c r="D476" s="2" t="s">
        <v>27</v>
      </c>
      <c r="E476" s="2" t="s">
        <v>28</v>
      </c>
      <c r="F476" s="2" t="s">
        <v>1213</v>
      </c>
      <c r="G476" s="2" t="s">
        <v>315</v>
      </c>
      <c r="H476" s="8" t="n">
        <v>637.802088666546</v>
      </c>
      <c r="I476" s="2" t="s">
        <v>316</v>
      </c>
      <c r="J476" s="8" t="n">
        <v>1392584.41558442</v>
      </c>
      <c r="K476" s="6" t="n">
        <v>77</v>
      </c>
      <c r="L476" s="2"/>
      <c r="M476" s="10" t="b">
        <f aca="false">TRUE()</f>
        <v>1</v>
      </c>
      <c r="N476" s="9" t="n">
        <f aca="false">IF(H476="","",IF(H476&gt;=Assumptions!$B$5,1,IF(H476&gt;=Assumptions!$B$6,2,IF(H476&gt;=Assumptions!$B$7,3,""))))</f>
        <v>2</v>
      </c>
      <c r="O476" s="9" t="n">
        <f aca="false">IF(N476=1,Assumptions!$B$8,IF(N476=2,Assumptions!$B$9,IF(N476=3,Assumptions!$B$10,0)))</f>
        <v>2</v>
      </c>
      <c r="P476" s="6" t="s">
        <v>30</v>
      </c>
      <c r="Q476" s="6" t="s">
        <v>30</v>
      </c>
      <c r="R476" s="11" t="s">
        <v>30</v>
      </c>
      <c r="S476" s="6" t="s">
        <v>30</v>
      </c>
      <c r="T476" s="11" t="s">
        <v>30</v>
      </c>
      <c r="U476" s="6" t="s">
        <v>30</v>
      </c>
      <c r="V476" s="6" t="s">
        <v>30</v>
      </c>
      <c r="W476" s="6" t="s">
        <v>30</v>
      </c>
      <c r="X476" s="2" t="s">
        <v>30</v>
      </c>
      <c r="Y476" s="6" t="str">
        <f aca="false">IF(AND(X476="processed",ISNUMBER(S476)),S476*O476,"")</f>
        <v/>
      </c>
      <c r="Z476" s="6" t="n">
        <f aca="false">IF(ISNUMBER(K476),K476*O476,0)</f>
        <v>154</v>
      </c>
      <c r="AA476" s="2" t="s">
        <v>31</v>
      </c>
      <c r="AB476" s="6" t="n">
        <v>4715</v>
      </c>
      <c r="AC476" s="6" t="n">
        <v>4275</v>
      </c>
      <c r="AD476" s="6" t="n">
        <v>91</v>
      </c>
      <c r="AE476" s="6" t="n">
        <v>1857.85266113281</v>
      </c>
      <c r="AF476" s="8" t="n">
        <v>660.119492613</v>
      </c>
      <c r="AG476" s="11" t="n">
        <v>-0.02162660781</v>
      </c>
      <c r="AH476" s="12" t="n">
        <v>1</v>
      </c>
      <c r="AI476" s="2" t="s">
        <v>317</v>
      </c>
      <c r="AJ476" s="2" t="s">
        <v>125</v>
      </c>
      <c r="AK476" s="2" t="s">
        <v>125</v>
      </c>
    </row>
    <row r="477" customFormat="false" ht="15" hidden="false" customHeight="false" outlineLevel="0" collapsed="false">
      <c r="A477" s="9" t="n">
        <v>474</v>
      </c>
      <c r="B477" s="2" t="s">
        <v>1214</v>
      </c>
      <c r="C477" s="2" t="s">
        <v>70</v>
      </c>
      <c r="D477" s="2" t="s">
        <v>70</v>
      </c>
      <c r="E477" s="2" t="s">
        <v>71</v>
      </c>
      <c r="F477" s="2" t="s">
        <v>1215</v>
      </c>
      <c r="G477" s="2" t="s">
        <v>329</v>
      </c>
      <c r="H477" s="8" t="n">
        <v>521.562448782768</v>
      </c>
      <c r="I477" s="2" t="s">
        <v>316</v>
      </c>
      <c r="J477" s="8" t="n">
        <v>653357.61589404</v>
      </c>
      <c r="K477" s="6" t="n">
        <v>151</v>
      </c>
      <c r="L477" s="2"/>
      <c r="M477" s="10" t="b">
        <f aca="false">TRUE()</f>
        <v>1</v>
      </c>
      <c r="N477" s="9" t="n">
        <f aca="false">IF(H477="","",IF(H477&gt;=Assumptions!$B$5,1,IF(H477&gt;=Assumptions!$B$6,2,IF(H477&gt;=Assumptions!$B$7,3,""))))</f>
        <v>3</v>
      </c>
      <c r="O477" s="9" t="n">
        <f aca="false">IF(N477=1,Assumptions!$B$8,IF(N477=2,Assumptions!$B$9,IF(N477=3,Assumptions!$B$10,0)))</f>
        <v>1</v>
      </c>
      <c r="P477" s="6" t="s">
        <v>30</v>
      </c>
      <c r="Q477" s="6" t="s">
        <v>30</v>
      </c>
      <c r="R477" s="11" t="s">
        <v>30</v>
      </c>
      <c r="S477" s="6" t="s">
        <v>30</v>
      </c>
      <c r="T477" s="11" t="s">
        <v>30</v>
      </c>
      <c r="U477" s="6" t="s">
        <v>30</v>
      </c>
      <c r="V477" s="6" t="s">
        <v>30</v>
      </c>
      <c r="W477" s="6" t="s">
        <v>30</v>
      </c>
      <c r="X477" s="2" t="s">
        <v>30</v>
      </c>
      <c r="Y477" s="6" t="str">
        <f aca="false">IF(AND(X477="processed",ISNUMBER(S477)),S477*O477,"")</f>
        <v/>
      </c>
      <c r="Z477" s="6" t="n">
        <f aca="false">IF(ISNUMBER(K477),K477*O477,0)</f>
        <v>151</v>
      </c>
      <c r="AA477" s="2" t="s">
        <v>31</v>
      </c>
      <c r="AB477" s="6" t="n">
        <v>27179</v>
      </c>
      <c r="AC477" s="6" t="n">
        <v>18879</v>
      </c>
      <c r="AD477" s="6" t="n">
        <v>292</v>
      </c>
      <c r="AE477" s="6" t="n">
        <v>1413.45251464844</v>
      </c>
      <c r="AF477" s="8" t="n">
        <v>516.73364745</v>
      </c>
      <c r="AG477" s="11" t="n">
        <v>-0.001412226303</v>
      </c>
      <c r="AH477" s="12" t="n">
        <v>1</v>
      </c>
      <c r="AI477" s="2" t="s">
        <v>317</v>
      </c>
      <c r="AJ477" s="2" t="s">
        <v>70</v>
      </c>
      <c r="AK477" s="2" t="s">
        <v>70</v>
      </c>
    </row>
    <row r="478" customFormat="false" ht="15" hidden="false" customHeight="false" outlineLevel="0" collapsed="false">
      <c r="A478" s="9" t="n">
        <v>475</v>
      </c>
      <c r="B478" s="2" t="s">
        <v>1216</v>
      </c>
      <c r="C478" s="2" t="s">
        <v>1217</v>
      </c>
      <c r="D478" s="2" t="s">
        <v>70</v>
      </c>
      <c r="E478" s="2" t="s">
        <v>71</v>
      </c>
      <c r="F478" s="2" t="s">
        <v>1218</v>
      </c>
      <c r="G478" s="2" t="s">
        <v>329</v>
      </c>
      <c r="H478" s="8" t="n">
        <v>522.385672183287</v>
      </c>
      <c r="I478" s="2" t="s">
        <v>316</v>
      </c>
      <c r="J478" s="8" t="n">
        <v>808506.666666667</v>
      </c>
      <c r="K478" s="6" t="n">
        <v>150</v>
      </c>
      <c r="L478" s="2"/>
      <c r="M478" s="10" t="b">
        <f aca="false">TRUE()</f>
        <v>1</v>
      </c>
      <c r="N478" s="9" t="n">
        <f aca="false">IF(H478="","",IF(H478&gt;=Assumptions!$B$5,1,IF(H478&gt;=Assumptions!$B$6,2,IF(H478&gt;=Assumptions!$B$7,3,""))))</f>
        <v>3</v>
      </c>
      <c r="O478" s="9" t="n">
        <f aca="false">IF(N478=1,Assumptions!$B$8,IF(N478=2,Assumptions!$B$9,IF(N478=3,Assumptions!$B$10,0)))</f>
        <v>1</v>
      </c>
      <c r="P478" s="6" t="s">
        <v>30</v>
      </c>
      <c r="Q478" s="6" t="s">
        <v>30</v>
      </c>
      <c r="R478" s="11" t="s">
        <v>30</v>
      </c>
      <c r="S478" s="6" t="s">
        <v>30</v>
      </c>
      <c r="T478" s="11" t="s">
        <v>30</v>
      </c>
      <c r="U478" s="6" t="s">
        <v>30</v>
      </c>
      <c r="V478" s="6" t="s">
        <v>30</v>
      </c>
      <c r="W478" s="6" t="s">
        <v>30</v>
      </c>
      <c r="X478" s="2" t="s">
        <v>30</v>
      </c>
      <c r="Y478" s="6" t="str">
        <f aca="false">IF(AND(X478="processed",ISNUMBER(S478)),S478*O478,"")</f>
        <v/>
      </c>
      <c r="Z478" s="6" t="n">
        <f aca="false">IF(ISNUMBER(K478),K478*O478,0)</f>
        <v>150</v>
      </c>
      <c r="AA478" s="2" t="s">
        <v>31</v>
      </c>
      <c r="AB478" s="6" t="n">
        <v>17550</v>
      </c>
      <c r="AC478" s="6" t="n">
        <v>14067</v>
      </c>
      <c r="AD478" s="6" t="n">
        <v>503</v>
      </c>
      <c r="AE478" s="6" t="n">
        <v>1976.05529785156</v>
      </c>
      <c r="AF478" s="8" t="n">
        <v>509.877461034</v>
      </c>
      <c r="AG478" s="11" t="n">
        <v>-0.05102806664</v>
      </c>
      <c r="AH478" s="12" t="n">
        <v>0.999999999999999</v>
      </c>
      <c r="AI478" s="2" t="s">
        <v>317</v>
      </c>
      <c r="AJ478" s="2" t="s">
        <v>1217</v>
      </c>
      <c r="AK478" s="2" t="s">
        <v>1217</v>
      </c>
    </row>
    <row r="479" customFormat="false" ht="15" hidden="false" customHeight="false" outlineLevel="0" collapsed="false">
      <c r="A479" s="9" t="n">
        <v>476</v>
      </c>
      <c r="B479" s="2" t="s">
        <v>1219</v>
      </c>
      <c r="C479" s="2" t="s">
        <v>1220</v>
      </c>
      <c r="D479" s="2" t="s">
        <v>423</v>
      </c>
      <c r="E479" s="2" t="s">
        <v>51</v>
      </c>
      <c r="F479" s="2"/>
      <c r="G479" s="2" t="s">
        <v>425</v>
      </c>
      <c r="H479" s="8" t="n">
        <v>772.08934367224</v>
      </c>
      <c r="I479" s="2" t="s">
        <v>316</v>
      </c>
      <c r="J479" s="8" t="n">
        <v>2128120</v>
      </c>
      <c r="K479" s="6" t="n">
        <v>50</v>
      </c>
      <c r="L479" s="2"/>
      <c r="M479" s="10" t="b">
        <f aca="false">TRUE()</f>
        <v>1</v>
      </c>
      <c r="N479" s="9" t="n">
        <f aca="false">IF(H479="","",IF(H479&gt;=Assumptions!$B$5,1,IF(H479&gt;=Assumptions!$B$6,2,IF(H479&gt;=Assumptions!$B$7,3,""))))</f>
        <v>1</v>
      </c>
      <c r="O479" s="9" t="n">
        <f aca="false">IF(N479=1,Assumptions!$B$8,IF(N479=2,Assumptions!$B$9,IF(N479=3,Assumptions!$B$10,0)))</f>
        <v>3</v>
      </c>
      <c r="P479" s="6" t="s">
        <v>30</v>
      </c>
      <c r="Q479" s="6" t="s">
        <v>30</v>
      </c>
      <c r="R479" s="11" t="s">
        <v>30</v>
      </c>
      <c r="S479" s="6" t="s">
        <v>30</v>
      </c>
      <c r="T479" s="11" t="s">
        <v>30</v>
      </c>
      <c r="U479" s="6" t="s">
        <v>30</v>
      </c>
      <c r="V479" s="6" t="s">
        <v>30</v>
      </c>
      <c r="W479" s="6" t="s">
        <v>30</v>
      </c>
      <c r="X479" s="2" t="s">
        <v>30</v>
      </c>
      <c r="Y479" s="6" t="str">
        <f aca="false">IF(AND(X479="processed",ISNUMBER(S479)),S479*O479,"")</f>
        <v/>
      </c>
      <c r="Z479" s="6" t="n">
        <f aca="false">IF(ISNUMBER(K479),K479*O479,0)</f>
        <v>150</v>
      </c>
      <c r="AA479" s="2" t="s">
        <v>31</v>
      </c>
      <c r="AB479" s="6" t="n">
        <v>5779</v>
      </c>
      <c r="AC479" s="6" t="n">
        <v>4237</v>
      </c>
      <c r="AD479" s="6" t="n">
        <v>2599</v>
      </c>
      <c r="AE479" s="6" t="n">
        <v>2043.74438476563</v>
      </c>
      <c r="AF479" s="8" t="n">
        <v>761.937013207</v>
      </c>
      <c r="AG479" s="11" t="n">
        <v>-0.1571132455</v>
      </c>
      <c r="AH479" s="12" t="n">
        <v>0.999999999999999</v>
      </c>
      <c r="AI479" s="2" t="s">
        <v>1221</v>
      </c>
      <c r="AJ479" s="2" t="s">
        <v>1222</v>
      </c>
      <c r="AK479" s="2" t="s">
        <v>1223</v>
      </c>
    </row>
    <row r="480" customFormat="false" ht="15" hidden="false" customHeight="false" outlineLevel="0" collapsed="false">
      <c r="A480" s="9" t="n">
        <v>477</v>
      </c>
      <c r="B480" s="2" t="s">
        <v>1224</v>
      </c>
      <c r="C480" s="2" t="s">
        <v>1204</v>
      </c>
      <c r="D480" s="2" t="s">
        <v>70</v>
      </c>
      <c r="E480" s="2" t="s">
        <v>71</v>
      </c>
      <c r="F480" s="2"/>
      <c r="G480" s="2" t="s">
        <v>329</v>
      </c>
      <c r="H480" s="8" t="n">
        <v>525.534931230859</v>
      </c>
      <c r="I480" s="2" t="s">
        <v>316</v>
      </c>
      <c r="J480" s="8" t="n">
        <v>967516.77852349</v>
      </c>
      <c r="K480" s="6" t="n">
        <v>149</v>
      </c>
      <c r="L480" s="2"/>
      <c r="M480" s="10" t="b">
        <f aca="false">TRUE()</f>
        <v>1</v>
      </c>
      <c r="N480" s="9" t="n">
        <f aca="false">IF(H480="","",IF(H480&gt;=Assumptions!$B$5,1,IF(H480&gt;=Assumptions!$B$6,2,IF(H480&gt;=Assumptions!$B$7,3,""))))</f>
        <v>3</v>
      </c>
      <c r="O480" s="9" t="n">
        <f aca="false">IF(N480=1,Assumptions!$B$8,IF(N480=2,Assumptions!$B$9,IF(N480=3,Assumptions!$B$10,0)))</f>
        <v>1</v>
      </c>
      <c r="P480" s="6" t="s">
        <v>30</v>
      </c>
      <c r="Q480" s="6" t="s">
        <v>30</v>
      </c>
      <c r="R480" s="11" t="s">
        <v>30</v>
      </c>
      <c r="S480" s="6" t="s">
        <v>30</v>
      </c>
      <c r="T480" s="11" t="s">
        <v>30</v>
      </c>
      <c r="U480" s="6" t="s">
        <v>30</v>
      </c>
      <c r="V480" s="6" t="s">
        <v>30</v>
      </c>
      <c r="W480" s="6" t="s">
        <v>30</v>
      </c>
      <c r="X480" s="2" t="s">
        <v>30</v>
      </c>
      <c r="Y480" s="6" t="str">
        <f aca="false">IF(AND(X480="processed",ISNUMBER(S480)),S480*O480,"")</f>
        <v/>
      </c>
      <c r="Z480" s="6" t="n">
        <f aca="false">IF(ISNUMBER(K480),K480*O480,0)</f>
        <v>149</v>
      </c>
      <c r="AA480" s="2" t="s">
        <v>31</v>
      </c>
      <c r="AB480" s="6" t="n">
        <v>11343</v>
      </c>
      <c r="AC480" s="6" t="n">
        <v>9078</v>
      </c>
      <c r="AD480" s="6" t="n">
        <v>252</v>
      </c>
      <c r="AE480" s="6" t="n">
        <v>2630.28735351563</v>
      </c>
      <c r="AF480" s="8" t="n">
        <v>521.63359029</v>
      </c>
      <c r="AG480" s="11" t="n">
        <v>0.00157642573</v>
      </c>
      <c r="AH480" s="12" t="n">
        <v>1</v>
      </c>
      <c r="AI480" s="2" t="s">
        <v>317</v>
      </c>
      <c r="AJ480" s="2" t="s">
        <v>1204</v>
      </c>
      <c r="AK480" s="2" t="s">
        <v>1204</v>
      </c>
    </row>
    <row r="481" customFormat="false" ht="15" hidden="false" customHeight="false" outlineLevel="0" collapsed="false">
      <c r="A481" s="9" t="n">
        <v>478</v>
      </c>
      <c r="B481" s="2" t="s">
        <v>1225</v>
      </c>
      <c r="C481" s="2" t="s">
        <v>1065</v>
      </c>
      <c r="D481" s="2" t="s">
        <v>70</v>
      </c>
      <c r="E481" s="2" t="s">
        <v>71</v>
      </c>
      <c r="F481" s="2"/>
      <c r="G481" s="2" t="s">
        <v>329</v>
      </c>
      <c r="H481" s="8" t="n">
        <v>653.772613557622</v>
      </c>
      <c r="I481" s="2" t="s">
        <v>316</v>
      </c>
      <c r="J481" s="8" t="n">
        <v>957351.351351351</v>
      </c>
      <c r="K481" s="6" t="n">
        <v>74</v>
      </c>
      <c r="L481" s="2"/>
      <c r="M481" s="10" t="b">
        <f aca="false">TRUE()</f>
        <v>1</v>
      </c>
      <c r="N481" s="9" t="n">
        <f aca="false">IF(H481="","",IF(H481&gt;=Assumptions!$B$5,1,IF(H481&gt;=Assumptions!$B$6,2,IF(H481&gt;=Assumptions!$B$7,3,""))))</f>
        <v>2</v>
      </c>
      <c r="O481" s="9" t="n">
        <f aca="false">IF(N481=1,Assumptions!$B$8,IF(N481=2,Assumptions!$B$9,IF(N481=3,Assumptions!$B$10,0)))</f>
        <v>2</v>
      </c>
      <c r="P481" s="6" t="s">
        <v>30</v>
      </c>
      <c r="Q481" s="6" t="s">
        <v>30</v>
      </c>
      <c r="R481" s="11" t="s">
        <v>30</v>
      </c>
      <c r="S481" s="6" t="s">
        <v>30</v>
      </c>
      <c r="T481" s="11" t="s">
        <v>30</v>
      </c>
      <c r="U481" s="6" t="s">
        <v>30</v>
      </c>
      <c r="V481" s="6" t="s">
        <v>30</v>
      </c>
      <c r="W481" s="6" t="s">
        <v>30</v>
      </c>
      <c r="X481" s="2" t="s">
        <v>30</v>
      </c>
      <c r="Y481" s="6" t="str">
        <f aca="false">IF(AND(X481="processed",ISNUMBER(S481)),S481*O481,"")</f>
        <v/>
      </c>
      <c r="Z481" s="6" t="n">
        <f aca="false">IF(ISNUMBER(K481),K481*O481,0)</f>
        <v>148</v>
      </c>
      <c r="AA481" s="2" t="s">
        <v>31</v>
      </c>
      <c r="AB481" s="6" t="n">
        <v>7877</v>
      </c>
      <c r="AC481" s="6" t="n">
        <v>6660</v>
      </c>
      <c r="AD481" s="6" t="n">
        <v>113</v>
      </c>
      <c r="AE481" s="6" t="n">
        <v>2106.13037109375</v>
      </c>
      <c r="AF481" s="8" t="n">
        <v>686.416184971</v>
      </c>
      <c r="AG481" s="11" t="n">
        <v>0.1233936313</v>
      </c>
      <c r="AH481" s="12" t="n">
        <v>1</v>
      </c>
      <c r="AI481" s="2" t="s">
        <v>317</v>
      </c>
      <c r="AJ481" s="2" t="s">
        <v>1065</v>
      </c>
      <c r="AK481" s="2" t="s">
        <v>1065</v>
      </c>
    </row>
    <row r="482" customFormat="false" ht="15" hidden="false" customHeight="false" outlineLevel="0" collapsed="false">
      <c r="A482" s="9" t="n">
        <v>479</v>
      </c>
      <c r="B482" s="2" t="s">
        <v>1226</v>
      </c>
      <c r="C482" s="2" t="s">
        <v>681</v>
      </c>
      <c r="D482" s="2" t="s">
        <v>27</v>
      </c>
      <c r="E482" s="2" t="s">
        <v>28</v>
      </c>
      <c r="F482" s="2"/>
      <c r="G482" s="2" t="s">
        <v>315</v>
      </c>
      <c r="H482" s="8" t="n">
        <v>688.417744025689</v>
      </c>
      <c r="I482" s="2" t="s">
        <v>316</v>
      </c>
      <c r="J482" s="8" t="n">
        <v>1020675.67567568</v>
      </c>
      <c r="K482" s="6" t="n">
        <v>74</v>
      </c>
      <c r="L482" s="2"/>
      <c r="M482" s="10" t="b">
        <f aca="false">TRUE()</f>
        <v>1</v>
      </c>
      <c r="N482" s="9" t="n">
        <f aca="false">IF(H482="","",IF(H482&gt;=Assumptions!$B$5,1,IF(H482&gt;=Assumptions!$B$6,2,IF(H482&gt;=Assumptions!$B$7,3,""))))</f>
        <v>2</v>
      </c>
      <c r="O482" s="9" t="n">
        <f aca="false">IF(N482=1,Assumptions!$B$8,IF(N482=2,Assumptions!$B$9,IF(N482=3,Assumptions!$B$10,0)))</f>
        <v>2</v>
      </c>
      <c r="P482" s="6" t="s">
        <v>30</v>
      </c>
      <c r="Q482" s="6" t="s">
        <v>30</v>
      </c>
      <c r="R482" s="11" t="s">
        <v>30</v>
      </c>
      <c r="S482" s="6" t="s">
        <v>30</v>
      </c>
      <c r="T482" s="11" t="s">
        <v>30</v>
      </c>
      <c r="U482" s="6" t="s">
        <v>30</v>
      </c>
      <c r="V482" s="6" t="s">
        <v>30</v>
      </c>
      <c r="W482" s="6" t="s">
        <v>30</v>
      </c>
      <c r="X482" s="2" t="s">
        <v>30</v>
      </c>
      <c r="Y482" s="6" t="str">
        <f aca="false">IF(AND(X482="processed",ISNUMBER(S482)),S482*O482,"")</f>
        <v/>
      </c>
      <c r="Z482" s="6" t="n">
        <f aca="false">IF(ISNUMBER(K482),K482*O482,0)</f>
        <v>148</v>
      </c>
      <c r="AA482" s="2" t="s">
        <v>31</v>
      </c>
      <c r="AB482" s="6" t="n">
        <v>9240</v>
      </c>
      <c r="AC482" s="6" t="n">
        <v>8353</v>
      </c>
      <c r="AD482" s="6" t="n">
        <v>480</v>
      </c>
      <c r="AE482" s="6" t="n">
        <v>2297.83642578125</v>
      </c>
      <c r="AF482" s="8" t="n">
        <v>652.904464714</v>
      </c>
      <c r="AG482" s="11" t="n">
        <v>-0.04825369074</v>
      </c>
      <c r="AH482" s="12" t="n">
        <v>1</v>
      </c>
      <c r="AI482" s="2" t="s">
        <v>317</v>
      </c>
      <c r="AJ482" s="2" t="s">
        <v>681</v>
      </c>
      <c r="AK482" s="2" t="s">
        <v>681</v>
      </c>
    </row>
    <row r="483" customFormat="false" ht="15" hidden="false" customHeight="false" outlineLevel="0" collapsed="false">
      <c r="A483" s="9" t="n">
        <v>480</v>
      </c>
      <c r="B483" s="2" t="s">
        <v>1227</v>
      </c>
      <c r="C483" s="2" t="s">
        <v>266</v>
      </c>
      <c r="D483" s="2" t="s">
        <v>34</v>
      </c>
      <c r="E483" s="2" t="s">
        <v>35</v>
      </c>
      <c r="F483" s="2"/>
      <c r="G483" s="2" t="s">
        <v>318</v>
      </c>
      <c r="H483" s="8" t="n">
        <v>675.432128165324</v>
      </c>
      <c r="I483" s="2" t="s">
        <v>316</v>
      </c>
      <c r="J483" s="8" t="n">
        <v>1500310.81081081</v>
      </c>
      <c r="K483" s="6" t="n">
        <v>74</v>
      </c>
      <c r="L483" s="2"/>
      <c r="M483" s="10" t="b">
        <f aca="false">TRUE()</f>
        <v>1</v>
      </c>
      <c r="N483" s="9" t="n">
        <f aca="false">IF(H483="","",IF(H483&gt;=Assumptions!$B$5,1,IF(H483&gt;=Assumptions!$B$6,2,IF(H483&gt;=Assumptions!$B$7,3,""))))</f>
        <v>2</v>
      </c>
      <c r="O483" s="9" t="n">
        <f aca="false">IF(N483=1,Assumptions!$B$8,IF(N483=2,Assumptions!$B$9,IF(N483=3,Assumptions!$B$10,0)))</f>
        <v>2</v>
      </c>
      <c r="P483" s="6" t="s">
        <v>30</v>
      </c>
      <c r="Q483" s="6" t="s">
        <v>30</v>
      </c>
      <c r="R483" s="11" t="s">
        <v>30</v>
      </c>
      <c r="S483" s="6" t="s">
        <v>30</v>
      </c>
      <c r="T483" s="11" t="s">
        <v>30</v>
      </c>
      <c r="U483" s="6" t="s">
        <v>30</v>
      </c>
      <c r="V483" s="6" t="s">
        <v>30</v>
      </c>
      <c r="W483" s="6" t="s">
        <v>30</v>
      </c>
      <c r="X483" s="2" t="s">
        <v>30</v>
      </c>
      <c r="Y483" s="6" t="str">
        <f aca="false">IF(AND(X483="processed",ISNUMBER(S483)),S483*O483,"")</f>
        <v/>
      </c>
      <c r="Z483" s="6" t="n">
        <f aca="false">IF(ISNUMBER(K483),K483*O483,0)</f>
        <v>148</v>
      </c>
      <c r="AA483" s="2" t="s">
        <v>31</v>
      </c>
      <c r="AB483" s="6" t="n">
        <v>6027</v>
      </c>
      <c r="AC483" s="6" t="n">
        <v>5583</v>
      </c>
      <c r="AD483" s="6" t="n">
        <v>5003</v>
      </c>
      <c r="AE483" s="6" t="n">
        <v>2304.20483398438</v>
      </c>
      <c r="AF483" s="8" t="n">
        <v>678.80404756</v>
      </c>
      <c r="AG483" s="11" t="n">
        <v>-0.01004685388</v>
      </c>
      <c r="AH483" s="12" t="n">
        <v>0.998002901214509</v>
      </c>
      <c r="AI483" s="2" t="s">
        <v>319</v>
      </c>
      <c r="AJ483" s="2"/>
      <c r="AK483" s="2" t="s">
        <v>266</v>
      </c>
    </row>
    <row r="484" customFormat="false" ht="15" hidden="false" customHeight="false" outlineLevel="0" collapsed="false">
      <c r="A484" s="9" t="n">
        <v>481</v>
      </c>
      <c r="B484" s="2" t="s">
        <v>1228</v>
      </c>
      <c r="C484" s="2" t="s">
        <v>84</v>
      </c>
      <c r="D484" s="2" t="s">
        <v>70</v>
      </c>
      <c r="E484" s="2" t="s">
        <v>71</v>
      </c>
      <c r="F484" s="2"/>
      <c r="G484" s="2" t="s">
        <v>329</v>
      </c>
      <c r="H484" s="8" t="n">
        <v>799.879148290184</v>
      </c>
      <c r="I484" s="2" t="s">
        <v>316</v>
      </c>
      <c r="J484" s="8" t="n">
        <v>846938.775510204</v>
      </c>
      <c r="K484" s="6" t="n">
        <v>49</v>
      </c>
      <c r="L484" s="2"/>
      <c r="M484" s="10" t="b">
        <f aca="false">TRUE()</f>
        <v>1</v>
      </c>
      <c r="N484" s="9" t="n">
        <f aca="false">IF(H484="","",IF(H484&gt;=Assumptions!$B$5,1,IF(H484&gt;=Assumptions!$B$6,2,IF(H484&gt;=Assumptions!$B$7,3,""))))</f>
        <v>1</v>
      </c>
      <c r="O484" s="9" t="n">
        <f aca="false">IF(N484=1,Assumptions!$B$8,IF(N484=2,Assumptions!$B$9,IF(N484=3,Assumptions!$B$10,0)))</f>
        <v>3</v>
      </c>
      <c r="P484" s="6" t="s">
        <v>30</v>
      </c>
      <c r="Q484" s="6" t="s">
        <v>30</v>
      </c>
      <c r="R484" s="11" t="s">
        <v>30</v>
      </c>
      <c r="S484" s="6" t="s">
        <v>30</v>
      </c>
      <c r="T484" s="11" t="s">
        <v>30</v>
      </c>
      <c r="U484" s="6" t="s">
        <v>30</v>
      </c>
      <c r="V484" s="6" t="s">
        <v>30</v>
      </c>
      <c r="W484" s="6" t="s">
        <v>30</v>
      </c>
      <c r="X484" s="2" t="s">
        <v>30</v>
      </c>
      <c r="Y484" s="6" t="str">
        <f aca="false">IF(AND(X484="processed",ISNUMBER(S484)),S484*O484,"")</f>
        <v/>
      </c>
      <c r="Z484" s="6" t="n">
        <f aca="false">IF(ISNUMBER(K484),K484*O484,0)</f>
        <v>147</v>
      </c>
      <c r="AA484" s="2" t="s">
        <v>31</v>
      </c>
      <c r="AB484" s="6" t="n">
        <v>8313</v>
      </c>
      <c r="AC484" s="6" t="n">
        <v>6511</v>
      </c>
      <c r="AD484" s="6" t="n">
        <v>47</v>
      </c>
      <c r="AE484" s="6" t="n">
        <v>1513.90319824219</v>
      </c>
      <c r="AF484" s="8" t="n">
        <v>677.686917597</v>
      </c>
      <c r="AG484" s="11" t="n">
        <v>-0.1454533259</v>
      </c>
      <c r="AH484" s="12" t="n">
        <v>1</v>
      </c>
      <c r="AI484" s="2" t="s">
        <v>317</v>
      </c>
      <c r="AJ484" s="2" t="s">
        <v>84</v>
      </c>
      <c r="AK484" s="2" t="s">
        <v>84</v>
      </c>
    </row>
    <row r="485" customFormat="false" ht="15" hidden="false" customHeight="false" outlineLevel="0" collapsed="false">
      <c r="A485" s="9" t="n">
        <v>482</v>
      </c>
      <c r="B485" s="2" t="s">
        <v>1229</v>
      </c>
      <c r="C485" s="2" t="s">
        <v>1230</v>
      </c>
      <c r="D485" s="2" t="s">
        <v>70</v>
      </c>
      <c r="E485" s="2" t="s">
        <v>71</v>
      </c>
      <c r="F485" s="2"/>
      <c r="G485" s="2" t="s">
        <v>329</v>
      </c>
      <c r="H485" s="8" t="n">
        <v>575.725357823596</v>
      </c>
      <c r="I485" s="2" t="s">
        <v>316</v>
      </c>
      <c r="J485" s="8" t="n">
        <v>738746.575342466</v>
      </c>
      <c r="K485" s="6" t="n">
        <v>146</v>
      </c>
      <c r="L485" s="2"/>
      <c r="M485" s="10" t="b">
        <f aca="false">TRUE()</f>
        <v>1</v>
      </c>
      <c r="N485" s="9" t="n">
        <f aca="false">IF(H485="","",IF(H485&gt;=Assumptions!$B$5,1,IF(H485&gt;=Assumptions!$B$6,2,IF(H485&gt;=Assumptions!$B$7,3,""))))</f>
        <v>3</v>
      </c>
      <c r="O485" s="9" t="n">
        <f aca="false">IF(N485=1,Assumptions!$B$8,IF(N485=2,Assumptions!$B$9,IF(N485=3,Assumptions!$B$10,0)))</f>
        <v>1</v>
      </c>
      <c r="P485" s="6" t="s">
        <v>30</v>
      </c>
      <c r="Q485" s="6" t="s">
        <v>30</v>
      </c>
      <c r="R485" s="11" t="s">
        <v>30</v>
      </c>
      <c r="S485" s="6" t="s">
        <v>30</v>
      </c>
      <c r="T485" s="11" t="s">
        <v>30</v>
      </c>
      <c r="U485" s="6" t="s">
        <v>30</v>
      </c>
      <c r="V485" s="6" t="s">
        <v>30</v>
      </c>
      <c r="W485" s="6" t="s">
        <v>30</v>
      </c>
      <c r="X485" s="2" t="s">
        <v>30</v>
      </c>
      <c r="Y485" s="6" t="str">
        <f aca="false">IF(AND(X485="processed",ISNUMBER(S485)),S485*O485,"")</f>
        <v/>
      </c>
      <c r="Z485" s="6" t="n">
        <f aca="false">IF(ISNUMBER(K485),K485*O485,0)</f>
        <v>146</v>
      </c>
      <c r="AA485" s="2" t="s">
        <v>31</v>
      </c>
      <c r="AB485" s="6" t="n">
        <v>21083</v>
      </c>
      <c r="AC485" s="6" t="n">
        <v>16874</v>
      </c>
      <c r="AD485" s="6" t="n">
        <v>507</v>
      </c>
      <c r="AE485" s="6" t="n">
        <v>1858.00830078125</v>
      </c>
      <c r="AF485" s="8" t="n">
        <v>603.823260073</v>
      </c>
      <c r="AG485" s="11" t="n">
        <v>0.02224798118</v>
      </c>
      <c r="AH485" s="12" t="n">
        <v>1</v>
      </c>
      <c r="AI485" s="2" t="s">
        <v>342</v>
      </c>
      <c r="AJ485" s="2" t="s">
        <v>1230</v>
      </c>
      <c r="AK485" s="2" t="s">
        <v>1231</v>
      </c>
    </row>
    <row r="486" customFormat="false" ht="15" hidden="false" customHeight="false" outlineLevel="0" collapsed="false">
      <c r="A486" s="9" t="n">
        <v>483</v>
      </c>
      <c r="B486" s="2" t="s">
        <v>1232</v>
      </c>
      <c r="C486" s="2" t="s">
        <v>1233</v>
      </c>
      <c r="D486" s="2" t="s">
        <v>380</v>
      </c>
      <c r="E486" s="2" t="s">
        <v>51</v>
      </c>
      <c r="F486" s="2" t="s">
        <v>1234</v>
      </c>
      <c r="G486" s="2" t="s">
        <v>381</v>
      </c>
      <c r="H486" s="8" t="n">
        <v>523.661397672034</v>
      </c>
      <c r="I486" s="2" t="s">
        <v>316</v>
      </c>
      <c r="J486" s="8" t="n">
        <v>947534.246575343</v>
      </c>
      <c r="K486" s="6" t="n">
        <v>146</v>
      </c>
      <c r="L486" s="2"/>
      <c r="M486" s="10" t="b">
        <f aca="false">TRUE()</f>
        <v>1</v>
      </c>
      <c r="N486" s="9" t="n">
        <f aca="false">IF(H486="","",IF(H486&gt;=Assumptions!$B$5,1,IF(H486&gt;=Assumptions!$B$6,2,IF(H486&gt;=Assumptions!$B$7,3,""))))</f>
        <v>3</v>
      </c>
      <c r="O486" s="9" t="n">
        <f aca="false">IF(N486=1,Assumptions!$B$8,IF(N486=2,Assumptions!$B$9,IF(N486=3,Assumptions!$B$10,0)))</f>
        <v>1</v>
      </c>
      <c r="P486" s="6" t="s">
        <v>30</v>
      </c>
      <c r="Q486" s="6" t="s">
        <v>30</v>
      </c>
      <c r="R486" s="11" t="s">
        <v>30</v>
      </c>
      <c r="S486" s="6" t="s">
        <v>30</v>
      </c>
      <c r="T486" s="11" t="s">
        <v>30</v>
      </c>
      <c r="U486" s="6" t="s">
        <v>30</v>
      </c>
      <c r="V486" s="6" t="s">
        <v>30</v>
      </c>
      <c r="W486" s="6" t="s">
        <v>30</v>
      </c>
      <c r="X486" s="2" t="s">
        <v>30</v>
      </c>
      <c r="Y486" s="6" t="str">
        <f aca="false">IF(AND(X486="processed",ISNUMBER(S486)),S486*O486,"")</f>
        <v/>
      </c>
      <c r="Z486" s="6" t="n">
        <f aca="false">IF(ISNUMBER(K486),K486*O486,0)</f>
        <v>146</v>
      </c>
      <c r="AA486" s="2" t="s">
        <v>31</v>
      </c>
      <c r="AB486" s="6" t="n">
        <v>8066</v>
      </c>
      <c r="AC486" s="6" t="n">
        <v>7093</v>
      </c>
      <c r="AD486" s="6" t="n">
        <v>753</v>
      </c>
      <c r="AE486" s="6" t="n">
        <v>2264.15600585938</v>
      </c>
      <c r="AF486" s="8" t="n">
        <v>531.028738026</v>
      </c>
      <c r="AG486" s="11" t="n">
        <v>-0.01796731982</v>
      </c>
      <c r="AH486" s="12" t="n">
        <v>0.977755680820107</v>
      </c>
      <c r="AI486" s="2" t="s">
        <v>962</v>
      </c>
      <c r="AJ486" s="2" t="s">
        <v>1235</v>
      </c>
      <c r="AK486" s="2" t="s">
        <v>1233</v>
      </c>
    </row>
    <row r="487" customFormat="false" ht="15" hidden="false" customHeight="false" outlineLevel="0" collapsed="false">
      <c r="A487" s="9" t="n">
        <v>484</v>
      </c>
      <c r="B487" s="2" t="s">
        <v>1236</v>
      </c>
      <c r="C487" s="2" t="s">
        <v>1237</v>
      </c>
      <c r="D487" s="2" t="s">
        <v>70</v>
      </c>
      <c r="E487" s="2" t="s">
        <v>71</v>
      </c>
      <c r="F487" s="2"/>
      <c r="G487" s="2" t="s">
        <v>329</v>
      </c>
      <c r="H487" s="8" t="n">
        <v>563.86364688649</v>
      </c>
      <c r="I487" s="2" t="s">
        <v>316</v>
      </c>
      <c r="J487" s="8" t="n">
        <v>776413.793103448</v>
      </c>
      <c r="K487" s="6" t="n">
        <v>145</v>
      </c>
      <c r="L487" s="2"/>
      <c r="M487" s="10" t="b">
        <f aca="false">TRUE()</f>
        <v>1</v>
      </c>
      <c r="N487" s="9" t="n">
        <f aca="false">IF(H487="","",IF(H487&gt;=Assumptions!$B$5,1,IF(H487&gt;=Assumptions!$B$6,2,IF(H487&gt;=Assumptions!$B$7,3,""))))</f>
        <v>3</v>
      </c>
      <c r="O487" s="9" t="n">
        <f aca="false">IF(N487=1,Assumptions!$B$8,IF(N487=2,Assumptions!$B$9,IF(N487=3,Assumptions!$B$10,0)))</f>
        <v>1</v>
      </c>
      <c r="P487" s="6" t="s">
        <v>30</v>
      </c>
      <c r="Q487" s="6" t="s">
        <v>30</v>
      </c>
      <c r="R487" s="11" t="s">
        <v>30</v>
      </c>
      <c r="S487" s="6" t="s">
        <v>30</v>
      </c>
      <c r="T487" s="11" t="s">
        <v>30</v>
      </c>
      <c r="U487" s="6" t="s">
        <v>30</v>
      </c>
      <c r="V487" s="6" t="s">
        <v>30</v>
      </c>
      <c r="W487" s="6" t="s">
        <v>30</v>
      </c>
      <c r="X487" s="2" t="s">
        <v>30</v>
      </c>
      <c r="Y487" s="6" t="str">
        <f aca="false">IF(AND(X487="processed",ISNUMBER(S487)),S487*O487,"")</f>
        <v/>
      </c>
      <c r="Z487" s="6" t="n">
        <f aca="false">IF(ISNUMBER(K487),K487*O487,0)</f>
        <v>145</v>
      </c>
      <c r="AA487" s="2" t="s">
        <v>31</v>
      </c>
      <c r="AB487" s="6" t="n">
        <v>12378</v>
      </c>
      <c r="AC487" s="6" t="n">
        <v>9375</v>
      </c>
      <c r="AD487" s="6" t="n">
        <v>145</v>
      </c>
      <c r="AE487" s="6" t="n">
        <v>2081.23583984375</v>
      </c>
      <c r="AF487" s="8" t="n">
        <v>597.402597403</v>
      </c>
      <c r="AG487" s="11" t="n">
        <v>-0.006870160002</v>
      </c>
      <c r="AH487" s="12" t="n">
        <v>1</v>
      </c>
      <c r="AI487" s="2" t="s">
        <v>317</v>
      </c>
      <c r="AJ487" s="2" t="s">
        <v>1237</v>
      </c>
      <c r="AK487" s="2" t="s">
        <v>1237</v>
      </c>
    </row>
    <row r="488" customFormat="false" ht="15" hidden="false" customHeight="false" outlineLevel="0" collapsed="false">
      <c r="A488" s="9" t="n">
        <v>485</v>
      </c>
      <c r="B488" s="2" t="s">
        <v>1238</v>
      </c>
      <c r="C488" s="2" t="s">
        <v>138</v>
      </c>
      <c r="D488" s="2" t="s">
        <v>27</v>
      </c>
      <c r="E488" s="2" t="s">
        <v>28</v>
      </c>
      <c r="F488" s="2" t="s">
        <v>1239</v>
      </c>
      <c r="G488" s="2" t="s">
        <v>315</v>
      </c>
      <c r="H488" s="8" t="n">
        <v>2618.15200399875</v>
      </c>
      <c r="I488" s="2" t="s">
        <v>316</v>
      </c>
      <c r="J488" s="8" t="n">
        <v>5333333.33333333</v>
      </c>
      <c r="K488" s="6" t="n">
        <v>48</v>
      </c>
      <c r="L488" s="2"/>
      <c r="M488" s="10" t="b">
        <f aca="false">TRUE()</f>
        <v>1</v>
      </c>
      <c r="N488" s="9" t="n">
        <f aca="false">IF(H488="","",IF(H488&gt;=Assumptions!$B$5,1,IF(H488&gt;=Assumptions!$B$6,2,IF(H488&gt;=Assumptions!$B$7,3,""))))</f>
        <v>1</v>
      </c>
      <c r="O488" s="9" t="n">
        <f aca="false">IF(N488=1,Assumptions!$B$8,IF(N488=2,Assumptions!$B$9,IF(N488=3,Assumptions!$B$10,0)))</f>
        <v>3</v>
      </c>
      <c r="P488" s="6" t="s">
        <v>30</v>
      </c>
      <c r="Q488" s="6" t="s">
        <v>30</v>
      </c>
      <c r="R488" s="11" t="s">
        <v>30</v>
      </c>
      <c r="S488" s="6" t="s">
        <v>30</v>
      </c>
      <c r="T488" s="11" t="s">
        <v>30</v>
      </c>
      <c r="U488" s="6" t="s">
        <v>30</v>
      </c>
      <c r="V488" s="6" t="s">
        <v>30</v>
      </c>
      <c r="W488" s="6" t="s">
        <v>30</v>
      </c>
      <c r="X488" s="2" t="s">
        <v>30</v>
      </c>
      <c r="Y488" s="6" t="str">
        <f aca="false">IF(AND(X488="processed",ISNUMBER(S488)),S488*O488,"")</f>
        <v/>
      </c>
      <c r="Z488" s="6" t="n">
        <f aca="false">IF(ISNUMBER(K488),K488*O488,0)</f>
        <v>144</v>
      </c>
      <c r="AA488" s="2" t="s">
        <v>31</v>
      </c>
      <c r="AB488" s="6" t="n">
        <v>1974</v>
      </c>
      <c r="AC488" s="6" t="n">
        <v>1851</v>
      </c>
      <c r="AD488" s="6" t="n">
        <v>17</v>
      </c>
      <c r="AE488" s="6" t="n">
        <v>1840.55847167969</v>
      </c>
      <c r="AF488" s="8" t="n">
        <v>2745.300730781</v>
      </c>
      <c r="AG488" s="11" t="n">
        <v>0.06270478868</v>
      </c>
      <c r="AH488" s="12" t="n">
        <v>0.807436608139683</v>
      </c>
      <c r="AI488" s="2" t="s">
        <v>317</v>
      </c>
      <c r="AJ488" s="2" t="s">
        <v>138</v>
      </c>
      <c r="AK488" s="2" t="s">
        <v>138</v>
      </c>
    </row>
    <row r="489" customFormat="false" ht="15" hidden="false" customHeight="false" outlineLevel="0" collapsed="false">
      <c r="A489" s="9" t="n">
        <v>486</v>
      </c>
      <c r="B489" s="2" t="s">
        <v>1240</v>
      </c>
      <c r="C489" s="2" t="s">
        <v>825</v>
      </c>
      <c r="D489" s="2" t="s">
        <v>95</v>
      </c>
      <c r="E489" s="2" t="s">
        <v>95</v>
      </c>
      <c r="F489" s="2"/>
      <c r="G489" s="2" t="s">
        <v>330</v>
      </c>
      <c r="H489" s="8" t="n">
        <v>1315.62080561269</v>
      </c>
      <c r="I489" s="2" t="s">
        <v>316</v>
      </c>
      <c r="J489" s="8" t="n">
        <v>2972895.83333333</v>
      </c>
      <c r="K489" s="6" t="n">
        <v>48</v>
      </c>
      <c r="L489" s="2"/>
      <c r="M489" s="10" t="b">
        <f aca="false">TRUE()</f>
        <v>1</v>
      </c>
      <c r="N489" s="9" t="n">
        <f aca="false">IF(H489="","",IF(H489&gt;=Assumptions!$B$5,1,IF(H489&gt;=Assumptions!$B$6,2,IF(H489&gt;=Assumptions!$B$7,3,""))))</f>
        <v>1</v>
      </c>
      <c r="O489" s="9" t="n">
        <f aca="false">IF(N489=1,Assumptions!$B$8,IF(N489=2,Assumptions!$B$9,IF(N489=3,Assumptions!$B$10,0)))</f>
        <v>3</v>
      </c>
      <c r="P489" s="6" t="s">
        <v>30</v>
      </c>
      <c r="Q489" s="6" t="s">
        <v>30</v>
      </c>
      <c r="R489" s="11" t="s">
        <v>30</v>
      </c>
      <c r="S489" s="6" t="s">
        <v>30</v>
      </c>
      <c r="T489" s="11" t="s">
        <v>30</v>
      </c>
      <c r="U489" s="6" t="s">
        <v>30</v>
      </c>
      <c r="V489" s="6" t="s">
        <v>30</v>
      </c>
      <c r="W489" s="6" t="s">
        <v>30</v>
      </c>
      <c r="X489" s="2" t="s">
        <v>30</v>
      </c>
      <c r="Y489" s="6" t="str">
        <f aca="false">IF(AND(X489="processed",ISNUMBER(S489)),S489*O489,"")</f>
        <v/>
      </c>
      <c r="Z489" s="6" t="n">
        <f aca="false">IF(ISNUMBER(K489),K489*O489,0)</f>
        <v>144</v>
      </c>
      <c r="AA489" s="2" t="s">
        <v>31</v>
      </c>
      <c r="AB489" s="6" t="n">
        <v>2885</v>
      </c>
      <c r="AC489" s="6" t="n">
        <v>2256</v>
      </c>
      <c r="AD489" s="6" t="n">
        <v>89</v>
      </c>
      <c r="AE489" s="6" t="n">
        <v>1958.16711425781</v>
      </c>
      <c r="AF489" s="8" t="n">
        <v>1483.81294964</v>
      </c>
      <c r="AG489" s="11" t="n">
        <v>0.2694844125</v>
      </c>
      <c r="AH489" s="12" t="n">
        <v>0.84438455013285</v>
      </c>
      <c r="AI489" s="2" t="s">
        <v>317</v>
      </c>
      <c r="AJ489" s="2" t="s">
        <v>825</v>
      </c>
      <c r="AK489" s="2" t="s">
        <v>825</v>
      </c>
    </row>
    <row r="490" customFormat="false" ht="15" hidden="false" customHeight="false" outlineLevel="0" collapsed="false">
      <c r="A490" s="9" t="n">
        <v>487</v>
      </c>
      <c r="B490" s="2" t="s">
        <v>1241</v>
      </c>
      <c r="C490" s="2" t="s">
        <v>573</v>
      </c>
      <c r="D490" s="2" t="s">
        <v>27</v>
      </c>
      <c r="E490" s="2" t="s">
        <v>28</v>
      </c>
      <c r="F490" s="2"/>
      <c r="G490" s="2" t="s">
        <v>315</v>
      </c>
      <c r="H490" s="8" t="n">
        <v>624.149942495437</v>
      </c>
      <c r="I490" s="2" t="s">
        <v>316</v>
      </c>
      <c r="J490" s="8" t="n">
        <v>979887.323943662</v>
      </c>
      <c r="K490" s="6" t="n">
        <v>71</v>
      </c>
      <c r="L490" s="2"/>
      <c r="M490" s="10" t="b">
        <f aca="false">TRUE()</f>
        <v>1</v>
      </c>
      <c r="N490" s="9" t="n">
        <f aca="false">IF(H490="","",IF(H490&gt;=Assumptions!$B$5,1,IF(H490&gt;=Assumptions!$B$6,2,IF(H490&gt;=Assumptions!$B$7,3,""))))</f>
        <v>2</v>
      </c>
      <c r="O490" s="9" t="n">
        <f aca="false">IF(N490=1,Assumptions!$B$8,IF(N490=2,Assumptions!$B$9,IF(N490=3,Assumptions!$B$10,0)))</f>
        <v>2</v>
      </c>
      <c r="P490" s="6" t="s">
        <v>30</v>
      </c>
      <c r="Q490" s="6" t="s">
        <v>30</v>
      </c>
      <c r="R490" s="11" t="s">
        <v>30</v>
      </c>
      <c r="S490" s="6" t="s">
        <v>30</v>
      </c>
      <c r="T490" s="11" t="s">
        <v>30</v>
      </c>
      <c r="U490" s="6" t="s">
        <v>30</v>
      </c>
      <c r="V490" s="6" t="s">
        <v>30</v>
      </c>
      <c r="W490" s="6" t="s">
        <v>30</v>
      </c>
      <c r="X490" s="2" t="s">
        <v>30</v>
      </c>
      <c r="Y490" s="6" t="str">
        <f aca="false">IF(AND(X490="processed",ISNUMBER(S490)),S490*O490,"")</f>
        <v/>
      </c>
      <c r="Z490" s="6" t="n">
        <f aca="false">IF(ISNUMBER(K490),K490*O490,0)</f>
        <v>142</v>
      </c>
      <c r="AA490" s="2" t="s">
        <v>31</v>
      </c>
      <c r="AB490" s="6" t="n">
        <v>7196</v>
      </c>
      <c r="AC490" s="6" t="n">
        <v>5913</v>
      </c>
      <c r="AD490" s="6" t="n">
        <v>197</v>
      </c>
      <c r="AE490" s="6" t="n">
        <v>2207.06274414063</v>
      </c>
      <c r="AF490" s="8" t="n">
        <v>623.552123552</v>
      </c>
      <c r="AG490" s="11" t="n">
        <v>0.03717503218</v>
      </c>
      <c r="AH490" s="12" t="n">
        <v>0.999678559061943</v>
      </c>
      <c r="AI490" s="2" t="s">
        <v>317</v>
      </c>
      <c r="AJ490" s="2" t="s">
        <v>573</v>
      </c>
      <c r="AK490" s="2" t="s">
        <v>573</v>
      </c>
    </row>
    <row r="491" customFormat="false" ht="15" hidden="false" customHeight="false" outlineLevel="0" collapsed="false">
      <c r="A491" s="9" t="n">
        <v>488</v>
      </c>
      <c r="B491" s="2" t="s">
        <v>1242</v>
      </c>
      <c r="C491" s="2" t="s">
        <v>403</v>
      </c>
      <c r="D491" s="2" t="s">
        <v>70</v>
      </c>
      <c r="E491" s="2" t="s">
        <v>71</v>
      </c>
      <c r="F491" s="2"/>
      <c r="G491" s="2" t="s">
        <v>329</v>
      </c>
      <c r="H491" s="8" t="n">
        <v>879.361554499277</v>
      </c>
      <c r="I491" s="2" t="s">
        <v>316</v>
      </c>
      <c r="J491" s="8" t="n">
        <v>1398297.87234043</v>
      </c>
      <c r="K491" s="6" t="n">
        <v>47</v>
      </c>
      <c r="L491" s="2"/>
      <c r="M491" s="10" t="b">
        <f aca="false">TRUE()</f>
        <v>1</v>
      </c>
      <c r="N491" s="9" t="n">
        <f aca="false">IF(H491="","",IF(H491&gt;=Assumptions!$B$5,1,IF(H491&gt;=Assumptions!$B$6,2,IF(H491&gt;=Assumptions!$B$7,3,""))))</f>
        <v>1</v>
      </c>
      <c r="O491" s="9" t="n">
        <f aca="false">IF(N491=1,Assumptions!$B$8,IF(N491=2,Assumptions!$B$9,IF(N491=3,Assumptions!$B$10,0)))</f>
        <v>3</v>
      </c>
      <c r="P491" s="6" t="s">
        <v>30</v>
      </c>
      <c r="Q491" s="6" t="s">
        <v>30</v>
      </c>
      <c r="R491" s="11" t="s">
        <v>30</v>
      </c>
      <c r="S491" s="6" t="s">
        <v>30</v>
      </c>
      <c r="T491" s="11" t="s">
        <v>30</v>
      </c>
      <c r="U491" s="6" t="s">
        <v>30</v>
      </c>
      <c r="V491" s="6" t="s">
        <v>30</v>
      </c>
      <c r="W491" s="6" t="s">
        <v>30</v>
      </c>
      <c r="X491" s="2" t="s">
        <v>30</v>
      </c>
      <c r="Y491" s="6" t="str">
        <f aca="false">IF(AND(X491="processed",ISNUMBER(S491)),S491*O491,"")</f>
        <v/>
      </c>
      <c r="Z491" s="6" t="n">
        <f aca="false">IF(ISNUMBER(K491),K491*O491,0)</f>
        <v>141</v>
      </c>
      <c r="AA491" s="2" t="s">
        <v>31</v>
      </c>
      <c r="AB491" s="6" t="n">
        <v>8279</v>
      </c>
      <c r="AC491" s="6" t="n">
        <v>5523</v>
      </c>
      <c r="AD491" s="6" t="n">
        <v>49</v>
      </c>
      <c r="AE491" s="6" t="n">
        <v>1659.89562988281</v>
      </c>
      <c r="AF491" s="8" t="n">
        <v>904.545454545</v>
      </c>
      <c r="AG491" s="11" t="n">
        <v>-0.1079310345</v>
      </c>
      <c r="AH491" s="12" t="n">
        <v>1</v>
      </c>
      <c r="AI491" s="2" t="s">
        <v>317</v>
      </c>
      <c r="AJ491" s="2" t="s">
        <v>403</v>
      </c>
      <c r="AK491" s="2" t="s">
        <v>403</v>
      </c>
    </row>
    <row r="492" customFormat="false" ht="15" hidden="false" customHeight="false" outlineLevel="0" collapsed="false">
      <c r="A492" s="9" t="n">
        <v>489</v>
      </c>
      <c r="B492" s="2" t="s">
        <v>1243</v>
      </c>
      <c r="C492" s="2" t="s">
        <v>116</v>
      </c>
      <c r="D492" s="2" t="s">
        <v>39</v>
      </c>
      <c r="E492" s="2" t="s">
        <v>40</v>
      </c>
      <c r="F492" s="2"/>
      <c r="G492" s="2" t="s">
        <v>320</v>
      </c>
      <c r="H492" s="8" t="n">
        <v>1287.8551777017</v>
      </c>
      <c r="I492" s="2" t="s">
        <v>316</v>
      </c>
      <c r="J492" s="8" t="n">
        <v>1646702.12765957</v>
      </c>
      <c r="K492" s="6" t="n">
        <v>47</v>
      </c>
      <c r="L492" s="2"/>
      <c r="M492" s="10" t="b">
        <f aca="false">TRUE()</f>
        <v>1</v>
      </c>
      <c r="N492" s="9" t="n">
        <f aca="false">IF(H492="","",IF(H492&gt;=Assumptions!$B$5,1,IF(H492&gt;=Assumptions!$B$6,2,IF(H492&gt;=Assumptions!$B$7,3,""))))</f>
        <v>1</v>
      </c>
      <c r="O492" s="9" t="n">
        <f aca="false">IF(N492=1,Assumptions!$B$8,IF(N492=2,Assumptions!$B$9,IF(N492=3,Assumptions!$B$10,0)))</f>
        <v>3</v>
      </c>
      <c r="P492" s="6" t="s">
        <v>30</v>
      </c>
      <c r="Q492" s="6" t="s">
        <v>30</v>
      </c>
      <c r="R492" s="11" t="s">
        <v>30</v>
      </c>
      <c r="S492" s="6" t="s">
        <v>30</v>
      </c>
      <c r="T492" s="11" t="s">
        <v>30</v>
      </c>
      <c r="U492" s="6" t="s">
        <v>30</v>
      </c>
      <c r="V492" s="6" t="s">
        <v>30</v>
      </c>
      <c r="W492" s="6" t="s">
        <v>30</v>
      </c>
      <c r="X492" s="2" t="s">
        <v>30</v>
      </c>
      <c r="Y492" s="6" t="str">
        <f aca="false">IF(AND(X492="processed",ISNUMBER(S492)),S492*O492,"")</f>
        <v/>
      </c>
      <c r="Z492" s="6" t="n">
        <f aca="false">IF(ISNUMBER(K492),K492*O492,0)</f>
        <v>141</v>
      </c>
      <c r="AA492" s="2" t="s">
        <v>31</v>
      </c>
      <c r="AB492" s="6" t="n">
        <v>8854</v>
      </c>
      <c r="AC492" s="6" t="n">
        <v>5554</v>
      </c>
      <c r="AD492" s="6" t="n">
        <v>227</v>
      </c>
      <c r="AE492" s="6" t="n">
        <v>2267.09936523438</v>
      </c>
      <c r="AF492" s="8" t="n">
        <v>1318.592057762</v>
      </c>
      <c r="AG492" s="11" t="n">
        <v>0.06374574929</v>
      </c>
      <c r="AH492" s="12" t="n">
        <v>1</v>
      </c>
      <c r="AI492" s="2" t="s">
        <v>317</v>
      </c>
      <c r="AJ492" s="2" t="s">
        <v>116</v>
      </c>
      <c r="AK492" s="2" t="s">
        <v>116</v>
      </c>
    </row>
    <row r="493" customFormat="false" ht="15" hidden="false" customHeight="false" outlineLevel="0" collapsed="false">
      <c r="A493" s="9" t="n">
        <v>490</v>
      </c>
      <c r="B493" s="2" t="s">
        <v>1244</v>
      </c>
      <c r="C493" s="2" t="s">
        <v>767</v>
      </c>
      <c r="D493" s="2" t="s">
        <v>70</v>
      </c>
      <c r="E493" s="2" t="s">
        <v>71</v>
      </c>
      <c r="F493" s="2"/>
      <c r="G493" s="2" t="s">
        <v>329</v>
      </c>
      <c r="H493" s="8" t="n">
        <v>626.256217863914</v>
      </c>
      <c r="I493" s="2" t="s">
        <v>316</v>
      </c>
      <c r="J493" s="8" t="n">
        <v>900742.857142857</v>
      </c>
      <c r="K493" s="6" t="n">
        <v>70</v>
      </c>
      <c r="L493" s="2"/>
      <c r="M493" s="10" t="b">
        <f aca="false">TRUE()</f>
        <v>1</v>
      </c>
      <c r="N493" s="9" t="n">
        <f aca="false">IF(H493="","",IF(H493&gt;=Assumptions!$B$5,1,IF(H493&gt;=Assumptions!$B$6,2,IF(H493&gt;=Assumptions!$B$7,3,""))))</f>
        <v>2</v>
      </c>
      <c r="O493" s="9" t="n">
        <f aca="false">IF(N493=1,Assumptions!$B$8,IF(N493=2,Assumptions!$B$9,IF(N493=3,Assumptions!$B$10,0)))</f>
        <v>2</v>
      </c>
      <c r="P493" s="6" t="s">
        <v>30</v>
      </c>
      <c r="Q493" s="6" t="s">
        <v>30</v>
      </c>
      <c r="R493" s="11" t="s">
        <v>30</v>
      </c>
      <c r="S493" s="6" t="s">
        <v>30</v>
      </c>
      <c r="T493" s="11" t="s">
        <v>30</v>
      </c>
      <c r="U493" s="6" t="s">
        <v>30</v>
      </c>
      <c r="V493" s="6" t="s">
        <v>30</v>
      </c>
      <c r="W493" s="6" t="s">
        <v>30</v>
      </c>
      <c r="X493" s="2" t="s">
        <v>30</v>
      </c>
      <c r="Y493" s="6" t="str">
        <f aca="false">IF(AND(X493="processed",ISNUMBER(S493)),S493*O493,"")</f>
        <v/>
      </c>
      <c r="Z493" s="6" t="n">
        <f aca="false">IF(ISNUMBER(K493),K493*O493,0)</f>
        <v>140</v>
      </c>
      <c r="AA493" s="2" t="s">
        <v>31</v>
      </c>
      <c r="AB493" s="6" t="n">
        <v>7731</v>
      </c>
      <c r="AC493" s="6" t="n">
        <v>5767</v>
      </c>
      <c r="AD493" s="6" t="n">
        <v>104</v>
      </c>
      <c r="AE493" s="6" t="n">
        <v>1750.14709472656</v>
      </c>
      <c r="AF493" s="8" t="n">
        <v>656.630365151</v>
      </c>
      <c r="AG493" s="11" t="n">
        <v>0.1832190198</v>
      </c>
      <c r="AH493" s="12" t="n">
        <v>0.999999999999998</v>
      </c>
      <c r="AI493" s="2" t="s">
        <v>317</v>
      </c>
      <c r="AJ493" s="2" t="s">
        <v>767</v>
      </c>
      <c r="AK493" s="2" t="s">
        <v>767</v>
      </c>
    </row>
    <row r="494" customFormat="false" ht="15" hidden="false" customHeight="false" outlineLevel="0" collapsed="false">
      <c r="A494" s="9" t="n">
        <v>491</v>
      </c>
      <c r="B494" s="2" t="s">
        <v>1245</v>
      </c>
      <c r="C494" s="2" t="s">
        <v>217</v>
      </c>
      <c r="D494" s="2" t="s">
        <v>27</v>
      </c>
      <c r="E494" s="2" t="s">
        <v>28</v>
      </c>
      <c r="F494" s="2" t="s">
        <v>1246</v>
      </c>
      <c r="G494" s="2" t="s">
        <v>315</v>
      </c>
      <c r="H494" s="8" t="n">
        <v>699.1715602922</v>
      </c>
      <c r="I494" s="2" t="s">
        <v>316</v>
      </c>
      <c r="J494" s="8" t="n">
        <v>874235.714285714</v>
      </c>
      <c r="K494" s="6" t="n">
        <v>70</v>
      </c>
      <c r="L494" s="2"/>
      <c r="M494" s="10" t="b">
        <f aca="false">TRUE()</f>
        <v>1</v>
      </c>
      <c r="N494" s="9" t="n">
        <f aca="false">IF(H494="","",IF(H494&gt;=Assumptions!$B$5,1,IF(H494&gt;=Assumptions!$B$6,2,IF(H494&gt;=Assumptions!$B$7,3,""))))</f>
        <v>2</v>
      </c>
      <c r="O494" s="9" t="n">
        <f aca="false">IF(N494=1,Assumptions!$B$8,IF(N494=2,Assumptions!$B$9,IF(N494=3,Assumptions!$B$10,0)))</f>
        <v>2</v>
      </c>
      <c r="P494" s="6" t="s">
        <v>30</v>
      </c>
      <c r="Q494" s="6" t="s">
        <v>30</v>
      </c>
      <c r="R494" s="11" t="s">
        <v>30</v>
      </c>
      <c r="S494" s="6" t="s">
        <v>30</v>
      </c>
      <c r="T494" s="11" t="s">
        <v>30</v>
      </c>
      <c r="U494" s="6" t="s">
        <v>30</v>
      </c>
      <c r="V494" s="6" t="s">
        <v>30</v>
      </c>
      <c r="W494" s="6" t="s">
        <v>30</v>
      </c>
      <c r="X494" s="2" t="s">
        <v>30</v>
      </c>
      <c r="Y494" s="6" t="str">
        <f aca="false">IF(AND(X494="processed",ISNUMBER(S494)),S494*O494,"")</f>
        <v/>
      </c>
      <c r="Z494" s="6" t="n">
        <f aca="false">IF(ISNUMBER(K494),K494*O494,0)</f>
        <v>140</v>
      </c>
      <c r="AA494" s="2" t="s">
        <v>31</v>
      </c>
      <c r="AB494" s="6" t="n">
        <v>12731</v>
      </c>
      <c r="AC494" s="6" t="n">
        <v>10189</v>
      </c>
      <c r="AD494" s="6" t="n">
        <v>287</v>
      </c>
      <c r="AE494" s="6" t="n">
        <v>2001.10632324219</v>
      </c>
      <c r="AF494" s="8" t="n">
        <v>720.887245841</v>
      </c>
      <c r="AG494" s="11" t="n">
        <v>0.1769900044</v>
      </c>
      <c r="AH494" s="12" t="n">
        <v>1</v>
      </c>
      <c r="AI494" s="2" t="s">
        <v>321</v>
      </c>
      <c r="AJ494" s="2" t="s">
        <v>217</v>
      </c>
      <c r="AK494" s="2" t="s">
        <v>217</v>
      </c>
    </row>
    <row r="495" customFormat="false" ht="15" hidden="false" customHeight="false" outlineLevel="0" collapsed="false">
      <c r="A495" s="9" t="n">
        <v>492</v>
      </c>
      <c r="B495" s="2" t="s">
        <v>1247</v>
      </c>
      <c r="C495" s="2" t="s">
        <v>1248</v>
      </c>
      <c r="D495" s="2" t="s">
        <v>70</v>
      </c>
      <c r="E495" s="2" t="s">
        <v>71</v>
      </c>
      <c r="F495" s="2"/>
      <c r="G495" s="2" t="s">
        <v>329</v>
      </c>
      <c r="H495" s="8" t="n">
        <v>570.157099981324</v>
      </c>
      <c r="I495" s="2" t="s">
        <v>316</v>
      </c>
      <c r="J495" s="8" t="n">
        <v>840920.863309353</v>
      </c>
      <c r="K495" s="6" t="n">
        <v>139</v>
      </c>
      <c r="L495" s="2"/>
      <c r="M495" s="10" t="b">
        <f aca="false">TRUE()</f>
        <v>1</v>
      </c>
      <c r="N495" s="9" t="n">
        <f aca="false">IF(H495="","",IF(H495&gt;=Assumptions!$B$5,1,IF(H495&gt;=Assumptions!$B$6,2,IF(H495&gt;=Assumptions!$B$7,3,""))))</f>
        <v>3</v>
      </c>
      <c r="O495" s="9" t="n">
        <f aca="false">IF(N495=1,Assumptions!$B$8,IF(N495=2,Assumptions!$B$9,IF(N495=3,Assumptions!$B$10,0)))</f>
        <v>1</v>
      </c>
      <c r="P495" s="6" t="s">
        <v>30</v>
      </c>
      <c r="Q495" s="6" t="s">
        <v>30</v>
      </c>
      <c r="R495" s="11" t="s">
        <v>30</v>
      </c>
      <c r="S495" s="6" t="s">
        <v>30</v>
      </c>
      <c r="T495" s="11" t="s">
        <v>30</v>
      </c>
      <c r="U495" s="6" t="s">
        <v>30</v>
      </c>
      <c r="V495" s="6" t="s">
        <v>30</v>
      </c>
      <c r="W495" s="6" t="s">
        <v>30</v>
      </c>
      <c r="X495" s="2" t="s">
        <v>30</v>
      </c>
      <c r="Y495" s="6" t="str">
        <f aca="false">IF(AND(X495="processed",ISNUMBER(S495)),S495*O495,"")</f>
        <v/>
      </c>
      <c r="Z495" s="6" t="n">
        <f aca="false">IF(ISNUMBER(K495),K495*O495,0)</f>
        <v>139</v>
      </c>
      <c r="AA495" s="2" t="s">
        <v>31</v>
      </c>
      <c r="AB495" s="6" t="n">
        <v>18968</v>
      </c>
      <c r="AC495" s="6" t="n">
        <v>14464</v>
      </c>
      <c r="AD495" s="6" t="n">
        <v>246</v>
      </c>
      <c r="AE495" s="6" t="n">
        <v>1933.21313476563</v>
      </c>
      <c r="AF495" s="8" t="n">
        <v>573.877231758</v>
      </c>
      <c r="AG495" s="11" t="n">
        <v>0.07525292857</v>
      </c>
      <c r="AH495" s="12" t="n">
        <v>1</v>
      </c>
      <c r="AI495" s="2" t="s">
        <v>317</v>
      </c>
      <c r="AJ495" s="2" t="s">
        <v>1248</v>
      </c>
      <c r="AK495" s="2" t="s">
        <v>1248</v>
      </c>
    </row>
    <row r="496" customFormat="false" ht="15" hidden="false" customHeight="false" outlineLevel="0" collapsed="false">
      <c r="A496" s="9" t="n">
        <v>493</v>
      </c>
      <c r="B496" s="2" t="s">
        <v>1249</v>
      </c>
      <c r="C496" s="2" t="s">
        <v>1250</v>
      </c>
      <c r="D496" s="2" t="s">
        <v>70</v>
      </c>
      <c r="E496" s="2" t="s">
        <v>71</v>
      </c>
      <c r="F496" s="2" t="s">
        <v>1251</v>
      </c>
      <c r="G496" s="2" t="s">
        <v>329</v>
      </c>
      <c r="H496" s="8" t="n">
        <v>857.735254858222</v>
      </c>
      <c r="I496" s="2" t="s">
        <v>316</v>
      </c>
      <c r="J496" s="8" t="n">
        <v>1986466.66666667</v>
      </c>
      <c r="K496" s="6" t="n">
        <v>45</v>
      </c>
      <c r="L496" s="2"/>
      <c r="M496" s="10" t="b">
        <f aca="false">TRUE()</f>
        <v>1</v>
      </c>
      <c r="N496" s="9" t="n">
        <f aca="false">IF(H496="","",IF(H496&gt;=Assumptions!$B$5,1,IF(H496&gt;=Assumptions!$B$6,2,IF(H496&gt;=Assumptions!$B$7,3,""))))</f>
        <v>1</v>
      </c>
      <c r="O496" s="9" t="n">
        <f aca="false">IF(N496=1,Assumptions!$B$8,IF(N496=2,Assumptions!$B$9,IF(N496=3,Assumptions!$B$10,0)))</f>
        <v>3</v>
      </c>
      <c r="P496" s="6" t="s">
        <v>30</v>
      </c>
      <c r="Q496" s="6" t="s">
        <v>30</v>
      </c>
      <c r="R496" s="11" t="s">
        <v>30</v>
      </c>
      <c r="S496" s="6" t="s">
        <v>30</v>
      </c>
      <c r="T496" s="11" t="s">
        <v>30</v>
      </c>
      <c r="U496" s="6" t="s">
        <v>30</v>
      </c>
      <c r="V496" s="6" t="s">
        <v>30</v>
      </c>
      <c r="W496" s="6" t="s">
        <v>30</v>
      </c>
      <c r="X496" s="2" t="s">
        <v>30</v>
      </c>
      <c r="Y496" s="6" t="str">
        <f aca="false">IF(AND(X496="processed",ISNUMBER(S496)),S496*O496,"")</f>
        <v/>
      </c>
      <c r="Z496" s="6" t="n">
        <f aca="false">IF(ISNUMBER(K496),K496*O496,0)</f>
        <v>135</v>
      </c>
      <c r="AA496" s="2" t="s">
        <v>31</v>
      </c>
      <c r="AB496" s="6" t="n">
        <v>2614</v>
      </c>
      <c r="AC496" s="6" t="n">
        <v>1934</v>
      </c>
      <c r="AD496" s="6" t="n">
        <v>57</v>
      </c>
      <c r="AE496" s="6" t="n">
        <v>2290.5341796875</v>
      </c>
      <c r="AF496" s="8" t="n">
        <v>755.033557047</v>
      </c>
      <c r="AG496" s="11" t="n">
        <v>-0.1530493143</v>
      </c>
      <c r="AH496" s="12" t="n">
        <v>0.690048366753378</v>
      </c>
      <c r="AI496" s="2" t="s">
        <v>317</v>
      </c>
      <c r="AJ496" s="2" t="s">
        <v>1250</v>
      </c>
      <c r="AK496" s="2" t="s">
        <v>70</v>
      </c>
    </row>
    <row r="497" customFormat="false" ht="15" hidden="false" customHeight="false" outlineLevel="0" collapsed="false">
      <c r="A497" s="9" t="n">
        <v>494</v>
      </c>
      <c r="B497" s="2" t="s">
        <v>1252</v>
      </c>
      <c r="C497" s="2" t="s">
        <v>263</v>
      </c>
      <c r="D497" s="2" t="s">
        <v>27</v>
      </c>
      <c r="E497" s="2" t="s">
        <v>28</v>
      </c>
      <c r="F497" s="2" t="s">
        <v>1253</v>
      </c>
      <c r="G497" s="2" t="s">
        <v>315</v>
      </c>
      <c r="H497" s="8" t="n">
        <v>857.283673034778</v>
      </c>
      <c r="I497" s="2" t="s">
        <v>316</v>
      </c>
      <c r="J497" s="8" t="n">
        <v>1636911.11111111</v>
      </c>
      <c r="K497" s="6" t="n">
        <v>45</v>
      </c>
      <c r="L497" s="2"/>
      <c r="M497" s="10" t="b">
        <f aca="false">TRUE()</f>
        <v>1</v>
      </c>
      <c r="N497" s="9" t="n">
        <f aca="false">IF(H497="","",IF(H497&gt;=Assumptions!$B$5,1,IF(H497&gt;=Assumptions!$B$6,2,IF(H497&gt;=Assumptions!$B$7,3,""))))</f>
        <v>1</v>
      </c>
      <c r="O497" s="9" t="n">
        <f aca="false">IF(N497=1,Assumptions!$B$8,IF(N497=2,Assumptions!$B$9,IF(N497=3,Assumptions!$B$10,0)))</f>
        <v>3</v>
      </c>
      <c r="P497" s="6" t="s">
        <v>30</v>
      </c>
      <c r="Q497" s="6" t="s">
        <v>30</v>
      </c>
      <c r="R497" s="11" t="s">
        <v>30</v>
      </c>
      <c r="S497" s="6" t="s">
        <v>30</v>
      </c>
      <c r="T497" s="11" t="s">
        <v>30</v>
      </c>
      <c r="U497" s="6" t="s">
        <v>30</v>
      </c>
      <c r="V497" s="6" t="s">
        <v>30</v>
      </c>
      <c r="W497" s="6" t="s">
        <v>30</v>
      </c>
      <c r="X497" s="2" t="s">
        <v>30</v>
      </c>
      <c r="Y497" s="6" t="str">
        <f aca="false">IF(AND(X497="processed",ISNUMBER(S497)),S497*O497,"")</f>
        <v/>
      </c>
      <c r="Z497" s="6" t="n">
        <f aca="false">IF(ISNUMBER(K497),K497*O497,0)</f>
        <v>135</v>
      </c>
      <c r="AA497" s="2" t="s">
        <v>31</v>
      </c>
      <c r="AB497" s="6" t="n">
        <v>5507</v>
      </c>
      <c r="AC497" s="6" t="n">
        <v>4794</v>
      </c>
      <c r="AD497" s="6" t="n">
        <v>137</v>
      </c>
      <c r="AE497" s="6" t="n">
        <v>2058.13793945313</v>
      </c>
      <c r="AF497" s="8" t="n">
        <v>840.014445648</v>
      </c>
      <c r="AG497" s="11" t="n">
        <v>-0.09680261854</v>
      </c>
      <c r="AH497" s="12" t="n">
        <v>1</v>
      </c>
      <c r="AI497" s="2" t="s">
        <v>317</v>
      </c>
      <c r="AJ497" s="2" t="s">
        <v>263</v>
      </c>
      <c r="AK497" s="2" t="s">
        <v>263</v>
      </c>
    </row>
    <row r="498" customFormat="false" ht="15" hidden="false" customHeight="false" outlineLevel="0" collapsed="false">
      <c r="A498" s="9" t="n">
        <v>495</v>
      </c>
      <c r="B498" s="2" t="s">
        <v>1254</v>
      </c>
      <c r="C498" s="2" t="s">
        <v>39</v>
      </c>
      <c r="D498" s="2" t="s">
        <v>39</v>
      </c>
      <c r="E498" s="2" t="s">
        <v>40</v>
      </c>
      <c r="F498" s="2" t="s">
        <v>1255</v>
      </c>
      <c r="G498" s="2" t="s">
        <v>320</v>
      </c>
      <c r="H498" s="8" t="n">
        <v>1021.70662745627</v>
      </c>
      <c r="I498" s="2" t="s">
        <v>316</v>
      </c>
      <c r="J498" s="8" t="n">
        <v>1587177.77777778</v>
      </c>
      <c r="K498" s="6" t="n">
        <v>45</v>
      </c>
      <c r="L498" s="2"/>
      <c r="M498" s="10" t="b">
        <f aca="false">TRUE()</f>
        <v>1</v>
      </c>
      <c r="N498" s="9" t="n">
        <f aca="false">IF(H498="","",IF(H498&gt;=Assumptions!$B$5,1,IF(H498&gt;=Assumptions!$B$6,2,IF(H498&gt;=Assumptions!$B$7,3,""))))</f>
        <v>1</v>
      </c>
      <c r="O498" s="9" t="n">
        <f aca="false">IF(N498=1,Assumptions!$B$8,IF(N498=2,Assumptions!$B$9,IF(N498=3,Assumptions!$B$10,0)))</f>
        <v>3</v>
      </c>
      <c r="P498" s="6" t="s">
        <v>30</v>
      </c>
      <c r="Q498" s="6" t="s">
        <v>30</v>
      </c>
      <c r="R498" s="11" t="s">
        <v>30</v>
      </c>
      <c r="S498" s="6" t="s">
        <v>30</v>
      </c>
      <c r="T498" s="11" t="s">
        <v>30</v>
      </c>
      <c r="U498" s="6" t="s">
        <v>30</v>
      </c>
      <c r="V498" s="6" t="s">
        <v>30</v>
      </c>
      <c r="W498" s="6" t="s">
        <v>30</v>
      </c>
      <c r="X498" s="2" t="s">
        <v>30</v>
      </c>
      <c r="Y498" s="6" t="str">
        <f aca="false">IF(AND(X498="processed",ISNUMBER(S498)),S498*O498,"")</f>
        <v/>
      </c>
      <c r="Z498" s="6" t="n">
        <f aca="false">IF(ISNUMBER(K498),K498*O498,0)</f>
        <v>135</v>
      </c>
      <c r="AA498" s="2" t="s">
        <v>31</v>
      </c>
      <c r="AB498" s="6" t="n">
        <v>5423</v>
      </c>
      <c r="AC498" s="6" t="n">
        <v>3866</v>
      </c>
      <c r="AD498" s="6" t="n">
        <v>363</v>
      </c>
      <c r="AE498" s="6" t="n">
        <v>1866.45092773438</v>
      </c>
      <c r="AF498" s="8" t="n">
        <v>1046.43557881</v>
      </c>
      <c r="AG498" s="11" t="n">
        <v>0.07550323378</v>
      </c>
      <c r="AH498" s="12" t="n">
        <v>1</v>
      </c>
      <c r="AI498" s="2" t="s">
        <v>317</v>
      </c>
      <c r="AJ498" s="2" t="s">
        <v>39</v>
      </c>
      <c r="AK498" s="2" t="s">
        <v>39</v>
      </c>
    </row>
    <row r="499" customFormat="false" ht="15" hidden="false" customHeight="false" outlineLevel="0" collapsed="false">
      <c r="A499" s="9" t="n">
        <v>496</v>
      </c>
      <c r="B499" s="2" t="s">
        <v>1256</v>
      </c>
      <c r="C499" s="2" t="s">
        <v>1025</v>
      </c>
      <c r="D499" s="2" t="s">
        <v>70</v>
      </c>
      <c r="E499" s="2" t="s">
        <v>71</v>
      </c>
      <c r="F499" s="2" t="s">
        <v>1257</v>
      </c>
      <c r="G499" s="2" t="s">
        <v>329</v>
      </c>
      <c r="H499" s="8" t="n">
        <v>687.26352646997</v>
      </c>
      <c r="I499" s="2" t="s">
        <v>316</v>
      </c>
      <c r="J499" s="8" t="n">
        <v>943716.417910448</v>
      </c>
      <c r="K499" s="6" t="n">
        <v>67</v>
      </c>
      <c r="L499" s="2"/>
      <c r="M499" s="10" t="b">
        <f aca="false">TRUE()</f>
        <v>1</v>
      </c>
      <c r="N499" s="9" t="n">
        <f aca="false">IF(H499="","",IF(H499&gt;=Assumptions!$B$5,1,IF(H499&gt;=Assumptions!$B$6,2,IF(H499&gt;=Assumptions!$B$7,3,""))))</f>
        <v>2</v>
      </c>
      <c r="O499" s="9" t="n">
        <f aca="false">IF(N499=1,Assumptions!$B$8,IF(N499=2,Assumptions!$B$9,IF(N499=3,Assumptions!$B$10,0)))</f>
        <v>2</v>
      </c>
      <c r="P499" s="6" t="s">
        <v>30</v>
      </c>
      <c r="Q499" s="6" t="s">
        <v>30</v>
      </c>
      <c r="R499" s="11" t="s">
        <v>30</v>
      </c>
      <c r="S499" s="6" t="s">
        <v>30</v>
      </c>
      <c r="T499" s="11" t="s">
        <v>30</v>
      </c>
      <c r="U499" s="6" t="s">
        <v>30</v>
      </c>
      <c r="V499" s="6" t="s">
        <v>30</v>
      </c>
      <c r="W499" s="6" t="s">
        <v>30</v>
      </c>
      <c r="X499" s="2" t="s">
        <v>30</v>
      </c>
      <c r="Y499" s="6" t="str">
        <f aca="false">IF(AND(X499="processed",ISNUMBER(S499)),S499*O499,"")</f>
        <v/>
      </c>
      <c r="Z499" s="6" t="n">
        <f aca="false">IF(ISNUMBER(K499),K499*O499,0)</f>
        <v>134</v>
      </c>
      <c r="AA499" s="2" t="s">
        <v>31</v>
      </c>
      <c r="AB499" s="6" t="n">
        <v>11830</v>
      </c>
      <c r="AC499" s="6" t="n">
        <v>8544</v>
      </c>
      <c r="AD499" s="6" t="n">
        <v>108</v>
      </c>
      <c r="AE499" s="6" t="n">
        <v>1671.16552734375</v>
      </c>
      <c r="AF499" s="8" t="n">
        <v>699.537977398</v>
      </c>
      <c r="AG499" s="11" t="n">
        <v>0.06819579416</v>
      </c>
      <c r="AH499" s="12" t="n">
        <v>1</v>
      </c>
      <c r="AI499" s="2" t="s">
        <v>317</v>
      </c>
      <c r="AJ499" s="2" t="s">
        <v>1025</v>
      </c>
      <c r="AK499" s="2" t="s">
        <v>1025</v>
      </c>
    </row>
    <row r="500" customFormat="false" ht="15" hidden="false" customHeight="false" outlineLevel="0" collapsed="false">
      <c r="A500" s="9" t="n">
        <v>497</v>
      </c>
      <c r="B500" s="2" t="s">
        <v>1258</v>
      </c>
      <c r="C500" s="2" t="s">
        <v>719</v>
      </c>
      <c r="D500" s="2" t="s">
        <v>44</v>
      </c>
      <c r="E500" s="2" t="s">
        <v>44</v>
      </c>
      <c r="F500" s="2" t="s">
        <v>1259</v>
      </c>
      <c r="G500" s="2" t="s">
        <v>322</v>
      </c>
      <c r="H500" s="8" t="n">
        <v>535.020138411119</v>
      </c>
      <c r="I500" s="2" t="s">
        <v>316</v>
      </c>
      <c r="J500" s="8" t="n">
        <v>773313.432835821</v>
      </c>
      <c r="K500" s="6" t="n">
        <v>134</v>
      </c>
      <c r="L500" s="2"/>
      <c r="M500" s="10" t="b">
        <f aca="false">TRUE()</f>
        <v>1</v>
      </c>
      <c r="N500" s="9" t="n">
        <f aca="false">IF(H500="","",IF(H500&gt;=Assumptions!$B$5,1,IF(H500&gt;=Assumptions!$B$6,2,IF(H500&gt;=Assumptions!$B$7,3,""))))</f>
        <v>3</v>
      </c>
      <c r="O500" s="9" t="n">
        <f aca="false">IF(N500=1,Assumptions!$B$8,IF(N500=2,Assumptions!$B$9,IF(N500=3,Assumptions!$B$10,0)))</f>
        <v>1</v>
      </c>
      <c r="P500" s="6" t="s">
        <v>30</v>
      </c>
      <c r="Q500" s="6" t="s">
        <v>30</v>
      </c>
      <c r="R500" s="11" t="s">
        <v>30</v>
      </c>
      <c r="S500" s="6" t="s">
        <v>30</v>
      </c>
      <c r="T500" s="11" t="s">
        <v>30</v>
      </c>
      <c r="U500" s="6" t="s">
        <v>30</v>
      </c>
      <c r="V500" s="6" t="s">
        <v>30</v>
      </c>
      <c r="W500" s="6" t="s">
        <v>30</v>
      </c>
      <c r="X500" s="2" t="s">
        <v>30</v>
      </c>
      <c r="Y500" s="6" t="str">
        <f aca="false">IF(AND(X500="processed",ISNUMBER(S500)),S500*O500,"")</f>
        <v/>
      </c>
      <c r="Z500" s="6" t="n">
        <f aca="false">IF(ISNUMBER(K500),K500*O500,0)</f>
        <v>134</v>
      </c>
      <c r="AA500" s="2" t="s">
        <v>31</v>
      </c>
      <c r="AB500" s="6" t="n">
        <v>8073</v>
      </c>
      <c r="AC500" s="6" t="n">
        <v>7224</v>
      </c>
      <c r="AD500" s="6" t="n">
        <v>7407</v>
      </c>
      <c r="AE500" s="6" t="n">
        <v>2053.134765625</v>
      </c>
      <c r="AF500" s="8" t="n">
        <v>550.659946179</v>
      </c>
      <c r="AG500" s="11" t="n">
        <v>-0.07805676077</v>
      </c>
      <c r="AH500" s="12" t="n">
        <v>0.999999999999999</v>
      </c>
      <c r="AI500" s="2" t="s">
        <v>317</v>
      </c>
      <c r="AJ500" s="2" t="s">
        <v>719</v>
      </c>
      <c r="AK500" s="2" t="s">
        <v>719</v>
      </c>
    </row>
    <row r="501" customFormat="false" ht="15" hidden="false" customHeight="false" outlineLevel="0" collapsed="false">
      <c r="A501" s="9" t="n">
        <v>498</v>
      </c>
      <c r="B501" s="2" t="s">
        <v>1260</v>
      </c>
      <c r="C501" s="2" t="s">
        <v>1045</v>
      </c>
      <c r="D501" s="2" t="s">
        <v>380</v>
      </c>
      <c r="E501" s="2" t="s">
        <v>51</v>
      </c>
      <c r="F501" s="2" t="s">
        <v>1261</v>
      </c>
      <c r="G501" s="2" t="s">
        <v>381</v>
      </c>
      <c r="H501" s="8" t="n">
        <v>500.865472512546</v>
      </c>
      <c r="I501" s="2" t="s">
        <v>316</v>
      </c>
      <c r="J501" s="8" t="n">
        <v>852537.878787879</v>
      </c>
      <c r="K501" s="6" t="n">
        <v>132</v>
      </c>
      <c r="L501" s="2"/>
      <c r="M501" s="10" t="b">
        <f aca="false">TRUE()</f>
        <v>1</v>
      </c>
      <c r="N501" s="9" t="n">
        <f aca="false">IF(H501="","",IF(H501&gt;=Assumptions!$B$5,1,IF(H501&gt;=Assumptions!$B$6,2,IF(H501&gt;=Assumptions!$B$7,3,""))))</f>
        <v>3</v>
      </c>
      <c r="O501" s="9" t="n">
        <f aca="false">IF(N501=1,Assumptions!$B$8,IF(N501=2,Assumptions!$B$9,IF(N501=3,Assumptions!$B$10,0)))</f>
        <v>1</v>
      </c>
      <c r="P501" s="6" t="s">
        <v>30</v>
      </c>
      <c r="Q501" s="6" t="s">
        <v>30</v>
      </c>
      <c r="R501" s="11" t="s">
        <v>30</v>
      </c>
      <c r="S501" s="6" t="s">
        <v>30</v>
      </c>
      <c r="T501" s="11" t="s">
        <v>30</v>
      </c>
      <c r="U501" s="6" t="s">
        <v>30</v>
      </c>
      <c r="V501" s="6" t="s">
        <v>30</v>
      </c>
      <c r="W501" s="6" t="s">
        <v>30</v>
      </c>
      <c r="X501" s="2" t="s">
        <v>30</v>
      </c>
      <c r="Y501" s="6" t="str">
        <f aca="false">IF(AND(X501="processed",ISNUMBER(S501)),S501*O501,"")</f>
        <v/>
      </c>
      <c r="Z501" s="6" t="n">
        <f aca="false">IF(ISNUMBER(K501),K501*O501,0)</f>
        <v>132</v>
      </c>
      <c r="AA501" s="2" t="s">
        <v>31</v>
      </c>
      <c r="AB501" s="6" t="n">
        <v>11335</v>
      </c>
      <c r="AC501" s="6" t="n">
        <v>9117</v>
      </c>
      <c r="AD501" s="6" t="n">
        <v>4477</v>
      </c>
      <c r="AE501" s="6" t="n">
        <v>2058.7548828125</v>
      </c>
      <c r="AF501" s="8" t="n">
        <v>522.05487459</v>
      </c>
      <c r="AG501" s="11" t="n">
        <v>0.05585155538</v>
      </c>
      <c r="AH501" s="12" t="n">
        <v>0.999792358710314</v>
      </c>
      <c r="AI501" s="2" t="s">
        <v>317</v>
      </c>
      <c r="AJ501" s="2" t="s">
        <v>1045</v>
      </c>
      <c r="AK501" s="2" t="s">
        <v>1045</v>
      </c>
    </row>
    <row r="502" customFormat="false" ht="15" hidden="false" customHeight="false" outlineLevel="0" collapsed="false">
      <c r="A502" s="9" t="n">
        <v>499</v>
      </c>
      <c r="B502" s="2" t="s">
        <v>1262</v>
      </c>
      <c r="C502" s="2" t="s">
        <v>827</v>
      </c>
      <c r="D502" s="2" t="s">
        <v>95</v>
      </c>
      <c r="E502" s="2" t="s">
        <v>95</v>
      </c>
      <c r="F502" s="2" t="s">
        <v>1263</v>
      </c>
      <c r="G502" s="2" t="s">
        <v>330</v>
      </c>
      <c r="H502" s="8" t="n">
        <v>590.232698864504</v>
      </c>
      <c r="I502" s="2" t="s">
        <v>316</v>
      </c>
      <c r="J502" s="8" t="n">
        <v>1149053.4351145</v>
      </c>
      <c r="K502" s="6" t="n">
        <v>131</v>
      </c>
      <c r="L502" s="2"/>
      <c r="M502" s="10" t="b">
        <f aca="false">TRUE()</f>
        <v>1</v>
      </c>
      <c r="N502" s="9" t="n">
        <f aca="false">IF(H502="","",IF(H502&gt;=Assumptions!$B$5,1,IF(H502&gt;=Assumptions!$B$6,2,IF(H502&gt;=Assumptions!$B$7,3,""))))</f>
        <v>3</v>
      </c>
      <c r="O502" s="9" t="n">
        <f aca="false">IF(N502=1,Assumptions!$B$8,IF(N502=2,Assumptions!$B$9,IF(N502=3,Assumptions!$B$10,0)))</f>
        <v>1</v>
      </c>
      <c r="P502" s="6" t="s">
        <v>30</v>
      </c>
      <c r="Q502" s="6" t="s">
        <v>30</v>
      </c>
      <c r="R502" s="11" t="s">
        <v>30</v>
      </c>
      <c r="S502" s="6" t="s">
        <v>30</v>
      </c>
      <c r="T502" s="11" t="s">
        <v>30</v>
      </c>
      <c r="U502" s="6" t="s">
        <v>30</v>
      </c>
      <c r="V502" s="6" t="s">
        <v>30</v>
      </c>
      <c r="W502" s="6" t="s">
        <v>30</v>
      </c>
      <c r="X502" s="2" t="s">
        <v>30</v>
      </c>
      <c r="Y502" s="6" t="str">
        <f aca="false">IF(AND(X502="processed",ISNUMBER(S502)),S502*O502,"")</f>
        <v/>
      </c>
      <c r="Z502" s="6" t="n">
        <f aca="false">IF(ISNUMBER(K502),K502*O502,0)</f>
        <v>131</v>
      </c>
      <c r="AA502" s="2" t="s">
        <v>31</v>
      </c>
      <c r="AB502" s="6" t="n">
        <v>8456</v>
      </c>
      <c r="AC502" s="6" t="n">
        <v>6366</v>
      </c>
      <c r="AD502" s="6" t="n">
        <v>212</v>
      </c>
      <c r="AE502" s="6" t="n">
        <v>2412.71142578125</v>
      </c>
      <c r="AF502" s="8" t="n">
        <v>613.734189664</v>
      </c>
      <c r="AG502" s="11" t="n">
        <v>0.06291978031</v>
      </c>
      <c r="AH502" s="12" t="n">
        <v>0.987093694372729</v>
      </c>
      <c r="AI502" s="2" t="s">
        <v>317</v>
      </c>
      <c r="AJ502" s="2" t="s">
        <v>827</v>
      </c>
      <c r="AK502" s="2" t="s">
        <v>827</v>
      </c>
    </row>
    <row r="503" customFormat="false" ht="15" hidden="false" customHeight="false" outlineLevel="0" collapsed="false">
      <c r="A503" s="9" t="n">
        <v>500</v>
      </c>
      <c r="B503" s="2" t="s">
        <v>1264</v>
      </c>
      <c r="C503" s="2" t="s">
        <v>263</v>
      </c>
      <c r="D503" s="2" t="s">
        <v>27</v>
      </c>
      <c r="E503" s="2" t="s">
        <v>28</v>
      </c>
      <c r="F503" s="2" t="s">
        <v>1265</v>
      </c>
      <c r="G503" s="2" t="s">
        <v>315</v>
      </c>
      <c r="H503" s="8" t="n">
        <v>899.518712329558</v>
      </c>
      <c r="I503" s="2" t="s">
        <v>316</v>
      </c>
      <c r="J503" s="8" t="n">
        <v>1678837.20930233</v>
      </c>
      <c r="K503" s="6" t="n">
        <v>43</v>
      </c>
      <c r="L503" s="2"/>
      <c r="M503" s="10" t="b">
        <f aca="false">TRUE()</f>
        <v>1</v>
      </c>
      <c r="N503" s="9" t="n">
        <f aca="false">IF(H503="","",IF(H503&gt;=Assumptions!$B$5,1,IF(H503&gt;=Assumptions!$B$6,2,IF(H503&gt;=Assumptions!$B$7,3,""))))</f>
        <v>1</v>
      </c>
      <c r="O503" s="9" t="n">
        <f aca="false">IF(N503=1,Assumptions!$B$8,IF(N503=2,Assumptions!$B$9,IF(N503=3,Assumptions!$B$10,0)))</f>
        <v>3</v>
      </c>
      <c r="P503" s="6" t="s">
        <v>30</v>
      </c>
      <c r="Q503" s="6" t="s">
        <v>30</v>
      </c>
      <c r="R503" s="11" t="s">
        <v>30</v>
      </c>
      <c r="S503" s="6" t="s">
        <v>30</v>
      </c>
      <c r="T503" s="11" t="s">
        <v>30</v>
      </c>
      <c r="U503" s="6" t="s">
        <v>30</v>
      </c>
      <c r="V503" s="6" t="s">
        <v>30</v>
      </c>
      <c r="W503" s="6" t="s">
        <v>30</v>
      </c>
      <c r="X503" s="2" t="s">
        <v>30</v>
      </c>
      <c r="Y503" s="6" t="str">
        <f aca="false">IF(AND(X503="processed",ISNUMBER(S503)),S503*O503,"")</f>
        <v/>
      </c>
      <c r="Z503" s="6" t="n">
        <f aca="false">IF(ISNUMBER(K503),K503*O503,0)</f>
        <v>129</v>
      </c>
      <c r="AA503" s="2" t="s">
        <v>31</v>
      </c>
      <c r="AB503" s="6" t="n">
        <v>6227</v>
      </c>
      <c r="AC503" s="6" t="n">
        <v>5207</v>
      </c>
      <c r="AD503" s="6" t="n">
        <v>157</v>
      </c>
      <c r="AE503" s="6" t="n">
        <v>1894.60144042969</v>
      </c>
      <c r="AF503" s="8" t="n">
        <v>885.328836425</v>
      </c>
      <c r="AG503" s="11" t="n">
        <v>-0.1026763858</v>
      </c>
      <c r="AH503" s="12" t="n">
        <v>1</v>
      </c>
      <c r="AI503" s="2" t="s">
        <v>317</v>
      </c>
      <c r="AJ503" s="2" t="s">
        <v>263</v>
      </c>
      <c r="AK503" s="2" t="s">
        <v>263</v>
      </c>
    </row>
    <row r="504" customFormat="false" ht="15" hidden="false" customHeight="false" outlineLevel="0" collapsed="false">
      <c r="A504" s="9" t="n">
        <v>501</v>
      </c>
      <c r="B504" s="2" t="s">
        <v>1266</v>
      </c>
      <c r="C504" s="2" t="s">
        <v>1267</v>
      </c>
      <c r="D504" s="2" t="s">
        <v>50</v>
      </c>
      <c r="E504" s="2" t="s">
        <v>51</v>
      </c>
      <c r="F504" s="2" t="s">
        <v>1268</v>
      </c>
      <c r="G504" s="2" t="s">
        <v>323</v>
      </c>
      <c r="H504" s="8" t="n">
        <v>710.953878579163</v>
      </c>
      <c r="I504" s="2" t="s">
        <v>316</v>
      </c>
      <c r="J504" s="8" t="n">
        <v>1473255.81395349</v>
      </c>
      <c r="K504" s="6" t="n">
        <v>43</v>
      </c>
      <c r="L504" s="2"/>
      <c r="M504" s="10" t="b">
        <f aca="false">TRUE()</f>
        <v>1</v>
      </c>
      <c r="N504" s="9" t="n">
        <f aca="false">IF(H504="","",IF(H504&gt;=Assumptions!$B$5,1,IF(H504&gt;=Assumptions!$B$6,2,IF(H504&gt;=Assumptions!$B$7,3,""))))</f>
        <v>1</v>
      </c>
      <c r="O504" s="9" t="n">
        <f aca="false">IF(N504=1,Assumptions!$B$8,IF(N504=2,Assumptions!$B$9,IF(N504=3,Assumptions!$B$10,0)))</f>
        <v>3</v>
      </c>
      <c r="P504" s="6" t="s">
        <v>30</v>
      </c>
      <c r="Q504" s="6" t="s">
        <v>30</v>
      </c>
      <c r="R504" s="11" t="s">
        <v>30</v>
      </c>
      <c r="S504" s="6" t="s">
        <v>30</v>
      </c>
      <c r="T504" s="11" t="s">
        <v>30</v>
      </c>
      <c r="U504" s="6" t="s">
        <v>30</v>
      </c>
      <c r="V504" s="6" t="s">
        <v>30</v>
      </c>
      <c r="W504" s="6" t="s">
        <v>30</v>
      </c>
      <c r="X504" s="2" t="s">
        <v>30</v>
      </c>
      <c r="Y504" s="6" t="str">
        <f aca="false">IF(AND(X504="processed",ISNUMBER(S504)),S504*O504,"")</f>
        <v/>
      </c>
      <c r="Z504" s="6" t="n">
        <f aca="false">IF(ISNUMBER(K504),K504*O504,0)</f>
        <v>129</v>
      </c>
      <c r="AA504" s="2" t="s">
        <v>31</v>
      </c>
      <c r="AB504" s="6" t="n">
        <v>1624</v>
      </c>
      <c r="AC504" s="6" t="n">
        <v>1378</v>
      </c>
      <c r="AD504" s="6" t="n">
        <v>621</v>
      </c>
      <c r="AE504" s="6" t="n">
        <v>2039.90405273438</v>
      </c>
      <c r="AF504" s="8" t="n">
        <v>597.370815138</v>
      </c>
      <c r="AG504" s="11" t="n">
        <v>0.2857946462</v>
      </c>
      <c r="AH504" s="12" t="n">
        <v>1</v>
      </c>
      <c r="AI504" s="2" t="s">
        <v>328</v>
      </c>
      <c r="AJ504" s="2" t="s">
        <v>1267</v>
      </c>
      <c r="AK504" s="2" t="s">
        <v>1267</v>
      </c>
    </row>
    <row r="505" customFormat="false" ht="15" hidden="false" customHeight="false" outlineLevel="0" collapsed="false">
      <c r="A505" s="9" t="n">
        <v>502</v>
      </c>
      <c r="B505" s="2" t="s">
        <v>1269</v>
      </c>
      <c r="C505" s="2" t="s">
        <v>1198</v>
      </c>
      <c r="D505" s="2" t="s">
        <v>70</v>
      </c>
      <c r="E505" s="2" t="s">
        <v>71</v>
      </c>
      <c r="F505" s="2" t="s">
        <v>1199</v>
      </c>
      <c r="G505" s="2" t="s">
        <v>329</v>
      </c>
      <c r="H505" s="8" t="n">
        <v>534.984583375813</v>
      </c>
      <c r="I505" s="2" t="s">
        <v>316</v>
      </c>
      <c r="J505" s="8" t="n">
        <v>631367.1875</v>
      </c>
      <c r="K505" s="6" t="n">
        <v>128</v>
      </c>
      <c r="L505" s="2"/>
      <c r="M505" s="10" t="b">
        <f aca="false">TRUE()</f>
        <v>1</v>
      </c>
      <c r="N505" s="9" t="n">
        <f aca="false">IF(H505="","",IF(H505&gt;=Assumptions!$B$5,1,IF(H505&gt;=Assumptions!$B$6,2,IF(H505&gt;=Assumptions!$B$7,3,""))))</f>
        <v>3</v>
      </c>
      <c r="O505" s="9" t="n">
        <f aca="false">IF(N505=1,Assumptions!$B$8,IF(N505=2,Assumptions!$B$9,IF(N505=3,Assumptions!$B$10,0)))</f>
        <v>1</v>
      </c>
      <c r="P505" s="6" t="s">
        <v>30</v>
      </c>
      <c r="Q505" s="6" t="s">
        <v>30</v>
      </c>
      <c r="R505" s="11" t="s">
        <v>30</v>
      </c>
      <c r="S505" s="6" t="s">
        <v>30</v>
      </c>
      <c r="T505" s="11" t="s">
        <v>30</v>
      </c>
      <c r="U505" s="6" t="s">
        <v>30</v>
      </c>
      <c r="V505" s="6" t="s">
        <v>30</v>
      </c>
      <c r="W505" s="6" t="s">
        <v>30</v>
      </c>
      <c r="X505" s="2" t="s">
        <v>30</v>
      </c>
      <c r="Y505" s="6" t="str">
        <f aca="false">IF(AND(X505="processed",ISNUMBER(S505)),S505*O505,"")</f>
        <v/>
      </c>
      <c r="Z505" s="6" t="n">
        <f aca="false">IF(ISNUMBER(K505),K505*O505,0)</f>
        <v>128</v>
      </c>
      <c r="AA505" s="2" t="s">
        <v>31</v>
      </c>
      <c r="AB505" s="6" t="n">
        <v>17260</v>
      </c>
      <c r="AC505" s="6" t="n">
        <v>12303</v>
      </c>
      <c r="AD505" s="6" t="n">
        <v>374</v>
      </c>
      <c r="AE505" s="6" t="n">
        <v>1437.373046875</v>
      </c>
      <c r="AF505" s="8" t="n">
        <v>573.617158523</v>
      </c>
      <c r="AG505" s="11" t="n">
        <v>0.1242896307</v>
      </c>
      <c r="AH505" s="12" t="n">
        <v>0.999999999999997</v>
      </c>
      <c r="AI505" s="2" t="s">
        <v>317</v>
      </c>
      <c r="AJ505" s="2" t="s">
        <v>1198</v>
      </c>
      <c r="AK505" s="2" t="s">
        <v>1199</v>
      </c>
    </row>
    <row r="506" customFormat="false" ht="15" hidden="false" customHeight="false" outlineLevel="0" collapsed="false">
      <c r="A506" s="9" t="n">
        <v>503</v>
      </c>
      <c r="B506" s="2" t="s">
        <v>1270</v>
      </c>
      <c r="C506" s="2" t="s">
        <v>1271</v>
      </c>
      <c r="D506" s="2" t="s">
        <v>70</v>
      </c>
      <c r="E506" s="2" t="s">
        <v>71</v>
      </c>
      <c r="F506" s="2"/>
      <c r="G506" s="2" t="s">
        <v>329</v>
      </c>
      <c r="H506" s="8" t="n">
        <v>658.241143261313</v>
      </c>
      <c r="I506" s="2" t="s">
        <v>316</v>
      </c>
      <c r="J506" s="8" t="n">
        <v>1024531.25</v>
      </c>
      <c r="K506" s="6" t="n">
        <v>64</v>
      </c>
      <c r="L506" s="2"/>
      <c r="M506" s="10" t="b">
        <f aca="false">TRUE()</f>
        <v>1</v>
      </c>
      <c r="N506" s="9" t="n">
        <f aca="false">IF(H506="","",IF(H506&gt;=Assumptions!$B$5,1,IF(H506&gt;=Assumptions!$B$6,2,IF(H506&gt;=Assumptions!$B$7,3,""))))</f>
        <v>2</v>
      </c>
      <c r="O506" s="9" t="n">
        <f aca="false">IF(N506=1,Assumptions!$B$8,IF(N506=2,Assumptions!$B$9,IF(N506=3,Assumptions!$B$10,0)))</f>
        <v>2</v>
      </c>
      <c r="P506" s="6" t="s">
        <v>30</v>
      </c>
      <c r="Q506" s="6" t="s">
        <v>30</v>
      </c>
      <c r="R506" s="11" t="s">
        <v>30</v>
      </c>
      <c r="S506" s="6" t="s">
        <v>30</v>
      </c>
      <c r="T506" s="11" t="s">
        <v>30</v>
      </c>
      <c r="U506" s="6" t="s">
        <v>30</v>
      </c>
      <c r="V506" s="6" t="s">
        <v>30</v>
      </c>
      <c r="W506" s="6" t="s">
        <v>30</v>
      </c>
      <c r="X506" s="2" t="s">
        <v>30</v>
      </c>
      <c r="Y506" s="6" t="str">
        <f aca="false">IF(AND(X506="processed",ISNUMBER(S506)),S506*O506,"")</f>
        <v/>
      </c>
      <c r="Z506" s="6" t="n">
        <f aca="false">IF(ISNUMBER(K506),K506*O506,0)</f>
        <v>128</v>
      </c>
      <c r="AA506" s="2" t="s">
        <v>31</v>
      </c>
      <c r="AB506" s="6" t="n">
        <v>8005</v>
      </c>
      <c r="AC506" s="6" t="n">
        <v>6514</v>
      </c>
      <c r="AD506" s="6" t="n">
        <v>114</v>
      </c>
      <c r="AE506" s="6" t="n">
        <v>1779.40258789063</v>
      </c>
      <c r="AF506" s="8" t="n">
        <v>703.80793827</v>
      </c>
      <c r="AG506" s="11" t="n">
        <v>-0.02175986781</v>
      </c>
      <c r="AH506" s="12" t="n">
        <v>1</v>
      </c>
      <c r="AI506" s="2" t="s">
        <v>317</v>
      </c>
      <c r="AJ506" s="2" t="s">
        <v>1271</v>
      </c>
      <c r="AK506" s="2" t="s">
        <v>1271</v>
      </c>
    </row>
    <row r="507" customFormat="false" ht="15" hidden="false" customHeight="false" outlineLevel="0" collapsed="false">
      <c r="A507" s="9" t="n">
        <v>504</v>
      </c>
      <c r="B507" s="2" t="s">
        <v>1272</v>
      </c>
      <c r="C507" s="2" t="s">
        <v>70</v>
      </c>
      <c r="D507" s="2" t="s">
        <v>70</v>
      </c>
      <c r="E507" s="2" t="s">
        <v>71</v>
      </c>
      <c r="F507" s="2" t="s">
        <v>1273</v>
      </c>
      <c r="G507" s="2" t="s">
        <v>329</v>
      </c>
      <c r="H507" s="8" t="n">
        <v>554.462984108307</v>
      </c>
      <c r="I507" s="2" t="s">
        <v>316</v>
      </c>
      <c r="J507" s="8" t="n">
        <v>603212.598425197</v>
      </c>
      <c r="K507" s="6" t="n">
        <v>127</v>
      </c>
      <c r="L507" s="2"/>
      <c r="M507" s="10" t="b">
        <f aca="false">TRUE()</f>
        <v>1</v>
      </c>
      <c r="N507" s="9" t="n">
        <f aca="false">IF(H507="","",IF(H507&gt;=Assumptions!$B$5,1,IF(H507&gt;=Assumptions!$B$6,2,IF(H507&gt;=Assumptions!$B$7,3,""))))</f>
        <v>3</v>
      </c>
      <c r="O507" s="9" t="n">
        <f aca="false">IF(N507=1,Assumptions!$B$8,IF(N507=2,Assumptions!$B$9,IF(N507=3,Assumptions!$B$10,0)))</f>
        <v>1</v>
      </c>
      <c r="P507" s="6" t="s">
        <v>30</v>
      </c>
      <c r="Q507" s="6" t="s">
        <v>30</v>
      </c>
      <c r="R507" s="11" t="s">
        <v>30</v>
      </c>
      <c r="S507" s="6" t="s">
        <v>30</v>
      </c>
      <c r="T507" s="11" t="s">
        <v>30</v>
      </c>
      <c r="U507" s="6" t="s">
        <v>30</v>
      </c>
      <c r="V507" s="6" t="s">
        <v>30</v>
      </c>
      <c r="W507" s="6" t="s">
        <v>30</v>
      </c>
      <c r="X507" s="2" t="s">
        <v>30</v>
      </c>
      <c r="Y507" s="6" t="str">
        <f aca="false">IF(AND(X507="processed",ISNUMBER(S507)),S507*O507,"")</f>
        <v/>
      </c>
      <c r="Z507" s="6" t="n">
        <f aca="false">IF(ISNUMBER(K507),K507*O507,0)</f>
        <v>127</v>
      </c>
      <c r="AA507" s="2" t="s">
        <v>31</v>
      </c>
      <c r="AB507" s="6" t="n">
        <v>14378</v>
      </c>
      <c r="AC507" s="6" t="n">
        <v>10145</v>
      </c>
      <c r="AD507" s="6" t="n">
        <v>317</v>
      </c>
      <c r="AE507" s="6" t="n">
        <v>1389.43298339844</v>
      </c>
      <c r="AF507" s="8" t="n">
        <v>545.759865659</v>
      </c>
      <c r="AG507" s="11" t="n">
        <v>-0.01259445844</v>
      </c>
      <c r="AH507" s="12" t="n">
        <v>1</v>
      </c>
      <c r="AI507" s="2" t="s">
        <v>317</v>
      </c>
      <c r="AJ507" s="2" t="s">
        <v>70</v>
      </c>
      <c r="AK507" s="2" t="s">
        <v>70</v>
      </c>
    </row>
    <row r="508" customFormat="false" ht="15" hidden="false" customHeight="false" outlineLevel="0" collapsed="false">
      <c r="A508" s="9" t="n">
        <v>505</v>
      </c>
      <c r="B508" s="2" t="s">
        <v>1274</v>
      </c>
      <c r="C508" s="2" t="s">
        <v>537</v>
      </c>
      <c r="D508" s="2" t="s">
        <v>27</v>
      </c>
      <c r="E508" s="2" t="s">
        <v>28</v>
      </c>
      <c r="F508" s="2" t="s">
        <v>1275</v>
      </c>
      <c r="G508" s="2" t="s">
        <v>315</v>
      </c>
      <c r="H508" s="8" t="n">
        <v>647.203845587667</v>
      </c>
      <c r="I508" s="2" t="s">
        <v>316</v>
      </c>
      <c r="J508" s="8" t="n">
        <v>983555.555555556</v>
      </c>
      <c r="K508" s="6" t="n">
        <v>63</v>
      </c>
      <c r="L508" s="2"/>
      <c r="M508" s="10" t="b">
        <f aca="false">TRUE()</f>
        <v>1</v>
      </c>
      <c r="N508" s="9" t="n">
        <f aca="false">IF(H508="","",IF(H508&gt;=Assumptions!$B$5,1,IF(H508&gt;=Assumptions!$B$6,2,IF(H508&gt;=Assumptions!$B$7,3,""))))</f>
        <v>2</v>
      </c>
      <c r="O508" s="9" t="n">
        <f aca="false">IF(N508=1,Assumptions!$B$8,IF(N508=2,Assumptions!$B$9,IF(N508=3,Assumptions!$B$10,0)))</f>
        <v>2</v>
      </c>
      <c r="P508" s="6" t="s">
        <v>30</v>
      </c>
      <c r="Q508" s="6" t="s">
        <v>30</v>
      </c>
      <c r="R508" s="11" t="s">
        <v>30</v>
      </c>
      <c r="S508" s="6" t="s">
        <v>30</v>
      </c>
      <c r="T508" s="11" t="s">
        <v>30</v>
      </c>
      <c r="U508" s="6" t="s">
        <v>30</v>
      </c>
      <c r="V508" s="6" t="s">
        <v>30</v>
      </c>
      <c r="W508" s="6" t="s">
        <v>30</v>
      </c>
      <c r="X508" s="2" t="s">
        <v>30</v>
      </c>
      <c r="Y508" s="6" t="str">
        <f aca="false">IF(AND(X508="processed",ISNUMBER(S508)),S508*O508,"")</f>
        <v/>
      </c>
      <c r="Z508" s="6" t="n">
        <f aca="false">IF(ISNUMBER(K508),K508*O508,0)</f>
        <v>126</v>
      </c>
      <c r="AA508" s="2" t="s">
        <v>31</v>
      </c>
      <c r="AB508" s="6" t="n">
        <v>7185</v>
      </c>
      <c r="AC508" s="6" t="n">
        <v>5425</v>
      </c>
      <c r="AD508" s="6" t="n">
        <v>182</v>
      </c>
      <c r="AE508" s="6" t="n">
        <v>1953.51818847656</v>
      </c>
      <c r="AF508" s="8" t="n">
        <v>698.560541914</v>
      </c>
      <c r="AG508" s="11" t="n">
        <v>0.1057315335</v>
      </c>
      <c r="AH508" s="12" t="n">
        <v>1</v>
      </c>
      <c r="AI508" s="2" t="s">
        <v>317</v>
      </c>
      <c r="AJ508" s="2" t="s">
        <v>537</v>
      </c>
      <c r="AK508" s="2" t="s">
        <v>537</v>
      </c>
    </row>
    <row r="509" customFormat="false" ht="15" hidden="false" customHeight="false" outlineLevel="0" collapsed="false">
      <c r="A509" s="9" t="n">
        <v>506</v>
      </c>
      <c r="B509" s="2" t="s">
        <v>1276</v>
      </c>
      <c r="C509" s="2" t="s">
        <v>56</v>
      </c>
      <c r="D509" s="2" t="s">
        <v>56</v>
      </c>
      <c r="E509" s="2" t="s">
        <v>56</v>
      </c>
      <c r="F509" s="2" t="s">
        <v>1277</v>
      </c>
      <c r="G509" s="2" t="s">
        <v>324</v>
      </c>
      <c r="H509" s="8" t="n">
        <v>1245.74127092929</v>
      </c>
      <c r="I509" s="2" t="s">
        <v>316</v>
      </c>
      <c r="J509" s="8" t="n">
        <v>1982261.90476191</v>
      </c>
      <c r="K509" s="6" t="n">
        <v>42</v>
      </c>
      <c r="L509" s="2"/>
      <c r="M509" s="10" t="b">
        <f aca="false">TRUE()</f>
        <v>1</v>
      </c>
      <c r="N509" s="9" t="n">
        <f aca="false">IF(H509="","",IF(H509&gt;=Assumptions!$B$5,1,IF(H509&gt;=Assumptions!$B$6,2,IF(H509&gt;=Assumptions!$B$7,3,""))))</f>
        <v>1</v>
      </c>
      <c r="O509" s="9" t="n">
        <f aca="false">IF(N509=1,Assumptions!$B$8,IF(N509=2,Assumptions!$B$9,IF(N509=3,Assumptions!$B$10,0)))</f>
        <v>3</v>
      </c>
      <c r="P509" s="6" t="s">
        <v>30</v>
      </c>
      <c r="Q509" s="6" t="s">
        <v>30</v>
      </c>
      <c r="R509" s="11" t="s">
        <v>30</v>
      </c>
      <c r="S509" s="6" t="s">
        <v>30</v>
      </c>
      <c r="T509" s="11" t="s">
        <v>30</v>
      </c>
      <c r="U509" s="6" t="s">
        <v>30</v>
      </c>
      <c r="V509" s="6" t="s">
        <v>30</v>
      </c>
      <c r="W509" s="6" t="s">
        <v>30</v>
      </c>
      <c r="X509" s="2" t="s">
        <v>30</v>
      </c>
      <c r="Y509" s="6" t="str">
        <f aca="false">IF(AND(X509="processed",ISNUMBER(S509)),S509*O509,"")</f>
        <v/>
      </c>
      <c r="Z509" s="6" t="n">
        <f aca="false">IF(ISNUMBER(K509),K509*O509,0)</f>
        <v>126</v>
      </c>
      <c r="AA509" s="2" t="s">
        <v>31</v>
      </c>
      <c r="AB509" s="6" t="n">
        <v>3852</v>
      </c>
      <c r="AC509" s="6" t="n">
        <v>3066</v>
      </c>
      <c r="AD509" s="6" t="n">
        <v>66</v>
      </c>
      <c r="AE509" s="6" t="n">
        <v>1430.63049316406</v>
      </c>
      <c r="AF509" s="8" t="n">
        <v>1421.717171717</v>
      </c>
      <c r="AG509" s="11" t="n">
        <v>0.2980068422</v>
      </c>
      <c r="AH509" s="12" t="n">
        <v>0.901511541963765</v>
      </c>
      <c r="AI509" s="2" t="s">
        <v>317</v>
      </c>
      <c r="AJ509" s="2" t="s">
        <v>56</v>
      </c>
      <c r="AK509" s="2" t="s">
        <v>56</v>
      </c>
    </row>
    <row r="510" customFormat="false" ht="15" hidden="false" customHeight="false" outlineLevel="0" collapsed="false">
      <c r="A510" s="9" t="n">
        <v>507</v>
      </c>
      <c r="B510" s="2" t="s">
        <v>1278</v>
      </c>
      <c r="C510" s="2" t="s">
        <v>1279</v>
      </c>
      <c r="D510" s="2" t="s">
        <v>190</v>
      </c>
      <c r="E510" s="2" t="s">
        <v>51</v>
      </c>
      <c r="F510" s="2"/>
      <c r="G510" s="2" t="s">
        <v>336</v>
      </c>
      <c r="H510" s="8" t="n">
        <v>813.474837820024</v>
      </c>
      <c r="I510" s="2" t="s">
        <v>316</v>
      </c>
      <c r="J510" s="8" t="n">
        <v>1452571.42857143</v>
      </c>
      <c r="K510" s="6" t="n">
        <v>42</v>
      </c>
      <c r="L510" s="2"/>
      <c r="M510" s="10" t="b">
        <f aca="false">TRUE()</f>
        <v>1</v>
      </c>
      <c r="N510" s="9" t="n">
        <f aca="false">IF(H510="","",IF(H510&gt;=Assumptions!$B$5,1,IF(H510&gt;=Assumptions!$B$6,2,IF(H510&gt;=Assumptions!$B$7,3,""))))</f>
        <v>1</v>
      </c>
      <c r="O510" s="9" t="n">
        <f aca="false">IF(N510=1,Assumptions!$B$8,IF(N510=2,Assumptions!$B$9,IF(N510=3,Assumptions!$B$10,0)))</f>
        <v>3</v>
      </c>
      <c r="P510" s="6" t="s">
        <v>30</v>
      </c>
      <c r="Q510" s="6" t="s">
        <v>30</v>
      </c>
      <c r="R510" s="11" t="s">
        <v>30</v>
      </c>
      <c r="S510" s="6" t="s">
        <v>30</v>
      </c>
      <c r="T510" s="11" t="s">
        <v>30</v>
      </c>
      <c r="U510" s="6" t="s">
        <v>30</v>
      </c>
      <c r="V510" s="6" t="s">
        <v>30</v>
      </c>
      <c r="W510" s="6" t="s">
        <v>30</v>
      </c>
      <c r="X510" s="2" t="s">
        <v>30</v>
      </c>
      <c r="Y510" s="6" t="str">
        <f aca="false">IF(AND(X510="processed",ISNUMBER(S510)),S510*O510,"")</f>
        <v/>
      </c>
      <c r="Z510" s="6" t="n">
        <f aca="false">IF(ISNUMBER(K510),K510*O510,0)</f>
        <v>126</v>
      </c>
      <c r="AA510" s="2" t="s">
        <v>31</v>
      </c>
      <c r="AB510" s="6" t="n">
        <v>2173</v>
      </c>
      <c r="AC510" s="6" t="n">
        <v>1741</v>
      </c>
      <c r="AD510" s="6" t="n">
        <v>72</v>
      </c>
      <c r="AE510" s="6" t="n">
        <v>2147.98193359375</v>
      </c>
      <c r="AF510" s="8" t="n">
        <v>952.779116773</v>
      </c>
      <c r="AG510" s="11" t="n">
        <v>0.04190511207</v>
      </c>
      <c r="AH510" s="12" t="n">
        <v>0.936897065510211</v>
      </c>
      <c r="AI510" s="2" t="s">
        <v>317</v>
      </c>
      <c r="AJ510" s="2" t="s">
        <v>1279</v>
      </c>
      <c r="AK510" s="2" t="s">
        <v>1280</v>
      </c>
    </row>
    <row r="511" customFormat="false" ht="15" hidden="false" customHeight="false" outlineLevel="0" collapsed="false">
      <c r="A511" s="9" t="n">
        <v>508</v>
      </c>
      <c r="B511" s="2" t="s">
        <v>1281</v>
      </c>
      <c r="C511" s="2" t="s">
        <v>1282</v>
      </c>
      <c r="D511" s="2" t="s">
        <v>197</v>
      </c>
      <c r="E511" s="2" t="s">
        <v>51</v>
      </c>
      <c r="F511" s="2" t="s">
        <v>1283</v>
      </c>
      <c r="G511" s="2" t="s">
        <v>338</v>
      </c>
      <c r="H511" s="8" t="n">
        <v>630.249542684079</v>
      </c>
      <c r="I511" s="2" t="s">
        <v>316</v>
      </c>
      <c r="J511" s="8" t="n">
        <v>855571.428571429</v>
      </c>
      <c r="K511" s="6" t="n">
        <v>63</v>
      </c>
      <c r="L511" s="2"/>
      <c r="M511" s="10" t="b">
        <f aca="false">TRUE()</f>
        <v>1</v>
      </c>
      <c r="N511" s="9" t="n">
        <f aca="false">IF(H511="","",IF(H511&gt;=Assumptions!$B$5,1,IF(H511&gt;=Assumptions!$B$6,2,IF(H511&gt;=Assumptions!$B$7,3,""))))</f>
        <v>2</v>
      </c>
      <c r="O511" s="9" t="n">
        <f aca="false">IF(N511=1,Assumptions!$B$8,IF(N511=2,Assumptions!$B$9,IF(N511=3,Assumptions!$B$10,0)))</f>
        <v>2</v>
      </c>
      <c r="P511" s="6" t="s">
        <v>30</v>
      </c>
      <c r="Q511" s="6" t="s">
        <v>30</v>
      </c>
      <c r="R511" s="11" t="s">
        <v>30</v>
      </c>
      <c r="S511" s="6" t="s">
        <v>30</v>
      </c>
      <c r="T511" s="11" t="s">
        <v>30</v>
      </c>
      <c r="U511" s="6" t="s">
        <v>30</v>
      </c>
      <c r="V511" s="6" t="s">
        <v>30</v>
      </c>
      <c r="W511" s="6" t="s">
        <v>30</v>
      </c>
      <c r="X511" s="2" t="s">
        <v>30</v>
      </c>
      <c r="Y511" s="6" t="str">
        <f aca="false">IF(AND(X511="processed",ISNUMBER(S511)),S511*O511,"")</f>
        <v/>
      </c>
      <c r="Z511" s="6" t="n">
        <f aca="false">IF(ISNUMBER(K511),K511*O511,0)</f>
        <v>126</v>
      </c>
      <c r="AA511" s="2" t="s">
        <v>31</v>
      </c>
      <c r="AB511" s="6" t="n">
        <v>3752</v>
      </c>
      <c r="AC511" s="6" t="n">
        <v>3126</v>
      </c>
      <c r="AD511" s="6" t="n">
        <v>2701</v>
      </c>
      <c r="AE511" s="6" t="n">
        <v>1563.20288085938</v>
      </c>
      <c r="AF511" s="8" t="n">
        <v>677.521008403</v>
      </c>
      <c r="AG511" s="11" t="n">
        <v>-0.06050420168</v>
      </c>
      <c r="AH511" s="12" t="n">
        <v>1</v>
      </c>
      <c r="AI511" s="2" t="s">
        <v>317</v>
      </c>
      <c r="AJ511" s="2" t="s">
        <v>1282</v>
      </c>
      <c r="AK511" s="2" t="s">
        <v>197</v>
      </c>
    </row>
    <row r="512" customFormat="false" ht="15" hidden="false" customHeight="false" outlineLevel="0" collapsed="false">
      <c r="A512" s="9" t="n">
        <v>509</v>
      </c>
      <c r="B512" s="2" t="s">
        <v>1284</v>
      </c>
      <c r="C512" s="2" t="s">
        <v>1237</v>
      </c>
      <c r="D512" s="2" t="s">
        <v>70</v>
      </c>
      <c r="E512" s="2" t="s">
        <v>71</v>
      </c>
      <c r="F512" s="2"/>
      <c r="G512" s="2" t="s">
        <v>329</v>
      </c>
      <c r="H512" s="8" t="n">
        <v>527.138973257452</v>
      </c>
      <c r="I512" s="2" t="s">
        <v>316</v>
      </c>
      <c r="J512" s="8" t="n">
        <v>908870.967741936</v>
      </c>
      <c r="K512" s="6" t="n">
        <v>124</v>
      </c>
      <c r="L512" s="2"/>
      <c r="M512" s="10" t="b">
        <f aca="false">TRUE()</f>
        <v>1</v>
      </c>
      <c r="N512" s="9" t="n">
        <f aca="false">IF(H512="","",IF(H512&gt;=Assumptions!$B$5,1,IF(H512&gt;=Assumptions!$B$6,2,IF(H512&gt;=Assumptions!$B$7,3,""))))</f>
        <v>3</v>
      </c>
      <c r="O512" s="9" t="n">
        <f aca="false">IF(N512=1,Assumptions!$B$8,IF(N512=2,Assumptions!$B$9,IF(N512=3,Assumptions!$B$10,0)))</f>
        <v>1</v>
      </c>
      <c r="P512" s="6" t="s">
        <v>30</v>
      </c>
      <c r="Q512" s="6" t="s">
        <v>30</v>
      </c>
      <c r="R512" s="11" t="s">
        <v>30</v>
      </c>
      <c r="S512" s="6" t="s">
        <v>30</v>
      </c>
      <c r="T512" s="11" t="s">
        <v>30</v>
      </c>
      <c r="U512" s="6" t="s">
        <v>30</v>
      </c>
      <c r="V512" s="6" t="s">
        <v>30</v>
      </c>
      <c r="W512" s="6" t="s">
        <v>30</v>
      </c>
      <c r="X512" s="2" t="s">
        <v>30</v>
      </c>
      <c r="Y512" s="6" t="str">
        <f aca="false">IF(AND(X512="processed",ISNUMBER(S512)),S512*O512,"")</f>
        <v/>
      </c>
      <c r="Z512" s="6" t="n">
        <f aca="false">IF(ISNUMBER(K512),K512*O512,0)</f>
        <v>124</v>
      </c>
      <c r="AA512" s="2" t="s">
        <v>31</v>
      </c>
      <c r="AB512" s="6" t="n">
        <v>9126</v>
      </c>
      <c r="AC512" s="6" t="n">
        <v>7810</v>
      </c>
      <c r="AD512" s="6" t="n">
        <v>258</v>
      </c>
      <c r="AE512" s="6" t="n">
        <v>2537.92333984375</v>
      </c>
      <c r="AF512" s="8" t="n">
        <v>520.047285693</v>
      </c>
      <c r="AG512" s="11" t="n">
        <v>0.009392224555</v>
      </c>
      <c r="AH512" s="12" t="n">
        <v>0.999999999999998</v>
      </c>
      <c r="AI512" s="2" t="s">
        <v>317</v>
      </c>
      <c r="AJ512" s="2" t="s">
        <v>1237</v>
      </c>
      <c r="AK512" s="2" t="s">
        <v>1237</v>
      </c>
    </row>
    <row r="513" customFormat="false" ht="15" hidden="false" customHeight="false" outlineLevel="0" collapsed="false">
      <c r="A513" s="9" t="n">
        <v>510</v>
      </c>
      <c r="B513" s="2" t="s">
        <v>1285</v>
      </c>
      <c r="C513" s="2" t="s">
        <v>27</v>
      </c>
      <c r="D513" s="2" t="s">
        <v>27</v>
      </c>
      <c r="E513" s="2" t="s">
        <v>28</v>
      </c>
      <c r="F513" s="2"/>
      <c r="G513" s="2" t="s">
        <v>315</v>
      </c>
      <c r="H513" s="8" t="n">
        <v>637.47559010129</v>
      </c>
      <c r="I513" s="2" t="s">
        <v>316</v>
      </c>
      <c r="J513" s="8" t="n">
        <v>962274.193548387</v>
      </c>
      <c r="K513" s="6" t="n">
        <v>62</v>
      </c>
      <c r="L513" s="2"/>
      <c r="M513" s="10" t="b">
        <f aca="false">TRUE()</f>
        <v>1</v>
      </c>
      <c r="N513" s="9" t="n">
        <f aca="false">IF(H513="","",IF(H513&gt;=Assumptions!$B$5,1,IF(H513&gt;=Assumptions!$B$6,2,IF(H513&gt;=Assumptions!$B$7,3,""))))</f>
        <v>2</v>
      </c>
      <c r="O513" s="9" t="n">
        <f aca="false">IF(N513=1,Assumptions!$B$8,IF(N513=2,Assumptions!$B$9,IF(N513=3,Assumptions!$B$10,0)))</f>
        <v>2</v>
      </c>
      <c r="P513" s="6" t="s">
        <v>30</v>
      </c>
      <c r="Q513" s="6" t="s">
        <v>30</v>
      </c>
      <c r="R513" s="11" t="s">
        <v>30</v>
      </c>
      <c r="S513" s="6" t="s">
        <v>30</v>
      </c>
      <c r="T513" s="11" t="s">
        <v>30</v>
      </c>
      <c r="U513" s="6" t="s">
        <v>30</v>
      </c>
      <c r="V513" s="6" t="s">
        <v>30</v>
      </c>
      <c r="W513" s="6" t="s">
        <v>30</v>
      </c>
      <c r="X513" s="2" t="s">
        <v>30</v>
      </c>
      <c r="Y513" s="6" t="str">
        <f aca="false">IF(AND(X513="processed",ISNUMBER(S513)),S513*O513,"")</f>
        <v/>
      </c>
      <c r="Z513" s="6" t="n">
        <f aca="false">IF(ISNUMBER(K513),K513*O513,0)</f>
        <v>124</v>
      </c>
      <c r="AA513" s="2" t="s">
        <v>31</v>
      </c>
      <c r="AB513" s="6" t="n">
        <v>4956</v>
      </c>
      <c r="AC513" s="6" t="n">
        <v>3897</v>
      </c>
      <c r="AD513" s="6" t="n">
        <v>256</v>
      </c>
      <c r="AE513" s="6" t="n">
        <v>2229.6513671875</v>
      </c>
      <c r="AF513" s="8" t="n">
        <v>597.701149425</v>
      </c>
      <c r="AG513" s="11" t="n">
        <v>-0.2022568837</v>
      </c>
      <c r="AH513" s="12" t="n">
        <v>0.999999999999998</v>
      </c>
      <c r="AI513" s="2" t="s">
        <v>321</v>
      </c>
      <c r="AJ513" s="2" t="s">
        <v>27</v>
      </c>
      <c r="AK513" s="2" t="s">
        <v>27</v>
      </c>
    </row>
    <row r="514" customFormat="false" ht="15" hidden="false" customHeight="false" outlineLevel="0" collapsed="false">
      <c r="A514" s="9" t="n">
        <v>511</v>
      </c>
      <c r="B514" s="2" t="s">
        <v>1286</v>
      </c>
      <c r="C514" s="2" t="s">
        <v>169</v>
      </c>
      <c r="D514" s="2" t="s">
        <v>62</v>
      </c>
      <c r="E514" s="2" t="s">
        <v>40</v>
      </c>
      <c r="F514" s="2"/>
      <c r="G514" s="2" t="s">
        <v>324</v>
      </c>
      <c r="H514" s="8" t="n">
        <v>1333.781625239</v>
      </c>
      <c r="I514" s="2" t="s">
        <v>316</v>
      </c>
      <c r="J514" s="8" t="n">
        <v>2594756.09756098</v>
      </c>
      <c r="K514" s="6" t="n">
        <v>41</v>
      </c>
      <c r="L514" s="2"/>
      <c r="M514" s="10" t="b">
        <f aca="false">TRUE()</f>
        <v>1</v>
      </c>
      <c r="N514" s="9" t="n">
        <f aca="false">IF(H514="","",IF(H514&gt;=Assumptions!$B$5,1,IF(H514&gt;=Assumptions!$B$6,2,IF(H514&gt;=Assumptions!$B$7,3,""))))</f>
        <v>1</v>
      </c>
      <c r="O514" s="9" t="n">
        <f aca="false">IF(N514=1,Assumptions!$B$8,IF(N514=2,Assumptions!$B$9,IF(N514=3,Assumptions!$B$10,0)))</f>
        <v>3</v>
      </c>
      <c r="P514" s="6" t="s">
        <v>30</v>
      </c>
      <c r="Q514" s="6" t="s">
        <v>30</v>
      </c>
      <c r="R514" s="11" t="s">
        <v>30</v>
      </c>
      <c r="S514" s="6" t="s">
        <v>30</v>
      </c>
      <c r="T514" s="11" t="s">
        <v>30</v>
      </c>
      <c r="U514" s="6" t="s">
        <v>30</v>
      </c>
      <c r="V514" s="6" t="s">
        <v>30</v>
      </c>
      <c r="W514" s="6" t="s">
        <v>30</v>
      </c>
      <c r="X514" s="2" t="s">
        <v>30</v>
      </c>
      <c r="Y514" s="6" t="str">
        <f aca="false">IF(AND(X514="processed",ISNUMBER(S514)),S514*O514,"")</f>
        <v/>
      </c>
      <c r="Z514" s="6" t="n">
        <f aca="false">IF(ISNUMBER(K514),K514*O514,0)</f>
        <v>123</v>
      </c>
      <c r="AA514" s="2" t="s">
        <v>31</v>
      </c>
      <c r="AB514" s="6" t="n">
        <v>3157</v>
      </c>
      <c r="AC514" s="6" t="n">
        <v>2745</v>
      </c>
      <c r="AD514" s="6" t="n">
        <v>17</v>
      </c>
      <c r="AE514" s="6" t="n">
        <v>2188.94995117188</v>
      </c>
      <c r="AF514" s="8" t="n">
        <v>1405.511811024</v>
      </c>
      <c r="AG514" s="11" t="n">
        <v>0.1929710006</v>
      </c>
      <c r="AH514" s="12" t="n">
        <v>0.838261391231727</v>
      </c>
      <c r="AI514" s="2" t="s">
        <v>317</v>
      </c>
      <c r="AJ514" s="2" t="s">
        <v>169</v>
      </c>
      <c r="AK514" s="2" t="s">
        <v>169</v>
      </c>
    </row>
    <row r="515" customFormat="false" ht="15" hidden="false" customHeight="false" outlineLevel="0" collapsed="false">
      <c r="A515" s="9" t="n">
        <v>512</v>
      </c>
      <c r="B515" s="2" t="s">
        <v>1287</v>
      </c>
      <c r="C515" s="2" t="s">
        <v>1288</v>
      </c>
      <c r="D515" s="2" t="s">
        <v>540</v>
      </c>
      <c r="E515" s="2" t="s">
        <v>51</v>
      </c>
      <c r="F515" s="2"/>
      <c r="G515" s="2" t="s">
        <v>541</v>
      </c>
      <c r="H515" s="8" t="n">
        <v>707.375849089024</v>
      </c>
      <c r="I515" s="2" t="s">
        <v>316</v>
      </c>
      <c r="J515" s="8" t="n">
        <v>1440548.78048781</v>
      </c>
      <c r="K515" s="6" t="n">
        <v>41</v>
      </c>
      <c r="L515" s="2"/>
      <c r="M515" s="10" t="b">
        <f aca="false">TRUE()</f>
        <v>1</v>
      </c>
      <c r="N515" s="9" t="n">
        <f aca="false">IF(H515="","",IF(H515&gt;=Assumptions!$B$5,1,IF(H515&gt;=Assumptions!$B$6,2,IF(H515&gt;=Assumptions!$B$7,3,""))))</f>
        <v>1</v>
      </c>
      <c r="O515" s="9" t="n">
        <f aca="false">IF(N515=1,Assumptions!$B$8,IF(N515=2,Assumptions!$B$9,IF(N515=3,Assumptions!$B$10,0)))</f>
        <v>3</v>
      </c>
      <c r="P515" s="6" t="s">
        <v>30</v>
      </c>
      <c r="Q515" s="6" t="s">
        <v>30</v>
      </c>
      <c r="R515" s="11" t="s">
        <v>30</v>
      </c>
      <c r="S515" s="6" t="s">
        <v>30</v>
      </c>
      <c r="T515" s="11" t="s">
        <v>30</v>
      </c>
      <c r="U515" s="6" t="s">
        <v>30</v>
      </c>
      <c r="V515" s="6" t="s">
        <v>30</v>
      </c>
      <c r="W515" s="6" t="s">
        <v>30</v>
      </c>
      <c r="X515" s="2" t="s">
        <v>30</v>
      </c>
      <c r="Y515" s="6" t="str">
        <f aca="false">IF(AND(X515="processed",ISNUMBER(S515)),S515*O515,"")</f>
        <v/>
      </c>
      <c r="Z515" s="6" t="n">
        <f aca="false">IF(ISNUMBER(K515),K515*O515,0)</f>
        <v>123</v>
      </c>
      <c r="AA515" s="2" t="s">
        <v>31</v>
      </c>
      <c r="AB515" s="6" t="n">
        <v>5864</v>
      </c>
      <c r="AC515" s="6" t="n">
        <v>4573</v>
      </c>
      <c r="AD515" s="6" t="n">
        <v>436</v>
      </c>
      <c r="AE515" s="6" t="n">
        <v>1738.6328125</v>
      </c>
      <c r="AF515" s="8" t="n">
        <v>739.259209357</v>
      </c>
      <c r="AG515" s="11" t="n">
        <v>0.07709352125</v>
      </c>
      <c r="AH515" s="12" t="n">
        <v>0.53379234669538</v>
      </c>
      <c r="AI515" s="2" t="s">
        <v>317</v>
      </c>
      <c r="AJ515" s="2" t="s">
        <v>1288</v>
      </c>
      <c r="AK515" s="2" t="s">
        <v>1288</v>
      </c>
    </row>
    <row r="516" customFormat="false" ht="15" hidden="false" customHeight="false" outlineLevel="0" collapsed="false">
      <c r="A516" s="9" t="n">
        <v>513</v>
      </c>
      <c r="B516" s="2" t="s">
        <v>1289</v>
      </c>
      <c r="C516" s="2" t="s">
        <v>1290</v>
      </c>
      <c r="D516" s="2" t="s">
        <v>423</v>
      </c>
      <c r="E516" s="2" t="s">
        <v>51</v>
      </c>
      <c r="F516" s="2" t="s">
        <v>1291</v>
      </c>
      <c r="G516" s="2" t="s">
        <v>425</v>
      </c>
      <c r="H516" s="8" t="n">
        <v>693.660313705574</v>
      </c>
      <c r="I516" s="2" t="s">
        <v>316</v>
      </c>
      <c r="J516" s="8" t="n">
        <v>1737704.91803279</v>
      </c>
      <c r="K516" s="6" t="n">
        <v>61</v>
      </c>
      <c r="L516" s="2"/>
      <c r="M516" s="10" t="b">
        <f aca="false">TRUE()</f>
        <v>1</v>
      </c>
      <c r="N516" s="9" t="n">
        <f aca="false">IF(H516="","",IF(H516&gt;=Assumptions!$B$5,1,IF(H516&gt;=Assumptions!$B$6,2,IF(H516&gt;=Assumptions!$B$7,3,""))))</f>
        <v>2</v>
      </c>
      <c r="O516" s="9" t="n">
        <f aca="false">IF(N516=1,Assumptions!$B$8,IF(N516=2,Assumptions!$B$9,IF(N516=3,Assumptions!$B$10,0)))</f>
        <v>2</v>
      </c>
      <c r="P516" s="6" t="s">
        <v>30</v>
      </c>
      <c r="Q516" s="6" t="s">
        <v>30</v>
      </c>
      <c r="R516" s="11" t="s">
        <v>30</v>
      </c>
      <c r="S516" s="6" t="s">
        <v>30</v>
      </c>
      <c r="T516" s="11" t="s">
        <v>30</v>
      </c>
      <c r="U516" s="6" t="s">
        <v>30</v>
      </c>
      <c r="V516" s="6" t="s">
        <v>30</v>
      </c>
      <c r="W516" s="6" t="s">
        <v>30</v>
      </c>
      <c r="X516" s="2" t="s">
        <v>30</v>
      </c>
      <c r="Y516" s="6" t="str">
        <f aca="false">IF(AND(X516="processed",ISNUMBER(S516)),S516*O516,"")</f>
        <v/>
      </c>
      <c r="Z516" s="6" t="n">
        <f aca="false">IF(ISNUMBER(K516),K516*O516,0)</f>
        <v>122</v>
      </c>
      <c r="AA516" s="2" t="s">
        <v>31</v>
      </c>
      <c r="AB516" s="6" t="n">
        <v>5152</v>
      </c>
      <c r="AC516" s="6" t="n">
        <v>4178</v>
      </c>
      <c r="AD516" s="6" t="n">
        <v>2813</v>
      </c>
      <c r="AE516" s="6" t="n">
        <v>2618.412109375</v>
      </c>
      <c r="AF516" s="8" t="n">
        <v>680</v>
      </c>
      <c r="AG516" s="11" t="n">
        <v>-0.09318273621</v>
      </c>
      <c r="AH516" s="12" t="n">
        <v>0.999999999999997</v>
      </c>
      <c r="AI516" s="2" t="s">
        <v>332</v>
      </c>
      <c r="AJ516" s="2" t="s">
        <v>1292</v>
      </c>
      <c r="AK516" s="2" t="s">
        <v>1290</v>
      </c>
    </row>
    <row r="517" customFormat="false" ht="15" hidden="false" customHeight="false" outlineLevel="0" collapsed="false">
      <c r="A517" s="9" t="n">
        <v>514</v>
      </c>
      <c r="B517" s="2" t="s">
        <v>1293</v>
      </c>
      <c r="C517" s="2" t="s">
        <v>798</v>
      </c>
      <c r="D517" s="2" t="s">
        <v>70</v>
      </c>
      <c r="E517" s="2" t="s">
        <v>71</v>
      </c>
      <c r="F517" s="2" t="s">
        <v>1294</v>
      </c>
      <c r="G517" s="2" t="s">
        <v>329</v>
      </c>
      <c r="H517" s="8" t="n">
        <v>576.8271727055</v>
      </c>
      <c r="I517" s="2" t="s">
        <v>316</v>
      </c>
      <c r="J517" s="8" t="n">
        <v>872062.5</v>
      </c>
      <c r="K517" s="6" t="n">
        <v>120</v>
      </c>
      <c r="L517" s="2"/>
      <c r="M517" s="10" t="b">
        <f aca="false">TRUE()</f>
        <v>1</v>
      </c>
      <c r="N517" s="9" t="n">
        <f aca="false">IF(H517="","",IF(H517&gt;=Assumptions!$B$5,1,IF(H517&gt;=Assumptions!$B$6,2,IF(H517&gt;=Assumptions!$B$7,3,""))))</f>
        <v>3</v>
      </c>
      <c r="O517" s="9" t="n">
        <f aca="false">IF(N517=1,Assumptions!$B$8,IF(N517=2,Assumptions!$B$9,IF(N517=3,Assumptions!$B$10,0)))</f>
        <v>1</v>
      </c>
      <c r="P517" s="6" t="s">
        <v>30</v>
      </c>
      <c r="Q517" s="6" t="s">
        <v>30</v>
      </c>
      <c r="R517" s="11" t="s">
        <v>30</v>
      </c>
      <c r="S517" s="6" t="s">
        <v>30</v>
      </c>
      <c r="T517" s="11" t="s">
        <v>30</v>
      </c>
      <c r="U517" s="6" t="s">
        <v>30</v>
      </c>
      <c r="V517" s="6" t="s">
        <v>30</v>
      </c>
      <c r="W517" s="6" t="s">
        <v>30</v>
      </c>
      <c r="X517" s="2" t="s">
        <v>30</v>
      </c>
      <c r="Y517" s="6" t="str">
        <f aca="false">IF(AND(X517="processed",ISNUMBER(S517)),S517*O517,"")</f>
        <v/>
      </c>
      <c r="Z517" s="6" t="n">
        <f aca="false">IF(ISNUMBER(K517),K517*O517,0)</f>
        <v>120</v>
      </c>
      <c r="AA517" s="2" t="s">
        <v>31</v>
      </c>
      <c r="AB517" s="6" t="n">
        <v>16343</v>
      </c>
      <c r="AC517" s="6" t="n">
        <v>10401</v>
      </c>
      <c r="AD517" s="6" t="n">
        <v>413</v>
      </c>
      <c r="AE517" s="6" t="n">
        <v>2016.5263671875</v>
      </c>
      <c r="AF517" s="8" t="n">
        <v>559.090909091</v>
      </c>
      <c r="AG517" s="11" t="n">
        <v>-0.0918462802</v>
      </c>
      <c r="AH517" s="12" t="n">
        <v>1</v>
      </c>
      <c r="AI517" s="2" t="s">
        <v>317</v>
      </c>
      <c r="AJ517" s="2" t="s">
        <v>798</v>
      </c>
      <c r="AK517" s="2" t="s">
        <v>70</v>
      </c>
    </row>
    <row r="518" customFormat="false" ht="15" hidden="false" customHeight="false" outlineLevel="0" collapsed="false">
      <c r="A518" s="9" t="n">
        <v>515</v>
      </c>
      <c r="B518" s="2" t="s">
        <v>1295</v>
      </c>
      <c r="C518" s="2" t="s">
        <v>395</v>
      </c>
      <c r="D518" s="2" t="s">
        <v>273</v>
      </c>
      <c r="E518" s="2" t="s">
        <v>273</v>
      </c>
      <c r="F518" s="2"/>
      <c r="G518" s="2" t="s">
        <v>348</v>
      </c>
      <c r="H518" s="8" t="n">
        <v>500.804302461892</v>
      </c>
      <c r="I518" s="2" t="s">
        <v>316</v>
      </c>
      <c r="J518" s="8" t="n">
        <v>708307.866666667</v>
      </c>
      <c r="K518" s="6" t="n">
        <v>120</v>
      </c>
      <c r="L518" s="2"/>
      <c r="M518" s="10" t="b">
        <f aca="false">TRUE()</f>
        <v>1</v>
      </c>
      <c r="N518" s="9" t="n">
        <f aca="false">IF(H518="","",IF(H518&gt;=Assumptions!$B$5,1,IF(H518&gt;=Assumptions!$B$6,2,IF(H518&gt;=Assumptions!$B$7,3,""))))</f>
        <v>3</v>
      </c>
      <c r="O518" s="9" t="n">
        <f aca="false">IF(N518=1,Assumptions!$B$8,IF(N518=2,Assumptions!$B$9,IF(N518=3,Assumptions!$B$10,0)))</f>
        <v>1</v>
      </c>
      <c r="P518" s="6" t="s">
        <v>30</v>
      </c>
      <c r="Q518" s="6" t="s">
        <v>30</v>
      </c>
      <c r="R518" s="11" t="s">
        <v>30</v>
      </c>
      <c r="S518" s="6" t="s">
        <v>30</v>
      </c>
      <c r="T518" s="11" t="s">
        <v>30</v>
      </c>
      <c r="U518" s="6" t="s">
        <v>30</v>
      </c>
      <c r="V518" s="6" t="s">
        <v>30</v>
      </c>
      <c r="W518" s="6" t="s">
        <v>30</v>
      </c>
      <c r="X518" s="2" t="s">
        <v>30</v>
      </c>
      <c r="Y518" s="6" t="str">
        <f aca="false">IF(AND(X518="processed",ISNUMBER(S518)),S518*O518,"")</f>
        <v/>
      </c>
      <c r="Z518" s="6" t="n">
        <f aca="false">IF(ISNUMBER(K518),K518*O518,0)</f>
        <v>120</v>
      </c>
      <c r="AA518" s="2" t="s">
        <v>31</v>
      </c>
      <c r="AB518" s="6" t="n">
        <v>16404</v>
      </c>
      <c r="AC518" s="6" t="n">
        <v>14298</v>
      </c>
      <c r="AD518" s="6" t="n">
        <v>15824</v>
      </c>
      <c r="AE518" s="6" t="n">
        <v>2169.04296875</v>
      </c>
      <c r="AF518" s="8" t="n">
        <v>478.998196739</v>
      </c>
      <c r="AG518" s="11" t="n">
        <v>-0.06877517015</v>
      </c>
      <c r="AH518" s="12" t="n">
        <v>0.993955459153507</v>
      </c>
      <c r="AI518" s="2" t="s">
        <v>317</v>
      </c>
      <c r="AJ518" s="2" t="s">
        <v>395</v>
      </c>
      <c r="AK518" s="2" t="s">
        <v>395</v>
      </c>
    </row>
    <row r="519" customFormat="false" ht="15" hidden="false" customHeight="false" outlineLevel="0" collapsed="false">
      <c r="A519" s="9" t="n">
        <v>516</v>
      </c>
      <c r="B519" s="2" t="s">
        <v>1296</v>
      </c>
      <c r="C519" s="2" t="s">
        <v>676</v>
      </c>
      <c r="D519" s="2" t="s">
        <v>39</v>
      </c>
      <c r="E519" s="2" t="s">
        <v>40</v>
      </c>
      <c r="F519" s="2"/>
      <c r="G519" s="2" t="s">
        <v>320</v>
      </c>
      <c r="H519" s="8" t="n">
        <v>1533.63485936605</v>
      </c>
      <c r="I519" s="2" t="s">
        <v>316</v>
      </c>
      <c r="J519" s="8" t="n">
        <v>2389875</v>
      </c>
      <c r="K519" s="6" t="n">
        <v>40</v>
      </c>
      <c r="L519" s="2"/>
      <c r="M519" s="10" t="b">
        <f aca="false">TRUE()</f>
        <v>1</v>
      </c>
      <c r="N519" s="9" t="n">
        <f aca="false">IF(H519="","",IF(H519&gt;=Assumptions!$B$5,1,IF(H519&gt;=Assumptions!$B$6,2,IF(H519&gt;=Assumptions!$B$7,3,""))))</f>
        <v>1</v>
      </c>
      <c r="O519" s="9" t="n">
        <f aca="false">IF(N519=1,Assumptions!$B$8,IF(N519=2,Assumptions!$B$9,IF(N519=3,Assumptions!$B$10,0)))</f>
        <v>3</v>
      </c>
      <c r="P519" s="6" t="s">
        <v>30</v>
      </c>
      <c r="Q519" s="6" t="s">
        <v>30</v>
      </c>
      <c r="R519" s="11" t="s">
        <v>30</v>
      </c>
      <c r="S519" s="6" t="s">
        <v>30</v>
      </c>
      <c r="T519" s="11" t="s">
        <v>30</v>
      </c>
      <c r="U519" s="6" t="s">
        <v>30</v>
      </c>
      <c r="V519" s="6" t="s">
        <v>30</v>
      </c>
      <c r="W519" s="6" t="s">
        <v>30</v>
      </c>
      <c r="X519" s="2" t="s">
        <v>30</v>
      </c>
      <c r="Y519" s="6" t="str">
        <f aca="false">IF(AND(X519="processed",ISNUMBER(S519)),S519*O519,"")</f>
        <v/>
      </c>
      <c r="Z519" s="6" t="n">
        <f aca="false">IF(ISNUMBER(K519),K519*O519,0)</f>
        <v>120</v>
      </c>
      <c r="AA519" s="2" t="s">
        <v>31</v>
      </c>
      <c r="AB519" s="6" t="n">
        <v>4473</v>
      </c>
      <c r="AC519" s="6" t="n">
        <v>3583</v>
      </c>
      <c r="AD519" s="6" t="n">
        <v>115</v>
      </c>
      <c r="AE519" s="6" t="n">
        <v>1800.76574707031</v>
      </c>
      <c r="AF519" s="8" t="n">
        <v>1467.03601108</v>
      </c>
      <c r="AG519" s="11" t="n">
        <v>0.0007769699238</v>
      </c>
      <c r="AH519" s="12" t="n">
        <v>1</v>
      </c>
      <c r="AI519" s="2" t="s">
        <v>317</v>
      </c>
      <c r="AJ519" s="2" t="s">
        <v>676</v>
      </c>
      <c r="AK519" s="2" t="s">
        <v>676</v>
      </c>
    </row>
    <row r="520" customFormat="false" ht="15" hidden="false" customHeight="false" outlineLevel="0" collapsed="false">
      <c r="A520" s="9" t="n">
        <v>517</v>
      </c>
      <c r="B520" s="2" t="s">
        <v>1297</v>
      </c>
      <c r="C520" s="2" t="s">
        <v>197</v>
      </c>
      <c r="D520" s="2" t="s">
        <v>197</v>
      </c>
      <c r="E520" s="2" t="s">
        <v>51</v>
      </c>
      <c r="F520" s="2"/>
      <c r="G520" s="2" t="s">
        <v>338</v>
      </c>
      <c r="H520" s="8" t="n">
        <v>776.353698250725</v>
      </c>
      <c r="I520" s="2" t="s">
        <v>316</v>
      </c>
      <c r="J520" s="8" t="n">
        <v>1369500</v>
      </c>
      <c r="K520" s="6" t="n">
        <v>40</v>
      </c>
      <c r="L520" s="2"/>
      <c r="M520" s="10" t="b">
        <f aca="false">TRUE()</f>
        <v>1</v>
      </c>
      <c r="N520" s="9" t="n">
        <f aca="false">IF(H520="","",IF(H520&gt;=Assumptions!$B$5,1,IF(H520&gt;=Assumptions!$B$6,2,IF(H520&gt;=Assumptions!$B$7,3,""))))</f>
        <v>1</v>
      </c>
      <c r="O520" s="9" t="n">
        <f aca="false">IF(N520=1,Assumptions!$B$8,IF(N520=2,Assumptions!$B$9,IF(N520=3,Assumptions!$B$10,0)))</f>
        <v>3</v>
      </c>
      <c r="P520" s="6" t="s">
        <v>30</v>
      </c>
      <c r="Q520" s="6" t="s">
        <v>30</v>
      </c>
      <c r="R520" s="11" t="s">
        <v>30</v>
      </c>
      <c r="S520" s="6" t="s">
        <v>30</v>
      </c>
      <c r="T520" s="11" t="s">
        <v>30</v>
      </c>
      <c r="U520" s="6" t="s">
        <v>30</v>
      </c>
      <c r="V520" s="6" t="s">
        <v>30</v>
      </c>
      <c r="W520" s="6" t="s">
        <v>30</v>
      </c>
      <c r="X520" s="2" t="s">
        <v>30</v>
      </c>
      <c r="Y520" s="6" t="str">
        <f aca="false">IF(AND(X520="processed",ISNUMBER(S520)),S520*O520,"")</f>
        <v/>
      </c>
      <c r="Z520" s="6" t="n">
        <f aca="false">IF(ISNUMBER(K520),K520*O520,0)</f>
        <v>120</v>
      </c>
      <c r="AA520" s="2" t="s">
        <v>31</v>
      </c>
      <c r="AB520" s="6" t="n">
        <v>3490</v>
      </c>
      <c r="AC520" s="6" t="n">
        <v>3012</v>
      </c>
      <c r="AD520" s="6" t="n">
        <v>1829</v>
      </c>
      <c r="AE520" s="6" t="n">
        <v>2163.23779296875</v>
      </c>
      <c r="AF520" s="8" t="n">
        <v>938.628158845</v>
      </c>
      <c r="AG520" s="11" t="n">
        <v>0.5545869174</v>
      </c>
      <c r="AH520" s="12" t="n">
        <v>1</v>
      </c>
      <c r="AI520" s="2" t="s">
        <v>317</v>
      </c>
      <c r="AJ520" s="2" t="s">
        <v>197</v>
      </c>
      <c r="AK520" s="2" t="s">
        <v>197</v>
      </c>
    </row>
    <row r="521" customFormat="false" ht="15" hidden="false" customHeight="false" outlineLevel="0" collapsed="false">
      <c r="A521" s="9" t="n">
        <v>518</v>
      </c>
      <c r="B521" s="2" t="s">
        <v>1298</v>
      </c>
      <c r="C521" s="2" t="s">
        <v>70</v>
      </c>
      <c r="D521" s="2" t="s">
        <v>70</v>
      </c>
      <c r="E521" s="2" t="s">
        <v>71</v>
      </c>
      <c r="F521" s="2" t="s">
        <v>1299</v>
      </c>
      <c r="G521" s="2" t="s">
        <v>329</v>
      </c>
      <c r="H521" s="8" t="n">
        <v>615.587942840237</v>
      </c>
      <c r="I521" s="2" t="s">
        <v>316</v>
      </c>
      <c r="J521" s="8" t="n">
        <v>685677.966101695</v>
      </c>
      <c r="K521" s="6" t="n">
        <v>59</v>
      </c>
      <c r="L521" s="2"/>
      <c r="M521" s="10" t="b">
        <f aca="false">TRUE()</f>
        <v>1</v>
      </c>
      <c r="N521" s="9" t="n">
        <f aca="false">IF(H521="","",IF(H521&gt;=Assumptions!$B$5,1,IF(H521&gt;=Assumptions!$B$6,2,IF(H521&gt;=Assumptions!$B$7,3,""))))</f>
        <v>2</v>
      </c>
      <c r="O521" s="9" t="n">
        <f aca="false">IF(N521=1,Assumptions!$B$8,IF(N521=2,Assumptions!$B$9,IF(N521=3,Assumptions!$B$10,0)))</f>
        <v>2</v>
      </c>
      <c r="P521" s="6" t="s">
        <v>30</v>
      </c>
      <c r="Q521" s="6" t="s">
        <v>30</v>
      </c>
      <c r="R521" s="11" t="s">
        <v>30</v>
      </c>
      <c r="S521" s="6" t="s">
        <v>30</v>
      </c>
      <c r="T521" s="11" t="s">
        <v>30</v>
      </c>
      <c r="U521" s="6" t="s">
        <v>30</v>
      </c>
      <c r="V521" s="6" t="s">
        <v>30</v>
      </c>
      <c r="W521" s="6" t="s">
        <v>30</v>
      </c>
      <c r="X521" s="2" t="s">
        <v>30</v>
      </c>
      <c r="Y521" s="6" t="str">
        <f aca="false">IF(AND(X521="processed",ISNUMBER(S521)),S521*O521,"")</f>
        <v/>
      </c>
      <c r="Z521" s="6" t="n">
        <f aca="false">IF(ISNUMBER(K521),K521*O521,0)</f>
        <v>118</v>
      </c>
      <c r="AA521" s="2" t="s">
        <v>31</v>
      </c>
      <c r="AB521" s="6" t="n">
        <v>18666</v>
      </c>
      <c r="AC521" s="6" t="n">
        <v>14436</v>
      </c>
      <c r="AD521" s="6" t="n">
        <v>198</v>
      </c>
      <c r="AE521" s="6" t="n">
        <v>1395.8984375</v>
      </c>
      <c r="AF521" s="8" t="n">
        <v>651.989839119</v>
      </c>
      <c r="AG521" s="11" t="n">
        <v>-0.09322522384</v>
      </c>
      <c r="AH521" s="12" t="n">
        <v>0.999999999999999</v>
      </c>
      <c r="AI521" s="2" t="s">
        <v>317</v>
      </c>
      <c r="AJ521" s="2" t="s">
        <v>70</v>
      </c>
      <c r="AK521" s="2" t="s">
        <v>1300</v>
      </c>
    </row>
    <row r="522" customFormat="false" ht="15" hidden="false" customHeight="false" outlineLevel="0" collapsed="false">
      <c r="A522" s="9" t="n">
        <v>519</v>
      </c>
      <c r="B522" s="2" t="s">
        <v>1301</v>
      </c>
      <c r="C522" s="2" t="s">
        <v>1302</v>
      </c>
      <c r="D522" s="2" t="s">
        <v>273</v>
      </c>
      <c r="E522" s="2" t="s">
        <v>273</v>
      </c>
      <c r="F522" s="2"/>
      <c r="G522" s="2" t="s">
        <v>348</v>
      </c>
      <c r="H522" s="8" t="n">
        <v>691.073044762407</v>
      </c>
      <c r="I522" s="2" t="s">
        <v>316</v>
      </c>
      <c r="J522" s="8" t="n">
        <v>897966.101694915</v>
      </c>
      <c r="K522" s="6" t="n">
        <v>59</v>
      </c>
      <c r="L522" s="2"/>
      <c r="M522" s="10" t="b">
        <f aca="false">TRUE()</f>
        <v>1</v>
      </c>
      <c r="N522" s="9" t="n">
        <f aca="false">IF(H522="","",IF(H522&gt;=Assumptions!$B$5,1,IF(H522&gt;=Assumptions!$B$6,2,IF(H522&gt;=Assumptions!$B$7,3,""))))</f>
        <v>2</v>
      </c>
      <c r="O522" s="9" t="n">
        <f aca="false">IF(N522=1,Assumptions!$B$8,IF(N522=2,Assumptions!$B$9,IF(N522=3,Assumptions!$B$10,0)))</f>
        <v>2</v>
      </c>
      <c r="P522" s="6" t="s">
        <v>30</v>
      </c>
      <c r="Q522" s="6" t="s">
        <v>30</v>
      </c>
      <c r="R522" s="11" t="s">
        <v>30</v>
      </c>
      <c r="S522" s="6" t="s">
        <v>30</v>
      </c>
      <c r="T522" s="11" t="s">
        <v>30</v>
      </c>
      <c r="U522" s="6" t="s">
        <v>30</v>
      </c>
      <c r="V522" s="6" t="s">
        <v>30</v>
      </c>
      <c r="W522" s="6" t="s">
        <v>30</v>
      </c>
      <c r="X522" s="2" t="s">
        <v>30</v>
      </c>
      <c r="Y522" s="6" t="str">
        <f aca="false">IF(AND(X522="processed",ISNUMBER(S522)),S522*O522,"")</f>
        <v/>
      </c>
      <c r="Z522" s="6" t="n">
        <f aca="false">IF(ISNUMBER(K522),K522*O522,0)</f>
        <v>118</v>
      </c>
      <c r="AA522" s="2" t="s">
        <v>31</v>
      </c>
      <c r="AB522" s="6" t="n">
        <v>3195</v>
      </c>
      <c r="AC522" s="6" t="n">
        <v>2700</v>
      </c>
      <c r="AD522" s="6" t="n">
        <v>2142</v>
      </c>
      <c r="AE522" s="6" t="n">
        <v>2016.79711914063</v>
      </c>
      <c r="AF522" s="8" t="n">
        <v>707.92702678</v>
      </c>
      <c r="AG522" s="11" t="n">
        <v>0.17842622</v>
      </c>
      <c r="AH522" s="12" t="n">
        <v>1</v>
      </c>
      <c r="AI522" s="2" t="s">
        <v>317</v>
      </c>
      <c r="AJ522" s="2" t="s">
        <v>1302</v>
      </c>
      <c r="AK522" s="2" t="s">
        <v>1302</v>
      </c>
    </row>
    <row r="523" customFormat="false" ht="15" hidden="false" customHeight="false" outlineLevel="0" collapsed="false">
      <c r="A523" s="9" t="n">
        <v>520</v>
      </c>
      <c r="B523" s="2" t="s">
        <v>1303</v>
      </c>
      <c r="C523" s="2" t="s">
        <v>1045</v>
      </c>
      <c r="D523" s="2" t="s">
        <v>380</v>
      </c>
      <c r="E523" s="2" t="s">
        <v>51</v>
      </c>
      <c r="F523" s="2" t="s">
        <v>1304</v>
      </c>
      <c r="G523" s="2" t="s">
        <v>381</v>
      </c>
      <c r="H523" s="8" t="n">
        <v>505.91316829867</v>
      </c>
      <c r="I523" s="2" t="s">
        <v>316</v>
      </c>
      <c r="J523" s="8" t="n">
        <v>790550.847457627</v>
      </c>
      <c r="K523" s="6" t="n">
        <v>118</v>
      </c>
      <c r="L523" s="2"/>
      <c r="M523" s="10" t="b">
        <f aca="false">TRUE()</f>
        <v>1</v>
      </c>
      <c r="N523" s="9" t="n">
        <f aca="false">IF(H523="","",IF(H523&gt;=Assumptions!$B$5,1,IF(H523&gt;=Assumptions!$B$6,2,IF(H523&gt;=Assumptions!$B$7,3,""))))</f>
        <v>3</v>
      </c>
      <c r="O523" s="9" t="n">
        <f aca="false">IF(N523=1,Assumptions!$B$8,IF(N523=2,Assumptions!$B$9,IF(N523=3,Assumptions!$B$10,0)))</f>
        <v>1</v>
      </c>
      <c r="P523" s="6" t="s">
        <v>30</v>
      </c>
      <c r="Q523" s="6" t="s">
        <v>30</v>
      </c>
      <c r="R523" s="11" t="s">
        <v>30</v>
      </c>
      <c r="S523" s="6" t="s">
        <v>30</v>
      </c>
      <c r="T523" s="11" t="s">
        <v>30</v>
      </c>
      <c r="U523" s="6" t="s">
        <v>30</v>
      </c>
      <c r="V523" s="6" t="s">
        <v>30</v>
      </c>
      <c r="W523" s="6" t="s">
        <v>30</v>
      </c>
      <c r="X523" s="2" t="s">
        <v>30</v>
      </c>
      <c r="Y523" s="6" t="str">
        <f aca="false">IF(AND(X523="processed",ISNUMBER(S523)),S523*O523,"")</f>
        <v/>
      </c>
      <c r="Z523" s="6" t="n">
        <f aca="false">IF(ISNUMBER(K523),K523*O523,0)</f>
        <v>118</v>
      </c>
      <c r="AA523" s="2" t="s">
        <v>31</v>
      </c>
      <c r="AB523" s="6" t="n">
        <v>10963</v>
      </c>
      <c r="AC523" s="6" t="n">
        <v>8342</v>
      </c>
      <c r="AD523" s="6" t="n">
        <v>547</v>
      </c>
      <c r="AE523" s="6" t="n">
        <v>2339.9755859375</v>
      </c>
      <c r="AF523" s="8" t="n">
        <v>511.869436202</v>
      </c>
      <c r="AG523" s="11" t="n">
        <v>0.05577075202</v>
      </c>
      <c r="AH523" s="12" t="n">
        <v>1</v>
      </c>
      <c r="AI523" s="2" t="s">
        <v>317</v>
      </c>
      <c r="AJ523" s="2" t="s">
        <v>1045</v>
      </c>
      <c r="AK523" s="2" t="s">
        <v>1045</v>
      </c>
    </row>
    <row r="524" customFormat="false" ht="15" hidden="false" customHeight="false" outlineLevel="0" collapsed="false">
      <c r="A524" s="9" t="n">
        <v>521</v>
      </c>
      <c r="B524" s="2" t="s">
        <v>1305</v>
      </c>
      <c r="C524" s="2" t="s">
        <v>1217</v>
      </c>
      <c r="D524" s="2" t="s">
        <v>70</v>
      </c>
      <c r="E524" s="2" t="s">
        <v>71</v>
      </c>
      <c r="F524" s="2"/>
      <c r="G524" s="2" t="s">
        <v>329</v>
      </c>
      <c r="H524" s="8" t="n">
        <v>503.780354537325</v>
      </c>
      <c r="I524" s="2" t="s">
        <v>316</v>
      </c>
      <c r="J524" s="8" t="n">
        <v>874401.709401709</v>
      </c>
      <c r="K524" s="6" t="n">
        <v>117</v>
      </c>
      <c r="L524" s="2"/>
      <c r="M524" s="10" t="b">
        <f aca="false">TRUE()</f>
        <v>1</v>
      </c>
      <c r="N524" s="9" t="n">
        <f aca="false">IF(H524="","",IF(H524&gt;=Assumptions!$B$5,1,IF(H524&gt;=Assumptions!$B$6,2,IF(H524&gt;=Assumptions!$B$7,3,""))))</f>
        <v>3</v>
      </c>
      <c r="O524" s="9" t="n">
        <f aca="false">IF(N524=1,Assumptions!$B$8,IF(N524=2,Assumptions!$B$9,IF(N524=3,Assumptions!$B$10,0)))</f>
        <v>1</v>
      </c>
      <c r="P524" s="6" t="s">
        <v>30</v>
      </c>
      <c r="Q524" s="6" t="s">
        <v>30</v>
      </c>
      <c r="R524" s="11" t="s">
        <v>30</v>
      </c>
      <c r="S524" s="6" t="s">
        <v>30</v>
      </c>
      <c r="T524" s="11" t="s">
        <v>30</v>
      </c>
      <c r="U524" s="6" t="s">
        <v>30</v>
      </c>
      <c r="V524" s="6" t="s">
        <v>30</v>
      </c>
      <c r="W524" s="6" t="s">
        <v>30</v>
      </c>
      <c r="X524" s="2" t="s">
        <v>30</v>
      </c>
      <c r="Y524" s="6" t="str">
        <f aca="false">IF(AND(X524="processed",ISNUMBER(S524)),S524*O524,"")</f>
        <v/>
      </c>
      <c r="Z524" s="6" t="n">
        <f aca="false">IF(ISNUMBER(K524),K524*O524,0)</f>
        <v>117</v>
      </c>
      <c r="AA524" s="2" t="s">
        <v>31</v>
      </c>
      <c r="AB524" s="6" t="n">
        <v>9370</v>
      </c>
      <c r="AC524" s="6" t="n">
        <v>8111</v>
      </c>
      <c r="AD524" s="6" t="n">
        <v>131</v>
      </c>
      <c r="AE524" s="6" t="n">
        <v>2306.23071289063</v>
      </c>
      <c r="AF524" s="8" t="n">
        <v>513.405919152</v>
      </c>
      <c r="AG524" s="11" t="n">
        <v>0.04020503619</v>
      </c>
      <c r="AH524" s="12" t="n">
        <v>1</v>
      </c>
      <c r="AI524" s="2" t="s">
        <v>317</v>
      </c>
      <c r="AJ524" s="2" t="s">
        <v>1217</v>
      </c>
      <c r="AK524" s="2" t="s">
        <v>1217</v>
      </c>
    </row>
    <row r="525" customFormat="false" ht="15" hidden="false" customHeight="false" outlineLevel="0" collapsed="false">
      <c r="A525" s="9" t="n">
        <v>522</v>
      </c>
      <c r="B525" s="2" t="s">
        <v>1306</v>
      </c>
      <c r="C525" s="2" t="s">
        <v>1045</v>
      </c>
      <c r="D525" s="2" t="s">
        <v>380</v>
      </c>
      <c r="E525" s="2" t="s">
        <v>51</v>
      </c>
      <c r="F525" s="2"/>
      <c r="G525" s="2" t="s">
        <v>381</v>
      </c>
      <c r="H525" s="8" t="n">
        <v>523.357831691496</v>
      </c>
      <c r="I525" s="2" t="s">
        <v>316</v>
      </c>
      <c r="J525" s="8" t="n">
        <v>1176897.43589744</v>
      </c>
      <c r="K525" s="6" t="n">
        <v>117</v>
      </c>
      <c r="L525" s="2"/>
      <c r="M525" s="10" t="b">
        <f aca="false">TRUE()</f>
        <v>1</v>
      </c>
      <c r="N525" s="9" t="n">
        <f aca="false">IF(H525="","",IF(H525&gt;=Assumptions!$B$5,1,IF(H525&gt;=Assumptions!$B$6,2,IF(H525&gt;=Assumptions!$B$7,3,""))))</f>
        <v>3</v>
      </c>
      <c r="O525" s="9" t="n">
        <f aca="false">IF(N525=1,Assumptions!$B$8,IF(N525=2,Assumptions!$B$9,IF(N525=3,Assumptions!$B$10,0)))</f>
        <v>1</v>
      </c>
      <c r="P525" s="6" t="s">
        <v>30</v>
      </c>
      <c r="Q525" s="6" t="s">
        <v>30</v>
      </c>
      <c r="R525" s="11" t="s">
        <v>30</v>
      </c>
      <c r="S525" s="6" t="s">
        <v>30</v>
      </c>
      <c r="T525" s="11" t="s">
        <v>30</v>
      </c>
      <c r="U525" s="6" t="s">
        <v>30</v>
      </c>
      <c r="V525" s="6" t="s">
        <v>30</v>
      </c>
      <c r="W525" s="6" t="s">
        <v>30</v>
      </c>
      <c r="X525" s="2" t="s">
        <v>30</v>
      </c>
      <c r="Y525" s="6" t="str">
        <f aca="false">IF(AND(X525="processed",ISNUMBER(S525)),S525*O525,"")</f>
        <v/>
      </c>
      <c r="Z525" s="6" t="n">
        <f aca="false">IF(ISNUMBER(K525),K525*O525,0)</f>
        <v>117</v>
      </c>
      <c r="AA525" s="2" t="s">
        <v>31</v>
      </c>
      <c r="AB525" s="6" t="n">
        <v>9062</v>
      </c>
      <c r="AC525" s="6" t="n">
        <v>6975</v>
      </c>
      <c r="AD525" s="6" t="n">
        <v>2610</v>
      </c>
      <c r="AE525" s="6" t="n">
        <v>2525.09692382813</v>
      </c>
      <c r="AF525" s="8" t="n">
        <v>526.613816535</v>
      </c>
      <c r="AG525" s="11" t="n">
        <v>-0.02550783072</v>
      </c>
      <c r="AH525" s="12" t="n">
        <v>0.999477297069332</v>
      </c>
      <c r="AI525" s="2" t="s">
        <v>582</v>
      </c>
      <c r="AJ525" s="2" t="s">
        <v>1045</v>
      </c>
      <c r="AK525" s="2" t="s">
        <v>1045</v>
      </c>
    </row>
    <row r="526" customFormat="false" ht="15" hidden="false" customHeight="false" outlineLevel="0" collapsed="false">
      <c r="A526" s="9" t="n">
        <v>523</v>
      </c>
      <c r="B526" s="2" t="s">
        <v>1307</v>
      </c>
      <c r="C526" s="2" t="s">
        <v>1027</v>
      </c>
      <c r="D526" s="2" t="s">
        <v>70</v>
      </c>
      <c r="E526" s="2" t="s">
        <v>71</v>
      </c>
      <c r="F526" s="2"/>
      <c r="G526" s="2" t="s">
        <v>329</v>
      </c>
      <c r="H526" s="8" t="n">
        <v>581.201037189164</v>
      </c>
      <c r="I526" s="2" t="s">
        <v>316</v>
      </c>
      <c r="J526" s="8" t="n">
        <v>839646.551724138</v>
      </c>
      <c r="K526" s="6" t="n">
        <v>116</v>
      </c>
      <c r="L526" s="2"/>
      <c r="M526" s="10" t="b">
        <f aca="false">TRUE()</f>
        <v>1</v>
      </c>
      <c r="N526" s="9" t="n">
        <f aca="false">IF(H526="","",IF(H526&gt;=Assumptions!$B$5,1,IF(H526&gt;=Assumptions!$B$6,2,IF(H526&gt;=Assumptions!$B$7,3,""))))</f>
        <v>3</v>
      </c>
      <c r="O526" s="9" t="n">
        <f aca="false">IF(N526=1,Assumptions!$B$8,IF(N526=2,Assumptions!$B$9,IF(N526=3,Assumptions!$B$10,0)))</f>
        <v>1</v>
      </c>
      <c r="P526" s="6" t="s">
        <v>30</v>
      </c>
      <c r="Q526" s="6" t="s">
        <v>30</v>
      </c>
      <c r="R526" s="11" t="s">
        <v>30</v>
      </c>
      <c r="S526" s="6" t="s">
        <v>30</v>
      </c>
      <c r="T526" s="11" t="s">
        <v>30</v>
      </c>
      <c r="U526" s="6" t="s">
        <v>30</v>
      </c>
      <c r="V526" s="6" t="s">
        <v>30</v>
      </c>
      <c r="W526" s="6" t="s">
        <v>30</v>
      </c>
      <c r="X526" s="2" t="s">
        <v>30</v>
      </c>
      <c r="Y526" s="6" t="str">
        <f aca="false">IF(AND(X526="processed",ISNUMBER(S526)),S526*O526,"")</f>
        <v/>
      </c>
      <c r="Z526" s="6" t="n">
        <f aca="false">IF(ISNUMBER(K526),K526*O526,0)</f>
        <v>116</v>
      </c>
      <c r="AA526" s="2" t="s">
        <v>31</v>
      </c>
      <c r="AB526" s="6" t="n">
        <v>8926</v>
      </c>
      <c r="AC526" s="6" t="n">
        <v>7432</v>
      </c>
      <c r="AD526" s="6" t="n">
        <v>175</v>
      </c>
      <c r="AE526" s="6" t="n">
        <v>2270.94873046875</v>
      </c>
      <c r="AF526" s="8" t="n">
        <v>585.286458333</v>
      </c>
      <c r="AG526" s="11" t="n">
        <v>0.03715277778</v>
      </c>
      <c r="AH526" s="12" t="n">
        <v>1</v>
      </c>
      <c r="AI526" s="2" t="s">
        <v>317</v>
      </c>
      <c r="AJ526" s="2" t="s">
        <v>1027</v>
      </c>
      <c r="AK526" s="2" t="s">
        <v>1027</v>
      </c>
    </row>
    <row r="527" customFormat="false" ht="15" hidden="false" customHeight="false" outlineLevel="0" collapsed="false">
      <c r="A527" s="9" t="n">
        <v>524</v>
      </c>
      <c r="B527" s="2" t="s">
        <v>1308</v>
      </c>
      <c r="C527" s="2" t="s">
        <v>772</v>
      </c>
      <c r="D527" s="2" t="s">
        <v>105</v>
      </c>
      <c r="E527" s="2" t="s">
        <v>51</v>
      </c>
      <c r="F527" s="2" t="s">
        <v>1309</v>
      </c>
      <c r="G527" s="2" t="s">
        <v>318</v>
      </c>
      <c r="H527" s="8" t="n">
        <v>524.665681883241</v>
      </c>
      <c r="I527" s="2" t="s">
        <v>316</v>
      </c>
      <c r="J527" s="8" t="n">
        <v>649956.896551724</v>
      </c>
      <c r="K527" s="6" t="n">
        <v>116</v>
      </c>
      <c r="L527" s="2"/>
      <c r="M527" s="10" t="b">
        <f aca="false">TRUE()</f>
        <v>1</v>
      </c>
      <c r="N527" s="9" t="n">
        <f aca="false">IF(H527="","",IF(H527&gt;=Assumptions!$B$5,1,IF(H527&gt;=Assumptions!$B$6,2,IF(H527&gt;=Assumptions!$B$7,3,""))))</f>
        <v>3</v>
      </c>
      <c r="O527" s="9" t="n">
        <f aca="false">IF(N527=1,Assumptions!$B$8,IF(N527=2,Assumptions!$B$9,IF(N527=3,Assumptions!$B$10,0)))</f>
        <v>1</v>
      </c>
      <c r="P527" s="6" t="s">
        <v>30</v>
      </c>
      <c r="Q527" s="6" t="s">
        <v>30</v>
      </c>
      <c r="R527" s="11" t="s">
        <v>30</v>
      </c>
      <c r="S527" s="6" t="s">
        <v>30</v>
      </c>
      <c r="T527" s="11" t="s">
        <v>30</v>
      </c>
      <c r="U527" s="6" t="s">
        <v>30</v>
      </c>
      <c r="V527" s="6" t="s">
        <v>30</v>
      </c>
      <c r="W527" s="6" t="s">
        <v>30</v>
      </c>
      <c r="X527" s="2" t="s">
        <v>30</v>
      </c>
      <c r="Y527" s="6" t="str">
        <f aca="false">IF(AND(X527="processed",ISNUMBER(S527)),S527*O527,"")</f>
        <v/>
      </c>
      <c r="Z527" s="6" t="n">
        <f aca="false">IF(ISNUMBER(K527),K527*O527,0)</f>
        <v>116</v>
      </c>
      <c r="AA527" s="2" t="s">
        <v>31</v>
      </c>
      <c r="AB527" s="6" t="n">
        <v>8356</v>
      </c>
      <c r="AC527" s="6" t="n">
        <v>6994</v>
      </c>
      <c r="AD527" s="6" t="n">
        <v>6889</v>
      </c>
      <c r="AE527" s="6" t="n">
        <v>2105.23071289063</v>
      </c>
      <c r="AF527" s="8" t="n">
        <v>547.872340426</v>
      </c>
      <c r="AG527" s="11" t="n">
        <v>-0.0187361067</v>
      </c>
      <c r="AH527" s="12" t="n">
        <v>0.999999999999999</v>
      </c>
      <c r="AI527" s="2" t="s">
        <v>317</v>
      </c>
      <c r="AJ527" s="2" t="s">
        <v>772</v>
      </c>
      <c r="AK527" s="2" t="s">
        <v>772</v>
      </c>
    </row>
    <row r="528" customFormat="false" ht="15" hidden="false" customHeight="false" outlineLevel="0" collapsed="false">
      <c r="A528" s="9" t="n">
        <v>525</v>
      </c>
      <c r="B528" s="2" t="s">
        <v>1310</v>
      </c>
      <c r="C528" s="2" t="s">
        <v>1311</v>
      </c>
      <c r="D528" s="2" t="s">
        <v>595</v>
      </c>
      <c r="E528" s="2" t="s">
        <v>51</v>
      </c>
      <c r="F528" s="2"/>
      <c r="G528" s="2" t="s">
        <v>597</v>
      </c>
      <c r="H528" s="8" t="n">
        <v>594.359272834887</v>
      </c>
      <c r="I528" s="2" t="s">
        <v>316</v>
      </c>
      <c r="J528" s="8" t="n">
        <v>902869.565217391</v>
      </c>
      <c r="K528" s="6" t="n">
        <v>115</v>
      </c>
      <c r="L528" s="2"/>
      <c r="M528" s="10" t="b">
        <f aca="false">TRUE()</f>
        <v>1</v>
      </c>
      <c r="N528" s="9" t="n">
        <f aca="false">IF(H528="","",IF(H528&gt;=Assumptions!$B$5,1,IF(H528&gt;=Assumptions!$B$6,2,IF(H528&gt;=Assumptions!$B$7,3,""))))</f>
        <v>3</v>
      </c>
      <c r="O528" s="9" t="n">
        <f aca="false">IF(N528=1,Assumptions!$B$8,IF(N528=2,Assumptions!$B$9,IF(N528=3,Assumptions!$B$10,0)))</f>
        <v>1</v>
      </c>
      <c r="P528" s="6" t="s">
        <v>30</v>
      </c>
      <c r="Q528" s="6" t="s">
        <v>30</v>
      </c>
      <c r="R528" s="11" t="s">
        <v>30</v>
      </c>
      <c r="S528" s="6" t="s">
        <v>30</v>
      </c>
      <c r="T528" s="11" t="s">
        <v>30</v>
      </c>
      <c r="U528" s="6" t="s">
        <v>30</v>
      </c>
      <c r="V528" s="6" t="s">
        <v>30</v>
      </c>
      <c r="W528" s="6" t="s">
        <v>30</v>
      </c>
      <c r="X528" s="2" t="s">
        <v>30</v>
      </c>
      <c r="Y528" s="6" t="str">
        <f aca="false">IF(AND(X528="processed",ISNUMBER(S528)),S528*O528,"")</f>
        <v/>
      </c>
      <c r="Z528" s="6" t="n">
        <f aca="false">IF(ISNUMBER(K528),K528*O528,0)</f>
        <v>115</v>
      </c>
      <c r="AA528" s="2" t="s">
        <v>31</v>
      </c>
      <c r="AB528" s="6" t="n">
        <v>8769</v>
      </c>
      <c r="AC528" s="6" t="n">
        <v>7264</v>
      </c>
      <c r="AD528" s="6" t="n">
        <v>193</v>
      </c>
      <c r="AE528" s="6" t="n">
        <v>2004.681640625</v>
      </c>
      <c r="AF528" s="8" t="n">
        <v>619.51754386</v>
      </c>
      <c r="AG528" s="11" t="n">
        <v>-0.0331263334</v>
      </c>
      <c r="AH528" s="12" t="n">
        <v>0.893731559408596</v>
      </c>
      <c r="AI528" s="2" t="s">
        <v>317</v>
      </c>
      <c r="AJ528" s="2" t="s">
        <v>1311</v>
      </c>
      <c r="AK528" s="2" t="s">
        <v>756</v>
      </c>
    </row>
    <row r="529" customFormat="false" ht="15" hidden="false" customHeight="false" outlineLevel="0" collapsed="false">
      <c r="A529" s="9" t="n">
        <v>526</v>
      </c>
      <c r="B529" s="2" t="s">
        <v>1312</v>
      </c>
      <c r="C529" s="2" t="s">
        <v>1083</v>
      </c>
      <c r="D529" s="2" t="s">
        <v>105</v>
      </c>
      <c r="E529" s="2" t="s">
        <v>51</v>
      </c>
      <c r="F529" s="2" t="s">
        <v>1313</v>
      </c>
      <c r="G529" s="2" t="s">
        <v>318</v>
      </c>
      <c r="H529" s="8" t="n">
        <v>569.505566721009</v>
      </c>
      <c r="I529" s="2" t="s">
        <v>316</v>
      </c>
      <c r="J529" s="8" t="n">
        <v>712586.956521739</v>
      </c>
      <c r="K529" s="6" t="n">
        <v>115</v>
      </c>
      <c r="L529" s="2"/>
      <c r="M529" s="10" t="b">
        <f aca="false">TRUE()</f>
        <v>1</v>
      </c>
      <c r="N529" s="9" t="n">
        <f aca="false">IF(H529="","",IF(H529&gt;=Assumptions!$B$5,1,IF(H529&gt;=Assumptions!$B$6,2,IF(H529&gt;=Assumptions!$B$7,3,""))))</f>
        <v>3</v>
      </c>
      <c r="O529" s="9" t="n">
        <f aca="false">IF(N529=1,Assumptions!$B$8,IF(N529=2,Assumptions!$B$9,IF(N529=3,Assumptions!$B$10,0)))</f>
        <v>1</v>
      </c>
      <c r="P529" s="6" t="s">
        <v>30</v>
      </c>
      <c r="Q529" s="6" t="s">
        <v>30</v>
      </c>
      <c r="R529" s="11" t="s">
        <v>30</v>
      </c>
      <c r="S529" s="6" t="s">
        <v>30</v>
      </c>
      <c r="T529" s="11" t="s">
        <v>30</v>
      </c>
      <c r="U529" s="6" t="s">
        <v>30</v>
      </c>
      <c r="V529" s="6" t="s">
        <v>30</v>
      </c>
      <c r="W529" s="6" t="s">
        <v>30</v>
      </c>
      <c r="X529" s="2" t="s">
        <v>30</v>
      </c>
      <c r="Y529" s="6" t="str">
        <f aca="false">IF(AND(X529="processed",ISNUMBER(S529)),S529*O529,"")</f>
        <v/>
      </c>
      <c r="Z529" s="6" t="n">
        <f aca="false">IF(ISNUMBER(K529),K529*O529,0)</f>
        <v>115</v>
      </c>
      <c r="AA529" s="2" t="s">
        <v>31</v>
      </c>
      <c r="AB529" s="6" t="n">
        <v>8393</v>
      </c>
      <c r="AC529" s="6" t="n">
        <v>5204</v>
      </c>
      <c r="AD529" s="6" t="n">
        <v>40</v>
      </c>
      <c r="AE529" s="6" t="n">
        <v>1546.42236328125</v>
      </c>
      <c r="AF529" s="8" t="n">
        <v>588.569123959</v>
      </c>
      <c r="AG529" s="11" t="n">
        <v>-0.00089175156</v>
      </c>
      <c r="AH529" s="12" t="n">
        <v>1</v>
      </c>
      <c r="AI529" s="2" t="s">
        <v>328</v>
      </c>
      <c r="AJ529" s="2" t="s">
        <v>1083</v>
      </c>
      <c r="AK529" s="2" t="s">
        <v>1083</v>
      </c>
    </row>
    <row r="530" customFormat="false" ht="15" hidden="false" customHeight="false" outlineLevel="0" collapsed="false">
      <c r="A530" s="9" t="n">
        <v>527</v>
      </c>
      <c r="B530" s="2" t="s">
        <v>1314</v>
      </c>
      <c r="C530" s="2" t="s">
        <v>1315</v>
      </c>
      <c r="D530" s="2" t="s">
        <v>70</v>
      </c>
      <c r="E530" s="2" t="s">
        <v>71</v>
      </c>
      <c r="F530" s="2"/>
      <c r="G530" s="2" t="s">
        <v>329</v>
      </c>
      <c r="H530" s="8" t="n">
        <v>628.332165408561</v>
      </c>
      <c r="I530" s="2" t="s">
        <v>316</v>
      </c>
      <c r="J530" s="8" t="n">
        <v>804298.245614035</v>
      </c>
      <c r="K530" s="6" t="n">
        <v>57</v>
      </c>
      <c r="L530" s="2"/>
      <c r="M530" s="10" t="b">
        <f aca="false">TRUE()</f>
        <v>1</v>
      </c>
      <c r="N530" s="9" t="n">
        <f aca="false">IF(H530="","",IF(H530&gt;=Assumptions!$B$5,1,IF(H530&gt;=Assumptions!$B$6,2,IF(H530&gt;=Assumptions!$B$7,3,""))))</f>
        <v>2</v>
      </c>
      <c r="O530" s="9" t="n">
        <f aca="false">IF(N530=1,Assumptions!$B$8,IF(N530=2,Assumptions!$B$9,IF(N530=3,Assumptions!$B$10,0)))</f>
        <v>2</v>
      </c>
      <c r="P530" s="6" t="s">
        <v>30</v>
      </c>
      <c r="Q530" s="6" t="s">
        <v>30</v>
      </c>
      <c r="R530" s="11" t="s">
        <v>30</v>
      </c>
      <c r="S530" s="6" t="s">
        <v>30</v>
      </c>
      <c r="T530" s="11" t="s">
        <v>30</v>
      </c>
      <c r="U530" s="6" t="s">
        <v>30</v>
      </c>
      <c r="V530" s="6" t="s">
        <v>30</v>
      </c>
      <c r="W530" s="6" t="s">
        <v>30</v>
      </c>
      <c r="X530" s="2" t="s">
        <v>30</v>
      </c>
      <c r="Y530" s="6" t="str">
        <f aca="false">IF(AND(X530="processed",ISNUMBER(S530)),S530*O530,"")</f>
        <v/>
      </c>
      <c r="Z530" s="6" t="n">
        <f aca="false">IF(ISNUMBER(K530),K530*O530,0)</f>
        <v>114</v>
      </c>
      <c r="AA530" s="2" t="s">
        <v>31</v>
      </c>
      <c r="AB530" s="6" t="n">
        <v>10612</v>
      </c>
      <c r="AC530" s="6" t="n">
        <v>8380</v>
      </c>
      <c r="AD530" s="6" t="n">
        <v>76</v>
      </c>
      <c r="AE530" s="6" t="n">
        <v>1452.54565429688</v>
      </c>
      <c r="AF530" s="8" t="n">
        <v>656.146179402</v>
      </c>
      <c r="AG530" s="11" t="n">
        <v>-0.1527512458</v>
      </c>
      <c r="AH530" s="12" t="n">
        <v>0.999999999999998</v>
      </c>
      <c r="AI530" s="2" t="s">
        <v>317</v>
      </c>
      <c r="AJ530" s="2" t="s">
        <v>1315</v>
      </c>
      <c r="AK530" s="2" t="s">
        <v>1315</v>
      </c>
    </row>
    <row r="531" customFormat="false" ht="15" hidden="false" customHeight="false" outlineLevel="0" collapsed="false">
      <c r="A531" s="9" t="n">
        <v>528</v>
      </c>
      <c r="B531" s="2" t="s">
        <v>1316</v>
      </c>
      <c r="C531" s="2" t="s">
        <v>56</v>
      </c>
      <c r="D531" s="2" t="s">
        <v>56</v>
      </c>
      <c r="E531" s="2" t="s">
        <v>56</v>
      </c>
      <c r="F531" s="2" t="s">
        <v>1317</v>
      </c>
      <c r="G531" s="2" t="s">
        <v>324</v>
      </c>
      <c r="H531" s="8" t="n">
        <v>1302.91047366679</v>
      </c>
      <c r="I531" s="2" t="s">
        <v>316</v>
      </c>
      <c r="J531" s="8" t="n">
        <v>2013947.36842105</v>
      </c>
      <c r="K531" s="6" t="n">
        <v>38</v>
      </c>
      <c r="L531" s="2"/>
      <c r="M531" s="10" t="b">
        <f aca="false">TRUE()</f>
        <v>1</v>
      </c>
      <c r="N531" s="9" t="n">
        <f aca="false">IF(H531="","",IF(H531&gt;=Assumptions!$B$5,1,IF(H531&gt;=Assumptions!$B$6,2,IF(H531&gt;=Assumptions!$B$7,3,""))))</f>
        <v>1</v>
      </c>
      <c r="O531" s="9" t="n">
        <f aca="false">IF(N531=1,Assumptions!$B$8,IF(N531=2,Assumptions!$B$9,IF(N531=3,Assumptions!$B$10,0)))</f>
        <v>3</v>
      </c>
      <c r="P531" s="6" t="s">
        <v>30</v>
      </c>
      <c r="Q531" s="6" t="s">
        <v>30</v>
      </c>
      <c r="R531" s="11" t="s">
        <v>30</v>
      </c>
      <c r="S531" s="6" t="s">
        <v>30</v>
      </c>
      <c r="T531" s="11" t="s">
        <v>30</v>
      </c>
      <c r="U531" s="6" t="s">
        <v>30</v>
      </c>
      <c r="V531" s="6" t="s">
        <v>30</v>
      </c>
      <c r="W531" s="6" t="s">
        <v>30</v>
      </c>
      <c r="X531" s="2" t="s">
        <v>30</v>
      </c>
      <c r="Y531" s="6" t="str">
        <f aca="false">IF(AND(X531="processed",ISNUMBER(S531)),S531*O531,"")</f>
        <v/>
      </c>
      <c r="Z531" s="6" t="n">
        <f aca="false">IF(ISNUMBER(K531),K531*O531,0)</f>
        <v>114</v>
      </c>
      <c r="AA531" s="2" t="s">
        <v>31</v>
      </c>
      <c r="AB531" s="6" t="n">
        <v>3232</v>
      </c>
      <c r="AC531" s="6" t="n">
        <v>2819</v>
      </c>
      <c r="AD531" s="6" t="n">
        <v>7</v>
      </c>
      <c r="AE531" s="6" t="n">
        <v>1495.08459472656</v>
      </c>
      <c r="AF531" s="8" t="n">
        <v>1576.971608833</v>
      </c>
      <c r="AG531" s="11" t="n">
        <v>0.3302735522</v>
      </c>
      <c r="AH531" s="12" t="n">
        <v>0.770081070680523</v>
      </c>
      <c r="AI531" s="2" t="s">
        <v>317</v>
      </c>
      <c r="AJ531" s="2" t="s">
        <v>56</v>
      </c>
      <c r="AK531" s="2" t="s">
        <v>56</v>
      </c>
    </row>
    <row r="532" customFormat="false" ht="15" hidden="false" customHeight="false" outlineLevel="0" collapsed="false">
      <c r="A532" s="9" t="n">
        <v>529</v>
      </c>
      <c r="B532" s="2" t="s">
        <v>1318</v>
      </c>
      <c r="C532" s="2" t="s">
        <v>516</v>
      </c>
      <c r="D532" s="2" t="s">
        <v>34</v>
      </c>
      <c r="E532" s="2" t="s">
        <v>35</v>
      </c>
      <c r="F532" s="2" t="s">
        <v>1319</v>
      </c>
      <c r="G532" s="2" t="s">
        <v>318</v>
      </c>
      <c r="H532" s="8" t="n">
        <v>918.671303570868</v>
      </c>
      <c r="I532" s="2" t="s">
        <v>316</v>
      </c>
      <c r="J532" s="8" t="n">
        <v>1156460.52631579</v>
      </c>
      <c r="K532" s="6" t="n">
        <v>38</v>
      </c>
      <c r="L532" s="2"/>
      <c r="M532" s="10" t="b">
        <f aca="false">TRUE()</f>
        <v>1</v>
      </c>
      <c r="N532" s="9" t="n">
        <f aca="false">IF(H532="","",IF(H532&gt;=Assumptions!$B$5,1,IF(H532&gt;=Assumptions!$B$6,2,IF(H532&gt;=Assumptions!$B$7,3,""))))</f>
        <v>1</v>
      </c>
      <c r="O532" s="9" t="n">
        <f aca="false">IF(N532=1,Assumptions!$B$8,IF(N532=2,Assumptions!$B$9,IF(N532=3,Assumptions!$B$10,0)))</f>
        <v>3</v>
      </c>
      <c r="P532" s="6" t="s">
        <v>30</v>
      </c>
      <c r="Q532" s="6" t="s">
        <v>30</v>
      </c>
      <c r="R532" s="11" t="s">
        <v>30</v>
      </c>
      <c r="S532" s="6" t="s">
        <v>30</v>
      </c>
      <c r="T532" s="11" t="s">
        <v>30</v>
      </c>
      <c r="U532" s="6" t="s">
        <v>30</v>
      </c>
      <c r="V532" s="6" t="s">
        <v>30</v>
      </c>
      <c r="W532" s="6" t="s">
        <v>30</v>
      </c>
      <c r="X532" s="2" t="s">
        <v>30</v>
      </c>
      <c r="Y532" s="6" t="str">
        <f aca="false">IF(AND(X532="processed",ISNUMBER(S532)),S532*O532,"")</f>
        <v/>
      </c>
      <c r="Z532" s="6" t="n">
        <f aca="false">IF(ISNUMBER(K532),K532*O532,0)</f>
        <v>114</v>
      </c>
      <c r="AA532" s="2" t="s">
        <v>31</v>
      </c>
      <c r="AB532" s="6" t="n">
        <v>3456</v>
      </c>
      <c r="AC532" s="6" t="n">
        <v>2305</v>
      </c>
      <c r="AD532" s="6" t="n">
        <v>59</v>
      </c>
      <c r="AE532" s="6" t="n">
        <v>1401.13659667969</v>
      </c>
      <c r="AF532" s="8" t="n">
        <v>928.03030303</v>
      </c>
      <c r="AG532" s="11" t="n">
        <v>0.009419056879</v>
      </c>
      <c r="AH532" s="12" t="n">
        <v>0.513380666808621</v>
      </c>
      <c r="AI532" s="2" t="s">
        <v>319</v>
      </c>
      <c r="AJ532" s="2"/>
      <c r="AK532" s="2" t="s">
        <v>516</v>
      </c>
    </row>
    <row r="533" customFormat="false" ht="15" hidden="false" customHeight="false" outlineLevel="0" collapsed="false">
      <c r="A533" s="9" t="n">
        <v>530</v>
      </c>
      <c r="B533" s="2" t="s">
        <v>1320</v>
      </c>
      <c r="C533" s="2" t="s">
        <v>1321</v>
      </c>
      <c r="D533" s="2" t="s">
        <v>70</v>
      </c>
      <c r="E533" s="2" t="s">
        <v>71</v>
      </c>
      <c r="F533" s="2" t="s">
        <v>1322</v>
      </c>
      <c r="G533" s="2" t="s">
        <v>329</v>
      </c>
      <c r="H533" s="8" t="n">
        <v>570.704298185531</v>
      </c>
      <c r="I533" s="2" t="s">
        <v>316</v>
      </c>
      <c r="J533" s="8" t="n">
        <v>703451.327433628</v>
      </c>
      <c r="K533" s="6" t="n">
        <v>113</v>
      </c>
      <c r="L533" s="2"/>
      <c r="M533" s="10" t="b">
        <f aca="false">TRUE()</f>
        <v>1</v>
      </c>
      <c r="N533" s="9" t="n">
        <f aca="false">IF(H533="","",IF(H533&gt;=Assumptions!$B$5,1,IF(H533&gt;=Assumptions!$B$6,2,IF(H533&gt;=Assumptions!$B$7,3,""))))</f>
        <v>3</v>
      </c>
      <c r="O533" s="9" t="n">
        <f aca="false">IF(N533=1,Assumptions!$B$8,IF(N533=2,Assumptions!$B$9,IF(N533=3,Assumptions!$B$10,0)))</f>
        <v>1</v>
      </c>
      <c r="P533" s="6" t="s">
        <v>30</v>
      </c>
      <c r="Q533" s="6" t="s">
        <v>30</v>
      </c>
      <c r="R533" s="11" t="s">
        <v>30</v>
      </c>
      <c r="S533" s="6" t="s">
        <v>30</v>
      </c>
      <c r="T533" s="11" t="s">
        <v>30</v>
      </c>
      <c r="U533" s="6" t="s">
        <v>30</v>
      </c>
      <c r="V533" s="6" t="s">
        <v>30</v>
      </c>
      <c r="W533" s="6" t="s">
        <v>30</v>
      </c>
      <c r="X533" s="2" t="s">
        <v>30</v>
      </c>
      <c r="Y533" s="6" t="str">
        <f aca="false">IF(AND(X533="processed",ISNUMBER(S533)),S533*O533,"")</f>
        <v/>
      </c>
      <c r="Z533" s="6" t="n">
        <f aca="false">IF(ISNUMBER(K533),K533*O533,0)</f>
        <v>113</v>
      </c>
      <c r="AA533" s="2" t="s">
        <v>31</v>
      </c>
      <c r="AB533" s="6" t="n">
        <v>29519</v>
      </c>
      <c r="AC533" s="6" t="n">
        <v>21236</v>
      </c>
      <c r="AD533" s="6" t="n">
        <v>342</v>
      </c>
      <c r="AE533" s="6" t="n">
        <v>1391.98046875</v>
      </c>
      <c r="AF533" s="8" t="n">
        <v>580.847723705</v>
      </c>
      <c r="AG533" s="11" t="n">
        <v>0.005189255189</v>
      </c>
      <c r="AH533" s="12" t="n">
        <v>1</v>
      </c>
      <c r="AI533" s="2" t="s">
        <v>317</v>
      </c>
      <c r="AJ533" s="2" t="s">
        <v>1321</v>
      </c>
      <c r="AK533" s="2" t="s">
        <v>1321</v>
      </c>
    </row>
    <row r="534" customFormat="false" ht="15" hidden="false" customHeight="false" outlineLevel="0" collapsed="false">
      <c r="A534" s="9" t="n">
        <v>531</v>
      </c>
      <c r="B534" s="2" t="s">
        <v>1323</v>
      </c>
      <c r="C534" s="2" t="s">
        <v>1176</v>
      </c>
      <c r="D534" s="2" t="s">
        <v>70</v>
      </c>
      <c r="E534" s="2" t="s">
        <v>71</v>
      </c>
      <c r="F534" s="2" t="s">
        <v>1324</v>
      </c>
      <c r="G534" s="2" t="s">
        <v>329</v>
      </c>
      <c r="H534" s="8" t="n">
        <v>531.948255323655</v>
      </c>
      <c r="I534" s="2" t="s">
        <v>316</v>
      </c>
      <c r="J534" s="8" t="n">
        <v>967433.628318584</v>
      </c>
      <c r="K534" s="6" t="n">
        <v>113</v>
      </c>
      <c r="L534" s="2"/>
      <c r="M534" s="10" t="b">
        <f aca="false">TRUE()</f>
        <v>1</v>
      </c>
      <c r="N534" s="9" t="n">
        <f aca="false">IF(H534="","",IF(H534&gt;=Assumptions!$B$5,1,IF(H534&gt;=Assumptions!$B$6,2,IF(H534&gt;=Assumptions!$B$7,3,""))))</f>
        <v>3</v>
      </c>
      <c r="O534" s="9" t="n">
        <f aca="false">IF(N534=1,Assumptions!$B$8,IF(N534=2,Assumptions!$B$9,IF(N534=3,Assumptions!$B$10,0)))</f>
        <v>1</v>
      </c>
      <c r="P534" s="6" t="s">
        <v>30</v>
      </c>
      <c r="Q534" s="6" t="s">
        <v>30</v>
      </c>
      <c r="R534" s="11" t="s">
        <v>30</v>
      </c>
      <c r="S534" s="6" t="s">
        <v>30</v>
      </c>
      <c r="T534" s="11" t="s">
        <v>30</v>
      </c>
      <c r="U534" s="6" t="s">
        <v>30</v>
      </c>
      <c r="V534" s="6" t="s">
        <v>30</v>
      </c>
      <c r="W534" s="6" t="s">
        <v>30</v>
      </c>
      <c r="X534" s="2" t="s">
        <v>30</v>
      </c>
      <c r="Y534" s="6" t="str">
        <f aca="false">IF(AND(X534="processed",ISNUMBER(S534)),S534*O534,"")</f>
        <v/>
      </c>
      <c r="Z534" s="6" t="n">
        <f aca="false">IF(ISNUMBER(K534),K534*O534,0)</f>
        <v>113</v>
      </c>
      <c r="AA534" s="2" t="s">
        <v>31</v>
      </c>
      <c r="AB534" s="6" t="n">
        <v>8845</v>
      </c>
      <c r="AC534" s="6" t="n">
        <v>6490</v>
      </c>
      <c r="AD534" s="6" t="n">
        <v>180</v>
      </c>
      <c r="AE534" s="6" t="n">
        <v>2744.1689453125</v>
      </c>
      <c r="AF534" s="8" t="n">
        <v>540.445061227</v>
      </c>
      <c r="AG534" s="11" t="n">
        <v>-0.0374914514</v>
      </c>
      <c r="AH534" s="12" t="n">
        <v>1</v>
      </c>
      <c r="AI534" s="2" t="s">
        <v>317</v>
      </c>
      <c r="AJ534" s="2" t="s">
        <v>1176</v>
      </c>
      <c r="AK534" s="2" t="s">
        <v>70</v>
      </c>
    </row>
    <row r="535" customFormat="false" ht="15" hidden="false" customHeight="false" outlineLevel="0" collapsed="false">
      <c r="A535" s="9" t="n">
        <v>532</v>
      </c>
      <c r="B535" s="2" t="s">
        <v>1325</v>
      </c>
      <c r="C535" s="2" t="s">
        <v>1109</v>
      </c>
      <c r="D535" s="2" t="s">
        <v>70</v>
      </c>
      <c r="E535" s="2" t="s">
        <v>71</v>
      </c>
      <c r="F535" s="2"/>
      <c r="G535" s="2" t="s">
        <v>329</v>
      </c>
      <c r="H535" s="8" t="n">
        <v>513.225646058372</v>
      </c>
      <c r="I535" s="2" t="s">
        <v>316</v>
      </c>
      <c r="J535" s="8" t="n">
        <v>652610.619469027</v>
      </c>
      <c r="K535" s="6" t="n">
        <v>113</v>
      </c>
      <c r="L535" s="2"/>
      <c r="M535" s="10" t="b">
        <f aca="false">TRUE()</f>
        <v>1</v>
      </c>
      <c r="N535" s="9" t="n">
        <f aca="false">IF(H535="","",IF(H535&gt;=Assumptions!$B$5,1,IF(H535&gt;=Assumptions!$B$6,2,IF(H535&gt;=Assumptions!$B$7,3,""))))</f>
        <v>3</v>
      </c>
      <c r="O535" s="9" t="n">
        <f aca="false">IF(N535=1,Assumptions!$B$8,IF(N535=2,Assumptions!$B$9,IF(N535=3,Assumptions!$B$10,0)))</f>
        <v>1</v>
      </c>
      <c r="P535" s="6" t="s">
        <v>30</v>
      </c>
      <c r="Q535" s="6" t="s">
        <v>30</v>
      </c>
      <c r="R535" s="11" t="s">
        <v>30</v>
      </c>
      <c r="S535" s="6" t="s">
        <v>30</v>
      </c>
      <c r="T535" s="11" t="s">
        <v>30</v>
      </c>
      <c r="U535" s="6" t="s">
        <v>30</v>
      </c>
      <c r="V535" s="6" t="s">
        <v>30</v>
      </c>
      <c r="W535" s="6" t="s">
        <v>30</v>
      </c>
      <c r="X535" s="2" t="s">
        <v>30</v>
      </c>
      <c r="Y535" s="6" t="str">
        <f aca="false">IF(AND(X535="processed",ISNUMBER(S535)),S535*O535,"")</f>
        <v/>
      </c>
      <c r="Z535" s="6" t="n">
        <f aca="false">IF(ISNUMBER(K535),K535*O535,0)</f>
        <v>113</v>
      </c>
      <c r="AA535" s="2" t="s">
        <v>31</v>
      </c>
      <c r="AB535" s="6" t="n">
        <v>10103</v>
      </c>
      <c r="AC535" s="6" t="n">
        <v>7532</v>
      </c>
      <c r="AD535" s="6" t="n">
        <v>239</v>
      </c>
      <c r="AE535" s="6" t="n">
        <v>1910.99548339844</v>
      </c>
      <c r="AF535" s="8" t="n">
        <v>515.637860082</v>
      </c>
      <c r="AG535" s="11" t="n">
        <v>0.02016189123</v>
      </c>
      <c r="AH535" s="12" t="n">
        <v>0.999999999999999</v>
      </c>
      <c r="AI535" s="2" t="s">
        <v>317</v>
      </c>
      <c r="AJ535" s="2" t="s">
        <v>1109</v>
      </c>
      <c r="AK535" s="2" t="s">
        <v>1109</v>
      </c>
    </row>
    <row r="536" customFormat="false" ht="15" hidden="false" customHeight="false" outlineLevel="0" collapsed="false">
      <c r="A536" s="9" t="n">
        <v>533</v>
      </c>
      <c r="B536" s="2" t="s">
        <v>1326</v>
      </c>
      <c r="C536" s="2" t="s">
        <v>1327</v>
      </c>
      <c r="D536" s="2" t="s">
        <v>70</v>
      </c>
      <c r="E536" s="2" t="s">
        <v>71</v>
      </c>
      <c r="F536" s="2" t="s">
        <v>1328</v>
      </c>
      <c r="G536" s="2" t="s">
        <v>329</v>
      </c>
      <c r="H536" s="8" t="n">
        <v>605.418489281536</v>
      </c>
      <c r="I536" s="2" t="s">
        <v>316</v>
      </c>
      <c r="J536" s="8" t="n">
        <v>801517.857142857</v>
      </c>
      <c r="K536" s="6" t="n">
        <v>56</v>
      </c>
      <c r="L536" s="2"/>
      <c r="M536" s="10" t="b">
        <f aca="false">TRUE()</f>
        <v>1</v>
      </c>
      <c r="N536" s="9" t="n">
        <f aca="false">IF(H536="","",IF(H536&gt;=Assumptions!$B$5,1,IF(H536&gt;=Assumptions!$B$6,2,IF(H536&gt;=Assumptions!$B$7,3,""))))</f>
        <v>2</v>
      </c>
      <c r="O536" s="9" t="n">
        <f aca="false">IF(N536=1,Assumptions!$B$8,IF(N536=2,Assumptions!$B$9,IF(N536=3,Assumptions!$B$10,0)))</f>
        <v>2</v>
      </c>
      <c r="P536" s="6" t="s">
        <v>30</v>
      </c>
      <c r="Q536" s="6" t="s">
        <v>30</v>
      </c>
      <c r="R536" s="11" t="s">
        <v>30</v>
      </c>
      <c r="S536" s="6" t="s">
        <v>30</v>
      </c>
      <c r="T536" s="11" t="s">
        <v>30</v>
      </c>
      <c r="U536" s="6" t="s">
        <v>30</v>
      </c>
      <c r="V536" s="6" t="s">
        <v>30</v>
      </c>
      <c r="W536" s="6" t="s">
        <v>30</v>
      </c>
      <c r="X536" s="2" t="s">
        <v>30</v>
      </c>
      <c r="Y536" s="6" t="str">
        <f aca="false">IF(AND(X536="processed",ISNUMBER(S536)),S536*O536,"")</f>
        <v/>
      </c>
      <c r="Z536" s="6" t="n">
        <f aca="false">IF(ISNUMBER(K536),K536*O536,0)</f>
        <v>112</v>
      </c>
      <c r="AA536" s="2" t="s">
        <v>31</v>
      </c>
      <c r="AB536" s="6" t="n">
        <v>7852</v>
      </c>
      <c r="AC536" s="6" t="n">
        <v>4645</v>
      </c>
      <c r="AD536" s="6" t="n">
        <v>229</v>
      </c>
      <c r="AE536" s="6" t="n">
        <v>1837.18420410156</v>
      </c>
      <c r="AF536" s="8" t="n">
        <v>647.393122616</v>
      </c>
      <c r="AG536" s="11" t="n">
        <v>0.026580523</v>
      </c>
      <c r="AH536" s="12" t="n">
        <v>1</v>
      </c>
      <c r="AI536" s="2" t="s">
        <v>317</v>
      </c>
      <c r="AJ536" s="2" t="s">
        <v>1327</v>
      </c>
      <c r="AK536" s="2" t="s">
        <v>1327</v>
      </c>
    </row>
    <row r="537" customFormat="false" ht="15" hidden="false" customHeight="false" outlineLevel="0" collapsed="false">
      <c r="A537" s="9" t="n">
        <v>534</v>
      </c>
      <c r="B537" s="2" t="s">
        <v>1329</v>
      </c>
      <c r="C537" s="2" t="s">
        <v>931</v>
      </c>
      <c r="D537" s="2" t="s">
        <v>70</v>
      </c>
      <c r="E537" s="2" t="s">
        <v>71</v>
      </c>
      <c r="F537" s="2" t="s">
        <v>1330</v>
      </c>
      <c r="G537" s="2" t="s">
        <v>329</v>
      </c>
      <c r="H537" s="8" t="n">
        <v>617.613978607518</v>
      </c>
      <c r="I537" s="2" t="s">
        <v>316</v>
      </c>
      <c r="J537" s="8" t="n">
        <v>850098.214285714</v>
      </c>
      <c r="K537" s="6" t="n">
        <v>56</v>
      </c>
      <c r="L537" s="2"/>
      <c r="M537" s="10" t="b">
        <f aca="false">TRUE()</f>
        <v>1</v>
      </c>
      <c r="N537" s="9" t="n">
        <f aca="false">IF(H537="","",IF(H537&gt;=Assumptions!$B$5,1,IF(H537&gt;=Assumptions!$B$6,2,IF(H537&gt;=Assumptions!$B$7,3,""))))</f>
        <v>2</v>
      </c>
      <c r="O537" s="9" t="n">
        <f aca="false">IF(N537=1,Assumptions!$B$8,IF(N537=2,Assumptions!$B$9,IF(N537=3,Assumptions!$B$10,0)))</f>
        <v>2</v>
      </c>
      <c r="P537" s="6" t="s">
        <v>30</v>
      </c>
      <c r="Q537" s="6" t="s">
        <v>30</v>
      </c>
      <c r="R537" s="11" t="s">
        <v>30</v>
      </c>
      <c r="S537" s="6" t="s">
        <v>30</v>
      </c>
      <c r="T537" s="11" t="s">
        <v>30</v>
      </c>
      <c r="U537" s="6" t="s">
        <v>30</v>
      </c>
      <c r="V537" s="6" t="s">
        <v>30</v>
      </c>
      <c r="W537" s="6" t="s">
        <v>30</v>
      </c>
      <c r="X537" s="2" t="s">
        <v>30</v>
      </c>
      <c r="Y537" s="6" t="str">
        <f aca="false">IF(AND(X537="processed",ISNUMBER(S537)),S537*O537,"")</f>
        <v/>
      </c>
      <c r="Z537" s="6" t="n">
        <f aca="false">IF(ISNUMBER(K537),K537*O537,0)</f>
        <v>112</v>
      </c>
      <c r="AA537" s="2" t="s">
        <v>31</v>
      </c>
      <c r="AB537" s="6" t="n">
        <v>5644</v>
      </c>
      <c r="AC537" s="6" t="n">
        <v>3689</v>
      </c>
      <c r="AD537" s="6" t="n">
        <v>108</v>
      </c>
      <c r="AE537" s="6" t="n">
        <v>2101.38159179688</v>
      </c>
      <c r="AF537" s="8" t="n">
        <v>648.148148148</v>
      </c>
      <c r="AG537" s="11" t="n">
        <v>-0.01110217893</v>
      </c>
      <c r="AH537" s="12" t="n">
        <v>1</v>
      </c>
      <c r="AI537" s="2" t="s">
        <v>317</v>
      </c>
      <c r="AJ537" s="2" t="s">
        <v>931</v>
      </c>
      <c r="AK537" s="2" t="s">
        <v>70</v>
      </c>
    </row>
    <row r="538" customFormat="false" ht="15" hidden="false" customHeight="false" outlineLevel="0" collapsed="false">
      <c r="A538" s="9" t="n">
        <v>535</v>
      </c>
      <c r="B538" s="2" t="s">
        <v>1331</v>
      </c>
      <c r="C538" s="2" t="s">
        <v>1198</v>
      </c>
      <c r="D538" s="2" t="s">
        <v>70</v>
      </c>
      <c r="E538" s="2" t="s">
        <v>71</v>
      </c>
      <c r="F538" s="2" t="s">
        <v>1332</v>
      </c>
      <c r="G538" s="2" t="s">
        <v>329</v>
      </c>
      <c r="H538" s="8" t="n">
        <v>550.461285446919</v>
      </c>
      <c r="I538" s="2" t="s">
        <v>316</v>
      </c>
      <c r="J538" s="8" t="n">
        <v>613423.423423423</v>
      </c>
      <c r="K538" s="6" t="n">
        <v>111</v>
      </c>
      <c r="L538" s="2"/>
      <c r="M538" s="10" t="b">
        <f aca="false">TRUE()</f>
        <v>1</v>
      </c>
      <c r="N538" s="9" t="n">
        <f aca="false">IF(H538="","",IF(H538&gt;=Assumptions!$B$5,1,IF(H538&gt;=Assumptions!$B$6,2,IF(H538&gt;=Assumptions!$B$7,3,""))))</f>
        <v>3</v>
      </c>
      <c r="O538" s="9" t="n">
        <f aca="false">IF(N538=1,Assumptions!$B$8,IF(N538=2,Assumptions!$B$9,IF(N538=3,Assumptions!$B$10,0)))</f>
        <v>1</v>
      </c>
      <c r="P538" s="6" t="s">
        <v>30</v>
      </c>
      <c r="Q538" s="6" t="s">
        <v>30</v>
      </c>
      <c r="R538" s="11" t="s">
        <v>30</v>
      </c>
      <c r="S538" s="6" t="s">
        <v>30</v>
      </c>
      <c r="T538" s="11" t="s">
        <v>30</v>
      </c>
      <c r="U538" s="6" t="s">
        <v>30</v>
      </c>
      <c r="V538" s="6" t="s">
        <v>30</v>
      </c>
      <c r="W538" s="6" t="s">
        <v>30</v>
      </c>
      <c r="X538" s="2" t="s">
        <v>30</v>
      </c>
      <c r="Y538" s="6" t="str">
        <f aca="false">IF(AND(X538="processed",ISNUMBER(S538)),S538*O538,"")</f>
        <v/>
      </c>
      <c r="Z538" s="6" t="n">
        <f aca="false">IF(ISNUMBER(K538),K538*O538,0)</f>
        <v>111</v>
      </c>
      <c r="AA538" s="2" t="s">
        <v>31</v>
      </c>
      <c r="AB538" s="6" t="n">
        <v>10031</v>
      </c>
      <c r="AC538" s="6" t="n">
        <v>7589</v>
      </c>
      <c r="AD538" s="6" t="n">
        <v>214</v>
      </c>
      <c r="AE538" s="6" t="n">
        <v>1434.44934082031</v>
      </c>
      <c r="AF538" s="8" t="n">
        <v>577.651515152</v>
      </c>
      <c r="AG538" s="11" t="n">
        <v>-0.0299283948</v>
      </c>
      <c r="AH538" s="12" t="n">
        <v>1</v>
      </c>
      <c r="AI538" s="2" t="s">
        <v>317</v>
      </c>
      <c r="AJ538" s="2" t="s">
        <v>1198</v>
      </c>
      <c r="AK538" s="2" t="s">
        <v>1332</v>
      </c>
    </row>
    <row r="539" customFormat="false" ht="15" hidden="false" customHeight="false" outlineLevel="0" collapsed="false">
      <c r="A539" s="9" t="n">
        <v>536</v>
      </c>
      <c r="B539" s="2" t="s">
        <v>1333</v>
      </c>
      <c r="C539" s="2" t="s">
        <v>403</v>
      </c>
      <c r="D539" s="2" t="s">
        <v>70</v>
      </c>
      <c r="E539" s="2" t="s">
        <v>71</v>
      </c>
      <c r="F539" s="2" t="s">
        <v>1334</v>
      </c>
      <c r="G539" s="2" t="s">
        <v>329</v>
      </c>
      <c r="H539" s="8" t="n">
        <v>779.128260192162</v>
      </c>
      <c r="I539" s="2" t="s">
        <v>316</v>
      </c>
      <c r="J539" s="8" t="n">
        <v>1067905.40540541</v>
      </c>
      <c r="K539" s="6" t="n">
        <v>37</v>
      </c>
      <c r="L539" s="2"/>
      <c r="M539" s="10" t="b">
        <f aca="false">TRUE()</f>
        <v>1</v>
      </c>
      <c r="N539" s="9" t="n">
        <f aca="false">IF(H539="","",IF(H539&gt;=Assumptions!$B$5,1,IF(H539&gt;=Assumptions!$B$6,2,IF(H539&gt;=Assumptions!$B$7,3,""))))</f>
        <v>1</v>
      </c>
      <c r="O539" s="9" t="n">
        <f aca="false">IF(N539=1,Assumptions!$B$8,IF(N539=2,Assumptions!$B$9,IF(N539=3,Assumptions!$B$10,0)))</f>
        <v>3</v>
      </c>
      <c r="P539" s="6" t="s">
        <v>30</v>
      </c>
      <c r="Q539" s="6" t="s">
        <v>30</v>
      </c>
      <c r="R539" s="11" t="s">
        <v>30</v>
      </c>
      <c r="S539" s="6" t="s">
        <v>30</v>
      </c>
      <c r="T539" s="11" t="s">
        <v>30</v>
      </c>
      <c r="U539" s="6" t="s">
        <v>30</v>
      </c>
      <c r="V539" s="6" t="s">
        <v>30</v>
      </c>
      <c r="W539" s="6" t="s">
        <v>30</v>
      </c>
      <c r="X539" s="2" t="s">
        <v>30</v>
      </c>
      <c r="Y539" s="6" t="str">
        <f aca="false">IF(AND(X539="processed",ISNUMBER(S539)),S539*O539,"")</f>
        <v/>
      </c>
      <c r="Z539" s="6" t="n">
        <f aca="false">IF(ISNUMBER(K539),K539*O539,0)</f>
        <v>111</v>
      </c>
      <c r="AA539" s="2" t="s">
        <v>31</v>
      </c>
      <c r="AB539" s="6" t="n">
        <v>6921</v>
      </c>
      <c r="AC539" s="6" t="n">
        <v>4759</v>
      </c>
      <c r="AD539" s="6" t="n">
        <v>54</v>
      </c>
      <c r="AE539" s="6" t="n">
        <v>1624.00073242188</v>
      </c>
      <c r="AF539" s="8" t="n">
        <v>778.775079197</v>
      </c>
      <c r="AG539" s="11" t="n">
        <v>-0.03225743835</v>
      </c>
      <c r="AH539" s="12" t="n">
        <v>1</v>
      </c>
      <c r="AI539" s="2" t="s">
        <v>317</v>
      </c>
      <c r="AJ539" s="2" t="s">
        <v>403</v>
      </c>
      <c r="AK539" s="2" t="s">
        <v>403</v>
      </c>
    </row>
    <row r="540" customFormat="false" ht="15" hidden="false" customHeight="false" outlineLevel="0" collapsed="false">
      <c r="A540" s="9" t="n">
        <v>537</v>
      </c>
      <c r="B540" s="2" t="s">
        <v>1335</v>
      </c>
      <c r="C540" s="2" t="s">
        <v>681</v>
      </c>
      <c r="D540" s="2" t="s">
        <v>27</v>
      </c>
      <c r="E540" s="2" t="s">
        <v>28</v>
      </c>
      <c r="F540" s="2" t="s">
        <v>1336</v>
      </c>
      <c r="G540" s="2" t="s">
        <v>315</v>
      </c>
      <c r="H540" s="8" t="n">
        <v>729.970233007243</v>
      </c>
      <c r="I540" s="2" t="s">
        <v>316</v>
      </c>
      <c r="J540" s="8" t="n">
        <v>996486.486486487</v>
      </c>
      <c r="K540" s="6" t="n">
        <v>37</v>
      </c>
      <c r="L540" s="2"/>
      <c r="M540" s="10" t="b">
        <f aca="false">TRUE()</f>
        <v>1</v>
      </c>
      <c r="N540" s="9" t="n">
        <f aca="false">IF(H540="","",IF(H540&gt;=Assumptions!$B$5,1,IF(H540&gt;=Assumptions!$B$6,2,IF(H540&gt;=Assumptions!$B$7,3,""))))</f>
        <v>1</v>
      </c>
      <c r="O540" s="9" t="n">
        <f aca="false">IF(N540=1,Assumptions!$B$8,IF(N540=2,Assumptions!$B$9,IF(N540=3,Assumptions!$B$10,0)))</f>
        <v>3</v>
      </c>
      <c r="P540" s="6" t="s">
        <v>30</v>
      </c>
      <c r="Q540" s="6" t="s">
        <v>30</v>
      </c>
      <c r="R540" s="11" t="s">
        <v>30</v>
      </c>
      <c r="S540" s="6" t="s">
        <v>30</v>
      </c>
      <c r="T540" s="11" t="s">
        <v>30</v>
      </c>
      <c r="U540" s="6" t="s">
        <v>30</v>
      </c>
      <c r="V540" s="6" t="s">
        <v>30</v>
      </c>
      <c r="W540" s="6" t="s">
        <v>30</v>
      </c>
      <c r="X540" s="2" t="s">
        <v>30</v>
      </c>
      <c r="Y540" s="6" t="str">
        <f aca="false">IF(AND(X540="processed",ISNUMBER(S540)),S540*O540,"")</f>
        <v/>
      </c>
      <c r="Z540" s="6" t="n">
        <f aca="false">IF(ISNUMBER(K540),K540*O540,0)</f>
        <v>111</v>
      </c>
      <c r="AA540" s="2" t="s">
        <v>31</v>
      </c>
      <c r="AB540" s="6" t="n">
        <v>4501</v>
      </c>
      <c r="AC540" s="6" t="n">
        <v>3956</v>
      </c>
      <c r="AD540" s="6" t="n">
        <v>211</v>
      </c>
      <c r="AE540" s="6" t="n">
        <v>2460.74365234375</v>
      </c>
      <c r="AF540" s="8" t="n">
        <v>706.051873199</v>
      </c>
      <c r="AG540" s="11" t="n">
        <v>0.110263363</v>
      </c>
      <c r="AH540" s="12" t="n">
        <v>1</v>
      </c>
      <c r="AI540" s="2" t="s">
        <v>317</v>
      </c>
      <c r="AJ540" s="2" t="s">
        <v>681</v>
      </c>
      <c r="AK540" s="2" t="s">
        <v>681</v>
      </c>
    </row>
    <row r="541" customFormat="false" ht="15" hidden="false" customHeight="false" outlineLevel="0" collapsed="false">
      <c r="A541" s="9" t="n">
        <v>538</v>
      </c>
      <c r="B541" s="2" t="s">
        <v>1337</v>
      </c>
      <c r="C541" s="2" t="s">
        <v>767</v>
      </c>
      <c r="D541" s="2" t="s">
        <v>70</v>
      </c>
      <c r="E541" s="2" t="s">
        <v>71</v>
      </c>
      <c r="F541" s="2" t="s">
        <v>1338</v>
      </c>
      <c r="G541" s="2" t="s">
        <v>329</v>
      </c>
      <c r="H541" s="8" t="n">
        <v>541.377799726409</v>
      </c>
      <c r="I541" s="2" t="s">
        <v>316</v>
      </c>
      <c r="J541" s="8" t="n">
        <v>925322.727272727</v>
      </c>
      <c r="K541" s="6" t="n">
        <v>110</v>
      </c>
      <c r="L541" s="2"/>
      <c r="M541" s="10" t="b">
        <f aca="false">TRUE()</f>
        <v>1</v>
      </c>
      <c r="N541" s="9" t="n">
        <f aca="false">IF(H541="","",IF(H541&gt;=Assumptions!$B$5,1,IF(H541&gt;=Assumptions!$B$6,2,IF(H541&gt;=Assumptions!$B$7,3,""))))</f>
        <v>3</v>
      </c>
      <c r="O541" s="9" t="n">
        <f aca="false">IF(N541=1,Assumptions!$B$8,IF(N541=2,Assumptions!$B$9,IF(N541=3,Assumptions!$B$10,0)))</f>
        <v>1</v>
      </c>
      <c r="P541" s="6" t="s">
        <v>30</v>
      </c>
      <c r="Q541" s="6" t="s">
        <v>30</v>
      </c>
      <c r="R541" s="11" t="s">
        <v>30</v>
      </c>
      <c r="S541" s="6" t="s">
        <v>30</v>
      </c>
      <c r="T541" s="11" t="s">
        <v>30</v>
      </c>
      <c r="U541" s="6" t="s">
        <v>30</v>
      </c>
      <c r="V541" s="6" t="s">
        <v>30</v>
      </c>
      <c r="W541" s="6" t="s">
        <v>30</v>
      </c>
      <c r="X541" s="2" t="s">
        <v>30</v>
      </c>
      <c r="Y541" s="6" t="str">
        <f aca="false">IF(AND(X541="processed",ISNUMBER(S541)),S541*O541,"")</f>
        <v/>
      </c>
      <c r="Z541" s="6" t="n">
        <f aca="false">IF(ISNUMBER(K541),K541*O541,0)</f>
        <v>110</v>
      </c>
      <c r="AA541" s="2" t="s">
        <v>31</v>
      </c>
      <c r="AB541" s="6" t="n">
        <v>12706</v>
      </c>
      <c r="AC541" s="6" t="n">
        <v>9666</v>
      </c>
      <c r="AD541" s="6" t="n">
        <v>202</v>
      </c>
      <c r="AE541" s="6" t="n">
        <v>2109.376953125</v>
      </c>
      <c r="AF541" s="8" t="n">
        <v>552.142127963</v>
      </c>
      <c r="AG541" s="11" t="n">
        <v>-0.04539282696</v>
      </c>
      <c r="AH541" s="12" t="n">
        <v>1</v>
      </c>
      <c r="AI541" s="2" t="s">
        <v>317</v>
      </c>
      <c r="AJ541" s="2" t="s">
        <v>767</v>
      </c>
      <c r="AK541" s="2" t="s">
        <v>767</v>
      </c>
    </row>
    <row r="542" customFormat="false" ht="15" hidden="false" customHeight="false" outlineLevel="0" collapsed="false">
      <c r="A542" s="9" t="n">
        <v>539</v>
      </c>
      <c r="B542" s="2" t="s">
        <v>1339</v>
      </c>
      <c r="C542" s="2" t="s">
        <v>500</v>
      </c>
      <c r="D542" s="2" t="s">
        <v>70</v>
      </c>
      <c r="E542" s="2" t="s">
        <v>71</v>
      </c>
      <c r="F542" s="2" t="s">
        <v>1340</v>
      </c>
      <c r="G542" s="2" t="s">
        <v>329</v>
      </c>
      <c r="H542" s="8" t="n">
        <v>540.828542929109</v>
      </c>
      <c r="I542" s="2" t="s">
        <v>316</v>
      </c>
      <c r="J542" s="8" t="n">
        <v>873636.363636364</v>
      </c>
      <c r="K542" s="6" t="n">
        <v>110</v>
      </c>
      <c r="L542" s="2"/>
      <c r="M542" s="10" t="b">
        <f aca="false">TRUE()</f>
        <v>1</v>
      </c>
      <c r="N542" s="9" t="n">
        <f aca="false">IF(H542="","",IF(H542&gt;=Assumptions!$B$5,1,IF(H542&gt;=Assumptions!$B$6,2,IF(H542&gt;=Assumptions!$B$7,3,""))))</f>
        <v>3</v>
      </c>
      <c r="O542" s="9" t="n">
        <f aca="false">IF(N542=1,Assumptions!$B$8,IF(N542=2,Assumptions!$B$9,IF(N542=3,Assumptions!$B$10,0)))</f>
        <v>1</v>
      </c>
      <c r="P542" s="6" t="s">
        <v>30</v>
      </c>
      <c r="Q542" s="6" t="s">
        <v>30</v>
      </c>
      <c r="R542" s="11" t="s">
        <v>30</v>
      </c>
      <c r="S542" s="6" t="s">
        <v>30</v>
      </c>
      <c r="T542" s="11" t="s">
        <v>30</v>
      </c>
      <c r="U542" s="6" t="s">
        <v>30</v>
      </c>
      <c r="V542" s="6" t="s">
        <v>30</v>
      </c>
      <c r="W542" s="6" t="s">
        <v>30</v>
      </c>
      <c r="X542" s="2" t="s">
        <v>30</v>
      </c>
      <c r="Y542" s="6" t="str">
        <f aca="false">IF(AND(X542="processed",ISNUMBER(S542)),S542*O542,"")</f>
        <v/>
      </c>
      <c r="Z542" s="6" t="n">
        <f aca="false">IF(ISNUMBER(K542),K542*O542,0)</f>
        <v>110</v>
      </c>
      <c r="AA542" s="2" t="s">
        <v>31</v>
      </c>
      <c r="AB542" s="6" t="n">
        <v>9809</v>
      </c>
      <c r="AC542" s="6" t="n">
        <v>6636</v>
      </c>
      <c r="AD542" s="6" t="n">
        <v>237</v>
      </c>
      <c r="AE542" s="6" t="n">
        <v>2157.66259765625</v>
      </c>
      <c r="AF542" s="8" t="n">
        <v>542.075800329</v>
      </c>
      <c r="AG542" s="11" t="n">
        <v>-0.1399063968</v>
      </c>
      <c r="AH542" s="12" t="n">
        <v>0.999999999999999</v>
      </c>
      <c r="AI542" s="2" t="s">
        <v>317</v>
      </c>
      <c r="AJ542" s="2" t="s">
        <v>500</v>
      </c>
      <c r="AK542" s="2" t="s">
        <v>70</v>
      </c>
    </row>
    <row r="543" customFormat="false" ht="15" hidden="false" customHeight="false" outlineLevel="0" collapsed="false">
      <c r="A543" s="9" t="n">
        <v>540</v>
      </c>
      <c r="B543" s="2" t="s">
        <v>1341</v>
      </c>
      <c r="C543" s="2" t="s">
        <v>767</v>
      </c>
      <c r="D543" s="2" t="s">
        <v>70</v>
      </c>
      <c r="E543" s="2" t="s">
        <v>71</v>
      </c>
      <c r="F543" s="2" t="s">
        <v>1342</v>
      </c>
      <c r="G543" s="2" t="s">
        <v>329</v>
      </c>
      <c r="H543" s="8" t="n">
        <v>593.886218180315</v>
      </c>
      <c r="I543" s="2" t="s">
        <v>316</v>
      </c>
      <c r="J543" s="8" t="n">
        <v>790000</v>
      </c>
      <c r="K543" s="6" t="n">
        <v>108</v>
      </c>
      <c r="L543" s="2"/>
      <c r="M543" s="10" t="b">
        <f aca="false">TRUE()</f>
        <v>1</v>
      </c>
      <c r="N543" s="9" t="n">
        <f aca="false">IF(H543="","",IF(H543&gt;=Assumptions!$B$5,1,IF(H543&gt;=Assumptions!$B$6,2,IF(H543&gt;=Assumptions!$B$7,3,""))))</f>
        <v>3</v>
      </c>
      <c r="O543" s="9" t="n">
        <f aca="false">IF(N543=1,Assumptions!$B$8,IF(N543=2,Assumptions!$B$9,IF(N543=3,Assumptions!$B$10,0)))</f>
        <v>1</v>
      </c>
      <c r="P543" s="6" t="s">
        <v>30</v>
      </c>
      <c r="Q543" s="6" t="s">
        <v>30</v>
      </c>
      <c r="R543" s="11" t="s">
        <v>30</v>
      </c>
      <c r="S543" s="6" t="s">
        <v>30</v>
      </c>
      <c r="T543" s="11" t="s">
        <v>30</v>
      </c>
      <c r="U543" s="6" t="s">
        <v>30</v>
      </c>
      <c r="V543" s="6" t="s">
        <v>30</v>
      </c>
      <c r="W543" s="6" t="s">
        <v>30</v>
      </c>
      <c r="X543" s="2" t="s">
        <v>30</v>
      </c>
      <c r="Y543" s="6" t="str">
        <f aca="false">IF(AND(X543="processed",ISNUMBER(S543)),S543*O543,"")</f>
        <v/>
      </c>
      <c r="Z543" s="6" t="n">
        <f aca="false">IF(ISNUMBER(K543),K543*O543,0)</f>
        <v>108</v>
      </c>
      <c r="AA543" s="2" t="s">
        <v>31</v>
      </c>
      <c r="AB543" s="6" t="n">
        <v>12652</v>
      </c>
      <c r="AC543" s="6" t="n">
        <v>9124</v>
      </c>
      <c r="AD543" s="6" t="n">
        <v>228</v>
      </c>
      <c r="AE543" s="6" t="n">
        <v>1764.81262207031</v>
      </c>
      <c r="AF543" s="8" t="n">
        <v>668.316831683</v>
      </c>
      <c r="AG543" s="11" t="n">
        <v>0.1911121725</v>
      </c>
      <c r="AH543" s="12" t="n">
        <v>0.999999999999998</v>
      </c>
      <c r="AI543" s="2" t="s">
        <v>317</v>
      </c>
      <c r="AJ543" s="2" t="s">
        <v>767</v>
      </c>
      <c r="AK543" s="2" t="s">
        <v>767</v>
      </c>
    </row>
    <row r="544" customFormat="false" ht="15" hidden="false" customHeight="false" outlineLevel="0" collapsed="false">
      <c r="A544" s="9" t="n">
        <v>541</v>
      </c>
      <c r="B544" s="2" t="s">
        <v>1343</v>
      </c>
      <c r="C544" s="2" t="s">
        <v>1344</v>
      </c>
      <c r="D544" s="2" t="s">
        <v>595</v>
      </c>
      <c r="E544" s="2" t="s">
        <v>51</v>
      </c>
      <c r="F544" s="2"/>
      <c r="G544" s="2" t="s">
        <v>597</v>
      </c>
      <c r="H544" s="8" t="n">
        <v>828.979180811056</v>
      </c>
      <c r="I544" s="2" t="s">
        <v>316</v>
      </c>
      <c r="J544" s="8" t="n">
        <v>1385888.88888889</v>
      </c>
      <c r="K544" s="6" t="n">
        <v>36</v>
      </c>
      <c r="L544" s="2"/>
      <c r="M544" s="10" t="b">
        <f aca="false">TRUE()</f>
        <v>1</v>
      </c>
      <c r="N544" s="9" t="n">
        <f aca="false">IF(H544="","",IF(H544&gt;=Assumptions!$B$5,1,IF(H544&gt;=Assumptions!$B$6,2,IF(H544&gt;=Assumptions!$B$7,3,""))))</f>
        <v>1</v>
      </c>
      <c r="O544" s="9" t="n">
        <f aca="false">IF(N544=1,Assumptions!$B$8,IF(N544=2,Assumptions!$B$9,IF(N544=3,Assumptions!$B$10,0)))</f>
        <v>3</v>
      </c>
      <c r="P544" s="6" t="s">
        <v>30</v>
      </c>
      <c r="Q544" s="6" t="s">
        <v>30</v>
      </c>
      <c r="R544" s="11" t="s">
        <v>30</v>
      </c>
      <c r="S544" s="6" t="s">
        <v>30</v>
      </c>
      <c r="T544" s="11" t="s">
        <v>30</v>
      </c>
      <c r="U544" s="6" t="s">
        <v>30</v>
      </c>
      <c r="V544" s="6" t="s">
        <v>30</v>
      </c>
      <c r="W544" s="6" t="s">
        <v>30</v>
      </c>
      <c r="X544" s="2" t="s">
        <v>30</v>
      </c>
      <c r="Y544" s="6" t="str">
        <f aca="false">IF(AND(X544="processed",ISNUMBER(S544)),S544*O544,"")</f>
        <v/>
      </c>
      <c r="Z544" s="6" t="n">
        <f aca="false">IF(ISNUMBER(K544),K544*O544,0)</f>
        <v>108</v>
      </c>
      <c r="AA544" s="2" t="s">
        <v>31</v>
      </c>
      <c r="AB544" s="6" t="n">
        <v>3236</v>
      </c>
      <c r="AC544" s="6" t="n">
        <v>2785</v>
      </c>
      <c r="AD544" s="6" t="n">
        <v>151</v>
      </c>
      <c r="AE544" s="6" t="n">
        <v>1739.16101074219</v>
      </c>
      <c r="AF544" s="8" t="n">
        <v>810.810810811</v>
      </c>
      <c r="AG544" s="11" t="n">
        <v>-0.1346437346</v>
      </c>
      <c r="AH544" s="12" t="n">
        <v>0.959512963384521</v>
      </c>
      <c r="AI544" s="2" t="s">
        <v>317</v>
      </c>
      <c r="AJ544" s="2" t="s">
        <v>1344</v>
      </c>
      <c r="AK544" s="2" t="s">
        <v>756</v>
      </c>
    </row>
    <row r="545" customFormat="false" ht="15" hidden="false" customHeight="false" outlineLevel="0" collapsed="false">
      <c r="A545" s="9" t="n">
        <v>542</v>
      </c>
      <c r="B545" s="2" t="s">
        <v>1345</v>
      </c>
      <c r="C545" s="2" t="s">
        <v>1346</v>
      </c>
      <c r="D545" s="2" t="s">
        <v>190</v>
      </c>
      <c r="E545" s="2" t="s">
        <v>51</v>
      </c>
      <c r="F545" s="2"/>
      <c r="G545" s="2" t="s">
        <v>336</v>
      </c>
      <c r="H545" s="8" t="n">
        <v>728.335559994667</v>
      </c>
      <c r="I545" s="2" t="s">
        <v>316</v>
      </c>
      <c r="J545" s="8" t="n">
        <v>1418222.22222222</v>
      </c>
      <c r="K545" s="6" t="n">
        <v>36</v>
      </c>
      <c r="L545" s="2"/>
      <c r="M545" s="10" t="b">
        <f aca="false">TRUE()</f>
        <v>1</v>
      </c>
      <c r="N545" s="9" t="n">
        <f aca="false">IF(H545="","",IF(H545&gt;=Assumptions!$B$5,1,IF(H545&gt;=Assumptions!$B$6,2,IF(H545&gt;=Assumptions!$B$7,3,""))))</f>
        <v>1</v>
      </c>
      <c r="O545" s="9" t="n">
        <f aca="false">IF(N545=1,Assumptions!$B$8,IF(N545=2,Assumptions!$B$9,IF(N545=3,Assumptions!$B$10,0)))</f>
        <v>3</v>
      </c>
      <c r="P545" s="6" t="s">
        <v>30</v>
      </c>
      <c r="Q545" s="6" t="s">
        <v>30</v>
      </c>
      <c r="R545" s="11" t="s">
        <v>30</v>
      </c>
      <c r="S545" s="6" t="s">
        <v>30</v>
      </c>
      <c r="T545" s="11" t="s">
        <v>30</v>
      </c>
      <c r="U545" s="6" t="s">
        <v>30</v>
      </c>
      <c r="V545" s="6" t="s">
        <v>30</v>
      </c>
      <c r="W545" s="6" t="s">
        <v>30</v>
      </c>
      <c r="X545" s="2" t="s">
        <v>30</v>
      </c>
      <c r="Y545" s="6" t="str">
        <f aca="false">IF(AND(X545="processed",ISNUMBER(S545)),S545*O545,"")</f>
        <v/>
      </c>
      <c r="Z545" s="6" t="n">
        <f aca="false">IF(ISNUMBER(K545),K545*O545,0)</f>
        <v>108</v>
      </c>
      <c r="AA545" s="2" t="s">
        <v>31</v>
      </c>
      <c r="AB545" s="6" t="n">
        <v>2994</v>
      </c>
      <c r="AC545" s="6" t="n">
        <v>2211</v>
      </c>
      <c r="AD545" s="6" t="n">
        <v>296</v>
      </c>
      <c r="AE545" s="6" t="n">
        <v>1706.89587402344</v>
      </c>
      <c r="AF545" s="8" t="n">
        <v>734.357941898</v>
      </c>
      <c r="AG545" s="11" t="n">
        <v>-0.04309236121</v>
      </c>
      <c r="AH545" s="12" t="n">
        <v>0.998288974969095</v>
      </c>
      <c r="AI545" s="2" t="s">
        <v>317</v>
      </c>
      <c r="AJ545" s="2" t="s">
        <v>1346</v>
      </c>
      <c r="AK545" s="2" t="s">
        <v>1346</v>
      </c>
    </row>
    <row r="546" customFormat="false" ht="15" hidden="false" customHeight="false" outlineLevel="0" collapsed="false">
      <c r="A546" s="9" t="n">
        <v>543</v>
      </c>
      <c r="B546" s="2" t="s">
        <v>1347</v>
      </c>
      <c r="C546" s="2" t="s">
        <v>1348</v>
      </c>
      <c r="D546" s="2" t="s">
        <v>105</v>
      </c>
      <c r="E546" s="2" t="s">
        <v>51</v>
      </c>
      <c r="F546" s="2"/>
      <c r="G546" s="2" t="s">
        <v>318</v>
      </c>
      <c r="H546" s="8" t="n">
        <v>507.781857142785</v>
      </c>
      <c r="I546" s="2" t="s">
        <v>316</v>
      </c>
      <c r="J546" s="8" t="n">
        <v>1127710.28037383</v>
      </c>
      <c r="K546" s="6" t="n">
        <v>107</v>
      </c>
      <c r="L546" s="2"/>
      <c r="M546" s="10" t="b">
        <f aca="false">TRUE()</f>
        <v>1</v>
      </c>
      <c r="N546" s="9" t="n">
        <f aca="false">IF(H546="","",IF(H546&gt;=Assumptions!$B$5,1,IF(H546&gt;=Assumptions!$B$6,2,IF(H546&gt;=Assumptions!$B$7,3,""))))</f>
        <v>3</v>
      </c>
      <c r="O546" s="9" t="n">
        <f aca="false">IF(N546=1,Assumptions!$B$8,IF(N546=2,Assumptions!$B$9,IF(N546=3,Assumptions!$B$10,0)))</f>
        <v>1</v>
      </c>
      <c r="P546" s="6" t="s">
        <v>30</v>
      </c>
      <c r="Q546" s="6" t="s">
        <v>30</v>
      </c>
      <c r="R546" s="11" t="s">
        <v>30</v>
      </c>
      <c r="S546" s="6" t="s">
        <v>30</v>
      </c>
      <c r="T546" s="11" t="s">
        <v>30</v>
      </c>
      <c r="U546" s="6" t="s">
        <v>30</v>
      </c>
      <c r="V546" s="6" t="s">
        <v>30</v>
      </c>
      <c r="W546" s="6" t="s">
        <v>30</v>
      </c>
      <c r="X546" s="2" t="s">
        <v>30</v>
      </c>
      <c r="Y546" s="6" t="str">
        <f aca="false">IF(AND(X546="processed",ISNUMBER(S546)),S546*O546,"")</f>
        <v/>
      </c>
      <c r="Z546" s="6" t="n">
        <f aca="false">IF(ISNUMBER(K546),K546*O546,0)</f>
        <v>107</v>
      </c>
      <c r="AA546" s="2" t="s">
        <v>31</v>
      </c>
      <c r="AB546" s="6" t="n">
        <v>5329</v>
      </c>
      <c r="AC546" s="6" t="n">
        <v>4844</v>
      </c>
      <c r="AD546" s="6" t="n">
        <v>4796</v>
      </c>
      <c r="AE546" s="6" t="n">
        <v>2704.99291992188</v>
      </c>
      <c r="AF546" s="8" t="n">
        <v>510.107526882</v>
      </c>
      <c r="AG546" s="11" t="n">
        <v>-0.06267741935</v>
      </c>
      <c r="AH546" s="12" t="n">
        <v>1.00000000000001</v>
      </c>
      <c r="AI546" s="2" t="s">
        <v>317</v>
      </c>
      <c r="AJ546" s="2" t="s">
        <v>1348</v>
      </c>
      <c r="AK546" s="2" t="s">
        <v>1348</v>
      </c>
    </row>
    <row r="547" customFormat="false" ht="15" hidden="false" customHeight="false" outlineLevel="0" collapsed="false">
      <c r="A547" s="9" t="n">
        <v>544</v>
      </c>
      <c r="B547" s="2" t="s">
        <v>1349</v>
      </c>
      <c r="C547" s="2" t="s">
        <v>1350</v>
      </c>
      <c r="D547" s="2" t="s">
        <v>44</v>
      </c>
      <c r="E547" s="2" t="s">
        <v>44</v>
      </c>
      <c r="F547" s="2" t="s">
        <v>1351</v>
      </c>
      <c r="G547" s="2" t="s">
        <v>322</v>
      </c>
      <c r="H547" s="8" t="n">
        <v>542.968108846991</v>
      </c>
      <c r="I547" s="2" t="s">
        <v>316</v>
      </c>
      <c r="J547" s="8" t="n">
        <v>1167679.24528302</v>
      </c>
      <c r="K547" s="6" t="n">
        <v>106</v>
      </c>
      <c r="L547" s="2"/>
      <c r="M547" s="10" t="b">
        <f aca="false">TRUE()</f>
        <v>1</v>
      </c>
      <c r="N547" s="9" t="n">
        <f aca="false">IF(H547="","",IF(H547&gt;=Assumptions!$B$5,1,IF(H547&gt;=Assumptions!$B$6,2,IF(H547&gt;=Assumptions!$B$7,3,""))))</f>
        <v>3</v>
      </c>
      <c r="O547" s="9" t="n">
        <f aca="false">IF(N547=1,Assumptions!$B$8,IF(N547=2,Assumptions!$B$9,IF(N547=3,Assumptions!$B$10,0)))</f>
        <v>1</v>
      </c>
      <c r="P547" s="6" t="s">
        <v>30</v>
      </c>
      <c r="Q547" s="6" t="s">
        <v>30</v>
      </c>
      <c r="R547" s="11" t="s">
        <v>30</v>
      </c>
      <c r="S547" s="6" t="s">
        <v>30</v>
      </c>
      <c r="T547" s="11" t="s">
        <v>30</v>
      </c>
      <c r="U547" s="6" t="s">
        <v>30</v>
      </c>
      <c r="V547" s="6" t="s">
        <v>30</v>
      </c>
      <c r="W547" s="6" t="s">
        <v>30</v>
      </c>
      <c r="X547" s="2" t="s">
        <v>30</v>
      </c>
      <c r="Y547" s="6" t="str">
        <f aca="false">IF(AND(X547="processed",ISNUMBER(S547)),S547*O547,"")</f>
        <v/>
      </c>
      <c r="Z547" s="6" t="n">
        <f aca="false">IF(ISNUMBER(K547),K547*O547,0)</f>
        <v>106</v>
      </c>
      <c r="AA547" s="2" t="s">
        <v>31</v>
      </c>
      <c r="AB547" s="6" t="n">
        <v>9506</v>
      </c>
      <c r="AC547" s="6" t="n">
        <v>6408</v>
      </c>
      <c r="AD547" s="6" t="n">
        <v>2024</v>
      </c>
      <c r="AE547" s="6" t="n">
        <v>2922.89111328125</v>
      </c>
      <c r="AF547" s="8" t="n">
        <v>558.126450499</v>
      </c>
      <c r="AG547" s="11" t="n">
        <v>-0.03192857243</v>
      </c>
      <c r="AH547" s="12" t="n">
        <v>1</v>
      </c>
      <c r="AI547" s="2" t="s">
        <v>317</v>
      </c>
      <c r="AJ547" s="2" t="s">
        <v>1350</v>
      </c>
      <c r="AK547" s="2" t="s">
        <v>993</v>
      </c>
    </row>
    <row r="548" customFormat="false" ht="15" hidden="false" customHeight="false" outlineLevel="0" collapsed="false">
      <c r="A548" s="9" t="n">
        <v>545</v>
      </c>
      <c r="B548" s="2" t="s">
        <v>1352</v>
      </c>
      <c r="C548" s="2" t="s">
        <v>1353</v>
      </c>
      <c r="D548" s="2" t="s">
        <v>70</v>
      </c>
      <c r="E548" s="2" t="s">
        <v>71</v>
      </c>
      <c r="F548" s="2" t="s">
        <v>1354</v>
      </c>
      <c r="G548" s="2" t="s">
        <v>329</v>
      </c>
      <c r="H548" s="8" t="n">
        <v>571.711007306943</v>
      </c>
      <c r="I548" s="2" t="s">
        <v>316</v>
      </c>
      <c r="J548" s="8" t="n">
        <v>776833.333333333</v>
      </c>
      <c r="K548" s="6" t="n">
        <v>105</v>
      </c>
      <c r="L548" s="2"/>
      <c r="M548" s="10" t="b">
        <f aca="false">TRUE()</f>
        <v>1</v>
      </c>
      <c r="N548" s="9" t="n">
        <f aca="false">IF(H548="","",IF(H548&gt;=Assumptions!$B$5,1,IF(H548&gt;=Assumptions!$B$6,2,IF(H548&gt;=Assumptions!$B$7,3,""))))</f>
        <v>3</v>
      </c>
      <c r="O548" s="9" t="n">
        <f aca="false">IF(N548=1,Assumptions!$B$8,IF(N548=2,Assumptions!$B$9,IF(N548=3,Assumptions!$B$10,0)))</f>
        <v>1</v>
      </c>
      <c r="P548" s="6" t="s">
        <v>30</v>
      </c>
      <c r="Q548" s="6" t="s">
        <v>30</v>
      </c>
      <c r="R548" s="11" t="s">
        <v>30</v>
      </c>
      <c r="S548" s="6" t="s">
        <v>30</v>
      </c>
      <c r="T548" s="11" t="s">
        <v>30</v>
      </c>
      <c r="U548" s="6" t="s">
        <v>30</v>
      </c>
      <c r="V548" s="6" t="s">
        <v>30</v>
      </c>
      <c r="W548" s="6" t="s">
        <v>30</v>
      </c>
      <c r="X548" s="2" t="s">
        <v>30</v>
      </c>
      <c r="Y548" s="6" t="str">
        <f aca="false">IF(AND(X548="processed",ISNUMBER(S548)),S548*O548,"")</f>
        <v/>
      </c>
      <c r="Z548" s="6" t="n">
        <f aca="false">IF(ISNUMBER(K548),K548*O548,0)</f>
        <v>105</v>
      </c>
      <c r="AA548" s="2" t="s">
        <v>31</v>
      </c>
      <c r="AB548" s="6" t="n">
        <v>11410</v>
      </c>
      <c r="AC548" s="6" t="n">
        <v>7497</v>
      </c>
      <c r="AD548" s="6" t="n">
        <v>204</v>
      </c>
      <c r="AE548" s="6" t="n">
        <v>2065.61352539063</v>
      </c>
      <c r="AF548" s="8" t="n">
        <v>529.747351263</v>
      </c>
      <c r="AG548" s="11" t="n">
        <v>-0.1277143486</v>
      </c>
      <c r="AH548" s="12" t="n">
        <v>1</v>
      </c>
      <c r="AI548" s="2" t="s">
        <v>317</v>
      </c>
      <c r="AJ548" s="2" t="s">
        <v>1353</v>
      </c>
      <c r="AK548" s="2" t="s">
        <v>70</v>
      </c>
    </row>
    <row r="549" customFormat="false" ht="15" hidden="false" customHeight="false" outlineLevel="0" collapsed="false">
      <c r="A549" s="9" t="n">
        <v>546</v>
      </c>
      <c r="B549" s="2" t="s">
        <v>1355</v>
      </c>
      <c r="C549" s="2" t="s">
        <v>44</v>
      </c>
      <c r="D549" s="2" t="s">
        <v>44</v>
      </c>
      <c r="E549" s="2" t="s">
        <v>44</v>
      </c>
      <c r="F549" s="2" t="s">
        <v>1356</v>
      </c>
      <c r="G549" s="2" t="s">
        <v>322</v>
      </c>
      <c r="H549" s="8" t="n">
        <v>525.060528856381</v>
      </c>
      <c r="I549" s="2" t="s">
        <v>316</v>
      </c>
      <c r="J549" s="8" t="n">
        <v>762114.285714286</v>
      </c>
      <c r="K549" s="6" t="n">
        <v>105</v>
      </c>
      <c r="L549" s="2"/>
      <c r="M549" s="10" t="b">
        <f aca="false">TRUE()</f>
        <v>1</v>
      </c>
      <c r="N549" s="9" t="n">
        <f aca="false">IF(H549="","",IF(H549&gt;=Assumptions!$B$5,1,IF(H549&gt;=Assumptions!$B$6,2,IF(H549&gt;=Assumptions!$B$7,3,""))))</f>
        <v>3</v>
      </c>
      <c r="O549" s="9" t="n">
        <f aca="false">IF(N549=1,Assumptions!$B$8,IF(N549=2,Assumptions!$B$9,IF(N549=3,Assumptions!$B$10,0)))</f>
        <v>1</v>
      </c>
      <c r="P549" s="6" t="s">
        <v>30</v>
      </c>
      <c r="Q549" s="6" t="s">
        <v>30</v>
      </c>
      <c r="R549" s="11" t="s">
        <v>30</v>
      </c>
      <c r="S549" s="6" t="s">
        <v>30</v>
      </c>
      <c r="T549" s="11" t="s">
        <v>30</v>
      </c>
      <c r="U549" s="6" t="s">
        <v>30</v>
      </c>
      <c r="V549" s="6" t="s">
        <v>30</v>
      </c>
      <c r="W549" s="6" t="s">
        <v>30</v>
      </c>
      <c r="X549" s="2" t="s">
        <v>30</v>
      </c>
      <c r="Y549" s="6" t="str">
        <f aca="false">IF(AND(X549="processed",ISNUMBER(S549)),S549*O549,"")</f>
        <v/>
      </c>
      <c r="Z549" s="6" t="n">
        <f aca="false">IF(ISNUMBER(K549),K549*O549,0)</f>
        <v>105</v>
      </c>
      <c r="AA549" s="2" t="s">
        <v>31</v>
      </c>
      <c r="AB549" s="6" t="n">
        <v>7444</v>
      </c>
      <c r="AC549" s="6" t="n">
        <v>6795</v>
      </c>
      <c r="AD549" s="6" t="n">
        <v>6675</v>
      </c>
      <c r="AE549" s="6" t="n">
        <v>2151.54028320313</v>
      </c>
      <c r="AF549" s="8" t="n">
        <v>535.51984879</v>
      </c>
      <c r="AG549" s="11" t="n">
        <v>-0.04238394336</v>
      </c>
      <c r="AH549" s="12" t="n">
        <v>0.999999999999999</v>
      </c>
      <c r="AI549" s="2" t="s">
        <v>317</v>
      </c>
      <c r="AJ549" s="2" t="s">
        <v>44</v>
      </c>
      <c r="AK549" s="2" t="s">
        <v>44</v>
      </c>
    </row>
    <row r="550" customFormat="false" ht="15" hidden="false" customHeight="false" outlineLevel="0" collapsed="false">
      <c r="A550" s="9" t="n">
        <v>547</v>
      </c>
      <c r="B550" s="2" t="s">
        <v>1357</v>
      </c>
      <c r="C550" s="2" t="s">
        <v>70</v>
      </c>
      <c r="D550" s="2" t="s">
        <v>70</v>
      </c>
      <c r="E550" s="2" t="s">
        <v>71</v>
      </c>
      <c r="F550" s="2" t="s">
        <v>1358</v>
      </c>
      <c r="G550" s="2" t="s">
        <v>329</v>
      </c>
      <c r="H550" s="8" t="n">
        <v>667.210702839865</v>
      </c>
      <c r="I550" s="2" t="s">
        <v>316</v>
      </c>
      <c r="J550" s="8" t="n">
        <v>1729711.53846154</v>
      </c>
      <c r="K550" s="6" t="n">
        <v>52</v>
      </c>
      <c r="L550" s="2"/>
      <c r="M550" s="10" t="b">
        <f aca="false">TRUE()</f>
        <v>1</v>
      </c>
      <c r="N550" s="9" t="n">
        <f aca="false">IF(H550="","",IF(H550&gt;=Assumptions!$B$5,1,IF(H550&gt;=Assumptions!$B$6,2,IF(H550&gt;=Assumptions!$B$7,3,""))))</f>
        <v>2</v>
      </c>
      <c r="O550" s="9" t="n">
        <f aca="false">IF(N550=1,Assumptions!$B$8,IF(N550=2,Assumptions!$B$9,IF(N550=3,Assumptions!$B$10,0)))</f>
        <v>2</v>
      </c>
      <c r="P550" s="6" t="s">
        <v>30</v>
      </c>
      <c r="Q550" s="6" t="s">
        <v>30</v>
      </c>
      <c r="R550" s="11" t="s">
        <v>30</v>
      </c>
      <c r="S550" s="6" t="s">
        <v>30</v>
      </c>
      <c r="T550" s="11" t="s">
        <v>30</v>
      </c>
      <c r="U550" s="6" t="s">
        <v>30</v>
      </c>
      <c r="V550" s="6" t="s">
        <v>30</v>
      </c>
      <c r="W550" s="6" t="s">
        <v>30</v>
      </c>
      <c r="X550" s="2" t="s">
        <v>30</v>
      </c>
      <c r="Y550" s="6" t="str">
        <f aca="false">IF(AND(X550="processed",ISNUMBER(S550)),S550*O550,"")</f>
        <v/>
      </c>
      <c r="Z550" s="6" t="n">
        <f aca="false">IF(ISNUMBER(K550),K550*O550,0)</f>
        <v>104</v>
      </c>
      <c r="AA550" s="2" t="s">
        <v>31</v>
      </c>
      <c r="AB550" s="6" t="n">
        <v>3308</v>
      </c>
      <c r="AC550" s="6" t="n">
        <v>2665</v>
      </c>
      <c r="AD550" s="6" t="n">
        <v>13</v>
      </c>
      <c r="AE550" s="6" t="n">
        <v>3392.72900390625</v>
      </c>
      <c r="AF550" s="8" t="n">
        <v>640.586034913</v>
      </c>
      <c r="AG550" s="11" t="n">
        <v>-0.078066876</v>
      </c>
      <c r="AH550" s="12" t="n">
        <v>1</v>
      </c>
      <c r="AI550" s="2" t="s">
        <v>317</v>
      </c>
      <c r="AJ550" s="2" t="s">
        <v>70</v>
      </c>
      <c r="AK550" s="2" t="s">
        <v>70</v>
      </c>
    </row>
    <row r="551" customFormat="false" ht="15" hidden="false" customHeight="false" outlineLevel="0" collapsed="false">
      <c r="A551" s="9" t="n">
        <v>548</v>
      </c>
      <c r="B551" s="2" t="s">
        <v>1359</v>
      </c>
      <c r="C551" s="2" t="s">
        <v>1360</v>
      </c>
      <c r="D551" s="2" t="s">
        <v>595</v>
      </c>
      <c r="E551" s="2" t="s">
        <v>51</v>
      </c>
      <c r="F551" s="2"/>
      <c r="G551" s="2" t="s">
        <v>597</v>
      </c>
      <c r="H551" s="8" t="n">
        <v>589.791622954817</v>
      </c>
      <c r="I551" s="2" t="s">
        <v>316</v>
      </c>
      <c r="J551" s="8" t="n">
        <v>810961.538461539</v>
      </c>
      <c r="K551" s="6" t="n">
        <v>104</v>
      </c>
      <c r="L551" s="2"/>
      <c r="M551" s="10" t="b">
        <f aca="false">TRUE()</f>
        <v>1</v>
      </c>
      <c r="N551" s="9" t="n">
        <f aca="false">IF(H551="","",IF(H551&gt;=Assumptions!$B$5,1,IF(H551&gt;=Assumptions!$B$6,2,IF(H551&gt;=Assumptions!$B$7,3,""))))</f>
        <v>3</v>
      </c>
      <c r="O551" s="9" t="n">
        <f aca="false">IF(N551=1,Assumptions!$B$8,IF(N551=2,Assumptions!$B$9,IF(N551=3,Assumptions!$B$10,0)))</f>
        <v>1</v>
      </c>
      <c r="P551" s="6" t="s">
        <v>30</v>
      </c>
      <c r="Q551" s="6" t="s">
        <v>30</v>
      </c>
      <c r="R551" s="11" t="s">
        <v>30</v>
      </c>
      <c r="S551" s="6" t="s">
        <v>30</v>
      </c>
      <c r="T551" s="11" t="s">
        <v>30</v>
      </c>
      <c r="U551" s="6" t="s">
        <v>30</v>
      </c>
      <c r="V551" s="6" t="s">
        <v>30</v>
      </c>
      <c r="W551" s="6" t="s">
        <v>30</v>
      </c>
      <c r="X551" s="2" t="s">
        <v>30</v>
      </c>
      <c r="Y551" s="6" t="str">
        <f aca="false">IF(AND(X551="processed",ISNUMBER(S551)),S551*O551,"")</f>
        <v/>
      </c>
      <c r="Z551" s="6" t="n">
        <f aca="false">IF(ISNUMBER(K551),K551*O551,0)</f>
        <v>104</v>
      </c>
      <c r="AA551" s="2" t="s">
        <v>31</v>
      </c>
      <c r="AB551" s="6" t="n">
        <v>5752</v>
      </c>
      <c r="AC551" s="6" t="n">
        <v>5096</v>
      </c>
      <c r="AD551" s="6" t="n">
        <v>68</v>
      </c>
      <c r="AE551" s="6" t="n">
        <v>1922.98791503906</v>
      </c>
      <c r="AF551" s="8" t="n">
        <v>578.125</v>
      </c>
      <c r="AG551" s="11" t="n">
        <v>0.02712563452</v>
      </c>
      <c r="AH551" s="12" t="n">
        <v>1</v>
      </c>
      <c r="AI551" s="2" t="s">
        <v>317</v>
      </c>
      <c r="AJ551" s="2" t="s">
        <v>1360</v>
      </c>
      <c r="AK551" s="2" t="s">
        <v>1360</v>
      </c>
    </row>
    <row r="552" customFormat="false" ht="15" hidden="false" customHeight="false" outlineLevel="0" collapsed="false">
      <c r="A552" s="9" t="n">
        <v>549</v>
      </c>
      <c r="B552" s="2" t="s">
        <v>1361</v>
      </c>
      <c r="C552" s="2" t="s">
        <v>1362</v>
      </c>
      <c r="D552" s="2" t="s">
        <v>50</v>
      </c>
      <c r="E552" s="2" t="s">
        <v>51</v>
      </c>
      <c r="F552" s="2" t="s">
        <v>1363</v>
      </c>
      <c r="G552" s="2" t="s">
        <v>323</v>
      </c>
      <c r="H552" s="8" t="n">
        <v>628.161990451135</v>
      </c>
      <c r="I552" s="2" t="s">
        <v>316</v>
      </c>
      <c r="J552" s="8" t="n">
        <v>990048.076923077</v>
      </c>
      <c r="K552" s="6" t="n">
        <v>52</v>
      </c>
      <c r="L552" s="2"/>
      <c r="M552" s="10" t="b">
        <f aca="false">TRUE()</f>
        <v>1</v>
      </c>
      <c r="N552" s="9" t="n">
        <f aca="false">IF(H552="","",IF(H552&gt;=Assumptions!$B$5,1,IF(H552&gt;=Assumptions!$B$6,2,IF(H552&gt;=Assumptions!$B$7,3,""))))</f>
        <v>2</v>
      </c>
      <c r="O552" s="9" t="n">
        <f aca="false">IF(N552=1,Assumptions!$B$8,IF(N552=2,Assumptions!$B$9,IF(N552=3,Assumptions!$B$10,0)))</f>
        <v>2</v>
      </c>
      <c r="P552" s="6" t="s">
        <v>30</v>
      </c>
      <c r="Q552" s="6" t="s">
        <v>30</v>
      </c>
      <c r="R552" s="11" t="s">
        <v>30</v>
      </c>
      <c r="S552" s="6" t="s">
        <v>30</v>
      </c>
      <c r="T552" s="11" t="s">
        <v>30</v>
      </c>
      <c r="U552" s="6" t="s">
        <v>30</v>
      </c>
      <c r="V552" s="6" t="s">
        <v>30</v>
      </c>
      <c r="W552" s="6" t="s">
        <v>30</v>
      </c>
      <c r="X552" s="2" t="s">
        <v>30</v>
      </c>
      <c r="Y552" s="6" t="str">
        <f aca="false">IF(AND(X552="processed",ISNUMBER(S552)),S552*O552,"")</f>
        <v/>
      </c>
      <c r="Z552" s="6" t="n">
        <f aca="false">IF(ISNUMBER(K552),K552*O552,0)</f>
        <v>104</v>
      </c>
      <c r="AA552" s="2" t="s">
        <v>31</v>
      </c>
      <c r="AB552" s="6" t="n">
        <v>1506</v>
      </c>
      <c r="AC552" s="6" t="n">
        <v>1396</v>
      </c>
      <c r="AD552" s="6" t="n">
        <v>1263</v>
      </c>
      <c r="AE552" s="6" t="n">
        <v>1496.06921386719</v>
      </c>
      <c r="AF552" s="8" t="n">
        <v>686.425455479</v>
      </c>
      <c r="AG552" s="11" t="n">
        <v>-0.1017316808</v>
      </c>
      <c r="AH552" s="12" t="n">
        <v>0.999999999999998</v>
      </c>
      <c r="AI552" s="2" t="s">
        <v>317</v>
      </c>
      <c r="AJ552" s="2" t="s">
        <v>1362</v>
      </c>
      <c r="AK552" s="2" t="s">
        <v>1364</v>
      </c>
    </row>
    <row r="553" customFormat="false" ht="15" hidden="false" customHeight="false" outlineLevel="0" collapsed="false">
      <c r="A553" s="9" t="n">
        <v>550</v>
      </c>
      <c r="B553" s="2" t="s">
        <v>1365</v>
      </c>
      <c r="C553" s="2" t="s">
        <v>266</v>
      </c>
      <c r="D553" s="2" t="s">
        <v>34</v>
      </c>
      <c r="E553" s="2" t="s">
        <v>35</v>
      </c>
      <c r="F553" s="2"/>
      <c r="G553" s="2" t="s">
        <v>318</v>
      </c>
      <c r="H553" s="8" t="n">
        <v>593.089471439214</v>
      </c>
      <c r="I553" s="2" t="s">
        <v>316</v>
      </c>
      <c r="J553" s="8" t="n">
        <v>1372524.27184466</v>
      </c>
      <c r="K553" s="6" t="n">
        <v>103</v>
      </c>
      <c r="L553" s="2"/>
      <c r="M553" s="10" t="b">
        <f aca="false">TRUE()</f>
        <v>1</v>
      </c>
      <c r="N553" s="9" t="n">
        <f aca="false">IF(H553="","",IF(H553&gt;=Assumptions!$B$5,1,IF(H553&gt;=Assumptions!$B$6,2,IF(H553&gt;=Assumptions!$B$7,3,""))))</f>
        <v>3</v>
      </c>
      <c r="O553" s="9" t="n">
        <f aca="false">IF(N553=1,Assumptions!$B$8,IF(N553=2,Assumptions!$B$9,IF(N553=3,Assumptions!$B$10,0)))</f>
        <v>1</v>
      </c>
      <c r="P553" s="6" t="s">
        <v>30</v>
      </c>
      <c r="Q553" s="6" t="s">
        <v>30</v>
      </c>
      <c r="R553" s="11" t="s">
        <v>30</v>
      </c>
      <c r="S553" s="6" t="s">
        <v>30</v>
      </c>
      <c r="T553" s="11" t="s">
        <v>30</v>
      </c>
      <c r="U553" s="6" t="s">
        <v>30</v>
      </c>
      <c r="V553" s="6" t="s">
        <v>30</v>
      </c>
      <c r="W553" s="6" t="s">
        <v>30</v>
      </c>
      <c r="X553" s="2" t="s">
        <v>30</v>
      </c>
      <c r="Y553" s="6" t="str">
        <f aca="false">IF(AND(X553="processed",ISNUMBER(S553)),S553*O553,"")</f>
        <v/>
      </c>
      <c r="Z553" s="6" t="n">
        <f aca="false">IF(ISNUMBER(K553),K553*O553,0)</f>
        <v>103</v>
      </c>
      <c r="AA553" s="2" t="s">
        <v>31</v>
      </c>
      <c r="AB553" s="6" t="n">
        <v>4361</v>
      </c>
      <c r="AC553" s="6" t="n">
        <v>3834</v>
      </c>
      <c r="AD553" s="6" t="n">
        <v>1755</v>
      </c>
      <c r="AE553" s="6" t="n">
        <v>2275.82080078125</v>
      </c>
      <c r="AF553" s="8" t="n">
        <v>575.091377672</v>
      </c>
      <c r="AG553" s="11" t="n">
        <v>-0.102050305</v>
      </c>
      <c r="AH553" s="12" t="n">
        <v>0.999999999999998</v>
      </c>
      <c r="AI553" s="2" t="s">
        <v>319</v>
      </c>
      <c r="AJ553" s="2"/>
      <c r="AK553" s="2" t="s">
        <v>266</v>
      </c>
    </row>
    <row r="554" customFormat="false" ht="15" hidden="false" customHeight="false" outlineLevel="0" collapsed="false">
      <c r="A554" s="9" t="n">
        <v>551</v>
      </c>
      <c r="B554" s="2" t="s">
        <v>1366</v>
      </c>
      <c r="C554" s="2" t="s">
        <v>153</v>
      </c>
      <c r="D554" s="2" t="s">
        <v>70</v>
      </c>
      <c r="E554" s="2" t="s">
        <v>71</v>
      </c>
      <c r="F554" s="2"/>
      <c r="G554" s="2" t="s">
        <v>329</v>
      </c>
      <c r="H554" s="8" t="n">
        <v>1268.05768184612</v>
      </c>
      <c r="I554" s="2" t="s">
        <v>316</v>
      </c>
      <c r="J554" s="8" t="n">
        <v>2662308.82352941</v>
      </c>
      <c r="K554" s="6" t="n">
        <v>34</v>
      </c>
      <c r="L554" s="2"/>
      <c r="M554" s="10" t="b">
        <f aca="false">TRUE()</f>
        <v>1</v>
      </c>
      <c r="N554" s="9" t="n">
        <f aca="false">IF(H554="","",IF(H554&gt;=Assumptions!$B$5,1,IF(H554&gt;=Assumptions!$B$6,2,IF(H554&gt;=Assumptions!$B$7,3,""))))</f>
        <v>1</v>
      </c>
      <c r="O554" s="9" t="n">
        <f aca="false">IF(N554=1,Assumptions!$B$8,IF(N554=2,Assumptions!$B$9,IF(N554=3,Assumptions!$B$10,0)))</f>
        <v>3</v>
      </c>
      <c r="P554" s="6" t="s">
        <v>30</v>
      </c>
      <c r="Q554" s="6" t="s">
        <v>30</v>
      </c>
      <c r="R554" s="11" t="s">
        <v>30</v>
      </c>
      <c r="S554" s="6" t="s">
        <v>30</v>
      </c>
      <c r="T554" s="11" t="s">
        <v>30</v>
      </c>
      <c r="U554" s="6" t="s">
        <v>30</v>
      </c>
      <c r="V554" s="6" t="s">
        <v>30</v>
      </c>
      <c r="W554" s="6" t="s">
        <v>30</v>
      </c>
      <c r="X554" s="2" t="s">
        <v>30</v>
      </c>
      <c r="Y554" s="6" t="str">
        <f aca="false">IF(AND(X554="processed",ISNUMBER(S554)),S554*O554,"")</f>
        <v/>
      </c>
      <c r="Z554" s="6" t="n">
        <f aca="false">IF(ISNUMBER(K554),K554*O554,0)</f>
        <v>102</v>
      </c>
      <c r="AA554" s="2" t="s">
        <v>31</v>
      </c>
      <c r="AB554" s="6" t="n">
        <v>2855</v>
      </c>
      <c r="AC554" s="6" t="n">
        <v>1875</v>
      </c>
      <c r="AD554" s="6" t="n">
        <v>14</v>
      </c>
      <c r="AE554" s="6" t="n">
        <v>2224.13989257813</v>
      </c>
      <c r="AF554" s="8" t="n">
        <v>1504.156769596</v>
      </c>
      <c r="AG554" s="11" t="n">
        <v>0.4478095361</v>
      </c>
      <c r="AH554" s="12" t="n">
        <v>1</v>
      </c>
      <c r="AI554" s="2" t="s">
        <v>317</v>
      </c>
      <c r="AJ554" s="2" t="s">
        <v>153</v>
      </c>
      <c r="AK554" s="2" t="s">
        <v>153</v>
      </c>
    </row>
    <row r="555" customFormat="false" ht="15" hidden="false" customHeight="false" outlineLevel="0" collapsed="false">
      <c r="A555" s="9" t="n">
        <v>552</v>
      </c>
      <c r="B555" s="2" t="s">
        <v>1367</v>
      </c>
      <c r="C555" s="2" t="s">
        <v>1368</v>
      </c>
      <c r="D555" s="2" t="s">
        <v>70</v>
      </c>
      <c r="E555" s="2" t="s">
        <v>71</v>
      </c>
      <c r="F555" s="2" t="s">
        <v>1369</v>
      </c>
      <c r="G555" s="2" t="s">
        <v>329</v>
      </c>
      <c r="H555" s="8" t="n">
        <v>1103.52644390535</v>
      </c>
      <c r="I555" s="2" t="s">
        <v>316</v>
      </c>
      <c r="J555" s="8" t="n">
        <v>3197294.11764706</v>
      </c>
      <c r="K555" s="6" t="n">
        <v>34</v>
      </c>
      <c r="L555" s="2"/>
      <c r="M555" s="10" t="b">
        <f aca="false">TRUE()</f>
        <v>1</v>
      </c>
      <c r="N555" s="9" t="n">
        <f aca="false">IF(H555="","",IF(H555&gt;=Assumptions!$B$5,1,IF(H555&gt;=Assumptions!$B$6,2,IF(H555&gt;=Assumptions!$B$7,3,""))))</f>
        <v>1</v>
      </c>
      <c r="O555" s="9" t="n">
        <f aca="false">IF(N555=1,Assumptions!$B$8,IF(N555=2,Assumptions!$B$9,IF(N555=3,Assumptions!$B$10,0)))</f>
        <v>3</v>
      </c>
      <c r="P555" s="6" t="s">
        <v>30</v>
      </c>
      <c r="Q555" s="6" t="s">
        <v>30</v>
      </c>
      <c r="R555" s="11" t="s">
        <v>30</v>
      </c>
      <c r="S555" s="6" t="s">
        <v>30</v>
      </c>
      <c r="T555" s="11" t="s">
        <v>30</v>
      </c>
      <c r="U555" s="6" t="s">
        <v>30</v>
      </c>
      <c r="V555" s="6" t="s">
        <v>30</v>
      </c>
      <c r="W555" s="6" t="s">
        <v>30</v>
      </c>
      <c r="X555" s="2" t="s">
        <v>30</v>
      </c>
      <c r="Y555" s="6" t="str">
        <f aca="false">IF(AND(X555="processed",ISNUMBER(S555)),S555*O555,"")</f>
        <v/>
      </c>
      <c r="Z555" s="6" t="n">
        <f aca="false">IF(ISNUMBER(K555),K555*O555,0)</f>
        <v>102</v>
      </c>
      <c r="AA555" s="2" t="s">
        <v>31</v>
      </c>
      <c r="AB555" s="6" t="n">
        <v>2332</v>
      </c>
      <c r="AC555" s="6" t="n">
        <v>1622</v>
      </c>
      <c r="AD555" s="6" t="n">
        <v>39</v>
      </c>
      <c r="AE555" s="6" t="n">
        <v>1951.05993652344</v>
      </c>
      <c r="AF555" s="8" t="n">
        <v>1141.417136081</v>
      </c>
      <c r="AG555" s="11" t="n">
        <v>0.2662802629</v>
      </c>
      <c r="AH555" s="12" t="n">
        <v>0.894642740676821</v>
      </c>
      <c r="AI555" s="2" t="s">
        <v>317</v>
      </c>
      <c r="AJ555" s="2" t="s">
        <v>1368</v>
      </c>
      <c r="AK555" s="2" t="s">
        <v>70</v>
      </c>
    </row>
    <row r="556" customFormat="false" ht="15" hidden="false" customHeight="false" outlineLevel="0" collapsed="false">
      <c r="A556" s="9" t="n">
        <v>553</v>
      </c>
      <c r="B556" s="2" t="s">
        <v>1370</v>
      </c>
      <c r="C556" s="2" t="s">
        <v>70</v>
      </c>
      <c r="D556" s="2" t="s">
        <v>70</v>
      </c>
      <c r="E556" s="2" t="s">
        <v>71</v>
      </c>
      <c r="F556" s="2"/>
      <c r="G556" s="2" t="s">
        <v>329</v>
      </c>
      <c r="H556" s="8" t="n">
        <v>532.0367721299</v>
      </c>
      <c r="I556" s="2" t="s">
        <v>316</v>
      </c>
      <c r="J556" s="8" t="n">
        <v>613750</v>
      </c>
      <c r="K556" s="6" t="n">
        <v>100</v>
      </c>
      <c r="L556" s="2"/>
      <c r="M556" s="10" t="b">
        <f aca="false">TRUE()</f>
        <v>1</v>
      </c>
      <c r="N556" s="9" t="n">
        <f aca="false">IF(H556="","",IF(H556&gt;=Assumptions!$B$5,1,IF(H556&gt;=Assumptions!$B$6,2,IF(H556&gt;=Assumptions!$B$7,3,""))))</f>
        <v>3</v>
      </c>
      <c r="O556" s="9" t="n">
        <f aca="false">IF(N556=1,Assumptions!$B$8,IF(N556=2,Assumptions!$B$9,IF(N556=3,Assumptions!$B$10,0)))</f>
        <v>1</v>
      </c>
      <c r="P556" s="6" t="s">
        <v>30</v>
      </c>
      <c r="Q556" s="6" t="s">
        <v>30</v>
      </c>
      <c r="R556" s="11" t="s">
        <v>30</v>
      </c>
      <c r="S556" s="6" t="s">
        <v>30</v>
      </c>
      <c r="T556" s="11" t="s">
        <v>30</v>
      </c>
      <c r="U556" s="6" t="s">
        <v>30</v>
      </c>
      <c r="V556" s="6" t="s">
        <v>30</v>
      </c>
      <c r="W556" s="6" t="s">
        <v>30</v>
      </c>
      <c r="X556" s="2" t="s">
        <v>30</v>
      </c>
      <c r="Y556" s="6" t="str">
        <f aca="false">IF(AND(X556="processed",ISNUMBER(S556)),S556*O556,"")</f>
        <v/>
      </c>
      <c r="Z556" s="6" t="n">
        <f aca="false">IF(ISNUMBER(K556),K556*O556,0)</f>
        <v>100</v>
      </c>
      <c r="AA556" s="2" t="s">
        <v>31</v>
      </c>
      <c r="AB556" s="6" t="n">
        <v>12245</v>
      </c>
      <c r="AC556" s="6" t="n">
        <v>8572</v>
      </c>
      <c r="AD556" s="6" t="n">
        <v>374</v>
      </c>
      <c r="AE556" s="6" t="n">
        <v>1452.22875976563</v>
      </c>
      <c r="AF556" s="8" t="n">
        <v>526.015807795</v>
      </c>
      <c r="AG556" s="11" t="n">
        <v>0.07305512468</v>
      </c>
      <c r="AH556" s="12" t="n">
        <v>1</v>
      </c>
      <c r="AI556" s="2" t="s">
        <v>317</v>
      </c>
      <c r="AJ556" s="2" t="s">
        <v>70</v>
      </c>
      <c r="AK556" s="2" t="s">
        <v>70</v>
      </c>
    </row>
    <row r="557" customFormat="false" ht="15" hidden="false" customHeight="false" outlineLevel="0" collapsed="false">
      <c r="A557" s="9" t="n">
        <v>554</v>
      </c>
      <c r="B557" s="2" t="s">
        <v>1371</v>
      </c>
      <c r="C557" s="2" t="s">
        <v>1372</v>
      </c>
      <c r="D557" s="2" t="s">
        <v>197</v>
      </c>
      <c r="E557" s="2" t="s">
        <v>51</v>
      </c>
      <c r="F557" s="2"/>
      <c r="G557" s="2" t="s">
        <v>338</v>
      </c>
      <c r="H557" s="8" t="n">
        <v>611.54646682542</v>
      </c>
      <c r="I557" s="2" t="s">
        <v>316</v>
      </c>
      <c r="J557" s="8" t="n">
        <v>1005700</v>
      </c>
      <c r="K557" s="6" t="n">
        <v>50</v>
      </c>
      <c r="L557" s="2"/>
      <c r="M557" s="10" t="b">
        <f aca="false">TRUE()</f>
        <v>1</v>
      </c>
      <c r="N557" s="9" t="n">
        <f aca="false">IF(H557="","",IF(H557&gt;=Assumptions!$B$5,1,IF(H557&gt;=Assumptions!$B$6,2,IF(H557&gt;=Assumptions!$B$7,3,""))))</f>
        <v>2</v>
      </c>
      <c r="O557" s="9" t="n">
        <f aca="false">IF(N557=1,Assumptions!$B$8,IF(N557=2,Assumptions!$B$9,IF(N557=3,Assumptions!$B$10,0)))</f>
        <v>2</v>
      </c>
      <c r="P557" s="6" t="s">
        <v>30</v>
      </c>
      <c r="Q557" s="6" t="s">
        <v>30</v>
      </c>
      <c r="R557" s="11" t="s">
        <v>30</v>
      </c>
      <c r="S557" s="6" t="s">
        <v>30</v>
      </c>
      <c r="T557" s="11" t="s">
        <v>30</v>
      </c>
      <c r="U557" s="6" t="s">
        <v>30</v>
      </c>
      <c r="V557" s="6" t="s">
        <v>30</v>
      </c>
      <c r="W557" s="6" t="s">
        <v>30</v>
      </c>
      <c r="X557" s="2" t="s">
        <v>30</v>
      </c>
      <c r="Y557" s="6" t="str">
        <f aca="false">IF(AND(X557="processed",ISNUMBER(S557)),S557*O557,"")</f>
        <v/>
      </c>
      <c r="Z557" s="6" t="n">
        <f aca="false">IF(ISNUMBER(K557),K557*O557,0)</f>
        <v>100</v>
      </c>
      <c r="AA557" s="2" t="s">
        <v>31</v>
      </c>
      <c r="AB557" s="6" t="n">
        <v>2931</v>
      </c>
      <c r="AC557" s="6" t="n">
        <v>2501</v>
      </c>
      <c r="AD557" s="6" t="n">
        <v>2157</v>
      </c>
      <c r="AE557" s="6" t="n">
        <v>1854.81103515625</v>
      </c>
      <c r="AF557" s="8" t="n">
        <v>602.935003535</v>
      </c>
      <c r="AG557" s="11" t="n">
        <v>-0.01801741261</v>
      </c>
      <c r="AH557" s="12" t="n">
        <v>1</v>
      </c>
      <c r="AI557" s="2" t="s">
        <v>321</v>
      </c>
      <c r="AJ557" s="2" t="s">
        <v>1372</v>
      </c>
      <c r="AK557" s="2" t="s">
        <v>1372</v>
      </c>
    </row>
    <row r="558" customFormat="false" ht="15" hidden="false" customHeight="false" outlineLevel="0" collapsed="false">
      <c r="A558" s="9" t="n">
        <v>555</v>
      </c>
      <c r="B558" s="2" t="s">
        <v>1373</v>
      </c>
      <c r="C558" s="2" t="s">
        <v>679</v>
      </c>
      <c r="D558" s="2" t="s">
        <v>70</v>
      </c>
      <c r="E558" s="2" t="s">
        <v>71</v>
      </c>
      <c r="F558" s="2"/>
      <c r="G558" s="2" t="s">
        <v>329</v>
      </c>
      <c r="H558" s="8" t="n">
        <v>1664.07323398194</v>
      </c>
      <c r="I558" s="2" t="s">
        <v>316</v>
      </c>
      <c r="J558" s="8" t="n">
        <v>3575625</v>
      </c>
      <c r="K558" s="6" t="n">
        <v>32</v>
      </c>
      <c r="L558" s="2"/>
      <c r="M558" s="10" t="b">
        <f aca="false">TRUE()</f>
        <v>1</v>
      </c>
      <c r="N558" s="9" t="n">
        <f aca="false">IF(H558="","",IF(H558&gt;=Assumptions!$B$5,1,IF(H558&gt;=Assumptions!$B$6,2,IF(H558&gt;=Assumptions!$B$7,3,""))))</f>
        <v>1</v>
      </c>
      <c r="O558" s="9" t="n">
        <f aca="false">IF(N558=1,Assumptions!$B$8,IF(N558=2,Assumptions!$B$9,IF(N558=3,Assumptions!$B$10,0)))</f>
        <v>3</v>
      </c>
      <c r="P558" s="6" t="s">
        <v>30</v>
      </c>
      <c r="Q558" s="6" t="s">
        <v>30</v>
      </c>
      <c r="R558" s="11" t="s">
        <v>30</v>
      </c>
      <c r="S558" s="6" t="s">
        <v>30</v>
      </c>
      <c r="T558" s="11" t="s">
        <v>30</v>
      </c>
      <c r="U558" s="6" t="s">
        <v>30</v>
      </c>
      <c r="V558" s="6" t="s">
        <v>30</v>
      </c>
      <c r="W558" s="6" t="s">
        <v>30</v>
      </c>
      <c r="X558" s="2" t="s">
        <v>30</v>
      </c>
      <c r="Y558" s="6" t="str">
        <f aca="false">IF(AND(X558="processed",ISNUMBER(S558)),S558*O558,"")</f>
        <v/>
      </c>
      <c r="Z558" s="6" t="n">
        <f aca="false">IF(ISNUMBER(K558),K558*O558,0)</f>
        <v>96</v>
      </c>
      <c r="AA558" s="2" t="s">
        <v>31</v>
      </c>
      <c r="AB558" s="6" t="n">
        <v>4372</v>
      </c>
      <c r="AC558" s="6" t="n">
        <v>3330</v>
      </c>
      <c r="AD558" s="6" t="n">
        <v>26</v>
      </c>
      <c r="AE558" s="6" t="n">
        <v>2260.61572265625</v>
      </c>
      <c r="AF558" s="8" t="n">
        <v>1651.69277539</v>
      </c>
      <c r="AG558" s="11" t="n">
        <v>0.1781167583</v>
      </c>
      <c r="AH558" s="12" t="n">
        <v>0.973518696758275</v>
      </c>
      <c r="AI558" s="2" t="s">
        <v>317</v>
      </c>
      <c r="AJ558" s="2" t="s">
        <v>679</v>
      </c>
      <c r="AK558" s="2" t="s">
        <v>679</v>
      </c>
    </row>
    <row r="559" customFormat="false" ht="15" hidden="false" customHeight="false" outlineLevel="0" collapsed="false">
      <c r="A559" s="9" t="n">
        <v>556</v>
      </c>
      <c r="B559" s="2" t="s">
        <v>1374</v>
      </c>
      <c r="C559" s="2" t="s">
        <v>1375</v>
      </c>
      <c r="D559" s="2" t="s">
        <v>27</v>
      </c>
      <c r="E559" s="2" t="s">
        <v>28</v>
      </c>
      <c r="F559" s="2"/>
      <c r="G559" s="2" t="s">
        <v>315</v>
      </c>
      <c r="H559" s="8" t="n">
        <v>609.717227288375</v>
      </c>
      <c r="I559" s="2" t="s">
        <v>316</v>
      </c>
      <c r="J559" s="8" t="n">
        <v>863750</v>
      </c>
      <c r="K559" s="6" t="n">
        <v>48</v>
      </c>
      <c r="L559" s="2"/>
      <c r="M559" s="10" t="b">
        <f aca="false">TRUE()</f>
        <v>1</v>
      </c>
      <c r="N559" s="9" t="n">
        <f aca="false">IF(H559="","",IF(H559&gt;=Assumptions!$B$5,1,IF(H559&gt;=Assumptions!$B$6,2,IF(H559&gt;=Assumptions!$B$7,3,""))))</f>
        <v>2</v>
      </c>
      <c r="O559" s="9" t="n">
        <f aca="false">IF(N559=1,Assumptions!$B$8,IF(N559=2,Assumptions!$B$9,IF(N559=3,Assumptions!$B$10,0)))</f>
        <v>2</v>
      </c>
      <c r="P559" s="6" t="s">
        <v>30</v>
      </c>
      <c r="Q559" s="6" t="s">
        <v>30</v>
      </c>
      <c r="R559" s="11" t="s">
        <v>30</v>
      </c>
      <c r="S559" s="6" t="s">
        <v>30</v>
      </c>
      <c r="T559" s="11" t="s">
        <v>30</v>
      </c>
      <c r="U559" s="6" t="s">
        <v>30</v>
      </c>
      <c r="V559" s="6" t="s">
        <v>30</v>
      </c>
      <c r="W559" s="6" t="s">
        <v>30</v>
      </c>
      <c r="X559" s="2" t="s">
        <v>30</v>
      </c>
      <c r="Y559" s="6" t="str">
        <f aca="false">IF(AND(X559="processed",ISNUMBER(S559)),S559*O559,"")</f>
        <v/>
      </c>
      <c r="Z559" s="6" t="n">
        <f aca="false">IF(ISNUMBER(K559),K559*O559,0)</f>
        <v>96</v>
      </c>
      <c r="AA559" s="2" t="s">
        <v>31</v>
      </c>
      <c r="AB559" s="6" t="n">
        <v>6115</v>
      </c>
      <c r="AC559" s="6" t="n">
        <v>5300</v>
      </c>
      <c r="AD559" s="6" t="n">
        <v>634</v>
      </c>
      <c r="AE559" s="6" t="n">
        <v>2217.42504882813</v>
      </c>
      <c r="AF559" s="8" t="n">
        <v>598.414484952</v>
      </c>
      <c r="AG559" s="11" t="n">
        <v>-0.05037789477</v>
      </c>
      <c r="AH559" s="12" t="n">
        <v>1</v>
      </c>
      <c r="AI559" s="2" t="s">
        <v>321</v>
      </c>
      <c r="AJ559" s="2" t="s">
        <v>1375</v>
      </c>
      <c r="AK559" s="2" t="s">
        <v>1375</v>
      </c>
    </row>
    <row r="560" customFormat="false" ht="15" hidden="false" customHeight="false" outlineLevel="0" collapsed="false">
      <c r="A560" s="9" t="n">
        <v>557</v>
      </c>
      <c r="B560" s="2" t="s">
        <v>1376</v>
      </c>
      <c r="C560" s="2" t="s">
        <v>138</v>
      </c>
      <c r="D560" s="2" t="s">
        <v>27</v>
      </c>
      <c r="E560" s="2" t="s">
        <v>28</v>
      </c>
      <c r="F560" s="2" t="s">
        <v>1377</v>
      </c>
      <c r="G560" s="2" t="s">
        <v>315</v>
      </c>
      <c r="H560" s="8" t="n">
        <v>2418.99088863969</v>
      </c>
      <c r="I560" s="2" t="s">
        <v>316</v>
      </c>
      <c r="J560" s="8" t="n">
        <v>4993750</v>
      </c>
      <c r="K560" s="6" t="n">
        <v>32</v>
      </c>
      <c r="L560" s="2"/>
      <c r="M560" s="10" t="b">
        <f aca="false">TRUE()</f>
        <v>1</v>
      </c>
      <c r="N560" s="9" t="n">
        <f aca="false">IF(H560="","",IF(H560&gt;=Assumptions!$B$5,1,IF(H560&gt;=Assumptions!$B$6,2,IF(H560&gt;=Assumptions!$B$7,3,""))))</f>
        <v>1</v>
      </c>
      <c r="O560" s="9" t="n">
        <f aca="false">IF(N560=1,Assumptions!$B$8,IF(N560=2,Assumptions!$B$9,IF(N560=3,Assumptions!$B$10,0)))</f>
        <v>3</v>
      </c>
      <c r="P560" s="6" t="s">
        <v>30</v>
      </c>
      <c r="Q560" s="6" t="s">
        <v>30</v>
      </c>
      <c r="R560" s="11" t="s">
        <v>30</v>
      </c>
      <c r="S560" s="6" t="s">
        <v>30</v>
      </c>
      <c r="T560" s="11" t="s">
        <v>30</v>
      </c>
      <c r="U560" s="6" t="s">
        <v>30</v>
      </c>
      <c r="V560" s="6" t="s">
        <v>30</v>
      </c>
      <c r="W560" s="6" t="s">
        <v>30</v>
      </c>
      <c r="X560" s="2" t="s">
        <v>30</v>
      </c>
      <c r="Y560" s="6" t="str">
        <f aca="false">IF(AND(X560="processed",ISNUMBER(S560)),S560*O560,"")</f>
        <v/>
      </c>
      <c r="Z560" s="6" t="n">
        <f aca="false">IF(ISNUMBER(K560),K560*O560,0)</f>
        <v>96</v>
      </c>
      <c r="AA560" s="2" t="s">
        <v>31</v>
      </c>
      <c r="AB560" s="6" t="n">
        <v>1526</v>
      </c>
      <c r="AC560" s="6" t="n">
        <v>1479</v>
      </c>
      <c r="AD560" s="6" t="n">
        <v>9</v>
      </c>
      <c r="AE560" s="6" t="n">
        <v>1833.70068359375</v>
      </c>
      <c r="AF560" s="8" t="n">
        <v>2599.118942731</v>
      </c>
      <c r="AG560" s="11" t="n">
        <v>0.08123348018</v>
      </c>
      <c r="AH560" s="12" t="n">
        <v>1</v>
      </c>
      <c r="AI560" s="2" t="s">
        <v>317</v>
      </c>
      <c r="AJ560" s="2" t="s">
        <v>138</v>
      </c>
      <c r="AK560" s="2" t="s">
        <v>138</v>
      </c>
    </row>
    <row r="561" customFormat="false" ht="15" hidden="false" customHeight="false" outlineLevel="0" collapsed="false">
      <c r="A561" s="9" t="n">
        <v>558</v>
      </c>
      <c r="B561" s="2" t="s">
        <v>1378</v>
      </c>
      <c r="C561" s="2" t="s">
        <v>38</v>
      </c>
      <c r="D561" s="2" t="s">
        <v>39</v>
      </c>
      <c r="E561" s="2" t="s">
        <v>40</v>
      </c>
      <c r="F561" s="2" t="s">
        <v>1379</v>
      </c>
      <c r="G561" s="2" t="s">
        <v>320</v>
      </c>
      <c r="H561" s="8" t="n">
        <v>881.218763093688</v>
      </c>
      <c r="I561" s="2" t="s">
        <v>316</v>
      </c>
      <c r="J561" s="8" t="n">
        <v>1392265.625</v>
      </c>
      <c r="K561" s="6" t="n">
        <v>32</v>
      </c>
      <c r="L561" s="2"/>
      <c r="M561" s="10" t="b">
        <f aca="false">TRUE()</f>
        <v>1</v>
      </c>
      <c r="N561" s="9" t="n">
        <f aca="false">IF(H561="","",IF(H561&gt;=Assumptions!$B$5,1,IF(H561&gt;=Assumptions!$B$6,2,IF(H561&gt;=Assumptions!$B$7,3,""))))</f>
        <v>1</v>
      </c>
      <c r="O561" s="9" t="n">
        <f aca="false">IF(N561=1,Assumptions!$B$8,IF(N561=2,Assumptions!$B$9,IF(N561=3,Assumptions!$B$10,0)))</f>
        <v>3</v>
      </c>
      <c r="P561" s="6" t="s">
        <v>30</v>
      </c>
      <c r="Q561" s="6" t="s">
        <v>30</v>
      </c>
      <c r="R561" s="11" t="s">
        <v>30</v>
      </c>
      <c r="S561" s="6" t="s">
        <v>30</v>
      </c>
      <c r="T561" s="11" t="s">
        <v>30</v>
      </c>
      <c r="U561" s="6" t="s">
        <v>30</v>
      </c>
      <c r="V561" s="6" t="s">
        <v>30</v>
      </c>
      <c r="W561" s="6" t="s">
        <v>30</v>
      </c>
      <c r="X561" s="2" t="s">
        <v>30</v>
      </c>
      <c r="Y561" s="6" t="str">
        <f aca="false">IF(AND(X561="processed",ISNUMBER(S561)),S561*O561,"")</f>
        <v/>
      </c>
      <c r="Z561" s="6" t="n">
        <f aca="false">IF(ISNUMBER(K561),K561*O561,0)</f>
        <v>96</v>
      </c>
      <c r="AA561" s="2" t="s">
        <v>31</v>
      </c>
      <c r="AB561" s="6" t="n">
        <v>2378</v>
      </c>
      <c r="AC561" s="6" t="n">
        <v>1986</v>
      </c>
      <c r="AD561" s="6" t="n">
        <v>23</v>
      </c>
      <c r="AE561" s="6" t="n">
        <v>2291.142578125</v>
      </c>
      <c r="AF561" s="8" t="n">
        <v>876.887340302</v>
      </c>
      <c r="AG561" s="11" t="n">
        <v>0.0287238926</v>
      </c>
      <c r="AH561" s="12" t="n">
        <v>1</v>
      </c>
      <c r="AI561" s="2" t="s">
        <v>317</v>
      </c>
      <c r="AJ561" s="2" t="s">
        <v>38</v>
      </c>
      <c r="AK561" s="2" t="s">
        <v>38</v>
      </c>
    </row>
    <row r="562" customFormat="false" ht="15" hidden="false" customHeight="false" outlineLevel="0" collapsed="false">
      <c r="A562" s="9" t="n">
        <v>559</v>
      </c>
      <c r="B562" s="2" t="s">
        <v>1380</v>
      </c>
      <c r="C562" s="2" t="s">
        <v>70</v>
      </c>
      <c r="D562" s="2" t="s">
        <v>70</v>
      </c>
      <c r="E562" s="2" t="s">
        <v>71</v>
      </c>
      <c r="F562" s="2" t="s">
        <v>1381</v>
      </c>
      <c r="G562" s="2" t="s">
        <v>329</v>
      </c>
      <c r="H562" s="8" t="n">
        <v>518.744391111591</v>
      </c>
      <c r="I562" s="2" t="s">
        <v>316</v>
      </c>
      <c r="J562" s="8" t="n">
        <v>593225.806451613</v>
      </c>
      <c r="K562" s="6" t="n">
        <v>93</v>
      </c>
      <c r="L562" s="2"/>
      <c r="M562" s="10" t="b">
        <f aca="false">TRUE()</f>
        <v>1</v>
      </c>
      <c r="N562" s="9" t="n">
        <f aca="false">IF(H562="","",IF(H562&gt;=Assumptions!$B$5,1,IF(H562&gt;=Assumptions!$B$6,2,IF(H562&gt;=Assumptions!$B$7,3,""))))</f>
        <v>3</v>
      </c>
      <c r="O562" s="9" t="n">
        <f aca="false">IF(N562=1,Assumptions!$B$8,IF(N562=2,Assumptions!$B$9,IF(N562=3,Assumptions!$B$10,0)))</f>
        <v>1</v>
      </c>
      <c r="P562" s="6" t="s">
        <v>30</v>
      </c>
      <c r="Q562" s="6" t="s">
        <v>30</v>
      </c>
      <c r="R562" s="11" t="s">
        <v>30</v>
      </c>
      <c r="S562" s="6" t="s">
        <v>30</v>
      </c>
      <c r="T562" s="11" t="s">
        <v>30</v>
      </c>
      <c r="U562" s="6" t="s">
        <v>30</v>
      </c>
      <c r="V562" s="6" t="s">
        <v>30</v>
      </c>
      <c r="W562" s="6" t="s">
        <v>30</v>
      </c>
      <c r="X562" s="2" t="s">
        <v>30</v>
      </c>
      <c r="Y562" s="6" t="str">
        <f aca="false">IF(AND(X562="processed",ISNUMBER(S562)),S562*O562,"")</f>
        <v/>
      </c>
      <c r="Z562" s="6" t="n">
        <f aca="false">IF(ISNUMBER(K562),K562*O562,0)</f>
        <v>93</v>
      </c>
      <c r="AA562" s="2" t="s">
        <v>31</v>
      </c>
      <c r="AB562" s="6" t="n">
        <v>18894</v>
      </c>
      <c r="AC562" s="6" t="n">
        <v>13027</v>
      </c>
      <c r="AD562" s="6" t="n">
        <v>214</v>
      </c>
      <c r="AE562" s="6" t="n">
        <v>1379.71508789063</v>
      </c>
      <c r="AF562" s="8" t="n">
        <v>532.16374269</v>
      </c>
      <c r="AG562" s="11" t="n">
        <v>-0.03606771508</v>
      </c>
      <c r="AH562" s="12" t="n">
        <v>0.999999999999999</v>
      </c>
      <c r="AI562" s="2" t="s">
        <v>317</v>
      </c>
      <c r="AJ562" s="2" t="s">
        <v>70</v>
      </c>
      <c r="AK562" s="2" t="s">
        <v>70</v>
      </c>
    </row>
    <row r="563" customFormat="false" ht="15" hidden="false" customHeight="false" outlineLevel="0" collapsed="false">
      <c r="A563" s="9" t="n">
        <v>560</v>
      </c>
      <c r="B563" s="2" t="s">
        <v>1382</v>
      </c>
      <c r="C563" s="2" t="s">
        <v>1383</v>
      </c>
      <c r="D563" s="2" t="s">
        <v>70</v>
      </c>
      <c r="E563" s="2" t="s">
        <v>71</v>
      </c>
      <c r="F563" s="2"/>
      <c r="G563" s="2" t="s">
        <v>329</v>
      </c>
      <c r="H563" s="8" t="n">
        <v>753.105156195677</v>
      </c>
      <c r="I563" s="2" t="s">
        <v>316</v>
      </c>
      <c r="J563" s="8" t="n">
        <v>880677.419354839</v>
      </c>
      <c r="K563" s="6" t="n">
        <v>31</v>
      </c>
      <c r="L563" s="2"/>
      <c r="M563" s="10" t="b">
        <f aca="false">TRUE()</f>
        <v>1</v>
      </c>
      <c r="N563" s="9" t="n">
        <f aca="false">IF(H563="","",IF(H563&gt;=Assumptions!$B$5,1,IF(H563&gt;=Assumptions!$B$6,2,IF(H563&gt;=Assumptions!$B$7,3,""))))</f>
        <v>1</v>
      </c>
      <c r="O563" s="9" t="n">
        <f aca="false">IF(N563=1,Assumptions!$B$8,IF(N563=2,Assumptions!$B$9,IF(N563=3,Assumptions!$B$10,0)))</f>
        <v>3</v>
      </c>
      <c r="P563" s="6" t="s">
        <v>30</v>
      </c>
      <c r="Q563" s="6" t="s">
        <v>30</v>
      </c>
      <c r="R563" s="11" t="s">
        <v>30</v>
      </c>
      <c r="S563" s="6" t="s">
        <v>30</v>
      </c>
      <c r="T563" s="11" t="s">
        <v>30</v>
      </c>
      <c r="U563" s="6" t="s">
        <v>30</v>
      </c>
      <c r="V563" s="6" t="s">
        <v>30</v>
      </c>
      <c r="W563" s="6" t="s">
        <v>30</v>
      </c>
      <c r="X563" s="2" t="s">
        <v>30</v>
      </c>
      <c r="Y563" s="6" t="str">
        <f aca="false">IF(AND(X563="processed",ISNUMBER(S563)),S563*O563,"")</f>
        <v/>
      </c>
      <c r="Z563" s="6" t="n">
        <f aca="false">IF(ISNUMBER(K563),K563*O563,0)</f>
        <v>93</v>
      </c>
      <c r="AA563" s="2" t="s">
        <v>31</v>
      </c>
      <c r="AB563" s="6" t="n">
        <v>7064</v>
      </c>
      <c r="AC563" s="6" t="n">
        <v>5250</v>
      </c>
      <c r="AD563" s="6" t="n">
        <v>158</v>
      </c>
      <c r="AE563" s="6" t="n">
        <v>1490.537109375</v>
      </c>
      <c r="AF563" s="8" t="n">
        <v>857.651739452</v>
      </c>
      <c r="AG563" s="11" t="n">
        <v>0.1402743833</v>
      </c>
      <c r="AH563" s="12" t="n">
        <v>1</v>
      </c>
      <c r="AI563" s="2" t="s">
        <v>317</v>
      </c>
      <c r="AJ563" s="2" t="s">
        <v>1383</v>
      </c>
      <c r="AK563" s="2" t="s">
        <v>1383</v>
      </c>
    </row>
    <row r="564" customFormat="false" ht="15" hidden="false" customHeight="false" outlineLevel="0" collapsed="false">
      <c r="A564" s="9" t="n">
        <v>561</v>
      </c>
      <c r="B564" s="2" t="s">
        <v>1384</v>
      </c>
      <c r="C564" s="2" t="s">
        <v>976</v>
      </c>
      <c r="D564" s="2" t="s">
        <v>976</v>
      </c>
      <c r="E564" s="2" t="s">
        <v>976</v>
      </c>
      <c r="F564" s="2" t="s">
        <v>1385</v>
      </c>
      <c r="G564" s="2" t="s">
        <v>323</v>
      </c>
      <c r="H564" s="8" t="n">
        <v>500.353531268624</v>
      </c>
      <c r="I564" s="2" t="s">
        <v>316</v>
      </c>
      <c r="J564" s="8" t="n">
        <v>724032.258064516</v>
      </c>
      <c r="K564" s="6" t="n">
        <v>93</v>
      </c>
      <c r="L564" s="2"/>
      <c r="M564" s="10" t="b">
        <f aca="false">TRUE()</f>
        <v>1</v>
      </c>
      <c r="N564" s="9" t="n">
        <f aca="false">IF(H564="","",IF(H564&gt;=Assumptions!$B$5,1,IF(H564&gt;=Assumptions!$B$6,2,IF(H564&gt;=Assumptions!$B$7,3,""))))</f>
        <v>3</v>
      </c>
      <c r="O564" s="9" t="n">
        <f aca="false">IF(N564=1,Assumptions!$B$8,IF(N564=2,Assumptions!$B$9,IF(N564=3,Assumptions!$B$10,0)))</f>
        <v>1</v>
      </c>
      <c r="P564" s="6" t="s">
        <v>30</v>
      </c>
      <c r="Q564" s="6" t="s">
        <v>30</v>
      </c>
      <c r="R564" s="11" t="s">
        <v>30</v>
      </c>
      <c r="S564" s="6" t="s">
        <v>30</v>
      </c>
      <c r="T564" s="11" t="s">
        <v>30</v>
      </c>
      <c r="U564" s="6" t="s">
        <v>30</v>
      </c>
      <c r="V564" s="6" t="s">
        <v>30</v>
      </c>
      <c r="W564" s="6" t="s">
        <v>30</v>
      </c>
      <c r="X564" s="2" t="s">
        <v>30</v>
      </c>
      <c r="Y564" s="6" t="str">
        <f aca="false">IF(AND(X564="processed",ISNUMBER(S564)),S564*O564,"")</f>
        <v/>
      </c>
      <c r="Z564" s="6" t="n">
        <f aca="false">IF(ISNUMBER(K564),K564*O564,0)</f>
        <v>93</v>
      </c>
      <c r="AA564" s="2" t="s">
        <v>31</v>
      </c>
      <c r="AB564" s="6" t="n">
        <v>6664</v>
      </c>
      <c r="AC564" s="6" t="n">
        <v>5303</v>
      </c>
      <c r="AD564" s="6" t="n">
        <v>2255</v>
      </c>
      <c r="AE564" s="6" t="n">
        <v>1645.75146484375</v>
      </c>
      <c r="AF564" s="8" t="n">
        <v>489.116517286</v>
      </c>
      <c r="AG564" s="11" t="n">
        <v>0.01933526291</v>
      </c>
      <c r="AH564" s="12" t="n">
        <v>0.999999999999999</v>
      </c>
      <c r="AI564" s="2" t="s">
        <v>317</v>
      </c>
      <c r="AJ564" s="2" t="s">
        <v>976</v>
      </c>
      <c r="AK564" s="2" t="s">
        <v>976</v>
      </c>
    </row>
    <row r="565" customFormat="false" ht="15" hidden="false" customHeight="false" outlineLevel="0" collapsed="false">
      <c r="A565" s="9" t="n">
        <v>562</v>
      </c>
      <c r="B565" s="2" t="s">
        <v>1386</v>
      </c>
      <c r="C565" s="2" t="s">
        <v>1387</v>
      </c>
      <c r="D565" s="2" t="s">
        <v>70</v>
      </c>
      <c r="E565" s="2" t="s">
        <v>71</v>
      </c>
      <c r="F565" s="2"/>
      <c r="G565" s="2" t="s">
        <v>329</v>
      </c>
      <c r="H565" s="8" t="n">
        <v>645.6888238725</v>
      </c>
      <c r="I565" s="2" t="s">
        <v>316</v>
      </c>
      <c r="J565" s="8" t="n">
        <v>848750</v>
      </c>
      <c r="K565" s="6" t="n">
        <v>46</v>
      </c>
      <c r="L565" s="2"/>
      <c r="M565" s="10" t="b">
        <f aca="false">TRUE()</f>
        <v>1</v>
      </c>
      <c r="N565" s="9" t="n">
        <f aca="false">IF(H565="","",IF(H565&gt;=Assumptions!$B$5,1,IF(H565&gt;=Assumptions!$B$6,2,IF(H565&gt;=Assumptions!$B$7,3,""))))</f>
        <v>2</v>
      </c>
      <c r="O565" s="9" t="n">
        <f aca="false">IF(N565=1,Assumptions!$B$8,IF(N565=2,Assumptions!$B$9,IF(N565=3,Assumptions!$B$10,0)))</f>
        <v>2</v>
      </c>
      <c r="P565" s="6" t="s">
        <v>30</v>
      </c>
      <c r="Q565" s="6" t="s">
        <v>30</v>
      </c>
      <c r="R565" s="11" t="s">
        <v>30</v>
      </c>
      <c r="S565" s="6" t="s">
        <v>30</v>
      </c>
      <c r="T565" s="11" t="s">
        <v>30</v>
      </c>
      <c r="U565" s="6" t="s">
        <v>30</v>
      </c>
      <c r="V565" s="6" t="s">
        <v>30</v>
      </c>
      <c r="W565" s="6" t="s">
        <v>30</v>
      </c>
      <c r="X565" s="2" t="s">
        <v>30</v>
      </c>
      <c r="Y565" s="6" t="str">
        <f aca="false">IF(AND(X565="processed",ISNUMBER(S565)),S565*O565,"")</f>
        <v/>
      </c>
      <c r="Z565" s="6" t="n">
        <f aca="false">IF(ISNUMBER(K565),K565*O565,0)</f>
        <v>92</v>
      </c>
      <c r="AA565" s="2" t="s">
        <v>31</v>
      </c>
      <c r="AB565" s="6" t="n">
        <v>5417</v>
      </c>
      <c r="AC565" s="6" t="n">
        <v>4332</v>
      </c>
      <c r="AD565" s="6" t="n">
        <v>73</v>
      </c>
      <c r="AE565" s="6" t="n">
        <v>1919.57958984375</v>
      </c>
      <c r="AF565" s="8" t="n">
        <v>725.714285714</v>
      </c>
      <c r="AG565" s="11" t="n">
        <v>-0.04977821265</v>
      </c>
      <c r="AH565" s="12" t="n">
        <v>1</v>
      </c>
      <c r="AI565" s="2" t="s">
        <v>317</v>
      </c>
      <c r="AJ565" s="2" t="s">
        <v>1387</v>
      </c>
      <c r="AK565" s="2" t="s">
        <v>1387</v>
      </c>
    </row>
    <row r="566" customFormat="false" ht="15" hidden="false" customHeight="false" outlineLevel="0" collapsed="false">
      <c r="A566" s="9" t="n">
        <v>563</v>
      </c>
      <c r="B566" s="2" t="s">
        <v>1388</v>
      </c>
      <c r="C566" s="2" t="s">
        <v>521</v>
      </c>
      <c r="D566" s="2" t="s">
        <v>70</v>
      </c>
      <c r="E566" s="2" t="s">
        <v>71</v>
      </c>
      <c r="F566" s="2"/>
      <c r="G566" s="2" t="s">
        <v>329</v>
      </c>
      <c r="H566" s="8" t="n">
        <v>654.502625674696</v>
      </c>
      <c r="I566" s="2" t="s">
        <v>316</v>
      </c>
      <c r="J566" s="8" t="n">
        <v>844152.173913044</v>
      </c>
      <c r="K566" s="6" t="n">
        <v>46</v>
      </c>
      <c r="L566" s="2"/>
      <c r="M566" s="10" t="b">
        <f aca="false">TRUE()</f>
        <v>1</v>
      </c>
      <c r="N566" s="9" t="n">
        <f aca="false">IF(H566="","",IF(H566&gt;=Assumptions!$B$5,1,IF(H566&gt;=Assumptions!$B$6,2,IF(H566&gt;=Assumptions!$B$7,3,""))))</f>
        <v>2</v>
      </c>
      <c r="O566" s="9" t="n">
        <f aca="false">IF(N566=1,Assumptions!$B$8,IF(N566=2,Assumptions!$B$9,IF(N566=3,Assumptions!$B$10,0)))</f>
        <v>2</v>
      </c>
      <c r="P566" s="6" t="s">
        <v>30</v>
      </c>
      <c r="Q566" s="6" t="s">
        <v>30</v>
      </c>
      <c r="R566" s="11" t="s">
        <v>30</v>
      </c>
      <c r="S566" s="6" t="s">
        <v>30</v>
      </c>
      <c r="T566" s="11" t="s">
        <v>30</v>
      </c>
      <c r="U566" s="6" t="s">
        <v>30</v>
      </c>
      <c r="V566" s="6" t="s">
        <v>30</v>
      </c>
      <c r="W566" s="6" t="s">
        <v>30</v>
      </c>
      <c r="X566" s="2" t="s">
        <v>30</v>
      </c>
      <c r="Y566" s="6" t="str">
        <f aca="false">IF(AND(X566="processed",ISNUMBER(S566)),S566*O566,"")</f>
        <v/>
      </c>
      <c r="Z566" s="6" t="n">
        <f aca="false">IF(ISNUMBER(K566),K566*O566,0)</f>
        <v>92</v>
      </c>
      <c r="AA566" s="2" t="s">
        <v>31</v>
      </c>
      <c r="AB566" s="6" t="n">
        <v>5460</v>
      </c>
      <c r="AC566" s="6" t="n">
        <v>4323</v>
      </c>
      <c r="AD566" s="6" t="n">
        <v>52</v>
      </c>
      <c r="AE566" s="6" t="n">
        <v>2048.66528320313</v>
      </c>
      <c r="AF566" s="8" t="n">
        <v>653.979238754</v>
      </c>
      <c r="AG566" s="11" t="n">
        <v>-0.1210519031</v>
      </c>
      <c r="AH566" s="12" t="n">
        <v>0.999302668411646</v>
      </c>
      <c r="AI566" s="2" t="s">
        <v>317</v>
      </c>
      <c r="AJ566" s="2" t="s">
        <v>521</v>
      </c>
      <c r="AK566" s="2" t="s">
        <v>521</v>
      </c>
    </row>
    <row r="567" customFormat="false" ht="15" hidden="false" customHeight="false" outlineLevel="0" collapsed="false">
      <c r="A567" s="9" t="n">
        <v>564</v>
      </c>
      <c r="B567" s="2" t="s">
        <v>1389</v>
      </c>
      <c r="C567" s="2" t="s">
        <v>1390</v>
      </c>
      <c r="D567" s="2" t="s">
        <v>70</v>
      </c>
      <c r="E567" s="2" t="s">
        <v>71</v>
      </c>
      <c r="F567" s="2"/>
      <c r="G567" s="2" t="s">
        <v>329</v>
      </c>
      <c r="H567" s="8" t="n">
        <v>533.737962572544</v>
      </c>
      <c r="I567" s="2" t="s">
        <v>316</v>
      </c>
      <c r="J567" s="8" t="n">
        <v>810978.260869565</v>
      </c>
      <c r="K567" s="6" t="n">
        <v>92</v>
      </c>
      <c r="L567" s="2"/>
      <c r="M567" s="10" t="b">
        <f aca="false">TRUE()</f>
        <v>1</v>
      </c>
      <c r="N567" s="9" t="n">
        <f aca="false">IF(H567="","",IF(H567&gt;=Assumptions!$B$5,1,IF(H567&gt;=Assumptions!$B$6,2,IF(H567&gt;=Assumptions!$B$7,3,""))))</f>
        <v>3</v>
      </c>
      <c r="O567" s="9" t="n">
        <f aca="false">IF(N567=1,Assumptions!$B$8,IF(N567=2,Assumptions!$B$9,IF(N567=3,Assumptions!$B$10,0)))</f>
        <v>1</v>
      </c>
      <c r="P567" s="6" t="s">
        <v>30</v>
      </c>
      <c r="Q567" s="6" t="s">
        <v>30</v>
      </c>
      <c r="R567" s="11" t="s">
        <v>30</v>
      </c>
      <c r="S567" s="6" t="s">
        <v>30</v>
      </c>
      <c r="T567" s="11" t="s">
        <v>30</v>
      </c>
      <c r="U567" s="6" t="s">
        <v>30</v>
      </c>
      <c r="V567" s="6" t="s">
        <v>30</v>
      </c>
      <c r="W567" s="6" t="s">
        <v>30</v>
      </c>
      <c r="X567" s="2" t="s">
        <v>30</v>
      </c>
      <c r="Y567" s="6" t="str">
        <f aca="false">IF(AND(X567="processed",ISNUMBER(S567)),S567*O567,"")</f>
        <v/>
      </c>
      <c r="Z567" s="6" t="n">
        <f aca="false">IF(ISNUMBER(K567),K567*O567,0)</f>
        <v>92</v>
      </c>
      <c r="AA567" s="2" t="s">
        <v>31</v>
      </c>
      <c r="AB567" s="6" t="n">
        <v>15464</v>
      </c>
      <c r="AC567" s="6" t="n">
        <v>13046</v>
      </c>
      <c r="AD567" s="6" t="n">
        <v>327</v>
      </c>
      <c r="AE567" s="6" t="n">
        <v>1738.46142578125</v>
      </c>
      <c r="AF567" s="8" t="n">
        <v>507.324307041</v>
      </c>
      <c r="AG567" s="11" t="n">
        <v>-0.1655223252</v>
      </c>
      <c r="AH567" s="12" t="n">
        <v>1</v>
      </c>
      <c r="AI567" s="2" t="s">
        <v>317</v>
      </c>
      <c r="AJ567" s="2" t="s">
        <v>1390</v>
      </c>
      <c r="AK567" s="2" t="s">
        <v>1390</v>
      </c>
    </row>
    <row r="568" customFormat="false" ht="15" hidden="false" customHeight="false" outlineLevel="0" collapsed="false">
      <c r="A568" s="9" t="n">
        <v>565</v>
      </c>
      <c r="B568" s="2" t="s">
        <v>1391</v>
      </c>
      <c r="C568" s="2" t="s">
        <v>1392</v>
      </c>
      <c r="D568" s="2" t="s">
        <v>70</v>
      </c>
      <c r="E568" s="2" t="s">
        <v>71</v>
      </c>
      <c r="F568" s="2"/>
      <c r="G568" s="2" t="s">
        <v>329</v>
      </c>
      <c r="H568" s="8" t="n">
        <v>559.259721360187</v>
      </c>
      <c r="I568" s="2" t="s">
        <v>316</v>
      </c>
      <c r="J568" s="8" t="n">
        <v>694296.703296703</v>
      </c>
      <c r="K568" s="6" t="n">
        <v>91</v>
      </c>
      <c r="L568" s="2"/>
      <c r="M568" s="10" t="b">
        <f aca="false">TRUE()</f>
        <v>1</v>
      </c>
      <c r="N568" s="9" t="n">
        <f aca="false">IF(H568="","",IF(H568&gt;=Assumptions!$B$5,1,IF(H568&gt;=Assumptions!$B$6,2,IF(H568&gt;=Assumptions!$B$7,3,""))))</f>
        <v>3</v>
      </c>
      <c r="O568" s="9" t="n">
        <f aca="false">IF(N568=1,Assumptions!$B$8,IF(N568=2,Assumptions!$B$9,IF(N568=3,Assumptions!$B$10,0)))</f>
        <v>1</v>
      </c>
      <c r="P568" s="6" t="s">
        <v>30</v>
      </c>
      <c r="Q568" s="6" t="s">
        <v>30</v>
      </c>
      <c r="R568" s="11" t="s">
        <v>30</v>
      </c>
      <c r="S568" s="6" t="s">
        <v>30</v>
      </c>
      <c r="T568" s="11" t="s">
        <v>30</v>
      </c>
      <c r="U568" s="6" t="s">
        <v>30</v>
      </c>
      <c r="V568" s="6" t="s">
        <v>30</v>
      </c>
      <c r="W568" s="6" t="s">
        <v>30</v>
      </c>
      <c r="X568" s="2" t="s">
        <v>30</v>
      </c>
      <c r="Y568" s="6" t="str">
        <f aca="false">IF(AND(X568="processed",ISNUMBER(S568)),S568*O568,"")</f>
        <v/>
      </c>
      <c r="Z568" s="6" t="n">
        <f aca="false">IF(ISNUMBER(K568),K568*O568,0)</f>
        <v>91</v>
      </c>
      <c r="AA568" s="2" t="s">
        <v>31</v>
      </c>
      <c r="AB568" s="6" t="n">
        <v>18501</v>
      </c>
      <c r="AC568" s="6" t="n">
        <v>14005</v>
      </c>
      <c r="AD568" s="6" t="n">
        <v>325</v>
      </c>
      <c r="AE568" s="6" t="n">
        <v>1477.43774414063</v>
      </c>
      <c r="AF568" s="8" t="n">
        <v>583.333333333</v>
      </c>
      <c r="AG568" s="11" t="n">
        <v>-0.05988894662</v>
      </c>
      <c r="AH568" s="12" t="n">
        <v>1</v>
      </c>
      <c r="AI568" s="2" t="s">
        <v>317</v>
      </c>
      <c r="AJ568" s="2" t="s">
        <v>1392</v>
      </c>
      <c r="AK568" s="2" t="s">
        <v>1392</v>
      </c>
    </row>
    <row r="569" customFormat="false" ht="15" hidden="false" customHeight="false" outlineLevel="0" collapsed="false">
      <c r="A569" s="9" t="n">
        <v>566</v>
      </c>
      <c r="B569" s="2" t="s">
        <v>1393</v>
      </c>
      <c r="C569" s="2" t="s">
        <v>1394</v>
      </c>
      <c r="D569" s="2" t="s">
        <v>50</v>
      </c>
      <c r="E569" s="2" t="s">
        <v>51</v>
      </c>
      <c r="F569" s="2" t="s">
        <v>1395</v>
      </c>
      <c r="G569" s="2" t="s">
        <v>323</v>
      </c>
      <c r="H569" s="8" t="n">
        <v>672.209277473511</v>
      </c>
      <c r="I569" s="2" t="s">
        <v>316</v>
      </c>
      <c r="J569" s="8" t="n">
        <v>1023444.44444444</v>
      </c>
      <c r="K569" s="6" t="n">
        <v>45</v>
      </c>
      <c r="L569" s="2"/>
      <c r="M569" s="10" t="b">
        <f aca="false">TRUE()</f>
        <v>1</v>
      </c>
      <c r="N569" s="9" t="n">
        <f aca="false">IF(H569="","",IF(H569&gt;=Assumptions!$B$5,1,IF(H569&gt;=Assumptions!$B$6,2,IF(H569&gt;=Assumptions!$B$7,3,""))))</f>
        <v>2</v>
      </c>
      <c r="O569" s="9" t="n">
        <f aca="false">IF(N569=1,Assumptions!$B$8,IF(N569=2,Assumptions!$B$9,IF(N569=3,Assumptions!$B$10,0)))</f>
        <v>2</v>
      </c>
      <c r="P569" s="6" t="s">
        <v>30</v>
      </c>
      <c r="Q569" s="6" t="s">
        <v>30</v>
      </c>
      <c r="R569" s="11" t="s">
        <v>30</v>
      </c>
      <c r="S569" s="6" t="s">
        <v>30</v>
      </c>
      <c r="T569" s="11" t="s">
        <v>30</v>
      </c>
      <c r="U569" s="6" t="s">
        <v>30</v>
      </c>
      <c r="V569" s="6" t="s">
        <v>30</v>
      </c>
      <c r="W569" s="6" t="s">
        <v>30</v>
      </c>
      <c r="X569" s="2" t="s">
        <v>30</v>
      </c>
      <c r="Y569" s="6" t="str">
        <f aca="false">IF(AND(X569="processed",ISNUMBER(S569)),S569*O569,"")</f>
        <v/>
      </c>
      <c r="Z569" s="6" t="n">
        <f aca="false">IF(ISNUMBER(K569),K569*O569,0)</f>
        <v>90</v>
      </c>
      <c r="AA569" s="2" t="s">
        <v>31</v>
      </c>
      <c r="AB569" s="6" t="n">
        <v>2295</v>
      </c>
      <c r="AC569" s="6" t="n">
        <v>1959</v>
      </c>
      <c r="AD569" s="6" t="n">
        <v>1213</v>
      </c>
      <c r="AE569" s="6" t="n">
        <v>1438.69311523438</v>
      </c>
      <c r="AF569" s="8" t="n">
        <v>657.269572126</v>
      </c>
      <c r="AG569" s="11" t="n">
        <v>0.06659354956</v>
      </c>
      <c r="AH569" s="12" t="n">
        <v>0.999761870924176</v>
      </c>
      <c r="AI569" s="2" t="s">
        <v>317</v>
      </c>
      <c r="AJ569" s="2" t="s">
        <v>1394</v>
      </c>
      <c r="AK569" s="2" t="s">
        <v>1394</v>
      </c>
    </row>
    <row r="570" customFormat="false" ht="15" hidden="false" customHeight="false" outlineLevel="0" collapsed="false">
      <c r="A570" s="9" t="n">
        <v>567</v>
      </c>
      <c r="B570" s="2" t="s">
        <v>1396</v>
      </c>
      <c r="C570" s="2" t="s">
        <v>1397</v>
      </c>
      <c r="D570" s="2" t="s">
        <v>44</v>
      </c>
      <c r="E570" s="2" t="s">
        <v>44</v>
      </c>
      <c r="F570" s="2" t="s">
        <v>1398</v>
      </c>
      <c r="G570" s="2" t="s">
        <v>322</v>
      </c>
      <c r="H570" s="8" t="n">
        <v>583.345797550326</v>
      </c>
      <c r="I570" s="2" t="s">
        <v>316</v>
      </c>
      <c r="J570" s="8" t="n">
        <v>727123.595505618</v>
      </c>
      <c r="K570" s="6" t="n">
        <v>89</v>
      </c>
      <c r="L570" s="2"/>
      <c r="M570" s="10" t="b">
        <f aca="false">TRUE()</f>
        <v>1</v>
      </c>
      <c r="N570" s="9" t="n">
        <f aca="false">IF(H570="","",IF(H570&gt;=Assumptions!$B$5,1,IF(H570&gt;=Assumptions!$B$6,2,IF(H570&gt;=Assumptions!$B$7,3,""))))</f>
        <v>3</v>
      </c>
      <c r="O570" s="9" t="n">
        <f aca="false">IF(N570=1,Assumptions!$B$8,IF(N570=2,Assumptions!$B$9,IF(N570=3,Assumptions!$B$10,0)))</f>
        <v>1</v>
      </c>
      <c r="P570" s="6" t="s">
        <v>30</v>
      </c>
      <c r="Q570" s="6" t="s">
        <v>30</v>
      </c>
      <c r="R570" s="11" t="s">
        <v>30</v>
      </c>
      <c r="S570" s="6" t="s">
        <v>30</v>
      </c>
      <c r="T570" s="11" t="s">
        <v>30</v>
      </c>
      <c r="U570" s="6" t="s">
        <v>30</v>
      </c>
      <c r="V570" s="6" t="s">
        <v>30</v>
      </c>
      <c r="W570" s="6" t="s">
        <v>30</v>
      </c>
      <c r="X570" s="2" t="s">
        <v>30</v>
      </c>
      <c r="Y570" s="6" t="str">
        <f aca="false">IF(AND(X570="processed",ISNUMBER(S570)),S570*O570,"")</f>
        <v/>
      </c>
      <c r="Z570" s="6" t="n">
        <f aca="false">IF(ISNUMBER(K570),K570*O570,0)</f>
        <v>89</v>
      </c>
      <c r="AA570" s="2" t="s">
        <v>31</v>
      </c>
      <c r="AB570" s="6" t="n">
        <v>11932</v>
      </c>
      <c r="AC570" s="6" t="n">
        <v>10127</v>
      </c>
      <c r="AD570" s="6" t="n">
        <v>10976</v>
      </c>
      <c r="AE570" s="6" t="n">
        <v>1765.01672363281</v>
      </c>
      <c r="AF570" s="8" t="n">
        <v>678.745967548</v>
      </c>
      <c r="AG570" s="11" t="n">
        <v>0.1678523582</v>
      </c>
      <c r="AH570" s="12" t="n">
        <v>0.977489624956256</v>
      </c>
      <c r="AI570" s="2" t="s">
        <v>317</v>
      </c>
      <c r="AJ570" s="2" t="s">
        <v>1397</v>
      </c>
      <c r="AK570" s="2" t="s">
        <v>1397</v>
      </c>
    </row>
    <row r="571" customFormat="false" ht="15" hidden="false" customHeight="false" outlineLevel="0" collapsed="false">
      <c r="A571" s="9" t="n">
        <v>568</v>
      </c>
      <c r="B571" s="2" t="s">
        <v>1399</v>
      </c>
      <c r="C571" s="2" t="s">
        <v>44</v>
      </c>
      <c r="D571" s="2" t="s">
        <v>44</v>
      </c>
      <c r="E571" s="2" t="s">
        <v>44</v>
      </c>
      <c r="F571" s="2" t="s">
        <v>1400</v>
      </c>
      <c r="G571" s="2" t="s">
        <v>322</v>
      </c>
      <c r="H571" s="8" t="n">
        <v>577.593702312775</v>
      </c>
      <c r="I571" s="2" t="s">
        <v>316</v>
      </c>
      <c r="J571" s="8" t="n">
        <v>680505.617977528</v>
      </c>
      <c r="K571" s="6" t="n">
        <v>89</v>
      </c>
      <c r="L571" s="2"/>
      <c r="M571" s="10" t="b">
        <f aca="false">TRUE()</f>
        <v>1</v>
      </c>
      <c r="N571" s="9" t="n">
        <f aca="false">IF(H571="","",IF(H571&gt;=Assumptions!$B$5,1,IF(H571&gt;=Assumptions!$B$6,2,IF(H571&gt;=Assumptions!$B$7,3,""))))</f>
        <v>3</v>
      </c>
      <c r="O571" s="9" t="n">
        <f aca="false">IF(N571=1,Assumptions!$B$8,IF(N571=2,Assumptions!$B$9,IF(N571=3,Assumptions!$B$10,0)))</f>
        <v>1</v>
      </c>
      <c r="P571" s="6" t="s">
        <v>30</v>
      </c>
      <c r="Q571" s="6" t="s">
        <v>30</v>
      </c>
      <c r="R571" s="11" t="s">
        <v>30</v>
      </c>
      <c r="S571" s="6" t="s">
        <v>30</v>
      </c>
      <c r="T571" s="11" t="s">
        <v>30</v>
      </c>
      <c r="U571" s="6" t="s">
        <v>30</v>
      </c>
      <c r="V571" s="6" t="s">
        <v>30</v>
      </c>
      <c r="W571" s="6" t="s">
        <v>30</v>
      </c>
      <c r="X571" s="2" t="s">
        <v>30</v>
      </c>
      <c r="Y571" s="6" t="str">
        <f aca="false">IF(AND(X571="processed",ISNUMBER(S571)),S571*O571,"")</f>
        <v/>
      </c>
      <c r="Z571" s="6" t="n">
        <f aca="false">IF(ISNUMBER(K571),K571*O571,0)</f>
        <v>89</v>
      </c>
      <c r="AA571" s="2" t="s">
        <v>31</v>
      </c>
      <c r="AB571" s="6" t="n">
        <v>11531</v>
      </c>
      <c r="AC571" s="6" t="n">
        <v>9087</v>
      </c>
      <c r="AD571" s="6" t="n">
        <v>5753</v>
      </c>
      <c r="AE571" s="6" t="n">
        <v>1487.35217285156</v>
      </c>
      <c r="AF571" s="8" t="n">
        <v>604.166666667</v>
      </c>
      <c r="AG571" s="11" t="n">
        <v>0.01434067856</v>
      </c>
      <c r="AH571" s="12" t="n">
        <v>0.991060794018145</v>
      </c>
      <c r="AI571" s="2" t="s">
        <v>317</v>
      </c>
      <c r="AJ571" s="2" t="s">
        <v>44</v>
      </c>
      <c r="AK571" s="2" t="s">
        <v>44</v>
      </c>
    </row>
    <row r="572" customFormat="false" ht="15" hidden="false" customHeight="false" outlineLevel="0" collapsed="false">
      <c r="A572" s="9" t="n">
        <v>569</v>
      </c>
      <c r="B572" s="2" t="s">
        <v>1401</v>
      </c>
      <c r="C572" s="2" t="s">
        <v>352</v>
      </c>
      <c r="D572" s="2" t="s">
        <v>70</v>
      </c>
      <c r="E572" s="2" t="s">
        <v>71</v>
      </c>
      <c r="F572" s="2" t="s">
        <v>1402</v>
      </c>
      <c r="G572" s="2" t="s">
        <v>329</v>
      </c>
      <c r="H572" s="8" t="n">
        <v>619.755454471341</v>
      </c>
      <c r="I572" s="2" t="s">
        <v>316</v>
      </c>
      <c r="J572" s="8" t="n">
        <v>857386.363636364</v>
      </c>
      <c r="K572" s="6" t="n">
        <v>44</v>
      </c>
      <c r="L572" s="2"/>
      <c r="M572" s="10" t="b">
        <f aca="false">TRUE()</f>
        <v>1</v>
      </c>
      <c r="N572" s="9" t="n">
        <f aca="false">IF(H572="","",IF(H572&gt;=Assumptions!$B$5,1,IF(H572&gt;=Assumptions!$B$6,2,IF(H572&gt;=Assumptions!$B$7,3,""))))</f>
        <v>2</v>
      </c>
      <c r="O572" s="9" t="n">
        <f aca="false">IF(N572=1,Assumptions!$B$8,IF(N572=2,Assumptions!$B$9,IF(N572=3,Assumptions!$B$10,0)))</f>
        <v>2</v>
      </c>
      <c r="P572" s="6" t="s">
        <v>30</v>
      </c>
      <c r="Q572" s="6" t="s">
        <v>30</v>
      </c>
      <c r="R572" s="11" t="s">
        <v>30</v>
      </c>
      <c r="S572" s="6" t="s">
        <v>30</v>
      </c>
      <c r="T572" s="11" t="s">
        <v>30</v>
      </c>
      <c r="U572" s="6" t="s">
        <v>30</v>
      </c>
      <c r="V572" s="6" t="s">
        <v>30</v>
      </c>
      <c r="W572" s="6" t="s">
        <v>30</v>
      </c>
      <c r="X572" s="2" t="s">
        <v>30</v>
      </c>
      <c r="Y572" s="6" t="str">
        <f aca="false">IF(AND(X572="processed",ISNUMBER(S572)),S572*O572,"")</f>
        <v/>
      </c>
      <c r="Z572" s="6" t="n">
        <f aca="false">IF(ISNUMBER(K572),K572*O572,0)</f>
        <v>88</v>
      </c>
      <c r="AA572" s="2" t="s">
        <v>31</v>
      </c>
      <c r="AB572" s="6" t="n">
        <v>5751</v>
      </c>
      <c r="AC572" s="6" t="n">
        <v>4545</v>
      </c>
      <c r="AD572" s="6" t="n">
        <v>186</v>
      </c>
      <c r="AE572" s="6" t="n">
        <v>1737.822265625</v>
      </c>
      <c r="AF572" s="8" t="n">
        <v>642.547796169</v>
      </c>
      <c r="AG572" s="11" t="n">
        <v>0.1876286271</v>
      </c>
      <c r="AH572" s="12" t="n">
        <v>1</v>
      </c>
      <c r="AI572" s="2" t="s">
        <v>317</v>
      </c>
      <c r="AJ572" s="2" t="s">
        <v>352</v>
      </c>
      <c r="AK572" s="2" t="s">
        <v>70</v>
      </c>
    </row>
    <row r="573" customFormat="false" ht="15" hidden="false" customHeight="false" outlineLevel="0" collapsed="false">
      <c r="A573" s="9" t="n">
        <v>570</v>
      </c>
      <c r="B573" s="2" t="s">
        <v>1403</v>
      </c>
      <c r="C573" s="2" t="s">
        <v>767</v>
      </c>
      <c r="D573" s="2" t="s">
        <v>70</v>
      </c>
      <c r="E573" s="2" t="s">
        <v>71</v>
      </c>
      <c r="F573" s="2"/>
      <c r="G573" s="2" t="s">
        <v>329</v>
      </c>
      <c r="H573" s="8" t="n">
        <v>571.021017173466</v>
      </c>
      <c r="I573" s="2" t="s">
        <v>316</v>
      </c>
      <c r="J573" s="8" t="n">
        <v>919045.454545455</v>
      </c>
      <c r="K573" s="6" t="n">
        <v>88</v>
      </c>
      <c r="L573" s="2"/>
      <c r="M573" s="10" t="b">
        <f aca="false">TRUE()</f>
        <v>1</v>
      </c>
      <c r="N573" s="9" t="n">
        <f aca="false">IF(H573="","",IF(H573&gt;=Assumptions!$B$5,1,IF(H573&gt;=Assumptions!$B$6,2,IF(H573&gt;=Assumptions!$B$7,3,""))))</f>
        <v>3</v>
      </c>
      <c r="O573" s="9" t="n">
        <f aca="false">IF(N573=1,Assumptions!$B$8,IF(N573=2,Assumptions!$B$9,IF(N573=3,Assumptions!$B$10,0)))</f>
        <v>1</v>
      </c>
      <c r="P573" s="6" t="s">
        <v>30</v>
      </c>
      <c r="Q573" s="6" t="s">
        <v>30</v>
      </c>
      <c r="R573" s="11" t="s">
        <v>30</v>
      </c>
      <c r="S573" s="6" t="s">
        <v>30</v>
      </c>
      <c r="T573" s="11" t="s">
        <v>30</v>
      </c>
      <c r="U573" s="6" t="s">
        <v>30</v>
      </c>
      <c r="V573" s="6" t="s">
        <v>30</v>
      </c>
      <c r="W573" s="6" t="s">
        <v>30</v>
      </c>
      <c r="X573" s="2" t="s">
        <v>30</v>
      </c>
      <c r="Y573" s="6" t="str">
        <f aca="false">IF(AND(X573="processed",ISNUMBER(S573)),S573*O573,"")</f>
        <v/>
      </c>
      <c r="Z573" s="6" t="n">
        <f aca="false">IF(ISNUMBER(K573),K573*O573,0)</f>
        <v>88</v>
      </c>
      <c r="AA573" s="2" t="s">
        <v>31</v>
      </c>
      <c r="AB573" s="6" t="n">
        <v>8984</v>
      </c>
      <c r="AC573" s="6" t="n">
        <v>6751</v>
      </c>
      <c r="AD573" s="6" t="n">
        <v>54</v>
      </c>
      <c r="AE573" s="6" t="n">
        <v>2303.091796875</v>
      </c>
      <c r="AF573" s="8" t="n">
        <v>528.882220555</v>
      </c>
      <c r="AG573" s="11" t="n">
        <v>-0.1021082482</v>
      </c>
      <c r="AH573" s="12" t="n">
        <v>0.999447213885526</v>
      </c>
      <c r="AI573" s="2" t="s">
        <v>317</v>
      </c>
      <c r="AJ573" s="2" t="s">
        <v>767</v>
      </c>
      <c r="AK573" s="2" t="s">
        <v>767</v>
      </c>
    </row>
    <row r="574" customFormat="false" ht="15" hidden="false" customHeight="false" outlineLevel="0" collapsed="false">
      <c r="A574" s="9" t="n">
        <v>571</v>
      </c>
      <c r="B574" s="2" t="s">
        <v>1404</v>
      </c>
      <c r="C574" s="2" t="s">
        <v>217</v>
      </c>
      <c r="D574" s="2" t="s">
        <v>27</v>
      </c>
      <c r="E574" s="2" t="s">
        <v>28</v>
      </c>
      <c r="F574" s="2" t="s">
        <v>1405</v>
      </c>
      <c r="G574" s="2" t="s">
        <v>315</v>
      </c>
      <c r="H574" s="8" t="n">
        <v>605.045073124818</v>
      </c>
      <c r="I574" s="2" t="s">
        <v>316</v>
      </c>
      <c r="J574" s="8" t="n">
        <v>888977.272727273</v>
      </c>
      <c r="K574" s="6" t="n">
        <v>44</v>
      </c>
      <c r="L574" s="2"/>
      <c r="M574" s="10" t="b">
        <f aca="false">TRUE()</f>
        <v>1</v>
      </c>
      <c r="N574" s="9" t="n">
        <f aca="false">IF(H574="","",IF(H574&gt;=Assumptions!$B$5,1,IF(H574&gt;=Assumptions!$B$6,2,IF(H574&gt;=Assumptions!$B$7,3,""))))</f>
        <v>2</v>
      </c>
      <c r="O574" s="9" t="n">
        <f aca="false">IF(N574=1,Assumptions!$B$8,IF(N574=2,Assumptions!$B$9,IF(N574=3,Assumptions!$B$10,0)))</f>
        <v>2</v>
      </c>
      <c r="P574" s="6" t="s">
        <v>30</v>
      </c>
      <c r="Q574" s="6" t="s">
        <v>30</v>
      </c>
      <c r="R574" s="11" t="s">
        <v>30</v>
      </c>
      <c r="S574" s="6" t="s">
        <v>30</v>
      </c>
      <c r="T574" s="11" t="s">
        <v>30</v>
      </c>
      <c r="U574" s="6" t="s">
        <v>30</v>
      </c>
      <c r="V574" s="6" t="s">
        <v>30</v>
      </c>
      <c r="W574" s="6" t="s">
        <v>30</v>
      </c>
      <c r="X574" s="2" t="s">
        <v>30</v>
      </c>
      <c r="Y574" s="6" t="str">
        <f aca="false">IF(AND(X574="processed",ISNUMBER(S574)),S574*O574,"")</f>
        <v/>
      </c>
      <c r="Z574" s="6" t="n">
        <f aca="false">IF(ISNUMBER(K574),K574*O574,0)</f>
        <v>88</v>
      </c>
      <c r="AA574" s="2" t="s">
        <v>31</v>
      </c>
      <c r="AB574" s="6" t="n">
        <v>7609</v>
      </c>
      <c r="AC574" s="6" t="n">
        <v>5744</v>
      </c>
      <c r="AD574" s="6" t="n">
        <v>245</v>
      </c>
      <c r="AE574" s="6" t="n">
        <v>1978.46508789063</v>
      </c>
      <c r="AF574" s="8" t="n">
        <v>575.580275579</v>
      </c>
      <c r="AG574" s="11" t="n">
        <v>-0.07916158828</v>
      </c>
      <c r="AH574" s="12" t="n">
        <v>1</v>
      </c>
      <c r="AI574" s="2" t="s">
        <v>317</v>
      </c>
      <c r="AJ574" s="2" t="s">
        <v>217</v>
      </c>
      <c r="AK574" s="2" t="s">
        <v>217</v>
      </c>
    </row>
    <row r="575" customFormat="false" ht="15" hidden="false" customHeight="false" outlineLevel="0" collapsed="false">
      <c r="A575" s="9" t="n">
        <v>572</v>
      </c>
      <c r="B575" s="2" t="s">
        <v>1406</v>
      </c>
      <c r="C575" s="2" t="s">
        <v>1112</v>
      </c>
      <c r="D575" s="2" t="s">
        <v>70</v>
      </c>
      <c r="E575" s="2" t="s">
        <v>71</v>
      </c>
      <c r="F575" s="2"/>
      <c r="G575" s="2" t="s">
        <v>329</v>
      </c>
      <c r="H575" s="8" t="n">
        <v>590.051033061276</v>
      </c>
      <c r="I575" s="2" t="s">
        <v>316</v>
      </c>
      <c r="J575" s="8" t="n">
        <v>810862.068965517</v>
      </c>
      <c r="K575" s="6" t="n">
        <v>87</v>
      </c>
      <c r="L575" s="2"/>
      <c r="M575" s="10" t="b">
        <f aca="false">TRUE()</f>
        <v>1</v>
      </c>
      <c r="N575" s="9" t="n">
        <f aca="false">IF(H575="","",IF(H575&gt;=Assumptions!$B$5,1,IF(H575&gt;=Assumptions!$B$6,2,IF(H575&gt;=Assumptions!$B$7,3,""))))</f>
        <v>3</v>
      </c>
      <c r="O575" s="9" t="n">
        <f aca="false">IF(N575=1,Assumptions!$B$8,IF(N575=2,Assumptions!$B$9,IF(N575=3,Assumptions!$B$10,0)))</f>
        <v>1</v>
      </c>
      <c r="P575" s="6" t="s">
        <v>30</v>
      </c>
      <c r="Q575" s="6" t="s">
        <v>30</v>
      </c>
      <c r="R575" s="11" t="s">
        <v>30</v>
      </c>
      <c r="S575" s="6" t="s">
        <v>30</v>
      </c>
      <c r="T575" s="11" t="s">
        <v>30</v>
      </c>
      <c r="U575" s="6" t="s">
        <v>30</v>
      </c>
      <c r="V575" s="6" t="s">
        <v>30</v>
      </c>
      <c r="W575" s="6" t="s">
        <v>30</v>
      </c>
      <c r="X575" s="2" t="s">
        <v>30</v>
      </c>
      <c r="Y575" s="6" t="str">
        <f aca="false">IF(AND(X575="processed",ISNUMBER(S575)),S575*O575,"")</f>
        <v/>
      </c>
      <c r="Z575" s="6" t="n">
        <f aca="false">IF(ISNUMBER(K575),K575*O575,0)</f>
        <v>87</v>
      </c>
      <c r="AA575" s="2" t="s">
        <v>31</v>
      </c>
      <c r="AB575" s="6" t="n">
        <v>13366</v>
      </c>
      <c r="AC575" s="6" t="n">
        <v>10070</v>
      </c>
      <c r="AD575" s="6" t="n">
        <v>171</v>
      </c>
      <c r="AE575" s="6" t="n">
        <v>1754.35717773438</v>
      </c>
      <c r="AF575" s="8" t="n">
        <v>580.663305808</v>
      </c>
      <c r="AG575" s="11" t="n">
        <v>-0.08013733733</v>
      </c>
      <c r="AH575" s="12" t="n">
        <v>1</v>
      </c>
      <c r="AI575" s="2" t="s">
        <v>317</v>
      </c>
      <c r="AJ575" s="2" t="s">
        <v>1112</v>
      </c>
      <c r="AK575" s="2" t="s">
        <v>1112</v>
      </c>
    </row>
    <row r="576" customFormat="false" ht="15" hidden="false" customHeight="false" outlineLevel="0" collapsed="false">
      <c r="A576" s="9" t="n">
        <v>573</v>
      </c>
      <c r="B576" s="2" t="s">
        <v>1407</v>
      </c>
      <c r="C576" s="2" t="s">
        <v>1129</v>
      </c>
      <c r="D576" s="2" t="s">
        <v>44</v>
      </c>
      <c r="E576" s="2" t="s">
        <v>44</v>
      </c>
      <c r="F576" s="2" t="s">
        <v>1408</v>
      </c>
      <c r="G576" s="2" t="s">
        <v>322</v>
      </c>
      <c r="H576" s="8" t="n">
        <v>522.815105911701</v>
      </c>
      <c r="I576" s="2" t="s">
        <v>316</v>
      </c>
      <c r="J576" s="8" t="n">
        <v>823482.75862069</v>
      </c>
      <c r="K576" s="6" t="n">
        <v>87</v>
      </c>
      <c r="L576" s="2"/>
      <c r="M576" s="10" t="b">
        <f aca="false">TRUE()</f>
        <v>1</v>
      </c>
      <c r="N576" s="9" t="n">
        <f aca="false">IF(H576="","",IF(H576&gt;=Assumptions!$B$5,1,IF(H576&gt;=Assumptions!$B$6,2,IF(H576&gt;=Assumptions!$B$7,3,""))))</f>
        <v>3</v>
      </c>
      <c r="O576" s="9" t="n">
        <f aca="false">IF(N576=1,Assumptions!$B$8,IF(N576=2,Assumptions!$B$9,IF(N576=3,Assumptions!$B$10,0)))</f>
        <v>1</v>
      </c>
      <c r="P576" s="6" t="s">
        <v>30</v>
      </c>
      <c r="Q576" s="6" t="s">
        <v>30</v>
      </c>
      <c r="R576" s="11" t="s">
        <v>30</v>
      </c>
      <c r="S576" s="6" t="s">
        <v>30</v>
      </c>
      <c r="T576" s="11" t="s">
        <v>30</v>
      </c>
      <c r="U576" s="6" t="s">
        <v>30</v>
      </c>
      <c r="V576" s="6" t="s">
        <v>30</v>
      </c>
      <c r="W576" s="6" t="s">
        <v>30</v>
      </c>
      <c r="X576" s="2" t="s">
        <v>30</v>
      </c>
      <c r="Y576" s="6" t="str">
        <f aca="false">IF(AND(X576="processed",ISNUMBER(S576)),S576*O576,"")</f>
        <v/>
      </c>
      <c r="Z576" s="6" t="n">
        <f aca="false">IF(ISNUMBER(K576),K576*O576,0)</f>
        <v>87</v>
      </c>
      <c r="AA576" s="2" t="s">
        <v>31</v>
      </c>
      <c r="AB576" s="6" t="n">
        <v>10360</v>
      </c>
      <c r="AC576" s="6" t="n">
        <v>8387</v>
      </c>
      <c r="AD576" s="6" t="n">
        <v>892</v>
      </c>
      <c r="AE576" s="6" t="n">
        <v>2234.86547851563</v>
      </c>
      <c r="AF576" s="8" t="n">
        <v>543.75</v>
      </c>
      <c r="AG576" s="11" t="n">
        <v>-0.04303778462</v>
      </c>
      <c r="AH576" s="12" t="n">
        <v>1</v>
      </c>
      <c r="AI576" s="2" t="s">
        <v>317</v>
      </c>
      <c r="AJ576" s="2" t="s">
        <v>1129</v>
      </c>
      <c r="AK576" s="2" t="s">
        <v>1129</v>
      </c>
    </row>
    <row r="577" customFormat="false" ht="15" hidden="false" customHeight="false" outlineLevel="0" collapsed="false">
      <c r="A577" s="9" t="n">
        <v>574</v>
      </c>
      <c r="B577" s="2" t="s">
        <v>1409</v>
      </c>
      <c r="C577" s="2" t="s">
        <v>585</v>
      </c>
      <c r="D577" s="2" t="s">
        <v>27</v>
      </c>
      <c r="E577" s="2" t="s">
        <v>28</v>
      </c>
      <c r="F577" s="2" t="s">
        <v>1410</v>
      </c>
      <c r="G577" s="2" t="s">
        <v>315</v>
      </c>
      <c r="H577" s="8" t="n">
        <v>577.88066452608</v>
      </c>
      <c r="I577" s="2" t="s">
        <v>316</v>
      </c>
      <c r="J577" s="8" t="n">
        <v>1018649.42528736</v>
      </c>
      <c r="K577" s="6" t="n">
        <v>87</v>
      </c>
      <c r="L577" s="2"/>
      <c r="M577" s="10" t="b">
        <f aca="false">TRUE()</f>
        <v>1</v>
      </c>
      <c r="N577" s="9" t="n">
        <f aca="false">IF(H577="","",IF(H577&gt;=Assumptions!$B$5,1,IF(H577&gt;=Assumptions!$B$6,2,IF(H577&gt;=Assumptions!$B$7,3,""))))</f>
        <v>3</v>
      </c>
      <c r="O577" s="9" t="n">
        <f aca="false">IF(N577=1,Assumptions!$B$8,IF(N577=2,Assumptions!$B$9,IF(N577=3,Assumptions!$B$10,0)))</f>
        <v>1</v>
      </c>
      <c r="P577" s="6" t="s">
        <v>30</v>
      </c>
      <c r="Q577" s="6" t="s">
        <v>30</v>
      </c>
      <c r="R577" s="11" t="s">
        <v>30</v>
      </c>
      <c r="S577" s="6" t="s">
        <v>30</v>
      </c>
      <c r="T577" s="11" t="s">
        <v>30</v>
      </c>
      <c r="U577" s="6" t="s">
        <v>30</v>
      </c>
      <c r="V577" s="6" t="s">
        <v>30</v>
      </c>
      <c r="W577" s="6" t="s">
        <v>30</v>
      </c>
      <c r="X577" s="2" t="s">
        <v>30</v>
      </c>
      <c r="Y577" s="6" t="str">
        <f aca="false">IF(AND(X577="processed",ISNUMBER(S577)),S577*O577,"")</f>
        <v/>
      </c>
      <c r="Z577" s="6" t="n">
        <f aca="false">IF(ISNUMBER(K577),K577*O577,0)</f>
        <v>87</v>
      </c>
      <c r="AA577" s="2" t="s">
        <v>31</v>
      </c>
      <c r="AB577" s="6" t="n">
        <v>8667</v>
      </c>
      <c r="AC577" s="6" t="n">
        <v>7042</v>
      </c>
      <c r="AD577" s="6" t="n">
        <v>266</v>
      </c>
      <c r="AE577" s="6" t="n">
        <v>2627.91162109375</v>
      </c>
      <c r="AF577" s="8" t="n">
        <v>602.134146341</v>
      </c>
      <c r="AG577" s="11" t="n">
        <v>0.09901685474</v>
      </c>
      <c r="AH577" s="12" t="n">
        <v>1</v>
      </c>
      <c r="AI577" s="2" t="s">
        <v>317</v>
      </c>
      <c r="AJ577" s="2" t="s">
        <v>585</v>
      </c>
      <c r="AK577" s="2" t="s">
        <v>585</v>
      </c>
    </row>
    <row r="578" customFormat="false" ht="15" hidden="false" customHeight="false" outlineLevel="0" collapsed="false">
      <c r="A578" s="9" t="n">
        <v>575</v>
      </c>
      <c r="B578" s="2" t="s">
        <v>1411</v>
      </c>
      <c r="C578" s="2" t="s">
        <v>1412</v>
      </c>
      <c r="D578" s="2" t="s">
        <v>95</v>
      </c>
      <c r="E578" s="2" t="s">
        <v>95</v>
      </c>
      <c r="F578" s="2"/>
      <c r="G578" s="2" t="s">
        <v>330</v>
      </c>
      <c r="H578" s="8" t="n">
        <v>1485.60195260782</v>
      </c>
      <c r="I578" s="2" t="s">
        <v>316</v>
      </c>
      <c r="J578" s="8" t="n">
        <v>4154107.14285714</v>
      </c>
      <c r="K578" s="6" t="n">
        <v>28</v>
      </c>
      <c r="L578" s="2"/>
      <c r="M578" s="10" t="b">
        <f aca="false">TRUE()</f>
        <v>1</v>
      </c>
      <c r="N578" s="9" t="n">
        <f aca="false">IF(H578="","",IF(H578&gt;=Assumptions!$B$5,1,IF(H578&gt;=Assumptions!$B$6,2,IF(H578&gt;=Assumptions!$B$7,3,""))))</f>
        <v>1</v>
      </c>
      <c r="O578" s="9" t="n">
        <f aca="false">IF(N578=1,Assumptions!$B$8,IF(N578=2,Assumptions!$B$9,IF(N578=3,Assumptions!$B$10,0)))</f>
        <v>3</v>
      </c>
      <c r="P578" s="6" t="s">
        <v>30</v>
      </c>
      <c r="Q578" s="6" t="s">
        <v>30</v>
      </c>
      <c r="R578" s="11" t="s">
        <v>30</v>
      </c>
      <c r="S578" s="6" t="s">
        <v>30</v>
      </c>
      <c r="T578" s="11" t="s">
        <v>30</v>
      </c>
      <c r="U578" s="6" t="s">
        <v>30</v>
      </c>
      <c r="V578" s="6" t="s">
        <v>30</v>
      </c>
      <c r="W578" s="6" t="s">
        <v>30</v>
      </c>
      <c r="X578" s="2" t="s">
        <v>30</v>
      </c>
      <c r="Y578" s="6" t="str">
        <f aca="false">IF(AND(X578="processed",ISNUMBER(S578)),S578*O578,"")</f>
        <v/>
      </c>
      <c r="Z578" s="6" t="n">
        <f aca="false">IF(ISNUMBER(K578),K578*O578,0)</f>
        <v>84</v>
      </c>
      <c r="AA578" s="2" t="s">
        <v>31</v>
      </c>
      <c r="AB578" s="6" t="n">
        <v>806</v>
      </c>
      <c r="AC578" s="6" t="n">
        <v>587</v>
      </c>
      <c r="AD578" s="6" t="n">
        <v>42</v>
      </c>
      <c r="AE578" s="6" t="n">
        <v>2191.51733398438</v>
      </c>
      <c r="AF578" s="8" t="n">
        <v>1622.971285893</v>
      </c>
      <c r="AG578" s="11" t="n">
        <v>0.1061497803</v>
      </c>
      <c r="AH578" s="12" t="n">
        <v>1</v>
      </c>
      <c r="AI578" s="2" t="s">
        <v>317</v>
      </c>
      <c r="AJ578" s="2" t="s">
        <v>1412</v>
      </c>
      <c r="AK578" s="2" t="s">
        <v>1412</v>
      </c>
    </row>
    <row r="579" customFormat="false" ht="15" hidden="false" customHeight="false" outlineLevel="0" collapsed="false">
      <c r="A579" s="9" t="n">
        <v>576</v>
      </c>
      <c r="B579" s="2" t="s">
        <v>1413</v>
      </c>
      <c r="C579" s="2" t="s">
        <v>1414</v>
      </c>
      <c r="D579" s="2" t="s">
        <v>190</v>
      </c>
      <c r="E579" s="2" t="s">
        <v>51</v>
      </c>
      <c r="F579" s="2"/>
      <c r="G579" s="2" t="s">
        <v>336</v>
      </c>
      <c r="H579" s="8" t="n">
        <v>765.534000798822</v>
      </c>
      <c r="I579" s="2" t="s">
        <v>316</v>
      </c>
      <c r="J579" s="8" t="n">
        <v>1841428.57142857</v>
      </c>
      <c r="K579" s="6" t="n">
        <v>28</v>
      </c>
      <c r="L579" s="2"/>
      <c r="M579" s="10" t="b">
        <f aca="false">TRUE()</f>
        <v>1</v>
      </c>
      <c r="N579" s="9" t="n">
        <f aca="false">IF(H579="","",IF(H579&gt;=Assumptions!$B$5,1,IF(H579&gt;=Assumptions!$B$6,2,IF(H579&gt;=Assumptions!$B$7,3,""))))</f>
        <v>1</v>
      </c>
      <c r="O579" s="9" t="n">
        <f aca="false">IF(N579=1,Assumptions!$B$8,IF(N579=2,Assumptions!$B$9,IF(N579=3,Assumptions!$B$10,0)))</f>
        <v>3</v>
      </c>
      <c r="P579" s="6" t="s">
        <v>30</v>
      </c>
      <c r="Q579" s="6" t="s">
        <v>30</v>
      </c>
      <c r="R579" s="11" t="s">
        <v>30</v>
      </c>
      <c r="S579" s="6" t="s">
        <v>30</v>
      </c>
      <c r="T579" s="11" t="s">
        <v>30</v>
      </c>
      <c r="U579" s="6" t="s">
        <v>30</v>
      </c>
      <c r="V579" s="6" t="s">
        <v>30</v>
      </c>
      <c r="W579" s="6" t="s">
        <v>30</v>
      </c>
      <c r="X579" s="2" t="s">
        <v>30</v>
      </c>
      <c r="Y579" s="6" t="str">
        <f aca="false">IF(AND(X579="processed",ISNUMBER(S579)),S579*O579,"")</f>
        <v/>
      </c>
      <c r="Z579" s="6" t="n">
        <f aca="false">IF(ISNUMBER(K579),K579*O579,0)</f>
        <v>84</v>
      </c>
      <c r="AA579" s="2" t="s">
        <v>31</v>
      </c>
      <c r="AB579" s="6" t="n">
        <v>1515</v>
      </c>
      <c r="AC579" s="6" t="n">
        <v>1065</v>
      </c>
      <c r="AD579" s="6" t="n">
        <v>173</v>
      </c>
      <c r="AE579" s="6" t="n">
        <v>1899.509765625</v>
      </c>
      <c r="AF579" s="8" t="n">
        <v>803.859040742</v>
      </c>
      <c r="AG579" s="11" t="n">
        <v>0.1928139941</v>
      </c>
      <c r="AH579" s="12" t="n">
        <v>0.986599282145814</v>
      </c>
      <c r="AI579" s="2" t="s">
        <v>317</v>
      </c>
      <c r="AJ579" s="2" t="s">
        <v>1414</v>
      </c>
      <c r="AK579" s="2" t="s">
        <v>1414</v>
      </c>
    </row>
    <row r="580" customFormat="false" ht="15" hidden="false" customHeight="false" outlineLevel="0" collapsed="false">
      <c r="A580" s="9" t="n">
        <v>577</v>
      </c>
      <c r="B580" s="2" t="s">
        <v>1415</v>
      </c>
      <c r="C580" s="2" t="s">
        <v>1416</v>
      </c>
      <c r="D580" s="2" t="s">
        <v>50</v>
      </c>
      <c r="E580" s="2" t="s">
        <v>51</v>
      </c>
      <c r="F580" s="2" t="s">
        <v>1417</v>
      </c>
      <c r="G580" s="2" t="s">
        <v>323</v>
      </c>
      <c r="H580" s="8" t="n">
        <v>607.81914371619</v>
      </c>
      <c r="I580" s="2" t="s">
        <v>316</v>
      </c>
      <c r="J580" s="8" t="n">
        <v>1050595.23809524</v>
      </c>
      <c r="K580" s="6" t="n">
        <v>42</v>
      </c>
      <c r="L580" s="2"/>
      <c r="M580" s="10" t="b">
        <f aca="false">TRUE()</f>
        <v>1</v>
      </c>
      <c r="N580" s="9" t="n">
        <f aca="false">IF(H580="","",IF(H580&gt;=Assumptions!$B$5,1,IF(H580&gt;=Assumptions!$B$6,2,IF(H580&gt;=Assumptions!$B$7,3,""))))</f>
        <v>2</v>
      </c>
      <c r="O580" s="9" t="n">
        <f aca="false">IF(N580=1,Assumptions!$B$8,IF(N580=2,Assumptions!$B$9,IF(N580=3,Assumptions!$B$10,0)))</f>
        <v>2</v>
      </c>
      <c r="P580" s="6" t="s">
        <v>30</v>
      </c>
      <c r="Q580" s="6" t="s">
        <v>30</v>
      </c>
      <c r="R580" s="11" t="s">
        <v>30</v>
      </c>
      <c r="S580" s="6" t="s">
        <v>30</v>
      </c>
      <c r="T580" s="11" t="s">
        <v>30</v>
      </c>
      <c r="U580" s="6" t="s">
        <v>30</v>
      </c>
      <c r="V580" s="6" t="s">
        <v>30</v>
      </c>
      <c r="W580" s="6" t="s">
        <v>30</v>
      </c>
      <c r="X580" s="2" t="s">
        <v>30</v>
      </c>
      <c r="Y580" s="6" t="str">
        <f aca="false">IF(AND(X580="processed",ISNUMBER(S580)),S580*O580,"")</f>
        <v/>
      </c>
      <c r="Z580" s="6" t="n">
        <f aca="false">IF(ISNUMBER(K580),K580*O580,0)</f>
        <v>84</v>
      </c>
      <c r="AA580" s="2" t="s">
        <v>31</v>
      </c>
      <c r="AB580" s="6" t="n">
        <v>725</v>
      </c>
      <c r="AC580" s="6" t="n">
        <v>635</v>
      </c>
      <c r="AD580" s="6" t="n">
        <v>487</v>
      </c>
      <c r="AE580" s="6" t="n">
        <v>1672.36657714844</v>
      </c>
      <c r="AF580" s="8" t="n">
        <v>672.004266823</v>
      </c>
      <c r="AG580" s="11" t="n">
        <v>-0.111977912</v>
      </c>
      <c r="AH580" s="12" t="n">
        <v>1</v>
      </c>
      <c r="AI580" s="2" t="s">
        <v>317</v>
      </c>
      <c r="AJ580" s="2" t="s">
        <v>1416</v>
      </c>
      <c r="AK580" s="2" t="s">
        <v>1416</v>
      </c>
    </row>
    <row r="581" customFormat="false" ht="15" hidden="false" customHeight="false" outlineLevel="0" collapsed="false">
      <c r="A581" s="9" t="n">
        <v>578</v>
      </c>
      <c r="B581" s="2" t="s">
        <v>1418</v>
      </c>
      <c r="C581" s="2" t="s">
        <v>84</v>
      </c>
      <c r="D581" s="2" t="s">
        <v>70</v>
      </c>
      <c r="E581" s="2" t="s">
        <v>71</v>
      </c>
      <c r="F581" s="2" t="s">
        <v>1419</v>
      </c>
      <c r="G581" s="2" t="s">
        <v>329</v>
      </c>
      <c r="H581" s="8" t="n">
        <v>573.474650667506</v>
      </c>
      <c r="I581" s="2" t="s">
        <v>316</v>
      </c>
      <c r="J581" s="8" t="n">
        <v>710262.048192771</v>
      </c>
      <c r="K581" s="6" t="n">
        <v>83</v>
      </c>
      <c r="L581" s="2"/>
      <c r="M581" s="10" t="b">
        <f aca="false">TRUE()</f>
        <v>1</v>
      </c>
      <c r="N581" s="9" t="n">
        <f aca="false">IF(H581="","",IF(H581&gt;=Assumptions!$B$5,1,IF(H581&gt;=Assumptions!$B$6,2,IF(H581&gt;=Assumptions!$B$7,3,""))))</f>
        <v>3</v>
      </c>
      <c r="O581" s="9" t="n">
        <f aca="false">IF(N581=1,Assumptions!$B$8,IF(N581=2,Assumptions!$B$9,IF(N581=3,Assumptions!$B$10,0)))</f>
        <v>1</v>
      </c>
      <c r="P581" s="6" t="s">
        <v>30</v>
      </c>
      <c r="Q581" s="6" t="s">
        <v>30</v>
      </c>
      <c r="R581" s="11" t="s">
        <v>30</v>
      </c>
      <c r="S581" s="6" t="s">
        <v>30</v>
      </c>
      <c r="T581" s="11" t="s">
        <v>30</v>
      </c>
      <c r="U581" s="6" t="s">
        <v>30</v>
      </c>
      <c r="V581" s="6" t="s">
        <v>30</v>
      </c>
      <c r="W581" s="6" t="s">
        <v>30</v>
      </c>
      <c r="X581" s="2" t="s">
        <v>30</v>
      </c>
      <c r="Y581" s="6" t="str">
        <f aca="false">IF(AND(X581="processed",ISNUMBER(S581)),S581*O581,"")</f>
        <v/>
      </c>
      <c r="Z581" s="6" t="n">
        <f aca="false">IF(ISNUMBER(K581),K581*O581,0)</f>
        <v>83</v>
      </c>
      <c r="AA581" s="2" t="s">
        <v>31</v>
      </c>
      <c r="AB581" s="6" t="n">
        <v>12997</v>
      </c>
      <c r="AC581" s="6" t="n">
        <v>9230</v>
      </c>
      <c r="AD581" s="6" t="n">
        <v>343</v>
      </c>
      <c r="AE581" s="6" t="n">
        <v>1539.85009765625</v>
      </c>
      <c r="AF581" s="8" t="n">
        <v>587.199547726</v>
      </c>
      <c r="AG581" s="11" t="n">
        <v>0.01157895654</v>
      </c>
      <c r="AH581" s="12" t="n">
        <v>0.999999999999999</v>
      </c>
      <c r="AI581" s="2" t="s">
        <v>317</v>
      </c>
      <c r="AJ581" s="2" t="s">
        <v>84</v>
      </c>
      <c r="AK581" s="2" t="s">
        <v>1217</v>
      </c>
    </row>
    <row r="582" customFormat="false" ht="15" hidden="false" customHeight="false" outlineLevel="0" collapsed="false">
      <c r="A582" s="9" t="n">
        <v>579</v>
      </c>
      <c r="B582" s="2" t="s">
        <v>1420</v>
      </c>
      <c r="C582" s="2" t="s">
        <v>1029</v>
      </c>
      <c r="D582" s="2" t="s">
        <v>70</v>
      </c>
      <c r="E582" s="2" t="s">
        <v>71</v>
      </c>
      <c r="F582" s="2"/>
      <c r="G582" s="2" t="s">
        <v>329</v>
      </c>
      <c r="H582" s="8" t="n">
        <v>546.595599986098</v>
      </c>
      <c r="I582" s="2" t="s">
        <v>316</v>
      </c>
      <c r="J582" s="8" t="n">
        <v>1001274.3902439</v>
      </c>
      <c r="K582" s="6" t="n">
        <v>82</v>
      </c>
      <c r="L582" s="2"/>
      <c r="M582" s="10" t="b">
        <f aca="false">TRUE()</f>
        <v>1</v>
      </c>
      <c r="N582" s="9" t="n">
        <f aca="false">IF(H582="","",IF(H582&gt;=Assumptions!$B$5,1,IF(H582&gt;=Assumptions!$B$6,2,IF(H582&gt;=Assumptions!$B$7,3,""))))</f>
        <v>3</v>
      </c>
      <c r="O582" s="9" t="n">
        <f aca="false">IF(N582=1,Assumptions!$B$8,IF(N582=2,Assumptions!$B$9,IF(N582=3,Assumptions!$B$10,0)))</f>
        <v>1</v>
      </c>
      <c r="P582" s="6" t="s">
        <v>30</v>
      </c>
      <c r="Q582" s="6" t="s">
        <v>30</v>
      </c>
      <c r="R582" s="11" t="s">
        <v>30</v>
      </c>
      <c r="S582" s="6" t="s">
        <v>30</v>
      </c>
      <c r="T582" s="11" t="s">
        <v>30</v>
      </c>
      <c r="U582" s="6" t="s">
        <v>30</v>
      </c>
      <c r="V582" s="6" t="s">
        <v>30</v>
      </c>
      <c r="W582" s="6" t="s">
        <v>30</v>
      </c>
      <c r="X582" s="2" t="s">
        <v>30</v>
      </c>
      <c r="Y582" s="6" t="str">
        <f aca="false">IF(AND(X582="processed",ISNUMBER(S582)),S582*O582,"")</f>
        <v/>
      </c>
      <c r="Z582" s="6" t="n">
        <f aca="false">IF(ISNUMBER(K582),K582*O582,0)</f>
        <v>82</v>
      </c>
      <c r="AA582" s="2" t="s">
        <v>31</v>
      </c>
      <c r="AB582" s="6" t="n">
        <v>9853</v>
      </c>
      <c r="AC582" s="6" t="n">
        <v>7428</v>
      </c>
      <c r="AD582" s="6" t="n">
        <v>49</v>
      </c>
      <c r="AE582" s="6" t="n">
        <v>2167.96337890625</v>
      </c>
      <c r="AF582" s="8" t="n">
        <v>570.987654321</v>
      </c>
      <c r="AG582" s="11" t="n">
        <v>0.003594771242</v>
      </c>
      <c r="AH582" s="12" t="n">
        <v>1</v>
      </c>
      <c r="AI582" s="2" t="s">
        <v>317</v>
      </c>
      <c r="AJ582" s="2" t="s">
        <v>1029</v>
      </c>
      <c r="AK582" s="2" t="s">
        <v>1029</v>
      </c>
    </row>
    <row r="583" customFormat="false" ht="15" hidden="false" customHeight="false" outlineLevel="0" collapsed="false">
      <c r="A583" s="9" t="n">
        <v>580</v>
      </c>
      <c r="B583" s="2" t="s">
        <v>1421</v>
      </c>
      <c r="C583" s="2" t="s">
        <v>1422</v>
      </c>
      <c r="D583" s="2" t="s">
        <v>595</v>
      </c>
      <c r="E583" s="2" t="s">
        <v>51</v>
      </c>
      <c r="F583" s="2" t="s">
        <v>1423</v>
      </c>
      <c r="G583" s="2" t="s">
        <v>597</v>
      </c>
      <c r="H583" s="8" t="n">
        <v>516.041808047346</v>
      </c>
      <c r="I583" s="2" t="s">
        <v>316</v>
      </c>
      <c r="J583" s="8" t="n">
        <v>1052617.28395062</v>
      </c>
      <c r="K583" s="6" t="n">
        <v>81</v>
      </c>
      <c r="L583" s="2"/>
      <c r="M583" s="10" t="b">
        <f aca="false">TRUE()</f>
        <v>1</v>
      </c>
      <c r="N583" s="9" t="n">
        <f aca="false">IF(H583="","",IF(H583&gt;=Assumptions!$B$5,1,IF(H583&gt;=Assumptions!$B$6,2,IF(H583&gt;=Assumptions!$B$7,3,""))))</f>
        <v>3</v>
      </c>
      <c r="O583" s="9" t="n">
        <f aca="false">IF(N583=1,Assumptions!$B$8,IF(N583=2,Assumptions!$B$9,IF(N583=3,Assumptions!$B$10,0)))</f>
        <v>1</v>
      </c>
      <c r="P583" s="6" t="s">
        <v>30</v>
      </c>
      <c r="Q583" s="6" t="s">
        <v>30</v>
      </c>
      <c r="R583" s="11" t="s">
        <v>30</v>
      </c>
      <c r="S583" s="6" t="s">
        <v>30</v>
      </c>
      <c r="T583" s="11" t="s">
        <v>30</v>
      </c>
      <c r="U583" s="6" t="s">
        <v>30</v>
      </c>
      <c r="V583" s="6" t="s">
        <v>30</v>
      </c>
      <c r="W583" s="6" t="s">
        <v>30</v>
      </c>
      <c r="X583" s="2" t="s">
        <v>30</v>
      </c>
      <c r="Y583" s="6" t="str">
        <f aca="false">IF(AND(X583="processed",ISNUMBER(S583)),S583*O583,"")</f>
        <v/>
      </c>
      <c r="Z583" s="6" t="n">
        <f aca="false">IF(ISNUMBER(K583),K583*O583,0)</f>
        <v>81</v>
      </c>
      <c r="AA583" s="2" t="s">
        <v>31</v>
      </c>
      <c r="AB583" s="6" t="n">
        <v>7020</v>
      </c>
      <c r="AC583" s="6" t="n">
        <v>5741</v>
      </c>
      <c r="AD583" s="6" t="n">
        <v>597</v>
      </c>
      <c r="AE583" s="6" t="n">
        <v>2213.85620117188</v>
      </c>
      <c r="AF583" s="8" t="n">
        <v>507.246376812</v>
      </c>
      <c r="AG583" s="11" t="n">
        <v>-0.06752550124</v>
      </c>
      <c r="AH583" s="12" t="n">
        <v>0.999999999999999</v>
      </c>
      <c r="AI583" s="2" t="s">
        <v>317</v>
      </c>
      <c r="AJ583" s="2" t="s">
        <v>1422</v>
      </c>
      <c r="AK583" s="2" t="s">
        <v>1424</v>
      </c>
    </row>
    <row r="584" customFormat="false" ht="15" hidden="false" customHeight="false" outlineLevel="0" collapsed="false">
      <c r="A584" s="9" t="n">
        <v>581</v>
      </c>
      <c r="B584" s="2" t="s">
        <v>1425</v>
      </c>
      <c r="C584" s="2" t="s">
        <v>1426</v>
      </c>
      <c r="D584" s="2" t="s">
        <v>39</v>
      </c>
      <c r="E584" s="2" t="s">
        <v>40</v>
      </c>
      <c r="F584" s="2"/>
      <c r="G584" s="2" t="s">
        <v>320</v>
      </c>
      <c r="H584" s="8" t="n">
        <v>844.432877912704</v>
      </c>
      <c r="I584" s="2" t="s">
        <v>316</v>
      </c>
      <c r="J584" s="8" t="n">
        <v>1752139.55555556</v>
      </c>
      <c r="K584" s="6" t="n">
        <v>27</v>
      </c>
      <c r="L584" s="2"/>
      <c r="M584" s="10" t="b">
        <f aca="false">TRUE()</f>
        <v>1</v>
      </c>
      <c r="N584" s="9" t="n">
        <f aca="false">IF(H584="","",IF(H584&gt;=Assumptions!$B$5,1,IF(H584&gt;=Assumptions!$B$6,2,IF(H584&gt;=Assumptions!$B$7,3,""))))</f>
        <v>1</v>
      </c>
      <c r="O584" s="9" t="n">
        <f aca="false">IF(N584=1,Assumptions!$B$8,IF(N584=2,Assumptions!$B$9,IF(N584=3,Assumptions!$B$10,0)))</f>
        <v>3</v>
      </c>
      <c r="P584" s="6" t="s">
        <v>30</v>
      </c>
      <c r="Q584" s="6" t="s">
        <v>30</v>
      </c>
      <c r="R584" s="11" t="s">
        <v>30</v>
      </c>
      <c r="S584" s="6" t="s">
        <v>30</v>
      </c>
      <c r="T584" s="11" t="s">
        <v>30</v>
      </c>
      <c r="U584" s="6" t="s">
        <v>30</v>
      </c>
      <c r="V584" s="6" t="s">
        <v>30</v>
      </c>
      <c r="W584" s="6" t="s">
        <v>30</v>
      </c>
      <c r="X584" s="2" t="s">
        <v>30</v>
      </c>
      <c r="Y584" s="6" t="str">
        <f aca="false">IF(AND(X584="processed",ISNUMBER(S584)),S584*O584,"")</f>
        <v/>
      </c>
      <c r="Z584" s="6" t="n">
        <f aca="false">IF(ISNUMBER(K584),K584*O584,0)</f>
        <v>81</v>
      </c>
      <c r="AA584" s="2" t="s">
        <v>31</v>
      </c>
      <c r="AB584" s="6" t="n">
        <v>5114</v>
      </c>
      <c r="AC584" s="6" t="n">
        <v>3972</v>
      </c>
      <c r="AD584" s="6" t="n">
        <v>1061</v>
      </c>
      <c r="AE584" s="6" t="n">
        <v>1788.55285644531</v>
      </c>
      <c r="AF584" s="8" t="n">
        <v>1033.613445378</v>
      </c>
      <c r="AG584" s="11" t="n">
        <v>0.3567996213</v>
      </c>
      <c r="AH584" s="12" t="n">
        <v>1</v>
      </c>
      <c r="AI584" s="2" t="s">
        <v>317</v>
      </c>
      <c r="AJ584" s="2" t="s">
        <v>1426</v>
      </c>
      <c r="AK584" s="2" t="s">
        <v>151</v>
      </c>
    </row>
    <row r="585" customFormat="false" ht="15" hidden="false" customHeight="false" outlineLevel="0" collapsed="false">
      <c r="A585" s="9" t="n">
        <v>582</v>
      </c>
      <c r="B585" s="2" t="s">
        <v>1427</v>
      </c>
      <c r="C585" s="2" t="s">
        <v>84</v>
      </c>
      <c r="D585" s="2" t="s">
        <v>70</v>
      </c>
      <c r="E585" s="2" t="s">
        <v>71</v>
      </c>
      <c r="F585" s="2"/>
      <c r="G585" s="2" t="s">
        <v>329</v>
      </c>
      <c r="H585" s="8" t="n">
        <v>602.872843210675</v>
      </c>
      <c r="I585" s="2" t="s">
        <v>316</v>
      </c>
      <c r="J585" s="8" t="n">
        <v>471637.5</v>
      </c>
      <c r="K585" s="6" t="n">
        <v>40</v>
      </c>
      <c r="L585" s="2"/>
      <c r="M585" s="10" t="b">
        <f aca="false">TRUE()</f>
        <v>1</v>
      </c>
      <c r="N585" s="9" t="n">
        <f aca="false">IF(H585="","",IF(H585&gt;=Assumptions!$B$5,1,IF(H585&gt;=Assumptions!$B$6,2,IF(H585&gt;=Assumptions!$B$7,3,""))))</f>
        <v>2</v>
      </c>
      <c r="O585" s="9" t="n">
        <f aca="false">IF(N585=1,Assumptions!$B$8,IF(N585=2,Assumptions!$B$9,IF(N585=3,Assumptions!$B$10,0)))</f>
        <v>2</v>
      </c>
      <c r="P585" s="6" t="s">
        <v>30</v>
      </c>
      <c r="Q585" s="6" t="s">
        <v>30</v>
      </c>
      <c r="R585" s="11" t="s">
        <v>30</v>
      </c>
      <c r="S585" s="6" t="s">
        <v>30</v>
      </c>
      <c r="T585" s="11" t="s">
        <v>30</v>
      </c>
      <c r="U585" s="6" t="s">
        <v>30</v>
      </c>
      <c r="V585" s="6" t="s">
        <v>30</v>
      </c>
      <c r="W585" s="6" t="s">
        <v>30</v>
      </c>
      <c r="X585" s="2" t="s">
        <v>30</v>
      </c>
      <c r="Y585" s="6" t="str">
        <f aca="false">IF(AND(X585="processed",ISNUMBER(S585)),S585*O585,"")</f>
        <v/>
      </c>
      <c r="Z585" s="6" t="n">
        <f aca="false">IF(ISNUMBER(K585),K585*O585,0)</f>
        <v>80</v>
      </c>
      <c r="AA585" s="2" t="s">
        <v>31</v>
      </c>
      <c r="AB585" s="6" t="n">
        <v>4414</v>
      </c>
      <c r="AC585" s="6" t="n">
        <v>3161</v>
      </c>
      <c r="AD585" s="6" t="n">
        <v>160</v>
      </c>
      <c r="AE585" s="6" t="n">
        <v>1775.5078125</v>
      </c>
      <c r="AF585" s="8" t="n">
        <v>598.687681351</v>
      </c>
      <c r="AG585" s="11" t="n">
        <v>-0.03969895723</v>
      </c>
      <c r="AH585" s="12" t="n">
        <v>0.46942511229047</v>
      </c>
      <c r="AI585" s="2" t="s">
        <v>317</v>
      </c>
      <c r="AJ585" s="2" t="s">
        <v>84</v>
      </c>
      <c r="AK585" s="2" t="s">
        <v>84</v>
      </c>
    </row>
    <row r="586" customFormat="false" ht="15" hidden="false" customHeight="false" outlineLevel="0" collapsed="false">
      <c r="A586" s="9" t="n">
        <v>583</v>
      </c>
      <c r="B586" s="2" t="s">
        <v>1428</v>
      </c>
      <c r="C586" s="2" t="s">
        <v>1204</v>
      </c>
      <c r="D586" s="2" t="s">
        <v>70</v>
      </c>
      <c r="E586" s="2" t="s">
        <v>71</v>
      </c>
      <c r="F586" s="2"/>
      <c r="G586" s="2" t="s">
        <v>329</v>
      </c>
      <c r="H586" s="8" t="n">
        <v>555.144487959125</v>
      </c>
      <c r="I586" s="2" t="s">
        <v>316</v>
      </c>
      <c r="J586" s="8" t="n">
        <v>836687.5</v>
      </c>
      <c r="K586" s="6" t="n">
        <v>80</v>
      </c>
      <c r="L586" s="2"/>
      <c r="M586" s="10" t="b">
        <f aca="false">TRUE()</f>
        <v>1</v>
      </c>
      <c r="N586" s="9" t="n">
        <f aca="false">IF(H586="","",IF(H586&gt;=Assumptions!$B$5,1,IF(H586&gt;=Assumptions!$B$6,2,IF(H586&gt;=Assumptions!$B$7,3,""))))</f>
        <v>3</v>
      </c>
      <c r="O586" s="9" t="n">
        <f aca="false">IF(N586=1,Assumptions!$B$8,IF(N586=2,Assumptions!$B$9,IF(N586=3,Assumptions!$B$10,0)))</f>
        <v>1</v>
      </c>
      <c r="P586" s="6" t="s">
        <v>30</v>
      </c>
      <c r="Q586" s="6" t="s">
        <v>30</v>
      </c>
      <c r="R586" s="11" t="s">
        <v>30</v>
      </c>
      <c r="S586" s="6" t="s">
        <v>30</v>
      </c>
      <c r="T586" s="11" t="s">
        <v>30</v>
      </c>
      <c r="U586" s="6" t="s">
        <v>30</v>
      </c>
      <c r="V586" s="6" t="s">
        <v>30</v>
      </c>
      <c r="W586" s="6" t="s">
        <v>30</v>
      </c>
      <c r="X586" s="2" t="s">
        <v>30</v>
      </c>
      <c r="Y586" s="6" t="str">
        <f aca="false">IF(AND(X586="processed",ISNUMBER(S586)),S586*O586,"")</f>
        <v/>
      </c>
      <c r="Z586" s="6" t="n">
        <f aca="false">IF(ISNUMBER(K586),K586*O586,0)</f>
        <v>80</v>
      </c>
      <c r="AA586" s="2" t="s">
        <v>31</v>
      </c>
      <c r="AB586" s="6" t="n">
        <v>6542</v>
      </c>
      <c r="AC586" s="6" t="n">
        <v>6023</v>
      </c>
      <c r="AD586" s="6" t="n">
        <v>70</v>
      </c>
      <c r="AE586" s="6" t="n">
        <v>2387.37060546875</v>
      </c>
      <c r="AF586" s="8" t="n">
        <v>554.26672282</v>
      </c>
      <c r="AG586" s="11" t="n">
        <v>-0.08844628679</v>
      </c>
      <c r="AH586" s="12" t="n">
        <v>0.999999999999999</v>
      </c>
      <c r="AI586" s="2" t="s">
        <v>317</v>
      </c>
      <c r="AJ586" s="2" t="s">
        <v>1204</v>
      </c>
      <c r="AK586" s="2" t="s">
        <v>1204</v>
      </c>
    </row>
    <row r="587" customFormat="false" ht="15" hidden="false" customHeight="false" outlineLevel="0" collapsed="false">
      <c r="A587" s="9" t="n">
        <v>584</v>
      </c>
      <c r="B587" s="2" t="s">
        <v>1429</v>
      </c>
      <c r="C587" s="2" t="s">
        <v>70</v>
      </c>
      <c r="D587" s="2" t="s">
        <v>70</v>
      </c>
      <c r="E587" s="2" t="s">
        <v>71</v>
      </c>
      <c r="F587" s="2" t="s">
        <v>1430</v>
      </c>
      <c r="G587" s="2" t="s">
        <v>329</v>
      </c>
      <c r="H587" s="8" t="n">
        <v>551.452802755494</v>
      </c>
      <c r="I587" s="2" t="s">
        <v>316</v>
      </c>
      <c r="J587" s="8" t="n">
        <v>765126.582278481</v>
      </c>
      <c r="K587" s="6" t="n">
        <v>79</v>
      </c>
      <c r="L587" s="2"/>
      <c r="M587" s="10" t="b">
        <f aca="false">TRUE()</f>
        <v>1</v>
      </c>
      <c r="N587" s="9" t="n">
        <f aca="false">IF(H587="","",IF(H587&gt;=Assumptions!$B$5,1,IF(H587&gt;=Assumptions!$B$6,2,IF(H587&gt;=Assumptions!$B$7,3,""))))</f>
        <v>3</v>
      </c>
      <c r="O587" s="9" t="n">
        <f aca="false">IF(N587=1,Assumptions!$B$8,IF(N587=2,Assumptions!$B$9,IF(N587=3,Assumptions!$B$10,0)))</f>
        <v>1</v>
      </c>
      <c r="P587" s="6" t="s">
        <v>30</v>
      </c>
      <c r="Q587" s="6" t="s">
        <v>30</v>
      </c>
      <c r="R587" s="11" t="s">
        <v>30</v>
      </c>
      <c r="S587" s="6" t="s">
        <v>30</v>
      </c>
      <c r="T587" s="11" t="s">
        <v>30</v>
      </c>
      <c r="U587" s="6" t="s">
        <v>30</v>
      </c>
      <c r="V587" s="6" t="s">
        <v>30</v>
      </c>
      <c r="W587" s="6" t="s">
        <v>30</v>
      </c>
      <c r="X587" s="2" t="s">
        <v>30</v>
      </c>
      <c r="Y587" s="6" t="str">
        <f aca="false">IF(AND(X587="processed",ISNUMBER(S587)),S587*O587,"")</f>
        <v/>
      </c>
      <c r="Z587" s="6" t="n">
        <f aca="false">IF(ISNUMBER(K587),K587*O587,0)</f>
        <v>79</v>
      </c>
      <c r="AA587" s="2" t="s">
        <v>31</v>
      </c>
      <c r="AB587" s="6" t="n">
        <v>12265</v>
      </c>
      <c r="AC587" s="6" t="n">
        <v>7984</v>
      </c>
      <c r="AD587" s="6" t="n">
        <v>75</v>
      </c>
      <c r="AE587" s="6" t="n">
        <v>1777.4140625</v>
      </c>
      <c r="AF587" s="8" t="n">
        <v>542.120911794</v>
      </c>
      <c r="AG587" s="11" t="n">
        <v>0.1028889545</v>
      </c>
      <c r="AH587" s="12" t="n">
        <v>1</v>
      </c>
      <c r="AI587" s="2" t="s">
        <v>317</v>
      </c>
      <c r="AJ587" s="2" t="s">
        <v>70</v>
      </c>
      <c r="AK587" s="2" t="s">
        <v>70</v>
      </c>
    </row>
    <row r="588" customFormat="false" ht="15" hidden="false" customHeight="false" outlineLevel="0" collapsed="false">
      <c r="A588" s="9" t="n">
        <v>585</v>
      </c>
      <c r="B588" s="2" t="s">
        <v>1431</v>
      </c>
      <c r="C588" s="2" t="s">
        <v>1432</v>
      </c>
      <c r="D588" s="2" t="s">
        <v>70</v>
      </c>
      <c r="E588" s="2" t="s">
        <v>71</v>
      </c>
      <c r="F588" s="2" t="s">
        <v>1433</v>
      </c>
      <c r="G588" s="2" t="s">
        <v>329</v>
      </c>
      <c r="H588" s="8" t="n">
        <v>564.622795031974</v>
      </c>
      <c r="I588" s="2" t="s">
        <v>316</v>
      </c>
      <c r="J588" s="8" t="n">
        <v>902371.794871795</v>
      </c>
      <c r="K588" s="6" t="n">
        <v>78</v>
      </c>
      <c r="L588" s="2"/>
      <c r="M588" s="10" t="b">
        <f aca="false">TRUE()</f>
        <v>1</v>
      </c>
      <c r="N588" s="9" t="n">
        <f aca="false">IF(H588="","",IF(H588&gt;=Assumptions!$B$5,1,IF(H588&gt;=Assumptions!$B$6,2,IF(H588&gt;=Assumptions!$B$7,3,""))))</f>
        <v>3</v>
      </c>
      <c r="O588" s="9" t="n">
        <f aca="false">IF(N588=1,Assumptions!$B$8,IF(N588=2,Assumptions!$B$9,IF(N588=3,Assumptions!$B$10,0)))</f>
        <v>1</v>
      </c>
      <c r="P588" s="6" t="s">
        <v>30</v>
      </c>
      <c r="Q588" s="6" t="s">
        <v>30</v>
      </c>
      <c r="R588" s="11" t="s">
        <v>30</v>
      </c>
      <c r="S588" s="6" t="s">
        <v>30</v>
      </c>
      <c r="T588" s="11" t="s">
        <v>30</v>
      </c>
      <c r="U588" s="6" t="s">
        <v>30</v>
      </c>
      <c r="V588" s="6" t="s">
        <v>30</v>
      </c>
      <c r="W588" s="6" t="s">
        <v>30</v>
      </c>
      <c r="X588" s="2" t="s">
        <v>30</v>
      </c>
      <c r="Y588" s="6" t="str">
        <f aca="false">IF(AND(X588="processed",ISNUMBER(S588)),S588*O588,"")</f>
        <v/>
      </c>
      <c r="Z588" s="6" t="n">
        <f aca="false">IF(ISNUMBER(K588),K588*O588,0)</f>
        <v>78</v>
      </c>
      <c r="AA588" s="2" t="s">
        <v>31</v>
      </c>
      <c r="AB588" s="6" t="n">
        <v>7866</v>
      </c>
      <c r="AC588" s="6" t="n">
        <v>6124</v>
      </c>
      <c r="AD588" s="6" t="n">
        <v>172</v>
      </c>
      <c r="AE588" s="6" t="n">
        <v>2098.5087890625</v>
      </c>
      <c r="AF588" s="8" t="n">
        <v>533.854166667</v>
      </c>
      <c r="AG588" s="11" t="n">
        <v>-0.04333333333</v>
      </c>
      <c r="AH588" s="12" t="n">
        <v>1</v>
      </c>
      <c r="AI588" s="2" t="s">
        <v>317</v>
      </c>
      <c r="AJ588" s="2" t="s">
        <v>1432</v>
      </c>
      <c r="AK588" s="2" t="s">
        <v>70</v>
      </c>
    </row>
    <row r="589" customFormat="false" ht="15" hidden="false" customHeight="false" outlineLevel="0" collapsed="false">
      <c r="A589" s="9" t="n">
        <v>586</v>
      </c>
      <c r="B589" s="2" t="s">
        <v>1434</v>
      </c>
      <c r="C589" s="2" t="s">
        <v>1435</v>
      </c>
      <c r="D589" s="2" t="s">
        <v>70</v>
      </c>
      <c r="E589" s="2" t="s">
        <v>71</v>
      </c>
      <c r="F589" s="2" t="s">
        <v>1436</v>
      </c>
      <c r="G589" s="2" t="s">
        <v>329</v>
      </c>
      <c r="H589" s="8" t="n">
        <v>531.984705286167</v>
      </c>
      <c r="I589" s="2" t="s">
        <v>316</v>
      </c>
      <c r="J589" s="8" t="n">
        <v>827993.58974359</v>
      </c>
      <c r="K589" s="6" t="n">
        <v>78</v>
      </c>
      <c r="L589" s="2"/>
      <c r="M589" s="10" t="b">
        <f aca="false">TRUE()</f>
        <v>1</v>
      </c>
      <c r="N589" s="9" t="n">
        <f aca="false">IF(H589="","",IF(H589&gt;=Assumptions!$B$5,1,IF(H589&gt;=Assumptions!$B$6,2,IF(H589&gt;=Assumptions!$B$7,3,""))))</f>
        <v>3</v>
      </c>
      <c r="O589" s="9" t="n">
        <f aca="false">IF(N589=1,Assumptions!$B$8,IF(N589=2,Assumptions!$B$9,IF(N589=3,Assumptions!$B$10,0)))</f>
        <v>1</v>
      </c>
      <c r="P589" s="6" t="s">
        <v>30</v>
      </c>
      <c r="Q589" s="6" t="s">
        <v>30</v>
      </c>
      <c r="R589" s="11" t="s">
        <v>30</v>
      </c>
      <c r="S589" s="6" t="s">
        <v>30</v>
      </c>
      <c r="T589" s="11" t="s">
        <v>30</v>
      </c>
      <c r="U589" s="6" t="s">
        <v>30</v>
      </c>
      <c r="V589" s="6" t="s">
        <v>30</v>
      </c>
      <c r="W589" s="6" t="s">
        <v>30</v>
      </c>
      <c r="X589" s="2" t="s">
        <v>30</v>
      </c>
      <c r="Y589" s="6" t="str">
        <f aca="false">IF(AND(X589="processed",ISNUMBER(S589)),S589*O589,"")</f>
        <v/>
      </c>
      <c r="Z589" s="6" t="n">
        <f aca="false">IF(ISNUMBER(K589),K589*O589,0)</f>
        <v>78</v>
      </c>
      <c r="AA589" s="2" t="s">
        <v>31</v>
      </c>
      <c r="AB589" s="6" t="n">
        <v>7678</v>
      </c>
      <c r="AC589" s="6" t="n">
        <v>5162</v>
      </c>
      <c r="AD589" s="6" t="n">
        <v>131</v>
      </c>
      <c r="AE589" s="6" t="n">
        <v>2197.82568359375</v>
      </c>
      <c r="AF589" s="8" t="n">
        <v>542.803970223</v>
      </c>
      <c r="AG589" s="11" t="n">
        <v>-0.0007859898926</v>
      </c>
      <c r="AH589" s="12" t="n">
        <v>1</v>
      </c>
      <c r="AI589" s="2" t="s">
        <v>317</v>
      </c>
      <c r="AJ589" s="2" t="s">
        <v>1435</v>
      </c>
      <c r="AK589" s="2" t="s">
        <v>70</v>
      </c>
    </row>
    <row r="590" customFormat="false" ht="15" hidden="false" customHeight="false" outlineLevel="0" collapsed="false">
      <c r="A590" s="9" t="n">
        <v>587</v>
      </c>
      <c r="B590" s="2" t="s">
        <v>1437</v>
      </c>
      <c r="C590" s="2" t="s">
        <v>70</v>
      </c>
      <c r="D590" s="2" t="s">
        <v>70</v>
      </c>
      <c r="E590" s="2" t="s">
        <v>71</v>
      </c>
      <c r="F590" s="2" t="s">
        <v>1438</v>
      </c>
      <c r="G590" s="2" t="s">
        <v>329</v>
      </c>
      <c r="H590" s="8" t="n">
        <v>689.178548249474</v>
      </c>
      <c r="I590" s="2" t="s">
        <v>316</v>
      </c>
      <c r="J590" s="8" t="n">
        <v>1047973.68421053</v>
      </c>
      <c r="K590" s="6" t="n">
        <v>38</v>
      </c>
      <c r="L590" s="2"/>
      <c r="M590" s="10" t="b">
        <f aca="false">TRUE()</f>
        <v>1</v>
      </c>
      <c r="N590" s="9" t="n">
        <f aca="false">IF(H590="","",IF(H590&gt;=Assumptions!$B$5,1,IF(H590&gt;=Assumptions!$B$6,2,IF(H590&gt;=Assumptions!$B$7,3,""))))</f>
        <v>2</v>
      </c>
      <c r="O590" s="9" t="n">
        <f aca="false">IF(N590=1,Assumptions!$B$8,IF(N590=2,Assumptions!$B$9,IF(N590=3,Assumptions!$B$10,0)))</f>
        <v>2</v>
      </c>
      <c r="P590" s="6" t="s">
        <v>30</v>
      </c>
      <c r="Q590" s="6" t="s">
        <v>30</v>
      </c>
      <c r="R590" s="11" t="s">
        <v>30</v>
      </c>
      <c r="S590" s="6" t="s">
        <v>30</v>
      </c>
      <c r="T590" s="11" t="s">
        <v>30</v>
      </c>
      <c r="U590" s="6" t="s">
        <v>30</v>
      </c>
      <c r="V590" s="6" t="s">
        <v>30</v>
      </c>
      <c r="W590" s="6" t="s">
        <v>30</v>
      </c>
      <c r="X590" s="2" t="s">
        <v>30</v>
      </c>
      <c r="Y590" s="6" t="str">
        <f aca="false">IF(AND(X590="processed",ISNUMBER(S590)),S590*O590,"")</f>
        <v/>
      </c>
      <c r="Z590" s="6" t="n">
        <f aca="false">IF(ISNUMBER(K590),K590*O590,0)</f>
        <v>76</v>
      </c>
      <c r="AA590" s="2" t="s">
        <v>31</v>
      </c>
      <c r="AB590" s="6" t="n">
        <v>5844</v>
      </c>
      <c r="AC590" s="6" t="n">
        <v>4241</v>
      </c>
      <c r="AD590" s="6" t="n">
        <v>49</v>
      </c>
      <c r="AE590" s="6" t="n">
        <v>1645.17687988281</v>
      </c>
      <c r="AF590" s="8" t="n">
        <v>716.282320056</v>
      </c>
      <c r="AG590" s="11" t="n">
        <v>0.08828700886</v>
      </c>
      <c r="AH590" s="12" t="n">
        <v>1</v>
      </c>
      <c r="AI590" s="2" t="s">
        <v>317</v>
      </c>
      <c r="AJ590" s="2" t="s">
        <v>70</v>
      </c>
      <c r="AK590" s="2" t="s">
        <v>70</v>
      </c>
    </row>
    <row r="591" customFormat="false" ht="15" hidden="false" customHeight="false" outlineLevel="0" collapsed="false">
      <c r="A591" s="9" t="n">
        <v>588</v>
      </c>
      <c r="B591" s="2" t="s">
        <v>1439</v>
      </c>
      <c r="C591" s="2" t="s">
        <v>1440</v>
      </c>
      <c r="D591" s="2" t="s">
        <v>70</v>
      </c>
      <c r="E591" s="2" t="s">
        <v>71</v>
      </c>
      <c r="F591" s="2" t="s">
        <v>1440</v>
      </c>
      <c r="G591" s="2" t="s">
        <v>329</v>
      </c>
      <c r="H591" s="8" t="n">
        <v>581.878873075237</v>
      </c>
      <c r="I591" s="2" t="s">
        <v>316</v>
      </c>
      <c r="J591" s="8" t="n">
        <v>698361.842105263</v>
      </c>
      <c r="K591" s="6" t="n">
        <v>76</v>
      </c>
      <c r="L591" s="2"/>
      <c r="M591" s="10" t="b">
        <f aca="false">TRUE()</f>
        <v>1</v>
      </c>
      <c r="N591" s="9" t="n">
        <f aca="false">IF(H591="","",IF(H591&gt;=Assumptions!$B$5,1,IF(H591&gt;=Assumptions!$B$6,2,IF(H591&gt;=Assumptions!$B$7,3,""))))</f>
        <v>3</v>
      </c>
      <c r="O591" s="9" t="n">
        <f aca="false">IF(N591=1,Assumptions!$B$8,IF(N591=2,Assumptions!$B$9,IF(N591=3,Assumptions!$B$10,0)))</f>
        <v>1</v>
      </c>
      <c r="P591" s="6" t="s">
        <v>30</v>
      </c>
      <c r="Q591" s="6" t="s">
        <v>30</v>
      </c>
      <c r="R591" s="11" t="s">
        <v>30</v>
      </c>
      <c r="S591" s="6" t="s">
        <v>30</v>
      </c>
      <c r="T591" s="11" t="s">
        <v>30</v>
      </c>
      <c r="U591" s="6" t="s">
        <v>30</v>
      </c>
      <c r="V591" s="6" t="s">
        <v>30</v>
      </c>
      <c r="W591" s="6" t="s">
        <v>30</v>
      </c>
      <c r="X591" s="2" t="s">
        <v>30</v>
      </c>
      <c r="Y591" s="6" t="str">
        <f aca="false">IF(AND(X591="processed",ISNUMBER(S591)),S591*O591,"")</f>
        <v/>
      </c>
      <c r="Z591" s="6" t="n">
        <f aca="false">IF(ISNUMBER(K591),K591*O591,0)</f>
        <v>76</v>
      </c>
      <c r="AA591" s="2" t="s">
        <v>31</v>
      </c>
      <c r="AB591" s="6" t="n">
        <v>17674</v>
      </c>
      <c r="AC591" s="6" t="n">
        <v>11385</v>
      </c>
      <c r="AD591" s="6" t="n">
        <v>417</v>
      </c>
      <c r="AE591" s="6" t="n">
        <v>1569.50915527344</v>
      </c>
      <c r="AF591" s="8" t="n">
        <v>622.395833333</v>
      </c>
      <c r="AG591" s="11" t="n">
        <v>-0.01736359838</v>
      </c>
      <c r="AH591" s="12" t="n">
        <v>0.845573708961822</v>
      </c>
      <c r="AI591" s="2" t="s">
        <v>317</v>
      </c>
      <c r="AJ591" s="2" t="s">
        <v>1440</v>
      </c>
      <c r="AK591" s="2" t="s">
        <v>70</v>
      </c>
    </row>
    <row r="592" customFormat="false" ht="15" hidden="false" customHeight="false" outlineLevel="0" collapsed="false">
      <c r="A592" s="9" t="n">
        <v>589</v>
      </c>
      <c r="B592" s="2" t="s">
        <v>1441</v>
      </c>
      <c r="C592" s="2" t="s">
        <v>153</v>
      </c>
      <c r="D592" s="2" t="s">
        <v>70</v>
      </c>
      <c r="E592" s="2" t="s">
        <v>71</v>
      </c>
      <c r="F592" s="2"/>
      <c r="G592" s="2" t="s">
        <v>329</v>
      </c>
      <c r="H592" s="8" t="n">
        <v>1323.09488729572</v>
      </c>
      <c r="I592" s="2" t="s">
        <v>316</v>
      </c>
      <c r="J592" s="8" t="n">
        <v>4181360</v>
      </c>
      <c r="K592" s="6" t="n">
        <v>25</v>
      </c>
      <c r="L592" s="2"/>
      <c r="M592" s="10" t="b">
        <f aca="false">TRUE()</f>
        <v>1</v>
      </c>
      <c r="N592" s="9" t="n">
        <f aca="false">IF(H592="","",IF(H592&gt;=Assumptions!$B$5,1,IF(H592&gt;=Assumptions!$B$6,2,IF(H592&gt;=Assumptions!$B$7,3,""))))</f>
        <v>1</v>
      </c>
      <c r="O592" s="9" t="n">
        <f aca="false">IF(N592=1,Assumptions!$B$8,IF(N592=2,Assumptions!$B$9,IF(N592=3,Assumptions!$B$10,0)))</f>
        <v>3</v>
      </c>
      <c r="P592" s="6" t="s">
        <v>30</v>
      </c>
      <c r="Q592" s="6" t="s">
        <v>30</v>
      </c>
      <c r="R592" s="11" t="s">
        <v>30</v>
      </c>
      <c r="S592" s="6" t="s">
        <v>30</v>
      </c>
      <c r="T592" s="11" t="s">
        <v>30</v>
      </c>
      <c r="U592" s="6" t="s">
        <v>30</v>
      </c>
      <c r="V592" s="6" t="s">
        <v>30</v>
      </c>
      <c r="W592" s="6" t="s">
        <v>30</v>
      </c>
      <c r="X592" s="2" t="s">
        <v>30</v>
      </c>
      <c r="Y592" s="6" t="str">
        <f aca="false">IF(AND(X592="processed",ISNUMBER(S592)),S592*O592,"")</f>
        <v/>
      </c>
      <c r="Z592" s="6" t="n">
        <f aca="false">IF(ISNUMBER(K592),K592*O592,0)</f>
        <v>75</v>
      </c>
      <c r="AA592" s="2" t="s">
        <v>31</v>
      </c>
      <c r="AB592" s="6" t="n">
        <v>3319</v>
      </c>
      <c r="AC592" s="6" t="n">
        <v>2351</v>
      </c>
      <c r="AD592" s="6" t="n">
        <v>22</v>
      </c>
      <c r="AE592" s="6" t="n">
        <v>2476.69409179688</v>
      </c>
      <c r="AF592" s="8" t="n">
        <v>1495.3789924</v>
      </c>
      <c r="AG592" s="11" t="n">
        <v>0.1657175206</v>
      </c>
      <c r="AH592" s="12" t="n">
        <v>1</v>
      </c>
      <c r="AI592" s="2" t="s">
        <v>317</v>
      </c>
      <c r="AJ592" s="2" t="s">
        <v>153</v>
      </c>
      <c r="AK592" s="2" t="s">
        <v>153</v>
      </c>
    </row>
    <row r="593" customFormat="false" ht="15" hidden="false" customHeight="false" outlineLevel="0" collapsed="false">
      <c r="A593" s="9" t="n">
        <v>590</v>
      </c>
      <c r="B593" s="2" t="s">
        <v>1442</v>
      </c>
      <c r="C593" s="2" t="s">
        <v>1443</v>
      </c>
      <c r="D593" s="2" t="s">
        <v>62</v>
      </c>
      <c r="E593" s="2" t="s">
        <v>40</v>
      </c>
      <c r="F593" s="2"/>
      <c r="G593" s="2" t="s">
        <v>324</v>
      </c>
      <c r="H593" s="8" t="n">
        <v>744.12365979332</v>
      </c>
      <c r="I593" s="2" t="s">
        <v>316</v>
      </c>
      <c r="J593" s="8" t="n">
        <v>1493700</v>
      </c>
      <c r="K593" s="6" t="n">
        <v>25</v>
      </c>
      <c r="L593" s="2"/>
      <c r="M593" s="10" t="b">
        <f aca="false">TRUE()</f>
        <v>1</v>
      </c>
      <c r="N593" s="9" t="n">
        <f aca="false">IF(H593="","",IF(H593&gt;=Assumptions!$B$5,1,IF(H593&gt;=Assumptions!$B$6,2,IF(H593&gt;=Assumptions!$B$7,3,""))))</f>
        <v>1</v>
      </c>
      <c r="O593" s="9" t="n">
        <f aca="false">IF(N593=1,Assumptions!$B$8,IF(N593=2,Assumptions!$B$9,IF(N593=3,Assumptions!$B$10,0)))</f>
        <v>3</v>
      </c>
      <c r="P593" s="6" t="s">
        <v>30</v>
      </c>
      <c r="Q593" s="6" t="s">
        <v>30</v>
      </c>
      <c r="R593" s="11" t="s">
        <v>30</v>
      </c>
      <c r="S593" s="6" t="s">
        <v>30</v>
      </c>
      <c r="T593" s="11" t="s">
        <v>30</v>
      </c>
      <c r="U593" s="6" t="s">
        <v>30</v>
      </c>
      <c r="V593" s="6" t="s">
        <v>30</v>
      </c>
      <c r="W593" s="6" t="s">
        <v>30</v>
      </c>
      <c r="X593" s="2" t="s">
        <v>30</v>
      </c>
      <c r="Y593" s="6" t="str">
        <f aca="false">IF(AND(X593="processed",ISNUMBER(S593)),S593*O593,"")</f>
        <v/>
      </c>
      <c r="Z593" s="6" t="n">
        <f aca="false">IF(ISNUMBER(K593),K593*O593,0)</f>
        <v>75</v>
      </c>
      <c r="AA593" s="2" t="s">
        <v>31</v>
      </c>
      <c r="AB593" s="6" t="n">
        <v>1256</v>
      </c>
      <c r="AC593" s="6" t="n">
        <v>1099</v>
      </c>
      <c r="AD593" s="6" t="n">
        <v>0</v>
      </c>
      <c r="AE593" s="6" t="n">
        <v>1899.39074707031</v>
      </c>
      <c r="AF593" s="8" t="n">
        <v>683.942594908</v>
      </c>
      <c r="AG593" s="11" t="n">
        <v>-0.3098119744</v>
      </c>
      <c r="AH593" s="12" t="n">
        <v>0.954672999021754</v>
      </c>
      <c r="AI593" s="2" t="s">
        <v>665</v>
      </c>
      <c r="AJ593" s="2" t="s">
        <v>1443</v>
      </c>
      <c r="AK593" s="2" t="s">
        <v>1443</v>
      </c>
    </row>
    <row r="594" customFormat="false" ht="15" hidden="false" customHeight="false" outlineLevel="0" collapsed="false">
      <c r="A594" s="9" t="n">
        <v>591</v>
      </c>
      <c r="B594" s="2" t="s">
        <v>1444</v>
      </c>
      <c r="C594" s="2" t="s">
        <v>1445</v>
      </c>
      <c r="D594" s="2" t="s">
        <v>27</v>
      </c>
      <c r="E594" s="2" t="s">
        <v>28</v>
      </c>
      <c r="F594" s="2" t="s">
        <v>1446</v>
      </c>
      <c r="G594" s="2" t="s">
        <v>315</v>
      </c>
      <c r="H594" s="8" t="n">
        <v>614.766355659514</v>
      </c>
      <c r="I594" s="2" t="s">
        <v>316</v>
      </c>
      <c r="J594" s="8" t="n">
        <v>1401216.21621622</v>
      </c>
      <c r="K594" s="6" t="n">
        <v>37</v>
      </c>
      <c r="L594" s="2"/>
      <c r="M594" s="10" t="b">
        <f aca="false">TRUE()</f>
        <v>1</v>
      </c>
      <c r="N594" s="9" t="n">
        <f aca="false">IF(H594="","",IF(H594&gt;=Assumptions!$B$5,1,IF(H594&gt;=Assumptions!$B$6,2,IF(H594&gt;=Assumptions!$B$7,3,""))))</f>
        <v>2</v>
      </c>
      <c r="O594" s="9" t="n">
        <f aca="false">IF(N594=1,Assumptions!$B$8,IF(N594=2,Assumptions!$B$9,IF(N594=3,Assumptions!$B$10,0)))</f>
        <v>2</v>
      </c>
      <c r="P594" s="6" t="s">
        <v>30</v>
      </c>
      <c r="Q594" s="6" t="s">
        <v>30</v>
      </c>
      <c r="R594" s="11" t="s">
        <v>30</v>
      </c>
      <c r="S594" s="6" t="s">
        <v>30</v>
      </c>
      <c r="T594" s="11" t="s">
        <v>30</v>
      </c>
      <c r="U594" s="6" t="s">
        <v>30</v>
      </c>
      <c r="V594" s="6" t="s">
        <v>30</v>
      </c>
      <c r="W594" s="6" t="s">
        <v>30</v>
      </c>
      <c r="X594" s="2" t="s">
        <v>30</v>
      </c>
      <c r="Y594" s="6" t="str">
        <f aca="false">IF(AND(X594="processed",ISNUMBER(S594)),S594*O594,"")</f>
        <v/>
      </c>
      <c r="Z594" s="6" t="n">
        <f aca="false">IF(ISNUMBER(K594),K594*O594,0)</f>
        <v>74</v>
      </c>
      <c r="AA594" s="2" t="s">
        <v>31</v>
      </c>
      <c r="AB594" s="6" t="n">
        <v>1117</v>
      </c>
      <c r="AC594" s="6" t="n">
        <v>911</v>
      </c>
      <c r="AD594" s="6" t="n">
        <v>687</v>
      </c>
      <c r="AE594" s="6" t="n">
        <v>1521.94543457031</v>
      </c>
      <c r="AF594" s="8" t="n">
        <v>552.689756817</v>
      </c>
      <c r="AG594" s="11" t="n">
        <v>-0.1780695848</v>
      </c>
      <c r="AH594" s="12" t="n">
        <v>0.998284792827592</v>
      </c>
      <c r="AI594" s="2" t="s">
        <v>1447</v>
      </c>
      <c r="AJ594" s="2" t="s">
        <v>1448</v>
      </c>
      <c r="AK594" s="2" t="s">
        <v>27</v>
      </c>
    </row>
    <row r="595" customFormat="false" ht="15" hidden="false" customHeight="false" outlineLevel="0" collapsed="false">
      <c r="A595" s="9" t="n">
        <v>592</v>
      </c>
      <c r="B595" s="2" t="s">
        <v>1449</v>
      </c>
      <c r="C595" s="2" t="s">
        <v>1450</v>
      </c>
      <c r="D595" s="2" t="s">
        <v>190</v>
      </c>
      <c r="E595" s="2" t="s">
        <v>51</v>
      </c>
      <c r="F595" s="2"/>
      <c r="G595" s="2" t="s">
        <v>336</v>
      </c>
      <c r="H595" s="8" t="n">
        <v>645.118047549676</v>
      </c>
      <c r="I595" s="2" t="s">
        <v>316</v>
      </c>
      <c r="J595" s="8" t="n">
        <v>1401891.89189189</v>
      </c>
      <c r="K595" s="6" t="n">
        <v>37</v>
      </c>
      <c r="L595" s="2"/>
      <c r="M595" s="10" t="b">
        <f aca="false">TRUE()</f>
        <v>1</v>
      </c>
      <c r="N595" s="9" t="n">
        <f aca="false">IF(H595="","",IF(H595&gt;=Assumptions!$B$5,1,IF(H595&gt;=Assumptions!$B$6,2,IF(H595&gt;=Assumptions!$B$7,3,""))))</f>
        <v>2</v>
      </c>
      <c r="O595" s="9" t="n">
        <f aca="false">IF(N595=1,Assumptions!$B$8,IF(N595=2,Assumptions!$B$9,IF(N595=3,Assumptions!$B$10,0)))</f>
        <v>2</v>
      </c>
      <c r="P595" s="6" t="s">
        <v>30</v>
      </c>
      <c r="Q595" s="6" t="s">
        <v>30</v>
      </c>
      <c r="R595" s="11" t="s">
        <v>30</v>
      </c>
      <c r="S595" s="6" t="s">
        <v>30</v>
      </c>
      <c r="T595" s="11" t="s">
        <v>30</v>
      </c>
      <c r="U595" s="6" t="s">
        <v>30</v>
      </c>
      <c r="V595" s="6" t="s">
        <v>30</v>
      </c>
      <c r="W595" s="6" t="s">
        <v>30</v>
      </c>
      <c r="X595" s="2" t="s">
        <v>30</v>
      </c>
      <c r="Y595" s="6" t="str">
        <f aca="false">IF(AND(X595="processed",ISNUMBER(S595)),S595*O595,"")</f>
        <v/>
      </c>
      <c r="Z595" s="6" t="n">
        <f aca="false">IF(ISNUMBER(K595),K595*O595,0)</f>
        <v>74</v>
      </c>
      <c r="AA595" s="2" t="s">
        <v>31</v>
      </c>
      <c r="AB595" s="6" t="n">
        <v>5301</v>
      </c>
      <c r="AC595" s="6" t="n">
        <v>3503</v>
      </c>
      <c r="AD595" s="6" t="n">
        <v>274</v>
      </c>
      <c r="AE595" s="6" t="n">
        <v>1852.68627929688</v>
      </c>
      <c r="AF595" s="8" t="n">
        <v>831.600831601</v>
      </c>
      <c r="AG595" s="11" t="n">
        <v>0.1624772349</v>
      </c>
      <c r="AH595" s="12" t="n">
        <v>1</v>
      </c>
      <c r="AI595" s="2" t="s">
        <v>317</v>
      </c>
      <c r="AJ595" s="2" t="s">
        <v>1450</v>
      </c>
      <c r="AK595" s="2" t="s">
        <v>1451</v>
      </c>
    </row>
    <row r="596" customFormat="false" ht="15" hidden="false" customHeight="false" outlineLevel="0" collapsed="false">
      <c r="A596" s="9" t="n">
        <v>593</v>
      </c>
      <c r="B596" s="2" t="s">
        <v>1452</v>
      </c>
      <c r="C596" s="2" t="s">
        <v>70</v>
      </c>
      <c r="D596" s="2" t="s">
        <v>70</v>
      </c>
      <c r="E596" s="2" t="s">
        <v>71</v>
      </c>
      <c r="F596" s="2" t="s">
        <v>1453</v>
      </c>
      <c r="G596" s="2" t="s">
        <v>329</v>
      </c>
      <c r="H596" s="8" t="n">
        <v>616.888023495667</v>
      </c>
      <c r="I596" s="2" t="s">
        <v>337</v>
      </c>
      <c r="J596" s="8" t="n">
        <v>734583.333333333</v>
      </c>
      <c r="K596" s="6" t="n">
        <v>36</v>
      </c>
      <c r="L596" s="2"/>
      <c r="M596" s="10" t="b">
        <f aca="false">TRUE()</f>
        <v>1</v>
      </c>
      <c r="N596" s="9" t="n">
        <f aca="false">IF(H596="","",IF(H596&gt;=Assumptions!$B$5,1,IF(H596&gt;=Assumptions!$B$6,2,IF(H596&gt;=Assumptions!$B$7,3,""))))</f>
        <v>2</v>
      </c>
      <c r="O596" s="9" t="n">
        <f aca="false">IF(N596=1,Assumptions!$B$8,IF(N596=2,Assumptions!$B$9,IF(N596=3,Assumptions!$B$10,0)))</f>
        <v>2</v>
      </c>
      <c r="P596" s="6" t="s">
        <v>30</v>
      </c>
      <c r="Q596" s="6" t="s">
        <v>30</v>
      </c>
      <c r="R596" s="11" t="s">
        <v>30</v>
      </c>
      <c r="S596" s="6" t="s">
        <v>30</v>
      </c>
      <c r="T596" s="11" t="s">
        <v>30</v>
      </c>
      <c r="U596" s="6" t="s">
        <v>30</v>
      </c>
      <c r="V596" s="6" t="s">
        <v>30</v>
      </c>
      <c r="W596" s="6" t="s">
        <v>30</v>
      </c>
      <c r="X596" s="2" t="s">
        <v>30</v>
      </c>
      <c r="Y596" s="6" t="str">
        <f aca="false">IF(AND(X596="processed",ISNUMBER(S596)),S596*O596,"")</f>
        <v/>
      </c>
      <c r="Z596" s="6" t="n">
        <f aca="false">IF(ISNUMBER(K596),K596*O596,0)</f>
        <v>72</v>
      </c>
      <c r="AA596" s="2" t="s">
        <v>31</v>
      </c>
      <c r="AB596" s="6" t="n">
        <v>503</v>
      </c>
      <c r="AC596" s="6" t="n">
        <v>277</v>
      </c>
      <c r="AD596" s="6" t="n">
        <v>13</v>
      </c>
      <c r="AE596" s="6" t="n">
        <v>2541.41088867188</v>
      </c>
      <c r="AF596" s="8"/>
      <c r="AG596" s="11"/>
      <c r="AH596" s="12" t="n">
        <v>1</v>
      </c>
      <c r="AI596" s="2" t="s">
        <v>317</v>
      </c>
      <c r="AJ596" s="2" t="s">
        <v>70</v>
      </c>
      <c r="AK596" s="2" t="s">
        <v>70</v>
      </c>
    </row>
    <row r="597" customFormat="false" ht="15" hidden="false" customHeight="false" outlineLevel="0" collapsed="false">
      <c r="A597" s="9" t="n">
        <v>594</v>
      </c>
      <c r="B597" s="2" t="s">
        <v>1454</v>
      </c>
      <c r="C597" s="2" t="s">
        <v>1455</v>
      </c>
      <c r="D597" s="2" t="s">
        <v>70</v>
      </c>
      <c r="E597" s="2" t="s">
        <v>71</v>
      </c>
      <c r="F597" s="2" t="s">
        <v>926</v>
      </c>
      <c r="G597" s="2" t="s">
        <v>329</v>
      </c>
      <c r="H597" s="8" t="n">
        <v>531.707073225833</v>
      </c>
      <c r="I597" s="2" t="s">
        <v>316</v>
      </c>
      <c r="J597" s="8" t="n">
        <v>791657.333333333</v>
      </c>
      <c r="K597" s="6" t="n">
        <v>72</v>
      </c>
      <c r="L597" s="2"/>
      <c r="M597" s="10" t="b">
        <f aca="false">TRUE()</f>
        <v>1</v>
      </c>
      <c r="N597" s="9" t="n">
        <f aca="false">IF(H597="","",IF(H597&gt;=Assumptions!$B$5,1,IF(H597&gt;=Assumptions!$B$6,2,IF(H597&gt;=Assumptions!$B$7,3,""))))</f>
        <v>3</v>
      </c>
      <c r="O597" s="9" t="n">
        <f aca="false">IF(N597=1,Assumptions!$B$8,IF(N597=2,Assumptions!$B$9,IF(N597=3,Assumptions!$B$10,0)))</f>
        <v>1</v>
      </c>
      <c r="P597" s="6" t="s">
        <v>30</v>
      </c>
      <c r="Q597" s="6" t="s">
        <v>30</v>
      </c>
      <c r="R597" s="11" t="s">
        <v>30</v>
      </c>
      <c r="S597" s="6" t="s">
        <v>30</v>
      </c>
      <c r="T597" s="11" t="s">
        <v>30</v>
      </c>
      <c r="U597" s="6" t="s">
        <v>30</v>
      </c>
      <c r="V597" s="6" t="s">
        <v>30</v>
      </c>
      <c r="W597" s="6" t="s">
        <v>30</v>
      </c>
      <c r="X597" s="2" t="s">
        <v>30</v>
      </c>
      <c r="Y597" s="6" t="str">
        <f aca="false">IF(AND(X597="processed",ISNUMBER(S597)),S597*O597,"")</f>
        <v/>
      </c>
      <c r="Z597" s="6" t="n">
        <f aca="false">IF(ISNUMBER(K597),K597*O597,0)</f>
        <v>72</v>
      </c>
      <c r="AA597" s="2" t="s">
        <v>31</v>
      </c>
      <c r="AB597" s="6" t="n">
        <v>12827</v>
      </c>
      <c r="AC597" s="6" t="n">
        <v>9922</v>
      </c>
      <c r="AD597" s="6" t="n">
        <v>321</v>
      </c>
      <c r="AE597" s="6" t="n">
        <v>1675.4677734375</v>
      </c>
      <c r="AF597" s="8" t="n">
        <v>514.800514801</v>
      </c>
      <c r="AG597" s="11" t="n">
        <v>-0.06410423264</v>
      </c>
      <c r="AH597" s="12" t="n">
        <v>1</v>
      </c>
      <c r="AI597" s="2" t="s">
        <v>317</v>
      </c>
      <c r="AJ597" s="2" t="s">
        <v>1455</v>
      </c>
      <c r="AK597" s="2" t="s">
        <v>1455</v>
      </c>
    </row>
    <row r="598" customFormat="false" ht="15" hidden="false" customHeight="false" outlineLevel="0" collapsed="false">
      <c r="A598" s="9"/>
      <c r="B598" s="2" t="s">
        <v>1456</v>
      </c>
      <c r="C598" s="2"/>
      <c r="D598" s="2" t="s">
        <v>1190</v>
      </c>
      <c r="E598" s="2" t="s">
        <v>1191</v>
      </c>
      <c r="F598" s="2"/>
      <c r="G598" s="2" t="s">
        <v>336</v>
      </c>
      <c r="H598" s="8" t="n">
        <v>864.08812667825</v>
      </c>
      <c r="I598" s="2" t="s">
        <v>316</v>
      </c>
      <c r="J598" s="8" t="n">
        <v>1700229.16666667</v>
      </c>
      <c r="K598" s="6" t="n">
        <v>24</v>
      </c>
      <c r="L598" s="2"/>
      <c r="M598" s="10" t="b">
        <f aca="false">FALSE()</f>
        <v>0</v>
      </c>
      <c r="N598" s="9" t="n">
        <f aca="false">IF(H598="","",IF(H598&gt;=Assumptions!$B$5,1,IF(H598&gt;=Assumptions!$B$6,2,IF(H598&gt;=Assumptions!$B$7,3,""))))</f>
        <v>1</v>
      </c>
      <c r="O598" s="9" t="n">
        <f aca="false">IF(N598=1,Assumptions!$B$8,IF(N598=2,Assumptions!$B$9,IF(N598=3,Assumptions!$B$10,0)))</f>
        <v>3</v>
      </c>
      <c r="P598" s="6" t="s">
        <v>30</v>
      </c>
      <c r="Q598" s="6" t="s">
        <v>30</v>
      </c>
      <c r="R598" s="11" t="s">
        <v>30</v>
      </c>
      <c r="S598" s="6" t="s">
        <v>30</v>
      </c>
      <c r="T598" s="11" t="s">
        <v>30</v>
      </c>
      <c r="U598" s="6" t="s">
        <v>30</v>
      </c>
      <c r="V598" s="6" t="s">
        <v>30</v>
      </c>
      <c r="W598" s="6" t="s">
        <v>30</v>
      </c>
      <c r="X598" s="2" t="s">
        <v>30</v>
      </c>
      <c r="Y598" s="6" t="str">
        <f aca="false">IF(AND(X598="processed",ISNUMBER(S598)),S598*O598,"")</f>
        <v/>
      </c>
      <c r="Z598" s="6" t="n">
        <f aca="false">IF(ISNUMBER(K598),K598*O598,0)</f>
        <v>72</v>
      </c>
      <c r="AA598" s="2" t="s">
        <v>31</v>
      </c>
      <c r="AB598" s="6"/>
      <c r="AC598" s="6"/>
      <c r="AD598" s="6"/>
      <c r="AE598" s="6"/>
      <c r="AF598" s="8" t="n">
        <v>894.342762063</v>
      </c>
      <c r="AG598" s="11" t="n">
        <v>-0.3473144562</v>
      </c>
      <c r="AH598" s="12"/>
      <c r="AI598" s="2"/>
      <c r="AJ598" s="2"/>
      <c r="AK598" s="2"/>
    </row>
    <row r="599" customFormat="false" ht="15" hidden="false" customHeight="false" outlineLevel="0" collapsed="false">
      <c r="A599" s="9" t="n">
        <v>595</v>
      </c>
      <c r="B599" s="2" t="s">
        <v>1457</v>
      </c>
      <c r="C599" s="2" t="s">
        <v>355</v>
      </c>
      <c r="D599" s="2" t="s">
        <v>44</v>
      </c>
      <c r="E599" s="2" t="s">
        <v>44</v>
      </c>
      <c r="F599" s="2" t="s">
        <v>1458</v>
      </c>
      <c r="G599" s="2" t="s">
        <v>322</v>
      </c>
      <c r="H599" s="8" t="n">
        <v>527.869656741958</v>
      </c>
      <c r="I599" s="2" t="s">
        <v>316</v>
      </c>
      <c r="J599" s="8" t="n">
        <v>875718.309859155</v>
      </c>
      <c r="K599" s="6" t="n">
        <v>71</v>
      </c>
      <c r="L599" s="2"/>
      <c r="M599" s="10" t="b">
        <f aca="false">TRUE()</f>
        <v>1</v>
      </c>
      <c r="N599" s="9" t="n">
        <f aca="false">IF(H599="","",IF(H599&gt;=Assumptions!$B$5,1,IF(H599&gt;=Assumptions!$B$6,2,IF(H599&gt;=Assumptions!$B$7,3,""))))</f>
        <v>3</v>
      </c>
      <c r="O599" s="9" t="n">
        <f aca="false">IF(N599=1,Assumptions!$B$8,IF(N599=2,Assumptions!$B$9,IF(N599=3,Assumptions!$B$10,0)))</f>
        <v>1</v>
      </c>
      <c r="P599" s="6" t="s">
        <v>30</v>
      </c>
      <c r="Q599" s="6" t="s">
        <v>30</v>
      </c>
      <c r="R599" s="11" t="s">
        <v>30</v>
      </c>
      <c r="S599" s="6" t="s">
        <v>30</v>
      </c>
      <c r="T599" s="11" t="s">
        <v>30</v>
      </c>
      <c r="U599" s="6" t="s">
        <v>30</v>
      </c>
      <c r="V599" s="6" t="s">
        <v>30</v>
      </c>
      <c r="W599" s="6" t="s">
        <v>30</v>
      </c>
      <c r="X599" s="2" t="s">
        <v>30</v>
      </c>
      <c r="Y599" s="6" t="str">
        <f aca="false">IF(AND(X599="processed",ISNUMBER(S599)),S599*O599,"")</f>
        <v/>
      </c>
      <c r="Z599" s="6" t="n">
        <f aca="false">IF(ISNUMBER(K599),K599*O599,0)</f>
        <v>71</v>
      </c>
      <c r="AA599" s="2" t="s">
        <v>31</v>
      </c>
      <c r="AB599" s="6" t="n">
        <v>10295</v>
      </c>
      <c r="AC599" s="6" t="n">
        <v>8597</v>
      </c>
      <c r="AD599" s="6" t="n">
        <v>259</v>
      </c>
      <c r="AE599" s="6" t="n">
        <v>2414.86474609375</v>
      </c>
      <c r="AF599" s="8" t="n">
        <v>508.445945946</v>
      </c>
      <c r="AG599" s="11" t="n">
        <v>-0.09174500588</v>
      </c>
      <c r="AH599" s="12" t="n">
        <v>0.965391324117908</v>
      </c>
      <c r="AI599" s="2" t="s">
        <v>317</v>
      </c>
      <c r="AJ599" s="2" t="s">
        <v>355</v>
      </c>
      <c r="AK599" s="2" t="s">
        <v>355</v>
      </c>
    </row>
    <row r="600" customFormat="false" ht="15" hidden="false" customHeight="false" outlineLevel="0" collapsed="false">
      <c r="A600" s="9" t="n">
        <v>596</v>
      </c>
      <c r="B600" s="2" t="s">
        <v>1459</v>
      </c>
      <c r="C600" s="2" t="s">
        <v>1460</v>
      </c>
      <c r="D600" s="2" t="s">
        <v>27</v>
      </c>
      <c r="E600" s="2" t="s">
        <v>28</v>
      </c>
      <c r="F600" s="2"/>
      <c r="G600" s="2" t="s">
        <v>315</v>
      </c>
      <c r="H600" s="8" t="n">
        <v>595.581544635957</v>
      </c>
      <c r="I600" s="2" t="s">
        <v>316</v>
      </c>
      <c r="J600" s="8" t="n">
        <v>1220414.28571429</v>
      </c>
      <c r="K600" s="6" t="n">
        <v>70</v>
      </c>
      <c r="L600" s="2"/>
      <c r="M600" s="10" t="b">
        <f aca="false">TRUE()</f>
        <v>1</v>
      </c>
      <c r="N600" s="9" t="n">
        <f aca="false">IF(H600="","",IF(H600&gt;=Assumptions!$B$5,1,IF(H600&gt;=Assumptions!$B$6,2,IF(H600&gt;=Assumptions!$B$7,3,""))))</f>
        <v>3</v>
      </c>
      <c r="O600" s="9" t="n">
        <f aca="false">IF(N600=1,Assumptions!$B$8,IF(N600=2,Assumptions!$B$9,IF(N600=3,Assumptions!$B$10,0)))</f>
        <v>1</v>
      </c>
      <c r="P600" s="6" t="s">
        <v>30</v>
      </c>
      <c r="Q600" s="6" t="s">
        <v>30</v>
      </c>
      <c r="R600" s="11" t="s">
        <v>30</v>
      </c>
      <c r="S600" s="6" t="s">
        <v>30</v>
      </c>
      <c r="T600" s="11" t="s">
        <v>30</v>
      </c>
      <c r="U600" s="6" t="s">
        <v>30</v>
      </c>
      <c r="V600" s="6" t="s">
        <v>30</v>
      </c>
      <c r="W600" s="6" t="s">
        <v>30</v>
      </c>
      <c r="X600" s="2" t="s">
        <v>30</v>
      </c>
      <c r="Y600" s="6" t="str">
        <f aca="false">IF(AND(X600="processed",ISNUMBER(S600)),S600*O600,"")</f>
        <v/>
      </c>
      <c r="Z600" s="6" t="n">
        <f aca="false">IF(ISNUMBER(K600),K600*O600,0)</f>
        <v>70</v>
      </c>
      <c r="AA600" s="2" t="s">
        <v>31</v>
      </c>
      <c r="AB600" s="6" t="n">
        <v>4296</v>
      </c>
      <c r="AC600" s="6" t="n">
        <v>4097</v>
      </c>
      <c r="AD600" s="6" t="n">
        <v>100</v>
      </c>
      <c r="AE600" s="6" t="n">
        <v>2384.01708984375</v>
      </c>
      <c r="AF600" s="8" t="n">
        <v>613.616027182</v>
      </c>
      <c r="AG600" s="11" t="n">
        <v>0.006035595917</v>
      </c>
      <c r="AH600" s="12" t="n">
        <v>0.992737551474432</v>
      </c>
      <c r="AI600" s="2" t="s">
        <v>321</v>
      </c>
      <c r="AJ600" s="2" t="s">
        <v>1460</v>
      </c>
      <c r="AK600" s="2" t="s">
        <v>1460</v>
      </c>
    </row>
    <row r="601" customFormat="false" ht="15" hidden="false" customHeight="false" outlineLevel="0" collapsed="false">
      <c r="A601" s="9" t="n">
        <v>597</v>
      </c>
      <c r="B601" s="2" t="s">
        <v>1461</v>
      </c>
      <c r="C601" s="2" t="s">
        <v>1055</v>
      </c>
      <c r="D601" s="2" t="s">
        <v>70</v>
      </c>
      <c r="E601" s="2" t="s">
        <v>71</v>
      </c>
      <c r="F601" s="2"/>
      <c r="G601" s="2" t="s">
        <v>329</v>
      </c>
      <c r="H601" s="8" t="n">
        <v>591.631643898449</v>
      </c>
      <c r="I601" s="2" t="s">
        <v>316</v>
      </c>
      <c r="J601" s="8" t="n">
        <v>759420.289855073</v>
      </c>
      <c r="K601" s="6" t="n">
        <v>69</v>
      </c>
      <c r="L601" s="2"/>
      <c r="M601" s="10" t="b">
        <f aca="false">TRUE()</f>
        <v>1</v>
      </c>
      <c r="N601" s="9" t="n">
        <f aca="false">IF(H601="","",IF(H601&gt;=Assumptions!$B$5,1,IF(H601&gt;=Assumptions!$B$6,2,IF(H601&gt;=Assumptions!$B$7,3,""))))</f>
        <v>3</v>
      </c>
      <c r="O601" s="9" t="n">
        <f aca="false">IF(N601=1,Assumptions!$B$8,IF(N601=2,Assumptions!$B$9,IF(N601=3,Assumptions!$B$10,0)))</f>
        <v>1</v>
      </c>
      <c r="P601" s="6" t="s">
        <v>30</v>
      </c>
      <c r="Q601" s="6" t="s">
        <v>30</v>
      </c>
      <c r="R601" s="11" t="s">
        <v>30</v>
      </c>
      <c r="S601" s="6" t="s">
        <v>30</v>
      </c>
      <c r="T601" s="11" t="s">
        <v>30</v>
      </c>
      <c r="U601" s="6" t="s">
        <v>30</v>
      </c>
      <c r="V601" s="6" t="s">
        <v>30</v>
      </c>
      <c r="W601" s="6" t="s">
        <v>30</v>
      </c>
      <c r="X601" s="2" t="s">
        <v>30</v>
      </c>
      <c r="Y601" s="6" t="str">
        <f aca="false">IF(AND(X601="processed",ISNUMBER(S601)),S601*O601,"")</f>
        <v/>
      </c>
      <c r="Z601" s="6" t="n">
        <f aca="false">IF(ISNUMBER(K601),K601*O601,0)</f>
        <v>69</v>
      </c>
      <c r="AA601" s="2" t="s">
        <v>31</v>
      </c>
      <c r="AB601" s="6" t="n">
        <v>9114</v>
      </c>
      <c r="AC601" s="6" t="n">
        <v>7442</v>
      </c>
      <c r="AD601" s="6" t="n">
        <v>228</v>
      </c>
      <c r="AE601" s="6" t="n">
        <v>2219.5751953125</v>
      </c>
      <c r="AF601" s="8" t="n">
        <v>623.330365093</v>
      </c>
      <c r="AG601" s="11" t="n">
        <v>0.0343950853</v>
      </c>
      <c r="AH601" s="12" t="n">
        <v>0.999999999999999</v>
      </c>
      <c r="AI601" s="2" t="s">
        <v>317</v>
      </c>
      <c r="AJ601" s="2" t="s">
        <v>1055</v>
      </c>
      <c r="AK601" s="2" t="s">
        <v>892</v>
      </c>
    </row>
    <row r="602" customFormat="false" ht="15" hidden="false" customHeight="false" outlineLevel="0" collapsed="false">
      <c r="A602" s="9" t="n">
        <v>598</v>
      </c>
      <c r="B602" s="2" t="s">
        <v>1462</v>
      </c>
      <c r="C602" s="2" t="s">
        <v>1098</v>
      </c>
      <c r="D602" s="2" t="s">
        <v>62</v>
      </c>
      <c r="E602" s="2" t="s">
        <v>40</v>
      </c>
      <c r="F602" s="2"/>
      <c r="G602" s="2" t="s">
        <v>324</v>
      </c>
      <c r="H602" s="8" t="n">
        <v>804.07968546987</v>
      </c>
      <c r="I602" s="2" t="s">
        <v>316</v>
      </c>
      <c r="J602" s="8" t="n">
        <v>1344565.2173913</v>
      </c>
      <c r="K602" s="6" t="n">
        <v>23</v>
      </c>
      <c r="L602" s="2"/>
      <c r="M602" s="10" t="b">
        <f aca="false">TRUE()</f>
        <v>1</v>
      </c>
      <c r="N602" s="9" t="n">
        <f aca="false">IF(H602="","",IF(H602&gt;=Assumptions!$B$5,1,IF(H602&gt;=Assumptions!$B$6,2,IF(H602&gt;=Assumptions!$B$7,3,""))))</f>
        <v>1</v>
      </c>
      <c r="O602" s="9" t="n">
        <f aca="false">IF(N602=1,Assumptions!$B$8,IF(N602=2,Assumptions!$B$9,IF(N602=3,Assumptions!$B$10,0)))</f>
        <v>3</v>
      </c>
      <c r="P602" s="6" t="s">
        <v>30</v>
      </c>
      <c r="Q602" s="6" t="s">
        <v>30</v>
      </c>
      <c r="R602" s="11" t="s">
        <v>30</v>
      </c>
      <c r="S602" s="6" t="s">
        <v>30</v>
      </c>
      <c r="T602" s="11" t="s">
        <v>30</v>
      </c>
      <c r="U602" s="6" t="s">
        <v>30</v>
      </c>
      <c r="V602" s="6" t="s">
        <v>30</v>
      </c>
      <c r="W602" s="6" t="s">
        <v>30</v>
      </c>
      <c r="X602" s="2" t="s">
        <v>30</v>
      </c>
      <c r="Y602" s="6" t="str">
        <f aca="false">IF(AND(X602="processed",ISNUMBER(S602)),S602*O602,"")</f>
        <v/>
      </c>
      <c r="Z602" s="6" t="n">
        <f aca="false">IF(ISNUMBER(K602),K602*O602,0)</f>
        <v>69</v>
      </c>
      <c r="AA602" s="2" t="s">
        <v>31</v>
      </c>
      <c r="AB602" s="6" t="n">
        <v>1864</v>
      </c>
      <c r="AC602" s="6" t="n">
        <v>1408</v>
      </c>
      <c r="AD602" s="6" t="n">
        <v>178</v>
      </c>
      <c r="AE602" s="6" t="n">
        <v>1449.95654296875</v>
      </c>
      <c r="AF602" s="8" t="n">
        <v>835.646154337</v>
      </c>
      <c r="AG602" s="11" t="n">
        <v>-0.01734202221</v>
      </c>
      <c r="AH602" s="12" t="n">
        <v>0.992687474139494</v>
      </c>
      <c r="AI602" s="2" t="s">
        <v>317</v>
      </c>
      <c r="AJ602" s="2" t="s">
        <v>1098</v>
      </c>
      <c r="AK602" s="2" t="s">
        <v>1098</v>
      </c>
    </row>
    <row r="603" customFormat="false" ht="15" hidden="false" customHeight="false" outlineLevel="0" collapsed="false">
      <c r="A603" s="9" t="n">
        <v>599</v>
      </c>
      <c r="B603" s="2" t="s">
        <v>1463</v>
      </c>
      <c r="C603" s="2" t="s">
        <v>1464</v>
      </c>
      <c r="D603" s="2" t="s">
        <v>50</v>
      </c>
      <c r="E603" s="2" t="s">
        <v>51</v>
      </c>
      <c r="F603" s="2" t="s">
        <v>1465</v>
      </c>
      <c r="G603" s="2" t="s">
        <v>323</v>
      </c>
      <c r="H603" s="8" t="n">
        <v>862.118289795391</v>
      </c>
      <c r="I603" s="2" t="s">
        <v>316</v>
      </c>
      <c r="J603" s="8" t="n">
        <v>1648043.47826087</v>
      </c>
      <c r="K603" s="6" t="n">
        <v>23</v>
      </c>
      <c r="L603" s="2"/>
      <c r="M603" s="10" t="b">
        <f aca="false">TRUE()</f>
        <v>1</v>
      </c>
      <c r="N603" s="9" t="n">
        <f aca="false">IF(H603="","",IF(H603&gt;=Assumptions!$B$5,1,IF(H603&gt;=Assumptions!$B$6,2,IF(H603&gt;=Assumptions!$B$7,3,""))))</f>
        <v>1</v>
      </c>
      <c r="O603" s="9" t="n">
        <f aca="false">IF(N603=1,Assumptions!$B$8,IF(N603=2,Assumptions!$B$9,IF(N603=3,Assumptions!$B$10,0)))</f>
        <v>3</v>
      </c>
      <c r="P603" s="6" t="s">
        <v>30</v>
      </c>
      <c r="Q603" s="6" t="s">
        <v>30</v>
      </c>
      <c r="R603" s="11" t="s">
        <v>30</v>
      </c>
      <c r="S603" s="6" t="s">
        <v>30</v>
      </c>
      <c r="T603" s="11" t="s">
        <v>30</v>
      </c>
      <c r="U603" s="6" t="s">
        <v>30</v>
      </c>
      <c r="V603" s="6" t="s">
        <v>30</v>
      </c>
      <c r="W603" s="6" t="s">
        <v>30</v>
      </c>
      <c r="X603" s="2" t="s">
        <v>30</v>
      </c>
      <c r="Y603" s="6" t="str">
        <f aca="false">IF(AND(X603="processed",ISNUMBER(S603)),S603*O603,"")</f>
        <v/>
      </c>
      <c r="Z603" s="6" t="n">
        <f aca="false">IF(ISNUMBER(K603),K603*O603,0)</f>
        <v>69</v>
      </c>
      <c r="AA603" s="2" t="s">
        <v>31</v>
      </c>
      <c r="AB603" s="6" t="n">
        <v>1592</v>
      </c>
      <c r="AC603" s="6" t="n">
        <v>1443</v>
      </c>
      <c r="AD603" s="6" t="n">
        <v>1170</v>
      </c>
      <c r="AE603" s="6" t="n">
        <v>1427.80932617188</v>
      </c>
      <c r="AF603" s="8" t="n">
        <v>781.25</v>
      </c>
      <c r="AG603" s="11" t="n">
        <v>-0.053125</v>
      </c>
      <c r="AH603" s="12" t="n">
        <v>0.999525384627899</v>
      </c>
      <c r="AI603" s="2" t="s">
        <v>317</v>
      </c>
      <c r="AJ603" s="2" t="s">
        <v>1464</v>
      </c>
      <c r="AK603" s="2" t="s">
        <v>1464</v>
      </c>
    </row>
    <row r="604" customFormat="false" ht="15" hidden="false" customHeight="false" outlineLevel="0" collapsed="false">
      <c r="A604" s="9" t="n">
        <v>600</v>
      </c>
      <c r="B604" s="2" t="s">
        <v>1466</v>
      </c>
      <c r="C604" s="2" t="s">
        <v>642</v>
      </c>
      <c r="D604" s="2" t="s">
        <v>27</v>
      </c>
      <c r="E604" s="2" t="s">
        <v>28</v>
      </c>
      <c r="F604" s="2" t="s">
        <v>1467</v>
      </c>
      <c r="G604" s="2" t="s">
        <v>315</v>
      </c>
      <c r="H604" s="8" t="n">
        <v>611.144858503424</v>
      </c>
      <c r="I604" s="2" t="s">
        <v>316</v>
      </c>
      <c r="J604" s="8" t="n">
        <v>1523181.81818182</v>
      </c>
      <c r="K604" s="6" t="n">
        <v>33</v>
      </c>
      <c r="L604" s="2"/>
      <c r="M604" s="10" t="b">
        <f aca="false">TRUE()</f>
        <v>1</v>
      </c>
      <c r="N604" s="9" t="n">
        <f aca="false">IF(H604="","",IF(H604&gt;=Assumptions!$B$5,1,IF(H604&gt;=Assumptions!$B$6,2,IF(H604&gt;=Assumptions!$B$7,3,""))))</f>
        <v>2</v>
      </c>
      <c r="O604" s="9" t="n">
        <f aca="false">IF(N604=1,Assumptions!$B$8,IF(N604=2,Assumptions!$B$9,IF(N604=3,Assumptions!$B$10,0)))</f>
        <v>2</v>
      </c>
      <c r="P604" s="6" t="s">
        <v>30</v>
      </c>
      <c r="Q604" s="6" t="s">
        <v>30</v>
      </c>
      <c r="R604" s="11" t="s">
        <v>30</v>
      </c>
      <c r="S604" s="6" t="s">
        <v>30</v>
      </c>
      <c r="T604" s="11" t="s">
        <v>30</v>
      </c>
      <c r="U604" s="6" t="s">
        <v>30</v>
      </c>
      <c r="V604" s="6" t="s">
        <v>30</v>
      </c>
      <c r="W604" s="6" t="s">
        <v>30</v>
      </c>
      <c r="X604" s="2" t="s">
        <v>30</v>
      </c>
      <c r="Y604" s="6" t="str">
        <f aca="false">IF(AND(X604="processed",ISNUMBER(S604)),S604*O604,"")</f>
        <v/>
      </c>
      <c r="Z604" s="6" t="n">
        <f aca="false">IF(ISNUMBER(K604),K604*O604,0)</f>
        <v>66</v>
      </c>
      <c r="AA604" s="2" t="s">
        <v>31</v>
      </c>
      <c r="AB604" s="6" t="n">
        <v>1744</v>
      </c>
      <c r="AC604" s="6" t="n">
        <v>1612</v>
      </c>
      <c r="AD604" s="6" t="n">
        <v>92</v>
      </c>
      <c r="AE604" s="6" t="n">
        <v>2446.41967773438</v>
      </c>
      <c r="AF604" s="8" t="n">
        <v>606.060606061</v>
      </c>
      <c r="AG604" s="11" t="n">
        <v>-0.09100762155</v>
      </c>
      <c r="AH604" s="12" t="n">
        <v>0.996424650092191</v>
      </c>
      <c r="AI604" s="2" t="s">
        <v>317</v>
      </c>
      <c r="AJ604" s="2" t="s">
        <v>642</v>
      </c>
      <c r="AK604" s="2" t="s">
        <v>642</v>
      </c>
    </row>
    <row r="605" customFormat="false" ht="15" hidden="false" customHeight="false" outlineLevel="0" collapsed="false">
      <c r="A605" s="9" t="n">
        <v>601</v>
      </c>
      <c r="B605" s="2" t="s">
        <v>1468</v>
      </c>
      <c r="C605" s="2" t="s">
        <v>1469</v>
      </c>
      <c r="D605" s="2" t="s">
        <v>62</v>
      </c>
      <c r="E605" s="2" t="s">
        <v>40</v>
      </c>
      <c r="F605" s="2"/>
      <c r="G605" s="2" t="s">
        <v>324</v>
      </c>
      <c r="H605" s="8" t="n">
        <v>899.181259758046</v>
      </c>
      <c r="I605" s="2" t="s">
        <v>316</v>
      </c>
      <c r="J605" s="8" t="n">
        <v>1566272.72727273</v>
      </c>
      <c r="K605" s="6" t="n">
        <v>22</v>
      </c>
      <c r="L605" s="2"/>
      <c r="M605" s="10" t="b">
        <f aca="false">TRUE()</f>
        <v>1</v>
      </c>
      <c r="N605" s="9" t="n">
        <f aca="false">IF(H605="","",IF(H605&gt;=Assumptions!$B$5,1,IF(H605&gt;=Assumptions!$B$6,2,IF(H605&gt;=Assumptions!$B$7,3,""))))</f>
        <v>1</v>
      </c>
      <c r="O605" s="9" t="n">
        <f aca="false">IF(N605=1,Assumptions!$B$8,IF(N605=2,Assumptions!$B$9,IF(N605=3,Assumptions!$B$10,0)))</f>
        <v>3</v>
      </c>
      <c r="P605" s="6" t="s">
        <v>30</v>
      </c>
      <c r="Q605" s="6" t="s">
        <v>30</v>
      </c>
      <c r="R605" s="11" t="s">
        <v>30</v>
      </c>
      <c r="S605" s="6" t="s">
        <v>30</v>
      </c>
      <c r="T605" s="11" t="s">
        <v>30</v>
      </c>
      <c r="U605" s="6" t="s">
        <v>30</v>
      </c>
      <c r="V605" s="6" t="s">
        <v>30</v>
      </c>
      <c r="W605" s="6" t="s">
        <v>30</v>
      </c>
      <c r="X605" s="2" t="s">
        <v>30</v>
      </c>
      <c r="Y605" s="6" t="str">
        <f aca="false">IF(AND(X605="processed",ISNUMBER(S605)),S605*O605,"")</f>
        <v/>
      </c>
      <c r="Z605" s="6" t="n">
        <f aca="false">IF(ISNUMBER(K605),K605*O605,0)</f>
        <v>66</v>
      </c>
      <c r="AA605" s="2" t="s">
        <v>31</v>
      </c>
      <c r="AB605" s="6" t="n">
        <v>1233</v>
      </c>
      <c r="AC605" s="6" t="n">
        <v>1091</v>
      </c>
      <c r="AD605" s="6" t="n">
        <v>6</v>
      </c>
      <c r="AE605" s="6" t="n">
        <v>1936.83764648438</v>
      </c>
      <c r="AF605" s="8" t="n">
        <v>822.043010753</v>
      </c>
      <c r="AG605" s="11" t="n">
        <v>-0.02873664578</v>
      </c>
      <c r="AH605" s="12" t="n">
        <v>0.974346696365868</v>
      </c>
      <c r="AI605" s="2" t="s">
        <v>328</v>
      </c>
      <c r="AJ605" s="2" t="s">
        <v>1469</v>
      </c>
      <c r="AK605" s="2" t="s">
        <v>1469</v>
      </c>
    </row>
    <row r="606" customFormat="false" ht="15" hidden="false" customHeight="false" outlineLevel="0" collapsed="false">
      <c r="A606" s="9" t="n">
        <v>602</v>
      </c>
      <c r="B606" s="2" t="s">
        <v>1470</v>
      </c>
      <c r="C606" s="2" t="s">
        <v>1471</v>
      </c>
      <c r="D606" s="2" t="s">
        <v>190</v>
      </c>
      <c r="E606" s="2" t="s">
        <v>51</v>
      </c>
      <c r="F606" s="2"/>
      <c r="G606" s="2" t="s">
        <v>336</v>
      </c>
      <c r="H606" s="8" t="n">
        <v>507.372596762</v>
      </c>
      <c r="I606" s="2" t="s">
        <v>316</v>
      </c>
      <c r="J606" s="8" t="n">
        <v>644696.96969697</v>
      </c>
      <c r="K606" s="6" t="n">
        <v>66</v>
      </c>
      <c r="L606" s="2"/>
      <c r="M606" s="10" t="b">
        <f aca="false">TRUE()</f>
        <v>1</v>
      </c>
      <c r="N606" s="9" t="n">
        <f aca="false">IF(H606="","",IF(H606&gt;=Assumptions!$B$5,1,IF(H606&gt;=Assumptions!$B$6,2,IF(H606&gt;=Assumptions!$B$7,3,""))))</f>
        <v>3</v>
      </c>
      <c r="O606" s="9" t="n">
        <f aca="false">IF(N606=1,Assumptions!$B$8,IF(N606=2,Assumptions!$B$9,IF(N606=3,Assumptions!$B$10,0)))</f>
        <v>1</v>
      </c>
      <c r="P606" s="6" t="s">
        <v>30</v>
      </c>
      <c r="Q606" s="6" t="s">
        <v>30</v>
      </c>
      <c r="R606" s="11" t="s">
        <v>30</v>
      </c>
      <c r="S606" s="6" t="s">
        <v>30</v>
      </c>
      <c r="T606" s="11" t="s">
        <v>30</v>
      </c>
      <c r="U606" s="6" t="s">
        <v>30</v>
      </c>
      <c r="V606" s="6" t="s">
        <v>30</v>
      </c>
      <c r="W606" s="6" t="s">
        <v>30</v>
      </c>
      <c r="X606" s="2" t="s">
        <v>30</v>
      </c>
      <c r="Y606" s="6" t="str">
        <f aca="false">IF(AND(X606="processed",ISNUMBER(S606)),S606*O606,"")</f>
        <v/>
      </c>
      <c r="Z606" s="6" t="n">
        <f aca="false">IF(ISNUMBER(K606),K606*O606,0)</f>
        <v>66</v>
      </c>
      <c r="AA606" s="2" t="s">
        <v>31</v>
      </c>
      <c r="AB606" s="6" t="n">
        <v>4845</v>
      </c>
      <c r="AC606" s="6" t="n">
        <v>3275</v>
      </c>
      <c r="AD606" s="6" t="n">
        <v>290</v>
      </c>
      <c r="AE606" s="6" t="n">
        <v>1455.03833007813</v>
      </c>
      <c r="AF606" s="8" t="n">
        <v>500.31372948</v>
      </c>
      <c r="AG606" s="11" t="n">
        <v>-0.03705871098</v>
      </c>
      <c r="AH606" s="12" t="n">
        <v>1</v>
      </c>
      <c r="AI606" s="2" t="s">
        <v>317</v>
      </c>
      <c r="AJ606" s="2" t="s">
        <v>1471</v>
      </c>
      <c r="AK606" s="2" t="s">
        <v>1472</v>
      </c>
    </row>
    <row r="607" customFormat="false" ht="15" hidden="false" customHeight="false" outlineLevel="0" collapsed="false">
      <c r="A607" s="9" t="n">
        <v>603</v>
      </c>
      <c r="B607" s="2" t="s">
        <v>1473</v>
      </c>
      <c r="C607" s="2" t="s">
        <v>70</v>
      </c>
      <c r="D607" s="2" t="s">
        <v>70</v>
      </c>
      <c r="E607" s="2" t="s">
        <v>71</v>
      </c>
      <c r="F607" s="2" t="s">
        <v>1474</v>
      </c>
      <c r="G607" s="2" t="s">
        <v>329</v>
      </c>
      <c r="H607" s="8" t="n">
        <v>508.136958148108</v>
      </c>
      <c r="I607" s="2" t="s">
        <v>316</v>
      </c>
      <c r="J607" s="8" t="n">
        <v>553123.076923077</v>
      </c>
      <c r="K607" s="6" t="n">
        <v>65</v>
      </c>
      <c r="L607" s="2"/>
      <c r="M607" s="10" t="b">
        <f aca="false">TRUE()</f>
        <v>1</v>
      </c>
      <c r="N607" s="9" t="n">
        <f aca="false">IF(H607="","",IF(H607&gt;=Assumptions!$B$5,1,IF(H607&gt;=Assumptions!$B$6,2,IF(H607&gt;=Assumptions!$B$7,3,""))))</f>
        <v>3</v>
      </c>
      <c r="O607" s="9" t="n">
        <f aca="false">IF(N607=1,Assumptions!$B$8,IF(N607=2,Assumptions!$B$9,IF(N607=3,Assumptions!$B$10,0)))</f>
        <v>1</v>
      </c>
      <c r="P607" s="6" t="s">
        <v>30</v>
      </c>
      <c r="Q607" s="6" t="s">
        <v>30</v>
      </c>
      <c r="R607" s="11" t="s">
        <v>30</v>
      </c>
      <c r="S607" s="6" t="s">
        <v>30</v>
      </c>
      <c r="T607" s="11" t="s">
        <v>30</v>
      </c>
      <c r="U607" s="6" t="s">
        <v>30</v>
      </c>
      <c r="V607" s="6" t="s">
        <v>30</v>
      </c>
      <c r="W607" s="6" t="s">
        <v>30</v>
      </c>
      <c r="X607" s="2" t="s">
        <v>30</v>
      </c>
      <c r="Y607" s="6" t="str">
        <f aca="false">IF(AND(X607="processed",ISNUMBER(S607)),S607*O607,"")</f>
        <v/>
      </c>
      <c r="Z607" s="6" t="n">
        <f aca="false">IF(ISNUMBER(K607),K607*O607,0)</f>
        <v>65</v>
      </c>
      <c r="AA607" s="2" t="s">
        <v>31</v>
      </c>
      <c r="AB607" s="6" t="n">
        <v>21943</v>
      </c>
      <c r="AC607" s="6" t="n">
        <v>15747</v>
      </c>
      <c r="AD607" s="6" t="n">
        <v>289</v>
      </c>
      <c r="AE607" s="6" t="n">
        <v>1520.32312011719</v>
      </c>
      <c r="AF607" s="8" t="n">
        <v>550</v>
      </c>
      <c r="AG607" s="11" t="n">
        <v>0.1954924875</v>
      </c>
      <c r="AH607" s="12" t="n">
        <v>1</v>
      </c>
      <c r="AI607" s="2" t="s">
        <v>317</v>
      </c>
      <c r="AJ607" s="2" t="s">
        <v>70</v>
      </c>
      <c r="AK607" s="2" t="s">
        <v>70</v>
      </c>
    </row>
    <row r="608" customFormat="false" ht="15" hidden="false" customHeight="false" outlineLevel="0" collapsed="false">
      <c r="A608" s="9" t="n">
        <v>604</v>
      </c>
      <c r="B608" s="2" t="s">
        <v>1475</v>
      </c>
      <c r="C608" s="2" t="s">
        <v>70</v>
      </c>
      <c r="D608" s="2" t="s">
        <v>70</v>
      </c>
      <c r="E608" s="2" t="s">
        <v>71</v>
      </c>
      <c r="F608" s="2"/>
      <c r="G608" s="2" t="s">
        <v>329</v>
      </c>
      <c r="H608" s="8" t="n">
        <v>638.506489464875</v>
      </c>
      <c r="I608" s="2" t="s">
        <v>316</v>
      </c>
      <c r="J608" s="8" t="n">
        <v>1146656.25</v>
      </c>
      <c r="K608" s="6" t="n">
        <v>32</v>
      </c>
      <c r="L608" s="2"/>
      <c r="M608" s="10" t="b">
        <f aca="false">TRUE()</f>
        <v>1</v>
      </c>
      <c r="N608" s="9" t="n">
        <f aca="false">IF(H608="","",IF(H608&gt;=Assumptions!$B$5,1,IF(H608&gt;=Assumptions!$B$6,2,IF(H608&gt;=Assumptions!$B$7,3,""))))</f>
        <v>2</v>
      </c>
      <c r="O608" s="9" t="n">
        <f aca="false">IF(N608=1,Assumptions!$B$8,IF(N608=2,Assumptions!$B$9,IF(N608=3,Assumptions!$B$10,0)))</f>
        <v>2</v>
      </c>
      <c r="P608" s="6" t="s">
        <v>30</v>
      </c>
      <c r="Q608" s="6" t="s">
        <v>30</v>
      </c>
      <c r="R608" s="11" t="s">
        <v>30</v>
      </c>
      <c r="S608" s="6" t="s">
        <v>30</v>
      </c>
      <c r="T608" s="11" t="s">
        <v>30</v>
      </c>
      <c r="U608" s="6" t="s">
        <v>30</v>
      </c>
      <c r="V608" s="6" t="s">
        <v>30</v>
      </c>
      <c r="W608" s="6" t="s">
        <v>30</v>
      </c>
      <c r="X608" s="2" t="s">
        <v>30</v>
      </c>
      <c r="Y608" s="6" t="str">
        <f aca="false">IF(AND(X608="processed",ISNUMBER(S608)),S608*O608,"")</f>
        <v/>
      </c>
      <c r="Z608" s="6" t="n">
        <f aca="false">IF(ISNUMBER(K608),K608*O608,0)</f>
        <v>64</v>
      </c>
      <c r="AA608" s="2" t="s">
        <v>31</v>
      </c>
      <c r="AB608" s="6" t="n">
        <v>4729</v>
      </c>
      <c r="AC608" s="6" t="n">
        <v>3288</v>
      </c>
      <c r="AD608" s="6" t="n">
        <v>36</v>
      </c>
      <c r="AE608" s="6" t="n">
        <v>1871.38989257813</v>
      </c>
      <c r="AF608" s="8" t="n">
        <v>592</v>
      </c>
      <c r="AG608" s="11" t="n">
        <v>-0.1194294858</v>
      </c>
      <c r="AH608" s="12" t="n">
        <v>1</v>
      </c>
      <c r="AI608" s="2" t="s">
        <v>317</v>
      </c>
      <c r="AJ608" s="2" t="s">
        <v>70</v>
      </c>
      <c r="AK608" s="2" t="s">
        <v>70</v>
      </c>
    </row>
    <row r="609" customFormat="false" ht="15" hidden="false" customHeight="false" outlineLevel="0" collapsed="false">
      <c r="A609" s="9" t="n">
        <v>605</v>
      </c>
      <c r="B609" s="2" t="s">
        <v>1476</v>
      </c>
      <c r="C609" s="2" t="s">
        <v>1383</v>
      </c>
      <c r="D609" s="2" t="s">
        <v>70</v>
      </c>
      <c r="E609" s="2" t="s">
        <v>71</v>
      </c>
      <c r="F609" s="2" t="s">
        <v>1477</v>
      </c>
      <c r="G609" s="2" t="s">
        <v>329</v>
      </c>
      <c r="H609" s="8" t="n">
        <v>518.76842839281</v>
      </c>
      <c r="I609" s="2" t="s">
        <v>316</v>
      </c>
      <c r="J609" s="8" t="n">
        <v>868587.301587302</v>
      </c>
      <c r="K609" s="6" t="n">
        <v>63</v>
      </c>
      <c r="L609" s="2"/>
      <c r="M609" s="10" t="b">
        <f aca="false">TRUE()</f>
        <v>1</v>
      </c>
      <c r="N609" s="9" t="n">
        <f aca="false">IF(H609="","",IF(H609&gt;=Assumptions!$B$5,1,IF(H609&gt;=Assumptions!$B$6,2,IF(H609&gt;=Assumptions!$B$7,3,""))))</f>
        <v>3</v>
      </c>
      <c r="O609" s="9" t="n">
        <f aca="false">IF(N609=1,Assumptions!$B$8,IF(N609=2,Assumptions!$B$9,IF(N609=3,Assumptions!$B$10,0)))</f>
        <v>1</v>
      </c>
      <c r="P609" s="6" t="s">
        <v>30</v>
      </c>
      <c r="Q609" s="6" t="s">
        <v>30</v>
      </c>
      <c r="R609" s="11" t="s">
        <v>30</v>
      </c>
      <c r="S609" s="6" t="s">
        <v>30</v>
      </c>
      <c r="T609" s="11" t="s">
        <v>30</v>
      </c>
      <c r="U609" s="6" t="s">
        <v>30</v>
      </c>
      <c r="V609" s="6" t="s">
        <v>30</v>
      </c>
      <c r="W609" s="6" t="s">
        <v>30</v>
      </c>
      <c r="X609" s="2" t="s">
        <v>30</v>
      </c>
      <c r="Y609" s="6" t="str">
        <f aca="false">IF(AND(X609="processed",ISNUMBER(S609)),S609*O609,"")</f>
        <v/>
      </c>
      <c r="Z609" s="6" t="n">
        <f aca="false">IF(ISNUMBER(K609),K609*O609,0)</f>
        <v>63</v>
      </c>
      <c r="AA609" s="2" t="s">
        <v>31</v>
      </c>
      <c r="AB609" s="6" t="n">
        <v>7117</v>
      </c>
      <c r="AC609" s="6" t="n">
        <v>5219</v>
      </c>
      <c r="AD609" s="6" t="n">
        <v>122</v>
      </c>
      <c r="AE609" s="6" t="n">
        <v>1721.73327636719</v>
      </c>
      <c r="AF609" s="8" t="n">
        <v>516.840882695</v>
      </c>
      <c r="AG609" s="11" t="n">
        <v>-0.08810258053</v>
      </c>
      <c r="AH609" s="12" t="n">
        <v>1</v>
      </c>
      <c r="AI609" s="2" t="s">
        <v>317</v>
      </c>
      <c r="AJ609" s="2" t="s">
        <v>1383</v>
      </c>
      <c r="AK609" s="2" t="s">
        <v>1383</v>
      </c>
    </row>
    <row r="610" customFormat="false" ht="15" hidden="false" customHeight="false" outlineLevel="0" collapsed="false">
      <c r="A610" s="9" t="n">
        <v>606</v>
      </c>
      <c r="B610" s="2" t="s">
        <v>1478</v>
      </c>
      <c r="C610" s="2" t="s">
        <v>686</v>
      </c>
      <c r="D610" s="2" t="s">
        <v>44</v>
      </c>
      <c r="E610" s="2" t="s">
        <v>44</v>
      </c>
      <c r="F610" s="2" t="s">
        <v>1479</v>
      </c>
      <c r="G610" s="2" t="s">
        <v>322</v>
      </c>
      <c r="H610" s="8" t="n">
        <v>891.866222130714</v>
      </c>
      <c r="I610" s="2" t="s">
        <v>316</v>
      </c>
      <c r="J610" s="8" t="n">
        <v>4147976.19047619</v>
      </c>
      <c r="K610" s="6" t="n">
        <v>21</v>
      </c>
      <c r="L610" s="2"/>
      <c r="M610" s="10" t="b">
        <f aca="false">TRUE()</f>
        <v>1</v>
      </c>
      <c r="N610" s="9" t="n">
        <f aca="false">IF(H610="","",IF(H610&gt;=Assumptions!$B$5,1,IF(H610&gt;=Assumptions!$B$6,2,IF(H610&gt;=Assumptions!$B$7,3,""))))</f>
        <v>1</v>
      </c>
      <c r="O610" s="9" t="n">
        <f aca="false">IF(N610=1,Assumptions!$B$8,IF(N610=2,Assumptions!$B$9,IF(N610=3,Assumptions!$B$10,0)))</f>
        <v>3</v>
      </c>
      <c r="P610" s="6" t="s">
        <v>30</v>
      </c>
      <c r="Q610" s="6" t="s">
        <v>30</v>
      </c>
      <c r="R610" s="11" t="s">
        <v>30</v>
      </c>
      <c r="S610" s="6" t="s">
        <v>30</v>
      </c>
      <c r="T610" s="11" t="s">
        <v>30</v>
      </c>
      <c r="U610" s="6" t="s">
        <v>30</v>
      </c>
      <c r="V610" s="6" t="s">
        <v>30</v>
      </c>
      <c r="W610" s="6" t="s">
        <v>30</v>
      </c>
      <c r="X610" s="2" t="s">
        <v>30</v>
      </c>
      <c r="Y610" s="6" t="str">
        <f aca="false">IF(AND(X610="processed",ISNUMBER(S610)),S610*O610,"")</f>
        <v/>
      </c>
      <c r="Z610" s="6" t="n">
        <f aca="false">IF(ISNUMBER(K610),K610*O610,0)</f>
        <v>63</v>
      </c>
      <c r="AA610" s="2" t="s">
        <v>31</v>
      </c>
      <c r="AB610" s="6" t="n">
        <v>563</v>
      </c>
      <c r="AC610" s="6" t="n">
        <v>413</v>
      </c>
      <c r="AD610" s="6" t="n">
        <v>6</v>
      </c>
      <c r="AE610" s="6" t="n">
        <v>2843.34106445313</v>
      </c>
      <c r="AF610" s="8" t="n">
        <v>827.300930714</v>
      </c>
      <c r="AG610" s="11" t="n">
        <v>-0.2098639726</v>
      </c>
      <c r="AH610" s="12" t="n">
        <v>1</v>
      </c>
      <c r="AI610" s="2" t="s">
        <v>317</v>
      </c>
      <c r="AJ610" s="2" t="s">
        <v>686</v>
      </c>
      <c r="AK610" s="2" t="s">
        <v>43</v>
      </c>
    </row>
    <row r="611" customFormat="false" ht="15" hidden="false" customHeight="false" outlineLevel="0" collapsed="false">
      <c r="A611" s="9" t="n">
        <v>607</v>
      </c>
      <c r="B611" s="2" t="s">
        <v>1480</v>
      </c>
      <c r="C611" s="2" t="s">
        <v>516</v>
      </c>
      <c r="D611" s="2" t="s">
        <v>34</v>
      </c>
      <c r="E611" s="2" t="s">
        <v>35</v>
      </c>
      <c r="F611" s="2" t="s">
        <v>1481</v>
      </c>
      <c r="G611" s="2" t="s">
        <v>318</v>
      </c>
      <c r="H611" s="8" t="n">
        <v>833.150036989714</v>
      </c>
      <c r="I611" s="2" t="s">
        <v>316</v>
      </c>
      <c r="J611" s="8" t="n">
        <v>1342215.85714286</v>
      </c>
      <c r="K611" s="6" t="n">
        <v>21</v>
      </c>
      <c r="L611" s="2"/>
      <c r="M611" s="10" t="b">
        <f aca="false">TRUE()</f>
        <v>1</v>
      </c>
      <c r="N611" s="9" t="n">
        <f aca="false">IF(H611="","",IF(H611&gt;=Assumptions!$B$5,1,IF(H611&gt;=Assumptions!$B$6,2,IF(H611&gt;=Assumptions!$B$7,3,""))))</f>
        <v>1</v>
      </c>
      <c r="O611" s="9" t="n">
        <f aca="false">IF(N611=1,Assumptions!$B$8,IF(N611=2,Assumptions!$B$9,IF(N611=3,Assumptions!$B$10,0)))</f>
        <v>3</v>
      </c>
      <c r="P611" s="6" t="s">
        <v>30</v>
      </c>
      <c r="Q611" s="6" t="s">
        <v>30</v>
      </c>
      <c r="R611" s="11" t="s">
        <v>30</v>
      </c>
      <c r="S611" s="6" t="s">
        <v>30</v>
      </c>
      <c r="T611" s="11" t="s">
        <v>30</v>
      </c>
      <c r="U611" s="6" t="s">
        <v>30</v>
      </c>
      <c r="V611" s="6" t="s">
        <v>30</v>
      </c>
      <c r="W611" s="6" t="s">
        <v>30</v>
      </c>
      <c r="X611" s="2" t="s">
        <v>30</v>
      </c>
      <c r="Y611" s="6" t="str">
        <f aca="false">IF(AND(X611="processed",ISNUMBER(S611)),S611*O611,"")</f>
        <v/>
      </c>
      <c r="Z611" s="6" t="n">
        <f aca="false">IF(ISNUMBER(K611),K611*O611,0)</f>
        <v>63</v>
      </c>
      <c r="AA611" s="2" t="s">
        <v>31</v>
      </c>
      <c r="AB611" s="6" t="n">
        <v>2410</v>
      </c>
      <c r="AC611" s="6" t="n">
        <v>1791</v>
      </c>
      <c r="AD611" s="6" t="n">
        <v>49</v>
      </c>
      <c r="AE611" s="6" t="n">
        <v>1728.17443847656</v>
      </c>
      <c r="AF611" s="8" t="n">
        <v>856.634511603</v>
      </c>
      <c r="AG611" s="11" t="n">
        <v>-0.01588528146</v>
      </c>
      <c r="AH611" s="12" t="n">
        <v>1</v>
      </c>
      <c r="AI611" s="2" t="s">
        <v>319</v>
      </c>
      <c r="AJ611" s="2"/>
      <c r="AK611" s="2" t="s">
        <v>516</v>
      </c>
    </row>
    <row r="612" customFormat="false" ht="15" hidden="false" customHeight="false" outlineLevel="0" collapsed="false">
      <c r="A612" s="9" t="n">
        <v>608</v>
      </c>
      <c r="B612" s="2" t="s">
        <v>1482</v>
      </c>
      <c r="C612" s="2" t="s">
        <v>70</v>
      </c>
      <c r="D612" s="2" t="s">
        <v>70</v>
      </c>
      <c r="E612" s="2" t="s">
        <v>71</v>
      </c>
      <c r="F612" s="2" t="s">
        <v>1483</v>
      </c>
      <c r="G612" s="2" t="s">
        <v>329</v>
      </c>
      <c r="H612" s="8" t="n">
        <v>560.92594795345</v>
      </c>
      <c r="I612" s="2" t="s">
        <v>316</v>
      </c>
      <c r="J612" s="8" t="n">
        <v>576833.333333333</v>
      </c>
      <c r="K612" s="6" t="n">
        <v>60</v>
      </c>
      <c r="L612" s="2"/>
      <c r="M612" s="10" t="b">
        <f aca="false">TRUE()</f>
        <v>1</v>
      </c>
      <c r="N612" s="9" t="n">
        <f aca="false">IF(H612="","",IF(H612&gt;=Assumptions!$B$5,1,IF(H612&gt;=Assumptions!$B$6,2,IF(H612&gt;=Assumptions!$B$7,3,""))))</f>
        <v>3</v>
      </c>
      <c r="O612" s="9" t="n">
        <f aca="false">IF(N612=1,Assumptions!$B$8,IF(N612=2,Assumptions!$B$9,IF(N612=3,Assumptions!$B$10,0)))</f>
        <v>1</v>
      </c>
      <c r="P612" s="6" t="s">
        <v>30</v>
      </c>
      <c r="Q612" s="6" t="s">
        <v>30</v>
      </c>
      <c r="R612" s="11" t="s">
        <v>30</v>
      </c>
      <c r="S612" s="6" t="s">
        <v>30</v>
      </c>
      <c r="T612" s="11" t="s">
        <v>30</v>
      </c>
      <c r="U612" s="6" t="s">
        <v>30</v>
      </c>
      <c r="V612" s="6" t="s">
        <v>30</v>
      </c>
      <c r="W612" s="6" t="s">
        <v>30</v>
      </c>
      <c r="X612" s="2" t="s">
        <v>30</v>
      </c>
      <c r="Y612" s="6" t="str">
        <f aca="false">IF(AND(X612="processed",ISNUMBER(S612)),S612*O612,"")</f>
        <v/>
      </c>
      <c r="Z612" s="6" t="n">
        <f aca="false">IF(ISNUMBER(K612),K612*O612,0)</f>
        <v>60</v>
      </c>
      <c r="AA612" s="2" t="s">
        <v>31</v>
      </c>
      <c r="AB612" s="6" t="n">
        <v>15962</v>
      </c>
      <c r="AC612" s="6" t="n">
        <v>11725</v>
      </c>
      <c r="AD612" s="6" t="n">
        <v>251</v>
      </c>
      <c r="AE612" s="6" t="n">
        <v>1334.2138671875</v>
      </c>
      <c r="AF612" s="8" t="n">
        <v>562.947799386</v>
      </c>
      <c r="AG612" s="11" t="n">
        <v>0.04313212202</v>
      </c>
      <c r="AH612" s="12" t="n">
        <v>1</v>
      </c>
      <c r="AI612" s="2" t="s">
        <v>317</v>
      </c>
      <c r="AJ612" s="2" t="s">
        <v>70</v>
      </c>
      <c r="AK612" s="2" t="s">
        <v>70</v>
      </c>
    </row>
    <row r="613" customFormat="false" ht="15" hidden="false" customHeight="false" outlineLevel="0" collapsed="false">
      <c r="A613" s="9" t="n">
        <v>609</v>
      </c>
      <c r="B613" s="2" t="s">
        <v>1484</v>
      </c>
      <c r="C613" s="2" t="s">
        <v>1485</v>
      </c>
      <c r="D613" s="2" t="s">
        <v>70</v>
      </c>
      <c r="E613" s="2" t="s">
        <v>71</v>
      </c>
      <c r="F613" s="2"/>
      <c r="G613" s="2" t="s">
        <v>329</v>
      </c>
      <c r="H613" s="8" t="n">
        <v>559.825159002467</v>
      </c>
      <c r="I613" s="2" t="s">
        <v>316</v>
      </c>
      <c r="J613" s="8" t="n">
        <v>760241.666666667</v>
      </c>
      <c r="K613" s="6" t="n">
        <v>60</v>
      </c>
      <c r="L613" s="2"/>
      <c r="M613" s="10" t="b">
        <f aca="false">TRUE()</f>
        <v>1</v>
      </c>
      <c r="N613" s="9" t="n">
        <f aca="false">IF(H613="","",IF(H613&gt;=Assumptions!$B$5,1,IF(H613&gt;=Assumptions!$B$6,2,IF(H613&gt;=Assumptions!$B$7,3,""))))</f>
        <v>3</v>
      </c>
      <c r="O613" s="9" t="n">
        <f aca="false">IF(N613=1,Assumptions!$B$8,IF(N613=2,Assumptions!$B$9,IF(N613=3,Assumptions!$B$10,0)))</f>
        <v>1</v>
      </c>
      <c r="P613" s="6" t="s">
        <v>30</v>
      </c>
      <c r="Q613" s="6" t="s">
        <v>30</v>
      </c>
      <c r="R613" s="11" t="s">
        <v>30</v>
      </c>
      <c r="S613" s="6" t="s">
        <v>30</v>
      </c>
      <c r="T613" s="11" t="s">
        <v>30</v>
      </c>
      <c r="U613" s="6" t="s">
        <v>30</v>
      </c>
      <c r="V613" s="6" t="s">
        <v>30</v>
      </c>
      <c r="W613" s="6" t="s">
        <v>30</v>
      </c>
      <c r="X613" s="2" t="s">
        <v>30</v>
      </c>
      <c r="Y613" s="6" t="str">
        <f aca="false">IF(AND(X613="processed",ISNUMBER(S613)),S613*O613,"")</f>
        <v/>
      </c>
      <c r="Z613" s="6" t="n">
        <f aca="false">IF(ISNUMBER(K613),K613*O613,0)</f>
        <v>60</v>
      </c>
      <c r="AA613" s="2" t="s">
        <v>31</v>
      </c>
      <c r="AB613" s="6" t="n">
        <v>12952</v>
      </c>
      <c r="AC613" s="6" t="n">
        <v>10161</v>
      </c>
      <c r="AD613" s="6" t="n">
        <v>174</v>
      </c>
      <c r="AE613" s="6" t="n">
        <v>1593.20153808594</v>
      </c>
      <c r="AF613" s="8" t="n">
        <v>553.017632896</v>
      </c>
      <c r="AG613" s="11" t="n">
        <v>-0.1586758412</v>
      </c>
      <c r="AH613" s="12" t="n">
        <v>0.999999999999999</v>
      </c>
      <c r="AI613" s="2" t="s">
        <v>317</v>
      </c>
      <c r="AJ613" s="2" t="s">
        <v>1485</v>
      </c>
      <c r="AK613" s="2" t="s">
        <v>1485</v>
      </c>
    </row>
    <row r="614" customFormat="false" ht="15" hidden="false" customHeight="false" outlineLevel="0" collapsed="false">
      <c r="A614" s="9" t="n">
        <v>610</v>
      </c>
      <c r="B614" s="2" t="s">
        <v>1486</v>
      </c>
      <c r="C614" s="2" t="s">
        <v>1435</v>
      </c>
      <c r="D614" s="2" t="s">
        <v>70</v>
      </c>
      <c r="E614" s="2" t="s">
        <v>71</v>
      </c>
      <c r="F614" s="2" t="s">
        <v>1487</v>
      </c>
      <c r="G614" s="2" t="s">
        <v>329</v>
      </c>
      <c r="H614" s="8" t="n">
        <v>562.217571595233</v>
      </c>
      <c r="I614" s="2" t="s">
        <v>316</v>
      </c>
      <c r="J614" s="8" t="n">
        <v>743200</v>
      </c>
      <c r="K614" s="6" t="n">
        <v>60</v>
      </c>
      <c r="L614" s="2"/>
      <c r="M614" s="10" t="b">
        <f aca="false">TRUE()</f>
        <v>1</v>
      </c>
      <c r="N614" s="9" t="n">
        <f aca="false">IF(H614="","",IF(H614&gt;=Assumptions!$B$5,1,IF(H614&gt;=Assumptions!$B$6,2,IF(H614&gt;=Assumptions!$B$7,3,""))))</f>
        <v>3</v>
      </c>
      <c r="O614" s="9" t="n">
        <f aca="false">IF(N614=1,Assumptions!$B$8,IF(N614=2,Assumptions!$B$9,IF(N614=3,Assumptions!$B$10,0)))</f>
        <v>1</v>
      </c>
      <c r="P614" s="6" t="s">
        <v>30</v>
      </c>
      <c r="Q614" s="6" t="s">
        <v>30</v>
      </c>
      <c r="R614" s="11" t="s">
        <v>30</v>
      </c>
      <c r="S614" s="6" t="s">
        <v>30</v>
      </c>
      <c r="T614" s="11" t="s">
        <v>30</v>
      </c>
      <c r="U614" s="6" t="s">
        <v>30</v>
      </c>
      <c r="V614" s="6" t="s">
        <v>30</v>
      </c>
      <c r="W614" s="6" t="s">
        <v>30</v>
      </c>
      <c r="X614" s="2" t="s">
        <v>30</v>
      </c>
      <c r="Y614" s="6" t="str">
        <f aca="false">IF(AND(X614="processed",ISNUMBER(S614)),S614*O614,"")</f>
        <v/>
      </c>
      <c r="Z614" s="6" t="n">
        <f aca="false">IF(ISNUMBER(K614),K614*O614,0)</f>
        <v>60</v>
      </c>
      <c r="AA614" s="2" t="s">
        <v>31</v>
      </c>
      <c r="AB614" s="6" t="n">
        <v>12378</v>
      </c>
      <c r="AC614" s="6" t="n">
        <v>7986</v>
      </c>
      <c r="AD614" s="6" t="n">
        <v>199</v>
      </c>
      <c r="AE614" s="6" t="n">
        <v>1765.19360351563</v>
      </c>
      <c r="AF614" s="8" t="n">
        <v>565.748525572</v>
      </c>
      <c r="AG614" s="11" t="n">
        <v>-0.1093087315</v>
      </c>
      <c r="AH614" s="12" t="n">
        <v>1</v>
      </c>
      <c r="AI614" s="2" t="s">
        <v>317</v>
      </c>
      <c r="AJ614" s="2" t="s">
        <v>1435</v>
      </c>
      <c r="AK614" s="2" t="s">
        <v>1435</v>
      </c>
    </row>
    <row r="615" customFormat="false" ht="15" hidden="false" customHeight="false" outlineLevel="0" collapsed="false">
      <c r="A615" s="9" t="n">
        <v>611</v>
      </c>
      <c r="B615" s="2" t="s">
        <v>1488</v>
      </c>
      <c r="C615" s="2" t="s">
        <v>38</v>
      </c>
      <c r="D615" s="2" t="s">
        <v>39</v>
      </c>
      <c r="E615" s="2" t="s">
        <v>40</v>
      </c>
      <c r="F615" s="2" t="s">
        <v>1489</v>
      </c>
      <c r="G615" s="2" t="s">
        <v>320</v>
      </c>
      <c r="H615" s="8" t="n">
        <v>718.8874763807</v>
      </c>
      <c r="I615" s="2" t="s">
        <v>337</v>
      </c>
      <c r="J615" s="8" t="n">
        <v>863200</v>
      </c>
      <c r="K615" s="6" t="n">
        <v>20</v>
      </c>
      <c r="L615" s="2"/>
      <c r="M615" s="10" t="b">
        <f aca="false">TRUE()</f>
        <v>1</v>
      </c>
      <c r="N615" s="9" t="n">
        <f aca="false">IF(H615="","",IF(H615&gt;=Assumptions!$B$5,1,IF(H615&gt;=Assumptions!$B$6,2,IF(H615&gt;=Assumptions!$B$7,3,""))))</f>
        <v>1</v>
      </c>
      <c r="O615" s="9" t="n">
        <f aca="false">IF(N615=1,Assumptions!$B$8,IF(N615=2,Assumptions!$B$9,IF(N615=3,Assumptions!$B$10,0)))</f>
        <v>3</v>
      </c>
      <c r="P615" s="6" t="s">
        <v>30</v>
      </c>
      <c r="Q615" s="6" t="s">
        <v>30</v>
      </c>
      <c r="R615" s="11" t="s">
        <v>30</v>
      </c>
      <c r="S615" s="6" t="s">
        <v>30</v>
      </c>
      <c r="T615" s="11" t="s">
        <v>30</v>
      </c>
      <c r="U615" s="6" t="s">
        <v>30</v>
      </c>
      <c r="V615" s="6" t="s">
        <v>30</v>
      </c>
      <c r="W615" s="6" t="s">
        <v>30</v>
      </c>
      <c r="X615" s="2" t="s">
        <v>30</v>
      </c>
      <c r="Y615" s="6" t="str">
        <f aca="false">IF(AND(X615="processed",ISNUMBER(S615)),S615*O615,"")</f>
        <v/>
      </c>
      <c r="Z615" s="6" t="n">
        <f aca="false">IF(ISNUMBER(K615),K615*O615,0)</f>
        <v>60</v>
      </c>
      <c r="AA615" s="2" t="s">
        <v>31</v>
      </c>
      <c r="AB615" s="6" t="n">
        <v>266</v>
      </c>
      <c r="AC615" s="6" t="n">
        <v>128</v>
      </c>
      <c r="AD615" s="6" t="n">
        <v>5</v>
      </c>
      <c r="AE615" s="6" t="n">
        <v>2807.48779296875</v>
      </c>
      <c r="AF615" s="8"/>
      <c r="AG615" s="11"/>
      <c r="AH615" s="12" t="n">
        <v>1</v>
      </c>
      <c r="AI615" s="2" t="s">
        <v>317</v>
      </c>
      <c r="AJ615" s="2" t="s">
        <v>38</v>
      </c>
      <c r="AK615" s="2" t="s">
        <v>38</v>
      </c>
    </row>
    <row r="616" customFormat="false" ht="15" hidden="false" customHeight="false" outlineLevel="0" collapsed="false">
      <c r="A616" s="9" t="n">
        <v>612</v>
      </c>
      <c r="B616" s="2" t="s">
        <v>1490</v>
      </c>
      <c r="C616" s="2" t="s">
        <v>1491</v>
      </c>
      <c r="D616" s="2" t="s">
        <v>50</v>
      </c>
      <c r="E616" s="2" t="s">
        <v>51</v>
      </c>
      <c r="F616" s="2"/>
      <c r="G616" s="2" t="s">
        <v>1492</v>
      </c>
      <c r="H616" s="8" t="n">
        <v>609.720636832367</v>
      </c>
      <c r="I616" s="2" t="s">
        <v>316</v>
      </c>
      <c r="J616" s="8" t="n">
        <v>911033.333333333</v>
      </c>
      <c r="K616" s="6" t="n">
        <v>30</v>
      </c>
      <c r="L616" s="2"/>
      <c r="M616" s="10" t="b">
        <f aca="false">TRUE()</f>
        <v>1</v>
      </c>
      <c r="N616" s="9" t="n">
        <f aca="false">IF(H616="","",IF(H616&gt;=Assumptions!$B$5,1,IF(H616&gt;=Assumptions!$B$6,2,IF(H616&gt;=Assumptions!$B$7,3,""))))</f>
        <v>2</v>
      </c>
      <c r="O616" s="9" t="n">
        <f aca="false">IF(N616=1,Assumptions!$B$8,IF(N616=2,Assumptions!$B$9,IF(N616=3,Assumptions!$B$10,0)))</f>
        <v>2</v>
      </c>
      <c r="P616" s="6" t="s">
        <v>30</v>
      </c>
      <c r="Q616" s="6" t="s">
        <v>30</v>
      </c>
      <c r="R616" s="11" t="s">
        <v>30</v>
      </c>
      <c r="S616" s="6" t="s">
        <v>30</v>
      </c>
      <c r="T616" s="11" t="s">
        <v>30</v>
      </c>
      <c r="U616" s="6" t="s">
        <v>30</v>
      </c>
      <c r="V616" s="6" t="s">
        <v>30</v>
      </c>
      <c r="W616" s="6" t="s">
        <v>30</v>
      </c>
      <c r="X616" s="2" t="s">
        <v>30</v>
      </c>
      <c r="Y616" s="6" t="str">
        <f aca="false">IF(AND(X616="processed",ISNUMBER(S616)),S616*O616,"")</f>
        <v/>
      </c>
      <c r="Z616" s="6" t="n">
        <f aca="false">IF(ISNUMBER(K616),K616*O616,0)</f>
        <v>60</v>
      </c>
      <c r="AA616" s="2" t="s">
        <v>31</v>
      </c>
      <c r="AB616" s="6" t="n">
        <v>55</v>
      </c>
      <c r="AC616" s="6" t="n">
        <v>47</v>
      </c>
      <c r="AD616" s="6" t="n">
        <v>3</v>
      </c>
      <c r="AE616" s="6" t="n">
        <v>2287.71801757813</v>
      </c>
      <c r="AF616" s="8" t="n">
        <v>543.402777778</v>
      </c>
      <c r="AG616" s="11" t="n">
        <v>0.08478359173</v>
      </c>
      <c r="AH616" s="12" t="n">
        <v>1</v>
      </c>
      <c r="AI616" s="2" t="s">
        <v>317</v>
      </c>
      <c r="AJ616" s="2" t="s">
        <v>1491</v>
      </c>
      <c r="AK616" s="2" t="s">
        <v>1491</v>
      </c>
    </row>
    <row r="617" customFormat="false" ht="15" hidden="false" customHeight="false" outlineLevel="0" collapsed="false">
      <c r="A617" s="9" t="n">
        <v>613</v>
      </c>
      <c r="B617" s="2" t="s">
        <v>1493</v>
      </c>
      <c r="C617" s="2" t="s">
        <v>1494</v>
      </c>
      <c r="D617" s="2" t="s">
        <v>50</v>
      </c>
      <c r="E617" s="2" t="s">
        <v>51</v>
      </c>
      <c r="F617" s="2"/>
      <c r="G617" s="2" t="s">
        <v>1492</v>
      </c>
      <c r="H617" s="8" t="n">
        <v>609.720636832367</v>
      </c>
      <c r="I617" s="2" t="s">
        <v>316</v>
      </c>
      <c r="J617" s="8" t="n">
        <v>911033.333333333</v>
      </c>
      <c r="K617" s="6" t="n">
        <v>30</v>
      </c>
      <c r="L617" s="2"/>
      <c r="M617" s="10" t="b">
        <f aca="false">TRUE()</f>
        <v>1</v>
      </c>
      <c r="N617" s="9" t="n">
        <f aca="false">IF(H617="","",IF(H617&gt;=Assumptions!$B$5,1,IF(H617&gt;=Assumptions!$B$6,2,IF(H617&gt;=Assumptions!$B$7,3,""))))</f>
        <v>2</v>
      </c>
      <c r="O617" s="9" t="n">
        <f aca="false">IF(N617=1,Assumptions!$B$8,IF(N617=2,Assumptions!$B$9,IF(N617=3,Assumptions!$B$10,0)))</f>
        <v>2</v>
      </c>
      <c r="P617" s="6" t="s">
        <v>30</v>
      </c>
      <c r="Q617" s="6" t="s">
        <v>30</v>
      </c>
      <c r="R617" s="11" t="s">
        <v>30</v>
      </c>
      <c r="S617" s="6" t="s">
        <v>30</v>
      </c>
      <c r="T617" s="11" t="s">
        <v>30</v>
      </c>
      <c r="U617" s="6" t="s">
        <v>30</v>
      </c>
      <c r="V617" s="6" t="s">
        <v>30</v>
      </c>
      <c r="W617" s="6" t="s">
        <v>30</v>
      </c>
      <c r="X617" s="2" t="s">
        <v>30</v>
      </c>
      <c r="Y617" s="6" t="str">
        <f aca="false">IF(AND(X617="processed",ISNUMBER(S617)),S617*O617,"")</f>
        <v/>
      </c>
      <c r="Z617" s="6" t="n">
        <f aca="false">IF(ISNUMBER(K617),K617*O617,0)</f>
        <v>60</v>
      </c>
      <c r="AA617" s="2" t="s">
        <v>31</v>
      </c>
      <c r="AB617" s="6" t="n">
        <v>1168</v>
      </c>
      <c r="AC617" s="6" t="n">
        <v>1048</v>
      </c>
      <c r="AD617" s="6" t="n">
        <v>44</v>
      </c>
      <c r="AE617" s="6" t="n">
        <v>1289.90234375</v>
      </c>
      <c r="AF617" s="8" t="n">
        <v>543.402777778</v>
      </c>
      <c r="AG617" s="11" t="n">
        <v>0.08478359173</v>
      </c>
      <c r="AH617" s="12" t="n">
        <v>0.557159951523322</v>
      </c>
      <c r="AI617" s="2" t="s">
        <v>350</v>
      </c>
      <c r="AJ617" s="2" t="s">
        <v>1494</v>
      </c>
      <c r="AK617" s="2" t="s">
        <v>1495</v>
      </c>
    </row>
    <row r="618" customFormat="false" ht="15" hidden="false" customHeight="false" outlineLevel="0" collapsed="false">
      <c r="A618" s="9" t="n">
        <v>614</v>
      </c>
      <c r="B618" s="2" t="s">
        <v>1496</v>
      </c>
      <c r="C618" s="2" t="s">
        <v>1497</v>
      </c>
      <c r="D618" s="2" t="s">
        <v>380</v>
      </c>
      <c r="E618" s="2" t="s">
        <v>51</v>
      </c>
      <c r="F618" s="2"/>
      <c r="G618" s="2" t="s">
        <v>381</v>
      </c>
      <c r="H618" s="8" t="n">
        <v>2005.63260861305</v>
      </c>
      <c r="I618" s="2" t="s">
        <v>316</v>
      </c>
      <c r="J618" s="8" t="n">
        <v>2834842.10526316</v>
      </c>
      <c r="K618" s="6" t="n">
        <v>19</v>
      </c>
      <c r="L618" s="2"/>
      <c r="M618" s="10" t="b">
        <f aca="false">TRUE()</f>
        <v>1</v>
      </c>
      <c r="N618" s="9" t="n">
        <f aca="false">IF(H618="","",IF(H618&gt;=Assumptions!$B$5,1,IF(H618&gt;=Assumptions!$B$6,2,IF(H618&gt;=Assumptions!$B$7,3,""))))</f>
        <v>1</v>
      </c>
      <c r="O618" s="9" t="n">
        <f aca="false">IF(N618=1,Assumptions!$B$8,IF(N618=2,Assumptions!$B$9,IF(N618=3,Assumptions!$B$10,0)))</f>
        <v>3</v>
      </c>
      <c r="P618" s="6" t="s">
        <v>30</v>
      </c>
      <c r="Q618" s="6" t="s">
        <v>30</v>
      </c>
      <c r="R618" s="11" t="s">
        <v>30</v>
      </c>
      <c r="S618" s="6" t="s">
        <v>30</v>
      </c>
      <c r="T618" s="11" t="s">
        <v>30</v>
      </c>
      <c r="U618" s="6" t="s">
        <v>30</v>
      </c>
      <c r="V618" s="6" t="s">
        <v>30</v>
      </c>
      <c r="W618" s="6" t="s">
        <v>30</v>
      </c>
      <c r="X618" s="2" t="s">
        <v>30</v>
      </c>
      <c r="Y618" s="6" t="str">
        <f aca="false">IF(AND(X618="processed",ISNUMBER(S618)),S618*O618,"")</f>
        <v/>
      </c>
      <c r="Z618" s="6" t="n">
        <f aca="false">IF(ISNUMBER(K618),K618*O618,0)</f>
        <v>57</v>
      </c>
      <c r="AA618" s="2" t="s">
        <v>31</v>
      </c>
      <c r="AB618" s="6" t="n">
        <v>3661</v>
      </c>
      <c r="AC618" s="6" t="n">
        <v>3019</v>
      </c>
      <c r="AD618" s="6" t="n">
        <v>48</v>
      </c>
      <c r="AE618" s="6" t="n">
        <v>1643.67065429688</v>
      </c>
      <c r="AF618" s="8" t="n">
        <v>2445.328031809</v>
      </c>
      <c r="AG618" s="11" t="n">
        <v>0.1542207141</v>
      </c>
      <c r="AH618" s="12" t="n">
        <v>0.926004793174607</v>
      </c>
      <c r="AI618" s="2" t="s">
        <v>435</v>
      </c>
      <c r="AJ618" s="2" t="s">
        <v>1497</v>
      </c>
      <c r="AK618" s="2" t="s">
        <v>382</v>
      </c>
    </row>
    <row r="619" customFormat="false" ht="15" hidden="false" customHeight="false" outlineLevel="0" collapsed="false">
      <c r="A619" s="9" t="n">
        <v>615</v>
      </c>
      <c r="B619" s="2" t="s">
        <v>1498</v>
      </c>
      <c r="C619" s="2" t="s">
        <v>516</v>
      </c>
      <c r="D619" s="2" t="s">
        <v>34</v>
      </c>
      <c r="E619" s="2" t="s">
        <v>35</v>
      </c>
      <c r="F619" s="2" t="s">
        <v>1499</v>
      </c>
      <c r="G619" s="2" t="s">
        <v>318</v>
      </c>
      <c r="H619" s="8" t="n">
        <v>952.356786559211</v>
      </c>
      <c r="I619" s="2" t="s">
        <v>316</v>
      </c>
      <c r="J619" s="8" t="n">
        <v>1737026.31578947</v>
      </c>
      <c r="K619" s="6" t="n">
        <v>19</v>
      </c>
      <c r="L619" s="2"/>
      <c r="M619" s="10" t="b">
        <f aca="false">TRUE()</f>
        <v>1</v>
      </c>
      <c r="N619" s="9" t="n">
        <f aca="false">IF(H619="","",IF(H619&gt;=Assumptions!$B$5,1,IF(H619&gt;=Assumptions!$B$6,2,IF(H619&gt;=Assumptions!$B$7,3,""))))</f>
        <v>1</v>
      </c>
      <c r="O619" s="9" t="n">
        <f aca="false">IF(N619=1,Assumptions!$B$8,IF(N619=2,Assumptions!$B$9,IF(N619=3,Assumptions!$B$10,0)))</f>
        <v>3</v>
      </c>
      <c r="P619" s="6" t="s">
        <v>30</v>
      </c>
      <c r="Q619" s="6" t="s">
        <v>30</v>
      </c>
      <c r="R619" s="11" t="s">
        <v>30</v>
      </c>
      <c r="S619" s="6" t="s">
        <v>30</v>
      </c>
      <c r="T619" s="11" t="s">
        <v>30</v>
      </c>
      <c r="U619" s="6" t="s">
        <v>30</v>
      </c>
      <c r="V619" s="6" t="s">
        <v>30</v>
      </c>
      <c r="W619" s="6" t="s">
        <v>30</v>
      </c>
      <c r="X619" s="2" t="s">
        <v>30</v>
      </c>
      <c r="Y619" s="6" t="str">
        <f aca="false">IF(AND(X619="processed",ISNUMBER(S619)),S619*O619,"")</f>
        <v/>
      </c>
      <c r="Z619" s="6" t="n">
        <f aca="false">IF(ISNUMBER(K619),K619*O619,0)</f>
        <v>57</v>
      </c>
      <c r="AA619" s="2" t="s">
        <v>31</v>
      </c>
      <c r="AB619" s="6" t="n">
        <v>2246</v>
      </c>
      <c r="AC619" s="6" t="n">
        <v>1855</v>
      </c>
      <c r="AD619" s="6" t="n">
        <v>11</v>
      </c>
      <c r="AE619" s="6" t="n">
        <v>1579.43713378906</v>
      </c>
      <c r="AF619" s="8" t="n">
        <v>1132.120582121</v>
      </c>
      <c r="AG619" s="11" t="n">
        <v>0.2747677755</v>
      </c>
      <c r="AH619" s="12" t="n">
        <v>0.999999999999999</v>
      </c>
      <c r="AI619" s="2" t="s">
        <v>319</v>
      </c>
      <c r="AJ619" s="2"/>
      <c r="AK619" s="2" t="s">
        <v>516</v>
      </c>
    </row>
    <row r="620" customFormat="false" ht="15" hidden="false" customHeight="false" outlineLevel="0" collapsed="false">
      <c r="A620" s="9" t="n">
        <v>616</v>
      </c>
      <c r="B620" s="2" t="s">
        <v>1500</v>
      </c>
      <c r="C620" s="2" t="s">
        <v>1390</v>
      </c>
      <c r="D620" s="2" t="s">
        <v>70</v>
      </c>
      <c r="E620" s="2" t="s">
        <v>71</v>
      </c>
      <c r="F620" s="2"/>
      <c r="G620" s="2" t="s">
        <v>329</v>
      </c>
      <c r="H620" s="8" t="n">
        <v>689.771326791259</v>
      </c>
      <c r="I620" s="2" t="s">
        <v>316</v>
      </c>
      <c r="J620" s="8" t="n">
        <v>738425.925925926</v>
      </c>
      <c r="K620" s="6" t="n">
        <v>27</v>
      </c>
      <c r="L620" s="2"/>
      <c r="M620" s="10" t="b">
        <f aca="false">TRUE()</f>
        <v>1</v>
      </c>
      <c r="N620" s="9" t="n">
        <f aca="false">IF(H620="","",IF(H620&gt;=Assumptions!$B$5,1,IF(H620&gt;=Assumptions!$B$6,2,IF(H620&gt;=Assumptions!$B$7,3,""))))</f>
        <v>2</v>
      </c>
      <c r="O620" s="9" t="n">
        <f aca="false">IF(N620=1,Assumptions!$B$8,IF(N620=2,Assumptions!$B$9,IF(N620=3,Assumptions!$B$10,0)))</f>
        <v>2</v>
      </c>
      <c r="P620" s="6" t="s">
        <v>30</v>
      </c>
      <c r="Q620" s="6" t="s">
        <v>30</v>
      </c>
      <c r="R620" s="11" t="s">
        <v>30</v>
      </c>
      <c r="S620" s="6" t="s">
        <v>30</v>
      </c>
      <c r="T620" s="11" t="s">
        <v>30</v>
      </c>
      <c r="U620" s="6" t="s">
        <v>30</v>
      </c>
      <c r="V620" s="6" t="s">
        <v>30</v>
      </c>
      <c r="W620" s="6" t="s">
        <v>30</v>
      </c>
      <c r="X620" s="2" t="s">
        <v>30</v>
      </c>
      <c r="Y620" s="6" t="str">
        <f aca="false">IF(AND(X620="processed",ISNUMBER(S620)),S620*O620,"")</f>
        <v/>
      </c>
      <c r="Z620" s="6" t="n">
        <f aca="false">IF(ISNUMBER(K620),K620*O620,0)</f>
        <v>54</v>
      </c>
      <c r="AA620" s="2" t="s">
        <v>31</v>
      </c>
      <c r="AB620" s="6" t="n">
        <v>8052</v>
      </c>
      <c r="AC620" s="6" t="n">
        <v>6142</v>
      </c>
      <c r="AD620" s="6" t="n">
        <v>171</v>
      </c>
      <c r="AE620" s="6" t="n">
        <v>1609.7333984375</v>
      </c>
      <c r="AF620" s="8" t="n">
        <v>658.914728682</v>
      </c>
      <c r="AG620" s="11" t="n">
        <v>-0.009961174948</v>
      </c>
      <c r="AH620" s="12" t="n">
        <v>1</v>
      </c>
      <c r="AI620" s="2" t="s">
        <v>317</v>
      </c>
      <c r="AJ620" s="2" t="s">
        <v>1390</v>
      </c>
      <c r="AK620" s="2" t="s">
        <v>1390</v>
      </c>
    </row>
    <row r="621" customFormat="false" ht="15" hidden="false" customHeight="false" outlineLevel="0" collapsed="false">
      <c r="A621" s="9" t="n">
        <v>617</v>
      </c>
      <c r="B621" s="2" t="s">
        <v>1501</v>
      </c>
      <c r="C621" s="2" t="s">
        <v>1502</v>
      </c>
      <c r="D621" s="2" t="s">
        <v>190</v>
      </c>
      <c r="E621" s="2" t="s">
        <v>51</v>
      </c>
      <c r="F621" s="2"/>
      <c r="G621" s="2" t="s">
        <v>336</v>
      </c>
      <c r="H621" s="8" t="n">
        <v>529.639387210132</v>
      </c>
      <c r="I621" s="2" t="s">
        <v>316</v>
      </c>
      <c r="J621" s="8" t="n">
        <v>884669.811320755</v>
      </c>
      <c r="K621" s="6" t="n">
        <v>53</v>
      </c>
      <c r="L621" s="2"/>
      <c r="M621" s="10" t="b">
        <f aca="false">TRUE()</f>
        <v>1</v>
      </c>
      <c r="N621" s="9" t="n">
        <f aca="false">IF(H621="","",IF(H621&gt;=Assumptions!$B$5,1,IF(H621&gt;=Assumptions!$B$6,2,IF(H621&gt;=Assumptions!$B$7,3,""))))</f>
        <v>3</v>
      </c>
      <c r="O621" s="9" t="n">
        <f aca="false">IF(N621=1,Assumptions!$B$8,IF(N621=2,Assumptions!$B$9,IF(N621=3,Assumptions!$B$10,0)))</f>
        <v>1</v>
      </c>
      <c r="P621" s="6" t="s">
        <v>30</v>
      </c>
      <c r="Q621" s="6" t="s">
        <v>30</v>
      </c>
      <c r="R621" s="11" t="s">
        <v>30</v>
      </c>
      <c r="S621" s="6" t="s">
        <v>30</v>
      </c>
      <c r="T621" s="11" t="s">
        <v>30</v>
      </c>
      <c r="U621" s="6" t="s">
        <v>30</v>
      </c>
      <c r="V621" s="6" t="s">
        <v>30</v>
      </c>
      <c r="W621" s="6" t="s">
        <v>30</v>
      </c>
      <c r="X621" s="2" t="s">
        <v>30</v>
      </c>
      <c r="Y621" s="6" t="str">
        <f aca="false">IF(AND(X621="processed",ISNUMBER(S621)),S621*O621,"")</f>
        <v/>
      </c>
      <c r="Z621" s="6" t="n">
        <f aca="false">IF(ISNUMBER(K621),K621*O621,0)</f>
        <v>53</v>
      </c>
      <c r="AA621" s="2" t="s">
        <v>31</v>
      </c>
      <c r="AB621" s="6" t="n">
        <v>5477</v>
      </c>
      <c r="AC621" s="6" t="n">
        <v>3830</v>
      </c>
      <c r="AD621" s="6" t="n">
        <v>161</v>
      </c>
      <c r="AE621" s="6" t="n">
        <v>1870.91235351563</v>
      </c>
      <c r="AF621" s="8" t="n">
        <v>501.272264631</v>
      </c>
      <c r="AG621" s="11" t="n">
        <v>0.04935664939</v>
      </c>
      <c r="AH621" s="12" t="n">
        <v>1</v>
      </c>
      <c r="AI621" s="2" t="s">
        <v>317</v>
      </c>
      <c r="AJ621" s="2" t="s">
        <v>1502</v>
      </c>
      <c r="AK621" s="2" t="s">
        <v>1502</v>
      </c>
    </row>
    <row r="622" customFormat="false" ht="15" hidden="false" customHeight="false" outlineLevel="0" collapsed="false">
      <c r="A622" s="9" t="n">
        <v>618</v>
      </c>
      <c r="B622" s="2" t="s">
        <v>1503</v>
      </c>
      <c r="C622" s="2" t="s">
        <v>70</v>
      </c>
      <c r="D622" s="2" t="s">
        <v>70</v>
      </c>
      <c r="E622" s="2" t="s">
        <v>71</v>
      </c>
      <c r="F622" s="2" t="s">
        <v>1504</v>
      </c>
      <c r="G622" s="2" t="s">
        <v>329</v>
      </c>
      <c r="H622" s="8" t="n">
        <v>580.029103152692</v>
      </c>
      <c r="I622" s="2" t="s">
        <v>316</v>
      </c>
      <c r="J622" s="8" t="n">
        <v>633019.230769231</v>
      </c>
      <c r="K622" s="6" t="n">
        <v>52</v>
      </c>
      <c r="L622" s="2"/>
      <c r="M622" s="10" t="b">
        <f aca="false">TRUE()</f>
        <v>1</v>
      </c>
      <c r="N622" s="9" t="n">
        <f aca="false">IF(H622="","",IF(H622&gt;=Assumptions!$B$5,1,IF(H622&gt;=Assumptions!$B$6,2,IF(H622&gt;=Assumptions!$B$7,3,""))))</f>
        <v>3</v>
      </c>
      <c r="O622" s="9" t="n">
        <f aca="false">IF(N622=1,Assumptions!$B$8,IF(N622=2,Assumptions!$B$9,IF(N622=3,Assumptions!$B$10,0)))</f>
        <v>1</v>
      </c>
      <c r="P622" s="6" t="s">
        <v>30</v>
      </c>
      <c r="Q622" s="6" t="s">
        <v>30</v>
      </c>
      <c r="R622" s="11" t="s">
        <v>30</v>
      </c>
      <c r="S622" s="6" t="s">
        <v>30</v>
      </c>
      <c r="T622" s="11" t="s">
        <v>30</v>
      </c>
      <c r="U622" s="6" t="s">
        <v>30</v>
      </c>
      <c r="V622" s="6" t="s">
        <v>30</v>
      </c>
      <c r="W622" s="6" t="s">
        <v>30</v>
      </c>
      <c r="X622" s="2" t="s">
        <v>30</v>
      </c>
      <c r="Y622" s="6" t="str">
        <f aca="false">IF(AND(X622="processed",ISNUMBER(S622)),S622*O622,"")</f>
        <v/>
      </c>
      <c r="Z622" s="6" t="n">
        <f aca="false">IF(ISNUMBER(K622),K622*O622,0)</f>
        <v>52</v>
      </c>
      <c r="AA622" s="2" t="s">
        <v>31</v>
      </c>
      <c r="AB622" s="6" t="n">
        <v>9011</v>
      </c>
      <c r="AC622" s="6" t="n">
        <v>6091</v>
      </c>
      <c r="AD622" s="6" t="n">
        <v>205</v>
      </c>
      <c r="AE622" s="6" t="n">
        <v>1496.98132324219</v>
      </c>
      <c r="AF622" s="8" t="n">
        <v>543.584369679</v>
      </c>
      <c r="AG622" s="11" t="n">
        <v>-0.04716410783</v>
      </c>
      <c r="AH622" s="12" t="n">
        <v>1</v>
      </c>
      <c r="AI622" s="2" t="s">
        <v>317</v>
      </c>
      <c r="AJ622" s="2" t="s">
        <v>70</v>
      </c>
      <c r="AK622" s="2" t="s">
        <v>1332</v>
      </c>
    </row>
    <row r="623" customFormat="false" ht="15" hidden="false" customHeight="false" outlineLevel="0" collapsed="false">
      <c r="A623" s="9" t="n">
        <v>619</v>
      </c>
      <c r="B623" s="2" t="s">
        <v>1505</v>
      </c>
      <c r="C623" s="2" t="s">
        <v>1506</v>
      </c>
      <c r="D623" s="2" t="s">
        <v>70</v>
      </c>
      <c r="E623" s="2" t="s">
        <v>71</v>
      </c>
      <c r="F623" s="2" t="s">
        <v>1507</v>
      </c>
      <c r="G623" s="2" t="s">
        <v>329</v>
      </c>
      <c r="H623" s="8" t="n">
        <v>527.393985645808</v>
      </c>
      <c r="I623" s="2" t="s">
        <v>316</v>
      </c>
      <c r="J623" s="8" t="n">
        <v>702211.538461539</v>
      </c>
      <c r="K623" s="6" t="n">
        <v>52</v>
      </c>
      <c r="L623" s="2"/>
      <c r="M623" s="10" t="b">
        <f aca="false">TRUE()</f>
        <v>1</v>
      </c>
      <c r="N623" s="9" t="n">
        <f aca="false">IF(H623="","",IF(H623&gt;=Assumptions!$B$5,1,IF(H623&gt;=Assumptions!$B$6,2,IF(H623&gt;=Assumptions!$B$7,3,""))))</f>
        <v>3</v>
      </c>
      <c r="O623" s="9" t="n">
        <f aca="false">IF(N623=1,Assumptions!$B$8,IF(N623=2,Assumptions!$B$9,IF(N623=3,Assumptions!$B$10,0)))</f>
        <v>1</v>
      </c>
      <c r="P623" s="6" t="s">
        <v>30</v>
      </c>
      <c r="Q623" s="6" t="s">
        <v>30</v>
      </c>
      <c r="R623" s="11" t="s">
        <v>30</v>
      </c>
      <c r="S623" s="6" t="s">
        <v>30</v>
      </c>
      <c r="T623" s="11" t="s">
        <v>30</v>
      </c>
      <c r="U623" s="6" t="s">
        <v>30</v>
      </c>
      <c r="V623" s="6" t="s">
        <v>30</v>
      </c>
      <c r="W623" s="6" t="s">
        <v>30</v>
      </c>
      <c r="X623" s="2" t="s">
        <v>30</v>
      </c>
      <c r="Y623" s="6" t="str">
        <f aca="false">IF(AND(X623="processed",ISNUMBER(S623)),S623*O623,"")</f>
        <v/>
      </c>
      <c r="Z623" s="6" t="n">
        <f aca="false">IF(ISNUMBER(K623),K623*O623,0)</f>
        <v>52</v>
      </c>
      <c r="AA623" s="2" t="s">
        <v>31</v>
      </c>
      <c r="AB623" s="6" t="n">
        <v>17209</v>
      </c>
      <c r="AC623" s="6" t="n">
        <v>12974</v>
      </c>
      <c r="AD623" s="6" t="n">
        <v>195</v>
      </c>
      <c r="AE623" s="6" t="n">
        <v>1450.51647949219</v>
      </c>
      <c r="AF623" s="8" t="n">
        <v>554.081332947</v>
      </c>
      <c r="AG623" s="11" t="n">
        <v>-0.05394124268</v>
      </c>
      <c r="AH623" s="12" t="n">
        <v>1</v>
      </c>
      <c r="AI623" s="2" t="s">
        <v>317</v>
      </c>
      <c r="AJ623" s="2" t="s">
        <v>1506</v>
      </c>
      <c r="AK623" s="2" t="s">
        <v>1506</v>
      </c>
    </row>
    <row r="624" customFormat="false" ht="15" hidden="false" customHeight="false" outlineLevel="0" collapsed="false">
      <c r="A624" s="9" t="n">
        <v>620</v>
      </c>
      <c r="B624" s="2" t="s">
        <v>1508</v>
      </c>
      <c r="C624" s="2" t="s">
        <v>679</v>
      </c>
      <c r="D624" s="2" t="s">
        <v>70</v>
      </c>
      <c r="E624" s="2" t="s">
        <v>71</v>
      </c>
      <c r="F624" s="2"/>
      <c r="G624" s="2" t="s">
        <v>329</v>
      </c>
      <c r="H624" s="8" t="n">
        <v>1243.83802505453</v>
      </c>
      <c r="I624" s="2" t="s">
        <v>316</v>
      </c>
      <c r="J624" s="8" t="n">
        <v>1831000</v>
      </c>
      <c r="K624" s="6" t="n">
        <v>17</v>
      </c>
      <c r="L624" s="2"/>
      <c r="M624" s="10" t="b">
        <f aca="false">TRUE()</f>
        <v>1</v>
      </c>
      <c r="N624" s="9" t="n">
        <f aca="false">IF(H624="","",IF(H624&gt;=Assumptions!$B$5,1,IF(H624&gt;=Assumptions!$B$6,2,IF(H624&gt;=Assumptions!$B$7,3,""))))</f>
        <v>1</v>
      </c>
      <c r="O624" s="9" t="n">
        <f aca="false">IF(N624=1,Assumptions!$B$8,IF(N624=2,Assumptions!$B$9,IF(N624=3,Assumptions!$B$10,0)))</f>
        <v>3</v>
      </c>
      <c r="P624" s="6" t="s">
        <v>30</v>
      </c>
      <c r="Q624" s="6" t="s">
        <v>30</v>
      </c>
      <c r="R624" s="11" t="s">
        <v>30</v>
      </c>
      <c r="S624" s="6" t="s">
        <v>30</v>
      </c>
      <c r="T624" s="11" t="s">
        <v>30</v>
      </c>
      <c r="U624" s="6" t="s">
        <v>30</v>
      </c>
      <c r="V624" s="6" t="s">
        <v>30</v>
      </c>
      <c r="W624" s="6" t="s">
        <v>30</v>
      </c>
      <c r="X624" s="2" t="s">
        <v>30</v>
      </c>
      <c r="Y624" s="6" t="str">
        <f aca="false">IF(AND(X624="processed",ISNUMBER(S624)),S624*O624,"")</f>
        <v/>
      </c>
      <c r="Z624" s="6" t="n">
        <f aca="false">IF(ISNUMBER(K624),K624*O624,0)</f>
        <v>51</v>
      </c>
      <c r="AA624" s="2" t="s">
        <v>31</v>
      </c>
      <c r="AB624" s="6" t="n">
        <v>4571</v>
      </c>
      <c r="AC624" s="6" t="n">
        <v>3319</v>
      </c>
      <c r="AD624" s="6" t="n">
        <v>32</v>
      </c>
      <c r="AE624" s="6" t="n">
        <v>1841.40173339844</v>
      </c>
      <c r="AF624" s="8" t="n">
        <v>1391.868817678</v>
      </c>
      <c r="AG624" s="11" t="n">
        <v>0.3662222143</v>
      </c>
      <c r="AH624" s="12" t="n">
        <v>1</v>
      </c>
      <c r="AI624" s="2" t="s">
        <v>317</v>
      </c>
      <c r="AJ624" s="2" t="s">
        <v>679</v>
      </c>
      <c r="AK624" s="2" t="s">
        <v>679</v>
      </c>
    </row>
    <row r="625" customFormat="false" ht="15" hidden="false" customHeight="false" outlineLevel="0" collapsed="false">
      <c r="A625" s="9" t="n">
        <v>621</v>
      </c>
      <c r="B625" s="2" t="s">
        <v>1509</v>
      </c>
      <c r="C625" s="2" t="s">
        <v>1510</v>
      </c>
      <c r="D625" s="2" t="s">
        <v>70</v>
      </c>
      <c r="E625" s="2" t="s">
        <v>71</v>
      </c>
      <c r="F625" s="2" t="s">
        <v>1510</v>
      </c>
      <c r="G625" s="2" t="s">
        <v>329</v>
      </c>
      <c r="H625" s="8" t="n">
        <v>838.28557139</v>
      </c>
      <c r="I625" s="2" t="s">
        <v>316</v>
      </c>
      <c r="J625" s="8" t="n">
        <v>1162941.17647059</v>
      </c>
      <c r="K625" s="6" t="n">
        <v>17</v>
      </c>
      <c r="L625" s="2"/>
      <c r="M625" s="10" t="b">
        <f aca="false">TRUE()</f>
        <v>1</v>
      </c>
      <c r="N625" s="9" t="n">
        <f aca="false">IF(H625="","",IF(H625&gt;=Assumptions!$B$5,1,IF(H625&gt;=Assumptions!$B$6,2,IF(H625&gt;=Assumptions!$B$7,3,""))))</f>
        <v>1</v>
      </c>
      <c r="O625" s="9" t="n">
        <f aca="false">IF(N625=1,Assumptions!$B$8,IF(N625=2,Assumptions!$B$9,IF(N625=3,Assumptions!$B$10,0)))</f>
        <v>3</v>
      </c>
      <c r="P625" s="6" t="s">
        <v>30</v>
      </c>
      <c r="Q625" s="6" t="s">
        <v>30</v>
      </c>
      <c r="R625" s="11" t="s">
        <v>30</v>
      </c>
      <c r="S625" s="6" t="s">
        <v>30</v>
      </c>
      <c r="T625" s="11" t="s">
        <v>30</v>
      </c>
      <c r="U625" s="6" t="s">
        <v>30</v>
      </c>
      <c r="V625" s="6" t="s">
        <v>30</v>
      </c>
      <c r="W625" s="6" t="s">
        <v>30</v>
      </c>
      <c r="X625" s="2" t="s">
        <v>30</v>
      </c>
      <c r="Y625" s="6" t="str">
        <f aca="false">IF(AND(X625="processed",ISNUMBER(S625)),S625*O625,"")</f>
        <v/>
      </c>
      <c r="Z625" s="6" t="n">
        <f aca="false">IF(ISNUMBER(K625),K625*O625,0)</f>
        <v>51</v>
      </c>
      <c r="AA625" s="2" t="s">
        <v>31</v>
      </c>
      <c r="AB625" s="6" t="n">
        <v>2421</v>
      </c>
      <c r="AC625" s="6" t="n">
        <v>1807</v>
      </c>
      <c r="AD625" s="6" t="n">
        <v>39</v>
      </c>
      <c r="AE625" s="6" t="n">
        <v>1633.13354492188</v>
      </c>
      <c r="AF625" s="8" t="n">
        <v>817.120959911</v>
      </c>
      <c r="AG625" s="11" t="n">
        <v>0.1220392593</v>
      </c>
      <c r="AH625" s="12" t="n">
        <v>1</v>
      </c>
      <c r="AI625" s="2" t="s">
        <v>317</v>
      </c>
      <c r="AJ625" s="2" t="s">
        <v>1510</v>
      </c>
      <c r="AK625" s="2" t="s">
        <v>403</v>
      </c>
    </row>
    <row r="626" customFormat="false" ht="15" hidden="false" customHeight="false" outlineLevel="0" collapsed="false">
      <c r="A626" s="9" t="n">
        <v>622</v>
      </c>
      <c r="B626" s="2" t="s">
        <v>1511</v>
      </c>
      <c r="C626" s="2" t="s">
        <v>1512</v>
      </c>
      <c r="D626" s="2" t="s">
        <v>540</v>
      </c>
      <c r="E626" s="2" t="s">
        <v>51</v>
      </c>
      <c r="F626" s="2"/>
      <c r="G626" s="2" t="s">
        <v>541</v>
      </c>
      <c r="H626" s="8" t="n">
        <v>1046.53572553188</v>
      </c>
      <c r="I626" s="2" t="s">
        <v>316</v>
      </c>
      <c r="J626" s="8" t="n">
        <v>1499411.76470588</v>
      </c>
      <c r="K626" s="6" t="n">
        <v>17</v>
      </c>
      <c r="L626" s="2"/>
      <c r="M626" s="10" t="b">
        <f aca="false">TRUE()</f>
        <v>1</v>
      </c>
      <c r="N626" s="9" t="n">
        <f aca="false">IF(H626="","",IF(H626&gt;=Assumptions!$B$5,1,IF(H626&gt;=Assumptions!$B$6,2,IF(H626&gt;=Assumptions!$B$7,3,""))))</f>
        <v>1</v>
      </c>
      <c r="O626" s="9" t="n">
        <f aca="false">IF(N626=1,Assumptions!$B$8,IF(N626=2,Assumptions!$B$9,IF(N626=3,Assumptions!$B$10,0)))</f>
        <v>3</v>
      </c>
      <c r="P626" s="6" t="s">
        <v>30</v>
      </c>
      <c r="Q626" s="6" t="s">
        <v>30</v>
      </c>
      <c r="R626" s="11" t="s">
        <v>30</v>
      </c>
      <c r="S626" s="6" t="s">
        <v>30</v>
      </c>
      <c r="T626" s="11" t="s">
        <v>30</v>
      </c>
      <c r="U626" s="6" t="s">
        <v>30</v>
      </c>
      <c r="V626" s="6" t="s">
        <v>30</v>
      </c>
      <c r="W626" s="6" t="s">
        <v>30</v>
      </c>
      <c r="X626" s="2" t="s">
        <v>30</v>
      </c>
      <c r="Y626" s="6" t="str">
        <f aca="false">IF(AND(X626="processed",ISNUMBER(S626)),S626*O626,"")</f>
        <v/>
      </c>
      <c r="Z626" s="6" t="n">
        <f aca="false">IF(ISNUMBER(K626),K626*O626,0)</f>
        <v>51</v>
      </c>
      <c r="AA626" s="2" t="s">
        <v>31</v>
      </c>
      <c r="AB626" s="6" t="n">
        <v>1682</v>
      </c>
      <c r="AC626" s="6" t="n">
        <v>1390</v>
      </c>
      <c r="AD626" s="6" t="n">
        <v>35</v>
      </c>
      <c r="AE626" s="6" t="n">
        <v>1754.98583984375</v>
      </c>
      <c r="AF626" s="8" t="n">
        <v>1022.662889518</v>
      </c>
      <c r="AG626" s="11" t="n">
        <v>0.3582411191</v>
      </c>
      <c r="AH626" s="12" t="n">
        <v>1</v>
      </c>
      <c r="AI626" s="2" t="s">
        <v>317</v>
      </c>
      <c r="AJ626" s="2" t="s">
        <v>1512</v>
      </c>
      <c r="AK626" s="2" t="s">
        <v>1512</v>
      </c>
    </row>
    <row r="627" customFormat="false" ht="15" hidden="false" customHeight="false" outlineLevel="0" collapsed="false">
      <c r="A627" s="9" t="n">
        <v>623</v>
      </c>
      <c r="B627" s="2" t="s">
        <v>1513</v>
      </c>
      <c r="C627" s="2" t="s">
        <v>70</v>
      </c>
      <c r="D627" s="2" t="s">
        <v>70</v>
      </c>
      <c r="E627" s="2" t="s">
        <v>71</v>
      </c>
      <c r="F627" s="2"/>
      <c r="G627" s="2" t="s">
        <v>329</v>
      </c>
      <c r="H627" s="8" t="n">
        <v>688.48814649452</v>
      </c>
      <c r="I627" s="2" t="s">
        <v>316</v>
      </c>
      <c r="J627" s="8" t="n">
        <v>2047800</v>
      </c>
      <c r="K627" s="6" t="n">
        <v>25</v>
      </c>
      <c r="L627" s="2"/>
      <c r="M627" s="10" t="b">
        <f aca="false">TRUE()</f>
        <v>1</v>
      </c>
      <c r="N627" s="9" t="n">
        <f aca="false">IF(H627="","",IF(H627&gt;=Assumptions!$B$5,1,IF(H627&gt;=Assumptions!$B$6,2,IF(H627&gt;=Assumptions!$B$7,3,""))))</f>
        <v>2</v>
      </c>
      <c r="O627" s="9" t="n">
        <f aca="false">IF(N627=1,Assumptions!$B$8,IF(N627=2,Assumptions!$B$9,IF(N627=3,Assumptions!$B$10,0)))</f>
        <v>2</v>
      </c>
      <c r="P627" s="6" t="s">
        <v>30</v>
      </c>
      <c r="Q627" s="6" t="s">
        <v>30</v>
      </c>
      <c r="R627" s="11" t="s">
        <v>30</v>
      </c>
      <c r="S627" s="6" t="s">
        <v>30</v>
      </c>
      <c r="T627" s="11" t="s">
        <v>30</v>
      </c>
      <c r="U627" s="6" t="s">
        <v>30</v>
      </c>
      <c r="V627" s="6" t="s">
        <v>30</v>
      </c>
      <c r="W627" s="6" t="s">
        <v>30</v>
      </c>
      <c r="X627" s="2" t="s">
        <v>30</v>
      </c>
      <c r="Y627" s="6" t="str">
        <f aca="false">IF(AND(X627="processed",ISNUMBER(S627)),S627*O627,"")</f>
        <v/>
      </c>
      <c r="Z627" s="6" t="n">
        <f aca="false">IF(ISNUMBER(K627),K627*O627,0)</f>
        <v>50</v>
      </c>
      <c r="AA627" s="2" t="s">
        <v>31</v>
      </c>
      <c r="AB627" s="6" t="n">
        <v>2686</v>
      </c>
      <c r="AC627" s="6" t="n">
        <v>1668</v>
      </c>
      <c r="AD627" s="6" t="n">
        <v>27</v>
      </c>
      <c r="AE627" s="6" t="n">
        <v>2178.3212890625</v>
      </c>
      <c r="AF627" s="8" t="n">
        <v>655.697445972</v>
      </c>
      <c r="AG627" s="11" t="n">
        <v>-0.2374913995</v>
      </c>
      <c r="AH627" s="12" t="n">
        <v>1</v>
      </c>
      <c r="AI627" s="2" t="s">
        <v>317</v>
      </c>
      <c r="AJ627" s="2" t="s">
        <v>70</v>
      </c>
      <c r="AK627" s="2" t="s">
        <v>70</v>
      </c>
    </row>
    <row r="628" customFormat="false" ht="15" hidden="false" customHeight="false" outlineLevel="0" collapsed="false">
      <c r="A628" s="9" t="n">
        <v>624</v>
      </c>
      <c r="B628" s="2" t="s">
        <v>1514</v>
      </c>
      <c r="C628" s="2" t="s">
        <v>1383</v>
      </c>
      <c r="D628" s="2" t="s">
        <v>70</v>
      </c>
      <c r="E628" s="2" t="s">
        <v>71</v>
      </c>
      <c r="F628" s="2" t="s">
        <v>1515</v>
      </c>
      <c r="G628" s="2" t="s">
        <v>329</v>
      </c>
      <c r="H628" s="8" t="n">
        <v>527.47102871702</v>
      </c>
      <c r="I628" s="2" t="s">
        <v>316</v>
      </c>
      <c r="J628" s="8" t="n">
        <v>823660</v>
      </c>
      <c r="K628" s="6" t="n">
        <v>50</v>
      </c>
      <c r="L628" s="2"/>
      <c r="M628" s="10" t="b">
        <f aca="false">TRUE()</f>
        <v>1</v>
      </c>
      <c r="N628" s="9" t="n">
        <f aca="false">IF(H628="","",IF(H628&gt;=Assumptions!$B$5,1,IF(H628&gt;=Assumptions!$B$6,2,IF(H628&gt;=Assumptions!$B$7,3,""))))</f>
        <v>3</v>
      </c>
      <c r="O628" s="9" t="n">
        <f aca="false">IF(N628=1,Assumptions!$B$8,IF(N628=2,Assumptions!$B$9,IF(N628=3,Assumptions!$B$10,0)))</f>
        <v>1</v>
      </c>
      <c r="P628" s="6" t="s">
        <v>30</v>
      </c>
      <c r="Q628" s="6" t="s">
        <v>30</v>
      </c>
      <c r="R628" s="11" t="s">
        <v>30</v>
      </c>
      <c r="S628" s="6" t="s">
        <v>30</v>
      </c>
      <c r="T628" s="11" t="s">
        <v>30</v>
      </c>
      <c r="U628" s="6" t="s">
        <v>30</v>
      </c>
      <c r="V628" s="6" t="s">
        <v>30</v>
      </c>
      <c r="W628" s="6" t="s">
        <v>30</v>
      </c>
      <c r="X628" s="2" t="s">
        <v>30</v>
      </c>
      <c r="Y628" s="6" t="str">
        <f aca="false">IF(AND(X628="processed",ISNUMBER(S628)),S628*O628,"")</f>
        <v/>
      </c>
      <c r="Z628" s="6" t="n">
        <f aca="false">IF(ISNUMBER(K628),K628*O628,0)</f>
        <v>50</v>
      </c>
      <c r="AA628" s="2" t="s">
        <v>31</v>
      </c>
      <c r="AB628" s="6" t="n">
        <v>8526</v>
      </c>
      <c r="AC628" s="6" t="n">
        <v>6077</v>
      </c>
      <c r="AD628" s="6" t="n">
        <v>82</v>
      </c>
      <c r="AE628" s="6" t="n">
        <v>1663.21630859375</v>
      </c>
      <c r="AF628" s="8" t="n">
        <v>488.861386139</v>
      </c>
      <c r="AG628" s="11" t="n">
        <v>-0.08506921567</v>
      </c>
      <c r="AH628" s="12" t="n">
        <v>1</v>
      </c>
      <c r="AI628" s="2" t="s">
        <v>317</v>
      </c>
      <c r="AJ628" s="2" t="s">
        <v>1383</v>
      </c>
      <c r="AK628" s="2" t="s">
        <v>1383</v>
      </c>
    </row>
    <row r="629" customFormat="false" ht="15" hidden="false" customHeight="false" outlineLevel="0" collapsed="false">
      <c r="A629" s="9" t="n">
        <v>625</v>
      </c>
      <c r="B629" s="2" t="s">
        <v>1516</v>
      </c>
      <c r="C629" s="2" t="s">
        <v>1237</v>
      </c>
      <c r="D629" s="2" t="s">
        <v>70</v>
      </c>
      <c r="E629" s="2" t="s">
        <v>71</v>
      </c>
      <c r="F629" s="2"/>
      <c r="G629" s="2" t="s">
        <v>329</v>
      </c>
      <c r="H629" s="8" t="n">
        <v>527.634603777286</v>
      </c>
      <c r="I629" s="2" t="s">
        <v>316</v>
      </c>
      <c r="J629" s="8" t="n">
        <v>830622.448979592</v>
      </c>
      <c r="K629" s="6" t="n">
        <v>49</v>
      </c>
      <c r="L629" s="2"/>
      <c r="M629" s="10" t="b">
        <f aca="false">TRUE()</f>
        <v>1</v>
      </c>
      <c r="N629" s="9" t="n">
        <f aca="false">IF(H629="","",IF(H629&gt;=Assumptions!$B$5,1,IF(H629&gt;=Assumptions!$B$6,2,IF(H629&gt;=Assumptions!$B$7,3,""))))</f>
        <v>3</v>
      </c>
      <c r="O629" s="9" t="n">
        <f aca="false">IF(N629=1,Assumptions!$B$8,IF(N629=2,Assumptions!$B$9,IF(N629=3,Assumptions!$B$10,0)))</f>
        <v>1</v>
      </c>
      <c r="P629" s="6" t="s">
        <v>30</v>
      </c>
      <c r="Q629" s="6" t="s">
        <v>30</v>
      </c>
      <c r="R629" s="11" t="s">
        <v>30</v>
      </c>
      <c r="S629" s="6" t="s">
        <v>30</v>
      </c>
      <c r="T629" s="11" t="s">
        <v>30</v>
      </c>
      <c r="U629" s="6" t="s">
        <v>30</v>
      </c>
      <c r="V629" s="6" t="s">
        <v>30</v>
      </c>
      <c r="W629" s="6" t="s">
        <v>30</v>
      </c>
      <c r="X629" s="2" t="s">
        <v>30</v>
      </c>
      <c r="Y629" s="6" t="str">
        <f aca="false">IF(AND(X629="processed",ISNUMBER(S629)),S629*O629,"")</f>
        <v/>
      </c>
      <c r="Z629" s="6" t="n">
        <f aca="false">IF(ISNUMBER(K629),K629*O629,0)</f>
        <v>49</v>
      </c>
      <c r="AA629" s="2" t="s">
        <v>31</v>
      </c>
      <c r="AB629" s="6" t="n">
        <v>6253</v>
      </c>
      <c r="AC629" s="6" t="n">
        <v>4887</v>
      </c>
      <c r="AD629" s="6" t="n">
        <v>115</v>
      </c>
      <c r="AE629" s="6" t="n">
        <v>2262.19091796875</v>
      </c>
      <c r="AF629" s="8" t="n">
        <v>535.967215724</v>
      </c>
      <c r="AG629" s="11" t="n">
        <v>-0.1062469478</v>
      </c>
      <c r="AH629" s="12" t="n">
        <v>0.999999999999999</v>
      </c>
      <c r="AI629" s="2" t="s">
        <v>317</v>
      </c>
      <c r="AJ629" s="2" t="s">
        <v>1237</v>
      </c>
      <c r="AK629" s="2" t="s">
        <v>1237</v>
      </c>
    </row>
    <row r="630" customFormat="false" ht="15" hidden="false" customHeight="false" outlineLevel="0" collapsed="false">
      <c r="A630" s="9" t="n">
        <v>626</v>
      </c>
      <c r="B630" s="2" t="s">
        <v>1517</v>
      </c>
      <c r="C630" s="2" t="s">
        <v>70</v>
      </c>
      <c r="D630" s="2" t="s">
        <v>70</v>
      </c>
      <c r="E630" s="2" t="s">
        <v>71</v>
      </c>
      <c r="F630" s="2"/>
      <c r="G630" s="2" t="s">
        <v>329</v>
      </c>
      <c r="H630" s="8" t="n">
        <v>919.1655663505</v>
      </c>
      <c r="I630" s="2" t="s">
        <v>316</v>
      </c>
      <c r="J630" s="8" t="n">
        <v>5396812.5</v>
      </c>
      <c r="K630" s="6" t="n">
        <v>16</v>
      </c>
      <c r="L630" s="2"/>
      <c r="M630" s="10" t="b">
        <f aca="false">TRUE()</f>
        <v>1</v>
      </c>
      <c r="N630" s="9" t="n">
        <f aca="false">IF(H630="","",IF(H630&gt;=Assumptions!$B$5,1,IF(H630&gt;=Assumptions!$B$6,2,IF(H630&gt;=Assumptions!$B$7,3,""))))</f>
        <v>1</v>
      </c>
      <c r="O630" s="9" t="n">
        <f aca="false">IF(N630=1,Assumptions!$B$8,IF(N630=2,Assumptions!$B$9,IF(N630=3,Assumptions!$B$10,0)))</f>
        <v>3</v>
      </c>
      <c r="P630" s="6" t="s">
        <v>30</v>
      </c>
      <c r="Q630" s="6" t="s">
        <v>30</v>
      </c>
      <c r="R630" s="11" t="s">
        <v>30</v>
      </c>
      <c r="S630" s="6" t="s">
        <v>30</v>
      </c>
      <c r="T630" s="11" t="s">
        <v>30</v>
      </c>
      <c r="U630" s="6" t="s">
        <v>30</v>
      </c>
      <c r="V630" s="6" t="s">
        <v>30</v>
      </c>
      <c r="W630" s="6" t="s">
        <v>30</v>
      </c>
      <c r="X630" s="2" t="s">
        <v>30</v>
      </c>
      <c r="Y630" s="6" t="str">
        <f aca="false">IF(AND(X630="processed",ISNUMBER(S630)),S630*O630,"")</f>
        <v/>
      </c>
      <c r="Z630" s="6" t="n">
        <f aca="false">IF(ISNUMBER(K630),K630*O630,0)</f>
        <v>48</v>
      </c>
      <c r="AA630" s="2" t="s">
        <v>31</v>
      </c>
      <c r="AB630" s="6" t="n">
        <v>2320</v>
      </c>
      <c r="AC630" s="6" t="n">
        <v>1517</v>
      </c>
      <c r="AD630" s="6" t="n">
        <v>32</v>
      </c>
      <c r="AE630" s="6" t="n">
        <v>2435.64575195313</v>
      </c>
      <c r="AF630" s="8" t="n">
        <v>1189.095921825</v>
      </c>
      <c r="AG630" s="11" t="n">
        <v>-0.2077572197</v>
      </c>
      <c r="AH630" s="12" t="n">
        <v>0.999999999999999</v>
      </c>
      <c r="AI630" s="2" t="s">
        <v>317</v>
      </c>
      <c r="AJ630" s="2" t="s">
        <v>70</v>
      </c>
      <c r="AK630" s="2" t="s">
        <v>70</v>
      </c>
    </row>
    <row r="631" customFormat="false" ht="15" hidden="false" customHeight="false" outlineLevel="0" collapsed="false">
      <c r="A631" s="9"/>
      <c r="B631" s="2" t="s">
        <v>1518</v>
      </c>
      <c r="C631" s="2"/>
      <c r="D631" s="2" t="s">
        <v>1190</v>
      </c>
      <c r="E631" s="2" t="s">
        <v>1191</v>
      </c>
      <c r="F631" s="2"/>
      <c r="G631" s="2" t="s">
        <v>315</v>
      </c>
      <c r="H631" s="8" t="n">
        <v>618.0994069475</v>
      </c>
      <c r="I631" s="2" t="s">
        <v>316</v>
      </c>
      <c r="J631" s="8" t="n">
        <v>1271583.33333333</v>
      </c>
      <c r="K631" s="6" t="n">
        <v>24</v>
      </c>
      <c r="L631" s="2"/>
      <c r="M631" s="10" t="b">
        <f aca="false">FALSE()</f>
        <v>0</v>
      </c>
      <c r="N631" s="9" t="n">
        <f aca="false">IF(H631="","",IF(H631&gt;=Assumptions!$B$5,1,IF(H631&gt;=Assumptions!$B$6,2,IF(H631&gt;=Assumptions!$B$7,3,""))))</f>
        <v>2</v>
      </c>
      <c r="O631" s="9" t="n">
        <f aca="false">IF(N631=1,Assumptions!$B$8,IF(N631=2,Assumptions!$B$9,IF(N631=3,Assumptions!$B$10,0)))</f>
        <v>2</v>
      </c>
      <c r="P631" s="6" t="s">
        <v>30</v>
      </c>
      <c r="Q631" s="6" t="s">
        <v>30</v>
      </c>
      <c r="R631" s="11" t="s">
        <v>30</v>
      </c>
      <c r="S631" s="6" t="s">
        <v>30</v>
      </c>
      <c r="T631" s="11" t="s">
        <v>30</v>
      </c>
      <c r="U631" s="6" t="s">
        <v>30</v>
      </c>
      <c r="V631" s="6" t="s">
        <v>30</v>
      </c>
      <c r="W631" s="6" t="s">
        <v>30</v>
      </c>
      <c r="X631" s="2" t="s">
        <v>30</v>
      </c>
      <c r="Y631" s="6" t="str">
        <f aca="false">IF(AND(X631="processed",ISNUMBER(S631)),S631*O631,"")</f>
        <v/>
      </c>
      <c r="Z631" s="6" t="n">
        <f aca="false">IF(ISNUMBER(K631),K631*O631,0)</f>
        <v>48</v>
      </c>
      <c r="AA631" s="2" t="s">
        <v>31</v>
      </c>
      <c r="AB631" s="6"/>
      <c r="AC631" s="6"/>
      <c r="AD631" s="6"/>
      <c r="AE631" s="6"/>
      <c r="AF631" s="8" t="n">
        <v>649.914665888</v>
      </c>
      <c r="AG631" s="11" t="n">
        <v>-0.05368073753</v>
      </c>
      <c r="AH631" s="12"/>
      <c r="AI631" s="2"/>
      <c r="AJ631" s="2"/>
      <c r="AK631" s="2"/>
    </row>
    <row r="632" customFormat="false" ht="15" hidden="false" customHeight="false" outlineLevel="0" collapsed="false">
      <c r="A632" s="9" t="n">
        <v>627</v>
      </c>
      <c r="B632" s="2" t="s">
        <v>1519</v>
      </c>
      <c r="C632" s="2" t="s">
        <v>56</v>
      </c>
      <c r="D632" s="2" t="s">
        <v>56</v>
      </c>
      <c r="E632" s="2" t="s">
        <v>56</v>
      </c>
      <c r="F632" s="2" t="s">
        <v>1520</v>
      </c>
      <c r="G632" s="2" t="s">
        <v>324</v>
      </c>
      <c r="H632" s="8" t="n">
        <v>750.51902937</v>
      </c>
      <c r="I632" s="2" t="s">
        <v>316</v>
      </c>
      <c r="J632" s="8" t="n">
        <v>1751687.5</v>
      </c>
      <c r="K632" s="6" t="n">
        <v>16</v>
      </c>
      <c r="L632" s="2"/>
      <c r="M632" s="10" t="b">
        <f aca="false">TRUE()</f>
        <v>1</v>
      </c>
      <c r="N632" s="9" t="n">
        <f aca="false">IF(H632="","",IF(H632&gt;=Assumptions!$B$5,1,IF(H632&gt;=Assumptions!$B$6,2,IF(H632&gt;=Assumptions!$B$7,3,""))))</f>
        <v>1</v>
      </c>
      <c r="O632" s="9" t="n">
        <f aca="false">IF(N632=1,Assumptions!$B$8,IF(N632=2,Assumptions!$B$9,IF(N632=3,Assumptions!$B$10,0)))</f>
        <v>3</v>
      </c>
      <c r="P632" s="6" t="s">
        <v>30</v>
      </c>
      <c r="Q632" s="6" t="s">
        <v>30</v>
      </c>
      <c r="R632" s="11" t="s">
        <v>30</v>
      </c>
      <c r="S632" s="6" t="s">
        <v>30</v>
      </c>
      <c r="T632" s="11" t="s">
        <v>30</v>
      </c>
      <c r="U632" s="6" t="s">
        <v>30</v>
      </c>
      <c r="V632" s="6" t="s">
        <v>30</v>
      </c>
      <c r="W632" s="6" t="s">
        <v>30</v>
      </c>
      <c r="X632" s="2" t="s">
        <v>30</v>
      </c>
      <c r="Y632" s="6" t="str">
        <f aca="false">IF(AND(X632="processed",ISNUMBER(S632)),S632*O632,"")</f>
        <v/>
      </c>
      <c r="Z632" s="6" t="n">
        <f aca="false">IF(ISNUMBER(K632),K632*O632,0)</f>
        <v>48</v>
      </c>
      <c r="AA632" s="2" t="s">
        <v>31</v>
      </c>
      <c r="AB632" s="6" t="n">
        <v>2889</v>
      </c>
      <c r="AC632" s="6" t="n">
        <v>2149</v>
      </c>
      <c r="AD632" s="6" t="n">
        <v>17</v>
      </c>
      <c r="AE632" s="6" t="n">
        <v>1993.28930664063</v>
      </c>
      <c r="AF632" s="8" t="n">
        <v>801.378672942</v>
      </c>
      <c r="AG632" s="11" t="n">
        <v>-0.1974234516</v>
      </c>
      <c r="AH632" s="12" t="n">
        <v>1</v>
      </c>
      <c r="AI632" s="2" t="s">
        <v>317</v>
      </c>
      <c r="AJ632" s="2" t="s">
        <v>56</v>
      </c>
      <c r="AK632" s="2" t="s">
        <v>56</v>
      </c>
    </row>
    <row r="633" customFormat="false" ht="15" hidden="false" customHeight="false" outlineLevel="0" collapsed="false">
      <c r="A633" s="9" t="n">
        <v>628</v>
      </c>
      <c r="B633" s="2" t="s">
        <v>1521</v>
      </c>
      <c r="C633" s="2" t="s">
        <v>1522</v>
      </c>
      <c r="D633" s="2" t="s">
        <v>95</v>
      </c>
      <c r="E633" s="2" t="s">
        <v>95</v>
      </c>
      <c r="F633" s="2"/>
      <c r="G633" s="2" t="s">
        <v>330</v>
      </c>
      <c r="H633" s="8" t="n">
        <v>1030.428856059</v>
      </c>
      <c r="I633" s="2" t="s">
        <v>316</v>
      </c>
      <c r="J633" s="8" t="n">
        <v>1515625</v>
      </c>
      <c r="K633" s="6" t="n">
        <v>16</v>
      </c>
      <c r="L633" s="2"/>
      <c r="M633" s="10" t="b">
        <f aca="false">TRUE()</f>
        <v>1</v>
      </c>
      <c r="N633" s="9" t="n">
        <f aca="false">IF(H633="","",IF(H633&gt;=Assumptions!$B$5,1,IF(H633&gt;=Assumptions!$B$6,2,IF(H633&gt;=Assumptions!$B$7,3,""))))</f>
        <v>1</v>
      </c>
      <c r="O633" s="9" t="n">
        <f aca="false">IF(N633=1,Assumptions!$B$8,IF(N633=2,Assumptions!$B$9,IF(N633=3,Assumptions!$B$10,0)))</f>
        <v>3</v>
      </c>
      <c r="P633" s="6" t="s">
        <v>30</v>
      </c>
      <c r="Q633" s="6" t="s">
        <v>30</v>
      </c>
      <c r="R633" s="11" t="s">
        <v>30</v>
      </c>
      <c r="S633" s="6" t="s">
        <v>30</v>
      </c>
      <c r="T633" s="11" t="s">
        <v>30</v>
      </c>
      <c r="U633" s="6" t="s">
        <v>30</v>
      </c>
      <c r="V633" s="6" t="s">
        <v>30</v>
      </c>
      <c r="W633" s="6" t="s">
        <v>30</v>
      </c>
      <c r="X633" s="2" t="s">
        <v>30</v>
      </c>
      <c r="Y633" s="6" t="str">
        <f aca="false">IF(AND(X633="processed",ISNUMBER(S633)),S633*O633,"")</f>
        <v/>
      </c>
      <c r="Z633" s="6" t="n">
        <f aca="false">IF(ISNUMBER(K633),K633*O633,0)</f>
        <v>48</v>
      </c>
      <c r="AA633" s="2" t="s">
        <v>31</v>
      </c>
      <c r="AB633" s="6" t="n">
        <v>1339</v>
      </c>
      <c r="AC633" s="6" t="n">
        <v>884</v>
      </c>
      <c r="AD633" s="6" t="n">
        <v>35</v>
      </c>
      <c r="AE633" s="6" t="n">
        <v>1429.6650390625</v>
      </c>
      <c r="AF633" s="8" t="n">
        <v>816.554809843</v>
      </c>
      <c r="AG633" s="11"/>
      <c r="AH633" s="12" t="n">
        <v>0.794655587989056</v>
      </c>
      <c r="AI633" s="2" t="s">
        <v>317</v>
      </c>
      <c r="AJ633" s="2" t="s">
        <v>1522</v>
      </c>
      <c r="AK633" s="2" t="s">
        <v>1523</v>
      </c>
    </row>
    <row r="634" customFormat="false" ht="15" hidden="false" customHeight="false" outlineLevel="0" collapsed="false">
      <c r="A634" s="9" t="n">
        <v>629</v>
      </c>
      <c r="B634" s="2" t="s">
        <v>1524</v>
      </c>
      <c r="C634" s="2" t="s">
        <v>1525</v>
      </c>
      <c r="D634" s="2" t="s">
        <v>95</v>
      </c>
      <c r="E634" s="2" t="s">
        <v>95</v>
      </c>
      <c r="F634" s="2"/>
      <c r="G634" s="2" t="s">
        <v>330</v>
      </c>
      <c r="H634" s="8" t="n">
        <v>2729.54315584925</v>
      </c>
      <c r="I634" s="2" t="s">
        <v>316</v>
      </c>
      <c r="J634" s="8" t="n">
        <v>5709468.75</v>
      </c>
      <c r="K634" s="6" t="n">
        <v>16</v>
      </c>
      <c r="L634" s="2"/>
      <c r="M634" s="10" t="b">
        <f aca="false">TRUE()</f>
        <v>1</v>
      </c>
      <c r="N634" s="9" t="n">
        <f aca="false">IF(H634="","",IF(H634&gt;=Assumptions!$B$5,1,IF(H634&gt;=Assumptions!$B$6,2,IF(H634&gt;=Assumptions!$B$7,3,""))))</f>
        <v>1</v>
      </c>
      <c r="O634" s="9" t="n">
        <f aca="false">IF(N634=1,Assumptions!$B$8,IF(N634=2,Assumptions!$B$9,IF(N634=3,Assumptions!$B$10,0)))</f>
        <v>3</v>
      </c>
      <c r="P634" s="6" t="s">
        <v>30</v>
      </c>
      <c r="Q634" s="6" t="s">
        <v>30</v>
      </c>
      <c r="R634" s="11" t="s">
        <v>30</v>
      </c>
      <c r="S634" s="6" t="s">
        <v>30</v>
      </c>
      <c r="T634" s="11" t="s">
        <v>30</v>
      </c>
      <c r="U634" s="6" t="s">
        <v>30</v>
      </c>
      <c r="V634" s="6" t="s">
        <v>30</v>
      </c>
      <c r="W634" s="6" t="s">
        <v>30</v>
      </c>
      <c r="X634" s="2" t="s">
        <v>30</v>
      </c>
      <c r="Y634" s="6" t="str">
        <f aca="false">IF(AND(X634="processed",ISNUMBER(S634)),S634*O634,"")</f>
        <v/>
      </c>
      <c r="Z634" s="6" t="n">
        <f aca="false">IF(ISNUMBER(K634),K634*O634,0)</f>
        <v>48</v>
      </c>
      <c r="AA634" s="2" t="s">
        <v>31</v>
      </c>
      <c r="AB634" s="6" t="n">
        <v>1238</v>
      </c>
      <c r="AC634" s="6" t="n">
        <v>854</v>
      </c>
      <c r="AD634" s="6" t="n">
        <v>49</v>
      </c>
      <c r="AE634" s="6" t="n">
        <v>1856.74340820313</v>
      </c>
      <c r="AF634" s="8" t="n">
        <v>3612.716763006</v>
      </c>
      <c r="AG634" s="11" t="n">
        <v>-0.2599033682</v>
      </c>
      <c r="AH634" s="12" t="n">
        <v>0.969890885118954</v>
      </c>
      <c r="AI634" s="2" t="s">
        <v>317</v>
      </c>
      <c r="AJ634" s="2" t="s">
        <v>1525</v>
      </c>
      <c r="AK634" s="2" t="s">
        <v>1525</v>
      </c>
    </row>
    <row r="635" customFormat="false" ht="15" hidden="false" customHeight="false" outlineLevel="0" collapsed="false">
      <c r="A635" s="9" t="n">
        <v>630</v>
      </c>
      <c r="B635" s="2" t="s">
        <v>1526</v>
      </c>
      <c r="C635" s="2" t="s">
        <v>1527</v>
      </c>
      <c r="D635" s="2" t="s">
        <v>190</v>
      </c>
      <c r="E635" s="2" t="s">
        <v>51</v>
      </c>
      <c r="F635" s="2"/>
      <c r="G635" s="2" t="s">
        <v>336</v>
      </c>
      <c r="H635" s="8" t="n">
        <v>718.95046535625</v>
      </c>
      <c r="I635" s="2" t="s">
        <v>316</v>
      </c>
      <c r="J635" s="8" t="n">
        <v>1464437.5</v>
      </c>
      <c r="K635" s="6" t="n">
        <v>16</v>
      </c>
      <c r="L635" s="2"/>
      <c r="M635" s="10" t="b">
        <f aca="false">TRUE()</f>
        <v>1</v>
      </c>
      <c r="N635" s="9" t="n">
        <f aca="false">IF(H635="","",IF(H635&gt;=Assumptions!$B$5,1,IF(H635&gt;=Assumptions!$B$6,2,IF(H635&gt;=Assumptions!$B$7,3,""))))</f>
        <v>1</v>
      </c>
      <c r="O635" s="9" t="n">
        <f aca="false">IF(N635=1,Assumptions!$B$8,IF(N635=2,Assumptions!$B$9,IF(N635=3,Assumptions!$B$10,0)))</f>
        <v>3</v>
      </c>
      <c r="P635" s="6" t="s">
        <v>30</v>
      </c>
      <c r="Q635" s="6" t="s">
        <v>30</v>
      </c>
      <c r="R635" s="11" t="s">
        <v>30</v>
      </c>
      <c r="S635" s="6" t="s">
        <v>30</v>
      </c>
      <c r="T635" s="11" t="s">
        <v>30</v>
      </c>
      <c r="U635" s="6" t="s">
        <v>30</v>
      </c>
      <c r="V635" s="6" t="s">
        <v>30</v>
      </c>
      <c r="W635" s="6" t="s">
        <v>30</v>
      </c>
      <c r="X635" s="2" t="s">
        <v>30</v>
      </c>
      <c r="Y635" s="6" t="str">
        <f aca="false">IF(AND(X635="processed",ISNUMBER(S635)),S635*O635,"")</f>
        <v/>
      </c>
      <c r="Z635" s="6" t="n">
        <f aca="false">IF(ISNUMBER(K635),K635*O635,0)</f>
        <v>48</v>
      </c>
      <c r="AA635" s="2" t="s">
        <v>31</v>
      </c>
      <c r="AB635" s="6" t="n">
        <v>2513</v>
      </c>
      <c r="AC635" s="6" t="n">
        <v>2013</v>
      </c>
      <c r="AD635" s="6" t="n">
        <v>84</v>
      </c>
      <c r="AE635" s="6" t="n">
        <v>1728.693359375</v>
      </c>
      <c r="AF635" s="8" t="n">
        <v>738.688827331</v>
      </c>
      <c r="AG635" s="11" t="n">
        <v>-0.1931522738</v>
      </c>
      <c r="AH635" s="12" t="n">
        <v>0.989650986460477</v>
      </c>
      <c r="AI635" s="2" t="s">
        <v>317</v>
      </c>
      <c r="AJ635" s="2" t="s">
        <v>1527</v>
      </c>
      <c r="AK635" s="2" t="s">
        <v>1528</v>
      </c>
    </row>
    <row r="636" customFormat="false" ht="15" hidden="false" customHeight="false" outlineLevel="0" collapsed="false">
      <c r="A636" s="9" t="n">
        <v>631</v>
      </c>
      <c r="B636" s="2" t="s">
        <v>1529</v>
      </c>
      <c r="C636" s="2" t="s">
        <v>1530</v>
      </c>
      <c r="D636" s="2" t="s">
        <v>423</v>
      </c>
      <c r="E636" s="2" t="s">
        <v>51</v>
      </c>
      <c r="F636" s="2"/>
      <c r="G636" s="2" t="s">
        <v>425</v>
      </c>
      <c r="H636" s="8" t="n">
        <v>534.841067063638</v>
      </c>
      <c r="I636" s="2" t="s">
        <v>316</v>
      </c>
      <c r="J636" s="8" t="n">
        <v>1032063.82978723</v>
      </c>
      <c r="K636" s="6" t="n">
        <v>47</v>
      </c>
      <c r="L636" s="2"/>
      <c r="M636" s="10" t="b">
        <f aca="false">TRUE()</f>
        <v>1</v>
      </c>
      <c r="N636" s="9" t="n">
        <f aca="false">IF(H636="","",IF(H636&gt;=Assumptions!$B$5,1,IF(H636&gt;=Assumptions!$B$6,2,IF(H636&gt;=Assumptions!$B$7,3,""))))</f>
        <v>3</v>
      </c>
      <c r="O636" s="9" t="n">
        <f aca="false">IF(N636=1,Assumptions!$B$8,IF(N636=2,Assumptions!$B$9,IF(N636=3,Assumptions!$B$10,0)))</f>
        <v>1</v>
      </c>
      <c r="P636" s="6" t="s">
        <v>30</v>
      </c>
      <c r="Q636" s="6" t="s">
        <v>30</v>
      </c>
      <c r="R636" s="11" t="s">
        <v>30</v>
      </c>
      <c r="S636" s="6" t="s">
        <v>30</v>
      </c>
      <c r="T636" s="11" t="s">
        <v>30</v>
      </c>
      <c r="U636" s="6" t="s">
        <v>30</v>
      </c>
      <c r="V636" s="6" t="s">
        <v>30</v>
      </c>
      <c r="W636" s="6" t="s">
        <v>30</v>
      </c>
      <c r="X636" s="2" t="s">
        <v>30</v>
      </c>
      <c r="Y636" s="6" t="str">
        <f aca="false">IF(AND(X636="processed",ISNUMBER(S636)),S636*O636,"")</f>
        <v/>
      </c>
      <c r="Z636" s="6" t="n">
        <f aca="false">IF(ISNUMBER(K636),K636*O636,0)</f>
        <v>47</v>
      </c>
      <c r="AA636" s="2" t="s">
        <v>31</v>
      </c>
      <c r="AB636" s="6" t="n">
        <v>2855</v>
      </c>
      <c r="AC636" s="6" t="n">
        <v>2446</v>
      </c>
      <c r="AD636" s="6" t="n">
        <v>2221</v>
      </c>
      <c r="AE636" s="6" t="n">
        <v>2446.9775390625</v>
      </c>
      <c r="AF636" s="8" t="n">
        <v>562.874147453</v>
      </c>
      <c r="AG636" s="11" t="n">
        <v>-0.148524926</v>
      </c>
      <c r="AH636" s="12" t="n">
        <v>0.999999999999999</v>
      </c>
      <c r="AI636" s="2" t="s">
        <v>660</v>
      </c>
      <c r="AJ636" s="2" t="s">
        <v>1530</v>
      </c>
      <c r="AK636" s="2" t="s">
        <v>1530</v>
      </c>
    </row>
    <row r="637" customFormat="false" ht="15" hidden="false" customHeight="false" outlineLevel="0" collapsed="false">
      <c r="A637" s="9" t="n">
        <v>632</v>
      </c>
      <c r="B637" s="2" t="s">
        <v>1531</v>
      </c>
      <c r="C637" s="2" t="s">
        <v>44</v>
      </c>
      <c r="D637" s="2" t="s">
        <v>44</v>
      </c>
      <c r="E637" s="2" t="s">
        <v>44</v>
      </c>
      <c r="F637" s="2" t="s">
        <v>1532</v>
      </c>
      <c r="G637" s="2" t="s">
        <v>322</v>
      </c>
      <c r="H637" s="8" t="n">
        <v>619.146043393043</v>
      </c>
      <c r="I637" s="2" t="s">
        <v>316</v>
      </c>
      <c r="J637" s="8" t="n">
        <v>1056086.95652174</v>
      </c>
      <c r="K637" s="6" t="n">
        <v>23</v>
      </c>
      <c r="L637" s="2"/>
      <c r="M637" s="10" t="b">
        <f aca="false">TRUE()</f>
        <v>1</v>
      </c>
      <c r="N637" s="9" t="n">
        <f aca="false">IF(H637="","",IF(H637&gt;=Assumptions!$B$5,1,IF(H637&gt;=Assumptions!$B$6,2,IF(H637&gt;=Assumptions!$B$7,3,""))))</f>
        <v>2</v>
      </c>
      <c r="O637" s="9" t="n">
        <f aca="false">IF(N637=1,Assumptions!$B$8,IF(N637=2,Assumptions!$B$9,IF(N637=3,Assumptions!$B$10,0)))</f>
        <v>2</v>
      </c>
      <c r="P637" s="6" t="s">
        <v>30</v>
      </c>
      <c r="Q637" s="6" t="s">
        <v>30</v>
      </c>
      <c r="R637" s="11" t="s">
        <v>30</v>
      </c>
      <c r="S637" s="6" t="s">
        <v>30</v>
      </c>
      <c r="T637" s="11" t="s">
        <v>30</v>
      </c>
      <c r="U637" s="6" t="s">
        <v>30</v>
      </c>
      <c r="V637" s="6" t="s">
        <v>30</v>
      </c>
      <c r="W637" s="6" t="s">
        <v>30</v>
      </c>
      <c r="X637" s="2" t="s">
        <v>30</v>
      </c>
      <c r="Y637" s="6" t="str">
        <f aca="false">IF(AND(X637="processed",ISNUMBER(S637)),S637*O637,"")</f>
        <v/>
      </c>
      <c r="Z637" s="6" t="n">
        <f aca="false">IF(ISNUMBER(K637),K637*O637,0)</f>
        <v>46</v>
      </c>
      <c r="AA637" s="2" t="s">
        <v>31</v>
      </c>
      <c r="AB637" s="6" t="n">
        <v>1952</v>
      </c>
      <c r="AC637" s="6" t="n">
        <v>1157</v>
      </c>
      <c r="AD637" s="6" t="n">
        <v>264</v>
      </c>
      <c r="AE637" s="6" t="n">
        <v>1843.43322753906</v>
      </c>
      <c r="AF637" s="8" t="n">
        <v>560.253699789</v>
      </c>
      <c r="AG637" s="11" t="n">
        <v>-0.41191204</v>
      </c>
      <c r="AH637" s="12" t="n">
        <v>1</v>
      </c>
      <c r="AI637" s="2" t="s">
        <v>317</v>
      </c>
      <c r="AJ637" s="2" t="s">
        <v>44</v>
      </c>
      <c r="AK637" s="2" t="s">
        <v>44</v>
      </c>
    </row>
    <row r="638" customFormat="false" ht="15" hidden="false" customHeight="false" outlineLevel="0" collapsed="false">
      <c r="A638" s="9" t="n">
        <v>633</v>
      </c>
      <c r="B638" s="2" t="s">
        <v>1533</v>
      </c>
      <c r="C638" s="2" t="s">
        <v>70</v>
      </c>
      <c r="D638" s="2" t="s">
        <v>70</v>
      </c>
      <c r="E638" s="2" t="s">
        <v>71</v>
      </c>
      <c r="F638" s="2" t="s">
        <v>1534</v>
      </c>
      <c r="G638" s="2" t="s">
        <v>329</v>
      </c>
      <c r="H638" s="8" t="n">
        <v>596.049065327978</v>
      </c>
      <c r="I638" s="2" t="s">
        <v>337</v>
      </c>
      <c r="J638" s="8" t="n">
        <v>539866.666666667</v>
      </c>
      <c r="K638" s="6" t="n">
        <v>45</v>
      </c>
      <c r="L638" s="2"/>
      <c r="M638" s="10" t="b">
        <f aca="false">TRUE()</f>
        <v>1</v>
      </c>
      <c r="N638" s="9" t="n">
        <f aca="false">IF(H638="","",IF(H638&gt;=Assumptions!$B$5,1,IF(H638&gt;=Assumptions!$B$6,2,IF(H638&gt;=Assumptions!$B$7,3,""))))</f>
        <v>3</v>
      </c>
      <c r="O638" s="9" t="n">
        <f aca="false">IF(N638=1,Assumptions!$B$8,IF(N638=2,Assumptions!$B$9,IF(N638=3,Assumptions!$B$10,0)))</f>
        <v>1</v>
      </c>
      <c r="P638" s="6" t="s">
        <v>30</v>
      </c>
      <c r="Q638" s="6" t="s">
        <v>30</v>
      </c>
      <c r="R638" s="11" t="s">
        <v>30</v>
      </c>
      <c r="S638" s="6" t="s">
        <v>30</v>
      </c>
      <c r="T638" s="11" t="s">
        <v>30</v>
      </c>
      <c r="U638" s="6" t="s">
        <v>30</v>
      </c>
      <c r="V638" s="6" t="s">
        <v>30</v>
      </c>
      <c r="W638" s="6" t="s">
        <v>30</v>
      </c>
      <c r="X638" s="2" t="s">
        <v>30</v>
      </c>
      <c r="Y638" s="6" t="str">
        <f aca="false">IF(AND(X638="processed",ISNUMBER(S638)),S638*O638,"")</f>
        <v/>
      </c>
      <c r="Z638" s="6" t="n">
        <f aca="false">IF(ISNUMBER(K638),K638*O638,0)</f>
        <v>45</v>
      </c>
      <c r="AA638" s="2" t="s">
        <v>31</v>
      </c>
      <c r="AB638" s="6" t="n">
        <v>781</v>
      </c>
      <c r="AC638" s="6" t="n">
        <v>398</v>
      </c>
      <c r="AD638" s="6" t="n">
        <v>10</v>
      </c>
      <c r="AE638" s="6" t="n">
        <v>2582.8681640625</v>
      </c>
      <c r="AF638" s="8"/>
      <c r="AG638" s="11"/>
      <c r="AH638" s="12" t="n">
        <v>1</v>
      </c>
      <c r="AI638" s="2" t="s">
        <v>317</v>
      </c>
      <c r="AJ638" s="2" t="s">
        <v>70</v>
      </c>
      <c r="AK638" s="2" t="s">
        <v>70</v>
      </c>
    </row>
    <row r="639" customFormat="false" ht="15" hidden="false" customHeight="false" outlineLevel="0" collapsed="false">
      <c r="A639" s="9" t="n">
        <v>634</v>
      </c>
      <c r="B639" s="2" t="s">
        <v>1535</v>
      </c>
      <c r="C639" s="2" t="s">
        <v>1536</v>
      </c>
      <c r="D639" s="2" t="s">
        <v>70</v>
      </c>
      <c r="E639" s="2" t="s">
        <v>71</v>
      </c>
      <c r="F639" s="2" t="s">
        <v>1536</v>
      </c>
      <c r="G639" s="2" t="s">
        <v>329</v>
      </c>
      <c r="H639" s="8" t="n">
        <v>1048.63528827233</v>
      </c>
      <c r="I639" s="2" t="s">
        <v>316</v>
      </c>
      <c r="J639" s="8" t="n">
        <v>2982000</v>
      </c>
      <c r="K639" s="6" t="n">
        <v>15</v>
      </c>
      <c r="L639" s="2"/>
      <c r="M639" s="10" t="b">
        <f aca="false">TRUE()</f>
        <v>1</v>
      </c>
      <c r="N639" s="9" t="n">
        <f aca="false">IF(H639="","",IF(H639&gt;=Assumptions!$B$5,1,IF(H639&gt;=Assumptions!$B$6,2,IF(H639&gt;=Assumptions!$B$7,3,""))))</f>
        <v>1</v>
      </c>
      <c r="O639" s="9" t="n">
        <f aca="false">IF(N639=1,Assumptions!$B$8,IF(N639=2,Assumptions!$B$9,IF(N639=3,Assumptions!$B$10,0)))</f>
        <v>3</v>
      </c>
      <c r="P639" s="6" t="s">
        <v>30</v>
      </c>
      <c r="Q639" s="6" t="s">
        <v>30</v>
      </c>
      <c r="R639" s="11" t="s">
        <v>30</v>
      </c>
      <c r="S639" s="6" t="s">
        <v>30</v>
      </c>
      <c r="T639" s="11" t="s">
        <v>30</v>
      </c>
      <c r="U639" s="6" t="s">
        <v>30</v>
      </c>
      <c r="V639" s="6" t="s">
        <v>30</v>
      </c>
      <c r="W639" s="6" t="s">
        <v>30</v>
      </c>
      <c r="X639" s="2" t="s">
        <v>30</v>
      </c>
      <c r="Y639" s="6" t="str">
        <f aca="false">IF(AND(X639="processed",ISNUMBER(S639)),S639*O639,"")</f>
        <v/>
      </c>
      <c r="Z639" s="6" t="n">
        <f aca="false">IF(ISNUMBER(K639),K639*O639,0)</f>
        <v>45</v>
      </c>
      <c r="AA639" s="2" t="s">
        <v>31</v>
      </c>
      <c r="AB639" s="6" t="n">
        <v>590</v>
      </c>
      <c r="AC639" s="6" t="n">
        <v>476</v>
      </c>
      <c r="AD639" s="6" t="n">
        <v>19</v>
      </c>
      <c r="AE639" s="6" t="n">
        <v>1438.64831542969</v>
      </c>
      <c r="AF639" s="8" t="n">
        <v>1158.281822344</v>
      </c>
      <c r="AG639" s="11" t="n">
        <v>0.07706502315</v>
      </c>
      <c r="AH639" s="12" t="n">
        <v>1</v>
      </c>
      <c r="AI639" s="2" t="s">
        <v>317</v>
      </c>
      <c r="AJ639" s="2" t="s">
        <v>1536</v>
      </c>
      <c r="AK639" s="2" t="s">
        <v>70</v>
      </c>
    </row>
    <row r="640" customFormat="false" ht="15" hidden="false" customHeight="false" outlineLevel="0" collapsed="false">
      <c r="A640" s="9" t="n">
        <v>635</v>
      </c>
      <c r="B640" s="2" t="s">
        <v>1537</v>
      </c>
      <c r="C640" s="2" t="s">
        <v>1112</v>
      </c>
      <c r="D640" s="2" t="s">
        <v>70</v>
      </c>
      <c r="E640" s="2" t="s">
        <v>71</v>
      </c>
      <c r="F640" s="2" t="s">
        <v>1538</v>
      </c>
      <c r="G640" s="2" t="s">
        <v>329</v>
      </c>
      <c r="H640" s="8" t="n">
        <v>589.840880628689</v>
      </c>
      <c r="I640" s="2" t="s">
        <v>316</v>
      </c>
      <c r="J640" s="8" t="n">
        <v>794890.711111111</v>
      </c>
      <c r="K640" s="6" t="n">
        <v>45</v>
      </c>
      <c r="L640" s="2"/>
      <c r="M640" s="10" t="b">
        <f aca="false">TRUE()</f>
        <v>1</v>
      </c>
      <c r="N640" s="9" t="n">
        <f aca="false">IF(H640="","",IF(H640&gt;=Assumptions!$B$5,1,IF(H640&gt;=Assumptions!$B$6,2,IF(H640&gt;=Assumptions!$B$7,3,""))))</f>
        <v>3</v>
      </c>
      <c r="O640" s="9" t="n">
        <f aca="false">IF(N640=1,Assumptions!$B$8,IF(N640=2,Assumptions!$B$9,IF(N640=3,Assumptions!$B$10,0)))</f>
        <v>1</v>
      </c>
      <c r="P640" s="6" t="s">
        <v>30</v>
      </c>
      <c r="Q640" s="6" t="s">
        <v>30</v>
      </c>
      <c r="R640" s="11" t="s">
        <v>30</v>
      </c>
      <c r="S640" s="6" t="s">
        <v>30</v>
      </c>
      <c r="T640" s="11" t="s">
        <v>30</v>
      </c>
      <c r="U640" s="6" t="s">
        <v>30</v>
      </c>
      <c r="V640" s="6" t="s">
        <v>30</v>
      </c>
      <c r="W640" s="6" t="s">
        <v>30</v>
      </c>
      <c r="X640" s="2" t="s">
        <v>30</v>
      </c>
      <c r="Y640" s="6" t="str">
        <f aca="false">IF(AND(X640="processed",ISNUMBER(S640)),S640*O640,"")</f>
        <v/>
      </c>
      <c r="Z640" s="6" t="n">
        <f aca="false">IF(ISNUMBER(K640),K640*O640,0)</f>
        <v>45</v>
      </c>
      <c r="AA640" s="2" t="s">
        <v>31</v>
      </c>
      <c r="AB640" s="6" t="n">
        <v>5855</v>
      </c>
      <c r="AC640" s="6" t="n">
        <v>3892</v>
      </c>
      <c r="AD640" s="6" t="n">
        <v>177</v>
      </c>
      <c r="AE640" s="6" t="n">
        <v>1953.55139160156</v>
      </c>
      <c r="AF640" s="8" t="n">
        <v>566.955640181</v>
      </c>
      <c r="AG640" s="11" t="n">
        <v>0.02278797489</v>
      </c>
      <c r="AH640" s="12" t="n">
        <v>0.999999999999999</v>
      </c>
      <c r="AI640" s="2" t="s">
        <v>317</v>
      </c>
      <c r="AJ640" s="2" t="s">
        <v>1112</v>
      </c>
      <c r="AK640" s="2" t="s">
        <v>70</v>
      </c>
    </row>
    <row r="641" customFormat="false" ht="15" hidden="false" customHeight="false" outlineLevel="0" collapsed="false">
      <c r="A641" s="9" t="n">
        <v>636</v>
      </c>
      <c r="B641" s="2" t="s">
        <v>1539</v>
      </c>
      <c r="C641" s="2" t="s">
        <v>1383</v>
      </c>
      <c r="D641" s="2" t="s">
        <v>70</v>
      </c>
      <c r="E641" s="2" t="s">
        <v>71</v>
      </c>
      <c r="F641" s="2" t="s">
        <v>1540</v>
      </c>
      <c r="G641" s="2" t="s">
        <v>329</v>
      </c>
      <c r="H641" s="8" t="n">
        <v>675.97472715</v>
      </c>
      <c r="I641" s="2" t="s">
        <v>316</v>
      </c>
      <c r="J641" s="8" t="n">
        <v>860681.818181818</v>
      </c>
      <c r="K641" s="6" t="n">
        <v>22</v>
      </c>
      <c r="L641" s="2"/>
      <c r="M641" s="10" t="b">
        <f aca="false">TRUE()</f>
        <v>1</v>
      </c>
      <c r="N641" s="9" t="n">
        <f aca="false">IF(H641="","",IF(H641&gt;=Assumptions!$B$5,1,IF(H641&gt;=Assumptions!$B$6,2,IF(H641&gt;=Assumptions!$B$7,3,""))))</f>
        <v>2</v>
      </c>
      <c r="O641" s="9" t="n">
        <f aca="false">IF(N641=1,Assumptions!$B$8,IF(N641=2,Assumptions!$B$9,IF(N641=3,Assumptions!$B$10,0)))</f>
        <v>2</v>
      </c>
      <c r="P641" s="6" t="s">
        <v>30</v>
      </c>
      <c r="Q641" s="6" t="s">
        <v>30</v>
      </c>
      <c r="R641" s="11" t="s">
        <v>30</v>
      </c>
      <c r="S641" s="6" t="s">
        <v>30</v>
      </c>
      <c r="T641" s="11" t="s">
        <v>30</v>
      </c>
      <c r="U641" s="6" t="s">
        <v>30</v>
      </c>
      <c r="V641" s="6" t="s">
        <v>30</v>
      </c>
      <c r="W641" s="6" t="s">
        <v>30</v>
      </c>
      <c r="X641" s="2" t="s">
        <v>30</v>
      </c>
      <c r="Y641" s="6" t="str">
        <f aca="false">IF(AND(X641="processed",ISNUMBER(S641)),S641*O641,"")</f>
        <v/>
      </c>
      <c r="Z641" s="6" t="n">
        <f aca="false">IF(ISNUMBER(K641),K641*O641,0)</f>
        <v>44</v>
      </c>
      <c r="AA641" s="2" t="s">
        <v>31</v>
      </c>
      <c r="AB641" s="6" t="n">
        <v>6701</v>
      </c>
      <c r="AC641" s="6" t="n">
        <v>5081</v>
      </c>
      <c r="AD641" s="6" t="n">
        <v>140</v>
      </c>
      <c r="AE641" s="6" t="n">
        <v>1402.70434570313</v>
      </c>
      <c r="AF641" s="8" t="n">
        <v>632.780082988</v>
      </c>
      <c r="AG641" s="11" t="n">
        <v>-0.2677704742</v>
      </c>
      <c r="AH641" s="12" t="n">
        <v>1</v>
      </c>
      <c r="AI641" s="2" t="s">
        <v>317</v>
      </c>
      <c r="AJ641" s="2" t="s">
        <v>1383</v>
      </c>
      <c r="AK641" s="2" t="s">
        <v>1383</v>
      </c>
    </row>
    <row r="642" customFormat="false" ht="15" hidden="false" customHeight="false" outlineLevel="0" collapsed="false">
      <c r="A642" s="9" t="n">
        <v>637</v>
      </c>
      <c r="B642" s="2" t="s">
        <v>1541</v>
      </c>
      <c r="C642" s="2" t="s">
        <v>1542</v>
      </c>
      <c r="D642" s="2" t="s">
        <v>595</v>
      </c>
      <c r="E642" s="2" t="s">
        <v>51</v>
      </c>
      <c r="F642" s="2"/>
      <c r="G642" s="2" t="s">
        <v>597</v>
      </c>
      <c r="H642" s="8" t="n">
        <v>554.81828231925</v>
      </c>
      <c r="I642" s="2" t="s">
        <v>316</v>
      </c>
      <c r="J642" s="8" t="n">
        <v>759363.636363636</v>
      </c>
      <c r="K642" s="6" t="n">
        <v>44</v>
      </c>
      <c r="L642" s="2"/>
      <c r="M642" s="10" t="b">
        <f aca="false">TRUE()</f>
        <v>1</v>
      </c>
      <c r="N642" s="9" t="n">
        <f aca="false">IF(H642="","",IF(H642&gt;=Assumptions!$B$5,1,IF(H642&gt;=Assumptions!$B$6,2,IF(H642&gt;=Assumptions!$B$7,3,""))))</f>
        <v>3</v>
      </c>
      <c r="O642" s="9" t="n">
        <f aca="false">IF(N642=1,Assumptions!$B$8,IF(N642=2,Assumptions!$B$9,IF(N642=3,Assumptions!$B$10,0)))</f>
        <v>1</v>
      </c>
      <c r="P642" s="6" t="s">
        <v>30</v>
      </c>
      <c r="Q642" s="6" t="s">
        <v>30</v>
      </c>
      <c r="R642" s="11" t="s">
        <v>30</v>
      </c>
      <c r="S642" s="6" t="s">
        <v>30</v>
      </c>
      <c r="T642" s="11" t="s">
        <v>30</v>
      </c>
      <c r="U642" s="6" t="s">
        <v>30</v>
      </c>
      <c r="V642" s="6" t="s">
        <v>30</v>
      </c>
      <c r="W642" s="6" t="s">
        <v>30</v>
      </c>
      <c r="X642" s="2" t="s">
        <v>30</v>
      </c>
      <c r="Y642" s="6" t="str">
        <f aca="false">IF(AND(X642="processed",ISNUMBER(S642)),S642*O642,"")</f>
        <v/>
      </c>
      <c r="Z642" s="6" t="n">
        <f aca="false">IF(ISNUMBER(K642),K642*O642,0)</f>
        <v>44</v>
      </c>
      <c r="AA642" s="2" t="s">
        <v>31</v>
      </c>
      <c r="AB642" s="6" t="n">
        <v>3066</v>
      </c>
      <c r="AC642" s="6" t="n">
        <v>2739</v>
      </c>
      <c r="AD642" s="6" t="n">
        <v>66</v>
      </c>
      <c r="AE642" s="6" t="n">
        <v>1762.8525390625</v>
      </c>
      <c r="AF642" s="8" t="n">
        <v>579.10673732</v>
      </c>
      <c r="AG642" s="11" t="n">
        <v>0.01831046087</v>
      </c>
      <c r="AH642" s="12" t="n">
        <v>0.994141126590863</v>
      </c>
      <c r="AI642" s="2" t="s">
        <v>317</v>
      </c>
      <c r="AJ642" s="2" t="s">
        <v>1542</v>
      </c>
      <c r="AK642" s="2" t="s">
        <v>1360</v>
      </c>
    </row>
    <row r="643" customFormat="false" ht="15" hidden="false" customHeight="false" outlineLevel="0" collapsed="false">
      <c r="A643" s="9" t="n">
        <v>638</v>
      </c>
      <c r="B643" s="2" t="s">
        <v>1543</v>
      </c>
      <c r="C643" s="2" t="s">
        <v>70</v>
      </c>
      <c r="D643" s="2" t="s">
        <v>70</v>
      </c>
      <c r="E643" s="2" t="s">
        <v>71</v>
      </c>
      <c r="F643" s="2"/>
      <c r="G643" s="2" t="s">
        <v>329</v>
      </c>
      <c r="H643" s="8" t="n">
        <v>532.098350361905</v>
      </c>
      <c r="I643" s="2" t="s">
        <v>316</v>
      </c>
      <c r="J643" s="8" t="n">
        <v>607952.380952381</v>
      </c>
      <c r="K643" s="6" t="n">
        <v>42</v>
      </c>
      <c r="L643" s="2"/>
      <c r="M643" s="10" t="b">
        <f aca="false">TRUE()</f>
        <v>1</v>
      </c>
      <c r="N643" s="9" t="n">
        <f aca="false">IF(H643="","",IF(H643&gt;=Assumptions!$B$5,1,IF(H643&gt;=Assumptions!$B$6,2,IF(H643&gt;=Assumptions!$B$7,3,""))))</f>
        <v>3</v>
      </c>
      <c r="O643" s="9" t="n">
        <f aca="false">IF(N643=1,Assumptions!$B$8,IF(N643=2,Assumptions!$B$9,IF(N643=3,Assumptions!$B$10,0)))</f>
        <v>1</v>
      </c>
      <c r="P643" s="6" t="s">
        <v>30</v>
      </c>
      <c r="Q643" s="6" t="s">
        <v>30</v>
      </c>
      <c r="R643" s="11" t="s">
        <v>30</v>
      </c>
      <c r="S643" s="6" t="s">
        <v>30</v>
      </c>
      <c r="T643" s="11" t="s">
        <v>30</v>
      </c>
      <c r="U643" s="6" t="s">
        <v>30</v>
      </c>
      <c r="V643" s="6" t="s">
        <v>30</v>
      </c>
      <c r="W643" s="6" t="s">
        <v>30</v>
      </c>
      <c r="X643" s="2" t="s">
        <v>30</v>
      </c>
      <c r="Y643" s="6" t="str">
        <f aca="false">IF(AND(X643="processed",ISNUMBER(S643)),S643*O643,"")</f>
        <v/>
      </c>
      <c r="Z643" s="6" t="n">
        <f aca="false">IF(ISNUMBER(K643),K643*O643,0)</f>
        <v>42</v>
      </c>
      <c r="AA643" s="2" t="s">
        <v>31</v>
      </c>
      <c r="AB643" s="6" t="n">
        <v>11753</v>
      </c>
      <c r="AC643" s="6" t="n">
        <v>8468</v>
      </c>
      <c r="AD643" s="6" t="n">
        <v>162</v>
      </c>
      <c r="AE643" s="6" t="n">
        <v>1448.92309570313</v>
      </c>
      <c r="AF643" s="8" t="n">
        <v>538.576779026</v>
      </c>
      <c r="AG643" s="11" t="n">
        <v>-0.1120535207</v>
      </c>
      <c r="AH643" s="12" t="n">
        <v>0.999999999999999</v>
      </c>
      <c r="AI643" s="2" t="s">
        <v>317</v>
      </c>
      <c r="AJ643" s="2" t="s">
        <v>70</v>
      </c>
      <c r="AK643" s="2" t="s">
        <v>70</v>
      </c>
    </row>
    <row r="644" customFormat="false" ht="15" hidden="false" customHeight="false" outlineLevel="0" collapsed="false">
      <c r="A644" s="9" t="n">
        <v>639</v>
      </c>
      <c r="B644" s="2" t="s">
        <v>1544</v>
      </c>
      <c r="C644" s="2" t="s">
        <v>679</v>
      </c>
      <c r="D644" s="2" t="s">
        <v>70</v>
      </c>
      <c r="E644" s="2" t="s">
        <v>71</v>
      </c>
      <c r="F644" s="2" t="s">
        <v>1545</v>
      </c>
      <c r="G644" s="2" t="s">
        <v>329</v>
      </c>
      <c r="H644" s="8" t="n">
        <v>1065.93559756371</v>
      </c>
      <c r="I644" s="2" t="s">
        <v>337</v>
      </c>
      <c r="J644" s="8" t="n">
        <v>1370214.28571429</v>
      </c>
      <c r="K644" s="6" t="n">
        <v>14</v>
      </c>
      <c r="L644" s="2"/>
      <c r="M644" s="10" t="b">
        <f aca="false">TRUE()</f>
        <v>1</v>
      </c>
      <c r="N644" s="9" t="n">
        <f aca="false">IF(H644="","",IF(H644&gt;=Assumptions!$B$5,1,IF(H644&gt;=Assumptions!$B$6,2,IF(H644&gt;=Assumptions!$B$7,3,""))))</f>
        <v>1</v>
      </c>
      <c r="O644" s="9" t="n">
        <f aca="false">IF(N644=1,Assumptions!$B$8,IF(N644=2,Assumptions!$B$9,IF(N644=3,Assumptions!$B$10,0)))</f>
        <v>3</v>
      </c>
      <c r="P644" s="6" t="s">
        <v>30</v>
      </c>
      <c r="Q644" s="6" t="s">
        <v>30</v>
      </c>
      <c r="R644" s="11" t="s">
        <v>30</v>
      </c>
      <c r="S644" s="6" t="s">
        <v>30</v>
      </c>
      <c r="T644" s="11" t="s">
        <v>30</v>
      </c>
      <c r="U644" s="6" t="s">
        <v>30</v>
      </c>
      <c r="V644" s="6" t="s">
        <v>30</v>
      </c>
      <c r="W644" s="6" t="s">
        <v>30</v>
      </c>
      <c r="X644" s="2" t="s">
        <v>30</v>
      </c>
      <c r="Y644" s="6" t="str">
        <f aca="false">IF(AND(X644="processed",ISNUMBER(S644)),S644*O644,"")</f>
        <v/>
      </c>
      <c r="Z644" s="6" t="n">
        <f aca="false">IF(ISNUMBER(K644),K644*O644,0)</f>
        <v>42</v>
      </c>
      <c r="AA644" s="2" t="s">
        <v>31</v>
      </c>
      <c r="AB644" s="6" t="n">
        <v>1031</v>
      </c>
      <c r="AC644" s="6" t="n">
        <v>574</v>
      </c>
      <c r="AD644" s="6" t="n">
        <v>19</v>
      </c>
      <c r="AE644" s="6" t="n">
        <v>2651.06713867188</v>
      </c>
      <c r="AF644" s="8"/>
      <c r="AG644" s="11"/>
      <c r="AH644" s="12" t="n">
        <v>0.868179909786734</v>
      </c>
      <c r="AI644" s="2" t="s">
        <v>317</v>
      </c>
      <c r="AJ644" s="2" t="s">
        <v>679</v>
      </c>
      <c r="AK644" s="2" t="s">
        <v>679</v>
      </c>
    </row>
    <row r="645" customFormat="false" ht="15" hidden="false" customHeight="false" outlineLevel="0" collapsed="false">
      <c r="A645" s="9" t="n">
        <v>640</v>
      </c>
      <c r="B645" s="2" t="s">
        <v>1546</v>
      </c>
      <c r="C645" s="2" t="s">
        <v>70</v>
      </c>
      <c r="D645" s="2" t="s">
        <v>70</v>
      </c>
      <c r="E645" s="2" t="s">
        <v>71</v>
      </c>
      <c r="F645" s="2" t="s">
        <v>1547</v>
      </c>
      <c r="G645" s="2" t="s">
        <v>329</v>
      </c>
      <c r="H645" s="8" t="n">
        <v>555.575367608024</v>
      </c>
      <c r="I645" s="2" t="s">
        <v>337</v>
      </c>
      <c r="J645" s="8" t="n">
        <v>601097.56097561</v>
      </c>
      <c r="K645" s="6" t="n">
        <v>41</v>
      </c>
      <c r="L645" s="2"/>
      <c r="M645" s="10" t="b">
        <f aca="false">TRUE()</f>
        <v>1</v>
      </c>
      <c r="N645" s="9" t="n">
        <f aca="false">IF(H645="","",IF(H645&gt;=Assumptions!$B$5,1,IF(H645&gt;=Assumptions!$B$6,2,IF(H645&gt;=Assumptions!$B$7,3,""))))</f>
        <v>3</v>
      </c>
      <c r="O645" s="9" t="n">
        <f aca="false">IF(N645=1,Assumptions!$B$8,IF(N645=2,Assumptions!$B$9,IF(N645=3,Assumptions!$B$10,0)))</f>
        <v>1</v>
      </c>
      <c r="P645" s="6" t="s">
        <v>30</v>
      </c>
      <c r="Q645" s="6" t="s">
        <v>30</v>
      </c>
      <c r="R645" s="11" t="s">
        <v>30</v>
      </c>
      <c r="S645" s="6" t="s">
        <v>30</v>
      </c>
      <c r="T645" s="11" t="s">
        <v>30</v>
      </c>
      <c r="U645" s="6" t="s">
        <v>30</v>
      </c>
      <c r="V645" s="6" t="s">
        <v>30</v>
      </c>
      <c r="W645" s="6" t="s">
        <v>30</v>
      </c>
      <c r="X645" s="2" t="s">
        <v>30</v>
      </c>
      <c r="Y645" s="6" t="str">
        <f aca="false">IF(AND(X645="processed",ISNUMBER(S645)),S645*O645,"")</f>
        <v/>
      </c>
      <c r="Z645" s="6" t="n">
        <f aca="false">IF(ISNUMBER(K645),K645*O645,0)</f>
        <v>41</v>
      </c>
      <c r="AA645" s="2" t="s">
        <v>31</v>
      </c>
      <c r="AB645" s="6" t="n">
        <v>650</v>
      </c>
      <c r="AC645" s="6" t="n">
        <v>266</v>
      </c>
      <c r="AD645" s="6" t="n">
        <v>10</v>
      </c>
      <c r="AE645" s="6" t="n">
        <v>4053.115234375</v>
      </c>
      <c r="AF645" s="8"/>
      <c r="AG645" s="11"/>
      <c r="AH645" s="12" t="n">
        <v>0.999999999999999</v>
      </c>
      <c r="AI645" s="2" t="s">
        <v>317</v>
      </c>
      <c r="AJ645" s="2" t="s">
        <v>70</v>
      </c>
      <c r="AK645" s="2" t="s">
        <v>70</v>
      </c>
    </row>
    <row r="646" customFormat="false" ht="15" hidden="false" customHeight="false" outlineLevel="0" collapsed="false">
      <c r="A646" s="9" t="n">
        <v>641</v>
      </c>
      <c r="B646" s="2" t="s">
        <v>1548</v>
      </c>
      <c r="C646" s="2" t="s">
        <v>56</v>
      </c>
      <c r="D646" s="2" t="s">
        <v>56</v>
      </c>
      <c r="E646" s="2" t="s">
        <v>56</v>
      </c>
      <c r="F646" s="2" t="s">
        <v>1549</v>
      </c>
      <c r="G646" s="2" t="s">
        <v>324</v>
      </c>
      <c r="H646" s="8" t="n">
        <v>890.3555050165</v>
      </c>
      <c r="I646" s="2" t="s">
        <v>316</v>
      </c>
      <c r="J646" s="8" t="n">
        <v>1348541.66666667</v>
      </c>
      <c r="K646" s="6" t="n">
        <v>12</v>
      </c>
      <c r="L646" s="2"/>
      <c r="M646" s="10" t="b">
        <f aca="false">TRUE()</f>
        <v>1</v>
      </c>
      <c r="N646" s="9" t="n">
        <f aca="false">IF(H646="","",IF(H646&gt;=Assumptions!$B$5,1,IF(H646&gt;=Assumptions!$B$6,2,IF(H646&gt;=Assumptions!$B$7,3,""))))</f>
        <v>1</v>
      </c>
      <c r="O646" s="9" t="n">
        <f aca="false">IF(N646=1,Assumptions!$B$8,IF(N646=2,Assumptions!$B$9,IF(N646=3,Assumptions!$B$10,0)))</f>
        <v>3</v>
      </c>
      <c r="P646" s="6" t="s">
        <v>30</v>
      </c>
      <c r="Q646" s="6" t="s">
        <v>30</v>
      </c>
      <c r="R646" s="11" t="s">
        <v>30</v>
      </c>
      <c r="S646" s="6" t="s">
        <v>30</v>
      </c>
      <c r="T646" s="11" t="s">
        <v>30</v>
      </c>
      <c r="U646" s="6" t="s">
        <v>30</v>
      </c>
      <c r="V646" s="6" t="s">
        <v>30</v>
      </c>
      <c r="W646" s="6" t="s">
        <v>30</v>
      </c>
      <c r="X646" s="2" t="s">
        <v>30</v>
      </c>
      <c r="Y646" s="6" t="str">
        <f aca="false">IF(AND(X646="processed",ISNUMBER(S646)),S646*O646,"")</f>
        <v/>
      </c>
      <c r="Z646" s="6" t="n">
        <f aca="false">IF(ISNUMBER(K646),K646*O646,0)</f>
        <v>36</v>
      </c>
      <c r="AA646" s="2" t="s">
        <v>31</v>
      </c>
      <c r="AB646" s="6" t="n">
        <v>1542</v>
      </c>
      <c r="AC646" s="6" t="n">
        <v>1117</v>
      </c>
      <c r="AD646" s="6" t="n">
        <v>5</v>
      </c>
      <c r="AE646" s="6" t="n">
        <v>1978.09326171875</v>
      </c>
      <c r="AF646" s="8" t="n">
        <v>998.803827751</v>
      </c>
      <c r="AG646" s="11" t="n">
        <v>-0.1089130648</v>
      </c>
      <c r="AH646" s="12" t="n">
        <v>1</v>
      </c>
      <c r="AI646" s="2" t="s">
        <v>317</v>
      </c>
      <c r="AJ646" s="2" t="s">
        <v>56</v>
      </c>
      <c r="AK646" s="2" t="s">
        <v>56</v>
      </c>
    </row>
    <row r="647" customFormat="false" ht="15" hidden="false" customHeight="false" outlineLevel="0" collapsed="false">
      <c r="A647" s="9" t="n">
        <v>642</v>
      </c>
      <c r="B647" s="2" t="s">
        <v>1550</v>
      </c>
      <c r="C647" s="2" t="s">
        <v>56</v>
      </c>
      <c r="D647" s="2" t="s">
        <v>56</v>
      </c>
      <c r="E647" s="2" t="s">
        <v>56</v>
      </c>
      <c r="F647" s="2"/>
      <c r="G647" s="2" t="s">
        <v>324</v>
      </c>
      <c r="H647" s="8" t="n">
        <v>991.309110035416</v>
      </c>
      <c r="I647" s="2" t="s">
        <v>337</v>
      </c>
      <c r="J647" s="8" t="n">
        <v>1485708.33333333</v>
      </c>
      <c r="K647" s="6" t="n">
        <v>12</v>
      </c>
      <c r="L647" s="2"/>
      <c r="M647" s="10" t="b">
        <f aca="false">TRUE()</f>
        <v>1</v>
      </c>
      <c r="N647" s="9" t="n">
        <f aca="false">IF(H647="","",IF(H647&gt;=Assumptions!$B$5,1,IF(H647&gt;=Assumptions!$B$6,2,IF(H647&gt;=Assumptions!$B$7,3,""))))</f>
        <v>1</v>
      </c>
      <c r="O647" s="9" t="n">
        <f aca="false">IF(N647=1,Assumptions!$B$8,IF(N647=2,Assumptions!$B$9,IF(N647=3,Assumptions!$B$10,0)))</f>
        <v>3</v>
      </c>
      <c r="P647" s="6" t="s">
        <v>30</v>
      </c>
      <c r="Q647" s="6" t="s">
        <v>30</v>
      </c>
      <c r="R647" s="11" t="s">
        <v>30</v>
      </c>
      <c r="S647" s="6" t="s">
        <v>30</v>
      </c>
      <c r="T647" s="11" t="s">
        <v>30</v>
      </c>
      <c r="U647" s="6" t="s">
        <v>30</v>
      </c>
      <c r="V647" s="6" t="s">
        <v>30</v>
      </c>
      <c r="W647" s="6" t="s">
        <v>30</v>
      </c>
      <c r="X647" s="2" t="s">
        <v>30</v>
      </c>
      <c r="Y647" s="6" t="str">
        <f aca="false">IF(AND(X647="processed",ISNUMBER(S647)),S647*O647,"")</f>
        <v/>
      </c>
      <c r="Z647" s="6" t="n">
        <f aca="false">IF(ISNUMBER(K647),K647*O647,0)</f>
        <v>36</v>
      </c>
      <c r="AA647" s="2" t="s">
        <v>31</v>
      </c>
      <c r="AB647" s="6" t="n">
        <v>372</v>
      </c>
      <c r="AC647" s="6" t="n">
        <v>235</v>
      </c>
      <c r="AD647" s="6" t="n">
        <v>86</v>
      </c>
      <c r="AE647" s="6" t="n">
        <v>3296.30200195313</v>
      </c>
      <c r="AF647" s="8"/>
      <c r="AG647" s="11"/>
      <c r="AH647" s="12" t="n">
        <v>0.813770345550595</v>
      </c>
      <c r="AI647" s="2" t="s">
        <v>317</v>
      </c>
      <c r="AJ647" s="2" t="s">
        <v>56</v>
      </c>
      <c r="AK647" s="2" t="s">
        <v>56</v>
      </c>
    </row>
    <row r="648" customFormat="false" ht="15" hidden="false" customHeight="false" outlineLevel="0" collapsed="false">
      <c r="A648" s="9" t="n">
        <v>643</v>
      </c>
      <c r="B648" s="2" t="s">
        <v>1551</v>
      </c>
      <c r="C648" s="2" t="s">
        <v>70</v>
      </c>
      <c r="D648" s="2" t="s">
        <v>70</v>
      </c>
      <c r="E648" s="2" t="s">
        <v>71</v>
      </c>
      <c r="F648" s="2" t="s">
        <v>1552</v>
      </c>
      <c r="G648" s="2" t="s">
        <v>329</v>
      </c>
      <c r="H648" s="8" t="n">
        <v>648.976846494529</v>
      </c>
      <c r="I648" s="2" t="s">
        <v>316</v>
      </c>
      <c r="J648" s="8" t="n">
        <v>781366.470588235</v>
      </c>
      <c r="K648" s="6" t="n">
        <v>17</v>
      </c>
      <c r="L648" s="2"/>
      <c r="M648" s="10" t="b">
        <f aca="false">TRUE()</f>
        <v>1</v>
      </c>
      <c r="N648" s="9" t="n">
        <f aca="false">IF(H648="","",IF(H648&gt;=Assumptions!$B$5,1,IF(H648&gt;=Assumptions!$B$6,2,IF(H648&gt;=Assumptions!$B$7,3,""))))</f>
        <v>2</v>
      </c>
      <c r="O648" s="9" t="n">
        <f aca="false">IF(N648=1,Assumptions!$B$8,IF(N648=2,Assumptions!$B$9,IF(N648=3,Assumptions!$B$10,0)))</f>
        <v>2</v>
      </c>
      <c r="P648" s="6" t="s">
        <v>30</v>
      </c>
      <c r="Q648" s="6" t="s">
        <v>30</v>
      </c>
      <c r="R648" s="11" t="s">
        <v>30</v>
      </c>
      <c r="S648" s="6" t="s">
        <v>30</v>
      </c>
      <c r="T648" s="11" t="s">
        <v>30</v>
      </c>
      <c r="U648" s="6" t="s">
        <v>30</v>
      </c>
      <c r="V648" s="6" t="s">
        <v>30</v>
      </c>
      <c r="W648" s="6" t="s">
        <v>30</v>
      </c>
      <c r="X648" s="2" t="s">
        <v>30</v>
      </c>
      <c r="Y648" s="6" t="str">
        <f aca="false">IF(AND(X648="processed",ISNUMBER(S648)),S648*O648,"")</f>
        <v/>
      </c>
      <c r="Z648" s="6" t="n">
        <f aca="false">IF(ISNUMBER(K648),K648*O648,0)</f>
        <v>34</v>
      </c>
      <c r="AA648" s="2" t="s">
        <v>31</v>
      </c>
      <c r="AB648" s="6" t="n">
        <v>2255</v>
      </c>
      <c r="AC648" s="6" t="n">
        <v>1347</v>
      </c>
      <c r="AD648" s="6" t="n">
        <v>62</v>
      </c>
      <c r="AE648" s="6" t="n">
        <v>1791.88427734375</v>
      </c>
      <c r="AF648" s="8" t="n">
        <v>896.625687891</v>
      </c>
      <c r="AG648" s="11" t="n">
        <v>-0.008560438369</v>
      </c>
      <c r="AH648" s="12" t="n">
        <v>1</v>
      </c>
      <c r="AI648" s="2" t="s">
        <v>317</v>
      </c>
      <c r="AJ648" s="2" t="s">
        <v>70</v>
      </c>
      <c r="AK648" s="2" t="s">
        <v>70</v>
      </c>
    </row>
    <row r="649" customFormat="false" ht="15" hidden="false" customHeight="false" outlineLevel="0" collapsed="false">
      <c r="A649" s="9" t="n">
        <v>644</v>
      </c>
      <c r="B649" s="2" t="s">
        <v>1553</v>
      </c>
      <c r="C649" s="2" t="s">
        <v>84</v>
      </c>
      <c r="D649" s="2" t="s">
        <v>70</v>
      </c>
      <c r="E649" s="2" t="s">
        <v>71</v>
      </c>
      <c r="F649" s="2" t="s">
        <v>1554</v>
      </c>
      <c r="G649" s="2" t="s">
        <v>329</v>
      </c>
      <c r="H649" s="8" t="n">
        <v>594.894554495212</v>
      </c>
      <c r="I649" s="2" t="s">
        <v>316</v>
      </c>
      <c r="J649" s="8" t="n">
        <v>627212.121212121</v>
      </c>
      <c r="K649" s="6" t="n">
        <v>33</v>
      </c>
      <c r="L649" s="2"/>
      <c r="M649" s="10" t="b">
        <f aca="false">TRUE()</f>
        <v>1</v>
      </c>
      <c r="N649" s="9" t="n">
        <f aca="false">IF(H649="","",IF(H649&gt;=Assumptions!$B$5,1,IF(H649&gt;=Assumptions!$B$6,2,IF(H649&gt;=Assumptions!$B$7,3,""))))</f>
        <v>3</v>
      </c>
      <c r="O649" s="9" t="n">
        <f aca="false">IF(N649=1,Assumptions!$B$8,IF(N649=2,Assumptions!$B$9,IF(N649=3,Assumptions!$B$10,0)))</f>
        <v>1</v>
      </c>
      <c r="P649" s="6" t="s">
        <v>30</v>
      </c>
      <c r="Q649" s="6" t="s">
        <v>30</v>
      </c>
      <c r="R649" s="11" t="s">
        <v>30</v>
      </c>
      <c r="S649" s="6" t="s">
        <v>30</v>
      </c>
      <c r="T649" s="11" t="s">
        <v>30</v>
      </c>
      <c r="U649" s="6" t="s">
        <v>30</v>
      </c>
      <c r="V649" s="6" t="s">
        <v>30</v>
      </c>
      <c r="W649" s="6" t="s">
        <v>30</v>
      </c>
      <c r="X649" s="2" t="s">
        <v>30</v>
      </c>
      <c r="Y649" s="6" t="str">
        <f aca="false">IF(AND(X649="processed",ISNUMBER(S649)),S649*O649,"")</f>
        <v/>
      </c>
      <c r="Z649" s="6" t="n">
        <f aca="false">IF(ISNUMBER(K649),K649*O649,0)</f>
        <v>33</v>
      </c>
      <c r="AA649" s="2" t="s">
        <v>31</v>
      </c>
      <c r="AB649" s="6" t="n">
        <v>9001</v>
      </c>
      <c r="AC649" s="6" t="n">
        <v>6905</v>
      </c>
      <c r="AD649" s="6" t="n">
        <v>134</v>
      </c>
      <c r="AE649" s="6" t="n">
        <v>1594.63562011719</v>
      </c>
      <c r="AF649" s="8" t="n">
        <v>557.142857143</v>
      </c>
      <c r="AG649" s="11" t="n">
        <v>0.0475542236</v>
      </c>
      <c r="AH649" s="12" t="n">
        <v>0.999999999999998</v>
      </c>
      <c r="AI649" s="2" t="s">
        <v>317</v>
      </c>
      <c r="AJ649" s="2" t="s">
        <v>84</v>
      </c>
      <c r="AK649" s="2" t="s">
        <v>84</v>
      </c>
    </row>
    <row r="650" customFormat="false" ht="15" hidden="false" customHeight="false" outlineLevel="0" collapsed="false">
      <c r="A650" s="9" t="n">
        <v>645</v>
      </c>
      <c r="B650" s="2" t="s">
        <v>1555</v>
      </c>
      <c r="C650" s="2" t="s">
        <v>452</v>
      </c>
      <c r="D650" s="2" t="s">
        <v>70</v>
      </c>
      <c r="E650" s="2" t="s">
        <v>71</v>
      </c>
      <c r="F650" s="2"/>
      <c r="G650" s="2" t="s">
        <v>329</v>
      </c>
      <c r="H650" s="8" t="n">
        <v>790.693136017273</v>
      </c>
      <c r="I650" s="2" t="s">
        <v>316</v>
      </c>
      <c r="J650" s="8" t="n">
        <v>995000</v>
      </c>
      <c r="K650" s="6" t="n">
        <v>11</v>
      </c>
      <c r="L650" s="2"/>
      <c r="M650" s="10" t="b">
        <f aca="false">TRUE()</f>
        <v>1</v>
      </c>
      <c r="N650" s="9" t="n">
        <f aca="false">IF(H650="","",IF(H650&gt;=Assumptions!$B$5,1,IF(H650&gt;=Assumptions!$B$6,2,IF(H650&gt;=Assumptions!$B$7,3,""))))</f>
        <v>1</v>
      </c>
      <c r="O650" s="9" t="n">
        <f aca="false">IF(N650=1,Assumptions!$B$8,IF(N650=2,Assumptions!$B$9,IF(N650=3,Assumptions!$B$10,0)))</f>
        <v>3</v>
      </c>
      <c r="P650" s="6" t="s">
        <v>30</v>
      </c>
      <c r="Q650" s="6" t="s">
        <v>30</v>
      </c>
      <c r="R650" s="11" t="s">
        <v>30</v>
      </c>
      <c r="S650" s="6" t="s">
        <v>30</v>
      </c>
      <c r="T650" s="11" t="s">
        <v>30</v>
      </c>
      <c r="U650" s="6" t="s">
        <v>30</v>
      </c>
      <c r="V650" s="6" t="s">
        <v>30</v>
      </c>
      <c r="W650" s="6" t="s">
        <v>30</v>
      </c>
      <c r="X650" s="2" t="s">
        <v>30</v>
      </c>
      <c r="Y650" s="6" t="str">
        <f aca="false">IF(AND(X650="processed",ISNUMBER(S650)),S650*O650,"")</f>
        <v/>
      </c>
      <c r="Z650" s="6" t="n">
        <f aca="false">IF(ISNUMBER(K650),K650*O650,0)</f>
        <v>33</v>
      </c>
      <c r="AA650" s="2" t="s">
        <v>31</v>
      </c>
      <c r="AB650" s="6" t="n">
        <v>2003</v>
      </c>
      <c r="AC650" s="6" t="n">
        <v>1388</v>
      </c>
      <c r="AD650" s="6" t="n">
        <v>16</v>
      </c>
      <c r="AE650" s="6" t="n">
        <v>1949.67431640625</v>
      </c>
      <c r="AF650" s="8" t="n">
        <v>699.558173785</v>
      </c>
      <c r="AG650" s="11"/>
      <c r="AH650" s="12" t="n">
        <v>1</v>
      </c>
      <c r="AI650" s="2" t="s">
        <v>317</v>
      </c>
      <c r="AJ650" s="2" t="s">
        <v>452</v>
      </c>
      <c r="AK650" s="2" t="s">
        <v>452</v>
      </c>
    </row>
    <row r="651" customFormat="false" ht="15" hidden="false" customHeight="false" outlineLevel="0" collapsed="false">
      <c r="A651" s="9" t="n">
        <v>646</v>
      </c>
      <c r="B651" s="2" t="s">
        <v>1556</v>
      </c>
      <c r="C651" s="2" t="s">
        <v>1557</v>
      </c>
      <c r="D651" s="2" t="s">
        <v>62</v>
      </c>
      <c r="E651" s="2" t="s">
        <v>40</v>
      </c>
      <c r="F651" s="2"/>
      <c r="G651" s="2" t="s">
        <v>324</v>
      </c>
      <c r="H651" s="8" t="n">
        <v>743.524494040909</v>
      </c>
      <c r="I651" s="2" t="s">
        <v>316</v>
      </c>
      <c r="J651" s="8" t="n">
        <v>1387318.18181818</v>
      </c>
      <c r="K651" s="6" t="n">
        <v>11</v>
      </c>
      <c r="L651" s="2"/>
      <c r="M651" s="10" t="b">
        <f aca="false">TRUE()</f>
        <v>1</v>
      </c>
      <c r="N651" s="9" t="n">
        <f aca="false">IF(H651="","",IF(H651&gt;=Assumptions!$B$5,1,IF(H651&gt;=Assumptions!$B$6,2,IF(H651&gt;=Assumptions!$B$7,3,""))))</f>
        <v>1</v>
      </c>
      <c r="O651" s="9" t="n">
        <f aca="false">IF(N651=1,Assumptions!$B$8,IF(N651=2,Assumptions!$B$9,IF(N651=3,Assumptions!$B$10,0)))</f>
        <v>3</v>
      </c>
      <c r="P651" s="6" t="s">
        <v>30</v>
      </c>
      <c r="Q651" s="6" t="s">
        <v>30</v>
      </c>
      <c r="R651" s="11" t="s">
        <v>30</v>
      </c>
      <c r="S651" s="6" t="s">
        <v>30</v>
      </c>
      <c r="T651" s="11" t="s">
        <v>30</v>
      </c>
      <c r="U651" s="6" t="s">
        <v>30</v>
      </c>
      <c r="V651" s="6" t="s">
        <v>30</v>
      </c>
      <c r="W651" s="6" t="s">
        <v>30</v>
      </c>
      <c r="X651" s="2" t="s">
        <v>30</v>
      </c>
      <c r="Y651" s="6" t="str">
        <f aca="false">IF(AND(X651="processed",ISNUMBER(S651)),S651*O651,"")</f>
        <v/>
      </c>
      <c r="Z651" s="6" t="n">
        <f aca="false">IF(ISNUMBER(K651),K651*O651,0)</f>
        <v>33</v>
      </c>
      <c r="AA651" s="2" t="s">
        <v>31</v>
      </c>
      <c r="AB651" s="6" t="n">
        <v>1328</v>
      </c>
      <c r="AC651" s="6" t="n">
        <v>937</v>
      </c>
      <c r="AD651" s="6" t="n">
        <v>724</v>
      </c>
      <c r="AE651" s="6" t="n">
        <v>1536.505859375</v>
      </c>
      <c r="AF651" s="8" t="n">
        <v>468.703054582</v>
      </c>
      <c r="AG651" s="11" t="n">
        <v>-0.4375563345</v>
      </c>
      <c r="AH651" s="12" t="n">
        <v>0.998528695432097</v>
      </c>
      <c r="AI651" s="2" t="s">
        <v>1558</v>
      </c>
      <c r="AJ651" s="2" t="s">
        <v>1557</v>
      </c>
      <c r="AK651" s="2" t="s">
        <v>1559</v>
      </c>
    </row>
    <row r="652" customFormat="false" ht="15" hidden="false" customHeight="false" outlineLevel="0" collapsed="false">
      <c r="A652" s="9" t="n">
        <v>647</v>
      </c>
      <c r="B652" s="2" t="s">
        <v>1560</v>
      </c>
      <c r="C652" s="2" t="s">
        <v>1561</v>
      </c>
      <c r="D652" s="2" t="s">
        <v>39</v>
      </c>
      <c r="E652" s="2" t="s">
        <v>40</v>
      </c>
      <c r="F652" s="2" t="s">
        <v>1562</v>
      </c>
      <c r="G652" s="2" t="s">
        <v>320</v>
      </c>
      <c r="H652" s="8" t="n">
        <v>1160.28016917727</v>
      </c>
      <c r="I652" s="2" t="s">
        <v>316</v>
      </c>
      <c r="J652" s="8" t="n">
        <v>3179181.81818182</v>
      </c>
      <c r="K652" s="6" t="n">
        <v>11</v>
      </c>
      <c r="L652" s="2"/>
      <c r="M652" s="10" t="b">
        <f aca="false">TRUE()</f>
        <v>1</v>
      </c>
      <c r="N652" s="9" t="n">
        <f aca="false">IF(H652="","",IF(H652&gt;=Assumptions!$B$5,1,IF(H652&gt;=Assumptions!$B$6,2,IF(H652&gt;=Assumptions!$B$7,3,""))))</f>
        <v>1</v>
      </c>
      <c r="O652" s="9" t="n">
        <f aca="false">IF(N652=1,Assumptions!$B$8,IF(N652=2,Assumptions!$B$9,IF(N652=3,Assumptions!$B$10,0)))</f>
        <v>3</v>
      </c>
      <c r="P652" s="6" t="s">
        <v>30</v>
      </c>
      <c r="Q652" s="6" t="s">
        <v>30</v>
      </c>
      <c r="R652" s="11" t="s">
        <v>30</v>
      </c>
      <c r="S652" s="6" t="s">
        <v>30</v>
      </c>
      <c r="T652" s="11" t="s">
        <v>30</v>
      </c>
      <c r="U652" s="6" t="s">
        <v>30</v>
      </c>
      <c r="V652" s="6" t="s">
        <v>30</v>
      </c>
      <c r="W652" s="6" t="s">
        <v>30</v>
      </c>
      <c r="X652" s="2" t="s">
        <v>30</v>
      </c>
      <c r="Y652" s="6" t="str">
        <f aca="false">IF(AND(X652="processed",ISNUMBER(S652)),S652*O652,"")</f>
        <v/>
      </c>
      <c r="Z652" s="6" t="n">
        <f aca="false">IF(ISNUMBER(K652),K652*O652,0)</f>
        <v>33</v>
      </c>
      <c r="AA652" s="2" t="s">
        <v>31</v>
      </c>
      <c r="AB652" s="6" t="n">
        <v>1839</v>
      </c>
      <c r="AC652" s="6" t="n">
        <v>1139</v>
      </c>
      <c r="AD652" s="6" t="n">
        <v>59</v>
      </c>
      <c r="AE652" s="6" t="n">
        <v>3018.443359375</v>
      </c>
      <c r="AF652" s="8" t="n">
        <v>1318.011738081</v>
      </c>
      <c r="AG652" s="11" t="n">
        <v>0.2334314165</v>
      </c>
      <c r="AH652" s="12" t="n">
        <v>0.998876085051273</v>
      </c>
      <c r="AI652" s="2" t="s">
        <v>660</v>
      </c>
      <c r="AJ652" s="2" t="s">
        <v>1563</v>
      </c>
      <c r="AK652" s="2" t="s">
        <v>428</v>
      </c>
    </row>
    <row r="653" customFormat="false" ht="15" hidden="false" customHeight="false" outlineLevel="0" collapsed="false">
      <c r="A653" s="9" t="n">
        <v>648</v>
      </c>
      <c r="B653" s="2" t="s">
        <v>1564</v>
      </c>
      <c r="C653" s="2" t="s">
        <v>1383</v>
      </c>
      <c r="D653" s="2" t="s">
        <v>70</v>
      </c>
      <c r="E653" s="2" t="s">
        <v>71</v>
      </c>
      <c r="F653" s="2"/>
      <c r="G653" s="2" t="s">
        <v>329</v>
      </c>
      <c r="H653" s="8" t="n">
        <v>592.112265180968</v>
      </c>
      <c r="I653" s="2" t="s">
        <v>316</v>
      </c>
      <c r="J653" s="8" t="n">
        <v>843709.677419355</v>
      </c>
      <c r="K653" s="6" t="n">
        <v>31</v>
      </c>
      <c r="L653" s="2"/>
      <c r="M653" s="10" t="b">
        <f aca="false">TRUE()</f>
        <v>1</v>
      </c>
      <c r="N653" s="9" t="n">
        <f aca="false">IF(H653="","",IF(H653&gt;=Assumptions!$B$5,1,IF(H653&gt;=Assumptions!$B$6,2,IF(H653&gt;=Assumptions!$B$7,3,""))))</f>
        <v>3</v>
      </c>
      <c r="O653" s="9" t="n">
        <f aca="false">IF(N653=1,Assumptions!$B$8,IF(N653=2,Assumptions!$B$9,IF(N653=3,Assumptions!$B$10,0)))</f>
        <v>1</v>
      </c>
      <c r="P653" s="6" t="s">
        <v>30</v>
      </c>
      <c r="Q653" s="6" t="s">
        <v>30</v>
      </c>
      <c r="R653" s="11" t="s">
        <v>30</v>
      </c>
      <c r="S653" s="6" t="s">
        <v>30</v>
      </c>
      <c r="T653" s="11" t="s">
        <v>30</v>
      </c>
      <c r="U653" s="6" t="s">
        <v>30</v>
      </c>
      <c r="V653" s="6" t="s">
        <v>30</v>
      </c>
      <c r="W653" s="6" t="s">
        <v>30</v>
      </c>
      <c r="X653" s="2" t="s">
        <v>30</v>
      </c>
      <c r="Y653" s="6" t="str">
        <f aca="false">IF(AND(X653="processed",ISNUMBER(S653)),S653*O653,"")</f>
        <v/>
      </c>
      <c r="Z653" s="6" t="n">
        <f aca="false">IF(ISNUMBER(K653),K653*O653,0)</f>
        <v>31</v>
      </c>
      <c r="AA653" s="2" t="s">
        <v>31</v>
      </c>
      <c r="AB653" s="6" t="n">
        <v>8526</v>
      </c>
      <c r="AC653" s="6" t="n">
        <v>6262</v>
      </c>
      <c r="AD653" s="6" t="n">
        <v>184</v>
      </c>
      <c r="AE653" s="6" t="n">
        <v>1468.376953125</v>
      </c>
      <c r="AF653" s="8" t="n">
        <v>688.328113892</v>
      </c>
      <c r="AG653" s="11" t="n">
        <v>0.1830166705</v>
      </c>
      <c r="AH653" s="12" t="n">
        <v>1</v>
      </c>
      <c r="AI653" s="2" t="s">
        <v>317</v>
      </c>
      <c r="AJ653" s="2" t="s">
        <v>1383</v>
      </c>
      <c r="AK653" s="2" t="s">
        <v>1383</v>
      </c>
    </row>
    <row r="654" customFormat="false" ht="15" hidden="false" customHeight="false" outlineLevel="0" collapsed="false">
      <c r="A654" s="9" t="n">
        <v>649</v>
      </c>
      <c r="B654" s="2" t="s">
        <v>1565</v>
      </c>
      <c r="C654" s="2" t="s">
        <v>1566</v>
      </c>
      <c r="D654" s="2" t="s">
        <v>70</v>
      </c>
      <c r="E654" s="2" t="s">
        <v>71</v>
      </c>
      <c r="F654" s="2"/>
      <c r="G654" s="2" t="s">
        <v>329</v>
      </c>
      <c r="H654" s="8" t="n">
        <v>570.508333111936</v>
      </c>
      <c r="I654" s="2" t="s">
        <v>316</v>
      </c>
      <c r="J654" s="8" t="n">
        <v>1045774.19354839</v>
      </c>
      <c r="K654" s="6" t="n">
        <v>31</v>
      </c>
      <c r="L654" s="2"/>
      <c r="M654" s="10" t="b">
        <f aca="false">TRUE()</f>
        <v>1</v>
      </c>
      <c r="N654" s="9" t="n">
        <f aca="false">IF(H654="","",IF(H654&gt;=Assumptions!$B$5,1,IF(H654&gt;=Assumptions!$B$6,2,IF(H654&gt;=Assumptions!$B$7,3,""))))</f>
        <v>3</v>
      </c>
      <c r="O654" s="9" t="n">
        <f aca="false">IF(N654=1,Assumptions!$B$8,IF(N654=2,Assumptions!$B$9,IF(N654=3,Assumptions!$B$10,0)))</f>
        <v>1</v>
      </c>
      <c r="P654" s="6" t="s">
        <v>30</v>
      </c>
      <c r="Q654" s="6" t="s">
        <v>30</v>
      </c>
      <c r="R654" s="11" t="s">
        <v>30</v>
      </c>
      <c r="S654" s="6" t="s">
        <v>30</v>
      </c>
      <c r="T654" s="11" t="s">
        <v>30</v>
      </c>
      <c r="U654" s="6" t="s">
        <v>30</v>
      </c>
      <c r="V654" s="6" t="s">
        <v>30</v>
      </c>
      <c r="W654" s="6" t="s">
        <v>30</v>
      </c>
      <c r="X654" s="2" t="s">
        <v>30</v>
      </c>
      <c r="Y654" s="6" t="str">
        <f aca="false">IF(AND(X654="processed",ISNUMBER(S654)),S654*O654,"")</f>
        <v/>
      </c>
      <c r="Z654" s="6" t="n">
        <f aca="false">IF(ISNUMBER(K654),K654*O654,0)</f>
        <v>31</v>
      </c>
      <c r="AA654" s="2" t="s">
        <v>31</v>
      </c>
      <c r="AB654" s="6" t="n">
        <v>3698</v>
      </c>
      <c r="AC654" s="6" t="n">
        <v>2733</v>
      </c>
      <c r="AD654" s="6" t="n">
        <v>70</v>
      </c>
      <c r="AE654" s="6" t="n">
        <v>1744.67797851563</v>
      </c>
      <c r="AF654" s="8" t="n">
        <v>597.3761503</v>
      </c>
      <c r="AG654" s="11" t="n">
        <v>0.1105877195</v>
      </c>
      <c r="AH654" s="12" t="n">
        <v>0.999999999999999</v>
      </c>
      <c r="AI654" s="2" t="s">
        <v>317</v>
      </c>
      <c r="AJ654" s="2" t="s">
        <v>1566</v>
      </c>
      <c r="AK654" s="2" t="s">
        <v>1566</v>
      </c>
    </row>
    <row r="655" customFormat="false" ht="15" hidden="false" customHeight="false" outlineLevel="0" collapsed="false">
      <c r="A655" s="9" t="n">
        <v>650</v>
      </c>
      <c r="B655" s="2" t="s">
        <v>1567</v>
      </c>
      <c r="C655" s="2" t="s">
        <v>1568</v>
      </c>
      <c r="D655" s="2" t="s">
        <v>44</v>
      </c>
      <c r="E655" s="2" t="s">
        <v>44</v>
      </c>
      <c r="F655" s="2" t="s">
        <v>1569</v>
      </c>
      <c r="G655" s="2" t="s">
        <v>322</v>
      </c>
      <c r="H655" s="8" t="n">
        <v>500.614323130065</v>
      </c>
      <c r="I655" s="2" t="s">
        <v>316</v>
      </c>
      <c r="J655" s="8" t="n">
        <v>734354.838709678</v>
      </c>
      <c r="K655" s="6" t="n">
        <v>31</v>
      </c>
      <c r="L655" s="2"/>
      <c r="M655" s="10" t="b">
        <f aca="false">TRUE()</f>
        <v>1</v>
      </c>
      <c r="N655" s="9" t="n">
        <f aca="false">IF(H655="","",IF(H655&gt;=Assumptions!$B$5,1,IF(H655&gt;=Assumptions!$B$6,2,IF(H655&gt;=Assumptions!$B$7,3,""))))</f>
        <v>3</v>
      </c>
      <c r="O655" s="9" t="n">
        <f aca="false">IF(N655=1,Assumptions!$B$8,IF(N655=2,Assumptions!$B$9,IF(N655=3,Assumptions!$B$10,0)))</f>
        <v>1</v>
      </c>
      <c r="P655" s="6" t="s">
        <v>30</v>
      </c>
      <c r="Q655" s="6" t="s">
        <v>30</v>
      </c>
      <c r="R655" s="11" t="s">
        <v>30</v>
      </c>
      <c r="S655" s="6" t="s">
        <v>30</v>
      </c>
      <c r="T655" s="11" t="s">
        <v>30</v>
      </c>
      <c r="U655" s="6" t="s">
        <v>30</v>
      </c>
      <c r="V655" s="6" t="s">
        <v>30</v>
      </c>
      <c r="W655" s="6" t="s">
        <v>30</v>
      </c>
      <c r="X655" s="2" t="s">
        <v>30</v>
      </c>
      <c r="Y655" s="6" t="str">
        <f aca="false">IF(AND(X655="processed",ISNUMBER(S655)),S655*O655,"")</f>
        <v/>
      </c>
      <c r="Z655" s="6" t="n">
        <f aca="false">IF(ISNUMBER(K655),K655*O655,0)</f>
        <v>31</v>
      </c>
      <c r="AA655" s="2" t="s">
        <v>31</v>
      </c>
      <c r="AB655" s="6" t="n">
        <v>6423</v>
      </c>
      <c r="AC655" s="6" t="n">
        <v>3478</v>
      </c>
      <c r="AD655" s="6" t="n">
        <v>1519</v>
      </c>
      <c r="AE655" s="6" t="n">
        <v>1906.88903808594</v>
      </c>
      <c r="AF655" s="8" t="n">
        <v>521.27039627</v>
      </c>
      <c r="AG655" s="11" t="n">
        <v>0.0968912604</v>
      </c>
      <c r="AH655" s="12" t="n">
        <v>0.99490292585656</v>
      </c>
      <c r="AI655" s="2" t="s">
        <v>328</v>
      </c>
      <c r="AJ655" s="2" t="s">
        <v>1568</v>
      </c>
      <c r="AK655" s="2" t="s">
        <v>44</v>
      </c>
    </row>
    <row r="656" customFormat="false" ht="15" hidden="false" customHeight="false" outlineLevel="0" collapsed="false">
      <c r="A656" s="9" t="n">
        <v>651</v>
      </c>
      <c r="B656" s="2" t="s">
        <v>1570</v>
      </c>
      <c r="C656" s="2" t="s">
        <v>1571</v>
      </c>
      <c r="D656" s="2" t="s">
        <v>190</v>
      </c>
      <c r="E656" s="2" t="s">
        <v>51</v>
      </c>
      <c r="F656" s="2"/>
      <c r="G656" s="2" t="s">
        <v>336</v>
      </c>
      <c r="H656" s="8" t="n">
        <v>520.452069391968</v>
      </c>
      <c r="I656" s="2" t="s">
        <v>316</v>
      </c>
      <c r="J656" s="8" t="n">
        <v>546451.612903226</v>
      </c>
      <c r="K656" s="6" t="n">
        <v>31</v>
      </c>
      <c r="L656" s="2"/>
      <c r="M656" s="10" t="b">
        <f aca="false">TRUE()</f>
        <v>1</v>
      </c>
      <c r="N656" s="9" t="n">
        <f aca="false">IF(H656="","",IF(H656&gt;=Assumptions!$B$5,1,IF(H656&gt;=Assumptions!$B$6,2,IF(H656&gt;=Assumptions!$B$7,3,""))))</f>
        <v>3</v>
      </c>
      <c r="O656" s="9" t="n">
        <f aca="false">IF(N656=1,Assumptions!$B$8,IF(N656=2,Assumptions!$B$9,IF(N656=3,Assumptions!$B$10,0)))</f>
        <v>1</v>
      </c>
      <c r="P656" s="6" t="s">
        <v>30</v>
      </c>
      <c r="Q656" s="6" t="s">
        <v>30</v>
      </c>
      <c r="R656" s="11" t="s">
        <v>30</v>
      </c>
      <c r="S656" s="6" t="s">
        <v>30</v>
      </c>
      <c r="T656" s="11" t="s">
        <v>30</v>
      </c>
      <c r="U656" s="6" t="s">
        <v>30</v>
      </c>
      <c r="V656" s="6" t="s">
        <v>30</v>
      </c>
      <c r="W656" s="6" t="s">
        <v>30</v>
      </c>
      <c r="X656" s="2" t="s">
        <v>30</v>
      </c>
      <c r="Y656" s="6" t="str">
        <f aca="false">IF(AND(X656="processed",ISNUMBER(S656)),S656*O656,"")</f>
        <v/>
      </c>
      <c r="Z656" s="6" t="n">
        <f aca="false">IF(ISNUMBER(K656),K656*O656,0)</f>
        <v>31</v>
      </c>
      <c r="AA656" s="2" t="s">
        <v>31</v>
      </c>
      <c r="AB656" s="6" t="n">
        <v>3050</v>
      </c>
      <c r="AC656" s="6" t="n">
        <v>1767</v>
      </c>
      <c r="AD656" s="6" t="n">
        <v>182</v>
      </c>
      <c r="AE656" s="6" t="n">
        <v>1279.35900878906</v>
      </c>
      <c r="AF656" s="8" t="n">
        <v>409.016393443</v>
      </c>
      <c r="AG656" s="11" t="n">
        <v>-0.125382827</v>
      </c>
      <c r="AH656" s="12" t="n">
        <v>0.998118400258661</v>
      </c>
      <c r="AI656" s="2" t="s">
        <v>317</v>
      </c>
      <c r="AJ656" s="2" t="s">
        <v>1571</v>
      </c>
      <c r="AK656" s="2" t="s">
        <v>1572</v>
      </c>
    </row>
    <row r="657" customFormat="false" ht="15" hidden="false" customHeight="false" outlineLevel="0" collapsed="false">
      <c r="A657" s="9" t="n">
        <v>652</v>
      </c>
      <c r="B657" s="2" t="s">
        <v>1573</v>
      </c>
      <c r="C657" s="2" t="s">
        <v>1574</v>
      </c>
      <c r="D657" s="2" t="s">
        <v>70</v>
      </c>
      <c r="E657" s="2" t="s">
        <v>71</v>
      </c>
      <c r="F657" s="2"/>
      <c r="G657" s="2" t="s">
        <v>329</v>
      </c>
      <c r="H657" s="8" t="n">
        <v>616.711723942467</v>
      </c>
      <c r="I657" s="2" t="s">
        <v>316</v>
      </c>
      <c r="J657" s="8" t="n">
        <v>684407.333333333</v>
      </c>
      <c r="K657" s="6" t="n">
        <v>15</v>
      </c>
      <c r="L657" s="2"/>
      <c r="M657" s="10" t="b">
        <f aca="false">TRUE()</f>
        <v>1</v>
      </c>
      <c r="N657" s="9" t="n">
        <f aca="false">IF(H657="","",IF(H657&gt;=Assumptions!$B$5,1,IF(H657&gt;=Assumptions!$B$6,2,IF(H657&gt;=Assumptions!$B$7,3,""))))</f>
        <v>2</v>
      </c>
      <c r="O657" s="9" t="n">
        <f aca="false">IF(N657=1,Assumptions!$B$8,IF(N657=2,Assumptions!$B$9,IF(N657=3,Assumptions!$B$10,0)))</f>
        <v>2</v>
      </c>
      <c r="P657" s="6" t="s">
        <v>30</v>
      </c>
      <c r="Q657" s="6" t="s">
        <v>30</v>
      </c>
      <c r="R657" s="11" t="s">
        <v>30</v>
      </c>
      <c r="S657" s="6" t="s">
        <v>30</v>
      </c>
      <c r="T657" s="11" t="s">
        <v>30</v>
      </c>
      <c r="U657" s="6" t="s">
        <v>30</v>
      </c>
      <c r="V657" s="6" t="s">
        <v>30</v>
      </c>
      <c r="W657" s="6" t="s">
        <v>30</v>
      </c>
      <c r="X657" s="2" t="s">
        <v>30</v>
      </c>
      <c r="Y657" s="6" t="str">
        <f aca="false">IF(AND(X657="processed",ISNUMBER(S657)),S657*O657,"")</f>
        <v/>
      </c>
      <c r="Z657" s="6" t="n">
        <f aca="false">IF(ISNUMBER(K657),K657*O657,0)</f>
        <v>30</v>
      </c>
      <c r="AA657" s="2" t="s">
        <v>31</v>
      </c>
      <c r="AB657" s="6" t="n">
        <v>3478</v>
      </c>
      <c r="AC657" s="6" t="n">
        <v>2627</v>
      </c>
      <c r="AD657" s="6" t="n">
        <v>63</v>
      </c>
      <c r="AE657" s="6" t="n">
        <v>1453.28967285156</v>
      </c>
      <c r="AF657" s="8" t="n">
        <v>699.321916965</v>
      </c>
      <c r="AG657" s="11" t="n">
        <v>-0.04941728809</v>
      </c>
      <c r="AH657" s="12" t="n">
        <v>0.999768470513037</v>
      </c>
      <c r="AI657" s="2" t="s">
        <v>317</v>
      </c>
      <c r="AJ657" s="2" t="s">
        <v>1574</v>
      </c>
      <c r="AK657" s="2" t="s">
        <v>1574</v>
      </c>
    </row>
    <row r="658" customFormat="false" ht="15" hidden="false" customHeight="false" outlineLevel="0" collapsed="false">
      <c r="A658" s="9" t="n">
        <v>653</v>
      </c>
      <c r="B658" s="2" t="s">
        <v>1575</v>
      </c>
      <c r="C658" s="2" t="s">
        <v>1576</v>
      </c>
      <c r="D658" s="2" t="s">
        <v>27</v>
      </c>
      <c r="E658" s="2" t="s">
        <v>28</v>
      </c>
      <c r="F658" s="2" t="s">
        <v>1577</v>
      </c>
      <c r="G658" s="2" t="s">
        <v>315</v>
      </c>
      <c r="H658" s="8" t="n">
        <v>705.1616216982</v>
      </c>
      <c r="I658" s="2" t="s">
        <v>316</v>
      </c>
      <c r="J658" s="8" t="n">
        <v>1191900</v>
      </c>
      <c r="K658" s="6" t="n">
        <v>10</v>
      </c>
      <c r="L658" s="2"/>
      <c r="M658" s="10" t="b">
        <f aca="false">TRUE()</f>
        <v>1</v>
      </c>
      <c r="N658" s="9" t="n">
        <f aca="false">IF(H658="","",IF(H658&gt;=Assumptions!$B$5,1,IF(H658&gt;=Assumptions!$B$6,2,IF(H658&gt;=Assumptions!$B$7,3,""))))</f>
        <v>1</v>
      </c>
      <c r="O658" s="9" t="n">
        <f aca="false">IF(N658=1,Assumptions!$B$8,IF(N658=2,Assumptions!$B$9,IF(N658=3,Assumptions!$B$10,0)))</f>
        <v>3</v>
      </c>
      <c r="P658" s="6" t="s">
        <v>30</v>
      </c>
      <c r="Q658" s="6" t="s">
        <v>30</v>
      </c>
      <c r="R658" s="11" t="s">
        <v>30</v>
      </c>
      <c r="S658" s="6" t="s">
        <v>30</v>
      </c>
      <c r="T658" s="11" t="s">
        <v>30</v>
      </c>
      <c r="U658" s="6" t="s">
        <v>30</v>
      </c>
      <c r="V658" s="6" t="s">
        <v>30</v>
      </c>
      <c r="W658" s="6" t="s">
        <v>30</v>
      </c>
      <c r="X658" s="2" t="s">
        <v>30</v>
      </c>
      <c r="Y658" s="6" t="str">
        <f aca="false">IF(AND(X658="processed",ISNUMBER(S658)),S658*O658,"")</f>
        <v/>
      </c>
      <c r="Z658" s="6" t="n">
        <f aca="false">IF(ISNUMBER(K658),K658*O658,0)</f>
        <v>30</v>
      </c>
      <c r="AA658" s="2" t="s">
        <v>31</v>
      </c>
      <c r="AB658" s="6" t="n">
        <v>2031</v>
      </c>
      <c r="AC658" s="6" t="n">
        <v>1826</v>
      </c>
      <c r="AD658" s="6" t="n">
        <v>69</v>
      </c>
      <c r="AE658" s="6" t="n">
        <v>2042.3388671875</v>
      </c>
      <c r="AF658" s="8" t="n">
        <v>1162.656400385</v>
      </c>
      <c r="AG658" s="11" t="n">
        <v>0.6553416565</v>
      </c>
      <c r="AH658" s="12" t="n">
        <v>1</v>
      </c>
      <c r="AI658" s="2" t="s">
        <v>1578</v>
      </c>
      <c r="AJ658" s="2" t="s">
        <v>1579</v>
      </c>
      <c r="AK658" s="2" t="s">
        <v>392</v>
      </c>
    </row>
    <row r="659" customFormat="false" ht="15" hidden="false" customHeight="false" outlineLevel="0" collapsed="false">
      <c r="A659" s="9"/>
      <c r="B659" s="2" t="s">
        <v>1580</v>
      </c>
      <c r="C659" s="2"/>
      <c r="D659" s="2" t="s">
        <v>1190</v>
      </c>
      <c r="E659" s="2" t="s">
        <v>1191</v>
      </c>
      <c r="F659" s="2"/>
      <c r="G659" s="2" t="s">
        <v>318</v>
      </c>
      <c r="H659" s="8" t="n">
        <v>567.844248519067</v>
      </c>
      <c r="I659" s="2" t="s">
        <v>316</v>
      </c>
      <c r="J659" s="8" t="n">
        <v>1066766.66666667</v>
      </c>
      <c r="K659" s="6" t="n">
        <v>30</v>
      </c>
      <c r="L659" s="2"/>
      <c r="M659" s="10" t="b">
        <f aca="false">FALSE()</f>
        <v>0</v>
      </c>
      <c r="N659" s="9" t="n">
        <f aca="false">IF(H659="","",IF(H659&gt;=Assumptions!$B$5,1,IF(H659&gt;=Assumptions!$B$6,2,IF(H659&gt;=Assumptions!$B$7,3,""))))</f>
        <v>3</v>
      </c>
      <c r="O659" s="9" t="n">
        <f aca="false">IF(N659=1,Assumptions!$B$8,IF(N659=2,Assumptions!$B$9,IF(N659=3,Assumptions!$B$10,0)))</f>
        <v>1</v>
      </c>
      <c r="P659" s="6" t="s">
        <v>30</v>
      </c>
      <c r="Q659" s="6" t="s">
        <v>30</v>
      </c>
      <c r="R659" s="11" t="s">
        <v>30</v>
      </c>
      <c r="S659" s="6" t="s">
        <v>30</v>
      </c>
      <c r="T659" s="11" t="s">
        <v>30</v>
      </c>
      <c r="U659" s="6" t="s">
        <v>30</v>
      </c>
      <c r="V659" s="6" t="s">
        <v>30</v>
      </c>
      <c r="W659" s="6" t="s">
        <v>30</v>
      </c>
      <c r="X659" s="2" t="s">
        <v>30</v>
      </c>
      <c r="Y659" s="6" t="str">
        <f aca="false">IF(AND(X659="processed",ISNUMBER(S659)),S659*O659,"")</f>
        <v/>
      </c>
      <c r="Z659" s="6" t="n">
        <f aca="false">IF(ISNUMBER(K659),K659*O659,0)</f>
        <v>30</v>
      </c>
      <c r="AA659" s="2" t="s">
        <v>31</v>
      </c>
      <c r="AB659" s="6"/>
      <c r="AC659" s="6"/>
      <c r="AD659" s="6"/>
      <c r="AE659" s="6"/>
      <c r="AF659" s="8" t="n">
        <v>579.212033154</v>
      </c>
      <c r="AG659" s="11" t="n">
        <v>-0.1168808983</v>
      </c>
      <c r="AH659" s="12"/>
      <c r="AI659" s="2"/>
      <c r="AJ659" s="2"/>
      <c r="AK659" s="2"/>
    </row>
    <row r="660" customFormat="false" ht="15" hidden="false" customHeight="false" outlineLevel="0" collapsed="false">
      <c r="A660" s="9" t="n">
        <v>654</v>
      </c>
      <c r="B660" s="2" t="s">
        <v>1581</v>
      </c>
      <c r="C660" s="2" t="s">
        <v>1582</v>
      </c>
      <c r="D660" s="2" t="s">
        <v>95</v>
      </c>
      <c r="E660" s="2" t="s">
        <v>95</v>
      </c>
      <c r="F660" s="2"/>
      <c r="G660" s="2" t="s">
        <v>330</v>
      </c>
      <c r="H660" s="8" t="n">
        <v>1335.8756794532</v>
      </c>
      <c r="I660" s="2" t="s">
        <v>316</v>
      </c>
      <c r="J660" s="8" t="n">
        <v>1908700</v>
      </c>
      <c r="K660" s="6" t="n">
        <v>10</v>
      </c>
      <c r="L660" s="2"/>
      <c r="M660" s="10" t="b">
        <f aca="false">TRUE()</f>
        <v>1</v>
      </c>
      <c r="N660" s="9" t="n">
        <f aca="false">IF(H660="","",IF(H660&gt;=Assumptions!$B$5,1,IF(H660&gt;=Assumptions!$B$6,2,IF(H660&gt;=Assumptions!$B$7,3,""))))</f>
        <v>1</v>
      </c>
      <c r="O660" s="9" t="n">
        <f aca="false">IF(N660=1,Assumptions!$B$8,IF(N660=2,Assumptions!$B$9,IF(N660=3,Assumptions!$B$10,0)))</f>
        <v>3</v>
      </c>
      <c r="P660" s="6" t="s">
        <v>30</v>
      </c>
      <c r="Q660" s="6" t="s">
        <v>30</v>
      </c>
      <c r="R660" s="11" t="s">
        <v>30</v>
      </c>
      <c r="S660" s="6" t="s">
        <v>30</v>
      </c>
      <c r="T660" s="11" t="s">
        <v>30</v>
      </c>
      <c r="U660" s="6" t="s">
        <v>30</v>
      </c>
      <c r="V660" s="6" t="s">
        <v>30</v>
      </c>
      <c r="W660" s="6" t="s">
        <v>30</v>
      </c>
      <c r="X660" s="2" t="s">
        <v>30</v>
      </c>
      <c r="Y660" s="6" t="str">
        <f aca="false">IF(AND(X660="processed",ISNUMBER(S660)),S660*O660,"")</f>
        <v/>
      </c>
      <c r="Z660" s="6" t="n">
        <f aca="false">IF(ISNUMBER(K660),K660*O660,0)</f>
        <v>30</v>
      </c>
      <c r="AA660" s="2" t="s">
        <v>31</v>
      </c>
      <c r="AB660" s="6" t="n">
        <v>2116</v>
      </c>
      <c r="AC660" s="6" t="n">
        <v>1057</v>
      </c>
      <c r="AD660" s="6" t="n">
        <v>116</v>
      </c>
      <c r="AE660" s="6" t="n">
        <v>1309.36267089844</v>
      </c>
      <c r="AF660" s="8" t="n">
        <v>794.06779661</v>
      </c>
      <c r="AG660" s="11" t="n">
        <v>-0.3802971128</v>
      </c>
      <c r="AH660" s="12" t="n">
        <v>0.85710691854432</v>
      </c>
      <c r="AI660" s="2" t="s">
        <v>317</v>
      </c>
      <c r="AJ660" s="2" t="s">
        <v>1582</v>
      </c>
      <c r="AK660" s="2" t="s">
        <v>1583</v>
      </c>
    </row>
    <row r="661" customFormat="false" ht="15" hidden="false" customHeight="false" outlineLevel="0" collapsed="false">
      <c r="A661" s="9" t="n">
        <v>655</v>
      </c>
      <c r="B661" s="2" t="s">
        <v>1584</v>
      </c>
      <c r="C661" s="2" t="s">
        <v>1585</v>
      </c>
      <c r="D661" s="2" t="s">
        <v>95</v>
      </c>
      <c r="E661" s="2" t="s">
        <v>95</v>
      </c>
      <c r="F661" s="2"/>
      <c r="G661" s="2" t="s">
        <v>330</v>
      </c>
      <c r="H661" s="8" t="n">
        <v>723.881990239</v>
      </c>
      <c r="I661" s="2" t="s">
        <v>316</v>
      </c>
      <c r="J661" s="8" t="n">
        <v>1585350</v>
      </c>
      <c r="K661" s="6" t="n">
        <v>10</v>
      </c>
      <c r="L661" s="2"/>
      <c r="M661" s="10" t="b">
        <f aca="false">TRUE()</f>
        <v>1</v>
      </c>
      <c r="N661" s="9" t="n">
        <f aca="false">IF(H661="","",IF(H661&gt;=Assumptions!$B$5,1,IF(H661&gt;=Assumptions!$B$6,2,IF(H661&gt;=Assumptions!$B$7,3,""))))</f>
        <v>1</v>
      </c>
      <c r="O661" s="9" t="n">
        <f aca="false">IF(N661=1,Assumptions!$B$8,IF(N661=2,Assumptions!$B$9,IF(N661=3,Assumptions!$B$10,0)))</f>
        <v>3</v>
      </c>
      <c r="P661" s="6" t="s">
        <v>30</v>
      </c>
      <c r="Q661" s="6" t="s">
        <v>30</v>
      </c>
      <c r="R661" s="11" t="s">
        <v>30</v>
      </c>
      <c r="S661" s="6" t="s">
        <v>30</v>
      </c>
      <c r="T661" s="11" t="s">
        <v>30</v>
      </c>
      <c r="U661" s="6" t="s">
        <v>30</v>
      </c>
      <c r="V661" s="6" t="s">
        <v>30</v>
      </c>
      <c r="W661" s="6" t="s">
        <v>30</v>
      </c>
      <c r="X661" s="2" t="s">
        <v>30</v>
      </c>
      <c r="Y661" s="6" t="str">
        <f aca="false">IF(AND(X661="processed",ISNUMBER(S661)),S661*O661,"")</f>
        <v/>
      </c>
      <c r="Z661" s="6" t="n">
        <f aca="false">IF(ISNUMBER(K661),K661*O661,0)</f>
        <v>30</v>
      </c>
      <c r="AA661" s="2" t="s">
        <v>31</v>
      </c>
      <c r="AB661" s="6" t="n">
        <v>525</v>
      </c>
      <c r="AC661" s="6" t="n">
        <v>417</v>
      </c>
      <c r="AD661" s="6" t="n">
        <v>2</v>
      </c>
      <c r="AE661" s="6" t="n">
        <v>1506.63122558594</v>
      </c>
      <c r="AF661" s="8" t="n">
        <v>614.000782167</v>
      </c>
      <c r="AG661" s="11" t="n">
        <v>-0.5178047191</v>
      </c>
      <c r="AH661" s="12" t="n">
        <v>0.9982291007306</v>
      </c>
      <c r="AI661" s="2" t="s">
        <v>317</v>
      </c>
      <c r="AJ661" s="2" t="s">
        <v>1585</v>
      </c>
      <c r="AK661" s="2" t="s">
        <v>1585</v>
      </c>
    </row>
    <row r="662" customFormat="false" ht="15" hidden="false" customHeight="false" outlineLevel="0" collapsed="false">
      <c r="A662" s="9" t="n">
        <v>656</v>
      </c>
      <c r="B662" s="2" t="s">
        <v>1586</v>
      </c>
      <c r="C662" s="2" t="s">
        <v>1587</v>
      </c>
      <c r="D662" s="2" t="s">
        <v>190</v>
      </c>
      <c r="E662" s="2" t="s">
        <v>51</v>
      </c>
      <c r="F662" s="2" t="s">
        <v>1588</v>
      </c>
      <c r="G662" s="2" t="s">
        <v>336</v>
      </c>
      <c r="H662" s="8" t="n">
        <v>685.822868724867</v>
      </c>
      <c r="I662" s="2" t="s">
        <v>316</v>
      </c>
      <c r="J662" s="8" t="n">
        <v>1121333.33333333</v>
      </c>
      <c r="K662" s="6" t="n">
        <v>15</v>
      </c>
      <c r="L662" s="2"/>
      <c r="M662" s="10" t="b">
        <f aca="false">TRUE()</f>
        <v>1</v>
      </c>
      <c r="N662" s="9" t="n">
        <f aca="false">IF(H662="","",IF(H662&gt;=Assumptions!$B$5,1,IF(H662&gt;=Assumptions!$B$6,2,IF(H662&gt;=Assumptions!$B$7,3,""))))</f>
        <v>2</v>
      </c>
      <c r="O662" s="9" t="n">
        <f aca="false">IF(N662=1,Assumptions!$B$8,IF(N662=2,Assumptions!$B$9,IF(N662=3,Assumptions!$B$10,0)))</f>
        <v>2</v>
      </c>
      <c r="P662" s="6" t="s">
        <v>30</v>
      </c>
      <c r="Q662" s="6" t="s">
        <v>30</v>
      </c>
      <c r="R662" s="11" t="s">
        <v>30</v>
      </c>
      <c r="S662" s="6" t="s">
        <v>30</v>
      </c>
      <c r="T662" s="11" t="s">
        <v>30</v>
      </c>
      <c r="U662" s="6" t="s">
        <v>30</v>
      </c>
      <c r="V662" s="6" t="s">
        <v>30</v>
      </c>
      <c r="W662" s="6" t="s">
        <v>30</v>
      </c>
      <c r="X662" s="2" t="s">
        <v>30</v>
      </c>
      <c r="Y662" s="6" t="str">
        <f aca="false">IF(AND(X662="processed",ISNUMBER(S662)),S662*O662,"")</f>
        <v/>
      </c>
      <c r="Z662" s="6" t="n">
        <f aca="false">IF(ISNUMBER(K662),K662*O662,0)</f>
        <v>30</v>
      </c>
      <c r="AA662" s="2" t="s">
        <v>31</v>
      </c>
      <c r="AB662" s="6" t="n">
        <v>3104</v>
      </c>
      <c r="AC662" s="6" t="n">
        <v>1890</v>
      </c>
      <c r="AD662" s="6" t="n">
        <v>131</v>
      </c>
      <c r="AE662" s="6" t="n">
        <v>1668.11450195313</v>
      </c>
      <c r="AF662" s="8" t="n">
        <v>633.333333333</v>
      </c>
      <c r="AG662" s="11" t="n">
        <v>-0.5924827586</v>
      </c>
      <c r="AH662" s="12" t="n">
        <v>0.999999999999996</v>
      </c>
      <c r="AI662" s="2" t="s">
        <v>317</v>
      </c>
      <c r="AJ662" s="2" t="s">
        <v>1587</v>
      </c>
      <c r="AK662" s="2" t="s">
        <v>1589</v>
      </c>
    </row>
    <row r="663" customFormat="false" ht="15" hidden="false" customHeight="false" outlineLevel="0" collapsed="false">
      <c r="A663" s="9" t="n">
        <v>657</v>
      </c>
      <c r="B663" s="2" t="s">
        <v>1590</v>
      </c>
      <c r="C663" s="2" t="s">
        <v>1591</v>
      </c>
      <c r="D663" s="2" t="s">
        <v>190</v>
      </c>
      <c r="E663" s="2" t="s">
        <v>51</v>
      </c>
      <c r="F663" s="2"/>
      <c r="G663" s="2" t="s">
        <v>336</v>
      </c>
      <c r="H663" s="8" t="n">
        <v>735.503896523</v>
      </c>
      <c r="I663" s="2" t="s">
        <v>316</v>
      </c>
      <c r="J663" s="8" t="n">
        <v>960900</v>
      </c>
      <c r="K663" s="6" t="n">
        <v>10</v>
      </c>
      <c r="L663" s="2"/>
      <c r="M663" s="10" t="b">
        <f aca="false">TRUE()</f>
        <v>1</v>
      </c>
      <c r="N663" s="9" t="n">
        <f aca="false">IF(H663="","",IF(H663&gt;=Assumptions!$B$5,1,IF(H663&gt;=Assumptions!$B$6,2,IF(H663&gt;=Assumptions!$B$7,3,""))))</f>
        <v>1</v>
      </c>
      <c r="O663" s="9" t="n">
        <f aca="false">IF(N663=1,Assumptions!$B$8,IF(N663=2,Assumptions!$B$9,IF(N663=3,Assumptions!$B$10,0)))</f>
        <v>3</v>
      </c>
      <c r="P663" s="6" t="s">
        <v>30</v>
      </c>
      <c r="Q663" s="6" t="s">
        <v>30</v>
      </c>
      <c r="R663" s="11" t="s">
        <v>30</v>
      </c>
      <c r="S663" s="6" t="s">
        <v>30</v>
      </c>
      <c r="T663" s="11" t="s">
        <v>30</v>
      </c>
      <c r="U663" s="6" t="s">
        <v>30</v>
      </c>
      <c r="V663" s="6" t="s">
        <v>30</v>
      </c>
      <c r="W663" s="6" t="s">
        <v>30</v>
      </c>
      <c r="X663" s="2" t="s">
        <v>30</v>
      </c>
      <c r="Y663" s="6" t="str">
        <f aca="false">IF(AND(X663="processed",ISNUMBER(S663)),S663*O663,"")</f>
        <v/>
      </c>
      <c r="Z663" s="6" t="n">
        <f aca="false">IF(ISNUMBER(K663),K663*O663,0)</f>
        <v>30</v>
      </c>
      <c r="AA663" s="2" t="s">
        <v>31</v>
      </c>
      <c r="AB663" s="6" t="n">
        <v>784</v>
      </c>
      <c r="AC663" s="6" t="n">
        <v>520</v>
      </c>
      <c r="AD663" s="6" t="n">
        <v>57</v>
      </c>
      <c r="AE663" s="6" t="n">
        <v>1438.31005859375</v>
      </c>
      <c r="AF663" s="8" t="n">
        <v>955.115011804</v>
      </c>
      <c r="AG663" s="11" t="n">
        <v>0.05445472637</v>
      </c>
      <c r="AH663" s="12" t="n">
        <v>0.977741966997812</v>
      </c>
      <c r="AI663" s="2" t="s">
        <v>317</v>
      </c>
      <c r="AJ663" s="2" t="s">
        <v>1591</v>
      </c>
      <c r="AK663" s="2" t="s">
        <v>1592</v>
      </c>
    </row>
    <row r="664" customFormat="false" ht="15" hidden="false" customHeight="false" outlineLevel="0" collapsed="false">
      <c r="A664" s="9" t="n">
        <v>658</v>
      </c>
      <c r="B664" s="2" t="s">
        <v>1593</v>
      </c>
      <c r="C664" s="2" t="s">
        <v>1594</v>
      </c>
      <c r="D664" s="2" t="s">
        <v>1595</v>
      </c>
      <c r="E664" s="2" t="s">
        <v>51</v>
      </c>
      <c r="F664" s="2"/>
      <c r="G664" s="2" t="s">
        <v>1596</v>
      </c>
      <c r="H664" s="8" t="n">
        <v>540.238475558483</v>
      </c>
      <c r="I664" s="2" t="s">
        <v>316</v>
      </c>
      <c r="J664" s="8" t="n">
        <v>759482.75862069</v>
      </c>
      <c r="K664" s="6" t="n">
        <v>29</v>
      </c>
      <c r="L664" s="2"/>
      <c r="M664" s="10" t="b">
        <f aca="false">TRUE()</f>
        <v>1</v>
      </c>
      <c r="N664" s="9" t="n">
        <f aca="false">IF(H664="","",IF(H664&gt;=Assumptions!$B$5,1,IF(H664&gt;=Assumptions!$B$6,2,IF(H664&gt;=Assumptions!$B$7,3,""))))</f>
        <v>3</v>
      </c>
      <c r="O664" s="9" t="n">
        <f aca="false">IF(N664=1,Assumptions!$B$8,IF(N664=2,Assumptions!$B$9,IF(N664=3,Assumptions!$B$10,0)))</f>
        <v>1</v>
      </c>
      <c r="P664" s="6" t="s">
        <v>30</v>
      </c>
      <c r="Q664" s="6" t="s">
        <v>30</v>
      </c>
      <c r="R664" s="11" t="s">
        <v>30</v>
      </c>
      <c r="S664" s="6" t="s">
        <v>30</v>
      </c>
      <c r="T664" s="11" t="s">
        <v>30</v>
      </c>
      <c r="U664" s="6" t="s">
        <v>30</v>
      </c>
      <c r="V664" s="6" t="s">
        <v>30</v>
      </c>
      <c r="W664" s="6" t="s">
        <v>30</v>
      </c>
      <c r="X664" s="2" t="s">
        <v>30</v>
      </c>
      <c r="Y664" s="6" t="str">
        <f aca="false">IF(AND(X664="processed",ISNUMBER(S664)),S664*O664,"")</f>
        <v/>
      </c>
      <c r="Z664" s="6" t="n">
        <f aca="false">IF(ISNUMBER(K664),K664*O664,0)</f>
        <v>29</v>
      </c>
      <c r="AA664" s="2" t="s">
        <v>31</v>
      </c>
      <c r="AB664" s="6" t="n">
        <v>1935</v>
      </c>
      <c r="AC664" s="6" t="n">
        <v>1687</v>
      </c>
      <c r="AD664" s="6" t="n">
        <v>1798</v>
      </c>
      <c r="AE664" s="6" t="n">
        <v>1636.38049316406</v>
      </c>
      <c r="AF664" s="8" t="n">
        <v>517.857142857</v>
      </c>
      <c r="AG664" s="11" t="n">
        <v>-0.2673903406</v>
      </c>
      <c r="AH664" s="12" t="n">
        <v>0.973222496049791</v>
      </c>
      <c r="AI664" s="2" t="s">
        <v>1597</v>
      </c>
      <c r="AJ664" s="2"/>
      <c r="AK664" s="2" t="s">
        <v>1594</v>
      </c>
    </row>
    <row r="665" customFormat="false" ht="15" hidden="false" customHeight="false" outlineLevel="0" collapsed="false">
      <c r="A665" s="9" t="n">
        <v>659</v>
      </c>
      <c r="B665" s="2" t="s">
        <v>1598</v>
      </c>
      <c r="C665" s="2" t="s">
        <v>70</v>
      </c>
      <c r="D665" s="2" t="s">
        <v>70</v>
      </c>
      <c r="E665" s="2" t="s">
        <v>71</v>
      </c>
      <c r="F665" s="2" t="s">
        <v>1599</v>
      </c>
      <c r="G665" s="2" t="s">
        <v>329</v>
      </c>
      <c r="H665" s="8" t="n">
        <v>532.394090438296</v>
      </c>
      <c r="I665" s="2" t="s">
        <v>316</v>
      </c>
      <c r="J665" s="8" t="n">
        <v>691777.777777778</v>
      </c>
      <c r="K665" s="6" t="n">
        <v>27</v>
      </c>
      <c r="L665" s="2"/>
      <c r="M665" s="10" t="b">
        <f aca="false">TRUE()</f>
        <v>1</v>
      </c>
      <c r="N665" s="9" t="n">
        <f aca="false">IF(H665="","",IF(H665&gt;=Assumptions!$B$5,1,IF(H665&gt;=Assumptions!$B$6,2,IF(H665&gt;=Assumptions!$B$7,3,""))))</f>
        <v>3</v>
      </c>
      <c r="O665" s="9" t="n">
        <f aca="false">IF(N665=1,Assumptions!$B$8,IF(N665=2,Assumptions!$B$9,IF(N665=3,Assumptions!$B$10,0)))</f>
        <v>1</v>
      </c>
      <c r="P665" s="6" t="s">
        <v>30</v>
      </c>
      <c r="Q665" s="6" t="s">
        <v>30</v>
      </c>
      <c r="R665" s="11" t="s">
        <v>30</v>
      </c>
      <c r="S665" s="6" t="s">
        <v>30</v>
      </c>
      <c r="T665" s="11" t="s">
        <v>30</v>
      </c>
      <c r="U665" s="6" t="s">
        <v>30</v>
      </c>
      <c r="V665" s="6" t="s">
        <v>30</v>
      </c>
      <c r="W665" s="6" t="s">
        <v>30</v>
      </c>
      <c r="X665" s="2" t="s">
        <v>30</v>
      </c>
      <c r="Y665" s="6" t="str">
        <f aca="false">IF(AND(X665="processed",ISNUMBER(S665)),S665*O665,"")</f>
        <v/>
      </c>
      <c r="Z665" s="6" t="n">
        <f aca="false">IF(ISNUMBER(K665),K665*O665,0)</f>
        <v>27</v>
      </c>
      <c r="AA665" s="2" t="s">
        <v>31</v>
      </c>
      <c r="AB665" s="6" t="n">
        <v>9326</v>
      </c>
      <c r="AC665" s="6" t="n">
        <v>6772</v>
      </c>
      <c r="AD665" s="6" t="n">
        <v>148</v>
      </c>
      <c r="AE665" s="6" t="n">
        <v>1515.216796875</v>
      </c>
      <c r="AF665" s="8" t="n">
        <v>524.580335731</v>
      </c>
      <c r="AG665" s="11" t="n">
        <v>0.02763871984</v>
      </c>
      <c r="AH665" s="12" t="n">
        <v>0.999999999999999</v>
      </c>
      <c r="AI665" s="2" t="s">
        <v>317</v>
      </c>
      <c r="AJ665" s="2" t="s">
        <v>70</v>
      </c>
      <c r="AK665" s="2" t="s">
        <v>70</v>
      </c>
    </row>
    <row r="666" customFormat="false" ht="15" hidden="false" customHeight="false" outlineLevel="0" collapsed="false">
      <c r="A666" s="9" t="n">
        <v>660</v>
      </c>
      <c r="B666" s="2" t="s">
        <v>1600</v>
      </c>
      <c r="C666" s="2" t="s">
        <v>1601</v>
      </c>
      <c r="D666" s="2" t="s">
        <v>380</v>
      </c>
      <c r="E666" s="2" t="s">
        <v>51</v>
      </c>
      <c r="F666" s="2"/>
      <c r="G666" s="2" t="s">
        <v>381</v>
      </c>
      <c r="H666" s="8" t="n">
        <v>3210.63346457011</v>
      </c>
      <c r="I666" s="2" t="s">
        <v>316</v>
      </c>
      <c r="J666" s="8" t="n">
        <v>4933333.33333333</v>
      </c>
      <c r="K666" s="6" t="n">
        <v>9</v>
      </c>
      <c r="L666" s="2"/>
      <c r="M666" s="10" t="b">
        <f aca="false">TRUE()</f>
        <v>1</v>
      </c>
      <c r="N666" s="9" t="n">
        <f aca="false">IF(H666="","",IF(H666&gt;=Assumptions!$B$5,1,IF(H666&gt;=Assumptions!$B$6,2,IF(H666&gt;=Assumptions!$B$7,3,""))))</f>
        <v>1</v>
      </c>
      <c r="O666" s="9" t="n">
        <f aca="false">IF(N666=1,Assumptions!$B$8,IF(N666=2,Assumptions!$B$9,IF(N666=3,Assumptions!$B$10,0)))</f>
        <v>3</v>
      </c>
      <c r="P666" s="6" t="s">
        <v>30</v>
      </c>
      <c r="Q666" s="6" t="s">
        <v>30</v>
      </c>
      <c r="R666" s="11" t="s">
        <v>30</v>
      </c>
      <c r="S666" s="6" t="s">
        <v>30</v>
      </c>
      <c r="T666" s="11" t="s">
        <v>30</v>
      </c>
      <c r="U666" s="6" t="s">
        <v>30</v>
      </c>
      <c r="V666" s="6" t="s">
        <v>30</v>
      </c>
      <c r="W666" s="6" t="s">
        <v>30</v>
      </c>
      <c r="X666" s="2" t="s">
        <v>30</v>
      </c>
      <c r="Y666" s="6" t="str">
        <f aca="false">IF(AND(X666="processed",ISNUMBER(S666)),S666*O666,"")</f>
        <v/>
      </c>
      <c r="Z666" s="6" t="n">
        <f aca="false">IF(ISNUMBER(K666),K666*O666,0)</f>
        <v>27</v>
      </c>
      <c r="AA666" s="2" t="s">
        <v>31</v>
      </c>
      <c r="AB666" s="6" t="n">
        <v>1239</v>
      </c>
      <c r="AC666" s="6" t="n">
        <v>883</v>
      </c>
      <c r="AD666" s="6" t="n">
        <v>616</v>
      </c>
      <c r="AE666" s="6" t="n">
        <v>1276.75561523438</v>
      </c>
      <c r="AF666" s="8" t="n">
        <v>2505.468044195</v>
      </c>
      <c r="AG666" s="11"/>
      <c r="AH666" s="12" t="n">
        <v>0.981062864499752</v>
      </c>
      <c r="AI666" s="2" t="s">
        <v>317</v>
      </c>
      <c r="AJ666" s="2" t="s">
        <v>1601</v>
      </c>
      <c r="AK666" s="2" t="s">
        <v>1602</v>
      </c>
    </row>
    <row r="667" customFormat="false" ht="15" hidden="false" customHeight="false" outlineLevel="0" collapsed="false">
      <c r="A667" s="9" t="n">
        <v>661</v>
      </c>
      <c r="B667" s="2" t="s">
        <v>1603</v>
      </c>
      <c r="C667" s="2" t="s">
        <v>1604</v>
      </c>
      <c r="D667" s="2" t="s">
        <v>95</v>
      </c>
      <c r="E667" s="2" t="s">
        <v>95</v>
      </c>
      <c r="F667" s="2"/>
      <c r="G667" s="2" t="s">
        <v>330</v>
      </c>
      <c r="H667" s="8" t="n">
        <v>768.533089807333</v>
      </c>
      <c r="I667" s="2" t="s">
        <v>316</v>
      </c>
      <c r="J667" s="8" t="n">
        <v>1368666.66666667</v>
      </c>
      <c r="K667" s="6" t="n">
        <v>9</v>
      </c>
      <c r="L667" s="2"/>
      <c r="M667" s="10" t="b">
        <f aca="false">TRUE()</f>
        <v>1</v>
      </c>
      <c r="N667" s="9" t="n">
        <f aca="false">IF(H667="","",IF(H667&gt;=Assumptions!$B$5,1,IF(H667&gt;=Assumptions!$B$6,2,IF(H667&gt;=Assumptions!$B$7,3,""))))</f>
        <v>1</v>
      </c>
      <c r="O667" s="9" t="n">
        <f aca="false">IF(N667=1,Assumptions!$B$8,IF(N667=2,Assumptions!$B$9,IF(N667=3,Assumptions!$B$10,0)))</f>
        <v>3</v>
      </c>
      <c r="P667" s="6" t="s">
        <v>30</v>
      </c>
      <c r="Q667" s="6" t="s">
        <v>30</v>
      </c>
      <c r="R667" s="11" t="s">
        <v>30</v>
      </c>
      <c r="S667" s="6" t="s">
        <v>30</v>
      </c>
      <c r="T667" s="11" t="s">
        <v>30</v>
      </c>
      <c r="U667" s="6" t="s">
        <v>30</v>
      </c>
      <c r="V667" s="6" t="s">
        <v>30</v>
      </c>
      <c r="W667" s="6" t="s">
        <v>30</v>
      </c>
      <c r="X667" s="2" t="s">
        <v>30</v>
      </c>
      <c r="Y667" s="6" t="str">
        <f aca="false">IF(AND(X667="processed",ISNUMBER(S667)),S667*O667,"")</f>
        <v/>
      </c>
      <c r="Z667" s="6" t="n">
        <f aca="false">IF(ISNUMBER(K667),K667*O667,0)</f>
        <v>27</v>
      </c>
      <c r="AA667" s="2" t="s">
        <v>31</v>
      </c>
      <c r="AB667" s="6" t="n">
        <v>2181</v>
      </c>
      <c r="AC667" s="6" t="n">
        <v>1332</v>
      </c>
      <c r="AD667" s="6" t="n">
        <v>71</v>
      </c>
      <c r="AE667" s="6" t="n">
        <v>1546.42150878906</v>
      </c>
      <c r="AF667" s="8" t="n">
        <v>681.801066673</v>
      </c>
      <c r="AG667" s="11" t="n">
        <v>-0.0909319111</v>
      </c>
      <c r="AH667" s="12" t="n">
        <v>0.865740414154965</v>
      </c>
      <c r="AI667" s="2" t="s">
        <v>321</v>
      </c>
      <c r="AJ667" s="2" t="s">
        <v>1604</v>
      </c>
      <c r="AK667" s="2" t="s">
        <v>1605</v>
      </c>
    </row>
    <row r="668" customFormat="false" ht="15" hidden="false" customHeight="false" outlineLevel="0" collapsed="false">
      <c r="A668" s="9" t="n">
        <v>662</v>
      </c>
      <c r="B668" s="2" t="s">
        <v>1606</v>
      </c>
      <c r="C668" s="2" t="s">
        <v>70</v>
      </c>
      <c r="D668" s="2" t="s">
        <v>70</v>
      </c>
      <c r="E668" s="2" t="s">
        <v>71</v>
      </c>
      <c r="F668" s="2" t="s">
        <v>1607</v>
      </c>
      <c r="G668" s="2" t="s">
        <v>329</v>
      </c>
      <c r="H668" s="8" t="n">
        <v>639.051989323769</v>
      </c>
      <c r="I668" s="2" t="s">
        <v>316</v>
      </c>
      <c r="J668" s="8" t="n">
        <v>1154461.53846154</v>
      </c>
      <c r="K668" s="6" t="n">
        <v>13</v>
      </c>
      <c r="L668" s="2"/>
      <c r="M668" s="10" t="b">
        <f aca="false">TRUE()</f>
        <v>1</v>
      </c>
      <c r="N668" s="9" t="n">
        <f aca="false">IF(H668="","",IF(H668&gt;=Assumptions!$B$5,1,IF(H668&gt;=Assumptions!$B$6,2,IF(H668&gt;=Assumptions!$B$7,3,""))))</f>
        <v>2</v>
      </c>
      <c r="O668" s="9" t="n">
        <f aca="false">IF(N668=1,Assumptions!$B$8,IF(N668=2,Assumptions!$B$9,IF(N668=3,Assumptions!$B$10,0)))</f>
        <v>2</v>
      </c>
      <c r="P668" s="6" t="s">
        <v>30</v>
      </c>
      <c r="Q668" s="6" t="s">
        <v>30</v>
      </c>
      <c r="R668" s="11" t="s">
        <v>30</v>
      </c>
      <c r="S668" s="6" t="s">
        <v>30</v>
      </c>
      <c r="T668" s="11" t="s">
        <v>30</v>
      </c>
      <c r="U668" s="6" t="s">
        <v>30</v>
      </c>
      <c r="V668" s="6" t="s">
        <v>30</v>
      </c>
      <c r="W668" s="6" t="s">
        <v>30</v>
      </c>
      <c r="X668" s="2" t="s">
        <v>30</v>
      </c>
      <c r="Y668" s="6" t="str">
        <f aca="false">IF(AND(X668="processed",ISNUMBER(S668)),S668*O668,"")</f>
        <v/>
      </c>
      <c r="Z668" s="6" t="n">
        <f aca="false">IF(ISNUMBER(K668),K668*O668,0)</f>
        <v>26</v>
      </c>
      <c r="AA668" s="2" t="s">
        <v>31</v>
      </c>
      <c r="AB668" s="6" t="n">
        <v>2980</v>
      </c>
      <c r="AC668" s="6" t="n">
        <v>1808</v>
      </c>
      <c r="AD668" s="6" t="n">
        <v>68</v>
      </c>
      <c r="AE668" s="6" t="n">
        <v>1976.53662109375</v>
      </c>
      <c r="AF668" s="8" t="n">
        <v>528.541940834</v>
      </c>
      <c r="AG668" s="11" t="n">
        <v>-0.3952469155</v>
      </c>
      <c r="AH668" s="12" t="n">
        <v>1</v>
      </c>
      <c r="AI668" s="2" t="s">
        <v>317</v>
      </c>
      <c r="AJ668" s="2" t="s">
        <v>70</v>
      </c>
      <c r="AK668" s="2" t="s">
        <v>70</v>
      </c>
    </row>
    <row r="669" customFormat="false" ht="15" hidden="false" customHeight="false" outlineLevel="0" collapsed="false">
      <c r="A669" s="9" t="n">
        <v>663</v>
      </c>
      <c r="B669" s="2" t="s">
        <v>1608</v>
      </c>
      <c r="C669" s="2" t="s">
        <v>1609</v>
      </c>
      <c r="D669" s="2" t="s">
        <v>70</v>
      </c>
      <c r="E669" s="2" t="s">
        <v>71</v>
      </c>
      <c r="F669" s="2"/>
      <c r="G669" s="2" t="s">
        <v>329</v>
      </c>
      <c r="H669" s="8" t="n">
        <v>592.052243121077</v>
      </c>
      <c r="I669" s="2" t="s">
        <v>316</v>
      </c>
      <c r="J669" s="8" t="n">
        <v>724653.846153846</v>
      </c>
      <c r="K669" s="6" t="n">
        <v>26</v>
      </c>
      <c r="L669" s="2"/>
      <c r="M669" s="10" t="b">
        <f aca="false">TRUE()</f>
        <v>1</v>
      </c>
      <c r="N669" s="9" t="n">
        <f aca="false">IF(H669="","",IF(H669&gt;=Assumptions!$B$5,1,IF(H669&gt;=Assumptions!$B$6,2,IF(H669&gt;=Assumptions!$B$7,3,""))))</f>
        <v>3</v>
      </c>
      <c r="O669" s="9" t="n">
        <f aca="false">IF(N669=1,Assumptions!$B$8,IF(N669=2,Assumptions!$B$9,IF(N669=3,Assumptions!$B$10,0)))</f>
        <v>1</v>
      </c>
      <c r="P669" s="6" t="s">
        <v>30</v>
      </c>
      <c r="Q669" s="6" t="s">
        <v>30</v>
      </c>
      <c r="R669" s="11" t="s">
        <v>30</v>
      </c>
      <c r="S669" s="6" t="s">
        <v>30</v>
      </c>
      <c r="T669" s="11" t="s">
        <v>30</v>
      </c>
      <c r="U669" s="6" t="s">
        <v>30</v>
      </c>
      <c r="V669" s="6" t="s">
        <v>30</v>
      </c>
      <c r="W669" s="6" t="s">
        <v>30</v>
      </c>
      <c r="X669" s="2" t="s">
        <v>30</v>
      </c>
      <c r="Y669" s="6" t="str">
        <f aca="false">IF(AND(X669="processed",ISNUMBER(S669)),S669*O669,"")</f>
        <v/>
      </c>
      <c r="Z669" s="6" t="n">
        <f aca="false">IF(ISNUMBER(K669),K669*O669,0)</f>
        <v>26</v>
      </c>
      <c r="AA669" s="2" t="s">
        <v>31</v>
      </c>
      <c r="AB669" s="6" t="n">
        <v>21763</v>
      </c>
      <c r="AC669" s="6" t="n">
        <v>17626</v>
      </c>
      <c r="AD669" s="6" t="n">
        <v>353</v>
      </c>
      <c r="AE669" s="6" t="n">
        <v>1400.13427734375</v>
      </c>
      <c r="AF669" s="8" t="n">
        <v>564.681724846</v>
      </c>
      <c r="AG669" s="11" t="n">
        <v>-0.2200333676</v>
      </c>
      <c r="AH669" s="12" t="n">
        <v>1</v>
      </c>
      <c r="AI669" s="2" t="s">
        <v>317</v>
      </c>
      <c r="AJ669" s="2" t="s">
        <v>1609</v>
      </c>
      <c r="AK669" s="2" t="s">
        <v>1609</v>
      </c>
    </row>
    <row r="670" customFormat="false" ht="15" hidden="false" customHeight="false" outlineLevel="0" collapsed="false">
      <c r="A670" s="9" t="n">
        <v>664</v>
      </c>
      <c r="B670" s="2" t="s">
        <v>1610</v>
      </c>
      <c r="C670" s="2" t="s">
        <v>70</v>
      </c>
      <c r="D670" s="2" t="s">
        <v>70</v>
      </c>
      <c r="E670" s="2" t="s">
        <v>71</v>
      </c>
      <c r="F670" s="2"/>
      <c r="G670" s="2" t="s">
        <v>329</v>
      </c>
      <c r="H670" s="8" t="n">
        <v>779.281085654</v>
      </c>
      <c r="I670" s="2" t="s">
        <v>337</v>
      </c>
      <c r="J670" s="8" t="n">
        <v>1018687.5</v>
      </c>
      <c r="K670" s="6" t="n">
        <v>8</v>
      </c>
      <c r="L670" s="2"/>
      <c r="M670" s="10" t="b">
        <f aca="false">TRUE()</f>
        <v>1</v>
      </c>
      <c r="N670" s="9" t="n">
        <f aca="false">IF(H670="","",IF(H670&gt;=Assumptions!$B$5,1,IF(H670&gt;=Assumptions!$B$6,2,IF(H670&gt;=Assumptions!$B$7,3,""))))</f>
        <v>1</v>
      </c>
      <c r="O670" s="9" t="n">
        <f aca="false">IF(N670=1,Assumptions!$B$8,IF(N670=2,Assumptions!$B$9,IF(N670=3,Assumptions!$B$10,0)))</f>
        <v>3</v>
      </c>
      <c r="P670" s="6" t="s">
        <v>30</v>
      </c>
      <c r="Q670" s="6" t="s">
        <v>30</v>
      </c>
      <c r="R670" s="11" t="s">
        <v>30</v>
      </c>
      <c r="S670" s="6" t="s">
        <v>30</v>
      </c>
      <c r="T670" s="11" t="s">
        <v>30</v>
      </c>
      <c r="U670" s="6" t="s">
        <v>30</v>
      </c>
      <c r="V670" s="6" t="s">
        <v>30</v>
      </c>
      <c r="W670" s="6" t="s">
        <v>30</v>
      </c>
      <c r="X670" s="2" t="s">
        <v>30</v>
      </c>
      <c r="Y670" s="6" t="str">
        <f aca="false">IF(AND(X670="processed",ISNUMBER(S670)),S670*O670,"")</f>
        <v/>
      </c>
      <c r="Z670" s="6" t="n">
        <f aca="false">IF(ISNUMBER(K670),K670*O670,0)</f>
        <v>24</v>
      </c>
      <c r="AA670" s="2" t="s">
        <v>31</v>
      </c>
      <c r="AB670" s="6" t="n">
        <v>1930</v>
      </c>
      <c r="AC670" s="6" t="n">
        <v>883</v>
      </c>
      <c r="AD670" s="6" t="n">
        <v>55</v>
      </c>
      <c r="AE670" s="6" t="n">
        <v>3880.48657226563</v>
      </c>
      <c r="AF670" s="8"/>
      <c r="AG670" s="11"/>
      <c r="AH670" s="12" t="n">
        <v>1</v>
      </c>
      <c r="AI670" s="2" t="s">
        <v>317</v>
      </c>
      <c r="AJ670" s="2" t="s">
        <v>70</v>
      </c>
      <c r="AK670" s="2" t="s">
        <v>70</v>
      </c>
    </row>
    <row r="671" customFormat="false" ht="15" hidden="false" customHeight="false" outlineLevel="0" collapsed="false">
      <c r="A671" s="9" t="n">
        <v>665</v>
      </c>
      <c r="B671" s="2" t="s">
        <v>1611</v>
      </c>
      <c r="C671" s="2" t="s">
        <v>403</v>
      </c>
      <c r="D671" s="2" t="s">
        <v>70</v>
      </c>
      <c r="E671" s="2" t="s">
        <v>71</v>
      </c>
      <c r="F671" s="2" t="s">
        <v>1612</v>
      </c>
      <c r="G671" s="2" t="s">
        <v>329</v>
      </c>
      <c r="H671" s="8" t="n">
        <v>833.26394691625</v>
      </c>
      <c r="I671" s="2" t="s">
        <v>316</v>
      </c>
      <c r="J671" s="8" t="n">
        <v>1193125</v>
      </c>
      <c r="K671" s="6" t="n">
        <v>8</v>
      </c>
      <c r="L671" s="2"/>
      <c r="M671" s="10" t="b">
        <f aca="false">TRUE()</f>
        <v>1</v>
      </c>
      <c r="N671" s="9" t="n">
        <f aca="false">IF(H671="","",IF(H671&gt;=Assumptions!$B$5,1,IF(H671&gt;=Assumptions!$B$6,2,IF(H671&gt;=Assumptions!$B$7,3,""))))</f>
        <v>1</v>
      </c>
      <c r="O671" s="9" t="n">
        <f aca="false">IF(N671=1,Assumptions!$B$8,IF(N671=2,Assumptions!$B$9,IF(N671=3,Assumptions!$B$10,0)))</f>
        <v>3</v>
      </c>
      <c r="P671" s="6" t="s">
        <v>30</v>
      </c>
      <c r="Q671" s="6" t="s">
        <v>30</v>
      </c>
      <c r="R671" s="11" t="s">
        <v>30</v>
      </c>
      <c r="S671" s="6" t="s">
        <v>30</v>
      </c>
      <c r="T671" s="11" t="s">
        <v>30</v>
      </c>
      <c r="U671" s="6" t="s">
        <v>30</v>
      </c>
      <c r="V671" s="6" t="s">
        <v>30</v>
      </c>
      <c r="W671" s="6" t="s">
        <v>30</v>
      </c>
      <c r="X671" s="2" t="s">
        <v>30</v>
      </c>
      <c r="Y671" s="6" t="str">
        <f aca="false">IF(AND(X671="processed",ISNUMBER(S671)),S671*O671,"")</f>
        <v/>
      </c>
      <c r="Z671" s="6" t="n">
        <f aca="false">IF(ISNUMBER(K671),K671*O671,0)</f>
        <v>24</v>
      </c>
      <c r="AA671" s="2" t="s">
        <v>31</v>
      </c>
      <c r="AB671" s="6" t="n">
        <v>2497</v>
      </c>
      <c r="AC671" s="6" t="n">
        <v>1690</v>
      </c>
      <c r="AD671" s="6" t="n">
        <v>12</v>
      </c>
      <c r="AE671" s="6" t="n">
        <v>1621.79516601563</v>
      </c>
      <c r="AF671" s="8" t="n">
        <v>757.666867108</v>
      </c>
      <c r="AG671" s="11" t="n">
        <v>0.07588695129</v>
      </c>
      <c r="AH671" s="12" t="n">
        <v>1</v>
      </c>
      <c r="AI671" s="2" t="s">
        <v>317</v>
      </c>
      <c r="AJ671" s="2" t="s">
        <v>403</v>
      </c>
      <c r="AK671" s="2" t="s">
        <v>403</v>
      </c>
    </row>
    <row r="672" customFormat="false" ht="15" hidden="false" customHeight="false" outlineLevel="0" collapsed="false">
      <c r="A672" s="9" t="n">
        <v>666</v>
      </c>
      <c r="B672" s="2" t="s">
        <v>1613</v>
      </c>
      <c r="C672" s="2" t="s">
        <v>1614</v>
      </c>
      <c r="D672" s="2" t="s">
        <v>105</v>
      </c>
      <c r="E672" s="2" t="s">
        <v>51</v>
      </c>
      <c r="F672" s="2"/>
      <c r="G672" s="2" t="s">
        <v>318</v>
      </c>
      <c r="H672" s="8" t="n">
        <v>948.058853844875</v>
      </c>
      <c r="I672" s="2" t="s">
        <v>316</v>
      </c>
      <c r="J672" s="8" t="n">
        <v>3997250</v>
      </c>
      <c r="K672" s="6" t="n">
        <v>8</v>
      </c>
      <c r="L672" s="2"/>
      <c r="M672" s="10" t="b">
        <f aca="false">TRUE()</f>
        <v>1</v>
      </c>
      <c r="N672" s="9" t="n">
        <f aca="false">IF(H672="","",IF(H672&gt;=Assumptions!$B$5,1,IF(H672&gt;=Assumptions!$B$6,2,IF(H672&gt;=Assumptions!$B$7,3,""))))</f>
        <v>1</v>
      </c>
      <c r="O672" s="9" t="n">
        <f aca="false">IF(N672=1,Assumptions!$B$8,IF(N672=2,Assumptions!$B$9,IF(N672=3,Assumptions!$B$10,0)))</f>
        <v>3</v>
      </c>
      <c r="P672" s="6" t="s">
        <v>30</v>
      </c>
      <c r="Q672" s="6" t="s">
        <v>30</v>
      </c>
      <c r="R672" s="11" t="s">
        <v>30</v>
      </c>
      <c r="S672" s="6" t="s">
        <v>30</v>
      </c>
      <c r="T672" s="11" t="s">
        <v>30</v>
      </c>
      <c r="U672" s="6" t="s">
        <v>30</v>
      </c>
      <c r="V672" s="6" t="s">
        <v>30</v>
      </c>
      <c r="W672" s="6" t="s">
        <v>30</v>
      </c>
      <c r="X672" s="2" t="s">
        <v>30</v>
      </c>
      <c r="Y672" s="6" t="str">
        <f aca="false">IF(AND(X672="processed",ISNUMBER(S672)),S672*O672,"")</f>
        <v/>
      </c>
      <c r="Z672" s="6" t="n">
        <f aca="false">IF(ISNUMBER(K672),K672*O672,0)</f>
        <v>24</v>
      </c>
      <c r="AA672" s="2" t="s">
        <v>31</v>
      </c>
      <c r="AB672" s="6" t="n">
        <v>521</v>
      </c>
      <c r="AC672" s="6" t="n">
        <v>402</v>
      </c>
      <c r="AD672" s="6" t="n">
        <v>395</v>
      </c>
      <c r="AE672" s="6" t="n">
        <v>3486.07470703125</v>
      </c>
      <c r="AF672" s="8" t="n">
        <v>895.52238806</v>
      </c>
      <c r="AG672" s="11" t="n">
        <v>0.07199849808</v>
      </c>
      <c r="AH672" s="12" t="n">
        <v>1</v>
      </c>
      <c r="AI672" s="2" t="s">
        <v>317</v>
      </c>
      <c r="AJ672" s="2" t="s">
        <v>1614</v>
      </c>
      <c r="AK672" s="2" t="s">
        <v>165</v>
      </c>
    </row>
    <row r="673" customFormat="false" ht="15" hidden="false" customHeight="false" outlineLevel="0" collapsed="false">
      <c r="A673" s="9" t="n">
        <v>667</v>
      </c>
      <c r="B673" s="2" t="s">
        <v>1615</v>
      </c>
      <c r="C673" s="2" t="s">
        <v>1616</v>
      </c>
      <c r="D673" s="2" t="s">
        <v>95</v>
      </c>
      <c r="E673" s="2" t="s">
        <v>95</v>
      </c>
      <c r="F673" s="2"/>
      <c r="G673" s="2" t="s">
        <v>330</v>
      </c>
      <c r="H673" s="8" t="n">
        <v>694.937337368333</v>
      </c>
      <c r="I673" s="2" t="s">
        <v>316</v>
      </c>
      <c r="J673" s="8" t="n">
        <v>1085833.33333333</v>
      </c>
      <c r="K673" s="6" t="n">
        <v>12</v>
      </c>
      <c r="L673" s="2"/>
      <c r="M673" s="10" t="b">
        <f aca="false">TRUE()</f>
        <v>1</v>
      </c>
      <c r="N673" s="9" t="n">
        <f aca="false">IF(H673="","",IF(H673&gt;=Assumptions!$B$5,1,IF(H673&gt;=Assumptions!$B$6,2,IF(H673&gt;=Assumptions!$B$7,3,""))))</f>
        <v>2</v>
      </c>
      <c r="O673" s="9" t="n">
        <f aca="false">IF(N673=1,Assumptions!$B$8,IF(N673=2,Assumptions!$B$9,IF(N673=3,Assumptions!$B$10,0)))</f>
        <v>2</v>
      </c>
      <c r="P673" s="6" t="s">
        <v>30</v>
      </c>
      <c r="Q673" s="6" t="s">
        <v>30</v>
      </c>
      <c r="R673" s="11" t="s">
        <v>30</v>
      </c>
      <c r="S673" s="6" t="s">
        <v>30</v>
      </c>
      <c r="T673" s="11" t="s">
        <v>30</v>
      </c>
      <c r="U673" s="6" t="s">
        <v>30</v>
      </c>
      <c r="V673" s="6" t="s">
        <v>30</v>
      </c>
      <c r="W673" s="6" t="s">
        <v>30</v>
      </c>
      <c r="X673" s="2" t="s">
        <v>30</v>
      </c>
      <c r="Y673" s="6" t="str">
        <f aca="false">IF(AND(X673="processed",ISNUMBER(S673)),S673*O673,"")</f>
        <v/>
      </c>
      <c r="Z673" s="6" t="n">
        <f aca="false">IF(ISNUMBER(K673),K673*O673,0)</f>
        <v>24</v>
      </c>
      <c r="AA673" s="2" t="s">
        <v>31</v>
      </c>
      <c r="AB673" s="6" t="n">
        <v>1217</v>
      </c>
      <c r="AC673" s="6" t="n">
        <v>746</v>
      </c>
      <c r="AD673" s="6" t="n">
        <v>34</v>
      </c>
      <c r="AE673" s="6" t="n">
        <v>1653.34716796875</v>
      </c>
      <c r="AF673" s="8" t="n">
        <v>526.073496614</v>
      </c>
      <c r="AG673" s="11" t="n">
        <v>-0.2695204368</v>
      </c>
      <c r="AH673" s="12" t="n">
        <v>1</v>
      </c>
      <c r="AI673" s="2" t="s">
        <v>317</v>
      </c>
      <c r="AJ673" s="2" t="s">
        <v>1616</v>
      </c>
      <c r="AK673" s="2" t="s">
        <v>1616</v>
      </c>
    </row>
    <row r="674" customFormat="false" ht="15" hidden="false" customHeight="false" outlineLevel="0" collapsed="false">
      <c r="A674" s="9" t="n">
        <v>668</v>
      </c>
      <c r="B674" s="2" t="s">
        <v>1617</v>
      </c>
      <c r="C674" s="2" t="s">
        <v>1618</v>
      </c>
      <c r="D674" s="2" t="s">
        <v>190</v>
      </c>
      <c r="E674" s="2" t="s">
        <v>51</v>
      </c>
      <c r="F674" s="2"/>
      <c r="G674" s="2" t="s">
        <v>336</v>
      </c>
      <c r="H674" s="8" t="n">
        <v>597.022137180478</v>
      </c>
      <c r="I674" s="2" t="s">
        <v>316</v>
      </c>
      <c r="J674" s="8" t="n">
        <v>1169130.43478261</v>
      </c>
      <c r="K674" s="6" t="n">
        <v>23</v>
      </c>
      <c r="L674" s="2"/>
      <c r="M674" s="10" t="b">
        <f aca="false">TRUE()</f>
        <v>1</v>
      </c>
      <c r="N674" s="9" t="n">
        <f aca="false">IF(H674="","",IF(H674&gt;=Assumptions!$B$5,1,IF(H674&gt;=Assumptions!$B$6,2,IF(H674&gt;=Assumptions!$B$7,3,""))))</f>
        <v>3</v>
      </c>
      <c r="O674" s="9" t="n">
        <f aca="false">IF(N674=1,Assumptions!$B$8,IF(N674=2,Assumptions!$B$9,IF(N674=3,Assumptions!$B$10,0)))</f>
        <v>1</v>
      </c>
      <c r="P674" s="6" t="s">
        <v>30</v>
      </c>
      <c r="Q674" s="6" t="s">
        <v>30</v>
      </c>
      <c r="R674" s="11" t="s">
        <v>30</v>
      </c>
      <c r="S674" s="6" t="s">
        <v>30</v>
      </c>
      <c r="T674" s="11" t="s">
        <v>30</v>
      </c>
      <c r="U674" s="6" t="s">
        <v>30</v>
      </c>
      <c r="V674" s="6" t="s">
        <v>30</v>
      </c>
      <c r="W674" s="6" t="s">
        <v>30</v>
      </c>
      <c r="X674" s="2" t="s">
        <v>30</v>
      </c>
      <c r="Y674" s="6" t="str">
        <f aca="false">IF(AND(X674="processed",ISNUMBER(S674)),S674*O674,"")</f>
        <v/>
      </c>
      <c r="Z674" s="6" t="n">
        <f aca="false">IF(ISNUMBER(K674),K674*O674,0)</f>
        <v>23</v>
      </c>
      <c r="AA674" s="2" t="s">
        <v>31</v>
      </c>
      <c r="AB674" s="6" t="n">
        <v>2048</v>
      </c>
      <c r="AC674" s="6" t="n">
        <v>1450</v>
      </c>
      <c r="AD674" s="6" t="n">
        <v>154</v>
      </c>
      <c r="AE674" s="6" t="n">
        <v>1450.98217773438</v>
      </c>
      <c r="AF674" s="8" t="n">
        <v>618.836427401</v>
      </c>
      <c r="AG674" s="11" t="n">
        <v>-0.1651334016</v>
      </c>
      <c r="AH674" s="12" t="n">
        <v>0.999102037307245</v>
      </c>
      <c r="AI674" s="2" t="s">
        <v>317</v>
      </c>
      <c r="AJ674" s="2" t="s">
        <v>1618</v>
      </c>
      <c r="AK674" s="2" t="s">
        <v>1619</v>
      </c>
    </row>
    <row r="675" customFormat="false" ht="15" hidden="false" customHeight="false" outlineLevel="0" collapsed="false">
      <c r="A675" s="9"/>
      <c r="B675" s="2" t="s">
        <v>1620</v>
      </c>
      <c r="C675" s="2"/>
      <c r="D675" s="2" t="s">
        <v>1190</v>
      </c>
      <c r="E675" s="2" t="s">
        <v>1191</v>
      </c>
      <c r="F675" s="2"/>
      <c r="G675" s="2" t="s">
        <v>329</v>
      </c>
      <c r="H675" s="8" t="n">
        <v>1029.23658025114</v>
      </c>
      <c r="I675" s="2" t="s">
        <v>337</v>
      </c>
      <c r="J675" s="8" t="n">
        <v>2905428.57142857</v>
      </c>
      <c r="K675" s="6" t="n">
        <v>7</v>
      </c>
      <c r="L675" s="2"/>
      <c r="M675" s="10" t="b">
        <f aca="false">FALSE()</f>
        <v>0</v>
      </c>
      <c r="N675" s="9" t="n">
        <f aca="false">IF(H675="","",IF(H675&gt;=Assumptions!$B$5,1,IF(H675&gt;=Assumptions!$B$6,2,IF(H675&gt;=Assumptions!$B$7,3,""))))</f>
        <v>1</v>
      </c>
      <c r="O675" s="9" t="n">
        <f aca="false">IF(N675=1,Assumptions!$B$8,IF(N675=2,Assumptions!$B$9,IF(N675=3,Assumptions!$B$10,0)))</f>
        <v>3</v>
      </c>
      <c r="P675" s="6" t="s">
        <v>30</v>
      </c>
      <c r="Q675" s="6" t="s">
        <v>30</v>
      </c>
      <c r="R675" s="11" t="s">
        <v>30</v>
      </c>
      <c r="S675" s="6" t="s">
        <v>30</v>
      </c>
      <c r="T675" s="11" t="s">
        <v>30</v>
      </c>
      <c r="U675" s="6" t="s">
        <v>30</v>
      </c>
      <c r="V675" s="6" t="s">
        <v>30</v>
      </c>
      <c r="W675" s="6" t="s">
        <v>30</v>
      </c>
      <c r="X675" s="2" t="s">
        <v>30</v>
      </c>
      <c r="Y675" s="6" t="str">
        <f aca="false">IF(AND(X675="processed",ISNUMBER(S675)),S675*O675,"")</f>
        <v/>
      </c>
      <c r="Z675" s="6" t="n">
        <f aca="false">IF(ISNUMBER(K675),K675*O675,0)</f>
        <v>21</v>
      </c>
      <c r="AA675" s="2" t="s">
        <v>31</v>
      </c>
      <c r="AB675" s="6"/>
      <c r="AC675" s="6"/>
      <c r="AD675" s="6"/>
      <c r="AE675" s="6"/>
      <c r="AF675" s="8"/>
      <c r="AG675" s="11"/>
      <c r="AH675" s="12"/>
      <c r="AI675" s="2"/>
      <c r="AJ675" s="2"/>
      <c r="AK675" s="2"/>
    </row>
    <row r="676" customFormat="false" ht="15" hidden="false" customHeight="false" outlineLevel="0" collapsed="false">
      <c r="A676" s="9" t="n">
        <v>669</v>
      </c>
      <c r="B676" s="2" t="s">
        <v>1621</v>
      </c>
      <c r="C676" s="2" t="s">
        <v>44</v>
      </c>
      <c r="D676" s="2" t="s">
        <v>44</v>
      </c>
      <c r="E676" s="2" t="s">
        <v>44</v>
      </c>
      <c r="F676" s="2"/>
      <c r="G676" s="2" t="s">
        <v>322</v>
      </c>
      <c r="H676" s="8" t="n">
        <v>1211.84137877157</v>
      </c>
      <c r="I676" s="2" t="s">
        <v>337</v>
      </c>
      <c r="J676" s="8" t="n">
        <v>1742857.14285714</v>
      </c>
      <c r="K676" s="6" t="n">
        <v>7</v>
      </c>
      <c r="L676" s="2"/>
      <c r="M676" s="10" t="b">
        <f aca="false">TRUE()</f>
        <v>1</v>
      </c>
      <c r="N676" s="9" t="n">
        <f aca="false">IF(H676="","",IF(H676&gt;=Assumptions!$B$5,1,IF(H676&gt;=Assumptions!$B$6,2,IF(H676&gt;=Assumptions!$B$7,3,""))))</f>
        <v>1</v>
      </c>
      <c r="O676" s="9" t="n">
        <f aca="false">IF(N676=1,Assumptions!$B$8,IF(N676=2,Assumptions!$B$9,IF(N676=3,Assumptions!$B$10,0)))</f>
        <v>3</v>
      </c>
      <c r="P676" s="6" t="s">
        <v>30</v>
      </c>
      <c r="Q676" s="6" t="s">
        <v>30</v>
      </c>
      <c r="R676" s="11" t="s">
        <v>30</v>
      </c>
      <c r="S676" s="6" t="s">
        <v>30</v>
      </c>
      <c r="T676" s="11" t="s">
        <v>30</v>
      </c>
      <c r="U676" s="6" t="s">
        <v>30</v>
      </c>
      <c r="V676" s="6" t="s">
        <v>30</v>
      </c>
      <c r="W676" s="6" t="s">
        <v>30</v>
      </c>
      <c r="X676" s="2" t="s">
        <v>30</v>
      </c>
      <c r="Y676" s="6" t="str">
        <f aca="false">IF(AND(X676="processed",ISNUMBER(S676)),S676*O676,"")</f>
        <v/>
      </c>
      <c r="Z676" s="6" t="n">
        <f aca="false">IF(ISNUMBER(K676),K676*O676,0)</f>
        <v>21</v>
      </c>
      <c r="AA676" s="2" t="s">
        <v>31</v>
      </c>
      <c r="AB676" s="6" t="n">
        <v>9</v>
      </c>
      <c r="AC676" s="6" t="n">
        <v>1</v>
      </c>
      <c r="AD676" s="6" t="n">
        <v>0</v>
      </c>
      <c r="AE676" s="6" t="n">
        <v>1699.50891113281</v>
      </c>
      <c r="AF676" s="8"/>
      <c r="AG676" s="11"/>
      <c r="AH676" s="12" t="n">
        <v>1</v>
      </c>
      <c r="AI676" s="2" t="s">
        <v>317</v>
      </c>
      <c r="AJ676" s="2" t="s">
        <v>44</v>
      </c>
      <c r="AK676" s="2" t="s">
        <v>44</v>
      </c>
    </row>
    <row r="677" customFormat="false" ht="15" hidden="false" customHeight="false" outlineLevel="0" collapsed="false">
      <c r="A677" s="9"/>
      <c r="B677" s="2" t="s">
        <v>1622</v>
      </c>
      <c r="C677" s="2"/>
      <c r="D677" s="2" t="s">
        <v>1190</v>
      </c>
      <c r="E677" s="2" t="s">
        <v>1191</v>
      </c>
      <c r="F677" s="2"/>
      <c r="G677" s="2" t="s">
        <v>320</v>
      </c>
      <c r="H677" s="8" t="n">
        <v>1807.333076638</v>
      </c>
      <c r="I677" s="2" t="s">
        <v>316</v>
      </c>
      <c r="J677" s="8" t="n">
        <v>6500000</v>
      </c>
      <c r="K677" s="6" t="n">
        <v>7</v>
      </c>
      <c r="L677" s="2"/>
      <c r="M677" s="10" t="b">
        <f aca="false">FALSE()</f>
        <v>0</v>
      </c>
      <c r="N677" s="9" t="n">
        <f aca="false">IF(H677="","",IF(H677&gt;=Assumptions!$B$5,1,IF(H677&gt;=Assumptions!$B$6,2,IF(H677&gt;=Assumptions!$B$7,3,""))))</f>
        <v>1</v>
      </c>
      <c r="O677" s="9" t="n">
        <f aca="false">IF(N677=1,Assumptions!$B$8,IF(N677=2,Assumptions!$B$9,IF(N677=3,Assumptions!$B$10,0)))</f>
        <v>3</v>
      </c>
      <c r="P677" s="6" t="s">
        <v>30</v>
      </c>
      <c r="Q677" s="6" t="s">
        <v>30</v>
      </c>
      <c r="R677" s="11" t="s">
        <v>30</v>
      </c>
      <c r="S677" s="6" t="s">
        <v>30</v>
      </c>
      <c r="T677" s="11" t="s">
        <v>30</v>
      </c>
      <c r="U677" s="6" t="s">
        <v>30</v>
      </c>
      <c r="V677" s="6" t="s">
        <v>30</v>
      </c>
      <c r="W677" s="6" t="s">
        <v>30</v>
      </c>
      <c r="X677" s="2" t="s">
        <v>30</v>
      </c>
      <c r="Y677" s="6" t="str">
        <f aca="false">IF(AND(X677="processed",ISNUMBER(S677)),S677*O677,"")</f>
        <v/>
      </c>
      <c r="Z677" s="6" t="n">
        <f aca="false">IF(ISNUMBER(K677),K677*O677,0)</f>
        <v>21</v>
      </c>
      <c r="AA677" s="2" t="s">
        <v>31</v>
      </c>
      <c r="AB677" s="6"/>
      <c r="AC677" s="6"/>
      <c r="AD677" s="6"/>
      <c r="AE677" s="6"/>
      <c r="AF677" s="8" t="n">
        <v>2037.444777476</v>
      </c>
      <c r="AG677" s="11" t="n">
        <v>0.3662508422</v>
      </c>
      <c r="AH677" s="12"/>
      <c r="AI677" s="2"/>
      <c r="AJ677" s="2"/>
      <c r="AK677" s="2"/>
    </row>
    <row r="678" customFormat="false" ht="15" hidden="false" customHeight="false" outlineLevel="0" collapsed="false">
      <c r="A678" s="9"/>
      <c r="B678" s="2" t="s">
        <v>1623</v>
      </c>
      <c r="C678" s="2"/>
      <c r="D678" s="2" t="s">
        <v>1190</v>
      </c>
      <c r="E678" s="2" t="s">
        <v>1191</v>
      </c>
      <c r="F678" s="2"/>
      <c r="G678" s="2" t="s">
        <v>320</v>
      </c>
      <c r="H678" s="8" t="n">
        <v>657.7598980732</v>
      </c>
      <c r="I678" s="2" t="s">
        <v>337</v>
      </c>
      <c r="J678" s="8" t="n">
        <v>833900</v>
      </c>
      <c r="K678" s="6" t="n">
        <v>10</v>
      </c>
      <c r="L678" s="2"/>
      <c r="M678" s="10" t="b">
        <f aca="false">FALSE()</f>
        <v>0</v>
      </c>
      <c r="N678" s="9" t="n">
        <f aca="false">IF(H678="","",IF(H678&gt;=Assumptions!$B$5,1,IF(H678&gt;=Assumptions!$B$6,2,IF(H678&gt;=Assumptions!$B$7,3,""))))</f>
        <v>2</v>
      </c>
      <c r="O678" s="9" t="n">
        <f aca="false">IF(N678=1,Assumptions!$B$8,IF(N678=2,Assumptions!$B$9,IF(N678=3,Assumptions!$B$10,0)))</f>
        <v>2</v>
      </c>
      <c r="P678" s="6" t="s">
        <v>30</v>
      </c>
      <c r="Q678" s="6" t="s">
        <v>30</v>
      </c>
      <c r="R678" s="11" t="s">
        <v>30</v>
      </c>
      <c r="S678" s="6" t="s">
        <v>30</v>
      </c>
      <c r="T678" s="11" t="s">
        <v>30</v>
      </c>
      <c r="U678" s="6" t="s">
        <v>30</v>
      </c>
      <c r="V678" s="6" t="s">
        <v>30</v>
      </c>
      <c r="W678" s="6" t="s">
        <v>30</v>
      </c>
      <c r="X678" s="2" t="s">
        <v>30</v>
      </c>
      <c r="Y678" s="6" t="str">
        <f aca="false">IF(AND(X678="processed",ISNUMBER(S678)),S678*O678,"")</f>
        <v/>
      </c>
      <c r="Z678" s="6" t="n">
        <f aca="false">IF(ISNUMBER(K678),K678*O678,0)</f>
        <v>20</v>
      </c>
      <c r="AA678" s="2" t="s">
        <v>31</v>
      </c>
      <c r="AB678" s="6"/>
      <c r="AC678" s="6"/>
      <c r="AD678" s="6"/>
      <c r="AE678" s="6"/>
      <c r="AF678" s="8"/>
      <c r="AG678" s="11"/>
      <c r="AH678" s="12"/>
      <c r="AI678" s="2"/>
      <c r="AJ678" s="2"/>
      <c r="AK678" s="2"/>
    </row>
    <row r="679" customFormat="false" ht="15" hidden="false" customHeight="false" outlineLevel="0" collapsed="false">
      <c r="A679" s="9" t="n">
        <v>670</v>
      </c>
      <c r="B679" s="2" t="s">
        <v>1624</v>
      </c>
      <c r="C679" s="2" t="s">
        <v>1063</v>
      </c>
      <c r="D679" s="2" t="s">
        <v>70</v>
      </c>
      <c r="E679" s="2" t="s">
        <v>71</v>
      </c>
      <c r="F679" s="2"/>
      <c r="G679" s="2" t="s">
        <v>329</v>
      </c>
      <c r="H679" s="8" t="n">
        <v>607.807322555222</v>
      </c>
      <c r="I679" s="2" t="s">
        <v>316</v>
      </c>
      <c r="J679" s="8" t="n">
        <v>3373333.33333333</v>
      </c>
      <c r="K679" s="6" t="n">
        <v>9</v>
      </c>
      <c r="L679" s="2"/>
      <c r="M679" s="10" t="b">
        <f aca="false">TRUE()</f>
        <v>1</v>
      </c>
      <c r="N679" s="9" t="n">
        <f aca="false">IF(H679="","",IF(H679&gt;=Assumptions!$B$5,1,IF(H679&gt;=Assumptions!$B$6,2,IF(H679&gt;=Assumptions!$B$7,3,""))))</f>
        <v>2</v>
      </c>
      <c r="O679" s="9" t="n">
        <f aca="false">IF(N679=1,Assumptions!$B$8,IF(N679=2,Assumptions!$B$9,IF(N679=3,Assumptions!$B$10,0)))</f>
        <v>2</v>
      </c>
      <c r="P679" s="6" t="s">
        <v>30</v>
      </c>
      <c r="Q679" s="6" t="s">
        <v>30</v>
      </c>
      <c r="R679" s="11" t="s">
        <v>30</v>
      </c>
      <c r="S679" s="6" t="s">
        <v>30</v>
      </c>
      <c r="T679" s="11" t="s">
        <v>30</v>
      </c>
      <c r="U679" s="6" t="s">
        <v>30</v>
      </c>
      <c r="V679" s="6" t="s">
        <v>30</v>
      </c>
      <c r="W679" s="6" t="s">
        <v>30</v>
      </c>
      <c r="X679" s="2" t="s">
        <v>30</v>
      </c>
      <c r="Y679" s="6" t="str">
        <f aca="false">IF(AND(X679="processed",ISNUMBER(S679)),S679*O679,"")</f>
        <v/>
      </c>
      <c r="Z679" s="6" t="n">
        <f aca="false">IF(ISNUMBER(K679),K679*O679,0)</f>
        <v>18</v>
      </c>
      <c r="AA679" s="2" t="s">
        <v>31</v>
      </c>
      <c r="AB679" s="6" t="n">
        <v>832</v>
      </c>
      <c r="AC679" s="6" t="n">
        <v>604</v>
      </c>
      <c r="AD679" s="6" t="n">
        <v>74</v>
      </c>
      <c r="AE679" s="6" t="n">
        <v>2672.62475585938</v>
      </c>
      <c r="AF679" s="8" t="n">
        <v>602.437608822</v>
      </c>
      <c r="AG679" s="11" t="n">
        <v>-0.1504401032</v>
      </c>
      <c r="AH679" s="12" t="n">
        <v>0.999999999999999</v>
      </c>
      <c r="AI679" s="2" t="s">
        <v>317</v>
      </c>
      <c r="AJ679" s="2" t="s">
        <v>1063</v>
      </c>
      <c r="AK679" s="2" t="s">
        <v>1625</v>
      </c>
    </row>
    <row r="680" customFormat="false" ht="15" hidden="false" customHeight="false" outlineLevel="0" collapsed="false">
      <c r="A680" s="9" t="n">
        <v>671</v>
      </c>
      <c r="B680" s="2" t="s">
        <v>1626</v>
      </c>
      <c r="C680" s="2" t="s">
        <v>44</v>
      </c>
      <c r="D680" s="2" t="s">
        <v>44</v>
      </c>
      <c r="E680" s="2" t="s">
        <v>44</v>
      </c>
      <c r="F680" s="2" t="s">
        <v>1627</v>
      </c>
      <c r="G680" s="2" t="s">
        <v>322</v>
      </c>
      <c r="H680" s="8" t="n">
        <v>733.7178273415</v>
      </c>
      <c r="I680" s="2" t="s">
        <v>316</v>
      </c>
      <c r="J680" s="8" t="n">
        <v>1650833.33333333</v>
      </c>
      <c r="K680" s="6" t="n">
        <v>6</v>
      </c>
      <c r="L680" s="2"/>
      <c r="M680" s="10" t="b">
        <f aca="false">TRUE()</f>
        <v>1</v>
      </c>
      <c r="N680" s="9" t="n">
        <f aca="false">IF(H680="","",IF(H680&gt;=Assumptions!$B$5,1,IF(H680&gt;=Assumptions!$B$6,2,IF(H680&gt;=Assumptions!$B$7,3,""))))</f>
        <v>1</v>
      </c>
      <c r="O680" s="9" t="n">
        <f aca="false">IF(N680=1,Assumptions!$B$8,IF(N680=2,Assumptions!$B$9,IF(N680=3,Assumptions!$B$10,0)))</f>
        <v>3</v>
      </c>
      <c r="P680" s="6" t="s">
        <v>30</v>
      </c>
      <c r="Q680" s="6" t="s">
        <v>30</v>
      </c>
      <c r="R680" s="11" t="s">
        <v>30</v>
      </c>
      <c r="S680" s="6" t="s">
        <v>30</v>
      </c>
      <c r="T680" s="11" t="s">
        <v>30</v>
      </c>
      <c r="U680" s="6" t="s">
        <v>30</v>
      </c>
      <c r="V680" s="6" t="s">
        <v>30</v>
      </c>
      <c r="W680" s="6" t="s">
        <v>30</v>
      </c>
      <c r="X680" s="2" t="s">
        <v>30</v>
      </c>
      <c r="Y680" s="6" t="str">
        <f aca="false">IF(AND(X680="processed",ISNUMBER(S680)),S680*O680,"")</f>
        <v/>
      </c>
      <c r="Z680" s="6" t="n">
        <f aca="false">IF(ISNUMBER(K680),K680*O680,0)</f>
        <v>18</v>
      </c>
      <c r="AA680" s="2" t="s">
        <v>31</v>
      </c>
      <c r="AB680" s="6" t="n">
        <v>2826</v>
      </c>
      <c r="AC680" s="6" t="n">
        <v>1416</v>
      </c>
      <c r="AD680" s="6" t="n">
        <v>265</v>
      </c>
      <c r="AE680" s="6" t="n">
        <v>2521.64501953125</v>
      </c>
      <c r="AF680" s="8" t="n">
        <v>592.878071788</v>
      </c>
      <c r="AG680" s="11" t="n">
        <v>-0.07283110328</v>
      </c>
      <c r="AH680" s="12" t="n">
        <v>0.999999999999998</v>
      </c>
      <c r="AI680" s="2" t="s">
        <v>317</v>
      </c>
      <c r="AJ680" s="2" t="s">
        <v>44</v>
      </c>
      <c r="AK680" s="2" t="s">
        <v>44</v>
      </c>
    </row>
    <row r="681" customFormat="false" ht="15" hidden="false" customHeight="false" outlineLevel="0" collapsed="false">
      <c r="A681" s="9" t="n">
        <v>672</v>
      </c>
      <c r="B681" s="2" t="s">
        <v>1628</v>
      </c>
      <c r="C681" s="2" t="s">
        <v>1629</v>
      </c>
      <c r="D681" s="2" t="s">
        <v>423</v>
      </c>
      <c r="E681" s="2" t="s">
        <v>51</v>
      </c>
      <c r="F681" s="2"/>
      <c r="G681" s="2" t="s">
        <v>425</v>
      </c>
      <c r="H681" s="8" t="n">
        <v>866.041461629333</v>
      </c>
      <c r="I681" s="2" t="s">
        <v>316</v>
      </c>
      <c r="J681" s="8" t="n">
        <v>1728833.33333333</v>
      </c>
      <c r="K681" s="6" t="n">
        <v>6</v>
      </c>
      <c r="L681" s="2"/>
      <c r="M681" s="10" t="b">
        <f aca="false">TRUE()</f>
        <v>1</v>
      </c>
      <c r="N681" s="9" t="n">
        <f aca="false">IF(H681="","",IF(H681&gt;=Assumptions!$B$5,1,IF(H681&gt;=Assumptions!$B$6,2,IF(H681&gt;=Assumptions!$B$7,3,""))))</f>
        <v>1</v>
      </c>
      <c r="O681" s="9" t="n">
        <f aca="false">IF(N681=1,Assumptions!$B$8,IF(N681=2,Assumptions!$B$9,IF(N681=3,Assumptions!$B$10,0)))</f>
        <v>3</v>
      </c>
      <c r="P681" s="6" t="s">
        <v>30</v>
      </c>
      <c r="Q681" s="6" t="s">
        <v>30</v>
      </c>
      <c r="R681" s="11" t="s">
        <v>30</v>
      </c>
      <c r="S681" s="6" t="s">
        <v>30</v>
      </c>
      <c r="T681" s="11" t="s">
        <v>30</v>
      </c>
      <c r="U681" s="6" t="s">
        <v>30</v>
      </c>
      <c r="V681" s="6" t="s">
        <v>30</v>
      </c>
      <c r="W681" s="6" t="s">
        <v>30</v>
      </c>
      <c r="X681" s="2" t="s">
        <v>30</v>
      </c>
      <c r="Y681" s="6" t="str">
        <f aca="false">IF(AND(X681="processed",ISNUMBER(S681)),S681*O681,"")</f>
        <v/>
      </c>
      <c r="Z681" s="6" t="n">
        <f aca="false">IF(ISNUMBER(K681),K681*O681,0)</f>
        <v>18</v>
      </c>
      <c r="AA681" s="2" t="s">
        <v>31</v>
      </c>
      <c r="AB681" s="6" t="n">
        <v>1074</v>
      </c>
      <c r="AC681" s="6" t="n">
        <v>887</v>
      </c>
      <c r="AD681" s="6" t="n">
        <v>974</v>
      </c>
      <c r="AE681" s="6" t="n">
        <v>2242.49560546875</v>
      </c>
      <c r="AF681" s="8" t="n">
        <v>844.155844156</v>
      </c>
      <c r="AG681" s="11" t="n">
        <v>-0.0009276437848</v>
      </c>
      <c r="AH681" s="12" t="n">
        <v>0.999999999999999</v>
      </c>
      <c r="AI681" s="2" t="s">
        <v>342</v>
      </c>
      <c r="AJ681" s="2" t="s">
        <v>1629</v>
      </c>
      <c r="AK681" s="2" t="s">
        <v>1630</v>
      </c>
    </row>
    <row r="682" customFormat="false" ht="15" hidden="false" customHeight="false" outlineLevel="0" collapsed="false">
      <c r="A682" s="9" t="n">
        <v>673</v>
      </c>
      <c r="B682" s="2" t="s">
        <v>1631</v>
      </c>
      <c r="C682" s="2" t="s">
        <v>1632</v>
      </c>
      <c r="D682" s="2" t="s">
        <v>62</v>
      </c>
      <c r="E682" s="2" t="s">
        <v>40</v>
      </c>
      <c r="F682" s="2"/>
      <c r="G682" s="2" t="s">
        <v>324</v>
      </c>
      <c r="H682" s="8" t="n">
        <v>625.769758504778</v>
      </c>
      <c r="I682" s="2" t="s">
        <v>316</v>
      </c>
      <c r="J682" s="8" t="n">
        <v>831666.666666667</v>
      </c>
      <c r="K682" s="6" t="n">
        <v>9</v>
      </c>
      <c r="L682" s="2"/>
      <c r="M682" s="10" t="b">
        <f aca="false">TRUE()</f>
        <v>1</v>
      </c>
      <c r="N682" s="9" t="n">
        <f aca="false">IF(H682="","",IF(H682&gt;=Assumptions!$B$5,1,IF(H682&gt;=Assumptions!$B$6,2,IF(H682&gt;=Assumptions!$B$7,3,""))))</f>
        <v>2</v>
      </c>
      <c r="O682" s="9" t="n">
        <f aca="false">IF(N682=1,Assumptions!$B$8,IF(N682=2,Assumptions!$B$9,IF(N682=3,Assumptions!$B$10,0)))</f>
        <v>2</v>
      </c>
      <c r="P682" s="6" t="s">
        <v>30</v>
      </c>
      <c r="Q682" s="6" t="s">
        <v>30</v>
      </c>
      <c r="R682" s="11" t="s">
        <v>30</v>
      </c>
      <c r="S682" s="6" t="s">
        <v>30</v>
      </c>
      <c r="T682" s="11" t="s">
        <v>30</v>
      </c>
      <c r="U682" s="6" t="s">
        <v>30</v>
      </c>
      <c r="V682" s="6" t="s">
        <v>30</v>
      </c>
      <c r="W682" s="6" t="s">
        <v>30</v>
      </c>
      <c r="X682" s="2" t="s">
        <v>30</v>
      </c>
      <c r="Y682" s="6" t="str">
        <f aca="false">IF(AND(X682="processed",ISNUMBER(S682)),S682*O682,"")</f>
        <v/>
      </c>
      <c r="Z682" s="6" t="n">
        <f aca="false">IF(ISNUMBER(K682),K682*O682,0)</f>
        <v>18</v>
      </c>
      <c r="AA682" s="2" t="s">
        <v>31</v>
      </c>
      <c r="AB682" s="6" t="n">
        <v>928</v>
      </c>
      <c r="AC682" s="6" t="n">
        <v>758</v>
      </c>
      <c r="AD682" s="6" t="n">
        <v>609</v>
      </c>
      <c r="AE682" s="6" t="n">
        <v>1583.59936523438</v>
      </c>
      <c r="AF682" s="8" t="n">
        <v>948.275862069</v>
      </c>
      <c r="AG682" s="11" t="n">
        <v>0.09829866144</v>
      </c>
      <c r="AH682" s="12" t="n">
        <v>0.998957586190276</v>
      </c>
      <c r="AI682" s="2" t="s">
        <v>340</v>
      </c>
      <c r="AJ682" s="2" t="s">
        <v>1632</v>
      </c>
      <c r="AK682" s="2" t="s">
        <v>428</v>
      </c>
    </row>
    <row r="683" customFormat="false" ht="15" hidden="false" customHeight="false" outlineLevel="0" collapsed="false">
      <c r="A683" s="9" t="n">
        <v>674</v>
      </c>
      <c r="B683" s="2" t="s">
        <v>1633</v>
      </c>
      <c r="C683" s="2" t="s">
        <v>1634</v>
      </c>
      <c r="D683" s="2" t="s">
        <v>95</v>
      </c>
      <c r="E683" s="2" t="s">
        <v>95</v>
      </c>
      <c r="F683" s="2"/>
      <c r="G683" s="2" t="s">
        <v>330</v>
      </c>
      <c r="H683" s="8" t="n">
        <v>872.826240561167</v>
      </c>
      <c r="I683" s="2" t="s">
        <v>316</v>
      </c>
      <c r="J683" s="8" t="n">
        <v>963166.666666667</v>
      </c>
      <c r="K683" s="6" t="n">
        <v>6</v>
      </c>
      <c r="L683" s="2"/>
      <c r="M683" s="10" t="b">
        <f aca="false">TRUE()</f>
        <v>1</v>
      </c>
      <c r="N683" s="9" t="n">
        <f aca="false">IF(H683="","",IF(H683&gt;=Assumptions!$B$5,1,IF(H683&gt;=Assumptions!$B$6,2,IF(H683&gt;=Assumptions!$B$7,3,""))))</f>
        <v>1</v>
      </c>
      <c r="O683" s="9" t="n">
        <f aca="false">IF(N683=1,Assumptions!$B$8,IF(N683=2,Assumptions!$B$9,IF(N683=3,Assumptions!$B$10,0)))</f>
        <v>3</v>
      </c>
      <c r="P683" s="6" t="s">
        <v>30</v>
      </c>
      <c r="Q683" s="6" t="s">
        <v>30</v>
      </c>
      <c r="R683" s="11" t="s">
        <v>30</v>
      </c>
      <c r="S683" s="6" t="s">
        <v>30</v>
      </c>
      <c r="T683" s="11" t="s">
        <v>30</v>
      </c>
      <c r="U683" s="6" t="s">
        <v>30</v>
      </c>
      <c r="V683" s="6" t="s">
        <v>30</v>
      </c>
      <c r="W683" s="6" t="s">
        <v>30</v>
      </c>
      <c r="X683" s="2" t="s">
        <v>30</v>
      </c>
      <c r="Y683" s="6" t="str">
        <f aca="false">IF(AND(X683="processed",ISNUMBER(S683)),S683*O683,"")</f>
        <v/>
      </c>
      <c r="Z683" s="6" t="n">
        <f aca="false">IF(ISNUMBER(K683),K683*O683,0)</f>
        <v>18</v>
      </c>
      <c r="AA683" s="2" t="s">
        <v>31</v>
      </c>
      <c r="AB683" s="6" t="n">
        <v>685</v>
      </c>
      <c r="AC683" s="6" t="n">
        <v>403</v>
      </c>
      <c r="AD683" s="6" t="n">
        <v>15</v>
      </c>
      <c r="AE683" s="6" t="n">
        <v>1420.56555175781</v>
      </c>
      <c r="AF683" s="8" t="n">
        <v>504.767246214</v>
      </c>
      <c r="AG683" s="11" t="n">
        <v>-0.2644055869</v>
      </c>
      <c r="AH683" s="12" t="n">
        <v>1</v>
      </c>
      <c r="AI683" s="2" t="s">
        <v>321</v>
      </c>
      <c r="AJ683" s="2" t="s">
        <v>1634</v>
      </c>
      <c r="AK683" s="2" t="s">
        <v>1634</v>
      </c>
    </row>
    <row r="684" customFormat="false" ht="15" hidden="false" customHeight="false" outlineLevel="0" collapsed="false">
      <c r="A684" s="9" t="n">
        <v>675</v>
      </c>
      <c r="B684" s="2" t="s">
        <v>1635</v>
      </c>
      <c r="C684" s="2" t="s">
        <v>1636</v>
      </c>
      <c r="D684" s="2" t="s">
        <v>190</v>
      </c>
      <c r="E684" s="2" t="s">
        <v>51</v>
      </c>
      <c r="F684" s="2"/>
      <c r="G684" s="2" t="s">
        <v>336</v>
      </c>
      <c r="H684" s="8" t="n">
        <v>722.6477895805</v>
      </c>
      <c r="I684" s="2" t="s">
        <v>316</v>
      </c>
      <c r="J684" s="8" t="n">
        <v>1320666.66666667</v>
      </c>
      <c r="K684" s="6" t="n">
        <v>6</v>
      </c>
      <c r="L684" s="2"/>
      <c r="M684" s="10" t="b">
        <f aca="false">TRUE()</f>
        <v>1</v>
      </c>
      <c r="N684" s="9" t="n">
        <f aca="false">IF(H684="","",IF(H684&gt;=Assumptions!$B$5,1,IF(H684&gt;=Assumptions!$B$6,2,IF(H684&gt;=Assumptions!$B$7,3,""))))</f>
        <v>1</v>
      </c>
      <c r="O684" s="9" t="n">
        <f aca="false">IF(N684=1,Assumptions!$B$8,IF(N684=2,Assumptions!$B$9,IF(N684=3,Assumptions!$B$10,0)))</f>
        <v>3</v>
      </c>
      <c r="P684" s="6" t="s">
        <v>30</v>
      </c>
      <c r="Q684" s="6" t="s">
        <v>30</v>
      </c>
      <c r="R684" s="11" t="s">
        <v>30</v>
      </c>
      <c r="S684" s="6" t="s">
        <v>30</v>
      </c>
      <c r="T684" s="11" t="s">
        <v>30</v>
      </c>
      <c r="U684" s="6" t="s">
        <v>30</v>
      </c>
      <c r="V684" s="6" t="s">
        <v>30</v>
      </c>
      <c r="W684" s="6" t="s">
        <v>30</v>
      </c>
      <c r="X684" s="2" t="s">
        <v>30</v>
      </c>
      <c r="Y684" s="6" t="str">
        <f aca="false">IF(AND(X684="processed",ISNUMBER(S684)),S684*O684,"")</f>
        <v/>
      </c>
      <c r="Z684" s="6" t="n">
        <f aca="false">IF(ISNUMBER(K684),K684*O684,0)</f>
        <v>18</v>
      </c>
      <c r="AA684" s="2" t="s">
        <v>31</v>
      </c>
      <c r="AB684" s="6" t="n">
        <v>922</v>
      </c>
      <c r="AC684" s="6" t="n">
        <v>527</v>
      </c>
      <c r="AD684" s="6" t="n">
        <v>31</v>
      </c>
      <c r="AE684" s="6" t="n">
        <v>1612.07446289063</v>
      </c>
      <c r="AF684" s="8" t="n">
        <v>823.47972973</v>
      </c>
      <c r="AG684" s="11" t="n">
        <v>1.591662094</v>
      </c>
      <c r="AH684" s="12" t="n">
        <v>0.999999999999999</v>
      </c>
      <c r="AI684" s="2" t="s">
        <v>317</v>
      </c>
      <c r="AJ684" s="2" t="s">
        <v>1636</v>
      </c>
      <c r="AK684" s="2" t="s">
        <v>1636</v>
      </c>
    </row>
    <row r="685" customFormat="false" ht="15" hidden="false" customHeight="false" outlineLevel="0" collapsed="false">
      <c r="A685" s="9" t="n">
        <v>676</v>
      </c>
      <c r="B685" s="2" t="s">
        <v>1637</v>
      </c>
      <c r="C685" s="2" t="s">
        <v>70</v>
      </c>
      <c r="D685" s="2" t="s">
        <v>70</v>
      </c>
      <c r="E685" s="2" t="s">
        <v>71</v>
      </c>
      <c r="F685" s="2" t="s">
        <v>1638</v>
      </c>
      <c r="G685" s="2" t="s">
        <v>329</v>
      </c>
      <c r="H685" s="8" t="n">
        <v>565.344425562</v>
      </c>
      <c r="I685" s="2" t="s">
        <v>316</v>
      </c>
      <c r="J685" s="8" t="n">
        <v>731058.823529412</v>
      </c>
      <c r="K685" s="6" t="n">
        <v>17</v>
      </c>
      <c r="L685" s="2"/>
      <c r="M685" s="10" t="b">
        <f aca="false">TRUE()</f>
        <v>1</v>
      </c>
      <c r="N685" s="9" t="n">
        <f aca="false">IF(H685="","",IF(H685&gt;=Assumptions!$B$5,1,IF(H685&gt;=Assumptions!$B$6,2,IF(H685&gt;=Assumptions!$B$7,3,""))))</f>
        <v>3</v>
      </c>
      <c r="O685" s="9" t="n">
        <f aca="false">IF(N685=1,Assumptions!$B$8,IF(N685=2,Assumptions!$B$9,IF(N685=3,Assumptions!$B$10,0)))</f>
        <v>1</v>
      </c>
      <c r="P685" s="6" t="s">
        <v>30</v>
      </c>
      <c r="Q685" s="6" t="s">
        <v>30</v>
      </c>
      <c r="R685" s="11" t="s">
        <v>30</v>
      </c>
      <c r="S685" s="6" t="s">
        <v>30</v>
      </c>
      <c r="T685" s="11" t="s">
        <v>30</v>
      </c>
      <c r="U685" s="6" t="s">
        <v>30</v>
      </c>
      <c r="V685" s="6" t="s">
        <v>30</v>
      </c>
      <c r="W685" s="6" t="s">
        <v>30</v>
      </c>
      <c r="X685" s="2" t="s">
        <v>30</v>
      </c>
      <c r="Y685" s="6" t="str">
        <f aca="false">IF(AND(X685="processed",ISNUMBER(S685)),S685*O685,"")</f>
        <v/>
      </c>
      <c r="Z685" s="6" t="n">
        <f aca="false">IF(ISNUMBER(K685),K685*O685,0)</f>
        <v>17</v>
      </c>
      <c r="AA685" s="2" t="s">
        <v>31</v>
      </c>
      <c r="AB685" s="6" t="n">
        <v>5096</v>
      </c>
      <c r="AC685" s="6" t="n">
        <v>3403</v>
      </c>
      <c r="AD685" s="6" t="n">
        <v>131</v>
      </c>
      <c r="AE685" s="6" t="n">
        <v>1450.623046875</v>
      </c>
      <c r="AF685" s="8" t="n">
        <v>566.666666667</v>
      </c>
      <c r="AG685" s="11" t="n">
        <v>-0.01520782694</v>
      </c>
      <c r="AH685" s="12" t="n">
        <v>1</v>
      </c>
      <c r="AI685" s="2" t="s">
        <v>317</v>
      </c>
      <c r="AJ685" s="2" t="s">
        <v>70</v>
      </c>
      <c r="AK685" s="2" t="s">
        <v>1300</v>
      </c>
    </row>
    <row r="686" customFormat="false" ht="15" hidden="false" customHeight="false" outlineLevel="0" collapsed="false">
      <c r="A686" s="9" t="n">
        <v>677</v>
      </c>
      <c r="B686" s="2" t="s">
        <v>1639</v>
      </c>
      <c r="C686" s="2" t="s">
        <v>1640</v>
      </c>
      <c r="D686" s="2" t="s">
        <v>273</v>
      </c>
      <c r="E686" s="2" t="s">
        <v>273</v>
      </c>
      <c r="F686" s="2"/>
      <c r="G686" s="2" t="s">
        <v>348</v>
      </c>
      <c r="H686" s="8" t="n">
        <v>556.68830782653</v>
      </c>
      <c r="I686" s="2" t="s">
        <v>316</v>
      </c>
      <c r="J686" s="8" t="n">
        <v>1800676.47058824</v>
      </c>
      <c r="K686" s="6" t="n">
        <v>17</v>
      </c>
      <c r="L686" s="2"/>
      <c r="M686" s="10" t="b">
        <f aca="false">TRUE()</f>
        <v>1</v>
      </c>
      <c r="N686" s="9" t="n">
        <f aca="false">IF(H686="","",IF(H686&gt;=Assumptions!$B$5,1,IF(H686&gt;=Assumptions!$B$6,2,IF(H686&gt;=Assumptions!$B$7,3,""))))</f>
        <v>3</v>
      </c>
      <c r="O686" s="9" t="n">
        <f aca="false">IF(N686=1,Assumptions!$B$8,IF(N686=2,Assumptions!$B$9,IF(N686=3,Assumptions!$B$10,0)))</f>
        <v>1</v>
      </c>
      <c r="P686" s="6" t="s">
        <v>30</v>
      </c>
      <c r="Q686" s="6" t="s">
        <v>30</v>
      </c>
      <c r="R686" s="11" t="s">
        <v>30</v>
      </c>
      <c r="S686" s="6" t="s">
        <v>30</v>
      </c>
      <c r="T686" s="11" t="s">
        <v>30</v>
      </c>
      <c r="U686" s="6" t="s">
        <v>30</v>
      </c>
      <c r="V686" s="6" t="s">
        <v>30</v>
      </c>
      <c r="W686" s="6" t="s">
        <v>30</v>
      </c>
      <c r="X686" s="2" t="s">
        <v>30</v>
      </c>
      <c r="Y686" s="6" t="str">
        <f aca="false">IF(AND(X686="processed",ISNUMBER(S686)),S686*O686,"")</f>
        <v/>
      </c>
      <c r="Z686" s="6" t="n">
        <f aca="false">IF(ISNUMBER(K686),K686*O686,0)</f>
        <v>17</v>
      </c>
      <c r="AA686" s="2" t="s">
        <v>31</v>
      </c>
      <c r="AB686" s="6" t="n">
        <v>2854</v>
      </c>
      <c r="AC686" s="6" t="n">
        <v>2194</v>
      </c>
      <c r="AD686" s="6" t="n">
        <v>1344</v>
      </c>
      <c r="AE686" s="6" t="n">
        <v>1919.22680664063</v>
      </c>
      <c r="AF686" s="8" t="n">
        <v>396.21302695</v>
      </c>
      <c r="AG686" s="11" t="n">
        <v>-0.2462113409</v>
      </c>
      <c r="AH686" s="12" t="n">
        <v>1</v>
      </c>
      <c r="AI686" s="2" t="s">
        <v>317</v>
      </c>
      <c r="AJ686" s="2" t="s">
        <v>1640</v>
      </c>
      <c r="AK686" s="2" t="s">
        <v>791</v>
      </c>
    </row>
    <row r="687" customFormat="false" ht="15" hidden="false" customHeight="false" outlineLevel="0" collapsed="false">
      <c r="A687" s="9" t="n">
        <v>678</v>
      </c>
      <c r="B687" s="2" t="s">
        <v>1641</v>
      </c>
      <c r="C687" s="2" t="s">
        <v>1642</v>
      </c>
      <c r="D687" s="2" t="s">
        <v>1643</v>
      </c>
      <c r="E687" s="2" t="s">
        <v>51</v>
      </c>
      <c r="F687" s="2"/>
      <c r="G687" s="2" t="s">
        <v>381</v>
      </c>
      <c r="H687" s="8" t="n">
        <v>597.061964679412</v>
      </c>
      <c r="I687" s="2" t="s">
        <v>316</v>
      </c>
      <c r="J687" s="8" t="n">
        <v>973529.411764706</v>
      </c>
      <c r="K687" s="6" t="n">
        <v>17</v>
      </c>
      <c r="L687" s="2"/>
      <c r="M687" s="10" t="b">
        <f aca="false">TRUE()</f>
        <v>1</v>
      </c>
      <c r="N687" s="9" t="n">
        <f aca="false">IF(H687="","",IF(H687&gt;=Assumptions!$B$5,1,IF(H687&gt;=Assumptions!$B$6,2,IF(H687&gt;=Assumptions!$B$7,3,""))))</f>
        <v>3</v>
      </c>
      <c r="O687" s="9" t="n">
        <f aca="false">IF(N687=1,Assumptions!$B$8,IF(N687=2,Assumptions!$B$9,IF(N687=3,Assumptions!$B$10,0)))</f>
        <v>1</v>
      </c>
      <c r="P687" s="6" t="s">
        <v>30</v>
      </c>
      <c r="Q687" s="6" t="s">
        <v>30</v>
      </c>
      <c r="R687" s="11" t="s">
        <v>30</v>
      </c>
      <c r="S687" s="6" t="s">
        <v>30</v>
      </c>
      <c r="T687" s="11" t="s">
        <v>30</v>
      </c>
      <c r="U687" s="6" t="s">
        <v>30</v>
      </c>
      <c r="V687" s="6" t="s">
        <v>30</v>
      </c>
      <c r="W687" s="6" t="s">
        <v>30</v>
      </c>
      <c r="X687" s="2" t="s">
        <v>30</v>
      </c>
      <c r="Y687" s="6" t="str">
        <f aca="false">IF(AND(X687="processed",ISNUMBER(S687)),S687*O687,"")</f>
        <v/>
      </c>
      <c r="Z687" s="6" t="n">
        <f aca="false">IF(ISNUMBER(K687),K687*O687,0)</f>
        <v>17</v>
      </c>
      <c r="AA687" s="2" t="s">
        <v>31</v>
      </c>
      <c r="AB687" s="6" t="n">
        <v>2936</v>
      </c>
      <c r="AC687" s="6" t="n">
        <v>2193</v>
      </c>
      <c r="AD687" s="6" t="n">
        <v>812</v>
      </c>
      <c r="AE687" s="6" t="n">
        <v>1701.29602050781</v>
      </c>
      <c r="AF687" s="8" t="n">
        <v>564.387917329</v>
      </c>
      <c r="AG687" s="11" t="n">
        <v>0.3581562262</v>
      </c>
      <c r="AH687" s="12" t="n">
        <v>0.503569496842353</v>
      </c>
      <c r="AI687" s="2" t="s">
        <v>321</v>
      </c>
      <c r="AJ687" s="2" t="s">
        <v>1642</v>
      </c>
      <c r="AK687" s="2" t="s">
        <v>1644</v>
      </c>
    </row>
    <row r="688" customFormat="false" ht="15" hidden="false" customHeight="false" outlineLevel="0" collapsed="false">
      <c r="A688" s="9" t="n">
        <v>679</v>
      </c>
      <c r="B688" s="2" t="s">
        <v>1645</v>
      </c>
      <c r="C688" s="2" t="s">
        <v>266</v>
      </c>
      <c r="D688" s="2" t="s">
        <v>34</v>
      </c>
      <c r="E688" s="2" t="s">
        <v>35</v>
      </c>
      <c r="F688" s="2"/>
      <c r="G688" s="2" t="s">
        <v>318</v>
      </c>
      <c r="H688" s="8" t="n">
        <v>649.04392671975</v>
      </c>
      <c r="I688" s="2" t="s">
        <v>316</v>
      </c>
      <c r="J688" s="8" t="n">
        <v>1658375</v>
      </c>
      <c r="K688" s="6" t="n">
        <v>8</v>
      </c>
      <c r="L688" s="2"/>
      <c r="M688" s="10" t="b">
        <f aca="false">TRUE()</f>
        <v>1</v>
      </c>
      <c r="N688" s="9" t="n">
        <f aca="false">IF(H688="","",IF(H688&gt;=Assumptions!$B$5,1,IF(H688&gt;=Assumptions!$B$6,2,IF(H688&gt;=Assumptions!$B$7,3,""))))</f>
        <v>2</v>
      </c>
      <c r="O688" s="9" t="n">
        <f aca="false">IF(N688=1,Assumptions!$B$8,IF(N688=2,Assumptions!$B$9,IF(N688=3,Assumptions!$B$10,0)))</f>
        <v>2</v>
      </c>
      <c r="P688" s="6" t="s">
        <v>30</v>
      </c>
      <c r="Q688" s="6" t="s">
        <v>30</v>
      </c>
      <c r="R688" s="11" t="s">
        <v>30</v>
      </c>
      <c r="S688" s="6" t="s">
        <v>30</v>
      </c>
      <c r="T688" s="11" t="s">
        <v>30</v>
      </c>
      <c r="U688" s="6" t="s">
        <v>30</v>
      </c>
      <c r="V688" s="6" t="s">
        <v>30</v>
      </c>
      <c r="W688" s="6" t="s">
        <v>30</v>
      </c>
      <c r="X688" s="2" t="s">
        <v>30</v>
      </c>
      <c r="Y688" s="6" t="str">
        <f aca="false">IF(AND(X688="processed",ISNUMBER(S688)),S688*O688,"")</f>
        <v/>
      </c>
      <c r="Z688" s="6" t="n">
        <f aca="false">IF(ISNUMBER(K688),K688*O688,0)</f>
        <v>16</v>
      </c>
      <c r="AA688" s="2" t="s">
        <v>31</v>
      </c>
      <c r="AB688" s="6" t="n">
        <v>1100</v>
      </c>
      <c r="AC688" s="6" t="n">
        <v>856</v>
      </c>
      <c r="AD688" s="6" t="n">
        <v>836</v>
      </c>
      <c r="AE688" s="6" t="n">
        <v>1641.09423828125</v>
      </c>
      <c r="AF688" s="8" t="n">
        <v>509.148257056</v>
      </c>
      <c r="AG688" s="11" t="n">
        <v>-0.3339380845</v>
      </c>
      <c r="AH688" s="12" t="n">
        <v>1</v>
      </c>
      <c r="AI688" s="2" t="s">
        <v>319</v>
      </c>
      <c r="AJ688" s="2"/>
      <c r="AK688" s="2" t="s">
        <v>266</v>
      </c>
    </row>
    <row r="689" customFormat="false" ht="15" hidden="false" customHeight="false" outlineLevel="0" collapsed="false">
      <c r="A689" s="9" t="n">
        <v>680</v>
      </c>
      <c r="B689" s="2" t="s">
        <v>1646</v>
      </c>
      <c r="C689" s="2" t="s">
        <v>1647</v>
      </c>
      <c r="D689" s="2" t="s">
        <v>95</v>
      </c>
      <c r="E689" s="2" t="s">
        <v>95</v>
      </c>
      <c r="F689" s="2"/>
      <c r="G689" s="2" t="s">
        <v>330</v>
      </c>
      <c r="H689" s="8" t="n">
        <v>697.542063436375</v>
      </c>
      <c r="I689" s="2" t="s">
        <v>316</v>
      </c>
      <c r="J689" s="8" t="n">
        <v>1152125</v>
      </c>
      <c r="K689" s="6" t="n">
        <v>8</v>
      </c>
      <c r="L689" s="2"/>
      <c r="M689" s="10" t="b">
        <f aca="false">TRUE()</f>
        <v>1</v>
      </c>
      <c r="N689" s="9" t="n">
        <f aca="false">IF(H689="","",IF(H689&gt;=Assumptions!$B$5,1,IF(H689&gt;=Assumptions!$B$6,2,IF(H689&gt;=Assumptions!$B$7,3,""))))</f>
        <v>2</v>
      </c>
      <c r="O689" s="9" t="n">
        <f aca="false">IF(N689=1,Assumptions!$B$8,IF(N689=2,Assumptions!$B$9,IF(N689=3,Assumptions!$B$10,0)))</f>
        <v>2</v>
      </c>
      <c r="P689" s="6" t="s">
        <v>30</v>
      </c>
      <c r="Q689" s="6" t="s">
        <v>30</v>
      </c>
      <c r="R689" s="11" t="s">
        <v>30</v>
      </c>
      <c r="S689" s="6" t="s">
        <v>30</v>
      </c>
      <c r="T689" s="11" t="s">
        <v>30</v>
      </c>
      <c r="U689" s="6" t="s">
        <v>30</v>
      </c>
      <c r="V689" s="6" t="s">
        <v>30</v>
      </c>
      <c r="W689" s="6" t="s">
        <v>30</v>
      </c>
      <c r="X689" s="2" t="s">
        <v>30</v>
      </c>
      <c r="Y689" s="6" t="str">
        <f aca="false">IF(AND(X689="processed",ISNUMBER(S689)),S689*O689,"")</f>
        <v/>
      </c>
      <c r="Z689" s="6" t="n">
        <f aca="false">IF(ISNUMBER(K689),K689*O689,0)</f>
        <v>16</v>
      </c>
      <c r="AA689" s="2" t="s">
        <v>31</v>
      </c>
      <c r="AB689" s="6" t="n">
        <v>435</v>
      </c>
      <c r="AC689" s="6" t="n">
        <v>295</v>
      </c>
      <c r="AD689" s="6" t="n">
        <v>13</v>
      </c>
      <c r="AE689" s="6" t="n">
        <v>1810.57849121094</v>
      </c>
      <c r="AF689" s="8" t="n">
        <v>752.541825142</v>
      </c>
      <c r="AG689" s="11"/>
      <c r="AH689" s="12" t="n">
        <v>0.999999999999999</v>
      </c>
      <c r="AI689" s="2" t="s">
        <v>317</v>
      </c>
      <c r="AJ689" s="2" t="s">
        <v>1647</v>
      </c>
      <c r="AK689" s="2" t="s">
        <v>1647</v>
      </c>
    </row>
    <row r="690" customFormat="false" ht="15" hidden="false" customHeight="false" outlineLevel="0" collapsed="false">
      <c r="A690" s="9" t="n">
        <v>681</v>
      </c>
      <c r="B690" s="2" t="s">
        <v>1648</v>
      </c>
      <c r="C690" s="2" t="s">
        <v>403</v>
      </c>
      <c r="D690" s="2" t="s">
        <v>70</v>
      </c>
      <c r="E690" s="2" t="s">
        <v>71</v>
      </c>
      <c r="F690" s="2"/>
      <c r="G690" s="2" t="s">
        <v>329</v>
      </c>
      <c r="H690" s="8" t="n">
        <v>937.8084993736</v>
      </c>
      <c r="I690" s="2" t="s">
        <v>337</v>
      </c>
      <c r="J690" s="8" t="n">
        <v>1268000</v>
      </c>
      <c r="K690" s="6" t="n">
        <v>5</v>
      </c>
      <c r="L690" s="2"/>
      <c r="M690" s="10" t="b">
        <f aca="false">TRUE()</f>
        <v>1</v>
      </c>
      <c r="N690" s="9" t="n">
        <f aca="false">IF(H690="","",IF(H690&gt;=Assumptions!$B$5,1,IF(H690&gt;=Assumptions!$B$6,2,IF(H690&gt;=Assumptions!$B$7,3,""))))</f>
        <v>1</v>
      </c>
      <c r="O690" s="9" t="n">
        <f aca="false">IF(N690=1,Assumptions!$B$8,IF(N690=2,Assumptions!$B$9,IF(N690=3,Assumptions!$B$10,0)))</f>
        <v>3</v>
      </c>
      <c r="P690" s="6" t="s">
        <v>30</v>
      </c>
      <c r="Q690" s="6" t="s">
        <v>30</v>
      </c>
      <c r="R690" s="11" t="s">
        <v>30</v>
      </c>
      <c r="S690" s="6" t="s">
        <v>30</v>
      </c>
      <c r="T690" s="11" t="s">
        <v>30</v>
      </c>
      <c r="U690" s="6" t="s">
        <v>30</v>
      </c>
      <c r="V690" s="6" t="s">
        <v>30</v>
      </c>
      <c r="W690" s="6" t="s">
        <v>30</v>
      </c>
      <c r="X690" s="2" t="s">
        <v>30</v>
      </c>
      <c r="Y690" s="6" t="str">
        <f aca="false">IF(AND(X690="processed",ISNUMBER(S690)),S690*O690,"")</f>
        <v/>
      </c>
      <c r="Z690" s="6" t="n">
        <f aca="false">IF(ISNUMBER(K690),K690*O690,0)</f>
        <v>15</v>
      </c>
      <c r="AA690" s="2" t="s">
        <v>31</v>
      </c>
      <c r="AB690" s="6" t="n">
        <v>24</v>
      </c>
      <c r="AC690" s="6" t="n">
        <v>4</v>
      </c>
      <c r="AD690" s="6" t="n">
        <v>0</v>
      </c>
      <c r="AE690" s="6" t="n">
        <v>1772.26123046875</v>
      </c>
      <c r="AF690" s="8"/>
      <c r="AG690" s="11"/>
      <c r="AH690" s="12" t="n">
        <v>1</v>
      </c>
      <c r="AI690" s="2" t="s">
        <v>317</v>
      </c>
      <c r="AJ690" s="2" t="s">
        <v>403</v>
      </c>
      <c r="AK690" s="2" t="s">
        <v>403</v>
      </c>
    </row>
    <row r="691" customFormat="false" ht="15" hidden="false" customHeight="false" outlineLevel="0" collapsed="false">
      <c r="A691" s="9"/>
      <c r="B691" s="2" t="s">
        <v>1649</v>
      </c>
      <c r="C691" s="2"/>
      <c r="D691" s="2" t="s">
        <v>1190</v>
      </c>
      <c r="E691" s="2" t="s">
        <v>1191</v>
      </c>
      <c r="F691" s="2"/>
      <c r="G691" s="2" t="s">
        <v>329</v>
      </c>
      <c r="H691" s="8" t="n">
        <v>894.8009266696</v>
      </c>
      <c r="I691" s="2" t="s">
        <v>316</v>
      </c>
      <c r="J691" s="8" t="n">
        <v>2755400</v>
      </c>
      <c r="K691" s="6" t="n">
        <v>5</v>
      </c>
      <c r="L691" s="2"/>
      <c r="M691" s="10" t="b">
        <f aca="false">FALSE()</f>
        <v>0</v>
      </c>
      <c r="N691" s="9" t="n">
        <f aca="false">IF(H691="","",IF(H691&gt;=Assumptions!$B$5,1,IF(H691&gt;=Assumptions!$B$6,2,IF(H691&gt;=Assumptions!$B$7,3,""))))</f>
        <v>1</v>
      </c>
      <c r="O691" s="9" t="n">
        <f aca="false">IF(N691=1,Assumptions!$B$8,IF(N691=2,Assumptions!$B$9,IF(N691=3,Assumptions!$B$10,0)))</f>
        <v>3</v>
      </c>
      <c r="P691" s="6" t="s">
        <v>30</v>
      </c>
      <c r="Q691" s="6" t="s">
        <v>30</v>
      </c>
      <c r="R691" s="11" t="s">
        <v>30</v>
      </c>
      <c r="S691" s="6" t="s">
        <v>30</v>
      </c>
      <c r="T691" s="11" t="s">
        <v>30</v>
      </c>
      <c r="U691" s="6" t="s">
        <v>30</v>
      </c>
      <c r="V691" s="6" t="s">
        <v>30</v>
      </c>
      <c r="W691" s="6" t="s">
        <v>30</v>
      </c>
      <c r="X691" s="2" t="s">
        <v>30</v>
      </c>
      <c r="Y691" s="6" t="str">
        <f aca="false">IF(AND(X691="processed",ISNUMBER(S691)),S691*O691,"")</f>
        <v/>
      </c>
      <c r="Z691" s="6" t="n">
        <f aca="false">IF(ISNUMBER(K691),K691*O691,0)</f>
        <v>15</v>
      </c>
      <c r="AA691" s="2" t="s">
        <v>31</v>
      </c>
      <c r="AB691" s="6"/>
      <c r="AC691" s="6"/>
      <c r="AD691" s="6"/>
      <c r="AE691" s="6"/>
      <c r="AF691" s="8" t="n">
        <v>1181.911613566</v>
      </c>
      <c r="AG691" s="11"/>
      <c r="AH691" s="12"/>
      <c r="AI691" s="2"/>
      <c r="AJ691" s="2"/>
      <c r="AK691" s="2"/>
    </row>
    <row r="692" customFormat="false" ht="15" hidden="false" customHeight="false" outlineLevel="0" collapsed="false">
      <c r="A692" s="9" t="n">
        <v>682</v>
      </c>
      <c r="B692" s="2" t="s">
        <v>1650</v>
      </c>
      <c r="C692" s="2" t="s">
        <v>146</v>
      </c>
      <c r="D692" s="2" t="s">
        <v>27</v>
      </c>
      <c r="E692" s="2" t="s">
        <v>28</v>
      </c>
      <c r="F692" s="2"/>
      <c r="G692" s="2" t="s">
        <v>315</v>
      </c>
      <c r="H692" s="8" t="n">
        <v>873.635654024</v>
      </c>
      <c r="I692" s="2" t="s">
        <v>316</v>
      </c>
      <c r="J692" s="8" t="n">
        <v>1388500</v>
      </c>
      <c r="K692" s="6" t="n">
        <v>5</v>
      </c>
      <c r="L692" s="2"/>
      <c r="M692" s="10" t="b">
        <f aca="false">TRUE()</f>
        <v>1</v>
      </c>
      <c r="N692" s="9" t="n">
        <f aca="false">IF(H692="","",IF(H692&gt;=Assumptions!$B$5,1,IF(H692&gt;=Assumptions!$B$6,2,IF(H692&gt;=Assumptions!$B$7,3,""))))</f>
        <v>1</v>
      </c>
      <c r="O692" s="9" t="n">
        <f aca="false">IF(N692=1,Assumptions!$B$8,IF(N692=2,Assumptions!$B$9,IF(N692=3,Assumptions!$B$10,0)))</f>
        <v>3</v>
      </c>
      <c r="P692" s="6" t="s">
        <v>30</v>
      </c>
      <c r="Q692" s="6" t="s">
        <v>30</v>
      </c>
      <c r="R692" s="11" t="s">
        <v>30</v>
      </c>
      <c r="S692" s="6" t="s">
        <v>30</v>
      </c>
      <c r="T692" s="11" t="s">
        <v>30</v>
      </c>
      <c r="U692" s="6" t="s">
        <v>30</v>
      </c>
      <c r="V692" s="6" t="s">
        <v>30</v>
      </c>
      <c r="W692" s="6" t="s">
        <v>30</v>
      </c>
      <c r="X692" s="2" t="s">
        <v>30</v>
      </c>
      <c r="Y692" s="6" t="str">
        <f aca="false">IF(AND(X692="processed",ISNUMBER(S692)),S692*O692,"")</f>
        <v/>
      </c>
      <c r="Z692" s="6" t="n">
        <f aca="false">IF(ISNUMBER(K692),K692*O692,0)</f>
        <v>15</v>
      </c>
      <c r="AA692" s="2" t="s">
        <v>31</v>
      </c>
      <c r="AB692" s="6" t="n">
        <v>342</v>
      </c>
      <c r="AC692" s="6" t="n">
        <v>278</v>
      </c>
      <c r="AD692" s="6" t="n">
        <v>77</v>
      </c>
      <c r="AE692" s="6" t="n">
        <v>1392.85375976563</v>
      </c>
      <c r="AF692" s="8" t="n">
        <v>802.21150261</v>
      </c>
      <c r="AG692" s="11"/>
      <c r="AH692" s="12" t="n">
        <v>0.990717494299287</v>
      </c>
      <c r="AI692" s="2" t="s">
        <v>319</v>
      </c>
      <c r="AJ692" s="2"/>
      <c r="AK692" s="2" t="s">
        <v>146</v>
      </c>
    </row>
    <row r="693" customFormat="false" ht="15" hidden="false" customHeight="false" outlineLevel="0" collapsed="false">
      <c r="A693" s="9" t="n">
        <v>683</v>
      </c>
      <c r="B693" s="2" t="s">
        <v>1651</v>
      </c>
      <c r="C693" s="2" t="s">
        <v>56</v>
      </c>
      <c r="D693" s="2" t="s">
        <v>56</v>
      </c>
      <c r="E693" s="2" t="s">
        <v>56</v>
      </c>
      <c r="F693" s="2" t="s">
        <v>1652</v>
      </c>
      <c r="G693" s="2" t="s">
        <v>324</v>
      </c>
      <c r="H693" s="8" t="n">
        <v>1009.6005080376</v>
      </c>
      <c r="I693" s="2" t="s">
        <v>337</v>
      </c>
      <c r="J693" s="8" t="n">
        <v>1129600</v>
      </c>
      <c r="K693" s="6" t="n">
        <v>5</v>
      </c>
      <c r="L693" s="2"/>
      <c r="M693" s="10" t="b">
        <f aca="false">TRUE()</f>
        <v>1</v>
      </c>
      <c r="N693" s="9" t="n">
        <f aca="false">IF(H693="","",IF(H693&gt;=Assumptions!$B$5,1,IF(H693&gt;=Assumptions!$B$6,2,IF(H693&gt;=Assumptions!$B$7,3,""))))</f>
        <v>1</v>
      </c>
      <c r="O693" s="9" t="n">
        <f aca="false">IF(N693=1,Assumptions!$B$8,IF(N693=2,Assumptions!$B$9,IF(N693=3,Assumptions!$B$10,0)))</f>
        <v>3</v>
      </c>
      <c r="P693" s="6" t="s">
        <v>30</v>
      </c>
      <c r="Q693" s="6" t="s">
        <v>30</v>
      </c>
      <c r="R693" s="11" t="s">
        <v>30</v>
      </c>
      <c r="S693" s="6" t="s">
        <v>30</v>
      </c>
      <c r="T693" s="11" t="s">
        <v>30</v>
      </c>
      <c r="U693" s="6" t="s">
        <v>30</v>
      </c>
      <c r="V693" s="6" t="s">
        <v>30</v>
      </c>
      <c r="W693" s="6" t="s">
        <v>30</v>
      </c>
      <c r="X693" s="2" t="s">
        <v>30</v>
      </c>
      <c r="Y693" s="6" t="str">
        <f aca="false">IF(AND(X693="processed",ISNUMBER(S693)),S693*O693,"")</f>
        <v/>
      </c>
      <c r="Z693" s="6" t="n">
        <f aca="false">IF(ISNUMBER(K693),K693*O693,0)</f>
        <v>15</v>
      </c>
      <c r="AA693" s="2" t="s">
        <v>31</v>
      </c>
      <c r="AB693" s="6" t="n">
        <v>122</v>
      </c>
      <c r="AC693" s="6" t="n">
        <v>57</v>
      </c>
      <c r="AD693" s="6" t="n">
        <v>0</v>
      </c>
      <c r="AE693" s="6" t="n">
        <v>3016.47241210938</v>
      </c>
      <c r="AF693" s="8"/>
      <c r="AG693" s="11"/>
      <c r="AH693" s="12" t="n">
        <v>1</v>
      </c>
      <c r="AI693" s="2" t="s">
        <v>317</v>
      </c>
      <c r="AJ693" s="2" t="s">
        <v>56</v>
      </c>
      <c r="AK693" s="2" t="s">
        <v>56</v>
      </c>
    </row>
    <row r="694" customFormat="false" ht="15" hidden="false" customHeight="false" outlineLevel="0" collapsed="false">
      <c r="A694" s="9" t="n">
        <v>684</v>
      </c>
      <c r="B694" s="2" t="s">
        <v>1653</v>
      </c>
      <c r="C694" s="2" t="s">
        <v>56</v>
      </c>
      <c r="D694" s="2" t="s">
        <v>56</v>
      </c>
      <c r="E694" s="2" t="s">
        <v>56</v>
      </c>
      <c r="F694" s="2" t="s">
        <v>1654</v>
      </c>
      <c r="G694" s="2" t="s">
        <v>324</v>
      </c>
      <c r="H694" s="8" t="n">
        <v>1067.8748739058</v>
      </c>
      <c r="I694" s="2" t="s">
        <v>316</v>
      </c>
      <c r="J694" s="8" t="n">
        <v>5475000</v>
      </c>
      <c r="K694" s="6" t="n">
        <v>5</v>
      </c>
      <c r="L694" s="2"/>
      <c r="M694" s="10" t="b">
        <f aca="false">TRUE()</f>
        <v>1</v>
      </c>
      <c r="N694" s="9" t="n">
        <f aca="false">IF(H694="","",IF(H694&gt;=Assumptions!$B$5,1,IF(H694&gt;=Assumptions!$B$6,2,IF(H694&gt;=Assumptions!$B$7,3,""))))</f>
        <v>1</v>
      </c>
      <c r="O694" s="9" t="n">
        <f aca="false">IF(N694=1,Assumptions!$B$8,IF(N694=2,Assumptions!$B$9,IF(N694=3,Assumptions!$B$10,0)))</f>
        <v>3</v>
      </c>
      <c r="P694" s="6" t="s">
        <v>30</v>
      </c>
      <c r="Q694" s="6" t="s">
        <v>30</v>
      </c>
      <c r="R694" s="11" t="s">
        <v>30</v>
      </c>
      <c r="S694" s="6" t="s">
        <v>30</v>
      </c>
      <c r="T694" s="11" t="s">
        <v>30</v>
      </c>
      <c r="U694" s="6" t="s">
        <v>30</v>
      </c>
      <c r="V694" s="6" t="s">
        <v>30</v>
      </c>
      <c r="W694" s="6" t="s">
        <v>30</v>
      </c>
      <c r="X694" s="2" t="s">
        <v>30</v>
      </c>
      <c r="Y694" s="6" t="str">
        <f aca="false">IF(AND(X694="processed",ISNUMBER(S694)),S694*O694,"")</f>
        <v/>
      </c>
      <c r="Z694" s="6" t="n">
        <f aca="false">IF(ISNUMBER(K694),K694*O694,0)</f>
        <v>15</v>
      </c>
      <c r="AA694" s="2" t="s">
        <v>31</v>
      </c>
      <c r="AB694" s="6" t="n">
        <v>1014</v>
      </c>
      <c r="AC694" s="6" t="n">
        <v>842</v>
      </c>
      <c r="AD694" s="6" t="n">
        <v>2</v>
      </c>
      <c r="AE694" s="6" t="n">
        <v>2179.828125</v>
      </c>
      <c r="AF694" s="8" t="n">
        <v>1030.927835052</v>
      </c>
      <c r="AG694" s="11"/>
      <c r="AH694" s="12" t="n">
        <v>1</v>
      </c>
      <c r="AI694" s="2" t="s">
        <v>317</v>
      </c>
      <c r="AJ694" s="2" t="s">
        <v>56</v>
      </c>
      <c r="AK694" s="2" t="s">
        <v>56</v>
      </c>
    </row>
    <row r="695" customFormat="false" ht="15" hidden="false" customHeight="false" outlineLevel="0" collapsed="false">
      <c r="A695" s="9" t="n">
        <v>685</v>
      </c>
      <c r="B695" s="2" t="s">
        <v>1655</v>
      </c>
      <c r="C695" s="2" t="s">
        <v>1656</v>
      </c>
      <c r="D695" s="2" t="s">
        <v>380</v>
      </c>
      <c r="E695" s="2" t="s">
        <v>51</v>
      </c>
      <c r="F695" s="2"/>
      <c r="G695" s="2" t="s">
        <v>381</v>
      </c>
      <c r="H695" s="8" t="n">
        <v>718.8664258888</v>
      </c>
      <c r="I695" s="2" t="s">
        <v>316</v>
      </c>
      <c r="J695" s="8" t="n">
        <v>1133000</v>
      </c>
      <c r="K695" s="6" t="n">
        <v>5</v>
      </c>
      <c r="L695" s="2"/>
      <c r="M695" s="10" t="b">
        <f aca="false">TRUE()</f>
        <v>1</v>
      </c>
      <c r="N695" s="9" t="n">
        <f aca="false">IF(H695="","",IF(H695&gt;=Assumptions!$B$5,1,IF(H695&gt;=Assumptions!$B$6,2,IF(H695&gt;=Assumptions!$B$7,3,""))))</f>
        <v>1</v>
      </c>
      <c r="O695" s="9" t="n">
        <f aca="false">IF(N695=1,Assumptions!$B$8,IF(N695=2,Assumptions!$B$9,IF(N695=3,Assumptions!$B$10,0)))</f>
        <v>3</v>
      </c>
      <c r="P695" s="6" t="s">
        <v>30</v>
      </c>
      <c r="Q695" s="6" t="s">
        <v>30</v>
      </c>
      <c r="R695" s="11" t="s">
        <v>30</v>
      </c>
      <c r="S695" s="6" t="s">
        <v>30</v>
      </c>
      <c r="T695" s="11" t="s">
        <v>30</v>
      </c>
      <c r="U695" s="6" t="s">
        <v>30</v>
      </c>
      <c r="V695" s="6" t="s">
        <v>30</v>
      </c>
      <c r="W695" s="6" t="s">
        <v>30</v>
      </c>
      <c r="X695" s="2" t="s">
        <v>30</v>
      </c>
      <c r="Y695" s="6" t="str">
        <f aca="false">IF(AND(X695="processed",ISNUMBER(S695)),S695*O695,"")</f>
        <v/>
      </c>
      <c r="Z695" s="6" t="n">
        <f aca="false">IF(ISNUMBER(K695),K695*O695,0)</f>
        <v>15</v>
      </c>
      <c r="AA695" s="2" t="s">
        <v>31</v>
      </c>
      <c r="AB695" s="6" t="n">
        <v>1059</v>
      </c>
      <c r="AC695" s="6" t="n">
        <v>735</v>
      </c>
      <c r="AD695" s="6" t="n">
        <v>335</v>
      </c>
      <c r="AE695" s="6" t="n">
        <v>1544.939453125</v>
      </c>
      <c r="AF695" s="8" t="n">
        <v>405.352223534</v>
      </c>
      <c r="AG695" s="11"/>
      <c r="AH695" s="12" t="n">
        <v>0.920615817450888</v>
      </c>
      <c r="AI695" s="2" t="s">
        <v>317</v>
      </c>
      <c r="AJ695" s="2" t="s">
        <v>1656</v>
      </c>
      <c r="AK695" s="2" t="s">
        <v>960</v>
      </c>
    </row>
    <row r="696" customFormat="false" ht="15" hidden="false" customHeight="false" outlineLevel="0" collapsed="false">
      <c r="A696" s="9"/>
      <c r="B696" s="2" t="s">
        <v>1657</v>
      </c>
      <c r="C696" s="2"/>
      <c r="D696" s="2" t="s">
        <v>1190</v>
      </c>
      <c r="E696" s="2" t="s">
        <v>1191</v>
      </c>
      <c r="F696" s="2"/>
      <c r="G696" s="2" t="s">
        <v>338</v>
      </c>
      <c r="H696" s="8" t="n">
        <v>840.2943885928</v>
      </c>
      <c r="I696" s="2" t="s">
        <v>316</v>
      </c>
      <c r="J696" s="8" t="n">
        <v>1381000</v>
      </c>
      <c r="K696" s="6" t="n">
        <v>5</v>
      </c>
      <c r="L696" s="2"/>
      <c r="M696" s="10" t="b">
        <f aca="false">FALSE()</f>
        <v>0</v>
      </c>
      <c r="N696" s="9" t="n">
        <f aca="false">IF(H696="","",IF(H696&gt;=Assumptions!$B$5,1,IF(H696&gt;=Assumptions!$B$6,2,IF(H696&gt;=Assumptions!$B$7,3,""))))</f>
        <v>1</v>
      </c>
      <c r="O696" s="9" t="n">
        <f aca="false">IF(N696=1,Assumptions!$B$8,IF(N696=2,Assumptions!$B$9,IF(N696=3,Assumptions!$B$10,0)))</f>
        <v>3</v>
      </c>
      <c r="P696" s="6" t="s">
        <v>30</v>
      </c>
      <c r="Q696" s="6" t="s">
        <v>30</v>
      </c>
      <c r="R696" s="11" t="s">
        <v>30</v>
      </c>
      <c r="S696" s="6" t="s">
        <v>30</v>
      </c>
      <c r="T696" s="11" t="s">
        <v>30</v>
      </c>
      <c r="U696" s="6" t="s">
        <v>30</v>
      </c>
      <c r="V696" s="6" t="s">
        <v>30</v>
      </c>
      <c r="W696" s="6" t="s">
        <v>30</v>
      </c>
      <c r="X696" s="2" t="s">
        <v>30</v>
      </c>
      <c r="Y696" s="6" t="str">
        <f aca="false">IF(AND(X696="processed",ISNUMBER(S696)),S696*O696,"")</f>
        <v/>
      </c>
      <c r="Z696" s="6" t="n">
        <f aca="false">IF(ISNUMBER(K696),K696*O696,0)</f>
        <v>15</v>
      </c>
      <c r="AA696" s="2" t="s">
        <v>31</v>
      </c>
      <c r="AB696" s="6"/>
      <c r="AC696" s="6"/>
      <c r="AD696" s="6"/>
      <c r="AE696" s="6"/>
      <c r="AF696" s="8" t="n">
        <v>919.282511211</v>
      </c>
      <c r="AG696" s="11" t="n">
        <v>0.1193163056</v>
      </c>
      <c r="AH696" s="12"/>
      <c r="AI696" s="2"/>
      <c r="AJ696" s="2"/>
      <c r="AK696" s="2"/>
    </row>
    <row r="697" customFormat="false" ht="15" hidden="false" customHeight="false" outlineLevel="0" collapsed="false">
      <c r="A697" s="9"/>
      <c r="B697" s="2" t="s">
        <v>1658</v>
      </c>
      <c r="C697" s="2"/>
      <c r="D697" s="2" t="s">
        <v>1190</v>
      </c>
      <c r="E697" s="2" t="s">
        <v>1191</v>
      </c>
      <c r="F697" s="2"/>
      <c r="G697" s="2" t="s">
        <v>323</v>
      </c>
      <c r="H697" s="8" t="n">
        <v>870.2707293706</v>
      </c>
      <c r="I697" s="2" t="s">
        <v>337</v>
      </c>
      <c r="J697" s="8" t="n">
        <v>2130000</v>
      </c>
      <c r="K697" s="6" t="n">
        <v>5</v>
      </c>
      <c r="L697" s="2"/>
      <c r="M697" s="10" t="b">
        <f aca="false">FALSE()</f>
        <v>0</v>
      </c>
      <c r="N697" s="9" t="n">
        <f aca="false">IF(H697="","",IF(H697&gt;=Assumptions!$B$5,1,IF(H697&gt;=Assumptions!$B$6,2,IF(H697&gt;=Assumptions!$B$7,3,""))))</f>
        <v>1</v>
      </c>
      <c r="O697" s="9" t="n">
        <f aca="false">IF(N697=1,Assumptions!$B$8,IF(N697=2,Assumptions!$B$9,IF(N697=3,Assumptions!$B$10,0)))</f>
        <v>3</v>
      </c>
      <c r="P697" s="6" t="s">
        <v>30</v>
      </c>
      <c r="Q697" s="6" t="s">
        <v>30</v>
      </c>
      <c r="R697" s="11" t="s">
        <v>30</v>
      </c>
      <c r="S697" s="6" t="s">
        <v>30</v>
      </c>
      <c r="T697" s="11" t="s">
        <v>30</v>
      </c>
      <c r="U697" s="6" t="s">
        <v>30</v>
      </c>
      <c r="V697" s="6" t="s">
        <v>30</v>
      </c>
      <c r="W697" s="6" t="s">
        <v>30</v>
      </c>
      <c r="X697" s="2" t="s">
        <v>30</v>
      </c>
      <c r="Y697" s="6" t="str">
        <f aca="false">IF(AND(X697="processed",ISNUMBER(S697)),S697*O697,"")</f>
        <v/>
      </c>
      <c r="Z697" s="6" t="n">
        <f aca="false">IF(ISNUMBER(K697),K697*O697,0)</f>
        <v>15</v>
      </c>
      <c r="AA697" s="2" t="s">
        <v>31</v>
      </c>
      <c r="AB697" s="6"/>
      <c r="AC697" s="6"/>
      <c r="AD697" s="6"/>
      <c r="AE697" s="6"/>
      <c r="AF697" s="8"/>
      <c r="AG697" s="11"/>
      <c r="AH697" s="12"/>
      <c r="AI697" s="2"/>
      <c r="AJ697" s="2"/>
      <c r="AK697" s="2"/>
    </row>
    <row r="698" customFormat="false" ht="15" hidden="false" customHeight="false" outlineLevel="0" collapsed="false">
      <c r="A698" s="9"/>
      <c r="B698" s="2" t="s">
        <v>1659</v>
      </c>
      <c r="C698" s="2"/>
      <c r="D698" s="2" t="s">
        <v>1190</v>
      </c>
      <c r="E698" s="2" t="s">
        <v>1191</v>
      </c>
      <c r="F698" s="2"/>
      <c r="G698" s="2" t="s">
        <v>322</v>
      </c>
      <c r="H698" s="8" t="n">
        <v>618.794605275143</v>
      </c>
      <c r="I698" s="2" t="s">
        <v>316</v>
      </c>
      <c r="J698" s="8" t="n">
        <v>1005714.28571429</v>
      </c>
      <c r="K698" s="6" t="n">
        <v>7</v>
      </c>
      <c r="L698" s="2"/>
      <c r="M698" s="10" t="b">
        <f aca="false">FALSE()</f>
        <v>0</v>
      </c>
      <c r="N698" s="9" t="n">
        <f aca="false">IF(H698="","",IF(H698&gt;=Assumptions!$B$5,1,IF(H698&gt;=Assumptions!$B$6,2,IF(H698&gt;=Assumptions!$B$7,3,""))))</f>
        <v>2</v>
      </c>
      <c r="O698" s="9" t="n">
        <f aca="false">IF(N698=1,Assumptions!$B$8,IF(N698=2,Assumptions!$B$9,IF(N698=3,Assumptions!$B$10,0)))</f>
        <v>2</v>
      </c>
      <c r="P698" s="6" t="s">
        <v>30</v>
      </c>
      <c r="Q698" s="6" t="s">
        <v>30</v>
      </c>
      <c r="R698" s="11" t="s">
        <v>30</v>
      </c>
      <c r="S698" s="6" t="s">
        <v>30</v>
      </c>
      <c r="T698" s="11" t="s">
        <v>30</v>
      </c>
      <c r="U698" s="6" t="s">
        <v>30</v>
      </c>
      <c r="V698" s="6" t="s">
        <v>30</v>
      </c>
      <c r="W698" s="6" t="s">
        <v>30</v>
      </c>
      <c r="X698" s="2" t="s">
        <v>30</v>
      </c>
      <c r="Y698" s="6" t="str">
        <f aca="false">IF(AND(X698="processed",ISNUMBER(S698)),S698*O698,"")</f>
        <v/>
      </c>
      <c r="Z698" s="6" t="n">
        <f aca="false">IF(ISNUMBER(K698),K698*O698,0)</f>
        <v>14</v>
      </c>
      <c r="AA698" s="2" t="s">
        <v>31</v>
      </c>
      <c r="AB698" s="6"/>
      <c r="AC698" s="6"/>
      <c r="AD698" s="6"/>
      <c r="AE698" s="6"/>
      <c r="AF698" s="8" t="n">
        <v>696.459663378</v>
      </c>
      <c r="AG698" s="11" t="n">
        <v>0.1751756159</v>
      </c>
      <c r="AH698" s="12"/>
      <c r="AI698" s="2"/>
      <c r="AJ698" s="2"/>
      <c r="AK698" s="2"/>
    </row>
    <row r="699" customFormat="false" ht="15" hidden="false" customHeight="false" outlineLevel="0" collapsed="false">
      <c r="A699" s="9" t="n">
        <v>686</v>
      </c>
      <c r="B699" s="2" t="s">
        <v>1660</v>
      </c>
      <c r="C699" s="2" t="s">
        <v>1661</v>
      </c>
      <c r="D699" s="2" t="s">
        <v>70</v>
      </c>
      <c r="E699" s="2" t="s">
        <v>71</v>
      </c>
      <c r="F699" s="2" t="s">
        <v>1662</v>
      </c>
      <c r="G699" s="2" t="s">
        <v>329</v>
      </c>
      <c r="H699" s="8" t="n">
        <v>555.805180164077</v>
      </c>
      <c r="I699" s="2" t="s">
        <v>316</v>
      </c>
      <c r="J699" s="8" t="n">
        <v>655769.230769231</v>
      </c>
      <c r="K699" s="6" t="n">
        <v>13</v>
      </c>
      <c r="L699" s="2"/>
      <c r="M699" s="10" t="b">
        <f aca="false">TRUE()</f>
        <v>1</v>
      </c>
      <c r="N699" s="9" t="n">
        <f aca="false">IF(H699="","",IF(H699&gt;=Assumptions!$B$5,1,IF(H699&gt;=Assumptions!$B$6,2,IF(H699&gt;=Assumptions!$B$7,3,""))))</f>
        <v>3</v>
      </c>
      <c r="O699" s="9" t="n">
        <f aca="false">IF(N699=1,Assumptions!$B$8,IF(N699=2,Assumptions!$B$9,IF(N699=3,Assumptions!$B$10,0)))</f>
        <v>1</v>
      </c>
      <c r="P699" s="6" t="s">
        <v>30</v>
      </c>
      <c r="Q699" s="6" t="s">
        <v>30</v>
      </c>
      <c r="R699" s="11" t="s">
        <v>30</v>
      </c>
      <c r="S699" s="6" t="s">
        <v>30</v>
      </c>
      <c r="T699" s="11" t="s">
        <v>30</v>
      </c>
      <c r="U699" s="6" t="s">
        <v>30</v>
      </c>
      <c r="V699" s="6" t="s">
        <v>30</v>
      </c>
      <c r="W699" s="6" t="s">
        <v>30</v>
      </c>
      <c r="X699" s="2" t="s">
        <v>30</v>
      </c>
      <c r="Y699" s="6" t="str">
        <f aca="false">IF(AND(X699="processed",ISNUMBER(S699)),S699*O699,"")</f>
        <v/>
      </c>
      <c r="Z699" s="6" t="n">
        <f aca="false">IF(ISNUMBER(K699),K699*O699,0)</f>
        <v>13</v>
      </c>
      <c r="AA699" s="2" t="s">
        <v>31</v>
      </c>
      <c r="AB699" s="6" t="n">
        <v>6175</v>
      </c>
      <c r="AC699" s="6" t="n">
        <v>4862</v>
      </c>
      <c r="AD699" s="6" t="n">
        <v>66</v>
      </c>
      <c r="AE699" s="6" t="n">
        <v>1342.25402832031</v>
      </c>
      <c r="AF699" s="8" t="n">
        <v>598.248671574</v>
      </c>
      <c r="AG699" s="11" t="n">
        <v>0.0304761807</v>
      </c>
      <c r="AH699" s="12" t="n">
        <v>1</v>
      </c>
      <c r="AI699" s="2" t="s">
        <v>317</v>
      </c>
      <c r="AJ699" s="2" t="s">
        <v>1661</v>
      </c>
      <c r="AK699" s="2" t="s">
        <v>1661</v>
      </c>
    </row>
    <row r="700" customFormat="false" ht="15" hidden="false" customHeight="false" outlineLevel="0" collapsed="false">
      <c r="A700" s="9"/>
      <c r="B700" s="2" t="s">
        <v>1663</v>
      </c>
      <c r="C700" s="2"/>
      <c r="D700" s="2" t="s">
        <v>1190</v>
      </c>
      <c r="E700" s="2" t="s">
        <v>1191</v>
      </c>
      <c r="F700" s="2"/>
      <c r="G700" s="2" t="s">
        <v>329</v>
      </c>
      <c r="H700" s="8" t="n">
        <v>997.106794973</v>
      </c>
      <c r="I700" s="2" t="s">
        <v>337</v>
      </c>
      <c r="J700" s="8" t="n">
        <v>1732500</v>
      </c>
      <c r="K700" s="6" t="n">
        <v>4</v>
      </c>
      <c r="L700" s="2" t="s">
        <v>1664</v>
      </c>
      <c r="M700" s="10" t="b">
        <f aca="false">FALSE()</f>
        <v>0</v>
      </c>
      <c r="N700" s="9" t="n">
        <f aca="false">IF(H700="","",IF(H700&gt;=Assumptions!$B$5,1,IF(H700&gt;=Assumptions!$B$6,2,IF(H700&gt;=Assumptions!$B$7,3,""))))</f>
        <v>1</v>
      </c>
      <c r="O700" s="9" t="n">
        <f aca="false">IF(N700=1,Assumptions!$B$8,IF(N700=2,Assumptions!$B$9,IF(N700=3,Assumptions!$B$10,0)))</f>
        <v>3</v>
      </c>
      <c r="P700" s="6" t="s">
        <v>30</v>
      </c>
      <c r="Q700" s="6" t="s">
        <v>30</v>
      </c>
      <c r="R700" s="11" t="s">
        <v>30</v>
      </c>
      <c r="S700" s="6" t="s">
        <v>30</v>
      </c>
      <c r="T700" s="11" t="s">
        <v>30</v>
      </c>
      <c r="U700" s="6" t="s">
        <v>30</v>
      </c>
      <c r="V700" s="6" t="s">
        <v>30</v>
      </c>
      <c r="W700" s="6" t="s">
        <v>30</v>
      </c>
      <c r="X700" s="2" t="s">
        <v>30</v>
      </c>
      <c r="Y700" s="6" t="str">
        <f aca="false">IF(AND(X700="processed",ISNUMBER(S700)),S700*O700,"")</f>
        <v/>
      </c>
      <c r="Z700" s="6" t="n">
        <f aca="false">IF(ISNUMBER(K700),K700*O700,0)</f>
        <v>12</v>
      </c>
      <c r="AA700" s="2" t="s">
        <v>31</v>
      </c>
      <c r="AB700" s="6"/>
      <c r="AC700" s="6"/>
      <c r="AD700" s="6"/>
      <c r="AE700" s="6"/>
      <c r="AF700" s="8"/>
      <c r="AG700" s="11"/>
      <c r="AH700" s="12"/>
      <c r="AI700" s="2"/>
      <c r="AJ700" s="2"/>
      <c r="AK700" s="2"/>
    </row>
    <row r="701" customFormat="false" ht="15" hidden="false" customHeight="false" outlineLevel="0" collapsed="false">
      <c r="A701" s="9" t="n">
        <v>687</v>
      </c>
      <c r="B701" s="2" t="s">
        <v>1665</v>
      </c>
      <c r="C701" s="2" t="s">
        <v>278</v>
      </c>
      <c r="D701" s="2" t="s">
        <v>70</v>
      </c>
      <c r="E701" s="2" t="s">
        <v>71</v>
      </c>
      <c r="F701" s="2"/>
      <c r="G701" s="2" t="s">
        <v>329</v>
      </c>
      <c r="H701" s="8" t="n">
        <v>768.44457987375</v>
      </c>
      <c r="I701" s="2" t="s">
        <v>316</v>
      </c>
      <c r="J701" s="8" t="n">
        <v>1169500</v>
      </c>
      <c r="K701" s="6" t="n">
        <v>4</v>
      </c>
      <c r="L701" s="2" t="s">
        <v>1664</v>
      </c>
      <c r="M701" s="10" t="b">
        <f aca="false">TRUE()</f>
        <v>1</v>
      </c>
      <c r="N701" s="9" t="n">
        <f aca="false">IF(H701="","",IF(H701&gt;=Assumptions!$B$5,1,IF(H701&gt;=Assumptions!$B$6,2,IF(H701&gt;=Assumptions!$B$7,3,""))))</f>
        <v>1</v>
      </c>
      <c r="O701" s="9" t="n">
        <f aca="false">IF(N701=1,Assumptions!$B$8,IF(N701=2,Assumptions!$B$9,IF(N701=3,Assumptions!$B$10,0)))</f>
        <v>3</v>
      </c>
      <c r="P701" s="6" t="s">
        <v>30</v>
      </c>
      <c r="Q701" s="6" t="s">
        <v>30</v>
      </c>
      <c r="R701" s="11" t="s">
        <v>30</v>
      </c>
      <c r="S701" s="6" t="s">
        <v>30</v>
      </c>
      <c r="T701" s="11" t="s">
        <v>30</v>
      </c>
      <c r="U701" s="6" t="s">
        <v>30</v>
      </c>
      <c r="V701" s="6" t="s">
        <v>30</v>
      </c>
      <c r="W701" s="6" t="s">
        <v>30</v>
      </c>
      <c r="X701" s="2" t="s">
        <v>30</v>
      </c>
      <c r="Y701" s="6" t="str">
        <f aca="false">IF(AND(X701="processed",ISNUMBER(S701)),S701*O701,"")</f>
        <v/>
      </c>
      <c r="Z701" s="6" t="n">
        <f aca="false">IF(ISNUMBER(K701),K701*O701,0)</f>
        <v>12</v>
      </c>
      <c r="AA701" s="2" t="s">
        <v>31</v>
      </c>
      <c r="AB701" s="6" t="n">
        <v>2533</v>
      </c>
      <c r="AC701" s="6" t="n">
        <v>1668</v>
      </c>
      <c r="AD701" s="6" t="n">
        <v>145</v>
      </c>
      <c r="AE701" s="6" t="n">
        <v>1767.77392578125</v>
      </c>
      <c r="AF701" s="8" t="n">
        <v>1112.513144059</v>
      </c>
      <c r="AG701" s="11" t="n">
        <v>1.251049987</v>
      </c>
      <c r="AH701" s="12" t="n">
        <v>1</v>
      </c>
      <c r="AI701" s="2" t="s">
        <v>317</v>
      </c>
      <c r="AJ701" s="2" t="s">
        <v>278</v>
      </c>
      <c r="AK701" s="2" t="s">
        <v>278</v>
      </c>
    </row>
    <row r="702" customFormat="false" ht="15" hidden="false" customHeight="false" outlineLevel="0" collapsed="false">
      <c r="A702" s="9"/>
      <c r="B702" s="2" t="s">
        <v>1666</v>
      </c>
      <c r="C702" s="2"/>
      <c r="D702" s="2" t="s">
        <v>1190</v>
      </c>
      <c r="E702" s="2" t="s">
        <v>1191</v>
      </c>
      <c r="F702" s="2"/>
      <c r="G702" s="2" t="s">
        <v>458</v>
      </c>
      <c r="H702" s="8" t="n">
        <v>586.011703084083</v>
      </c>
      <c r="I702" s="2" t="s">
        <v>316</v>
      </c>
      <c r="J702" s="8" t="n">
        <v>551250</v>
      </c>
      <c r="K702" s="6" t="n">
        <v>12</v>
      </c>
      <c r="L702" s="2"/>
      <c r="M702" s="10" t="b">
        <f aca="false">FALSE()</f>
        <v>0</v>
      </c>
      <c r="N702" s="9" t="n">
        <f aca="false">IF(H702="","",IF(H702&gt;=Assumptions!$B$5,1,IF(H702&gt;=Assumptions!$B$6,2,IF(H702&gt;=Assumptions!$B$7,3,""))))</f>
        <v>3</v>
      </c>
      <c r="O702" s="9" t="n">
        <f aca="false">IF(N702=1,Assumptions!$B$8,IF(N702=2,Assumptions!$B$9,IF(N702=3,Assumptions!$B$10,0)))</f>
        <v>1</v>
      </c>
      <c r="P702" s="6" t="s">
        <v>30</v>
      </c>
      <c r="Q702" s="6" t="s">
        <v>30</v>
      </c>
      <c r="R702" s="11" t="s">
        <v>30</v>
      </c>
      <c r="S702" s="6" t="s">
        <v>30</v>
      </c>
      <c r="T702" s="11" t="s">
        <v>30</v>
      </c>
      <c r="U702" s="6" t="s">
        <v>30</v>
      </c>
      <c r="V702" s="6" t="s">
        <v>30</v>
      </c>
      <c r="W702" s="6" t="s">
        <v>30</v>
      </c>
      <c r="X702" s="2" t="s">
        <v>30</v>
      </c>
      <c r="Y702" s="6" t="str">
        <f aca="false">IF(AND(X702="processed",ISNUMBER(S702)),S702*O702,"")</f>
        <v/>
      </c>
      <c r="Z702" s="6" t="n">
        <f aca="false">IF(ISNUMBER(K702),K702*O702,0)</f>
        <v>12</v>
      </c>
      <c r="AA702" s="2" t="s">
        <v>31</v>
      </c>
      <c r="AB702" s="6"/>
      <c r="AC702" s="6"/>
      <c r="AD702" s="6"/>
      <c r="AE702" s="6"/>
      <c r="AF702" s="8" t="n">
        <v>544.507575758</v>
      </c>
      <c r="AG702" s="11" t="n">
        <v>-0.02186639118</v>
      </c>
      <c r="AH702" s="12"/>
      <c r="AI702" s="2"/>
      <c r="AJ702" s="2"/>
      <c r="AK702" s="2"/>
    </row>
    <row r="703" customFormat="false" ht="15" hidden="false" customHeight="false" outlineLevel="0" collapsed="false">
      <c r="A703" s="9"/>
      <c r="B703" s="2" t="s">
        <v>1667</v>
      </c>
      <c r="C703" s="2"/>
      <c r="D703" s="2" t="s">
        <v>1190</v>
      </c>
      <c r="E703" s="2" t="s">
        <v>1191</v>
      </c>
      <c r="F703" s="2"/>
      <c r="G703" s="2" t="s">
        <v>425</v>
      </c>
      <c r="H703" s="8" t="n">
        <v>3044.460948758</v>
      </c>
      <c r="I703" s="2" t="s">
        <v>316</v>
      </c>
      <c r="J703" s="8" t="n">
        <v>22575000</v>
      </c>
      <c r="K703" s="6" t="n">
        <v>4</v>
      </c>
      <c r="L703" s="2" t="s">
        <v>1664</v>
      </c>
      <c r="M703" s="10" t="b">
        <f aca="false">FALSE()</f>
        <v>0</v>
      </c>
      <c r="N703" s="9" t="n">
        <f aca="false">IF(H703="","",IF(H703&gt;=Assumptions!$B$5,1,IF(H703&gt;=Assumptions!$B$6,2,IF(H703&gt;=Assumptions!$B$7,3,""))))</f>
        <v>1</v>
      </c>
      <c r="O703" s="9" t="n">
        <f aca="false">IF(N703=1,Assumptions!$B$8,IF(N703=2,Assumptions!$B$9,IF(N703=3,Assumptions!$B$10,0)))</f>
        <v>3</v>
      </c>
      <c r="P703" s="6" t="s">
        <v>30</v>
      </c>
      <c r="Q703" s="6" t="s">
        <v>30</v>
      </c>
      <c r="R703" s="11" t="s">
        <v>30</v>
      </c>
      <c r="S703" s="6" t="s">
        <v>30</v>
      </c>
      <c r="T703" s="11" t="s">
        <v>30</v>
      </c>
      <c r="U703" s="6" t="s">
        <v>30</v>
      </c>
      <c r="V703" s="6" t="s">
        <v>30</v>
      </c>
      <c r="W703" s="6" t="s">
        <v>30</v>
      </c>
      <c r="X703" s="2" t="s">
        <v>30</v>
      </c>
      <c r="Y703" s="6" t="str">
        <f aca="false">IF(AND(X703="processed",ISNUMBER(S703)),S703*O703,"")</f>
        <v/>
      </c>
      <c r="Z703" s="6" t="n">
        <f aca="false">IF(ISNUMBER(K703),K703*O703,0)</f>
        <v>12</v>
      </c>
      <c r="AA703" s="2" t="s">
        <v>31</v>
      </c>
      <c r="AB703" s="6"/>
      <c r="AC703" s="6"/>
      <c r="AD703" s="6"/>
      <c r="AE703" s="6"/>
      <c r="AF703" s="8" t="n">
        <v>1853.486319506</v>
      </c>
      <c r="AG703" s="11" t="n">
        <v>-0.04376955789</v>
      </c>
      <c r="AH703" s="12"/>
      <c r="AI703" s="2"/>
      <c r="AJ703" s="2"/>
      <c r="AK703" s="2"/>
    </row>
    <row r="704" customFormat="false" ht="15" hidden="false" customHeight="false" outlineLevel="0" collapsed="false">
      <c r="A704" s="9" t="n">
        <v>688</v>
      </c>
      <c r="B704" s="2" t="s">
        <v>1668</v>
      </c>
      <c r="C704" s="2" t="s">
        <v>1669</v>
      </c>
      <c r="D704" s="2" t="s">
        <v>95</v>
      </c>
      <c r="E704" s="2" t="s">
        <v>95</v>
      </c>
      <c r="F704" s="2"/>
      <c r="G704" s="2" t="s">
        <v>330</v>
      </c>
      <c r="H704" s="8" t="n">
        <v>954.28300213875</v>
      </c>
      <c r="I704" s="2" t="s">
        <v>316</v>
      </c>
      <c r="J704" s="8" t="n">
        <v>3488250</v>
      </c>
      <c r="K704" s="6" t="n">
        <v>4</v>
      </c>
      <c r="L704" s="2" t="s">
        <v>1664</v>
      </c>
      <c r="M704" s="10" t="b">
        <f aca="false">TRUE()</f>
        <v>1</v>
      </c>
      <c r="N704" s="9" t="n">
        <f aca="false">IF(H704="","",IF(H704&gt;=Assumptions!$B$5,1,IF(H704&gt;=Assumptions!$B$6,2,IF(H704&gt;=Assumptions!$B$7,3,""))))</f>
        <v>1</v>
      </c>
      <c r="O704" s="9" t="n">
        <f aca="false">IF(N704=1,Assumptions!$B$8,IF(N704=2,Assumptions!$B$9,IF(N704=3,Assumptions!$B$10,0)))</f>
        <v>3</v>
      </c>
      <c r="P704" s="6" t="s">
        <v>30</v>
      </c>
      <c r="Q704" s="6" t="s">
        <v>30</v>
      </c>
      <c r="R704" s="11" t="s">
        <v>30</v>
      </c>
      <c r="S704" s="6" t="s">
        <v>30</v>
      </c>
      <c r="T704" s="11" t="s">
        <v>30</v>
      </c>
      <c r="U704" s="6" t="s">
        <v>30</v>
      </c>
      <c r="V704" s="6" t="s">
        <v>30</v>
      </c>
      <c r="W704" s="6" t="s">
        <v>30</v>
      </c>
      <c r="X704" s="2" t="s">
        <v>30</v>
      </c>
      <c r="Y704" s="6" t="str">
        <f aca="false">IF(AND(X704="processed",ISNUMBER(S704)),S704*O704,"")</f>
        <v/>
      </c>
      <c r="Z704" s="6" t="n">
        <f aca="false">IF(ISNUMBER(K704),K704*O704,0)</f>
        <v>12</v>
      </c>
      <c r="AA704" s="2" t="s">
        <v>31</v>
      </c>
      <c r="AB704" s="6" t="n">
        <v>984</v>
      </c>
      <c r="AC704" s="6" t="n">
        <v>593</v>
      </c>
      <c r="AD704" s="6" t="n">
        <v>74</v>
      </c>
      <c r="AE704" s="6" t="n">
        <v>1667.32580566406</v>
      </c>
      <c r="AF704" s="8" t="n">
        <v>1179.413867048</v>
      </c>
      <c r="AG704" s="11"/>
      <c r="AH704" s="12" t="n">
        <v>1</v>
      </c>
      <c r="AI704" s="2" t="s">
        <v>340</v>
      </c>
      <c r="AJ704" s="2" t="s">
        <v>1669</v>
      </c>
      <c r="AK704" s="2" t="s">
        <v>1670</v>
      </c>
    </row>
    <row r="705" customFormat="false" ht="15" hidden="false" customHeight="false" outlineLevel="0" collapsed="false">
      <c r="A705" s="9"/>
      <c r="B705" s="2" t="s">
        <v>1671</v>
      </c>
      <c r="C705" s="2"/>
      <c r="D705" s="2" t="s">
        <v>1190</v>
      </c>
      <c r="E705" s="2" t="s">
        <v>1191</v>
      </c>
      <c r="F705" s="2"/>
      <c r="G705" s="2" t="s">
        <v>320</v>
      </c>
      <c r="H705" s="8" t="n">
        <v>1199.3094471105</v>
      </c>
      <c r="I705" s="2" t="s">
        <v>316</v>
      </c>
      <c r="J705" s="8" t="n">
        <v>2433250</v>
      </c>
      <c r="K705" s="6" t="n">
        <v>4</v>
      </c>
      <c r="L705" s="2" t="s">
        <v>1664</v>
      </c>
      <c r="M705" s="10" t="b">
        <f aca="false">FALSE()</f>
        <v>0</v>
      </c>
      <c r="N705" s="9" t="n">
        <f aca="false">IF(H705="","",IF(H705&gt;=Assumptions!$B$5,1,IF(H705&gt;=Assumptions!$B$6,2,IF(H705&gt;=Assumptions!$B$7,3,""))))</f>
        <v>1</v>
      </c>
      <c r="O705" s="9" t="n">
        <f aca="false">IF(N705=1,Assumptions!$B$8,IF(N705=2,Assumptions!$B$9,IF(N705=3,Assumptions!$B$10,0)))</f>
        <v>3</v>
      </c>
      <c r="P705" s="6" t="s">
        <v>30</v>
      </c>
      <c r="Q705" s="6" t="s">
        <v>30</v>
      </c>
      <c r="R705" s="11" t="s">
        <v>30</v>
      </c>
      <c r="S705" s="6" t="s">
        <v>30</v>
      </c>
      <c r="T705" s="11" t="s">
        <v>30</v>
      </c>
      <c r="U705" s="6" t="s">
        <v>30</v>
      </c>
      <c r="V705" s="6" t="s">
        <v>30</v>
      </c>
      <c r="W705" s="6" t="s">
        <v>30</v>
      </c>
      <c r="X705" s="2" t="s">
        <v>30</v>
      </c>
      <c r="Y705" s="6" t="str">
        <f aca="false">IF(AND(X705="processed",ISNUMBER(S705)),S705*O705,"")</f>
        <v/>
      </c>
      <c r="Z705" s="6" t="n">
        <f aca="false">IF(ISNUMBER(K705),K705*O705,0)</f>
        <v>12</v>
      </c>
      <c r="AA705" s="2" t="s">
        <v>31</v>
      </c>
      <c r="AB705" s="6"/>
      <c r="AC705" s="6"/>
      <c r="AD705" s="6"/>
      <c r="AE705" s="6"/>
      <c r="AF705" s="8" t="n">
        <v>1124.588082073</v>
      </c>
      <c r="AG705" s="11"/>
      <c r="AH705" s="12"/>
      <c r="AI705" s="2"/>
      <c r="AJ705" s="2"/>
      <c r="AK705" s="2"/>
    </row>
    <row r="706" customFormat="false" ht="15" hidden="false" customHeight="false" outlineLevel="0" collapsed="false">
      <c r="A706" s="9" t="n">
        <v>689</v>
      </c>
      <c r="B706" s="2" t="s">
        <v>1672</v>
      </c>
      <c r="C706" s="2" t="s">
        <v>38</v>
      </c>
      <c r="D706" s="2" t="s">
        <v>39</v>
      </c>
      <c r="E706" s="2" t="s">
        <v>40</v>
      </c>
      <c r="F706" s="2"/>
      <c r="G706" s="2" t="s">
        <v>320</v>
      </c>
      <c r="H706" s="8" t="n">
        <v>1153.45263978625</v>
      </c>
      <c r="I706" s="2" t="s">
        <v>316</v>
      </c>
      <c r="J706" s="8" t="n">
        <v>1854750</v>
      </c>
      <c r="K706" s="6" t="n">
        <v>4</v>
      </c>
      <c r="L706" s="2" t="s">
        <v>1664</v>
      </c>
      <c r="M706" s="10" t="b">
        <f aca="false">TRUE()</f>
        <v>1</v>
      </c>
      <c r="N706" s="9" t="n">
        <f aca="false">IF(H706="","",IF(H706&gt;=Assumptions!$B$5,1,IF(H706&gt;=Assumptions!$B$6,2,IF(H706&gt;=Assumptions!$B$7,3,""))))</f>
        <v>1</v>
      </c>
      <c r="O706" s="9" t="n">
        <f aca="false">IF(N706=1,Assumptions!$B$8,IF(N706=2,Assumptions!$B$9,IF(N706=3,Assumptions!$B$10,0)))</f>
        <v>3</v>
      </c>
      <c r="P706" s="6" t="s">
        <v>30</v>
      </c>
      <c r="Q706" s="6" t="s">
        <v>30</v>
      </c>
      <c r="R706" s="11" t="s">
        <v>30</v>
      </c>
      <c r="S706" s="6" t="s">
        <v>30</v>
      </c>
      <c r="T706" s="11" t="s">
        <v>30</v>
      </c>
      <c r="U706" s="6" t="s">
        <v>30</v>
      </c>
      <c r="V706" s="6" t="s">
        <v>30</v>
      </c>
      <c r="W706" s="6" t="s">
        <v>30</v>
      </c>
      <c r="X706" s="2" t="s">
        <v>30</v>
      </c>
      <c r="Y706" s="6" t="str">
        <f aca="false">IF(AND(X706="processed",ISNUMBER(S706)),S706*O706,"")</f>
        <v/>
      </c>
      <c r="Z706" s="6" t="n">
        <f aca="false">IF(ISNUMBER(K706),K706*O706,0)</f>
        <v>12</v>
      </c>
      <c r="AA706" s="2" t="s">
        <v>31</v>
      </c>
      <c r="AB706" s="6" t="n">
        <v>2664</v>
      </c>
      <c r="AC706" s="6" t="n">
        <v>1654</v>
      </c>
      <c r="AD706" s="6" t="n">
        <v>116</v>
      </c>
      <c r="AE706" s="6" t="n">
        <v>2086.81640625</v>
      </c>
      <c r="AF706" s="8" t="n">
        <v>1272.40649259</v>
      </c>
      <c r="AG706" s="11"/>
      <c r="AH706" s="12" t="n">
        <v>0.993823169258468</v>
      </c>
      <c r="AI706" s="2" t="s">
        <v>317</v>
      </c>
      <c r="AJ706" s="2" t="s">
        <v>38</v>
      </c>
      <c r="AK706" s="2" t="s">
        <v>38</v>
      </c>
    </row>
    <row r="707" customFormat="false" ht="15" hidden="false" customHeight="false" outlineLevel="0" collapsed="false">
      <c r="A707" s="9" t="n">
        <v>690</v>
      </c>
      <c r="B707" s="2" t="s">
        <v>1673</v>
      </c>
      <c r="C707" s="2" t="s">
        <v>1674</v>
      </c>
      <c r="D707" s="2" t="s">
        <v>1207</v>
      </c>
      <c r="E707" s="2" t="s">
        <v>51</v>
      </c>
      <c r="F707" s="2" t="s">
        <v>1675</v>
      </c>
      <c r="G707" s="2" t="s">
        <v>323</v>
      </c>
      <c r="H707" s="8" t="n">
        <v>606.846858202667</v>
      </c>
      <c r="I707" s="2" t="s">
        <v>316</v>
      </c>
      <c r="J707" s="8" t="n">
        <v>407333.333333333</v>
      </c>
      <c r="K707" s="6" t="n">
        <v>6</v>
      </c>
      <c r="L707" s="2"/>
      <c r="M707" s="10" t="b">
        <f aca="false">TRUE()</f>
        <v>1</v>
      </c>
      <c r="N707" s="9" t="n">
        <f aca="false">IF(H707="","",IF(H707&gt;=Assumptions!$B$5,1,IF(H707&gt;=Assumptions!$B$6,2,IF(H707&gt;=Assumptions!$B$7,3,""))))</f>
        <v>2</v>
      </c>
      <c r="O707" s="9" t="n">
        <f aca="false">IF(N707=1,Assumptions!$B$8,IF(N707=2,Assumptions!$B$9,IF(N707=3,Assumptions!$B$10,0)))</f>
        <v>2</v>
      </c>
      <c r="P707" s="6" t="s">
        <v>30</v>
      </c>
      <c r="Q707" s="6" t="s">
        <v>30</v>
      </c>
      <c r="R707" s="11" t="s">
        <v>30</v>
      </c>
      <c r="S707" s="6" t="s">
        <v>30</v>
      </c>
      <c r="T707" s="11" t="s">
        <v>30</v>
      </c>
      <c r="U707" s="6" t="s">
        <v>30</v>
      </c>
      <c r="V707" s="6" t="s">
        <v>30</v>
      </c>
      <c r="W707" s="6" t="s">
        <v>30</v>
      </c>
      <c r="X707" s="2" t="s">
        <v>30</v>
      </c>
      <c r="Y707" s="6" t="str">
        <f aca="false">IF(AND(X707="processed",ISNUMBER(S707)),S707*O707,"")</f>
        <v/>
      </c>
      <c r="Z707" s="6" t="n">
        <f aca="false">IF(ISNUMBER(K707),K707*O707,0)</f>
        <v>12</v>
      </c>
      <c r="AA707" s="2" t="s">
        <v>31</v>
      </c>
      <c r="AB707" s="6" t="n">
        <v>393</v>
      </c>
      <c r="AC707" s="6" t="n">
        <v>296</v>
      </c>
      <c r="AD707" s="6" t="n">
        <v>54</v>
      </c>
      <c r="AE707" s="6" t="n">
        <v>969.154602050781</v>
      </c>
      <c r="AF707" s="8" t="n">
        <v>795.229007634</v>
      </c>
      <c r="AG707" s="11" t="n">
        <v>0.8998254565</v>
      </c>
      <c r="AH707" s="12" t="n">
        <v>0.999999999999998</v>
      </c>
      <c r="AI707" s="2" t="s">
        <v>1597</v>
      </c>
      <c r="AJ707" s="2"/>
      <c r="AK707" s="2" t="s">
        <v>1674</v>
      </c>
    </row>
    <row r="708" customFormat="false" ht="15" hidden="false" customHeight="false" outlineLevel="0" collapsed="false">
      <c r="A708" s="9" t="n">
        <v>691</v>
      </c>
      <c r="B708" s="2" t="s">
        <v>1676</v>
      </c>
      <c r="C708" s="2" t="s">
        <v>70</v>
      </c>
      <c r="D708" s="2" t="s">
        <v>70</v>
      </c>
      <c r="E708" s="2" t="s">
        <v>71</v>
      </c>
      <c r="F708" s="2" t="s">
        <v>1677</v>
      </c>
      <c r="G708" s="2" t="s">
        <v>329</v>
      </c>
      <c r="H708" s="8" t="n">
        <v>541.919217190182</v>
      </c>
      <c r="I708" s="2" t="s">
        <v>337</v>
      </c>
      <c r="J708" s="8" t="n">
        <v>455000</v>
      </c>
      <c r="K708" s="6" t="n">
        <v>11</v>
      </c>
      <c r="L708" s="2"/>
      <c r="M708" s="10" t="b">
        <f aca="false">TRUE()</f>
        <v>1</v>
      </c>
      <c r="N708" s="9" t="n">
        <f aca="false">IF(H708="","",IF(H708&gt;=Assumptions!$B$5,1,IF(H708&gt;=Assumptions!$B$6,2,IF(H708&gt;=Assumptions!$B$7,3,""))))</f>
        <v>3</v>
      </c>
      <c r="O708" s="9" t="n">
        <f aca="false">IF(N708=1,Assumptions!$B$8,IF(N708=2,Assumptions!$B$9,IF(N708=3,Assumptions!$B$10,0)))</f>
        <v>1</v>
      </c>
      <c r="P708" s="6" t="s">
        <v>30</v>
      </c>
      <c r="Q708" s="6" t="s">
        <v>30</v>
      </c>
      <c r="R708" s="11" t="s">
        <v>30</v>
      </c>
      <c r="S708" s="6" t="s">
        <v>30</v>
      </c>
      <c r="T708" s="11" t="s">
        <v>30</v>
      </c>
      <c r="U708" s="6" t="s">
        <v>30</v>
      </c>
      <c r="V708" s="6" t="s">
        <v>30</v>
      </c>
      <c r="W708" s="6" t="s">
        <v>30</v>
      </c>
      <c r="X708" s="2" t="s">
        <v>30</v>
      </c>
      <c r="Y708" s="6" t="str">
        <f aca="false">IF(AND(X708="processed",ISNUMBER(S708)),S708*O708,"")</f>
        <v/>
      </c>
      <c r="Z708" s="6" t="n">
        <f aca="false">IF(ISNUMBER(K708),K708*O708,0)</f>
        <v>11</v>
      </c>
      <c r="AA708" s="2" t="s">
        <v>31</v>
      </c>
      <c r="AB708" s="6" t="n">
        <v>336</v>
      </c>
      <c r="AC708" s="6" t="n">
        <v>102</v>
      </c>
      <c r="AD708" s="6" t="n">
        <v>0</v>
      </c>
      <c r="AE708" s="6" t="n">
        <v>4590.7333984375</v>
      </c>
      <c r="AF708" s="8"/>
      <c r="AG708" s="11"/>
      <c r="AH708" s="12" t="n">
        <v>1</v>
      </c>
      <c r="AI708" s="2" t="s">
        <v>317</v>
      </c>
      <c r="AJ708" s="2" t="s">
        <v>70</v>
      </c>
      <c r="AK708" s="2" t="s">
        <v>70</v>
      </c>
    </row>
    <row r="709" customFormat="false" ht="15" hidden="false" customHeight="false" outlineLevel="0" collapsed="false">
      <c r="A709" s="9" t="n">
        <v>692</v>
      </c>
      <c r="B709" s="2" t="s">
        <v>1678</v>
      </c>
      <c r="C709" s="2" t="s">
        <v>1679</v>
      </c>
      <c r="D709" s="2" t="s">
        <v>105</v>
      </c>
      <c r="E709" s="2" t="s">
        <v>51</v>
      </c>
      <c r="F709" s="2"/>
      <c r="G709" s="2" t="s">
        <v>318</v>
      </c>
      <c r="H709" s="8" t="n">
        <v>513.1182222161</v>
      </c>
      <c r="I709" s="2" t="s">
        <v>316</v>
      </c>
      <c r="J709" s="8" t="n">
        <v>2051500</v>
      </c>
      <c r="K709" s="6" t="n">
        <v>10</v>
      </c>
      <c r="L709" s="2"/>
      <c r="M709" s="10" t="b">
        <f aca="false">TRUE()</f>
        <v>1</v>
      </c>
      <c r="N709" s="9" t="n">
        <f aca="false">IF(H709="","",IF(H709&gt;=Assumptions!$B$5,1,IF(H709&gt;=Assumptions!$B$6,2,IF(H709&gt;=Assumptions!$B$7,3,""))))</f>
        <v>3</v>
      </c>
      <c r="O709" s="9" t="n">
        <f aca="false">IF(N709=1,Assumptions!$B$8,IF(N709=2,Assumptions!$B$9,IF(N709=3,Assumptions!$B$10,0)))</f>
        <v>1</v>
      </c>
      <c r="P709" s="6" t="s">
        <v>30</v>
      </c>
      <c r="Q709" s="6" t="s">
        <v>30</v>
      </c>
      <c r="R709" s="11" t="s">
        <v>30</v>
      </c>
      <c r="S709" s="6" t="s">
        <v>30</v>
      </c>
      <c r="T709" s="11" t="s">
        <v>30</v>
      </c>
      <c r="U709" s="6" t="s">
        <v>30</v>
      </c>
      <c r="V709" s="6" t="s">
        <v>30</v>
      </c>
      <c r="W709" s="6" t="s">
        <v>30</v>
      </c>
      <c r="X709" s="2" t="s">
        <v>30</v>
      </c>
      <c r="Y709" s="6" t="str">
        <f aca="false">IF(AND(X709="processed",ISNUMBER(S709)),S709*O709,"")</f>
        <v/>
      </c>
      <c r="Z709" s="6" t="n">
        <f aca="false">IF(ISNUMBER(K709),K709*O709,0)</f>
        <v>10</v>
      </c>
      <c r="AA709" s="2" t="s">
        <v>31</v>
      </c>
      <c r="AB709" s="6" t="n">
        <v>1407</v>
      </c>
      <c r="AC709" s="6" t="n">
        <v>1042</v>
      </c>
      <c r="AD709" s="6" t="n">
        <v>353</v>
      </c>
      <c r="AE709" s="6" t="n">
        <v>1653.21398925781</v>
      </c>
      <c r="AF709" s="8" t="n">
        <v>598.80239521</v>
      </c>
      <c r="AG709" s="11"/>
      <c r="AH709" s="12" t="n">
        <v>0.73134297960669</v>
      </c>
      <c r="AI709" s="2" t="s">
        <v>317</v>
      </c>
      <c r="AJ709" s="2" t="s">
        <v>1679</v>
      </c>
      <c r="AK709" s="2" t="s">
        <v>1680</v>
      </c>
    </row>
    <row r="710" customFormat="false" ht="15" hidden="false" customHeight="false" outlineLevel="0" collapsed="false">
      <c r="A710" s="9"/>
      <c r="B710" s="2" t="s">
        <v>1681</v>
      </c>
      <c r="C710" s="2"/>
      <c r="D710" s="2" t="s">
        <v>1190</v>
      </c>
      <c r="E710" s="2" t="s">
        <v>1191</v>
      </c>
      <c r="F710" s="2"/>
      <c r="G710" s="2" t="s">
        <v>330</v>
      </c>
      <c r="H710" s="8" t="n">
        <v>613.1214087508</v>
      </c>
      <c r="I710" s="2" t="s">
        <v>316</v>
      </c>
      <c r="J710" s="8" t="n">
        <v>1299800</v>
      </c>
      <c r="K710" s="6" t="n">
        <v>5</v>
      </c>
      <c r="L710" s="2"/>
      <c r="M710" s="10" t="b">
        <f aca="false">FALSE()</f>
        <v>0</v>
      </c>
      <c r="N710" s="9" t="n">
        <f aca="false">IF(H710="","",IF(H710&gt;=Assumptions!$B$5,1,IF(H710&gt;=Assumptions!$B$6,2,IF(H710&gt;=Assumptions!$B$7,3,""))))</f>
        <v>2</v>
      </c>
      <c r="O710" s="9" t="n">
        <f aca="false">IF(N710=1,Assumptions!$B$8,IF(N710=2,Assumptions!$B$9,IF(N710=3,Assumptions!$B$10,0)))</f>
        <v>2</v>
      </c>
      <c r="P710" s="6" t="s">
        <v>30</v>
      </c>
      <c r="Q710" s="6" t="s">
        <v>30</v>
      </c>
      <c r="R710" s="11" t="s">
        <v>30</v>
      </c>
      <c r="S710" s="6" t="s">
        <v>30</v>
      </c>
      <c r="T710" s="11" t="s">
        <v>30</v>
      </c>
      <c r="U710" s="6" t="s">
        <v>30</v>
      </c>
      <c r="V710" s="6" t="s">
        <v>30</v>
      </c>
      <c r="W710" s="6" t="s">
        <v>30</v>
      </c>
      <c r="X710" s="2" t="s">
        <v>30</v>
      </c>
      <c r="Y710" s="6" t="str">
        <f aca="false">IF(AND(X710="processed",ISNUMBER(S710)),S710*O710,"")</f>
        <v/>
      </c>
      <c r="Z710" s="6" t="n">
        <f aca="false">IF(ISNUMBER(K710),K710*O710,0)</f>
        <v>10</v>
      </c>
      <c r="AA710" s="2" t="s">
        <v>31</v>
      </c>
      <c r="AB710" s="6"/>
      <c r="AC710" s="6"/>
      <c r="AD710" s="6"/>
      <c r="AE710" s="6"/>
      <c r="AF710" s="8" t="n">
        <v>534</v>
      </c>
      <c r="AG710" s="11" t="n">
        <v>-0.02925165563</v>
      </c>
      <c r="AH710" s="12"/>
      <c r="AI710" s="2"/>
      <c r="AJ710" s="2"/>
      <c r="AK710" s="2"/>
    </row>
    <row r="711" customFormat="false" ht="15" hidden="false" customHeight="false" outlineLevel="0" collapsed="false">
      <c r="A711" s="9"/>
      <c r="B711" s="2" t="s">
        <v>1682</v>
      </c>
      <c r="C711" s="2"/>
      <c r="D711" s="2" t="s">
        <v>1190</v>
      </c>
      <c r="E711" s="2" t="s">
        <v>1191</v>
      </c>
      <c r="F711" s="2"/>
      <c r="G711" s="2" t="s">
        <v>320</v>
      </c>
      <c r="H711" s="8" t="n">
        <v>644.63891841</v>
      </c>
      <c r="I711" s="2" t="s">
        <v>337</v>
      </c>
      <c r="J711" s="8" t="n">
        <v>895400</v>
      </c>
      <c r="K711" s="6" t="n">
        <v>5</v>
      </c>
      <c r="L711" s="2"/>
      <c r="M711" s="10" t="b">
        <f aca="false">FALSE()</f>
        <v>0</v>
      </c>
      <c r="N711" s="9" t="n">
        <f aca="false">IF(H711="","",IF(H711&gt;=Assumptions!$B$5,1,IF(H711&gt;=Assumptions!$B$6,2,IF(H711&gt;=Assumptions!$B$7,3,""))))</f>
        <v>2</v>
      </c>
      <c r="O711" s="9" t="n">
        <f aca="false">IF(N711=1,Assumptions!$B$8,IF(N711=2,Assumptions!$B$9,IF(N711=3,Assumptions!$B$10,0)))</f>
        <v>2</v>
      </c>
      <c r="P711" s="6" t="s">
        <v>30</v>
      </c>
      <c r="Q711" s="6" t="s">
        <v>30</v>
      </c>
      <c r="R711" s="11" t="s">
        <v>30</v>
      </c>
      <c r="S711" s="6" t="s">
        <v>30</v>
      </c>
      <c r="T711" s="11" t="s">
        <v>30</v>
      </c>
      <c r="U711" s="6" t="s">
        <v>30</v>
      </c>
      <c r="V711" s="6" t="s">
        <v>30</v>
      </c>
      <c r="W711" s="6" t="s">
        <v>30</v>
      </c>
      <c r="X711" s="2" t="s">
        <v>30</v>
      </c>
      <c r="Y711" s="6" t="str">
        <f aca="false">IF(AND(X711="processed",ISNUMBER(S711)),S711*O711,"")</f>
        <v/>
      </c>
      <c r="Z711" s="6" t="n">
        <f aca="false">IF(ISNUMBER(K711),K711*O711,0)</f>
        <v>10</v>
      </c>
      <c r="AA711" s="2" t="s">
        <v>31</v>
      </c>
      <c r="AB711" s="6"/>
      <c r="AC711" s="6"/>
      <c r="AD711" s="6"/>
      <c r="AE711" s="6"/>
      <c r="AF711" s="8"/>
      <c r="AG711" s="11"/>
      <c r="AH711" s="12"/>
      <c r="AI711" s="2"/>
      <c r="AJ711" s="2"/>
      <c r="AK711" s="2"/>
    </row>
    <row r="712" customFormat="false" ht="15" hidden="false" customHeight="false" outlineLevel="0" collapsed="false">
      <c r="A712" s="9" t="n">
        <v>693</v>
      </c>
      <c r="B712" s="2" t="s">
        <v>1683</v>
      </c>
      <c r="C712" s="2" t="s">
        <v>1684</v>
      </c>
      <c r="D712" s="2" t="s">
        <v>1685</v>
      </c>
      <c r="E712" s="2" t="s">
        <v>51</v>
      </c>
      <c r="F712" s="2"/>
      <c r="G712" s="2" t="s">
        <v>1686</v>
      </c>
      <c r="H712" s="8" t="n">
        <v>672.4747664492</v>
      </c>
      <c r="I712" s="2" t="s">
        <v>316</v>
      </c>
      <c r="J712" s="8" t="n">
        <v>901800</v>
      </c>
      <c r="K712" s="6" t="n">
        <v>5</v>
      </c>
      <c r="L712" s="2"/>
      <c r="M712" s="10" t="b">
        <f aca="false">TRUE()</f>
        <v>1</v>
      </c>
      <c r="N712" s="9" t="n">
        <f aca="false">IF(H712="","",IF(H712&gt;=Assumptions!$B$5,1,IF(H712&gt;=Assumptions!$B$6,2,IF(H712&gt;=Assumptions!$B$7,3,""))))</f>
        <v>2</v>
      </c>
      <c r="O712" s="9" t="n">
        <f aca="false">IF(N712=1,Assumptions!$B$8,IF(N712=2,Assumptions!$B$9,IF(N712=3,Assumptions!$B$10,0)))</f>
        <v>2</v>
      </c>
      <c r="P712" s="6" t="s">
        <v>30</v>
      </c>
      <c r="Q712" s="6" t="s">
        <v>30</v>
      </c>
      <c r="R712" s="11" t="s">
        <v>30</v>
      </c>
      <c r="S712" s="6" t="s">
        <v>30</v>
      </c>
      <c r="T712" s="11" t="s">
        <v>30</v>
      </c>
      <c r="U712" s="6" t="s">
        <v>30</v>
      </c>
      <c r="V712" s="6" t="s">
        <v>30</v>
      </c>
      <c r="W712" s="6" t="s">
        <v>30</v>
      </c>
      <c r="X712" s="2" t="s">
        <v>30</v>
      </c>
      <c r="Y712" s="6" t="str">
        <f aca="false">IF(AND(X712="processed",ISNUMBER(S712)),S712*O712,"")</f>
        <v/>
      </c>
      <c r="Z712" s="6" t="n">
        <f aca="false">IF(ISNUMBER(K712),K712*O712,0)</f>
        <v>10</v>
      </c>
      <c r="AA712" s="2" t="s">
        <v>31</v>
      </c>
      <c r="AB712" s="6" t="n">
        <v>495</v>
      </c>
      <c r="AC712" s="6" t="n">
        <v>396</v>
      </c>
      <c r="AD712" s="6" t="n">
        <v>273</v>
      </c>
      <c r="AE712" s="6" t="n">
        <v>1559.48815917969</v>
      </c>
      <c r="AF712" s="8" t="n">
        <v>2833.333333333</v>
      </c>
      <c r="AG712" s="11" t="n">
        <v>16.925170068</v>
      </c>
      <c r="AH712" s="12" t="n">
        <v>0.995483944731771</v>
      </c>
      <c r="AI712" s="2" t="s">
        <v>321</v>
      </c>
      <c r="AJ712" s="2" t="s">
        <v>1684</v>
      </c>
      <c r="AK712" s="2" t="s">
        <v>1687</v>
      </c>
    </row>
    <row r="713" customFormat="false" ht="15" hidden="false" customHeight="false" outlineLevel="0" collapsed="false">
      <c r="A713" s="9" t="n">
        <v>694</v>
      </c>
      <c r="B713" s="2" t="s">
        <v>1688</v>
      </c>
      <c r="C713" s="2" t="s">
        <v>70</v>
      </c>
      <c r="D713" s="2" t="s">
        <v>70</v>
      </c>
      <c r="E713" s="2" t="s">
        <v>71</v>
      </c>
      <c r="F713" s="2" t="s">
        <v>1689</v>
      </c>
      <c r="G713" s="2" t="s">
        <v>329</v>
      </c>
      <c r="H713" s="8" t="n">
        <v>1126.61284682833</v>
      </c>
      <c r="I713" s="2" t="s">
        <v>316</v>
      </c>
      <c r="J713" s="8" t="n">
        <v>6596500</v>
      </c>
      <c r="K713" s="6" t="n">
        <v>3</v>
      </c>
      <c r="L713" s="2" t="s">
        <v>1664</v>
      </c>
      <c r="M713" s="10" t="b">
        <f aca="false">TRUE()</f>
        <v>1</v>
      </c>
      <c r="N713" s="9" t="n">
        <f aca="false">IF(H713="","",IF(H713&gt;=Assumptions!$B$5,1,IF(H713&gt;=Assumptions!$B$6,2,IF(H713&gt;=Assumptions!$B$7,3,""))))</f>
        <v>1</v>
      </c>
      <c r="O713" s="9" t="n">
        <f aca="false">IF(N713=1,Assumptions!$B$8,IF(N713=2,Assumptions!$B$9,IF(N713=3,Assumptions!$B$10,0)))</f>
        <v>3</v>
      </c>
      <c r="P713" s="6" t="s">
        <v>30</v>
      </c>
      <c r="Q713" s="6" t="s">
        <v>30</v>
      </c>
      <c r="R713" s="11" t="s">
        <v>30</v>
      </c>
      <c r="S713" s="6" t="s">
        <v>30</v>
      </c>
      <c r="T713" s="11" t="s">
        <v>30</v>
      </c>
      <c r="U713" s="6" t="s">
        <v>30</v>
      </c>
      <c r="V713" s="6" t="s">
        <v>30</v>
      </c>
      <c r="W713" s="6" t="s">
        <v>30</v>
      </c>
      <c r="X713" s="2" t="s">
        <v>30</v>
      </c>
      <c r="Y713" s="6" t="str">
        <f aca="false">IF(AND(X713="processed",ISNUMBER(S713)),S713*O713,"")</f>
        <v/>
      </c>
      <c r="Z713" s="6" t="n">
        <f aca="false">IF(ISNUMBER(K713),K713*O713,0)</f>
        <v>9</v>
      </c>
      <c r="AA713" s="2" t="s">
        <v>31</v>
      </c>
      <c r="AB713" s="6" t="n">
        <v>141</v>
      </c>
      <c r="AC713" s="6" t="n">
        <v>46</v>
      </c>
      <c r="AD713" s="6" t="n">
        <v>5</v>
      </c>
      <c r="AE713" s="6" t="n">
        <v>3279.12866210938</v>
      </c>
      <c r="AF713" s="8" t="n">
        <v>1221.312973815</v>
      </c>
      <c r="AG713" s="11"/>
      <c r="AH713" s="12" t="n">
        <v>1</v>
      </c>
      <c r="AI713" s="2" t="s">
        <v>317</v>
      </c>
      <c r="AJ713" s="2" t="s">
        <v>70</v>
      </c>
      <c r="AK713" s="2" t="s">
        <v>70</v>
      </c>
    </row>
    <row r="714" customFormat="false" ht="15" hidden="false" customHeight="false" outlineLevel="0" collapsed="false">
      <c r="A714" s="9" t="n">
        <v>695</v>
      </c>
      <c r="B714" s="2" t="s">
        <v>1690</v>
      </c>
      <c r="C714" s="2" t="s">
        <v>1691</v>
      </c>
      <c r="D714" s="2" t="s">
        <v>70</v>
      </c>
      <c r="E714" s="2" t="s">
        <v>71</v>
      </c>
      <c r="F714" s="2"/>
      <c r="G714" s="2" t="s">
        <v>329</v>
      </c>
      <c r="H714" s="8" t="n">
        <v>952.750225077334</v>
      </c>
      <c r="I714" s="2" t="s">
        <v>316</v>
      </c>
      <c r="J714" s="8" t="n">
        <v>3530000</v>
      </c>
      <c r="K714" s="6" t="n">
        <v>3</v>
      </c>
      <c r="L714" s="2" t="s">
        <v>1664</v>
      </c>
      <c r="M714" s="10" t="b">
        <f aca="false">TRUE()</f>
        <v>1</v>
      </c>
      <c r="N714" s="9" t="n">
        <f aca="false">IF(H714="","",IF(H714&gt;=Assumptions!$B$5,1,IF(H714&gt;=Assumptions!$B$6,2,IF(H714&gt;=Assumptions!$B$7,3,""))))</f>
        <v>1</v>
      </c>
      <c r="O714" s="9" t="n">
        <f aca="false">IF(N714=1,Assumptions!$B$8,IF(N714=2,Assumptions!$B$9,IF(N714=3,Assumptions!$B$10,0)))</f>
        <v>3</v>
      </c>
      <c r="P714" s="6" t="s">
        <v>30</v>
      </c>
      <c r="Q714" s="6" t="s">
        <v>30</v>
      </c>
      <c r="R714" s="11" t="s">
        <v>30</v>
      </c>
      <c r="S714" s="6" t="s">
        <v>30</v>
      </c>
      <c r="T714" s="11" t="s">
        <v>30</v>
      </c>
      <c r="U714" s="6" t="s">
        <v>30</v>
      </c>
      <c r="V714" s="6" t="s">
        <v>30</v>
      </c>
      <c r="W714" s="6" t="s">
        <v>30</v>
      </c>
      <c r="X714" s="2" t="s">
        <v>30</v>
      </c>
      <c r="Y714" s="6" t="str">
        <f aca="false">IF(AND(X714="processed",ISNUMBER(S714)),S714*O714,"")</f>
        <v/>
      </c>
      <c r="Z714" s="6" t="n">
        <f aca="false">IF(ISNUMBER(K714),K714*O714,0)</f>
        <v>9</v>
      </c>
      <c r="AA714" s="2" t="s">
        <v>31</v>
      </c>
      <c r="AB714" s="6" t="n">
        <v>1910</v>
      </c>
      <c r="AC714" s="6" t="n">
        <v>1230</v>
      </c>
      <c r="AD714" s="6" t="n">
        <v>0</v>
      </c>
      <c r="AE714" s="6" t="n">
        <v>1346.18603515625</v>
      </c>
      <c r="AF714" s="8" t="n">
        <v>1063.377286261</v>
      </c>
      <c r="AG714" s="11" t="n">
        <v>-0.01240638912</v>
      </c>
      <c r="AH714" s="12" t="n">
        <v>0.256089981984641</v>
      </c>
      <c r="AI714" s="2" t="s">
        <v>317</v>
      </c>
      <c r="AJ714" s="2" t="s">
        <v>1691</v>
      </c>
      <c r="AK714" s="2" t="s">
        <v>1691</v>
      </c>
    </row>
    <row r="715" customFormat="false" ht="15" hidden="false" customHeight="false" outlineLevel="0" collapsed="false">
      <c r="A715" s="9"/>
      <c r="B715" s="2" t="s">
        <v>1692</v>
      </c>
      <c r="C715" s="2"/>
      <c r="D715" s="2" t="s">
        <v>1190</v>
      </c>
      <c r="E715" s="2" t="s">
        <v>1191</v>
      </c>
      <c r="F715" s="2"/>
      <c r="G715" s="2" t="s">
        <v>329</v>
      </c>
      <c r="H715" s="8" t="n">
        <v>1186.86868686867</v>
      </c>
      <c r="I715" s="2" t="s">
        <v>316</v>
      </c>
      <c r="J715" s="8" t="n">
        <v>548333.333333333</v>
      </c>
      <c r="K715" s="6" t="n">
        <v>3</v>
      </c>
      <c r="L715" s="2" t="s">
        <v>1664</v>
      </c>
      <c r="M715" s="10" t="b">
        <f aca="false">FALSE()</f>
        <v>0</v>
      </c>
      <c r="N715" s="9" t="n">
        <f aca="false">IF(H715="","",IF(H715&gt;=Assumptions!$B$5,1,IF(H715&gt;=Assumptions!$B$6,2,IF(H715&gt;=Assumptions!$B$7,3,""))))</f>
        <v>1</v>
      </c>
      <c r="O715" s="9" t="n">
        <f aca="false">IF(N715=1,Assumptions!$B$8,IF(N715=2,Assumptions!$B$9,IF(N715=3,Assumptions!$B$10,0)))</f>
        <v>3</v>
      </c>
      <c r="P715" s="6" t="s">
        <v>30</v>
      </c>
      <c r="Q715" s="6" t="s">
        <v>30</v>
      </c>
      <c r="R715" s="11" t="s">
        <v>30</v>
      </c>
      <c r="S715" s="6" t="s">
        <v>30</v>
      </c>
      <c r="T715" s="11" t="s">
        <v>30</v>
      </c>
      <c r="U715" s="6" t="s">
        <v>30</v>
      </c>
      <c r="V715" s="6" t="s">
        <v>30</v>
      </c>
      <c r="W715" s="6" t="s">
        <v>30</v>
      </c>
      <c r="X715" s="2" t="s">
        <v>30</v>
      </c>
      <c r="Y715" s="6" t="str">
        <f aca="false">IF(AND(X715="processed",ISNUMBER(S715)),S715*O715,"")</f>
        <v/>
      </c>
      <c r="Z715" s="6" t="n">
        <f aca="false">IF(ISNUMBER(K715),K715*O715,0)</f>
        <v>9</v>
      </c>
      <c r="AA715" s="2" t="s">
        <v>31</v>
      </c>
      <c r="AB715" s="6"/>
      <c r="AC715" s="6"/>
      <c r="AD715" s="6"/>
      <c r="AE715" s="6"/>
      <c r="AF715" s="8" t="n">
        <v>1190.476190476</v>
      </c>
      <c r="AG715" s="11"/>
      <c r="AH715" s="12"/>
      <c r="AI715" s="2"/>
      <c r="AJ715" s="2"/>
      <c r="AK715" s="2"/>
    </row>
    <row r="716" customFormat="false" ht="15" hidden="false" customHeight="false" outlineLevel="0" collapsed="false">
      <c r="A716" s="9"/>
      <c r="B716" s="2" t="s">
        <v>1693</v>
      </c>
      <c r="C716" s="2"/>
      <c r="D716" s="2" t="s">
        <v>1190</v>
      </c>
      <c r="E716" s="2" t="s">
        <v>1191</v>
      </c>
      <c r="F716" s="2"/>
      <c r="G716" s="2" t="s">
        <v>329</v>
      </c>
      <c r="H716" s="8" t="n">
        <v>735.147715157667</v>
      </c>
      <c r="I716" s="2" t="s">
        <v>316</v>
      </c>
      <c r="J716" s="8" t="n">
        <v>1010000</v>
      </c>
      <c r="K716" s="6" t="n">
        <v>3</v>
      </c>
      <c r="L716" s="2" t="s">
        <v>1664</v>
      </c>
      <c r="M716" s="10" t="b">
        <f aca="false">FALSE()</f>
        <v>0</v>
      </c>
      <c r="N716" s="9" t="n">
        <f aca="false">IF(H716="","",IF(H716&gt;=Assumptions!$B$5,1,IF(H716&gt;=Assumptions!$B$6,2,IF(H716&gt;=Assumptions!$B$7,3,""))))</f>
        <v>1</v>
      </c>
      <c r="O716" s="9" t="n">
        <f aca="false">IF(N716=1,Assumptions!$B$8,IF(N716=2,Assumptions!$B$9,IF(N716=3,Assumptions!$B$10,0)))</f>
        <v>3</v>
      </c>
      <c r="P716" s="6" t="s">
        <v>30</v>
      </c>
      <c r="Q716" s="6" t="s">
        <v>30</v>
      </c>
      <c r="R716" s="11" t="s">
        <v>30</v>
      </c>
      <c r="S716" s="6" t="s">
        <v>30</v>
      </c>
      <c r="T716" s="11" t="s">
        <v>30</v>
      </c>
      <c r="U716" s="6" t="s">
        <v>30</v>
      </c>
      <c r="V716" s="6" t="s">
        <v>30</v>
      </c>
      <c r="W716" s="6" t="s">
        <v>30</v>
      </c>
      <c r="X716" s="2" t="s">
        <v>30</v>
      </c>
      <c r="Y716" s="6" t="str">
        <f aca="false">IF(AND(X716="processed",ISNUMBER(S716)),S716*O716,"")</f>
        <v/>
      </c>
      <c r="Z716" s="6" t="n">
        <f aca="false">IF(ISNUMBER(K716),K716*O716,0)</f>
        <v>9</v>
      </c>
      <c r="AA716" s="2" t="s">
        <v>31</v>
      </c>
      <c r="AB716" s="6"/>
      <c r="AC716" s="6"/>
      <c r="AD716" s="6"/>
      <c r="AE716" s="6"/>
      <c r="AF716" s="8" t="n">
        <v>882.687927107</v>
      </c>
      <c r="AG716" s="11"/>
      <c r="AH716" s="12"/>
      <c r="AI716" s="2"/>
      <c r="AJ716" s="2"/>
      <c r="AK716" s="2"/>
    </row>
    <row r="717" customFormat="false" ht="15" hidden="false" customHeight="false" outlineLevel="0" collapsed="false">
      <c r="A717" s="9"/>
      <c r="B717" s="2" t="s">
        <v>1694</v>
      </c>
      <c r="C717" s="2"/>
      <c r="D717" s="2" t="s">
        <v>1190</v>
      </c>
      <c r="E717" s="2" t="s">
        <v>1191</v>
      </c>
      <c r="F717" s="2"/>
      <c r="G717" s="2" t="s">
        <v>322</v>
      </c>
      <c r="H717" s="8" t="n">
        <v>992.08165606</v>
      </c>
      <c r="I717" s="2" t="s">
        <v>316</v>
      </c>
      <c r="J717" s="8" t="n">
        <v>2636703.33333333</v>
      </c>
      <c r="K717" s="6" t="n">
        <v>3</v>
      </c>
      <c r="L717" s="2" t="s">
        <v>1664</v>
      </c>
      <c r="M717" s="10" t="b">
        <f aca="false">FALSE()</f>
        <v>0</v>
      </c>
      <c r="N717" s="9" t="n">
        <f aca="false">IF(H717="","",IF(H717&gt;=Assumptions!$B$5,1,IF(H717&gt;=Assumptions!$B$6,2,IF(H717&gt;=Assumptions!$B$7,3,""))))</f>
        <v>1</v>
      </c>
      <c r="O717" s="9" t="n">
        <f aca="false">IF(N717=1,Assumptions!$B$8,IF(N717=2,Assumptions!$B$9,IF(N717=3,Assumptions!$B$10,0)))</f>
        <v>3</v>
      </c>
      <c r="P717" s="6" t="s">
        <v>30</v>
      </c>
      <c r="Q717" s="6" t="s">
        <v>30</v>
      </c>
      <c r="R717" s="11" t="s">
        <v>30</v>
      </c>
      <c r="S717" s="6" t="s">
        <v>30</v>
      </c>
      <c r="T717" s="11" t="s">
        <v>30</v>
      </c>
      <c r="U717" s="6" t="s">
        <v>30</v>
      </c>
      <c r="V717" s="6" t="s">
        <v>30</v>
      </c>
      <c r="W717" s="6" t="s">
        <v>30</v>
      </c>
      <c r="X717" s="2" t="s">
        <v>30</v>
      </c>
      <c r="Y717" s="6" t="str">
        <f aca="false">IF(AND(X717="processed",ISNUMBER(S717)),S717*O717,"")</f>
        <v/>
      </c>
      <c r="Z717" s="6" t="n">
        <f aca="false">IF(ISNUMBER(K717),K717*O717,0)</f>
        <v>9</v>
      </c>
      <c r="AA717" s="2" t="s">
        <v>31</v>
      </c>
      <c r="AB717" s="6"/>
      <c r="AC717" s="6"/>
      <c r="AD717" s="6"/>
      <c r="AE717" s="6"/>
      <c r="AF717" s="8" t="n">
        <v>1043.913043478</v>
      </c>
      <c r="AG717" s="11"/>
      <c r="AH717" s="12"/>
      <c r="AI717" s="2"/>
      <c r="AJ717" s="2"/>
      <c r="AK717" s="2"/>
    </row>
    <row r="718" customFormat="false" ht="15" hidden="false" customHeight="false" outlineLevel="0" collapsed="false">
      <c r="A718" s="9" t="n">
        <v>696</v>
      </c>
      <c r="B718" s="2" t="s">
        <v>1695</v>
      </c>
      <c r="C718" s="2" t="s">
        <v>44</v>
      </c>
      <c r="D718" s="2" t="s">
        <v>44</v>
      </c>
      <c r="E718" s="2" t="s">
        <v>44</v>
      </c>
      <c r="F718" s="2" t="s">
        <v>1696</v>
      </c>
      <c r="G718" s="2" t="s">
        <v>322</v>
      </c>
      <c r="H718" s="8" t="n">
        <v>736.413350283667</v>
      </c>
      <c r="I718" s="2" t="s">
        <v>316</v>
      </c>
      <c r="J718" s="8" t="n">
        <v>1150000</v>
      </c>
      <c r="K718" s="6" t="n">
        <v>3</v>
      </c>
      <c r="L718" s="2" t="s">
        <v>1664</v>
      </c>
      <c r="M718" s="10" t="b">
        <f aca="false">TRUE()</f>
        <v>1</v>
      </c>
      <c r="N718" s="9" t="n">
        <f aca="false">IF(H718="","",IF(H718&gt;=Assumptions!$B$5,1,IF(H718&gt;=Assumptions!$B$6,2,IF(H718&gt;=Assumptions!$B$7,3,""))))</f>
        <v>1</v>
      </c>
      <c r="O718" s="9" t="n">
        <f aca="false">IF(N718=1,Assumptions!$B$8,IF(N718=2,Assumptions!$B$9,IF(N718=3,Assumptions!$B$10,0)))</f>
        <v>3</v>
      </c>
      <c r="P718" s="6" t="s">
        <v>30</v>
      </c>
      <c r="Q718" s="6" t="s">
        <v>30</v>
      </c>
      <c r="R718" s="11" t="s">
        <v>30</v>
      </c>
      <c r="S718" s="6" t="s">
        <v>30</v>
      </c>
      <c r="T718" s="11" t="s">
        <v>30</v>
      </c>
      <c r="U718" s="6" t="s">
        <v>30</v>
      </c>
      <c r="V718" s="6" t="s">
        <v>30</v>
      </c>
      <c r="W718" s="6" t="s">
        <v>30</v>
      </c>
      <c r="X718" s="2" t="s">
        <v>30</v>
      </c>
      <c r="Y718" s="6" t="str">
        <f aca="false">IF(AND(X718="processed",ISNUMBER(S718)),S718*O718,"")</f>
        <v/>
      </c>
      <c r="Z718" s="6" t="n">
        <f aca="false">IF(ISNUMBER(K718),K718*O718,0)</f>
        <v>9</v>
      </c>
      <c r="AA718" s="2" t="s">
        <v>31</v>
      </c>
      <c r="AB718" s="6" t="n">
        <v>2864</v>
      </c>
      <c r="AC718" s="6" t="n">
        <v>1660</v>
      </c>
      <c r="AD718" s="6" t="n">
        <v>188</v>
      </c>
      <c r="AE718" s="6" t="n">
        <v>2170.58740234375</v>
      </c>
      <c r="AF718" s="8" t="n">
        <v>779.177718833</v>
      </c>
      <c r="AG718" s="11" t="n">
        <v>-0.2901422299</v>
      </c>
      <c r="AH718" s="12" t="n">
        <v>0.957872793985449</v>
      </c>
      <c r="AI718" s="2" t="s">
        <v>317</v>
      </c>
      <c r="AJ718" s="2" t="s">
        <v>44</v>
      </c>
      <c r="AK718" s="2" t="s">
        <v>44</v>
      </c>
    </row>
    <row r="719" customFormat="false" ht="15" hidden="false" customHeight="false" outlineLevel="0" collapsed="false">
      <c r="A719" s="9"/>
      <c r="B719" s="2" t="s">
        <v>1697</v>
      </c>
      <c r="C719" s="2"/>
      <c r="D719" s="2" t="s">
        <v>1190</v>
      </c>
      <c r="E719" s="2" t="s">
        <v>1191</v>
      </c>
      <c r="F719" s="2"/>
      <c r="G719" s="2" t="s">
        <v>458</v>
      </c>
      <c r="H719" s="8" t="n">
        <v>772.654729466667</v>
      </c>
      <c r="I719" s="2" t="s">
        <v>316</v>
      </c>
      <c r="J719" s="8" t="n">
        <v>1286666.66666667</v>
      </c>
      <c r="K719" s="6" t="n">
        <v>3</v>
      </c>
      <c r="L719" s="2" t="s">
        <v>1664</v>
      </c>
      <c r="M719" s="10" t="b">
        <f aca="false">FALSE()</f>
        <v>0</v>
      </c>
      <c r="N719" s="9" t="n">
        <f aca="false">IF(H719="","",IF(H719&gt;=Assumptions!$B$5,1,IF(H719&gt;=Assumptions!$B$6,2,IF(H719&gt;=Assumptions!$B$7,3,""))))</f>
        <v>1</v>
      </c>
      <c r="O719" s="9" t="n">
        <f aca="false">IF(N719=1,Assumptions!$B$8,IF(N719=2,Assumptions!$B$9,IF(N719=3,Assumptions!$B$10,0)))</f>
        <v>3</v>
      </c>
      <c r="P719" s="6" t="s">
        <v>30</v>
      </c>
      <c r="Q719" s="6" t="s">
        <v>30</v>
      </c>
      <c r="R719" s="11" t="s">
        <v>30</v>
      </c>
      <c r="S719" s="6" t="s">
        <v>30</v>
      </c>
      <c r="T719" s="11" t="s">
        <v>30</v>
      </c>
      <c r="U719" s="6" t="s">
        <v>30</v>
      </c>
      <c r="V719" s="6" t="s">
        <v>30</v>
      </c>
      <c r="W719" s="6" t="s">
        <v>30</v>
      </c>
      <c r="X719" s="2" t="s">
        <v>30</v>
      </c>
      <c r="Y719" s="6" t="str">
        <f aca="false">IF(AND(X719="processed",ISNUMBER(S719)),S719*O719,"")</f>
        <v/>
      </c>
      <c r="Z719" s="6" t="n">
        <f aca="false">IF(ISNUMBER(K719),K719*O719,0)</f>
        <v>9</v>
      </c>
      <c r="AA719" s="2" t="s">
        <v>31</v>
      </c>
      <c r="AB719" s="6"/>
      <c r="AC719" s="6"/>
      <c r="AD719" s="6"/>
      <c r="AE719" s="6"/>
      <c r="AF719" s="8" t="n">
        <v>714.285714286</v>
      </c>
      <c r="AG719" s="11" t="n">
        <v>-0.5099753695</v>
      </c>
      <c r="AH719" s="12"/>
      <c r="AI719" s="2"/>
      <c r="AJ719" s="2"/>
      <c r="AK719" s="2"/>
    </row>
    <row r="720" customFormat="false" ht="15" hidden="false" customHeight="false" outlineLevel="0" collapsed="false">
      <c r="A720" s="9" t="n">
        <v>697</v>
      </c>
      <c r="B720" s="2" t="s">
        <v>1698</v>
      </c>
      <c r="C720" s="2" t="s">
        <v>1699</v>
      </c>
      <c r="D720" s="2" t="s">
        <v>27</v>
      </c>
      <c r="E720" s="2" t="s">
        <v>28</v>
      </c>
      <c r="F720" s="2"/>
      <c r="G720" s="2" t="s">
        <v>315</v>
      </c>
      <c r="H720" s="8" t="n">
        <v>1050.371586429</v>
      </c>
      <c r="I720" s="2" t="s">
        <v>316</v>
      </c>
      <c r="J720" s="8" t="n">
        <v>1890000</v>
      </c>
      <c r="K720" s="6" t="n">
        <v>3</v>
      </c>
      <c r="L720" s="2" t="s">
        <v>1664</v>
      </c>
      <c r="M720" s="10" t="b">
        <f aca="false">TRUE()</f>
        <v>1</v>
      </c>
      <c r="N720" s="9" t="n">
        <f aca="false">IF(H720="","",IF(H720&gt;=Assumptions!$B$5,1,IF(H720&gt;=Assumptions!$B$6,2,IF(H720&gt;=Assumptions!$B$7,3,""))))</f>
        <v>1</v>
      </c>
      <c r="O720" s="9" t="n">
        <f aca="false">IF(N720=1,Assumptions!$B$8,IF(N720=2,Assumptions!$B$9,IF(N720=3,Assumptions!$B$10,0)))</f>
        <v>3</v>
      </c>
      <c r="P720" s="6" t="s">
        <v>30</v>
      </c>
      <c r="Q720" s="6" t="s">
        <v>30</v>
      </c>
      <c r="R720" s="11" t="s">
        <v>30</v>
      </c>
      <c r="S720" s="6" t="s">
        <v>30</v>
      </c>
      <c r="T720" s="11" t="s">
        <v>30</v>
      </c>
      <c r="U720" s="6" t="s">
        <v>30</v>
      </c>
      <c r="V720" s="6" t="s">
        <v>30</v>
      </c>
      <c r="W720" s="6" t="s">
        <v>30</v>
      </c>
      <c r="X720" s="2" t="s">
        <v>30</v>
      </c>
      <c r="Y720" s="6" t="str">
        <f aca="false">IF(AND(X720="processed",ISNUMBER(S720)),S720*O720,"")</f>
        <v/>
      </c>
      <c r="Z720" s="6" t="n">
        <f aca="false">IF(ISNUMBER(K720),K720*O720,0)</f>
        <v>9</v>
      </c>
      <c r="AA720" s="2" t="s">
        <v>31</v>
      </c>
      <c r="AB720" s="6" t="n">
        <v>3911</v>
      </c>
      <c r="AC720" s="6" t="n">
        <v>2462</v>
      </c>
      <c r="AD720" s="6" t="n">
        <v>46</v>
      </c>
      <c r="AE720" s="6" t="n">
        <v>3130.53442382813</v>
      </c>
      <c r="AF720" s="8" t="n">
        <v>1018.249282903</v>
      </c>
      <c r="AG720" s="11" t="n">
        <v>1.108094219</v>
      </c>
      <c r="AH720" s="12" t="n">
        <v>1</v>
      </c>
      <c r="AI720" s="2" t="s">
        <v>317</v>
      </c>
      <c r="AJ720" s="2" t="s">
        <v>1699</v>
      </c>
      <c r="AK720" s="2" t="s">
        <v>1699</v>
      </c>
    </row>
    <row r="721" customFormat="false" ht="15" hidden="false" customHeight="false" outlineLevel="0" collapsed="false">
      <c r="A721" s="9"/>
      <c r="B721" s="2" t="s">
        <v>1700</v>
      </c>
      <c r="C721" s="2"/>
      <c r="D721" s="2" t="s">
        <v>1190</v>
      </c>
      <c r="E721" s="2" t="s">
        <v>1191</v>
      </c>
      <c r="F721" s="2"/>
      <c r="G721" s="2" t="s">
        <v>315</v>
      </c>
      <c r="H721" s="8" t="n">
        <v>805.051302289</v>
      </c>
      <c r="I721" s="2" t="s">
        <v>316</v>
      </c>
      <c r="J721" s="8" t="n">
        <v>1020000</v>
      </c>
      <c r="K721" s="6" t="n">
        <v>3</v>
      </c>
      <c r="L721" s="2" t="s">
        <v>1664</v>
      </c>
      <c r="M721" s="10" t="b">
        <f aca="false">FALSE()</f>
        <v>0</v>
      </c>
      <c r="N721" s="9" t="n">
        <f aca="false">IF(H721="","",IF(H721&gt;=Assumptions!$B$5,1,IF(H721&gt;=Assumptions!$B$6,2,IF(H721&gt;=Assumptions!$B$7,3,""))))</f>
        <v>1</v>
      </c>
      <c r="O721" s="9" t="n">
        <f aca="false">IF(N721=1,Assumptions!$B$8,IF(N721=2,Assumptions!$B$9,IF(N721=3,Assumptions!$B$10,0)))</f>
        <v>3</v>
      </c>
      <c r="P721" s="6" t="s">
        <v>30</v>
      </c>
      <c r="Q721" s="6" t="s">
        <v>30</v>
      </c>
      <c r="R721" s="11" t="s">
        <v>30</v>
      </c>
      <c r="S721" s="6" t="s">
        <v>30</v>
      </c>
      <c r="T721" s="11" t="s">
        <v>30</v>
      </c>
      <c r="U721" s="6" t="s">
        <v>30</v>
      </c>
      <c r="V721" s="6" t="s">
        <v>30</v>
      </c>
      <c r="W721" s="6" t="s">
        <v>30</v>
      </c>
      <c r="X721" s="2" t="s">
        <v>30</v>
      </c>
      <c r="Y721" s="6" t="str">
        <f aca="false">IF(AND(X721="processed",ISNUMBER(S721)),S721*O721,"")</f>
        <v/>
      </c>
      <c r="Z721" s="6" t="n">
        <f aca="false">IF(ISNUMBER(K721),K721*O721,0)</f>
        <v>9</v>
      </c>
      <c r="AA721" s="2" t="s">
        <v>31</v>
      </c>
      <c r="AB721" s="6"/>
      <c r="AC721" s="6"/>
      <c r="AD721" s="6"/>
      <c r="AE721" s="6"/>
      <c r="AF721" s="8" t="n">
        <v>805.051302289</v>
      </c>
      <c r="AG721" s="11" t="n">
        <v>0.1837474349</v>
      </c>
      <c r="AH721" s="12"/>
      <c r="AI721" s="2"/>
      <c r="AJ721" s="2"/>
      <c r="AK721" s="2"/>
    </row>
    <row r="722" customFormat="false" ht="15" hidden="false" customHeight="false" outlineLevel="0" collapsed="false">
      <c r="A722" s="9"/>
      <c r="B722" s="2" t="s">
        <v>1701</v>
      </c>
      <c r="C722" s="2"/>
      <c r="D722" s="2" t="s">
        <v>1190</v>
      </c>
      <c r="E722" s="2" t="s">
        <v>1191</v>
      </c>
      <c r="F722" s="2"/>
      <c r="G722" s="2" t="s">
        <v>425</v>
      </c>
      <c r="H722" s="8" t="n">
        <v>1806.967793042</v>
      </c>
      <c r="I722" s="2" t="s">
        <v>316</v>
      </c>
      <c r="J722" s="8" t="n">
        <v>3862333.33333333</v>
      </c>
      <c r="K722" s="6" t="n">
        <v>3</v>
      </c>
      <c r="L722" s="2" t="s">
        <v>1664</v>
      </c>
      <c r="M722" s="10" t="b">
        <f aca="false">FALSE()</f>
        <v>0</v>
      </c>
      <c r="N722" s="9" t="n">
        <f aca="false">IF(H722="","",IF(H722&gt;=Assumptions!$B$5,1,IF(H722&gt;=Assumptions!$B$6,2,IF(H722&gt;=Assumptions!$B$7,3,""))))</f>
        <v>1</v>
      </c>
      <c r="O722" s="9" t="n">
        <f aca="false">IF(N722=1,Assumptions!$B$8,IF(N722=2,Assumptions!$B$9,IF(N722=3,Assumptions!$B$10,0)))</f>
        <v>3</v>
      </c>
      <c r="P722" s="6" t="s">
        <v>30</v>
      </c>
      <c r="Q722" s="6" t="s">
        <v>30</v>
      </c>
      <c r="R722" s="11" t="s">
        <v>30</v>
      </c>
      <c r="S722" s="6" t="s">
        <v>30</v>
      </c>
      <c r="T722" s="11" t="s">
        <v>30</v>
      </c>
      <c r="U722" s="6" t="s">
        <v>30</v>
      </c>
      <c r="V722" s="6" t="s">
        <v>30</v>
      </c>
      <c r="W722" s="6" t="s">
        <v>30</v>
      </c>
      <c r="X722" s="2" t="s">
        <v>30</v>
      </c>
      <c r="Y722" s="6" t="str">
        <f aca="false">IF(AND(X722="processed",ISNUMBER(S722)),S722*O722,"")</f>
        <v/>
      </c>
      <c r="Z722" s="6" t="n">
        <f aca="false">IF(ISNUMBER(K722),K722*O722,0)</f>
        <v>9</v>
      </c>
      <c r="AA722" s="2" t="s">
        <v>31</v>
      </c>
      <c r="AB722" s="6"/>
      <c r="AC722" s="6"/>
      <c r="AD722" s="6"/>
      <c r="AE722" s="6"/>
      <c r="AF722" s="8" t="n">
        <v>2235.772357724</v>
      </c>
      <c r="AG722" s="11"/>
      <c r="AH722" s="12"/>
      <c r="AI722" s="2"/>
      <c r="AJ722" s="2"/>
      <c r="AK722" s="2"/>
    </row>
    <row r="723" customFormat="false" ht="15" hidden="false" customHeight="false" outlineLevel="0" collapsed="false">
      <c r="A723" s="9" t="n">
        <v>698</v>
      </c>
      <c r="B723" s="2" t="s">
        <v>1702</v>
      </c>
      <c r="C723" s="2" t="s">
        <v>1703</v>
      </c>
      <c r="D723" s="2" t="s">
        <v>423</v>
      </c>
      <c r="E723" s="2" t="s">
        <v>51</v>
      </c>
      <c r="F723" s="2"/>
      <c r="G723" s="2" t="s">
        <v>425</v>
      </c>
      <c r="H723" s="8" t="n">
        <v>1525.46343751467</v>
      </c>
      <c r="I723" s="2" t="s">
        <v>316</v>
      </c>
      <c r="J723" s="8" t="n">
        <v>2180000</v>
      </c>
      <c r="K723" s="6" t="n">
        <v>3</v>
      </c>
      <c r="L723" s="2" t="s">
        <v>1664</v>
      </c>
      <c r="M723" s="10" t="b">
        <f aca="false">TRUE()</f>
        <v>1</v>
      </c>
      <c r="N723" s="9" t="n">
        <f aca="false">IF(H723="","",IF(H723&gt;=Assumptions!$B$5,1,IF(H723&gt;=Assumptions!$B$6,2,IF(H723&gt;=Assumptions!$B$7,3,""))))</f>
        <v>1</v>
      </c>
      <c r="O723" s="9" t="n">
        <f aca="false">IF(N723=1,Assumptions!$B$8,IF(N723=2,Assumptions!$B$9,IF(N723=3,Assumptions!$B$10,0)))</f>
        <v>3</v>
      </c>
      <c r="P723" s="6" t="s">
        <v>30</v>
      </c>
      <c r="Q723" s="6" t="s">
        <v>30</v>
      </c>
      <c r="R723" s="11" t="s">
        <v>30</v>
      </c>
      <c r="S723" s="6" t="s">
        <v>30</v>
      </c>
      <c r="T723" s="11" t="s">
        <v>30</v>
      </c>
      <c r="U723" s="6" t="s">
        <v>30</v>
      </c>
      <c r="V723" s="6" t="s">
        <v>30</v>
      </c>
      <c r="W723" s="6" t="s">
        <v>30</v>
      </c>
      <c r="X723" s="2" t="s">
        <v>30</v>
      </c>
      <c r="Y723" s="6" t="str">
        <f aca="false">IF(AND(X723="processed",ISNUMBER(S723)),S723*O723,"")</f>
        <v/>
      </c>
      <c r="Z723" s="6" t="n">
        <f aca="false">IF(ISNUMBER(K723),K723*O723,0)</f>
        <v>9</v>
      </c>
      <c r="AA723" s="2" t="s">
        <v>31</v>
      </c>
      <c r="AB723" s="6" t="n">
        <v>496</v>
      </c>
      <c r="AC723" s="6" t="n">
        <v>413</v>
      </c>
      <c r="AD723" s="6" t="n">
        <v>31</v>
      </c>
      <c r="AE723" s="6" t="n">
        <v>1736.89624023438</v>
      </c>
      <c r="AF723" s="8" t="n">
        <v>1698.113207547</v>
      </c>
      <c r="AG723" s="11"/>
      <c r="AH723" s="12" t="n">
        <v>0.980174514157043</v>
      </c>
      <c r="AI723" s="2" t="s">
        <v>317</v>
      </c>
      <c r="AJ723" s="2" t="s">
        <v>1703</v>
      </c>
      <c r="AK723" s="2" t="s">
        <v>1703</v>
      </c>
    </row>
    <row r="724" customFormat="false" ht="15" hidden="false" customHeight="false" outlineLevel="0" collapsed="false">
      <c r="A724" s="9" t="n">
        <v>699</v>
      </c>
      <c r="B724" s="2" t="s">
        <v>1704</v>
      </c>
      <c r="C724" s="2" t="s">
        <v>1705</v>
      </c>
      <c r="D724" s="2" t="s">
        <v>595</v>
      </c>
      <c r="E724" s="2" t="s">
        <v>51</v>
      </c>
      <c r="F724" s="2"/>
      <c r="G724" s="2" t="s">
        <v>597</v>
      </c>
      <c r="H724" s="8" t="n">
        <v>1065.004088307</v>
      </c>
      <c r="I724" s="2" t="s">
        <v>316</v>
      </c>
      <c r="J724" s="8" t="n">
        <v>1500000</v>
      </c>
      <c r="K724" s="6" t="n">
        <v>3</v>
      </c>
      <c r="L724" s="2" t="s">
        <v>1664</v>
      </c>
      <c r="M724" s="10" t="b">
        <f aca="false">TRUE()</f>
        <v>1</v>
      </c>
      <c r="N724" s="9" t="n">
        <f aca="false">IF(H724="","",IF(H724&gt;=Assumptions!$B$5,1,IF(H724&gt;=Assumptions!$B$6,2,IF(H724&gt;=Assumptions!$B$7,3,""))))</f>
        <v>1</v>
      </c>
      <c r="O724" s="9" t="n">
        <f aca="false">IF(N724=1,Assumptions!$B$8,IF(N724=2,Assumptions!$B$9,IF(N724=3,Assumptions!$B$10,0)))</f>
        <v>3</v>
      </c>
      <c r="P724" s="6" t="s">
        <v>30</v>
      </c>
      <c r="Q724" s="6" t="s">
        <v>30</v>
      </c>
      <c r="R724" s="11" t="s">
        <v>30</v>
      </c>
      <c r="S724" s="6" t="s">
        <v>30</v>
      </c>
      <c r="T724" s="11" t="s">
        <v>30</v>
      </c>
      <c r="U724" s="6" t="s">
        <v>30</v>
      </c>
      <c r="V724" s="6" t="s">
        <v>30</v>
      </c>
      <c r="W724" s="6" t="s">
        <v>30</v>
      </c>
      <c r="X724" s="2" t="s">
        <v>30</v>
      </c>
      <c r="Y724" s="6" t="str">
        <f aca="false">IF(AND(X724="processed",ISNUMBER(S724)),S724*O724,"")</f>
        <v/>
      </c>
      <c r="Z724" s="6" t="n">
        <f aca="false">IF(ISNUMBER(K724),K724*O724,0)</f>
        <v>9</v>
      </c>
      <c r="AA724" s="2" t="s">
        <v>31</v>
      </c>
      <c r="AB724" s="6" t="n">
        <v>1081</v>
      </c>
      <c r="AC724" s="6" t="n">
        <v>922</v>
      </c>
      <c r="AD724" s="6" t="n">
        <v>34</v>
      </c>
      <c r="AE724" s="6" t="n">
        <v>2029.52197265625</v>
      </c>
      <c r="AF724" s="8" t="n">
        <v>1065.004088307</v>
      </c>
      <c r="AG724" s="11" t="n">
        <v>-0.3770548294</v>
      </c>
      <c r="AH724" s="12" t="n">
        <v>0.862129031089256</v>
      </c>
      <c r="AI724" s="2" t="s">
        <v>317</v>
      </c>
      <c r="AJ724" s="2" t="s">
        <v>1705</v>
      </c>
      <c r="AK724" s="2" t="s">
        <v>1705</v>
      </c>
    </row>
    <row r="725" customFormat="false" ht="15" hidden="false" customHeight="false" outlineLevel="0" collapsed="false">
      <c r="A725" s="9" t="n">
        <v>700</v>
      </c>
      <c r="B725" s="2" t="s">
        <v>1706</v>
      </c>
      <c r="C725" s="2" t="s">
        <v>1707</v>
      </c>
      <c r="D725" s="2" t="s">
        <v>95</v>
      </c>
      <c r="E725" s="2" t="s">
        <v>95</v>
      </c>
      <c r="F725" s="2"/>
      <c r="G725" s="2" t="s">
        <v>330</v>
      </c>
      <c r="H725" s="8" t="n">
        <v>777.701687941333</v>
      </c>
      <c r="I725" s="2" t="s">
        <v>316</v>
      </c>
      <c r="J725" s="8" t="n">
        <v>1074333.33333333</v>
      </c>
      <c r="K725" s="6" t="n">
        <v>3</v>
      </c>
      <c r="L725" s="2" t="s">
        <v>1664</v>
      </c>
      <c r="M725" s="10" t="b">
        <f aca="false">TRUE()</f>
        <v>1</v>
      </c>
      <c r="N725" s="9" t="n">
        <f aca="false">IF(H725="","",IF(H725&gt;=Assumptions!$B$5,1,IF(H725&gt;=Assumptions!$B$6,2,IF(H725&gt;=Assumptions!$B$7,3,""))))</f>
        <v>1</v>
      </c>
      <c r="O725" s="9" t="n">
        <f aca="false">IF(N725=1,Assumptions!$B$8,IF(N725=2,Assumptions!$B$9,IF(N725=3,Assumptions!$B$10,0)))</f>
        <v>3</v>
      </c>
      <c r="P725" s="6" t="s">
        <v>30</v>
      </c>
      <c r="Q725" s="6" t="s">
        <v>30</v>
      </c>
      <c r="R725" s="11" t="s">
        <v>30</v>
      </c>
      <c r="S725" s="6" t="s">
        <v>30</v>
      </c>
      <c r="T725" s="11" t="s">
        <v>30</v>
      </c>
      <c r="U725" s="6" t="s">
        <v>30</v>
      </c>
      <c r="V725" s="6" t="s">
        <v>30</v>
      </c>
      <c r="W725" s="6" t="s">
        <v>30</v>
      </c>
      <c r="X725" s="2" t="s">
        <v>30</v>
      </c>
      <c r="Y725" s="6" t="str">
        <f aca="false">IF(AND(X725="processed",ISNUMBER(S725)),S725*O725,"")</f>
        <v/>
      </c>
      <c r="Z725" s="6" t="n">
        <f aca="false">IF(ISNUMBER(K725),K725*O725,0)</f>
        <v>9</v>
      </c>
      <c r="AA725" s="2" t="s">
        <v>31</v>
      </c>
      <c r="AB725" s="6" t="n">
        <v>645</v>
      </c>
      <c r="AC725" s="6" t="n">
        <v>391</v>
      </c>
      <c r="AD725" s="6" t="n">
        <v>17</v>
      </c>
      <c r="AE725" s="6" t="n">
        <v>1268.0634765625</v>
      </c>
      <c r="AF725" s="8" t="n">
        <v>530.3381195</v>
      </c>
      <c r="AG725" s="11" t="n">
        <v>2.503098281</v>
      </c>
      <c r="AH725" s="12" t="n">
        <v>1</v>
      </c>
      <c r="AI725" s="2" t="s">
        <v>317</v>
      </c>
      <c r="AJ725" s="2" t="s">
        <v>1707</v>
      </c>
      <c r="AK725" s="2" t="s">
        <v>1707</v>
      </c>
    </row>
    <row r="726" customFormat="false" ht="15" hidden="false" customHeight="false" outlineLevel="0" collapsed="false">
      <c r="A726" s="9" t="n">
        <v>701</v>
      </c>
      <c r="B726" s="2" t="s">
        <v>1708</v>
      </c>
      <c r="C726" s="2" t="s">
        <v>1523</v>
      </c>
      <c r="D726" s="2" t="s">
        <v>95</v>
      </c>
      <c r="E726" s="2" t="s">
        <v>95</v>
      </c>
      <c r="F726" s="2"/>
      <c r="G726" s="2" t="s">
        <v>330</v>
      </c>
      <c r="H726" s="8" t="n">
        <v>1856.27142138267</v>
      </c>
      <c r="I726" s="2" t="s">
        <v>316</v>
      </c>
      <c r="J726" s="8" t="n">
        <v>2475000</v>
      </c>
      <c r="K726" s="6" t="n">
        <v>3</v>
      </c>
      <c r="L726" s="2" t="s">
        <v>1664</v>
      </c>
      <c r="M726" s="10" t="b">
        <f aca="false">TRUE()</f>
        <v>1</v>
      </c>
      <c r="N726" s="9" t="n">
        <f aca="false">IF(H726="","",IF(H726&gt;=Assumptions!$B$5,1,IF(H726&gt;=Assumptions!$B$6,2,IF(H726&gt;=Assumptions!$B$7,3,""))))</f>
        <v>1</v>
      </c>
      <c r="O726" s="9" t="n">
        <f aca="false">IF(N726=1,Assumptions!$B$8,IF(N726=2,Assumptions!$B$9,IF(N726=3,Assumptions!$B$10,0)))</f>
        <v>3</v>
      </c>
      <c r="P726" s="6" t="s">
        <v>30</v>
      </c>
      <c r="Q726" s="6" t="s">
        <v>30</v>
      </c>
      <c r="R726" s="11" t="s">
        <v>30</v>
      </c>
      <c r="S726" s="6" t="s">
        <v>30</v>
      </c>
      <c r="T726" s="11" t="s">
        <v>30</v>
      </c>
      <c r="U726" s="6" t="s">
        <v>30</v>
      </c>
      <c r="V726" s="6" t="s">
        <v>30</v>
      </c>
      <c r="W726" s="6" t="s">
        <v>30</v>
      </c>
      <c r="X726" s="2" t="s">
        <v>30</v>
      </c>
      <c r="Y726" s="6" t="str">
        <f aca="false">IF(AND(X726="processed",ISNUMBER(S726)),S726*O726,"")</f>
        <v/>
      </c>
      <c r="Z726" s="6" t="n">
        <f aca="false">IF(ISNUMBER(K726),K726*O726,0)</f>
        <v>9</v>
      </c>
      <c r="AA726" s="2" t="s">
        <v>31</v>
      </c>
      <c r="AB726" s="6" t="n">
        <v>562</v>
      </c>
      <c r="AC726" s="6" t="n">
        <v>333</v>
      </c>
      <c r="AD726" s="6" t="n">
        <v>14</v>
      </c>
      <c r="AE726" s="6" t="n">
        <v>1392.55065917969</v>
      </c>
      <c r="AF726" s="8" t="n">
        <v>2138.554216867</v>
      </c>
      <c r="AG726" s="11"/>
      <c r="AH726" s="12" t="n">
        <v>0.860053659212355</v>
      </c>
      <c r="AI726" s="2" t="s">
        <v>350</v>
      </c>
      <c r="AJ726" s="2" t="s">
        <v>1523</v>
      </c>
      <c r="AK726" s="2" t="s">
        <v>1523</v>
      </c>
    </row>
    <row r="727" customFormat="false" ht="15" hidden="false" customHeight="false" outlineLevel="0" collapsed="false">
      <c r="A727" s="9" t="n">
        <v>702</v>
      </c>
      <c r="B727" s="2" t="s">
        <v>1709</v>
      </c>
      <c r="C727" s="2" t="s">
        <v>1710</v>
      </c>
      <c r="D727" s="2" t="s">
        <v>197</v>
      </c>
      <c r="E727" s="2" t="s">
        <v>51</v>
      </c>
      <c r="F727" s="2" t="s">
        <v>1710</v>
      </c>
      <c r="G727" s="2" t="s">
        <v>338</v>
      </c>
      <c r="H727" s="8" t="n">
        <v>588.210425510111</v>
      </c>
      <c r="I727" s="2" t="s">
        <v>316</v>
      </c>
      <c r="J727" s="8" t="n">
        <v>730444.444444445</v>
      </c>
      <c r="K727" s="6" t="n">
        <v>9</v>
      </c>
      <c r="L727" s="2"/>
      <c r="M727" s="10" t="b">
        <f aca="false">TRUE()</f>
        <v>1</v>
      </c>
      <c r="N727" s="9" t="n">
        <f aca="false">IF(H727="","",IF(H727&gt;=Assumptions!$B$5,1,IF(H727&gt;=Assumptions!$B$6,2,IF(H727&gt;=Assumptions!$B$7,3,""))))</f>
        <v>3</v>
      </c>
      <c r="O727" s="9" t="n">
        <f aca="false">IF(N727=1,Assumptions!$B$8,IF(N727=2,Assumptions!$B$9,IF(N727=3,Assumptions!$B$10,0)))</f>
        <v>1</v>
      </c>
      <c r="P727" s="6" t="s">
        <v>30</v>
      </c>
      <c r="Q727" s="6" t="s">
        <v>30</v>
      </c>
      <c r="R727" s="11" t="s">
        <v>30</v>
      </c>
      <c r="S727" s="6" t="s">
        <v>30</v>
      </c>
      <c r="T727" s="11" t="s">
        <v>30</v>
      </c>
      <c r="U727" s="6" t="s">
        <v>30</v>
      </c>
      <c r="V727" s="6" t="s">
        <v>30</v>
      </c>
      <c r="W727" s="6" t="s">
        <v>30</v>
      </c>
      <c r="X727" s="2" t="s">
        <v>30</v>
      </c>
      <c r="Y727" s="6" t="str">
        <f aca="false">IF(AND(X727="processed",ISNUMBER(S727)),S727*O727,"")</f>
        <v/>
      </c>
      <c r="Z727" s="6" t="n">
        <f aca="false">IF(ISNUMBER(K727),K727*O727,0)</f>
        <v>9</v>
      </c>
      <c r="AA727" s="2" t="s">
        <v>31</v>
      </c>
      <c r="AB727" s="6" t="n">
        <v>2071</v>
      </c>
      <c r="AC727" s="6" t="n">
        <v>1618</v>
      </c>
      <c r="AD727" s="6" t="n">
        <v>439</v>
      </c>
      <c r="AE727" s="6" t="n">
        <v>1782.58422851563</v>
      </c>
      <c r="AF727" s="8" t="n">
        <v>649.572649573</v>
      </c>
      <c r="AG727" s="11" t="n">
        <v>0.2840942256</v>
      </c>
      <c r="AH727" s="12" t="n">
        <v>1</v>
      </c>
      <c r="AI727" s="2" t="s">
        <v>317</v>
      </c>
      <c r="AJ727" s="2" t="s">
        <v>1710</v>
      </c>
      <c r="AK727" s="2" t="s">
        <v>960</v>
      </c>
    </row>
    <row r="728" customFormat="false" ht="15" hidden="false" customHeight="false" outlineLevel="0" collapsed="false">
      <c r="A728" s="9" t="n">
        <v>703</v>
      </c>
      <c r="B728" s="2" t="s">
        <v>1711</v>
      </c>
      <c r="C728" s="2" t="s">
        <v>70</v>
      </c>
      <c r="D728" s="2" t="s">
        <v>70</v>
      </c>
      <c r="E728" s="2" t="s">
        <v>71</v>
      </c>
      <c r="F728" s="2" t="s">
        <v>1712</v>
      </c>
      <c r="G728" s="2" t="s">
        <v>329</v>
      </c>
      <c r="H728" s="8" t="n">
        <v>544.567232527125</v>
      </c>
      <c r="I728" s="2" t="s">
        <v>316</v>
      </c>
      <c r="J728" s="8" t="n">
        <v>982312.5</v>
      </c>
      <c r="K728" s="6" t="n">
        <v>8</v>
      </c>
      <c r="L728" s="2"/>
      <c r="M728" s="10" t="b">
        <f aca="false">TRUE()</f>
        <v>1</v>
      </c>
      <c r="N728" s="9" t="n">
        <f aca="false">IF(H728="","",IF(H728&gt;=Assumptions!$B$5,1,IF(H728&gt;=Assumptions!$B$6,2,IF(H728&gt;=Assumptions!$B$7,3,""))))</f>
        <v>3</v>
      </c>
      <c r="O728" s="9" t="n">
        <f aca="false">IF(N728=1,Assumptions!$B$8,IF(N728=2,Assumptions!$B$9,IF(N728=3,Assumptions!$B$10,0)))</f>
        <v>1</v>
      </c>
      <c r="P728" s="6" t="s">
        <v>30</v>
      </c>
      <c r="Q728" s="6" t="s">
        <v>30</v>
      </c>
      <c r="R728" s="11" t="s">
        <v>30</v>
      </c>
      <c r="S728" s="6" t="s">
        <v>30</v>
      </c>
      <c r="T728" s="11" t="s">
        <v>30</v>
      </c>
      <c r="U728" s="6" t="s">
        <v>30</v>
      </c>
      <c r="V728" s="6" t="s">
        <v>30</v>
      </c>
      <c r="W728" s="6" t="s">
        <v>30</v>
      </c>
      <c r="X728" s="2" t="s">
        <v>30</v>
      </c>
      <c r="Y728" s="6" t="str">
        <f aca="false">IF(AND(X728="processed",ISNUMBER(S728)),S728*O728,"")</f>
        <v/>
      </c>
      <c r="Z728" s="6" t="n">
        <f aca="false">IF(ISNUMBER(K728),K728*O728,0)</f>
        <v>8</v>
      </c>
      <c r="AA728" s="2" t="s">
        <v>31</v>
      </c>
      <c r="AB728" s="6" t="n">
        <v>1811</v>
      </c>
      <c r="AC728" s="6" t="n">
        <v>1096</v>
      </c>
      <c r="AD728" s="6" t="n">
        <v>16</v>
      </c>
      <c r="AE728" s="6" t="n">
        <v>2130.07763671875</v>
      </c>
      <c r="AF728" s="8" t="n">
        <v>458.891013384</v>
      </c>
      <c r="AG728" s="11"/>
      <c r="AH728" s="12" t="n">
        <v>1</v>
      </c>
      <c r="AI728" s="2" t="s">
        <v>317</v>
      </c>
      <c r="AJ728" s="2" t="s">
        <v>70</v>
      </c>
      <c r="AK728" s="2" t="s">
        <v>70</v>
      </c>
    </row>
    <row r="729" customFormat="false" ht="15" hidden="false" customHeight="false" outlineLevel="0" collapsed="false">
      <c r="A729" s="9" t="n">
        <v>704</v>
      </c>
      <c r="B729" s="2" t="s">
        <v>1713</v>
      </c>
      <c r="C729" s="2" t="s">
        <v>1714</v>
      </c>
      <c r="D729" s="2" t="s">
        <v>44</v>
      </c>
      <c r="E729" s="2" t="s">
        <v>44</v>
      </c>
      <c r="F729" s="2"/>
      <c r="G729" s="2" t="s">
        <v>322</v>
      </c>
      <c r="H729" s="8" t="n">
        <v>545.639367768625</v>
      </c>
      <c r="I729" s="2" t="s">
        <v>316</v>
      </c>
      <c r="J729" s="8" t="n">
        <v>1227500</v>
      </c>
      <c r="K729" s="6" t="n">
        <v>8</v>
      </c>
      <c r="L729" s="2"/>
      <c r="M729" s="10" t="b">
        <f aca="false">TRUE()</f>
        <v>1</v>
      </c>
      <c r="N729" s="9" t="n">
        <f aca="false">IF(H729="","",IF(H729&gt;=Assumptions!$B$5,1,IF(H729&gt;=Assumptions!$B$6,2,IF(H729&gt;=Assumptions!$B$7,3,""))))</f>
        <v>3</v>
      </c>
      <c r="O729" s="9" t="n">
        <f aca="false">IF(N729=1,Assumptions!$B$8,IF(N729=2,Assumptions!$B$9,IF(N729=3,Assumptions!$B$10,0)))</f>
        <v>1</v>
      </c>
      <c r="P729" s="6" t="s">
        <v>30</v>
      </c>
      <c r="Q729" s="6" t="s">
        <v>30</v>
      </c>
      <c r="R729" s="11" t="s">
        <v>30</v>
      </c>
      <c r="S729" s="6" t="s">
        <v>30</v>
      </c>
      <c r="T729" s="11" t="s">
        <v>30</v>
      </c>
      <c r="U729" s="6" t="s">
        <v>30</v>
      </c>
      <c r="V729" s="6" t="s">
        <v>30</v>
      </c>
      <c r="W729" s="6" t="s">
        <v>30</v>
      </c>
      <c r="X729" s="2" t="s">
        <v>30</v>
      </c>
      <c r="Y729" s="6" t="str">
        <f aca="false">IF(AND(X729="processed",ISNUMBER(S729)),S729*O729,"")</f>
        <v/>
      </c>
      <c r="Z729" s="6" t="n">
        <f aca="false">IF(ISNUMBER(K729),K729*O729,0)</f>
        <v>8</v>
      </c>
      <c r="AA729" s="2" t="s">
        <v>31</v>
      </c>
      <c r="AB729" s="6" t="n">
        <v>1472</v>
      </c>
      <c r="AC729" s="6" t="n">
        <v>1137</v>
      </c>
      <c r="AD729" s="6" t="n">
        <v>791</v>
      </c>
      <c r="AE729" s="6" t="n">
        <v>1586.71838378906</v>
      </c>
      <c r="AF729" s="8" t="n">
        <v>1381.909547739</v>
      </c>
      <c r="AG729" s="11" t="n">
        <v>0.7635144884</v>
      </c>
      <c r="AH729" s="12" t="n">
        <v>0.999999999999997</v>
      </c>
      <c r="AI729" s="2" t="s">
        <v>317</v>
      </c>
      <c r="AJ729" s="2" t="s">
        <v>1714</v>
      </c>
      <c r="AK729" s="2" t="s">
        <v>1714</v>
      </c>
    </row>
    <row r="730" customFormat="false" ht="15" hidden="false" customHeight="false" outlineLevel="0" collapsed="false">
      <c r="A730" s="9" t="n">
        <v>705</v>
      </c>
      <c r="B730" s="2" t="s">
        <v>1715</v>
      </c>
      <c r="C730" s="2" t="s">
        <v>1716</v>
      </c>
      <c r="D730" s="2" t="s">
        <v>524</v>
      </c>
      <c r="E730" s="2" t="s">
        <v>456</v>
      </c>
      <c r="F730" s="2"/>
      <c r="G730" s="2" t="s">
        <v>458</v>
      </c>
      <c r="H730" s="8" t="n">
        <v>572.825491513429</v>
      </c>
      <c r="I730" s="2" t="s">
        <v>316</v>
      </c>
      <c r="J730" s="8" t="n">
        <v>787142.857142857</v>
      </c>
      <c r="K730" s="6" t="n">
        <v>7</v>
      </c>
      <c r="L730" s="2"/>
      <c r="M730" s="10" t="b">
        <f aca="false">TRUE()</f>
        <v>1</v>
      </c>
      <c r="N730" s="9" t="n">
        <f aca="false">IF(H730="","",IF(H730&gt;=Assumptions!$B$5,1,IF(H730&gt;=Assumptions!$B$6,2,IF(H730&gt;=Assumptions!$B$7,3,""))))</f>
        <v>3</v>
      </c>
      <c r="O730" s="9" t="n">
        <f aca="false">IF(N730=1,Assumptions!$B$8,IF(N730=2,Assumptions!$B$9,IF(N730=3,Assumptions!$B$10,0)))</f>
        <v>1</v>
      </c>
      <c r="P730" s="6" t="s">
        <v>30</v>
      </c>
      <c r="Q730" s="6" t="s">
        <v>30</v>
      </c>
      <c r="R730" s="11" t="s">
        <v>30</v>
      </c>
      <c r="S730" s="6" t="s">
        <v>30</v>
      </c>
      <c r="T730" s="11" t="s">
        <v>30</v>
      </c>
      <c r="U730" s="6" t="s">
        <v>30</v>
      </c>
      <c r="V730" s="6" t="s">
        <v>30</v>
      </c>
      <c r="W730" s="6" t="s">
        <v>30</v>
      </c>
      <c r="X730" s="2" t="s">
        <v>30</v>
      </c>
      <c r="Y730" s="6" t="str">
        <f aca="false">IF(AND(X730="processed",ISNUMBER(S730)),S730*O730,"")</f>
        <v/>
      </c>
      <c r="Z730" s="6" t="n">
        <f aca="false">IF(ISNUMBER(K730),K730*O730,0)</f>
        <v>7</v>
      </c>
      <c r="AA730" s="2" t="s">
        <v>31</v>
      </c>
      <c r="AB730" s="6" t="n">
        <v>926</v>
      </c>
      <c r="AC730" s="6" t="n">
        <v>714</v>
      </c>
      <c r="AD730" s="6" t="n">
        <v>188</v>
      </c>
      <c r="AE730" s="6" t="n">
        <v>1462.34204101563</v>
      </c>
      <c r="AF730" s="8" t="n">
        <v>482.917454316</v>
      </c>
      <c r="AG730" s="11" t="n">
        <v>0.7417302268</v>
      </c>
      <c r="AH730" s="12" t="n">
        <v>1</v>
      </c>
      <c r="AI730" s="2" t="s">
        <v>582</v>
      </c>
      <c r="AJ730" s="2" t="s">
        <v>1716</v>
      </c>
      <c r="AK730" s="2" t="s">
        <v>1717</v>
      </c>
    </row>
    <row r="731" customFormat="false" ht="15" hidden="false" customHeight="false" outlineLevel="0" collapsed="false">
      <c r="A731" s="9" t="n">
        <v>706</v>
      </c>
      <c r="B731" s="2" t="s">
        <v>1718</v>
      </c>
      <c r="C731" s="2" t="s">
        <v>70</v>
      </c>
      <c r="D731" s="2" t="s">
        <v>70</v>
      </c>
      <c r="E731" s="2" t="s">
        <v>71</v>
      </c>
      <c r="F731" s="2" t="s">
        <v>1719</v>
      </c>
      <c r="G731" s="2" t="s">
        <v>329</v>
      </c>
      <c r="H731" s="8" t="n">
        <v>621.445978879</v>
      </c>
      <c r="I731" s="2" t="s">
        <v>316</v>
      </c>
      <c r="J731" s="8" t="n">
        <v>765000</v>
      </c>
      <c r="K731" s="6" t="n">
        <v>3</v>
      </c>
      <c r="L731" s="2" t="s">
        <v>1664</v>
      </c>
      <c r="M731" s="10" t="b">
        <f aca="false">TRUE()</f>
        <v>1</v>
      </c>
      <c r="N731" s="9" t="n">
        <f aca="false">IF(H731="","",IF(H731&gt;=Assumptions!$B$5,1,IF(H731&gt;=Assumptions!$B$6,2,IF(H731&gt;=Assumptions!$B$7,3,""))))</f>
        <v>2</v>
      </c>
      <c r="O731" s="9" t="n">
        <f aca="false">IF(N731=1,Assumptions!$B$8,IF(N731=2,Assumptions!$B$9,IF(N731=3,Assumptions!$B$10,0)))</f>
        <v>2</v>
      </c>
      <c r="P731" s="6" t="s">
        <v>30</v>
      </c>
      <c r="Q731" s="6" t="s">
        <v>30</v>
      </c>
      <c r="R731" s="11" t="s">
        <v>30</v>
      </c>
      <c r="S731" s="6" t="s">
        <v>30</v>
      </c>
      <c r="T731" s="11" t="s">
        <v>30</v>
      </c>
      <c r="U731" s="6" t="s">
        <v>30</v>
      </c>
      <c r="V731" s="6" t="s">
        <v>30</v>
      </c>
      <c r="W731" s="6" t="s">
        <v>30</v>
      </c>
      <c r="X731" s="2" t="s">
        <v>30</v>
      </c>
      <c r="Y731" s="6" t="str">
        <f aca="false">IF(AND(X731="processed",ISNUMBER(S731)),S731*O731,"")</f>
        <v/>
      </c>
      <c r="Z731" s="6" t="n">
        <f aca="false">IF(ISNUMBER(K731),K731*O731,0)</f>
        <v>6</v>
      </c>
      <c r="AA731" s="2" t="s">
        <v>31</v>
      </c>
      <c r="AB731" s="6" t="n">
        <v>2221</v>
      </c>
      <c r="AC731" s="6" t="n">
        <v>1106</v>
      </c>
      <c r="AD731" s="6" t="n">
        <v>24</v>
      </c>
      <c r="AE731" s="6" t="n">
        <v>2103.02954101563</v>
      </c>
      <c r="AF731" s="8" t="n">
        <v>621.445978879</v>
      </c>
      <c r="AG731" s="11"/>
      <c r="AH731" s="12" t="n">
        <v>1</v>
      </c>
      <c r="AI731" s="2" t="s">
        <v>317</v>
      </c>
      <c r="AJ731" s="2" t="s">
        <v>70</v>
      </c>
      <c r="AK731" s="2" t="s">
        <v>70</v>
      </c>
    </row>
    <row r="732" customFormat="false" ht="15" hidden="false" customHeight="false" outlineLevel="0" collapsed="false">
      <c r="A732" s="9"/>
      <c r="B732" s="2" t="s">
        <v>1720</v>
      </c>
      <c r="C732" s="2"/>
      <c r="D732" s="2" t="s">
        <v>1190</v>
      </c>
      <c r="E732" s="2" t="s">
        <v>1191</v>
      </c>
      <c r="F732" s="2"/>
      <c r="G732" s="2" t="s">
        <v>329</v>
      </c>
      <c r="H732" s="8" t="n">
        <v>839.31133429</v>
      </c>
      <c r="I732" s="2" t="s">
        <v>337</v>
      </c>
      <c r="J732" s="8" t="n">
        <v>1170000</v>
      </c>
      <c r="K732" s="6" t="n">
        <v>2</v>
      </c>
      <c r="L732" s="2" t="s">
        <v>1664</v>
      </c>
      <c r="M732" s="10" t="b">
        <f aca="false">FALSE()</f>
        <v>0</v>
      </c>
      <c r="N732" s="9" t="n">
        <f aca="false">IF(H732="","",IF(H732&gt;=Assumptions!$B$5,1,IF(H732&gt;=Assumptions!$B$6,2,IF(H732&gt;=Assumptions!$B$7,3,""))))</f>
        <v>1</v>
      </c>
      <c r="O732" s="9" t="n">
        <f aca="false">IF(N732=1,Assumptions!$B$8,IF(N732=2,Assumptions!$B$9,IF(N732=3,Assumptions!$B$10,0)))</f>
        <v>3</v>
      </c>
      <c r="P732" s="6" t="s">
        <v>30</v>
      </c>
      <c r="Q732" s="6" t="s">
        <v>30</v>
      </c>
      <c r="R732" s="11" t="s">
        <v>30</v>
      </c>
      <c r="S732" s="6" t="s">
        <v>30</v>
      </c>
      <c r="T732" s="11" t="s">
        <v>30</v>
      </c>
      <c r="U732" s="6" t="s">
        <v>30</v>
      </c>
      <c r="V732" s="6" t="s">
        <v>30</v>
      </c>
      <c r="W732" s="6" t="s">
        <v>30</v>
      </c>
      <c r="X732" s="2" t="s">
        <v>30</v>
      </c>
      <c r="Y732" s="6" t="str">
        <f aca="false">IF(AND(X732="processed",ISNUMBER(S732)),S732*O732,"")</f>
        <v/>
      </c>
      <c r="Z732" s="6" t="n">
        <f aca="false">IF(ISNUMBER(K732),K732*O732,0)</f>
        <v>6</v>
      </c>
      <c r="AA732" s="2" t="s">
        <v>31</v>
      </c>
      <c r="AB732" s="6"/>
      <c r="AC732" s="6"/>
      <c r="AD732" s="6"/>
      <c r="AE732" s="6"/>
      <c r="AF732" s="8"/>
      <c r="AG732" s="11"/>
      <c r="AH732" s="12"/>
      <c r="AI732" s="2"/>
      <c r="AJ732" s="2"/>
      <c r="AK732" s="2"/>
    </row>
    <row r="733" customFormat="false" ht="15" hidden="false" customHeight="false" outlineLevel="0" collapsed="false">
      <c r="A733" s="9"/>
      <c r="B733" s="2" t="s">
        <v>1721</v>
      </c>
      <c r="C733" s="2"/>
      <c r="D733" s="2" t="s">
        <v>1190</v>
      </c>
      <c r="E733" s="2" t="s">
        <v>1191</v>
      </c>
      <c r="F733" s="2"/>
      <c r="G733" s="2" t="s">
        <v>329</v>
      </c>
      <c r="H733" s="8" t="n">
        <v>770.170709793</v>
      </c>
      <c r="I733" s="2" t="s">
        <v>337</v>
      </c>
      <c r="J733" s="8" t="n">
        <v>447000</v>
      </c>
      <c r="K733" s="6" t="n">
        <v>2</v>
      </c>
      <c r="L733" s="2" t="s">
        <v>1664</v>
      </c>
      <c r="M733" s="10" t="b">
        <f aca="false">FALSE()</f>
        <v>0</v>
      </c>
      <c r="N733" s="9" t="n">
        <f aca="false">IF(H733="","",IF(H733&gt;=Assumptions!$B$5,1,IF(H733&gt;=Assumptions!$B$6,2,IF(H733&gt;=Assumptions!$B$7,3,""))))</f>
        <v>1</v>
      </c>
      <c r="O733" s="9" t="n">
        <f aca="false">IF(N733=1,Assumptions!$B$8,IF(N733=2,Assumptions!$B$9,IF(N733=3,Assumptions!$B$10,0)))</f>
        <v>3</v>
      </c>
      <c r="P733" s="6" t="s">
        <v>30</v>
      </c>
      <c r="Q733" s="6" t="s">
        <v>30</v>
      </c>
      <c r="R733" s="11" t="s">
        <v>30</v>
      </c>
      <c r="S733" s="6" t="s">
        <v>30</v>
      </c>
      <c r="T733" s="11" t="s">
        <v>30</v>
      </c>
      <c r="U733" s="6" t="s">
        <v>30</v>
      </c>
      <c r="V733" s="6" t="s">
        <v>30</v>
      </c>
      <c r="W733" s="6" t="s">
        <v>30</v>
      </c>
      <c r="X733" s="2" t="s">
        <v>30</v>
      </c>
      <c r="Y733" s="6" t="str">
        <f aca="false">IF(AND(X733="processed",ISNUMBER(S733)),S733*O733,"")</f>
        <v/>
      </c>
      <c r="Z733" s="6" t="n">
        <f aca="false">IF(ISNUMBER(K733),K733*O733,0)</f>
        <v>6</v>
      </c>
      <c r="AA733" s="2" t="s">
        <v>31</v>
      </c>
      <c r="AB733" s="6"/>
      <c r="AC733" s="6"/>
      <c r="AD733" s="6"/>
      <c r="AE733" s="6"/>
      <c r="AF733" s="8"/>
      <c r="AG733" s="11"/>
      <c r="AH733" s="12"/>
      <c r="AI733" s="2"/>
      <c r="AJ733" s="2"/>
      <c r="AK733" s="2"/>
    </row>
    <row r="734" customFormat="false" ht="15" hidden="false" customHeight="false" outlineLevel="0" collapsed="false">
      <c r="A734" s="9"/>
      <c r="B734" s="2" t="s">
        <v>1722</v>
      </c>
      <c r="C734" s="2"/>
      <c r="D734" s="2" t="s">
        <v>1190</v>
      </c>
      <c r="E734" s="2" t="s">
        <v>1191</v>
      </c>
      <c r="F734" s="2"/>
      <c r="G734" s="2" t="s">
        <v>329</v>
      </c>
      <c r="H734" s="8" t="n">
        <v>694.050377990667</v>
      </c>
      <c r="I734" s="2" t="s">
        <v>337</v>
      </c>
      <c r="J734" s="8" t="n">
        <v>680000</v>
      </c>
      <c r="K734" s="6" t="n">
        <v>3</v>
      </c>
      <c r="L734" s="2" t="s">
        <v>1664</v>
      </c>
      <c r="M734" s="10" t="b">
        <f aca="false">FALSE()</f>
        <v>0</v>
      </c>
      <c r="N734" s="9" t="n">
        <f aca="false">IF(H734="","",IF(H734&gt;=Assumptions!$B$5,1,IF(H734&gt;=Assumptions!$B$6,2,IF(H734&gt;=Assumptions!$B$7,3,""))))</f>
        <v>2</v>
      </c>
      <c r="O734" s="9" t="n">
        <f aca="false">IF(N734=1,Assumptions!$B$8,IF(N734=2,Assumptions!$B$9,IF(N734=3,Assumptions!$B$10,0)))</f>
        <v>2</v>
      </c>
      <c r="P734" s="6" t="s">
        <v>30</v>
      </c>
      <c r="Q734" s="6" t="s">
        <v>30</v>
      </c>
      <c r="R734" s="11" t="s">
        <v>30</v>
      </c>
      <c r="S734" s="6" t="s">
        <v>30</v>
      </c>
      <c r="T734" s="11" t="s">
        <v>30</v>
      </c>
      <c r="U734" s="6" t="s">
        <v>30</v>
      </c>
      <c r="V734" s="6" t="s">
        <v>30</v>
      </c>
      <c r="W734" s="6" t="s">
        <v>30</v>
      </c>
      <c r="X734" s="2" t="s">
        <v>30</v>
      </c>
      <c r="Y734" s="6" t="str">
        <f aca="false">IF(AND(X734="processed",ISNUMBER(S734)),S734*O734,"")</f>
        <v/>
      </c>
      <c r="Z734" s="6" t="n">
        <f aca="false">IF(ISNUMBER(K734),K734*O734,0)</f>
        <v>6</v>
      </c>
      <c r="AA734" s="2" t="s">
        <v>31</v>
      </c>
      <c r="AB734" s="6"/>
      <c r="AC734" s="6"/>
      <c r="AD734" s="6"/>
      <c r="AE734" s="6"/>
      <c r="AF734" s="8"/>
      <c r="AG734" s="11"/>
      <c r="AH734" s="12"/>
      <c r="AI734" s="2"/>
      <c r="AJ734" s="2"/>
      <c r="AK734" s="2"/>
    </row>
    <row r="735" customFormat="false" ht="15" hidden="false" customHeight="false" outlineLevel="0" collapsed="false">
      <c r="A735" s="9"/>
      <c r="B735" s="2" t="s">
        <v>1723</v>
      </c>
      <c r="C735" s="2"/>
      <c r="D735" s="2" t="s">
        <v>1190</v>
      </c>
      <c r="E735" s="2" t="s">
        <v>1191</v>
      </c>
      <c r="F735" s="2"/>
      <c r="G735" s="2" t="s">
        <v>329</v>
      </c>
      <c r="H735" s="8" t="n">
        <v>965.663597653</v>
      </c>
      <c r="I735" s="2" t="s">
        <v>316</v>
      </c>
      <c r="J735" s="8" t="n">
        <v>2155000</v>
      </c>
      <c r="K735" s="6" t="n">
        <v>2</v>
      </c>
      <c r="L735" s="2" t="s">
        <v>1664</v>
      </c>
      <c r="M735" s="10" t="b">
        <f aca="false">FALSE()</f>
        <v>0</v>
      </c>
      <c r="N735" s="9" t="n">
        <f aca="false">IF(H735="","",IF(H735&gt;=Assumptions!$B$5,1,IF(H735&gt;=Assumptions!$B$6,2,IF(H735&gt;=Assumptions!$B$7,3,""))))</f>
        <v>1</v>
      </c>
      <c r="O735" s="9" t="n">
        <f aca="false">IF(N735=1,Assumptions!$B$8,IF(N735=2,Assumptions!$B$9,IF(N735=3,Assumptions!$B$10,0)))</f>
        <v>3</v>
      </c>
      <c r="P735" s="6" t="s">
        <v>30</v>
      </c>
      <c r="Q735" s="6" t="s">
        <v>30</v>
      </c>
      <c r="R735" s="11" t="s">
        <v>30</v>
      </c>
      <c r="S735" s="6" t="s">
        <v>30</v>
      </c>
      <c r="T735" s="11" t="s">
        <v>30</v>
      </c>
      <c r="U735" s="6" t="s">
        <v>30</v>
      </c>
      <c r="V735" s="6" t="s">
        <v>30</v>
      </c>
      <c r="W735" s="6" t="s">
        <v>30</v>
      </c>
      <c r="X735" s="2" t="s">
        <v>30</v>
      </c>
      <c r="Y735" s="6" t="str">
        <f aca="false">IF(AND(X735="processed",ISNUMBER(S735)),S735*O735,"")</f>
        <v/>
      </c>
      <c r="Z735" s="6" t="n">
        <f aca="false">IF(ISNUMBER(K735),K735*O735,0)</f>
        <v>6</v>
      </c>
      <c r="AA735" s="2" t="s">
        <v>31</v>
      </c>
      <c r="AB735" s="6"/>
      <c r="AC735" s="6"/>
      <c r="AD735" s="6"/>
      <c r="AE735" s="6"/>
      <c r="AF735" s="8" t="n">
        <v>965.663597653</v>
      </c>
      <c r="AG735" s="11" t="n">
        <v>0.1648317147</v>
      </c>
      <c r="AH735" s="12"/>
      <c r="AI735" s="2"/>
      <c r="AJ735" s="2"/>
      <c r="AK735" s="2"/>
    </row>
    <row r="736" customFormat="false" ht="15" hidden="false" customHeight="false" outlineLevel="0" collapsed="false">
      <c r="A736" s="9"/>
      <c r="B736" s="2" t="s">
        <v>1724</v>
      </c>
      <c r="C736" s="2"/>
      <c r="D736" s="2" t="s">
        <v>1190</v>
      </c>
      <c r="E736" s="2" t="s">
        <v>1191</v>
      </c>
      <c r="F736" s="2"/>
      <c r="G736" s="2" t="s">
        <v>329</v>
      </c>
      <c r="H736" s="8" t="n">
        <v>763.611388611</v>
      </c>
      <c r="I736" s="2" t="s">
        <v>316</v>
      </c>
      <c r="J736" s="8" t="n">
        <v>905000</v>
      </c>
      <c r="K736" s="6" t="n">
        <v>2</v>
      </c>
      <c r="L736" s="2" t="s">
        <v>1664</v>
      </c>
      <c r="M736" s="10" t="b">
        <f aca="false">FALSE()</f>
        <v>0</v>
      </c>
      <c r="N736" s="9" t="n">
        <f aca="false">IF(H736="","",IF(H736&gt;=Assumptions!$B$5,1,IF(H736&gt;=Assumptions!$B$6,2,IF(H736&gt;=Assumptions!$B$7,3,""))))</f>
        <v>1</v>
      </c>
      <c r="O736" s="9" t="n">
        <f aca="false">IF(N736=1,Assumptions!$B$8,IF(N736=2,Assumptions!$B$9,IF(N736=3,Assumptions!$B$10,0)))</f>
        <v>3</v>
      </c>
      <c r="P736" s="6" t="s">
        <v>30</v>
      </c>
      <c r="Q736" s="6" t="s">
        <v>30</v>
      </c>
      <c r="R736" s="11" t="s">
        <v>30</v>
      </c>
      <c r="S736" s="6" t="s">
        <v>30</v>
      </c>
      <c r="T736" s="11" t="s">
        <v>30</v>
      </c>
      <c r="U736" s="6" t="s">
        <v>30</v>
      </c>
      <c r="V736" s="6" t="s">
        <v>30</v>
      </c>
      <c r="W736" s="6" t="s">
        <v>30</v>
      </c>
      <c r="X736" s="2" t="s">
        <v>30</v>
      </c>
      <c r="Y736" s="6" t="str">
        <f aca="false">IF(AND(X736="processed",ISNUMBER(S736)),S736*O736,"")</f>
        <v/>
      </c>
      <c r="Z736" s="6" t="n">
        <f aca="false">IF(ISNUMBER(K736),K736*O736,0)</f>
        <v>6</v>
      </c>
      <c r="AA736" s="2" t="s">
        <v>31</v>
      </c>
      <c r="AB736" s="6"/>
      <c r="AC736" s="6"/>
      <c r="AD736" s="6"/>
      <c r="AE736" s="6"/>
      <c r="AF736" s="8" t="n">
        <v>763.611388611</v>
      </c>
      <c r="AG736" s="11"/>
      <c r="AH736" s="12"/>
      <c r="AI736" s="2"/>
      <c r="AJ736" s="2"/>
      <c r="AK736" s="2"/>
    </row>
    <row r="737" customFormat="false" ht="15" hidden="false" customHeight="false" outlineLevel="0" collapsed="false">
      <c r="A737" s="9" t="n">
        <v>707</v>
      </c>
      <c r="B737" s="2" t="s">
        <v>1725</v>
      </c>
      <c r="C737" s="2" t="s">
        <v>1726</v>
      </c>
      <c r="D737" s="2" t="s">
        <v>44</v>
      </c>
      <c r="E737" s="2" t="s">
        <v>44</v>
      </c>
      <c r="F737" s="2"/>
      <c r="G737" s="2" t="s">
        <v>322</v>
      </c>
      <c r="H737" s="8" t="n">
        <v>564.959848519</v>
      </c>
      <c r="I737" s="2" t="s">
        <v>316</v>
      </c>
      <c r="J737" s="8" t="n">
        <v>662500</v>
      </c>
      <c r="K737" s="6" t="n">
        <v>6</v>
      </c>
      <c r="L737" s="2"/>
      <c r="M737" s="10" t="b">
        <f aca="false">TRUE()</f>
        <v>1</v>
      </c>
      <c r="N737" s="9" t="n">
        <f aca="false">IF(H737="","",IF(H737&gt;=Assumptions!$B$5,1,IF(H737&gt;=Assumptions!$B$6,2,IF(H737&gt;=Assumptions!$B$7,3,""))))</f>
        <v>3</v>
      </c>
      <c r="O737" s="9" t="n">
        <f aca="false">IF(N737=1,Assumptions!$B$8,IF(N737=2,Assumptions!$B$9,IF(N737=3,Assumptions!$B$10,0)))</f>
        <v>1</v>
      </c>
      <c r="P737" s="6" t="s">
        <v>30</v>
      </c>
      <c r="Q737" s="6" t="s">
        <v>30</v>
      </c>
      <c r="R737" s="11" t="s">
        <v>30</v>
      </c>
      <c r="S737" s="6" t="s">
        <v>30</v>
      </c>
      <c r="T737" s="11" t="s">
        <v>30</v>
      </c>
      <c r="U737" s="6" t="s">
        <v>30</v>
      </c>
      <c r="V737" s="6" t="s">
        <v>30</v>
      </c>
      <c r="W737" s="6" t="s">
        <v>30</v>
      </c>
      <c r="X737" s="2" t="s">
        <v>30</v>
      </c>
      <c r="Y737" s="6" t="str">
        <f aca="false">IF(AND(X737="processed",ISNUMBER(S737)),S737*O737,"")</f>
        <v/>
      </c>
      <c r="Z737" s="6" t="n">
        <f aca="false">IF(ISNUMBER(K737),K737*O737,0)</f>
        <v>6</v>
      </c>
      <c r="AA737" s="2" t="s">
        <v>31</v>
      </c>
      <c r="AB737" s="6" t="n">
        <v>2211</v>
      </c>
      <c r="AC737" s="6" t="n">
        <v>749</v>
      </c>
      <c r="AD737" s="6" t="n">
        <v>410</v>
      </c>
      <c r="AE737" s="6" t="n">
        <v>1257.26452636719</v>
      </c>
      <c r="AF737" s="8" t="n">
        <v>723.37962963</v>
      </c>
      <c r="AG737" s="11"/>
      <c r="AH737" s="12" t="n">
        <v>0.9999210623749</v>
      </c>
      <c r="AI737" s="2" t="s">
        <v>317</v>
      </c>
      <c r="AJ737" s="2" t="s">
        <v>1726</v>
      </c>
      <c r="AK737" s="2" t="s">
        <v>1727</v>
      </c>
    </row>
    <row r="738" customFormat="false" ht="15" hidden="false" customHeight="false" outlineLevel="0" collapsed="false">
      <c r="A738" s="9"/>
      <c r="B738" s="2" t="s">
        <v>1728</v>
      </c>
      <c r="C738" s="2"/>
      <c r="D738" s="2" t="s">
        <v>1190</v>
      </c>
      <c r="E738" s="2" t="s">
        <v>1191</v>
      </c>
      <c r="F738" s="2"/>
      <c r="G738" s="2" t="s">
        <v>597</v>
      </c>
      <c r="H738" s="8" t="n">
        <v>714.619965552</v>
      </c>
      <c r="I738" s="2" t="s">
        <v>316</v>
      </c>
      <c r="J738" s="8" t="n">
        <v>833750</v>
      </c>
      <c r="K738" s="6" t="n">
        <v>2</v>
      </c>
      <c r="L738" s="2" t="s">
        <v>1664</v>
      </c>
      <c r="M738" s="10" t="b">
        <f aca="false">FALSE()</f>
        <v>0</v>
      </c>
      <c r="N738" s="9" t="n">
        <f aca="false">IF(H738="","",IF(H738&gt;=Assumptions!$B$5,1,IF(H738&gt;=Assumptions!$B$6,2,IF(H738&gt;=Assumptions!$B$7,3,""))))</f>
        <v>1</v>
      </c>
      <c r="O738" s="9" t="n">
        <f aca="false">IF(N738=1,Assumptions!$B$8,IF(N738=2,Assumptions!$B$9,IF(N738=3,Assumptions!$B$10,0)))</f>
        <v>3</v>
      </c>
      <c r="P738" s="6" t="s">
        <v>30</v>
      </c>
      <c r="Q738" s="6" t="s">
        <v>30</v>
      </c>
      <c r="R738" s="11" t="s">
        <v>30</v>
      </c>
      <c r="S738" s="6" t="s">
        <v>30</v>
      </c>
      <c r="T738" s="11" t="s">
        <v>30</v>
      </c>
      <c r="U738" s="6" t="s">
        <v>30</v>
      </c>
      <c r="V738" s="6" t="s">
        <v>30</v>
      </c>
      <c r="W738" s="6" t="s">
        <v>30</v>
      </c>
      <c r="X738" s="2" t="s">
        <v>30</v>
      </c>
      <c r="Y738" s="6" t="str">
        <f aca="false">IF(AND(X738="processed",ISNUMBER(S738)),S738*O738,"")</f>
        <v/>
      </c>
      <c r="Z738" s="6" t="n">
        <f aca="false">IF(ISNUMBER(K738),K738*O738,0)</f>
        <v>6</v>
      </c>
      <c r="AA738" s="2" t="s">
        <v>31</v>
      </c>
      <c r="AB738" s="6"/>
      <c r="AC738" s="6"/>
      <c r="AD738" s="6"/>
      <c r="AE738" s="6"/>
      <c r="AF738" s="8" t="n">
        <v>714.619965552</v>
      </c>
      <c r="AG738" s="11" t="n">
        <v>0.1421856762</v>
      </c>
      <c r="AH738" s="12"/>
      <c r="AI738" s="2"/>
      <c r="AJ738" s="2"/>
      <c r="AK738" s="2"/>
    </row>
    <row r="739" customFormat="false" ht="15" hidden="false" customHeight="false" outlineLevel="0" collapsed="false">
      <c r="A739" s="9"/>
      <c r="B739" s="2" t="s">
        <v>1729</v>
      </c>
      <c r="C739" s="2"/>
      <c r="D739" s="2" t="s">
        <v>1190</v>
      </c>
      <c r="E739" s="2" t="s">
        <v>1191</v>
      </c>
      <c r="F739" s="2"/>
      <c r="G739" s="2" t="s">
        <v>324</v>
      </c>
      <c r="H739" s="8" t="n">
        <v>888.0824693575</v>
      </c>
      <c r="I739" s="2" t="s">
        <v>337</v>
      </c>
      <c r="J739" s="8" t="n">
        <v>1817500</v>
      </c>
      <c r="K739" s="6" t="n">
        <v>2</v>
      </c>
      <c r="L739" s="2" t="s">
        <v>1664</v>
      </c>
      <c r="M739" s="10" t="b">
        <f aca="false">FALSE()</f>
        <v>0</v>
      </c>
      <c r="N739" s="9" t="n">
        <f aca="false">IF(H739="","",IF(H739&gt;=Assumptions!$B$5,1,IF(H739&gt;=Assumptions!$B$6,2,IF(H739&gt;=Assumptions!$B$7,3,""))))</f>
        <v>1</v>
      </c>
      <c r="O739" s="9" t="n">
        <f aca="false">IF(N739=1,Assumptions!$B$8,IF(N739=2,Assumptions!$B$9,IF(N739=3,Assumptions!$B$10,0)))</f>
        <v>3</v>
      </c>
      <c r="P739" s="6" t="s">
        <v>30</v>
      </c>
      <c r="Q739" s="6" t="s">
        <v>30</v>
      </c>
      <c r="R739" s="11" t="s">
        <v>30</v>
      </c>
      <c r="S739" s="6" t="s">
        <v>30</v>
      </c>
      <c r="T739" s="11" t="s">
        <v>30</v>
      </c>
      <c r="U739" s="6" t="s">
        <v>30</v>
      </c>
      <c r="V739" s="6" t="s">
        <v>30</v>
      </c>
      <c r="W739" s="6" t="s">
        <v>30</v>
      </c>
      <c r="X739" s="2" t="s">
        <v>30</v>
      </c>
      <c r="Y739" s="6" t="str">
        <f aca="false">IF(AND(X739="processed",ISNUMBER(S739)),S739*O739,"")</f>
        <v/>
      </c>
      <c r="Z739" s="6" t="n">
        <f aca="false">IF(ISNUMBER(K739),K739*O739,0)</f>
        <v>6</v>
      </c>
      <c r="AA739" s="2" t="s">
        <v>31</v>
      </c>
      <c r="AB739" s="6"/>
      <c r="AC739" s="6"/>
      <c r="AD739" s="6"/>
      <c r="AE739" s="6"/>
      <c r="AF739" s="8"/>
      <c r="AG739" s="11"/>
      <c r="AH739" s="12"/>
      <c r="AI739" s="2"/>
      <c r="AJ739" s="2"/>
      <c r="AK739" s="2"/>
    </row>
    <row r="740" customFormat="false" ht="15" hidden="false" customHeight="false" outlineLevel="0" collapsed="false">
      <c r="A740" s="9"/>
      <c r="B740" s="2" t="s">
        <v>1730</v>
      </c>
      <c r="C740" s="2"/>
      <c r="D740" s="2" t="s">
        <v>1190</v>
      </c>
      <c r="E740" s="2" t="s">
        <v>1191</v>
      </c>
      <c r="F740" s="2"/>
      <c r="G740" s="2" t="s">
        <v>324</v>
      </c>
      <c r="H740" s="8" t="n">
        <v>986.3383483385</v>
      </c>
      <c r="I740" s="2" t="s">
        <v>337</v>
      </c>
      <c r="J740" s="8" t="n">
        <v>1525000</v>
      </c>
      <c r="K740" s="6" t="n">
        <v>2</v>
      </c>
      <c r="L740" s="2" t="s">
        <v>1664</v>
      </c>
      <c r="M740" s="10" t="b">
        <f aca="false">FALSE()</f>
        <v>0</v>
      </c>
      <c r="N740" s="9" t="n">
        <f aca="false">IF(H740="","",IF(H740&gt;=Assumptions!$B$5,1,IF(H740&gt;=Assumptions!$B$6,2,IF(H740&gt;=Assumptions!$B$7,3,""))))</f>
        <v>1</v>
      </c>
      <c r="O740" s="9" t="n">
        <f aca="false">IF(N740=1,Assumptions!$B$8,IF(N740=2,Assumptions!$B$9,IF(N740=3,Assumptions!$B$10,0)))</f>
        <v>3</v>
      </c>
      <c r="P740" s="6" t="s">
        <v>30</v>
      </c>
      <c r="Q740" s="6" t="s">
        <v>30</v>
      </c>
      <c r="R740" s="11" t="s">
        <v>30</v>
      </c>
      <c r="S740" s="6" t="s">
        <v>30</v>
      </c>
      <c r="T740" s="11" t="s">
        <v>30</v>
      </c>
      <c r="U740" s="6" t="s">
        <v>30</v>
      </c>
      <c r="V740" s="6" t="s">
        <v>30</v>
      </c>
      <c r="W740" s="6" t="s">
        <v>30</v>
      </c>
      <c r="X740" s="2" t="s">
        <v>30</v>
      </c>
      <c r="Y740" s="6" t="str">
        <f aca="false">IF(AND(X740="processed",ISNUMBER(S740)),S740*O740,"")</f>
        <v/>
      </c>
      <c r="Z740" s="6" t="n">
        <f aca="false">IF(ISNUMBER(K740),K740*O740,0)</f>
        <v>6</v>
      </c>
      <c r="AA740" s="2" t="s">
        <v>31</v>
      </c>
      <c r="AB740" s="6"/>
      <c r="AC740" s="6"/>
      <c r="AD740" s="6"/>
      <c r="AE740" s="6"/>
      <c r="AF740" s="8"/>
      <c r="AG740" s="11"/>
      <c r="AH740" s="12"/>
      <c r="AI740" s="2"/>
      <c r="AJ740" s="2"/>
      <c r="AK740" s="2"/>
    </row>
    <row r="741" customFormat="false" ht="15" hidden="false" customHeight="false" outlineLevel="0" collapsed="false">
      <c r="A741" s="9" t="n">
        <v>708</v>
      </c>
      <c r="B741" s="2" t="s">
        <v>1731</v>
      </c>
      <c r="C741" s="2" t="s">
        <v>1732</v>
      </c>
      <c r="D741" s="2" t="s">
        <v>105</v>
      </c>
      <c r="E741" s="2" t="s">
        <v>51</v>
      </c>
      <c r="F741" s="2"/>
      <c r="G741" s="2" t="s">
        <v>318</v>
      </c>
      <c r="H741" s="8" t="n">
        <v>728.198853557</v>
      </c>
      <c r="I741" s="2" t="s">
        <v>316</v>
      </c>
      <c r="J741" s="8" t="n">
        <v>1402500</v>
      </c>
      <c r="K741" s="6" t="n">
        <v>2</v>
      </c>
      <c r="L741" s="2" t="s">
        <v>1664</v>
      </c>
      <c r="M741" s="10" t="b">
        <f aca="false">TRUE()</f>
        <v>1</v>
      </c>
      <c r="N741" s="9" t="n">
        <f aca="false">IF(H741="","",IF(H741&gt;=Assumptions!$B$5,1,IF(H741&gt;=Assumptions!$B$6,2,IF(H741&gt;=Assumptions!$B$7,3,""))))</f>
        <v>1</v>
      </c>
      <c r="O741" s="9" t="n">
        <f aca="false">IF(N741=1,Assumptions!$B$8,IF(N741=2,Assumptions!$B$9,IF(N741=3,Assumptions!$B$10,0)))</f>
        <v>3</v>
      </c>
      <c r="P741" s="6" t="s">
        <v>30</v>
      </c>
      <c r="Q741" s="6" t="s">
        <v>30</v>
      </c>
      <c r="R741" s="11" t="s">
        <v>30</v>
      </c>
      <c r="S741" s="6" t="s">
        <v>30</v>
      </c>
      <c r="T741" s="11" t="s">
        <v>30</v>
      </c>
      <c r="U741" s="6" t="s">
        <v>30</v>
      </c>
      <c r="V741" s="6" t="s">
        <v>30</v>
      </c>
      <c r="W741" s="6" t="s">
        <v>30</v>
      </c>
      <c r="X741" s="2" t="s">
        <v>30</v>
      </c>
      <c r="Y741" s="6" t="str">
        <f aca="false">IF(AND(X741="processed",ISNUMBER(S741)),S741*O741,"")</f>
        <v/>
      </c>
      <c r="Z741" s="6" t="n">
        <f aca="false">IF(ISNUMBER(K741),K741*O741,0)</f>
        <v>6</v>
      </c>
      <c r="AA741" s="2" t="s">
        <v>31</v>
      </c>
      <c r="AB741" s="6" t="n">
        <v>139</v>
      </c>
      <c r="AC741" s="6" t="n">
        <v>88</v>
      </c>
      <c r="AD741" s="6" t="n">
        <v>5</v>
      </c>
      <c r="AE741" s="6" t="n">
        <v>1296.23559570313</v>
      </c>
      <c r="AF741" s="8" t="n">
        <v>728.198853557</v>
      </c>
      <c r="AG741" s="11" t="n">
        <v>0.03432794023</v>
      </c>
      <c r="AH741" s="12" t="n">
        <v>1</v>
      </c>
      <c r="AI741" s="2" t="s">
        <v>317</v>
      </c>
      <c r="AJ741" s="2" t="s">
        <v>1732</v>
      </c>
      <c r="AK741" s="2" t="s">
        <v>1732</v>
      </c>
    </row>
    <row r="742" customFormat="false" ht="15" hidden="false" customHeight="false" outlineLevel="0" collapsed="false">
      <c r="A742" s="9"/>
      <c r="B742" s="2" t="s">
        <v>1733</v>
      </c>
      <c r="C742" s="2"/>
      <c r="D742" s="2" t="s">
        <v>1190</v>
      </c>
      <c r="E742" s="2" t="s">
        <v>1191</v>
      </c>
      <c r="F742" s="2"/>
      <c r="G742" s="2" t="s">
        <v>320</v>
      </c>
      <c r="H742" s="8" t="n">
        <v>1099.6541215025</v>
      </c>
      <c r="I742" s="2" t="s">
        <v>316</v>
      </c>
      <c r="J742" s="8" t="n">
        <v>1837500</v>
      </c>
      <c r="K742" s="6" t="n">
        <v>2</v>
      </c>
      <c r="L742" s="2" t="s">
        <v>1664</v>
      </c>
      <c r="M742" s="10" t="b">
        <f aca="false">FALSE()</f>
        <v>0</v>
      </c>
      <c r="N742" s="9" t="n">
        <f aca="false">IF(H742="","",IF(H742&gt;=Assumptions!$B$5,1,IF(H742&gt;=Assumptions!$B$6,2,IF(H742&gt;=Assumptions!$B$7,3,""))))</f>
        <v>1</v>
      </c>
      <c r="O742" s="9" t="n">
        <f aca="false">IF(N742=1,Assumptions!$B$8,IF(N742=2,Assumptions!$B$9,IF(N742=3,Assumptions!$B$10,0)))</f>
        <v>3</v>
      </c>
      <c r="P742" s="6" t="s">
        <v>30</v>
      </c>
      <c r="Q742" s="6" t="s">
        <v>30</v>
      </c>
      <c r="R742" s="11" t="s">
        <v>30</v>
      </c>
      <c r="S742" s="6" t="s">
        <v>30</v>
      </c>
      <c r="T742" s="11" t="s">
        <v>30</v>
      </c>
      <c r="U742" s="6" t="s">
        <v>30</v>
      </c>
      <c r="V742" s="6" t="s">
        <v>30</v>
      </c>
      <c r="W742" s="6" t="s">
        <v>30</v>
      </c>
      <c r="X742" s="2" t="s">
        <v>30</v>
      </c>
      <c r="Y742" s="6" t="str">
        <f aca="false">IF(AND(X742="processed",ISNUMBER(S742)),S742*O742,"")</f>
        <v/>
      </c>
      <c r="Z742" s="6" t="n">
        <f aca="false">IF(ISNUMBER(K742),K742*O742,0)</f>
        <v>6</v>
      </c>
      <c r="AA742" s="2" t="s">
        <v>31</v>
      </c>
      <c r="AB742" s="6"/>
      <c r="AC742" s="6"/>
      <c r="AD742" s="6"/>
      <c r="AE742" s="6"/>
      <c r="AF742" s="8" t="n">
        <v>1099.50522265</v>
      </c>
      <c r="AG742" s="11"/>
      <c r="AH742" s="12"/>
      <c r="AI742" s="2"/>
      <c r="AJ742" s="2"/>
      <c r="AK742" s="2"/>
    </row>
    <row r="743" customFormat="false" ht="15" hidden="false" customHeight="false" outlineLevel="0" collapsed="false">
      <c r="A743" s="9" t="n">
        <v>709</v>
      </c>
      <c r="B743" s="2" t="s">
        <v>1734</v>
      </c>
      <c r="C743" s="2" t="s">
        <v>1735</v>
      </c>
      <c r="D743" s="2" t="s">
        <v>190</v>
      </c>
      <c r="E743" s="2" t="s">
        <v>51</v>
      </c>
      <c r="F743" s="2"/>
      <c r="G743" s="2" t="s">
        <v>336</v>
      </c>
      <c r="H743" s="8" t="n">
        <v>510.763452175333</v>
      </c>
      <c r="I743" s="2" t="s">
        <v>316</v>
      </c>
      <c r="J743" s="8" t="n">
        <v>485666.666666667</v>
      </c>
      <c r="K743" s="6" t="n">
        <v>6</v>
      </c>
      <c r="L743" s="2"/>
      <c r="M743" s="10" t="b">
        <f aca="false">TRUE()</f>
        <v>1</v>
      </c>
      <c r="N743" s="9" t="n">
        <f aca="false">IF(H743="","",IF(H743&gt;=Assumptions!$B$5,1,IF(H743&gt;=Assumptions!$B$6,2,IF(H743&gt;=Assumptions!$B$7,3,""))))</f>
        <v>3</v>
      </c>
      <c r="O743" s="9" t="n">
        <f aca="false">IF(N743=1,Assumptions!$B$8,IF(N743=2,Assumptions!$B$9,IF(N743=3,Assumptions!$B$10,0)))</f>
        <v>1</v>
      </c>
      <c r="P743" s="6" t="s">
        <v>30</v>
      </c>
      <c r="Q743" s="6" t="s">
        <v>30</v>
      </c>
      <c r="R743" s="11" t="s">
        <v>30</v>
      </c>
      <c r="S743" s="6" t="s">
        <v>30</v>
      </c>
      <c r="T743" s="11" t="s">
        <v>30</v>
      </c>
      <c r="U743" s="6" t="s">
        <v>30</v>
      </c>
      <c r="V743" s="6" t="s">
        <v>30</v>
      </c>
      <c r="W743" s="6" t="s">
        <v>30</v>
      </c>
      <c r="X743" s="2" t="s">
        <v>30</v>
      </c>
      <c r="Y743" s="6" t="str">
        <f aca="false">IF(AND(X743="processed",ISNUMBER(S743)),S743*O743,"")</f>
        <v/>
      </c>
      <c r="Z743" s="6" t="n">
        <f aca="false">IF(ISNUMBER(K743),K743*O743,0)</f>
        <v>6</v>
      </c>
      <c r="AA743" s="2" t="s">
        <v>31</v>
      </c>
      <c r="AB743" s="6" t="n">
        <v>377</v>
      </c>
      <c r="AC743" s="6" t="n">
        <v>291</v>
      </c>
      <c r="AD743" s="6" t="n">
        <v>10</v>
      </c>
      <c r="AE743" s="6" t="n">
        <v>1073.77392578125</v>
      </c>
      <c r="AF743" s="8" t="n">
        <v>490.909090909</v>
      </c>
      <c r="AG743" s="11" t="n">
        <v>0.2237718406</v>
      </c>
      <c r="AH743" s="12" t="n">
        <v>1</v>
      </c>
      <c r="AI743" s="2" t="s">
        <v>1597</v>
      </c>
      <c r="AJ743" s="2"/>
      <c r="AK743" s="2" t="s">
        <v>1735</v>
      </c>
    </row>
    <row r="744" customFormat="false" ht="15" hidden="false" customHeight="false" outlineLevel="0" collapsed="false">
      <c r="A744" s="9" t="n">
        <v>710</v>
      </c>
      <c r="B744" s="2" t="s">
        <v>1736</v>
      </c>
      <c r="C744" s="2" t="s">
        <v>1737</v>
      </c>
      <c r="D744" s="2" t="s">
        <v>190</v>
      </c>
      <c r="E744" s="2" t="s">
        <v>51</v>
      </c>
      <c r="F744" s="2"/>
      <c r="G744" s="2" t="s">
        <v>336</v>
      </c>
      <c r="H744" s="8" t="n">
        <v>649.066699850667</v>
      </c>
      <c r="I744" s="2" t="s">
        <v>316</v>
      </c>
      <c r="J744" s="8" t="n">
        <v>536333.333333333</v>
      </c>
      <c r="K744" s="6" t="n">
        <v>3</v>
      </c>
      <c r="L744" s="2" t="s">
        <v>1664</v>
      </c>
      <c r="M744" s="10" t="b">
        <f aca="false">TRUE()</f>
        <v>1</v>
      </c>
      <c r="N744" s="9" t="n">
        <f aca="false">IF(H744="","",IF(H744&gt;=Assumptions!$B$5,1,IF(H744&gt;=Assumptions!$B$6,2,IF(H744&gt;=Assumptions!$B$7,3,""))))</f>
        <v>2</v>
      </c>
      <c r="O744" s="9" t="n">
        <f aca="false">IF(N744=1,Assumptions!$B$8,IF(N744=2,Assumptions!$B$9,IF(N744=3,Assumptions!$B$10,0)))</f>
        <v>2</v>
      </c>
      <c r="P744" s="6" t="s">
        <v>30</v>
      </c>
      <c r="Q744" s="6" t="s">
        <v>30</v>
      </c>
      <c r="R744" s="11" t="s">
        <v>30</v>
      </c>
      <c r="S744" s="6" t="s">
        <v>30</v>
      </c>
      <c r="T744" s="11" t="s">
        <v>30</v>
      </c>
      <c r="U744" s="6" t="s">
        <v>30</v>
      </c>
      <c r="V744" s="6" t="s">
        <v>30</v>
      </c>
      <c r="W744" s="6" t="s">
        <v>30</v>
      </c>
      <c r="X744" s="2" t="s">
        <v>30</v>
      </c>
      <c r="Y744" s="6" t="str">
        <f aca="false">IF(AND(X744="processed",ISNUMBER(S744)),S744*O744,"")</f>
        <v/>
      </c>
      <c r="Z744" s="6" t="n">
        <f aca="false">IF(ISNUMBER(K744),K744*O744,0)</f>
        <v>6</v>
      </c>
      <c r="AA744" s="2" t="s">
        <v>31</v>
      </c>
      <c r="AB744" s="6" t="n">
        <v>67</v>
      </c>
      <c r="AC744" s="6" t="n">
        <v>51</v>
      </c>
      <c r="AD744" s="6" t="n">
        <v>2</v>
      </c>
      <c r="AE744" s="6" t="n">
        <v>1090.52648925781</v>
      </c>
      <c r="AF744" s="8" t="n">
        <v>561.224489796</v>
      </c>
      <c r="AG744" s="11"/>
      <c r="AH744" s="12" t="n">
        <v>0.999999999999999</v>
      </c>
      <c r="AI744" s="2" t="s">
        <v>1597</v>
      </c>
      <c r="AJ744" s="2"/>
      <c r="AK744" s="2" t="s">
        <v>1737</v>
      </c>
    </row>
    <row r="745" customFormat="false" ht="15" hidden="false" customHeight="false" outlineLevel="0" collapsed="false">
      <c r="A745" s="9" t="n">
        <v>711</v>
      </c>
      <c r="B745" s="2" t="s">
        <v>1738</v>
      </c>
      <c r="C745" s="2" t="s">
        <v>1739</v>
      </c>
      <c r="D745" s="2" t="s">
        <v>1740</v>
      </c>
      <c r="E745" s="2" t="s">
        <v>51</v>
      </c>
      <c r="F745" s="2"/>
      <c r="G745" s="2" t="s">
        <v>1741</v>
      </c>
      <c r="H745" s="8" t="n">
        <v>727.8580618795</v>
      </c>
      <c r="I745" s="2" t="s">
        <v>316</v>
      </c>
      <c r="J745" s="8" t="n">
        <v>1550000</v>
      </c>
      <c r="K745" s="6" t="n">
        <v>2</v>
      </c>
      <c r="L745" s="2" t="s">
        <v>1664</v>
      </c>
      <c r="M745" s="10" t="b">
        <f aca="false">TRUE()</f>
        <v>1</v>
      </c>
      <c r="N745" s="9" t="n">
        <f aca="false">IF(H745="","",IF(H745&gt;=Assumptions!$B$5,1,IF(H745&gt;=Assumptions!$B$6,2,IF(H745&gt;=Assumptions!$B$7,3,""))))</f>
        <v>1</v>
      </c>
      <c r="O745" s="9" t="n">
        <f aca="false">IF(N745=1,Assumptions!$B$8,IF(N745=2,Assumptions!$B$9,IF(N745=3,Assumptions!$B$10,0)))</f>
        <v>3</v>
      </c>
      <c r="P745" s="6" t="s">
        <v>30</v>
      </c>
      <c r="Q745" s="6" t="s">
        <v>30</v>
      </c>
      <c r="R745" s="11" t="s">
        <v>30</v>
      </c>
      <c r="S745" s="6" t="s">
        <v>30</v>
      </c>
      <c r="T745" s="11" t="s">
        <v>30</v>
      </c>
      <c r="U745" s="6" t="s">
        <v>30</v>
      </c>
      <c r="V745" s="6" t="s">
        <v>30</v>
      </c>
      <c r="W745" s="6" t="s">
        <v>30</v>
      </c>
      <c r="X745" s="2" t="s">
        <v>30</v>
      </c>
      <c r="Y745" s="6" t="str">
        <f aca="false">IF(AND(X745="processed",ISNUMBER(S745)),S745*O745,"")</f>
        <v/>
      </c>
      <c r="Z745" s="6" t="n">
        <f aca="false">IF(ISNUMBER(K745),K745*O745,0)</f>
        <v>6</v>
      </c>
      <c r="AA745" s="2" t="s">
        <v>31</v>
      </c>
      <c r="AB745" s="6" t="n">
        <v>246</v>
      </c>
      <c r="AC745" s="6" t="n">
        <v>195</v>
      </c>
      <c r="AD745" s="6" t="n">
        <v>140</v>
      </c>
      <c r="AE745" s="6" t="n">
        <v>1692.47827148438</v>
      </c>
      <c r="AF745" s="8" t="n">
        <v>396.03960396</v>
      </c>
      <c r="AG745" s="11"/>
      <c r="AH745" s="12" t="n">
        <v>1</v>
      </c>
      <c r="AI745" s="2" t="s">
        <v>590</v>
      </c>
      <c r="AJ745" s="2" t="s">
        <v>1742</v>
      </c>
      <c r="AK745" s="2" t="s">
        <v>1743</v>
      </c>
    </row>
    <row r="746" customFormat="false" ht="15" hidden="false" customHeight="false" outlineLevel="0" collapsed="false">
      <c r="A746" s="9" t="n">
        <v>712</v>
      </c>
      <c r="B746" s="2" t="s">
        <v>1744</v>
      </c>
      <c r="C746" s="2" t="s">
        <v>70</v>
      </c>
      <c r="D746" s="2" t="s">
        <v>70</v>
      </c>
      <c r="E746" s="2" t="s">
        <v>71</v>
      </c>
      <c r="F746" s="2"/>
      <c r="G746" s="2" t="s">
        <v>329</v>
      </c>
      <c r="H746" s="8" t="n">
        <v>586.34465628375</v>
      </c>
      <c r="I746" s="2" t="s">
        <v>316</v>
      </c>
      <c r="J746" s="8" t="n">
        <v>469250</v>
      </c>
      <c r="K746" s="6" t="n">
        <v>4</v>
      </c>
      <c r="L746" s="2" t="s">
        <v>1664</v>
      </c>
      <c r="M746" s="10" t="b">
        <f aca="false">TRUE()</f>
        <v>1</v>
      </c>
      <c r="N746" s="9" t="n">
        <f aca="false">IF(H746="","",IF(H746&gt;=Assumptions!$B$5,1,IF(H746&gt;=Assumptions!$B$6,2,IF(H746&gt;=Assumptions!$B$7,3,""))))</f>
        <v>3</v>
      </c>
      <c r="O746" s="9" t="n">
        <f aca="false">IF(N746=1,Assumptions!$B$8,IF(N746=2,Assumptions!$B$9,IF(N746=3,Assumptions!$B$10,0)))</f>
        <v>1</v>
      </c>
      <c r="P746" s="6" t="s">
        <v>30</v>
      </c>
      <c r="Q746" s="6" t="s">
        <v>30</v>
      </c>
      <c r="R746" s="11" t="s">
        <v>30</v>
      </c>
      <c r="S746" s="6" t="s">
        <v>30</v>
      </c>
      <c r="T746" s="11" t="s">
        <v>30</v>
      </c>
      <c r="U746" s="6" t="s">
        <v>30</v>
      </c>
      <c r="V746" s="6" t="s">
        <v>30</v>
      </c>
      <c r="W746" s="6" t="s">
        <v>30</v>
      </c>
      <c r="X746" s="2" t="s">
        <v>30</v>
      </c>
      <c r="Y746" s="6" t="str">
        <f aca="false">IF(AND(X746="processed",ISNUMBER(S746)),S746*O746,"")</f>
        <v/>
      </c>
      <c r="Z746" s="6" t="n">
        <f aca="false">IF(ISNUMBER(K746),K746*O746,0)</f>
        <v>4</v>
      </c>
      <c r="AA746" s="2" t="s">
        <v>31</v>
      </c>
      <c r="AB746" s="6" t="n">
        <v>2738</v>
      </c>
      <c r="AC746" s="6" t="n">
        <v>1072</v>
      </c>
      <c r="AD746" s="6" t="n">
        <v>215</v>
      </c>
      <c r="AE746" s="6" t="n">
        <v>1822.56372070313</v>
      </c>
      <c r="AF746" s="8" t="n">
        <v>509.868421053</v>
      </c>
      <c r="AG746" s="11"/>
      <c r="AH746" s="12" t="n">
        <v>1</v>
      </c>
      <c r="AI746" s="2" t="s">
        <v>317</v>
      </c>
      <c r="AJ746" s="2" t="s">
        <v>70</v>
      </c>
      <c r="AK746" s="2" t="s">
        <v>1745</v>
      </c>
    </row>
    <row r="747" customFormat="false" ht="15" hidden="false" customHeight="false" outlineLevel="0" collapsed="false">
      <c r="A747" s="9"/>
      <c r="B747" s="2" t="s">
        <v>1746</v>
      </c>
      <c r="C747" s="2"/>
      <c r="D747" s="2" t="s">
        <v>1190</v>
      </c>
      <c r="E747" s="2" t="s">
        <v>1191</v>
      </c>
      <c r="F747" s="2"/>
      <c r="G747" s="2" t="s">
        <v>329</v>
      </c>
      <c r="H747" s="8" t="n">
        <v>639.13749714</v>
      </c>
      <c r="I747" s="2" t="s">
        <v>316</v>
      </c>
      <c r="J747" s="8" t="n">
        <v>848500</v>
      </c>
      <c r="K747" s="6" t="n">
        <v>2</v>
      </c>
      <c r="L747" s="2" t="s">
        <v>1664</v>
      </c>
      <c r="M747" s="10" t="b">
        <f aca="false">FALSE()</f>
        <v>0</v>
      </c>
      <c r="N747" s="9" t="n">
        <f aca="false">IF(H747="","",IF(H747&gt;=Assumptions!$B$5,1,IF(H747&gt;=Assumptions!$B$6,2,IF(H747&gt;=Assumptions!$B$7,3,""))))</f>
        <v>2</v>
      </c>
      <c r="O747" s="9" t="n">
        <f aca="false">IF(N747=1,Assumptions!$B$8,IF(N747=2,Assumptions!$B$9,IF(N747=3,Assumptions!$B$10,0)))</f>
        <v>2</v>
      </c>
      <c r="P747" s="6" t="s">
        <v>30</v>
      </c>
      <c r="Q747" s="6" t="s">
        <v>30</v>
      </c>
      <c r="R747" s="11" t="s">
        <v>30</v>
      </c>
      <c r="S747" s="6" t="s">
        <v>30</v>
      </c>
      <c r="T747" s="11" t="s">
        <v>30</v>
      </c>
      <c r="U747" s="6" t="s">
        <v>30</v>
      </c>
      <c r="V747" s="6" t="s">
        <v>30</v>
      </c>
      <c r="W747" s="6" t="s">
        <v>30</v>
      </c>
      <c r="X747" s="2" t="s">
        <v>30</v>
      </c>
      <c r="Y747" s="6" t="str">
        <f aca="false">IF(AND(X747="processed",ISNUMBER(S747)),S747*O747,"")</f>
        <v/>
      </c>
      <c r="Z747" s="6" t="n">
        <f aca="false">IF(ISNUMBER(K747),K747*O747,0)</f>
        <v>4</v>
      </c>
      <c r="AA747" s="2" t="s">
        <v>31</v>
      </c>
      <c r="AB747" s="6"/>
      <c r="AC747" s="6"/>
      <c r="AD747" s="6"/>
      <c r="AE747" s="6"/>
      <c r="AF747" s="8" t="n">
        <v>639.13749714</v>
      </c>
      <c r="AG747" s="11" t="n">
        <v>0.1681661581</v>
      </c>
      <c r="AH747" s="12"/>
      <c r="AI747" s="2"/>
      <c r="AJ747" s="2"/>
      <c r="AK747" s="2"/>
    </row>
    <row r="748" customFormat="false" ht="15" hidden="false" customHeight="false" outlineLevel="0" collapsed="false">
      <c r="A748" s="9"/>
      <c r="B748" s="2" t="s">
        <v>1747</v>
      </c>
      <c r="C748" s="2"/>
      <c r="D748" s="2" t="s">
        <v>1190</v>
      </c>
      <c r="E748" s="2" t="s">
        <v>1191</v>
      </c>
      <c r="F748" s="2"/>
      <c r="G748" s="2" t="s">
        <v>458</v>
      </c>
      <c r="H748" s="8" t="n">
        <v>514.548078539</v>
      </c>
      <c r="I748" s="2" t="s">
        <v>316</v>
      </c>
      <c r="J748" s="8" t="n">
        <v>516750</v>
      </c>
      <c r="K748" s="6" t="n">
        <v>4</v>
      </c>
      <c r="L748" s="2" t="s">
        <v>1664</v>
      </c>
      <c r="M748" s="10" t="b">
        <f aca="false">FALSE()</f>
        <v>0</v>
      </c>
      <c r="N748" s="9" t="n">
        <f aca="false">IF(H748="","",IF(H748&gt;=Assumptions!$B$5,1,IF(H748&gt;=Assumptions!$B$6,2,IF(H748&gt;=Assumptions!$B$7,3,""))))</f>
        <v>3</v>
      </c>
      <c r="O748" s="9" t="n">
        <f aca="false">IF(N748=1,Assumptions!$B$8,IF(N748=2,Assumptions!$B$9,IF(N748=3,Assumptions!$B$10,0)))</f>
        <v>1</v>
      </c>
      <c r="P748" s="6" t="s">
        <v>30</v>
      </c>
      <c r="Q748" s="6" t="s">
        <v>30</v>
      </c>
      <c r="R748" s="11" t="s">
        <v>30</v>
      </c>
      <c r="S748" s="6" t="s">
        <v>30</v>
      </c>
      <c r="T748" s="11" t="s">
        <v>30</v>
      </c>
      <c r="U748" s="6" t="s">
        <v>30</v>
      </c>
      <c r="V748" s="6" t="s">
        <v>30</v>
      </c>
      <c r="W748" s="6" t="s">
        <v>30</v>
      </c>
      <c r="X748" s="2" t="s">
        <v>30</v>
      </c>
      <c r="Y748" s="6" t="str">
        <f aca="false">IF(AND(X748="processed",ISNUMBER(S748)),S748*O748,"")</f>
        <v/>
      </c>
      <c r="Z748" s="6" t="n">
        <f aca="false">IF(ISNUMBER(K748),K748*O748,0)</f>
        <v>4</v>
      </c>
      <c r="AA748" s="2" t="s">
        <v>31</v>
      </c>
      <c r="AB748" s="6"/>
      <c r="AC748" s="6"/>
      <c r="AD748" s="6"/>
      <c r="AE748" s="6"/>
      <c r="AF748" s="8" t="n">
        <v>593.653549383</v>
      </c>
      <c r="AG748" s="11"/>
      <c r="AH748" s="12"/>
      <c r="AI748" s="2"/>
      <c r="AJ748" s="2"/>
      <c r="AK748" s="2"/>
    </row>
    <row r="749" customFormat="false" ht="15" hidden="false" customHeight="false" outlineLevel="0" collapsed="false">
      <c r="A749" s="9"/>
      <c r="B749" s="2" t="s">
        <v>1748</v>
      </c>
      <c r="C749" s="2"/>
      <c r="D749" s="2" t="s">
        <v>1190</v>
      </c>
      <c r="E749" s="2" t="s">
        <v>1191</v>
      </c>
      <c r="F749" s="2"/>
      <c r="G749" s="2" t="s">
        <v>315</v>
      </c>
      <c r="H749" s="8" t="n">
        <v>634.529060463</v>
      </c>
      <c r="I749" s="2" t="s">
        <v>316</v>
      </c>
      <c r="J749" s="8" t="n">
        <v>1005000</v>
      </c>
      <c r="K749" s="6" t="n">
        <v>2</v>
      </c>
      <c r="L749" s="2" t="s">
        <v>1664</v>
      </c>
      <c r="M749" s="10" t="b">
        <f aca="false">FALSE()</f>
        <v>0</v>
      </c>
      <c r="N749" s="9" t="n">
        <f aca="false">IF(H749="","",IF(H749&gt;=Assumptions!$B$5,1,IF(H749&gt;=Assumptions!$B$6,2,IF(H749&gt;=Assumptions!$B$7,3,""))))</f>
        <v>2</v>
      </c>
      <c r="O749" s="9" t="n">
        <f aca="false">IF(N749=1,Assumptions!$B$8,IF(N749=2,Assumptions!$B$9,IF(N749=3,Assumptions!$B$10,0)))</f>
        <v>2</v>
      </c>
      <c r="P749" s="6" t="s">
        <v>30</v>
      </c>
      <c r="Q749" s="6" t="s">
        <v>30</v>
      </c>
      <c r="R749" s="11" t="s">
        <v>30</v>
      </c>
      <c r="S749" s="6" t="s">
        <v>30</v>
      </c>
      <c r="T749" s="11" t="s">
        <v>30</v>
      </c>
      <c r="U749" s="6" t="s">
        <v>30</v>
      </c>
      <c r="V749" s="6" t="s">
        <v>30</v>
      </c>
      <c r="W749" s="6" t="s">
        <v>30</v>
      </c>
      <c r="X749" s="2" t="s">
        <v>30</v>
      </c>
      <c r="Y749" s="6" t="str">
        <f aca="false">IF(AND(X749="processed",ISNUMBER(S749)),S749*O749,"")</f>
        <v/>
      </c>
      <c r="Z749" s="6" t="n">
        <f aca="false">IF(ISNUMBER(K749),K749*O749,0)</f>
        <v>4</v>
      </c>
      <c r="AA749" s="2" t="s">
        <v>31</v>
      </c>
      <c r="AB749" s="6"/>
      <c r="AC749" s="6"/>
      <c r="AD749" s="6"/>
      <c r="AE749" s="6"/>
      <c r="AF749" s="8" t="n">
        <v>726.277372263</v>
      </c>
      <c r="AG749" s="11"/>
      <c r="AH749" s="12"/>
      <c r="AI749" s="2"/>
      <c r="AJ749" s="2"/>
      <c r="AK749" s="2"/>
    </row>
    <row r="750" customFormat="false" ht="15" hidden="false" customHeight="false" outlineLevel="0" collapsed="false">
      <c r="A750" s="9"/>
      <c r="B750" s="2" t="s">
        <v>1749</v>
      </c>
      <c r="C750" s="2"/>
      <c r="D750" s="2" t="s">
        <v>1190</v>
      </c>
      <c r="E750" s="2" t="s">
        <v>1191</v>
      </c>
      <c r="F750" s="2"/>
      <c r="G750" s="2" t="s">
        <v>315</v>
      </c>
      <c r="H750" s="8" t="n">
        <v>631.813970868</v>
      </c>
      <c r="I750" s="2" t="s">
        <v>316</v>
      </c>
      <c r="J750" s="8" t="n">
        <v>974500</v>
      </c>
      <c r="K750" s="6" t="n">
        <v>2</v>
      </c>
      <c r="L750" s="2" t="s">
        <v>1664</v>
      </c>
      <c r="M750" s="10" t="b">
        <f aca="false">FALSE()</f>
        <v>0</v>
      </c>
      <c r="N750" s="9" t="n">
        <f aca="false">IF(H750="","",IF(H750&gt;=Assumptions!$B$5,1,IF(H750&gt;=Assumptions!$B$6,2,IF(H750&gt;=Assumptions!$B$7,3,""))))</f>
        <v>2</v>
      </c>
      <c r="O750" s="9" t="n">
        <f aca="false">IF(N750=1,Assumptions!$B$8,IF(N750=2,Assumptions!$B$9,IF(N750=3,Assumptions!$B$10,0)))</f>
        <v>2</v>
      </c>
      <c r="P750" s="6" t="s">
        <v>30</v>
      </c>
      <c r="Q750" s="6" t="s">
        <v>30</v>
      </c>
      <c r="R750" s="11" t="s">
        <v>30</v>
      </c>
      <c r="S750" s="6" t="s">
        <v>30</v>
      </c>
      <c r="T750" s="11" t="s">
        <v>30</v>
      </c>
      <c r="U750" s="6" t="s">
        <v>30</v>
      </c>
      <c r="V750" s="6" t="s">
        <v>30</v>
      </c>
      <c r="W750" s="6" t="s">
        <v>30</v>
      </c>
      <c r="X750" s="2" t="s">
        <v>30</v>
      </c>
      <c r="Y750" s="6" t="str">
        <f aca="false">IF(AND(X750="processed",ISNUMBER(S750)),S750*O750,"")</f>
        <v/>
      </c>
      <c r="Z750" s="6" t="n">
        <f aca="false">IF(ISNUMBER(K750),K750*O750,0)</f>
        <v>4</v>
      </c>
      <c r="AA750" s="2" t="s">
        <v>31</v>
      </c>
      <c r="AB750" s="6"/>
      <c r="AC750" s="6"/>
      <c r="AD750" s="6"/>
      <c r="AE750" s="6"/>
      <c r="AF750" s="8" t="n">
        <v>572.781655035</v>
      </c>
      <c r="AG750" s="11"/>
      <c r="AH750" s="12"/>
      <c r="AI750" s="2"/>
      <c r="AJ750" s="2"/>
      <c r="AK750" s="2"/>
    </row>
    <row r="751" customFormat="false" ht="15" hidden="false" customHeight="false" outlineLevel="0" collapsed="false">
      <c r="A751" s="9"/>
      <c r="B751" s="2" t="s">
        <v>1750</v>
      </c>
      <c r="C751" s="2"/>
      <c r="D751" s="2" t="s">
        <v>1190</v>
      </c>
      <c r="E751" s="2" t="s">
        <v>1191</v>
      </c>
      <c r="F751" s="2"/>
      <c r="G751" s="2" t="s">
        <v>348</v>
      </c>
      <c r="H751" s="8" t="n">
        <v>615.3135863825</v>
      </c>
      <c r="I751" s="2" t="s">
        <v>316</v>
      </c>
      <c r="J751" s="8" t="n">
        <v>702000</v>
      </c>
      <c r="K751" s="6" t="n">
        <v>2</v>
      </c>
      <c r="L751" s="2" t="s">
        <v>1664</v>
      </c>
      <c r="M751" s="10" t="b">
        <f aca="false">FALSE()</f>
        <v>0</v>
      </c>
      <c r="N751" s="9" t="n">
        <f aca="false">IF(H751="","",IF(H751&gt;=Assumptions!$B$5,1,IF(H751&gt;=Assumptions!$B$6,2,IF(H751&gt;=Assumptions!$B$7,3,""))))</f>
        <v>2</v>
      </c>
      <c r="O751" s="9" t="n">
        <f aca="false">IF(N751=1,Assumptions!$B$8,IF(N751=2,Assumptions!$B$9,IF(N751=3,Assumptions!$B$10,0)))</f>
        <v>2</v>
      </c>
      <c r="P751" s="6" t="s">
        <v>30</v>
      </c>
      <c r="Q751" s="6" t="s">
        <v>30</v>
      </c>
      <c r="R751" s="11" t="s">
        <v>30</v>
      </c>
      <c r="S751" s="6" t="s">
        <v>30</v>
      </c>
      <c r="T751" s="11" t="s">
        <v>30</v>
      </c>
      <c r="U751" s="6" t="s">
        <v>30</v>
      </c>
      <c r="V751" s="6" t="s">
        <v>30</v>
      </c>
      <c r="W751" s="6" t="s">
        <v>30</v>
      </c>
      <c r="X751" s="2" t="s">
        <v>30</v>
      </c>
      <c r="Y751" s="6" t="str">
        <f aca="false">IF(AND(X751="processed",ISNUMBER(S751)),S751*O751,"")</f>
        <v/>
      </c>
      <c r="Z751" s="6" t="n">
        <f aca="false">IF(ISNUMBER(K751),K751*O751,0)</f>
        <v>4</v>
      </c>
      <c r="AA751" s="2" t="s">
        <v>31</v>
      </c>
      <c r="AB751" s="6"/>
      <c r="AC751" s="6"/>
      <c r="AD751" s="6"/>
      <c r="AE751" s="6"/>
      <c r="AF751" s="8" t="n">
        <v>632.730732636</v>
      </c>
      <c r="AG751" s="11"/>
      <c r="AH751" s="12"/>
      <c r="AI751" s="2"/>
      <c r="AJ751" s="2"/>
      <c r="AK751" s="2"/>
    </row>
    <row r="752" customFormat="false" ht="15" hidden="false" customHeight="false" outlineLevel="0" collapsed="false">
      <c r="A752" s="9"/>
      <c r="B752" s="2" t="s">
        <v>1751</v>
      </c>
      <c r="C752" s="2"/>
      <c r="D752" s="2" t="s">
        <v>1190</v>
      </c>
      <c r="E752" s="2" t="s">
        <v>1191</v>
      </c>
      <c r="F752" s="2"/>
      <c r="G752" s="2" t="s">
        <v>338</v>
      </c>
      <c r="H752" s="8" t="n">
        <v>682.289879931</v>
      </c>
      <c r="I752" s="2" t="s">
        <v>316</v>
      </c>
      <c r="J752" s="8" t="n">
        <v>1600000</v>
      </c>
      <c r="K752" s="6" t="n">
        <v>2</v>
      </c>
      <c r="L752" s="2" t="s">
        <v>1664</v>
      </c>
      <c r="M752" s="10" t="b">
        <f aca="false">FALSE()</f>
        <v>0</v>
      </c>
      <c r="N752" s="9" t="n">
        <f aca="false">IF(H752="","",IF(H752&gt;=Assumptions!$B$5,1,IF(H752&gt;=Assumptions!$B$6,2,IF(H752&gt;=Assumptions!$B$7,3,""))))</f>
        <v>2</v>
      </c>
      <c r="O752" s="9" t="n">
        <f aca="false">IF(N752=1,Assumptions!$B$8,IF(N752=2,Assumptions!$B$9,IF(N752=3,Assumptions!$B$10,0)))</f>
        <v>2</v>
      </c>
      <c r="P752" s="6" t="s">
        <v>30</v>
      </c>
      <c r="Q752" s="6" t="s">
        <v>30</v>
      </c>
      <c r="R752" s="11" t="s">
        <v>30</v>
      </c>
      <c r="S752" s="6" t="s">
        <v>30</v>
      </c>
      <c r="T752" s="11" t="s">
        <v>30</v>
      </c>
      <c r="U752" s="6" t="s">
        <v>30</v>
      </c>
      <c r="V752" s="6" t="s">
        <v>30</v>
      </c>
      <c r="W752" s="6" t="s">
        <v>30</v>
      </c>
      <c r="X752" s="2" t="s">
        <v>30</v>
      </c>
      <c r="Y752" s="6" t="str">
        <f aca="false">IF(AND(X752="processed",ISNUMBER(S752)),S752*O752,"")</f>
        <v/>
      </c>
      <c r="Z752" s="6" t="n">
        <f aca="false">IF(ISNUMBER(K752),K752*O752,0)</f>
        <v>4</v>
      </c>
      <c r="AA752" s="2" t="s">
        <v>31</v>
      </c>
      <c r="AB752" s="6"/>
      <c r="AC752" s="6"/>
      <c r="AD752" s="6"/>
      <c r="AE752" s="6"/>
      <c r="AF752" s="8" t="n">
        <v>682.289879931</v>
      </c>
      <c r="AG752" s="11" t="n">
        <v>-0.2118267503</v>
      </c>
      <c r="AH752" s="12"/>
      <c r="AI752" s="2"/>
      <c r="AJ752" s="2"/>
      <c r="AK752" s="2"/>
    </row>
    <row r="753" customFormat="false" ht="15" hidden="false" customHeight="false" outlineLevel="0" collapsed="false">
      <c r="A753" s="9" t="n">
        <v>713</v>
      </c>
      <c r="B753" s="2" t="s">
        <v>1752</v>
      </c>
      <c r="C753" s="2" t="s">
        <v>1753</v>
      </c>
      <c r="D753" s="2" t="s">
        <v>1643</v>
      </c>
      <c r="E753" s="2" t="s">
        <v>51</v>
      </c>
      <c r="F753" s="2"/>
      <c r="G753" s="2" t="s">
        <v>320</v>
      </c>
      <c r="H753" s="8" t="n">
        <v>561.3938039285</v>
      </c>
      <c r="I753" s="2" t="s">
        <v>316</v>
      </c>
      <c r="J753" s="8" t="n">
        <v>800000</v>
      </c>
      <c r="K753" s="6" t="n">
        <v>4</v>
      </c>
      <c r="L753" s="2" t="s">
        <v>1664</v>
      </c>
      <c r="M753" s="10" t="b">
        <f aca="false">TRUE()</f>
        <v>1</v>
      </c>
      <c r="N753" s="9" t="n">
        <f aca="false">IF(H753="","",IF(H753&gt;=Assumptions!$B$5,1,IF(H753&gt;=Assumptions!$B$6,2,IF(H753&gt;=Assumptions!$B$7,3,""))))</f>
        <v>3</v>
      </c>
      <c r="O753" s="9" t="n">
        <f aca="false">IF(N753=1,Assumptions!$B$8,IF(N753=2,Assumptions!$B$9,IF(N753=3,Assumptions!$B$10,0)))</f>
        <v>1</v>
      </c>
      <c r="P753" s="6" t="s">
        <v>30</v>
      </c>
      <c r="Q753" s="6" t="s">
        <v>30</v>
      </c>
      <c r="R753" s="11" t="s">
        <v>30</v>
      </c>
      <c r="S753" s="6" t="s">
        <v>30</v>
      </c>
      <c r="T753" s="11" t="s">
        <v>30</v>
      </c>
      <c r="U753" s="6" t="s">
        <v>30</v>
      </c>
      <c r="V753" s="6" t="s">
        <v>30</v>
      </c>
      <c r="W753" s="6" t="s">
        <v>30</v>
      </c>
      <c r="X753" s="2" t="s">
        <v>30</v>
      </c>
      <c r="Y753" s="6" t="str">
        <f aca="false">IF(AND(X753="processed",ISNUMBER(S753)),S753*O753,"")</f>
        <v/>
      </c>
      <c r="Z753" s="6" t="n">
        <f aca="false">IF(ISNUMBER(K753),K753*O753,0)</f>
        <v>4</v>
      </c>
      <c r="AA753" s="2" t="s">
        <v>31</v>
      </c>
      <c r="AB753" s="6" t="n">
        <v>1860</v>
      </c>
      <c r="AC753" s="6" t="n">
        <v>1305</v>
      </c>
      <c r="AD753" s="6" t="n">
        <v>742</v>
      </c>
      <c r="AE753" s="6" t="n">
        <v>1664.88012695313</v>
      </c>
      <c r="AF753" s="8" t="n">
        <v>933.333333333</v>
      </c>
      <c r="AG753" s="11" t="n">
        <v>0.7201365188</v>
      </c>
      <c r="AH753" s="12" t="n">
        <v>0.999662337605279</v>
      </c>
      <c r="AI753" s="2" t="s">
        <v>1597</v>
      </c>
      <c r="AJ753" s="2"/>
      <c r="AK753" s="2" t="s">
        <v>1753</v>
      </c>
    </row>
    <row r="754" customFormat="false" ht="15" hidden="false" customHeight="false" outlineLevel="0" collapsed="false">
      <c r="A754" s="9" t="n">
        <v>714</v>
      </c>
      <c r="B754" s="2" t="s">
        <v>1754</v>
      </c>
      <c r="C754" s="2" t="s">
        <v>1755</v>
      </c>
      <c r="D754" s="2" t="s">
        <v>190</v>
      </c>
      <c r="E754" s="2" t="s">
        <v>51</v>
      </c>
      <c r="F754" s="2"/>
      <c r="G754" s="2" t="s">
        <v>336</v>
      </c>
      <c r="H754" s="8" t="n">
        <v>630.150857615</v>
      </c>
      <c r="I754" s="2" t="s">
        <v>316</v>
      </c>
      <c r="J754" s="8" t="n">
        <v>975000</v>
      </c>
      <c r="K754" s="6" t="n">
        <v>2</v>
      </c>
      <c r="L754" s="2" t="s">
        <v>1664</v>
      </c>
      <c r="M754" s="10" t="b">
        <f aca="false">TRUE()</f>
        <v>1</v>
      </c>
      <c r="N754" s="9" t="n">
        <f aca="false">IF(H754="","",IF(H754&gt;=Assumptions!$B$5,1,IF(H754&gt;=Assumptions!$B$6,2,IF(H754&gt;=Assumptions!$B$7,3,""))))</f>
        <v>2</v>
      </c>
      <c r="O754" s="9" t="n">
        <f aca="false">IF(N754=1,Assumptions!$B$8,IF(N754=2,Assumptions!$B$9,IF(N754=3,Assumptions!$B$10,0)))</f>
        <v>2</v>
      </c>
      <c r="P754" s="6" t="s">
        <v>30</v>
      </c>
      <c r="Q754" s="6" t="s">
        <v>30</v>
      </c>
      <c r="R754" s="11" t="s">
        <v>30</v>
      </c>
      <c r="S754" s="6" t="s">
        <v>30</v>
      </c>
      <c r="T754" s="11" t="s">
        <v>30</v>
      </c>
      <c r="U754" s="6" t="s">
        <v>30</v>
      </c>
      <c r="V754" s="6" t="s">
        <v>30</v>
      </c>
      <c r="W754" s="6" t="s">
        <v>30</v>
      </c>
      <c r="X754" s="2" t="s">
        <v>30</v>
      </c>
      <c r="Y754" s="6" t="str">
        <f aca="false">IF(AND(X754="processed",ISNUMBER(S754)),S754*O754,"")</f>
        <v/>
      </c>
      <c r="Z754" s="6" t="n">
        <f aca="false">IF(ISNUMBER(K754),K754*O754,0)</f>
        <v>4</v>
      </c>
      <c r="AA754" s="2" t="s">
        <v>31</v>
      </c>
      <c r="AB754" s="6" t="n">
        <v>527</v>
      </c>
      <c r="AC754" s="6" t="n">
        <v>326</v>
      </c>
      <c r="AD754" s="6" t="n">
        <v>41</v>
      </c>
      <c r="AE754" s="6" t="n">
        <v>1721.06494140625</v>
      </c>
      <c r="AF754" s="8" t="n">
        <v>526.968381897</v>
      </c>
      <c r="AG754" s="11" t="n">
        <v>-0.4851924269</v>
      </c>
      <c r="AH754" s="12" t="n">
        <v>1</v>
      </c>
      <c r="AI754" s="2" t="s">
        <v>317</v>
      </c>
      <c r="AJ754" s="2" t="s">
        <v>1755</v>
      </c>
      <c r="AK754" s="2" t="s">
        <v>1755</v>
      </c>
    </row>
    <row r="755" customFormat="false" ht="15" hidden="false" customHeight="false" outlineLevel="0" collapsed="false">
      <c r="A755" s="9" t="n">
        <v>715</v>
      </c>
      <c r="B755" s="2" t="s">
        <v>1756</v>
      </c>
      <c r="C755" s="2" t="s">
        <v>1757</v>
      </c>
      <c r="D755" s="2" t="s">
        <v>1758</v>
      </c>
      <c r="E755" s="2" t="s">
        <v>51</v>
      </c>
      <c r="F755" s="2"/>
      <c r="G755" s="2" t="s">
        <v>1759</v>
      </c>
      <c r="H755" s="8" t="n">
        <v>528.6833003955</v>
      </c>
      <c r="I755" s="2" t="s">
        <v>316</v>
      </c>
      <c r="J755" s="8" t="n">
        <v>856750</v>
      </c>
      <c r="K755" s="6" t="n">
        <v>4</v>
      </c>
      <c r="L755" s="2" t="s">
        <v>1664</v>
      </c>
      <c r="M755" s="10" t="b">
        <f aca="false">TRUE()</f>
        <v>1</v>
      </c>
      <c r="N755" s="9" t="n">
        <f aca="false">IF(H755="","",IF(H755&gt;=Assumptions!$B$5,1,IF(H755&gt;=Assumptions!$B$6,2,IF(H755&gt;=Assumptions!$B$7,3,""))))</f>
        <v>3</v>
      </c>
      <c r="O755" s="9" t="n">
        <f aca="false">IF(N755=1,Assumptions!$B$8,IF(N755=2,Assumptions!$B$9,IF(N755=3,Assumptions!$B$10,0)))</f>
        <v>1</v>
      </c>
      <c r="P755" s="6" t="s">
        <v>30</v>
      </c>
      <c r="Q755" s="6" t="s">
        <v>30</v>
      </c>
      <c r="R755" s="11" t="s">
        <v>30</v>
      </c>
      <c r="S755" s="6" t="s">
        <v>30</v>
      </c>
      <c r="T755" s="11" t="s">
        <v>30</v>
      </c>
      <c r="U755" s="6" t="s">
        <v>30</v>
      </c>
      <c r="V755" s="6" t="s">
        <v>30</v>
      </c>
      <c r="W755" s="6" t="s">
        <v>30</v>
      </c>
      <c r="X755" s="2" t="s">
        <v>30</v>
      </c>
      <c r="Y755" s="6" t="str">
        <f aca="false">IF(AND(X755="processed",ISNUMBER(S755)),S755*O755,"")</f>
        <v/>
      </c>
      <c r="Z755" s="6" t="n">
        <f aca="false">IF(ISNUMBER(K755),K755*O755,0)</f>
        <v>4</v>
      </c>
      <c r="AA755" s="2" t="s">
        <v>31</v>
      </c>
      <c r="AB755" s="6" t="n">
        <v>1069</v>
      </c>
      <c r="AC755" s="6" t="n">
        <v>870</v>
      </c>
      <c r="AD755" s="6" t="n">
        <v>250</v>
      </c>
      <c r="AE755" s="6" t="n">
        <v>1897.00146484375</v>
      </c>
      <c r="AF755" s="8" t="n">
        <v>546.085858586</v>
      </c>
      <c r="AG755" s="11"/>
      <c r="AH755" s="12" t="n">
        <v>0.692980267398222</v>
      </c>
      <c r="AI755" s="2" t="s">
        <v>317</v>
      </c>
      <c r="AJ755" s="2" t="s">
        <v>1757</v>
      </c>
      <c r="AK755" s="2" t="s">
        <v>1760</v>
      </c>
    </row>
    <row r="756" customFormat="false" ht="15" hidden="false" customHeight="false" outlineLevel="0" collapsed="false">
      <c r="A756" s="9" t="n">
        <v>716</v>
      </c>
      <c r="B756" s="2" t="s">
        <v>1761</v>
      </c>
      <c r="C756" s="2" t="s">
        <v>1762</v>
      </c>
      <c r="D756" s="2" t="s">
        <v>1763</v>
      </c>
      <c r="E756" s="2" t="s">
        <v>51</v>
      </c>
      <c r="F756" s="2"/>
      <c r="G756" s="2" t="s">
        <v>1764</v>
      </c>
      <c r="H756" s="8" t="n">
        <v>646.0674323315</v>
      </c>
      <c r="I756" s="2" t="s">
        <v>316</v>
      </c>
      <c r="J756" s="8" t="n">
        <v>780000</v>
      </c>
      <c r="K756" s="6" t="n">
        <v>2</v>
      </c>
      <c r="L756" s="2" t="s">
        <v>1664</v>
      </c>
      <c r="M756" s="10" t="b">
        <f aca="false">TRUE()</f>
        <v>1</v>
      </c>
      <c r="N756" s="9" t="n">
        <f aca="false">IF(H756="","",IF(H756&gt;=Assumptions!$B$5,1,IF(H756&gt;=Assumptions!$B$6,2,IF(H756&gt;=Assumptions!$B$7,3,""))))</f>
        <v>2</v>
      </c>
      <c r="O756" s="9" t="n">
        <f aca="false">IF(N756=1,Assumptions!$B$8,IF(N756=2,Assumptions!$B$9,IF(N756=3,Assumptions!$B$10,0)))</f>
        <v>2</v>
      </c>
      <c r="P756" s="6" t="s">
        <v>30</v>
      </c>
      <c r="Q756" s="6" t="s">
        <v>30</v>
      </c>
      <c r="R756" s="11" t="s">
        <v>30</v>
      </c>
      <c r="S756" s="6" t="s">
        <v>30</v>
      </c>
      <c r="T756" s="11" t="s">
        <v>30</v>
      </c>
      <c r="U756" s="6" t="s">
        <v>30</v>
      </c>
      <c r="V756" s="6" t="s">
        <v>30</v>
      </c>
      <c r="W756" s="6" t="s">
        <v>30</v>
      </c>
      <c r="X756" s="2" t="s">
        <v>30</v>
      </c>
      <c r="Y756" s="6" t="str">
        <f aca="false">IF(AND(X756="processed",ISNUMBER(S756)),S756*O756,"")</f>
        <v/>
      </c>
      <c r="Z756" s="6" t="n">
        <f aca="false">IF(ISNUMBER(K756),K756*O756,0)</f>
        <v>4</v>
      </c>
      <c r="AA756" s="2" t="s">
        <v>31</v>
      </c>
      <c r="AB756" s="6" t="n">
        <v>264</v>
      </c>
      <c r="AC756" s="6" t="n">
        <v>186</v>
      </c>
      <c r="AD756" s="6" t="n">
        <v>202</v>
      </c>
      <c r="AE756" s="6" t="n">
        <v>1808.43103027344</v>
      </c>
      <c r="AF756" s="8" t="n">
        <v>929.456625357</v>
      </c>
      <c r="AG756" s="11"/>
      <c r="AH756" s="12" t="n">
        <v>0.999999999999999</v>
      </c>
      <c r="AI756" s="2" t="s">
        <v>1597</v>
      </c>
      <c r="AJ756" s="2"/>
      <c r="AK756" s="2" t="s">
        <v>1762</v>
      </c>
    </row>
    <row r="757" customFormat="false" ht="15" hidden="false" customHeight="false" outlineLevel="0" collapsed="false">
      <c r="A757" s="9"/>
      <c r="B757" s="2" t="s">
        <v>1765</v>
      </c>
      <c r="C757" s="2"/>
      <c r="D757" s="2" t="s">
        <v>1190</v>
      </c>
      <c r="E757" s="2" t="s">
        <v>1191</v>
      </c>
      <c r="F757" s="2"/>
      <c r="G757" s="2" t="s">
        <v>329</v>
      </c>
      <c r="H757" s="8" t="n">
        <v>730.27027027</v>
      </c>
      <c r="I757" s="2" t="s">
        <v>316</v>
      </c>
      <c r="J757" s="8" t="n">
        <v>1351000</v>
      </c>
      <c r="K757" s="6" t="n">
        <v>1</v>
      </c>
      <c r="L757" s="2" t="s">
        <v>1664</v>
      </c>
      <c r="M757" s="10" t="b">
        <f aca="false">FALSE()</f>
        <v>0</v>
      </c>
      <c r="N757" s="9" t="n">
        <f aca="false">IF(H757="","",IF(H757&gt;=Assumptions!$B$5,1,IF(H757&gt;=Assumptions!$B$6,2,IF(H757&gt;=Assumptions!$B$7,3,""))))</f>
        <v>1</v>
      </c>
      <c r="O757" s="9" t="n">
        <f aca="false">IF(N757=1,Assumptions!$B$8,IF(N757=2,Assumptions!$B$9,IF(N757=3,Assumptions!$B$10,0)))</f>
        <v>3</v>
      </c>
      <c r="P757" s="6" t="s">
        <v>30</v>
      </c>
      <c r="Q757" s="6" t="s">
        <v>30</v>
      </c>
      <c r="R757" s="11" t="s">
        <v>30</v>
      </c>
      <c r="S757" s="6" t="s">
        <v>30</v>
      </c>
      <c r="T757" s="11" t="s">
        <v>30</v>
      </c>
      <c r="U757" s="6" t="s">
        <v>30</v>
      </c>
      <c r="V757" s="6" t="s">
        <v>30</v>
      </c>
      <c r="W757" s="6" t="s">
        <v>30</v>
      </c>
      <c r="X757" s="2" t="s">
        <v>30</v>
      </c>
      <c r="Y757" s="6" t="str">
        <f aca="false">IF(AND(X757="processed",ISNUMBER(S757)),S757*O757,"")</f>
        <v/>
      </c>
      <c r="Z757" s="6" t="n">
        <f aca="false">IF(ISNUMBER(K757),K757*O757,0)</f>
        <v>3</v>
      </c>
      <c r="AA757" s="2" t="s">
        <v>31</v>
      </c>
      <c r="AB757" s="6"/>
      <c r="AC757" s="6"/>
      <c r="AD757" s="6"/>
      <c r="AE757" s="6"/>
      <c r="AF757" s="8" t="n">
        <v>730.27027027</v>
      </c>
      <c r="AG757" s="11" t="n">
        <v>0.007269338304</v>
      </c>
      <c r="AH757" s="12"/>
      <c r="AI757" s="2"/>
      <c r="AJ757" s="2"/>
      <c r="AK757" s="2"/>
    </row>
    <row r="758" customFormat="false" ht="15" hidden="false" customHeight="false" outlineLevel="0" collapsed="false">
      <c r="A758" s="9" t="n">
        <v>717</v>
      </c>
      <c r="B758" s="2" t="s">
        <v>1766</v>
      </c>
      <c r="C758" s="2" t="s">
        <v>744</v>
      </c>
      <c r="D758" s="2" t="s">
        <v>27</v>
      </c>
      <c r="E758" s="2" t="s">
        <v>28</v>
      </c>
      <c r="F758" s="2"/>
      <c r="G758" s="2" t="s">
        <v>315</v>
      </c>
      <c r="H758" s="8" t="n">
        <v>1622.973657548</v>
      </c>
      <c r="I758" s="2" t="s">
        <v>316</v>
      </c>
      <c r="J758" s="8" t="n">
        <v>6407500</v>
      </c>
      <c r="K758" s="6" t="n">
        <v>1</v>
      </c>
      <c r="L758" s="2" t="s">
        <v>1664</v>
      </c>
      <c r="M758" s="10" t="b">
        <f aca="false">TRUE()</f>
        <v>1</v>
      </c>
      <c r="N758" s="9" t="n">
        <f aca="false">IF(H758="","",IF(H758&gt;=Assumptions!$B$5,1,IF(H758&gt;=Assumptions!$B$6,2,IF(H758&gt;=Assumptions!$B$7,3,""))))</f>
        <v>1</v>
      </c>
      <c r="O758" s="9" t="n">
        <f aca="false">IF(N758=1,Assumptions!$B$8,IF(N758=2,Assumptions!$B$9,IF(N758=3,Assumptions!$B$10,0)))</f>
        <v>3</v>
      </c>
      <c r="P758" s="6" t="s">
        <v>30</v>
      </c>
      <c r="Q758" s="6" t="s">
        <v>30</v>
      </c>
      <c r="R758" s="11" t="s">
        <v>30</v>
      </c>
      <c r="S758" s="6" t="s">
        <v>30</v>
      </c>
      <c r="T758" s="11" t="s">
        <v>30</v>
      </c>
      <c r="U758" s="6" t="s">
        <v>30</v>
      </c>
      <c r="V758" s="6" t="s">
        <v>30</v>
      </c>
      <c r="W758" s="6" t="s">
        <v>30</v>
      </c>
      <c r="X758" s="2" t="s">
        <v>30</v>
      </c>
      <c r="Y758" s="6" t="str">
        <f aca="false">IF(AND(X758="processed",ISNUMBER(S758)),S758*O758,"")</f>
        <v/>
      </c>
      <c r="Z758" s="6" t="n">
        <f aca="false">IF(ISNUMBER(K758),K758*O758,0)</f>
        <v>3</v>
      </c>
      <c r="AA758" s="2" t="s">
        <v>31</v>
      </c>
      <c r="AB758" s="6" t="n">
        <v>270</v>
      </c>
      <c r="AC758" s="6" t="n">
        <v>257</v>
      </c>
      <c r="AD758" s="6" t="n">
        <v>1</v>
      </c>
      <c r="AE758" s="6" t="n">
        <v>996.479858398438</v>
      </c>
      <c r="AF758" s="8" t="n">
        <v>1622.973657548</v>
      </c>
      <c r="AG758" s="11" t="n">
        <v>0.1908061056</v>
      </c>
      <c r="AH758" s="12" t="n">
        <v>0.258694252891286</v>
      </c>
      <c r="AI758" s="2" t="s">
        <v>317</v>
      </c>
      <c r="AJ758" s="2" t="s">
        <v>744</v>
      </c>
      <c r="AK758" s="2" t="s">
        <v>744</v>
      </c>
    </row>
    <row r="759" customFormat="false" ht="15" hidden="false" customHeight="false" outlineLevel="0" collapsed="false">
      <c r="A759" s="9" t="n">
        <v>718</v>
      </c>
      <c r="B759" s="2" t="s">
        <v>1767</v>
      </c>
      <c r="C759" s="2" t="s">
        <v>403</v>
      </c>
      <c r="D759" s="2" t="s">
        <v>70</v>
      </c>
      <c r="E759" s="2" t="s">
        <v>71</v>
      </c>
      <c r="F759" s="2"/>
      <c r="G759" s="2" t="s">
        <v>329</v>
      </c>
      <c r="H759" s="8" t="n">
        <v>714.285714286</v>
      </c>
      <c r="I759" s="2" t="s">
        <v>316</v>
      </c>
      <c r="J759" s="8" t="n">
        <v>1400000</v>
      </c>
      <c r="K759" s="6" t="n">
        <v>1</v>
      </c>
      <c r="L759" s="2" t="s">
        <v>1664</v>
      </c>
      <c r="M759" s="10" t="b">
        <f aca="false">TRUE()</f>
        <v>1</v>
      </c>
      <c r="N759" s="9" t="n">
        <f aca="false">IF(H759="","",IF(H759&gt;=Assumptions!$B$5,1,IF(H759&gt;=Assumptions!$B$6,2,IF(H759&gt;=Assumptions!$B$7,3,""))))</f>
        <v>1</v>
      </c>
      <c r="O759" s="9" t="n">
        <f aca="false">IF(N759=1,Assumptions!$B$8,IF(N759=2,Assumptions!$B$9,IF(N759=3,Assumptions!$B$10,0)))</f>
        <v>3</v>
      </c>
      <c r="P759" s="6" t="s">
        <v>30</v>
      </c>
      <c r="Q759" s="6" t="s">
        <v>30</v>
      </c>
      <c r="R759" s="11" t="s">
        <v>30</v>
      </c>
      <c r="S759" s="6" t="s">
        <v>30</v>
      </c>
      <c r="T759" s="11" t="s">
        <v>30</v>
      </c>
      <c r="U759" s="6" t="s">
        <v>30</v>
      </c>
      <c r="V759" s="6" t="s">
        <v>30</v>
      </c>
      <c r="W759" s="6" t="s">
        <v>30</v>
      </c>
      <c r="X759" s="2" t="s">
        <v>30</v>
      </c>
      <c r="Y759" s="6" t="str">
        <f aca="false">IF(AND(X759="processed",ISNUMBER(S759)),S759*O759,"")</f>
        <v/>
      </c>
      <c r="Z759" s="6" t="n">
        <f aca="false">IF(ISNUMBER(K759),K759*O759,0)</f>
        <v>3</v>
      </c>
      <c r="AA759" s="2" t="s">
        <v>31</v>
      </c>
      <c r="AB759" s="6" t="n">
        <v>2883</v>
      </c>
      <c r="AC759" s="6" t="n">
        <v>1931</v>
      </c>
      <c r="AD759" s="6" t="n">
        <v>31</v>
      </c>
      <c r="AE759" s="6" t="n">
        <v>1605.20434570313</v>
      </c>
      <c r="AF759" s="8" t="n">
        <v>714.285714286</v>
      </c>
      <c r="AG759" s="11" t="n">
        <v>-0.156122856</v>
      </c>
      <c r="AH759" s="12" t="n">
        <v>1</v>
      </c>
      <c r="AI759" s="2" t="s">
        <v>317</v>
      </c>
      <c r="AJ759" s="2" t="s">
        <v>403</v>
      </c>
      <c r="AK759" s="2" t="s">
        <v>403</v>
      </c>
    </row>
    <row r="760" customFormat="false" ht="15" hidden="false" customHeight="false" outlineLevel="0" collapsed="false">
      <c r="A760" s="9"/>
      <c r="B760" s="2" t="s">
        <v>1768</v>
      </c>
      <c r="C760" s="2"/>
      <c r="D760" s="2" t="s">
        <v>1190</v>
      </c>
      <c r="E760" s="2" t="s">
        <v>1191</v>
      </c>
      <c r="F760" s="2"/>
      <c r="G760" s="2" t="s">
        <v>322</v>
      </c>
      <c r="H760" s="8" t="n">
        <v>976.911976912</v>
      </c>
      <c r="I760" s="2" t="s">
        <v>316</v>
      </c>
      <c r="J760" s="8" t="n">
        <v>1354000</v>
      </c>
      <c r="K760" s="6" t="n">
        <v>1</v>
      </c>
      <c r="L760" s="2" t="s">
        <v>1664</v>
      </c>
      <c r="M760" s="10" t="b">
        <f aca="false">FALSE()</f>
        <v>0</v>
      </c>
      <c r="N760" s="9" t="n">
        <f aca="false">IF(H760="","",IF(H760&gt;=Assumptions!$B$5,1,IF(H760&gt;=Assumptions!$B$6,2,IF(H760&gt;=Assumptions!$B$7,3,""))))</f>
        <v>1</v>
      </c>
      <c r="O760" s="9" t="n">
        <f aca="false">IF(N760=1,Assumptions!$B$8,IF(N760=2,Assumptions!$B$9,IF(N760=3,Assumptions!$B$10,0)))</f>
        <v>3</v>
      </c>
      <c r="P760" s="6" t="s">
        <v>30</v>
      </c>
      <c r="Q760" s="6" t="s">
        <v>30</v>
      </c>
      <c r="R760" s="11" t="s">
        <v>30</v>
      </c>
      <c r="S760" s="6" t="s">
        <v>30</v>
      </c>
      <c r="T760" s="11" t="s">
        <v>30</v>
      </c>
      <c r="U760" s="6" t="s">
        <v>30</v>
      </c>
      <c r="V760" s="6" t="s">
        <v>30</v>
      </c>
      <c r="W760" s="6" t="s">
        <v>30</v>
      </c>
      <c r="X760" s="2" t="s">
        <v>30</v>
      </c>
      <c r="Y760" s="6" t="str">
        <f aca="false">IF(AND(X760="processed",ISNUMBER(S760)),S760*O760,"")</f>
        <v/>
      </c>
      <c r="Z760" s="6" t="n">
        <f aca="false">IF(ISNUMBER(K760),K760*O760,0)</f>
        <v>3</v>
      </c>
      <c r="AA760" s="2" t="s">
        <v>31</v>
      </c>
      <c r="AB760" s="6"/>
      <c r="AC760" s="6"/>
      <c r="AD760" s="6"/>
      <c r="AE760" s="6"/>
      <c r="AF760" s="8" t="n">
        <v>976.911976912</v>
      </c>
      <c r="AG760" s="11" t="n">
        <v>-0.05644599303</v>
      </c>
      <c r="AH760" s="12"/>
      <c r="AI760" s="2"/>
      <c r="AJ760" s="2"/>
      <c r="AK760" s="2"/>
    </row>
    <row r="761" customFormat="false" ht="15" hidden="false" customHeight="false" outlineLevel="0" collapsed="false">
      <c r="A761" s="9"/>
      <c r="B761" s="2" t="s">
        <v>1769</v>
      </c>
      <c r="C761" s="2"/>
      <c r="D761" s="2" t="s">
        <v>1190</v>
      </c>
      <c r="E761" s="2" t="s">
        <v>1191</v>
      </c>
      <c r="F761" s="2"/>
      <c r="G761" s="2" t="s">
        <v>322</v>
      </c>
      <c r="H761" s="8" t="n">
        <v>586.121886618333</v>
      </c>
      <c r="I761" s="2" t="s">
        <v>316</v>
      </c>
      <c r="J761" s="8" t="n">
        <v>671666.666666667</v>
      </c>
      <c r="K761" s="6" t="n">
        <v>3</v>
      </c>
      <c r="L761" s="2" t="s">
        <v>1664</v>
      </c>
      <c r="M761" s="10" t="b">
        <f aca="false">FALSE()</f>
        <v>0</v>
      </c>
      <c r="N761" s="9" t="n">
        <f aca="false">IF(H761="","",IF(H761&gt;=Assumptions!$B$5,1,IF(H761&gt;=Assumptions!$B$6,2,IF(H761&gt;=Assumptions!$B$7,3,""))))</f>
        <v>3</v>
      </c>
      <c r="O761" s="9" t="n">
        <f aca="false">IF(N761=1,Assumptions!$B$8,IF(N761=2,Assumptions!$B$9,IF(N761=3,Assumptions!$B$10,0)))</f>
        <v>1</v>
      </c>
      <c r="P761" s="6" t="s">
        <v>30</v>
      </c>
      <c r="Q761" s="6" t="s">
        <v>30</v>
      </c>
      <c r="R761" s="11" t="s">
        <v>30</v>
      </c>
      <c r="S761" s="6" t="s">
        <v>30</v>
      </c>
      <c r="T761" s="11" t="s">
        <v>30</v>
      </c>
      <c r="U761" s="6" t="s">
        <v>30</v>
      </c>
      <c r="V761" s="6" t="s">
        <v>30</v>
      </c>
      <c r="W761" s="6" t="s">
        <v>30</v>
      </c>
      <c r="X761" s="2" t="s">
        <v>30</v>
      </c>
      <c r="Y761" s="6" t="str">
        <f aca="false">IF(AND(X761="processed",ISNUMBER(S761)),S761*O761,"")</f>
        <v/>
      </c>
      <c r="Z761" s="6" t="n">
        <f aca="false">IF(ISNUMBER(K761),K761*O761,0)</f>
        <v>3</v>
      </c>
      <c r="AA761" s="2" t="s">
        <v>31</v>
      </c>
      <c r="AB761" s="6"/>
      <c r="AC761" s="6"/>
      <c r="AD761" s="6"/>
      <c r="AE761" s="6"/>
      <c r="AF761" s="8" t="n">
        <v>568.710170057</v>
      </c>
      <c r="AG761" s="11" t="n">
        <v>-0.07024504016</v>
      </c>
      <c r="AH761" s="12"/>
      <c r="AI761" s="2"/>
      <c r="AJ761" s="2"/>
      <c r="AK761" s="2"/>
    </row>
    <row r="762" customFormat="false" ht="15" hidden="false" customHeight="false" outlineLevel="0" collapsed="false">
      <c r="A762" s="9" t="n">
        <v>719</v>
      </c>
      <c r="B762" s="2" t="s">
        <v>1770</v>
      </c>
      <c r="C762" s="2" t="s">
        <v>1771</v>
      </c>
      <c r="D762" s="2" t="s">
        <v>44</v>
      </c>
      <c r="E762" s="2" t="s">
        <v>44</v>
      </c>
      <c r="F762" s="2"/>
      <c r="G762" s="2" t="s">
        <v>322</v>
      </c>
      <c r="H762" s="8" t="n">
        <v>522.364749089</v>
      </c>
      <c r="I762" s="2" t="s">
        <v>316</v>
      </c>
      <c r="J762" s="8" t="n">
        <v>940000</v>
      </c>
      <c r="K762" s="6" t="n">
        <v>3</v>
      </c>
      <c r="L762" s="2" t="s">
        <v>1664</v>
      </c>
      <c r="M762" s="10" t="b">
        <f aca="false">TRUE()</f>
        <v>1</v>
      </c>
      <c r="N762" s="9" t="n">
        <f aca="false">IF(H762="","",IF(H762&gt;=Assumptions!$B$5,1,IF(H762&gt;=Assumptions!$B$6,2,IF(H762&gt;=Assumptions!$B$7,3,""))))</f>
        <v>3</v>
      </c>
      <c r="O762" s="9" t="n">
        <f aca="false">IF(N762=1,Assumptions!$B$8,IF(N762=2,Assumptions!$B$9,IF(N762=3,Assumptions!$B$10,0)))</f>
        <v>1</v>
      </c>
      <c r="P762" s="6" t="s">
        <v>30</v>
      </c>
      <c r="Q762" s="6" t="s">
        <v>30</v>
      </c>
      <c r="R762" s="11" t="s">
        <v>30</v>
      </c>
      <c r="S762" s="6" t="s">
        <v>30</v>
      </c>
      <c r="T762" s="11" t="s">
        <v>30</v>
      </c>
      <c r="U762" s="6" t="s">
        <v>30</v>
      </c>
      <c r="V762" s="6" t="s">
        <v>30</v>
      </c>
      <c r="W762" s="6" t="s">
        <v>30</v>
      </c>
      <c r="X762" s="2" t="s">
        <v>30</v>
      </c>
      <c r="Y762" s="6" t="str">
        <f aca="false">IF(AND(X762="processed",ISNUMBER(S762)),S762*O762,"")</f>
        <v/>
      </c>
      <c r="Z762" s="6" t="n">
        <f aca="false">IF(ISNUMBER(K762),K762*O762,0)</f>
        <v>3</v>
      </c>
      <c r="AA762" s="2" t="s">
        <v>31</v>
      </c>
      <c r="AB762" s="6" t="n">
        <v>1127</v>
      </c>
      <c r="AC762" s="6" t="n">
        <v>919</v>
      </c>
      <c r="AD762" s="6" t="n">
        <v>1048</v>
      </c>
      <c r="AE762" s="6" t="n">
        <v>2032.56274414063</v>
      </c>
      <c r="AF762" s="8" t="n">
        <v>978.441127695</v>
      </c>
      <c r="AG762" s="11" t="n">
        <v>0.5887059548</v>
      </c>
      <c r="AH762" s="12" t="n">
        <v>0.999711471999433</v>
      </c>
      <c r="AI762" s="2" t="s">
        <v>317</v>
      </c>
      <c r="AJ762" s="2" t="s">
        <v>1771</v>
      </c>
      <c r="AK762" s="2" t="s">
        <v>1772</v>
      </c>
    </row>
    <row r="763" customFormat="false" ht="15" hidden="false" customHeight="false" outlineLevel="0" collapsed="false">
      <c r="A763" s="9"/>
      <c r="B763" s="2" t="s">
        <v>1773</v>
      </c>
      <c r="C763" s="2"/>
      <c r="D763" s="2" t="s">
        <v>1190</v>
      </c>
      <c r="E763" s="2" t="s">
        <v>1191</v>
      </c>
      <c r="F763" s="2"/>
      <c r="G763" s="2" t="s">
        <v>322</v>
      </c>
      <c r="H763" s="8" t="n">
        <v>857.894736842</v>
      </c>
      <c r="I763" s="2" t="s">
        <v>316</v>
      </c>
      <c r="J763" s="8" t="n">
        <v>815000</v>
      </c>
      <c r="K763" s="6" t="n">
        <v>1</v>
      </c>
      <c r="L763" s="2" t="s">
        <v>1664</v>
      </c>
      <c r="M763" s="10" t="b">
        <f aca="false">FALSE()</f>
        <v>0</v>
      </c>
      <c r="N763" s="9" t="n">
        <f aca="false">IF(H763="","",IF(H763&gt;=Assumptions!$B$5,1,IF(H763&gt;=Assumptions!$B$6,2,IF(H763&gt;=Assumptions!$B$7,3,""))))</f>
        <v>1</v>
      </c>
      <c r="O763" s="9" t="n">
        <f aca="false">IF(N763=1,Assumptions!$B$8,IF(N763=2,Assumptions!$B$9,IF(N763=3,Assumptions!$B$10,0)))</f>
        <v>3</v>
      </c>
      <c r="P763" s="6" t="s">
        <v>30</v>
      </c>
      <c r="Q763" s="6" t="s">
        <v>30</v>
      </c>
      <c r="R763" s="11" t="s">
        <v>30</v>
      </c>
      <c r="S763" s="6" t="s">
        <v>30</v>
      </c>
      <c r="T763" s="11" t="s">
        <v>30</v>
      </c>
      <c r="U763" s="6" t="s">
        <v>30</v>
      </c>
      <c r="V763" s="6" t="s">
        <v>30</v>
      </c>
      <c r="W763" s="6" t="s">
        <v>30</v>
      </c>
      <c r="X763" s="2" t="s">
        <v>30</v>
      </c>
      <c r="Y763" s="6" t="str">
        <f aca="false">IF(AND(X763="processed",ISNUMBER(S763)),S763*O763,"")</f>
        <v/>
      </c>
      <c r="Z763" s="6" t="n">
        <f aca="false">IF(ISNUMBER(K763),K763*O763,0)</f>
        <v>3</v>
      </c>
      <c r="AA763" s="2" t="s">
        <v>31</v>
      </c>
      <c r="AB763" s="6"/>
      <c r="AC763" s="6"/>
      <c r="AD763" s="6"/>
      <c r="AE763" s="6"/>
      <c r="AF763" s="8" t="n">
        <v>857.894736842</v>
      </c>
      <c r="AG763" s="11"/>
      <c r="AH763" s="12"/>
      <c r="AI763" s="2"/>
      <c r="AJ763" s="2"/>
      <c r="AK763" s="2"/>
    </row>
    <row r="764" customFormat="false" ht="15" hidden="false" customHeight="false" outlineLevel="0" collapsed="false">
      <c r="A764" s="9"/>
      <c r="B764" s="2" t="s">
        <v>1774</v>
      </c>
      <c r="C764" s="2"/>
      <c r="D764" s="2" t="s">
        <v>1190</v>
      </c>
      <c r="E764" s="2" t="s">
        <v>1191</v>
      </c>
      <c r="F764" s="2"/>
      <c r="G764" s="2" t="s">
        <v>322</v>
      </c>
      <c r="H764" s="8" t="n">
        <v>1419.491525424</v>
      </c>
      <c r="I764" s="2" t="s">
        <v>337</v>
      </c>
      <c r="J764" s="8" t="n">
        <v>1675000</v>
      </c>
      <c r="K764" s="6" t="n">
        <v>1</v>
      </c>
      <c r="L764" s="2" t="s">
        <v>1664</v>
      </c>
      <c r="M764" s="10" t="b">
        <f aca="false">FALSE()</f>
        <v>0</v>
      </c>
      <c r="N764" s="9" t="n">
        <f aca="false">IF(H764="","",IF(H764&gt;=Assumptions!$B$5,1,IF(H764&gt;=Assumptions!$B$6,2,IF(H764&gt;=Assumptions!$B$7,3,""))))</f>
        <v>1</v>
      </c>
      <c r="O764" s="9" t="n">
        <f aca="false">IF(N764=1,Assumptions!$B$8,IF(N764=2,Assumptions!$B$9,IF(N764=3,Assumptions!$B$10,0)))</f>
        <v>3</v>
      </c>
      <c r="P764" s="6" t="s">
        <v>30</v>
      </c>
      <c r="Q764" s="6" t="s">
        <v>30</v>
      </c>
      <c r="R764" s="11" t="s">
        <v>30</v>
      </c>
      <c r="S764" s="6" t="s">
        <v>30</v>
      </c>
      <c r="T764" s="11" t="s">
        <v>30</v>
      </c>
      <c r="U764" s="6" t="s">
        <v>30</v>
      </c>
      <c r="V764" s="6" t="s">
        <v>30</v>
      </c>
      <c r="W764" s="6" t="s">
        <v>30</v>
      </c>
      <c r="X764" s="2" t="s">
        <v>30</v>
      </c>
      <c r="Y764" s="6" t="str">
        <f aca="false">IF(AND(X764="processed",ISNUMBER(S764)),S764*O764,"")</f>
        <v/>
      </c>
      <c r="Z764" s="6" t="n">
        <f aca="false">IF(ISNUMBER(K764),K764*O764,0)</f>
        <v>3</v>
      </c>
      <c r="AA764" s="2" t="s">
        <v>31</v>
      </c>
      <c r="AB764" s="6"/>
      <c r="AC764" s="6"/>
      <c r="AD764" s="6"/>
      <c r="AE764" s="6"/>
      <c r="AF764" s="8"/>
      <c r="AG764" s="11"/>
      <c r="AH764" s="12"/>
      <c r="AI764" s="2"/>
      <c r="AJ764" s="2"/>
      <c r="AK764" s="2"/>
    </row>
    <row r="765" customFormat="false" ht="15" hidden="false" customHeight="false" outlineLevel="0" collapsed="false">
      <c r="A765" s="9" t="n">
        <v>720</v>
      </c>
      <c r="B765" s="2" t="s">
        <v>1775</v>
      </c>
      <c r="C765" s="2" t="s">
        <v>263</v>
      </c>
      <c r="D765" s="2" t="s">
        <v>27</v>
      </c>
      <c r="E765" s="2" t="s">
        <v>28</v>
      </c>
      <c r="F765" s="2" t="s">
        <v>1776</v>
      </c>
      <c r="G765" s="2" t="s">
        <v>315</v>
      </c>
      <c r="H765" s="8" t="n">
        <v>754.024193548</v>
      </c>
      <c r="I765" s="2" t="s">
        <v>337</v>
      </c>
      <c r="J765" s="8" t="n">
        <v>934990</v>
      </c>
      <c r="K765" s="6" t="n">
        <v>1</v>
      </c>
      <c r="L765" s="2" t="s">
        <v>1664</v>
      </c>
      <c r="M765" s="10" t="b">
        <f aca="false">TRUE()</f>
        <v>1</v>
      </c>
      <c r="N765" s="9" t="n">
        <f aca="false">IF(H765="","",IF(H765&gt;=Assumptions!$B$5,1,IF(H765&gt;=Assumptions!$B$6,2,IF(H765&gt;=Assumptions!$B$7,3,""))))</f>
        <v>1</v>
      </c>
      <c r="O765" s="9" t="n">
        <f aca="false">IF(N765=1,Assumptions!$B$8,IF(N765=2,Assumptions!$B$9,IF(N765=3,Assumptions!$B$10,0)))</f>
        <v>3</v>
      </c>
      <c r="P765" s="6" t="s">
        <v>30</v>
      </c>
      <c r="Q765" s="6" t="s">
        <v>30</v>
      </c>
      <c r="R765" s="11" t="s">
        <v>30</v>
      </c>
      <c r="S765" s="6" t="s">
        <v>30</v>
      </c>
      <c r="T765" s="11" t="s">
        <v>30</v>
      </c>
      <c r="U765" s="6" t="s">
        <v>30</v>
      </c>
      <c r="V765" s="6" t="s">
        <v>30</v>
      </c>
      <c r="W765" s="6" t="s">
        <v>30</v>
      </c>
      <c r="X765" s="2" t="s">
        <v>30</v>
      </c>
      <c r="Y765" s="6" t="str">
        <f aca="false">IF(AND(X765="processed",ISNUMBER(S765)),S765*O765,"")</f>
        <v/>
      </c>
      <c r="Z765" s="6" t="n">
        <f aca="false">IF(ISNUMBER(K765),K765*O765,0)</f>
        <v>3</v>
      </c>
      <c r="AA765" s="2" t="s">
        <v>31</v>
      </c>
      <c r="AB765" s="6" t="n">
        <v>1803</v>
      </c>
      <c r="AC765" s="6" t="n">
        <v>1392</v>
      </c>
      <c r="AD765" s="6" t="n">
        <v>35</v>
      </c>
      <c r="AE765" s="6" t="n">
        <v>2189.96313476563</v>
      </c>
      <c r="AF765" s="8"/>
      <c r="AG765" s="11"/>
      <c r="AH765" s="12" t="n">
        <v>1</v>
      </c>
      <c r="AI765" s="2" t="s">
        <v>317</v>
      </c>
      <c r="AJ765" s="2" t="s">
        <v>263</v>
      </c>
      <c r="AK765" s="2" t="s">
        <v>263</v>
      </c>
    </row>
    <row r="766" customFormat="false" ht="15" hidden="false" customHeight="false" outlineLevel="0" collapsed="false">
      <c r="A766" s="9"/>
      <c r="B766" s="2" t="s">
        <v>1777</v>
      </c>
      <c r="C766" s="2"/>
      <c r="D766" s="2" t="s">
        <v>1190</v>
      </c>
      <c r="E766" s="2" t="s">
        <v>1191</v>
      </c>
      <c r="F766" s="2"/>
      <c r="G766" s="2" t="s">
        <v>315</v>
      </c>
      <c r="H766" s="8" t="n">
        <v>754.024193548</v>
      </c>
      <c r="I766" s="2" t="s">
        <v>337</v>
      </c>
      <c r="J766" s="8" t="n">
        <v>934990</v>
      </c>
      <c r="K766" s="6" t="n">
        <v>1</v>
      </c>
      <c r="L766" s="2" t="s">
        <v>1664</v>
      </c>
      <c r="M766" s="10" t="b">
        <f aca="false">FALSE()</f>
        <v>0</v>
      </c>
      <c r="N766" s="9" t="n">
        <f aca="false">IF(H766="","",IF(H766&gt;=Assumptions!$B$5,1,IF(H766&gt;=Assumptions!$B$6,2,IF(H766&gt;=Assumptions!$B$7,3,""))))</f>
        <v>1</v>
      </c>
      <c r="O766" s="9" t="n">
        <f aca="false">IF(N766=1,Assumptions!$B$8,IF(N766=2,Assumptions!$B$9,IF(N766=3,Assumptions!$B$10,0)))</f>
        <v>3</v>
      </c>
      <c r="P766" s="6" t="s">
        <v>30</v>
      </c>
      <c r="Q766" s="6" t="s">
        <v>30</v>
      </c>
      <c r="R766" s="11" t="s">
        <v>30</v>
      </c>
      <c r="S766" s="6" t="s">
        <v>30</v>
      </c>
      <c r="T766" s="11" t="s">
        <v>30</v>
      </c>
      <c r="U766" s="6" t="s">
        <v>30</v>
      </c>
      <c r="V766" s="6" t="s">
        <v>30</v>
      </c>
      <c r="W766" s="6" t="s">
        <v>30</v>
      </c>
      <c r="X766" s="2" t="s">
        <v>30</v>
      </c>
      <c r="Y766" s="6" t="str">
        <f aca="false">IF(AND(X766="processed",ISNUMBER(S766)),S766*O766,"")</f>
        <v/>
      </c>
      <c r="Z766" s="6" t="n">
        <f aca="false">IF(ISNUMBER(K766),K766*O766,0)</f>
        <v>3</v>
      </c>
      <c r="AA766" s="2" t="s">
        <v>31</v>
      </c>
      <c r="AB766" s="6"/>
      <c r="AC766" s="6"/>
      <c r="AD766" s="6"/>
      <c r="AE766" s="6"/>
      <c r="AF766" s="8"/>
      <c r="AG766" s="11"/>
      <c r="AH766" s="12"/>
      <c r="AI766" s="2"/>
      <c r="AJ766" s="2"/>
      <c r="AK766" s="2"/>
    </row>
    <row r="767" customFormat="false" ht="15" hidden="false" customHeight="false" outlineLevel="0" collapsed="false">
      <c r="A767" s="9"/>
      <c r="B767" s="2" t="s">
        <v>1778</v>
      </c>
      <c r="C767" s="2"/>
      <c r="D767" s="2" t="s">
        <v>1190</v>
      </c>
      <c r="E767" s="2" t="s">
        <v>1191</v>
      </c>
      <c r="F767" s="2"/>
      <c r="G767" s="2" t="s">
        <v>348</v>
      </c>
      <c r="H767" s="8" t="n">
        <v>534.498269579667</v>
      </c>
      <c r="I767" s="2" t="s">
        <v>316</v>
      </c>
      <c r="J767" s="8" t="n">
        <v>840166.666666667</v>
      </c>
      <c r="K767" s="6" t="n">
        <v>3</v>
      </c>
      <c r="L767" s="2" t="s">
        <v>1664</v>
      </c>
      <c r="M767" s="10" t="b">
        <f aca="false">FALSE()</f>
        <v>0</v>
      </c>
      <c r="N767" s="9" t="n">
        <f aca="false">IF(H767="","",IF(H767&gt;=Assumptions!$B$5,1,IF(H767&gt;=Assumptions!$B$6,2,IF(H767&gt;=Assumptions!$B$7,3,""))))</f>
        <v>3</v>
      </c>
      <c r="O767" s="9" t="n">
        <f aca="false">IF(N767=1,Assumptions!$B$8,IF(N767=2,Assumptions!$B$9,IF(N767=3,Assumptions!$B$10,0)))</f>
        <v>1</v>
      </c>
      <c r="P767" s="6" t="s">
        <v>30</v>
      </c>
      <c r="Q767" s="6" t="s">
        <v>30</v>
      </c>
      <c r="R767" s="11" t="s">
        <v>30</v>
      </c>
      <c r="S767" s="6" t="s">
        <v>30</v>
      </c>
      <c r="T767" s="11" t="s">
        <v>30</v>
      </c>
      <c r="U767" s="6" t="s">
        <v>30</v>
      </c>
      <c r="V767" s="6" t="s">
        <v>30</v>
      </c>
      <c r="W767" s="6" t="s">
        <v>30</v>
      </c>
      <c r="X767" s="2" t="s">
        <v>30</v>
      </c>
      <c r="Y767" s="6" t="str">
        <f aca="false">IF(AND(X767="processed",ISNUMBER(S767)),S767*O767,"")</f>
        <v/>
      </c>
      <c r="Z767" s="6" t="n">
        <f aca="false">IF(ISNUMBER(K767),K767*O767,0)</f>
        <v>3</v>
      </c>
      <c r="AA767" s="2" t="s">
        <v>31</v>
      </c>
      <c r="AB767" s="6"/>
      <c r="AC767" s="6"/>
      <c r="AD767" s="6"/>
      <c r="AE767" s="6"/>
      <c r="AF767" s="8" t="n">
        <v>586.513217986</v>
      </c>
      <c r="AG767" s="11"/>
      <c r="AH767" s="12"/>
      <c r="AI767" s="2"/>
      <c r="AJ767" s="2"/>
      <c r="AK767" s="2"/>
    </row>
    <row r="768" customFormat="false" ht="15" hidden="false" customHeight="false" outlineLevel="0" collapsed="false">
      <c r="A768" s="9"/>
      <c r="B768" s="2" t="s">
        <v>1779</v>
      </c>
      <c r="C768" s="2"/>
      <c r="D768" s="2" t="s">
        <v>1190</v>
      </c>
      <c r="E768" s="2" t="s">
        <v>1191</v>
      </c>
      <c r="F768" s="2"/>
      <c r="G768" s="2" t="s">
        <v>425</v>
      </c>
      <c r="H768" s="8" t="n">
        <v>1256.072172103</v>
      </c>
      <c r="I768" s="2" t="s">
        <v>316</v>
      </c>
      <c r="J768" s="8" t="n">
        <v>1810000</v>
      </c>
      <c r="K768" s="6" t="n">
        <v>1</v>
      </c>
      <c r="L768" s="2" t="s">
        <v>1664</v>
      </c>
      <c r="M768" s="10" t="b">
        <f aca="false">FALSE()</f>
        <v>0</v>
      </c>
      <c r="N768" s="9" t="n">
        <f aca="false">IF(H768="","",IF(H768&gt;=Assumptions!$B$5,1,IF(H768&gt;=Assumptions!$B$6,2,IF(H768&gt;=Assumptions!$B$7,3,""))))</f>
        <v>1</v>
      </c>
      <c r="O768" s="9" t="n">
        <f aca="false">IF(N768=1,Assumptions!$B$8,IF(N768=2,Assumptions!$B$9,IF(N768=3,Assumptions!$B$10,0)))</f>
        <v>3</v>
      </c>
      <c r="P768" s="6" t="s">
        <v>30</v>
      </c>
      <c r="Q768" s="6" t="s">
        <v>30</v>
      </c>
      <c r="R768" s="11" t="s">
        <v>30</v>
      </c>
      <c r="S768" s="6" t="s">
        <v>30</v>
      </c>
      <c r="T768" s="11" t="s">
        <v>30</v>
      </c>
      <c r="U768" s="6" t="s">
        <v>30</v>
      </c>
      <c r="V768" s="6" t="s">
        <v>30</v>
      </c>
      <c r="W768" s="6" t="s">
        <v>30</v>
      </c>
      <c r="X768" s="2" t="s">
        <v>30</v>
      </c>
      <c r="Y768" s="6" t="str">
        <f aca="false">IF(AND(X768="processed",ISNUMBER(S768)),S768*O768,"")</f>
        <v/>
      </c>
      <c r="Z768" s="6" t="n">
        <f aca="false">IF(ISNUMBER(K768),K768*O768,0)</f>
        <v>3</v>
      </c>
      <c r="AA768" s="2" t="s">
        <v>31</v>
      </c>
      <c r="AB768" s="6"/>
      <c r="AC768" s="6"/>
      <c r="AD768" s="6"/>
      <c r="AE768" s="6"/>
      <c r="AF768" s="8" t="n">
        <v>1256.072172103</v>
      </c>
      <c r="AG768" s="11"/>
      <c r="AH768" s="12"/>
      <c r="AI768" s="2"/>
      <c r="AJ768" s="2"/>
      <c r="AK768" s="2"/>
    </row>
    <row r="769" customFormat="false" ht="15" hidden="false" customHeight="false" outlineLevel="0" collapsed="false">
      <c r="A769" s="9" t="n">
        <v>721</v>
      </c>
      <c r="B769" s="2" t="s">
        <v>1780</v>
      </c>
      <c r="C769" s="2" t="s">
        <v>1781</v>
      </c>
      <c r="D769" s="2" t="s">
        <v>595</v>
      </c>
      <c r="E769" s="2" t="s">
        <v>51</v>
      </c>
      <c r="F769" s="2"/>
      <c r="G769" s="2" t="s">
        <v>597</v>
      </c>
      <c r="H769" s="8" t="n">
        <v>746.783809225</v>
      </c>
      <c r="I769" s="2" t="s">
        <v>316</v>
      </c>
      <c r="J769" s="8" t="n">
        <v>2380000</v>
      </c>
      <c r="K769" s="6" t="n">
        <v>1</v>
      </c>
      <c r="L769" s="2" t="s">
        <v>1664</v>
      </c>
      <c r="M769" s="10" t="b">
        <f aca="false">TRUE()</f>
        <v>1</v>
      </c>
      <c r="N769" s="9" t="n">
        <f aca="false">IF(H769="","",IF(H769&gt;=Assumptions!$B$5,1,IF(H769&gt;=Assumptions!$B$6,2,IF(H769&gt;=Assumptions!$B$7,3,""))))</f>
        <v>1</v>
      </c>
      <c r="O769" s="9" t="n">
        <f aca="false">IF(N769=1,Assumptions!$B$8,IF(N769=2,Assumptions!$B$9,IF(N769=3,Assumptions!$B$10,0)))</f>
        <v>3</v>
      </c>
      <c r="P769" s="6" t="s">
        <v>30</v>
      </c>
      <c r="Q769" s="6" t="s">
        <v>30</v>
      </c>
      <c r="R769" s="11" t="s">
        <v>30</v>
      </c>
      <c r="S769" s="6" t="s">
        <v>30</v>
      </c>
      <c r="T769" s="11" t="s">
        <v>30</v>
      </c>
      <c r="U769" s="6" t="s">
        <v>30</v>
      </c>
      <c r="V769" s="6" t="s">
        <v>30</v>
      </c>
      <c r="W769" s="6" t="s">
        <v>30</v>
      </c>
      <c r="X769" s="2" t="s">
        <v>30</v>
      </c>
      <c r="Y769" s="6" t="str">
        <f aca="false">IF(AND(X769="processed",ISNUMBER(S769)),S769*O769,"")</f>
        <v/>
      </c>
      <c r="Z769" s="6" t="n">
        <f aca="false">IF(ISNUMBER(K769),K769*O769,0)</f>
        <v>3</v>
      </c>
      <c r="AA769" s="2" t="s">
        <v>31</v>
      </c>
      <c r="AB769" s="6" t="n">
        <v>526</v>
      </c>
      <c r="AC769" s="6" t="n">
        <v>411</v>
      </c>
      <c r="AD769" s="6" t="n">
        <v>38</v>
      </c>
      <c r="AE769" s="6" t="n">
        <v>1177.8828125</v>
      </c>
      <c r="AF769" s="8" t="n">
        <v>746.783809225</v>
      </c>
      <c r="AG769" s="11" t="n">
        <v>1.46723689</v>
      </c>
      <c r="AH769" s="12" t="n">
        <v>0.948168227679878</v>
      </c>
      <c r="AI769" s="2" t="s">
        <v>317</v>
      </c>
      <c r="AJ769" s="2" t="s">
        <v>1781</v>
      </c>
      <c r="AK769" s="2" t="s">
        <v>1781</v>
      </c>
    </row>
    <row r="770" customFormat="false" ht="15" hidden="false" customHeight="false" outlineLevel="0" collapsed="false">
      <c r="A770" s="9" t="n">
        <v>722</v>
      </c>
      <c r="B770" s="2" t="s">
        <v>1782</v>
      </c>
      <c r="C770" s="2" t="s">
        <v>1783</v>
      </c>
      <c r="D770" s="2" t="s">
        <v>380</v>
      </c>
      <c r="E770" s="2" t="s">
        <v>51</v>
      </c>
      <c r="F770" s="2"/>
      <c r="G770" s="2" t="s">
        <v>381</v>
      </c>
      <c r="H770" s="8" t="n">
        <v>526.738130226</v>
      </c>
      <c r="I770" s="2" t="s">
        <v>316</v>
      </c>
      <c r="J770" s="8" t="n">
        <v>589666.666666667</v>
      </c>
      <c r="K770" s="6" t="n">
        <v>3</v>
      </c>
      <c r="L770" s="2" t="s">
        <v>1664</v>
      </c>
      <c r="M770" s="10" t="b">
        <f aca="false">TRUE()</f>
        <v>1</v>
      </c>
      <c r="N770" s="9" t="n">
        <f aca="false">IF(H770="","",IF(H770&gt;=Assumptions!$B$5,1,IF(H770&gt;=Assumptions!$B$6,2,IF(H770&gt;=Assumptions!$B$7,3,""))))</f>
        <v>3</v>
      </c>
      <c r="O770" s="9" t="n">
        <f aca="false">IF(N770=1,Assumptions!$B$8,IF(N770=2,Assumptions!$B$9,IF(N770=3,Assumptions!$B$10,0)))</f>
        <v>1</v>
      </c>
      <c r="P770" s="6" t="s">
        <v>30</v>
      </c>
      <c r="Q770" s="6" t="s">
        <v>30</v>
      </c>
      <c r="R770" s="11" t="s">
        <v>30</v>
      </c>
      <c r="S770" s="6" t="s">
        <v>30</v>
      </c>
      <c r="T770" s="11" t="s">
        <v>30</v>
      </c>
      <c r="U770" s="6" t="s">
        <v>30</v>
      </c>
      <c r="V770" s="6" t="s">
        <v>30</v>
      </c>
      <c r="W770" s="6" t="s">
        <v>30</v>
      </c>
      <c r="X770" s="2" t="s">
        <v>30</v>
      </c>
      <c r="Y770" s="6" t="str">
        <f aca="false">IF(AND(X770="processed",ISNUMBER(S770)),S770*O770,"")</f>
        <v/>
      </c>
      <c r="Z770" s="6" t="n">
        <f aca="false">IF(ISNUMBER(K770),K770*O770,0)</f>
        <v>3</v>
      </c>
      <c r="AA770" s="2" t="s">
        <v>31</v>
      </c>
      <c r="AB770" s="6" t="n">
        <v>710</v>
      </c>
      <c r="AC770" s="6" t="n">
        <v>574</v>
      </c>
      <c r="AD770" s="6" t="n">
        <v>438</v>
      </c>
      <c r="AE770" s="6" t="n">
        <v>1918.71337890625</v>
      </c>
      <c r="AF770" s="8" t="n">
        <v>534.79280688</v>
      </c>
      <c r="AG770" s="11" t="n">
        <v>-0.04622469063</v>
      </c>
      <c r="AH770" s="12" t="n">
        <v>0.99955815069969</v>
      </c>
      <c r="AI770" s="2" t="s">
        <v>317</v>
      </c>
      <c r="AJ770" s="2" t="s">
        <v>1783</v>
      </c>
      <c r="AK770" s="2" t="s">
        <v>1783</v>
      </c>
    </row>
    <row r="771" customFormat="false" ht="15" hidden="false" customHeight="false" outlineLevel="0" collapsed="false">
      <c r="A771" s="9"/>
      <c r="B771" s="2" t="s">
        <v>1784</v>
      </c>
      <c r="C771" s="2"/>
      <c r="D771" s="2" t="s">
        <v>1190</v>
      </c>
      <c r="E771" s="2" t="s">
        <v>1191</v>
      </c>
      <c r="F771" s="2"/>
      <c r="G771" s="2" t="s">
        <v>324</v>
      </c>
      <c r="H771" s="8" t="n">
        <v>1141.304347826</v>
      </c>
      <c r="I771" s="2" t="s">
        <v>316</v>
      </c>
      <c r="J771" s="8" t="n">
        <v>1050000</v>
      </c>
      <c r="K771" s="6" t="n">
        <v>1</v>
      </c>
      <c r="L771" s="2" t="s">
        <v>1664</v>
      </c>
      <c r="M771" s="10" t="b">
        <f aca="false">FALSE()</f>
        <v>0</v>
      </c>
      <c r="N771" s="9" t="n">
        <f aca="false">IF(H771="","",IF(H771&gt;=Assumptions!$B$5,1,IF(H771&gt;=Assumptions!$B$6,2,IF(H771&gt;=Assumptions!$B$7,3,""))))</f>
        <v>1</v>
      </c>
      <c r="O771" s="9" t="n">
        <f aca="false">IF(N771=1,Assumptions!$B$8,IF(N771=2,Assumptions!$B$9,IF(N771=3,Assumptions!$B$10,0)))</f>
        <v>3</v>
      </c>
      <c r="P771" s="6" t="s">
        <v>30</v>
      </c>
      <c r="Q771" s="6" t="s">
        <v>30</v>
      </c>
      <c r="R771" s="11" t="s">
        <v>30</v>
      </c>
      <c r="S771" s="6" t="s">
        <v>30</v>
      </c>
      <c r="T771" s="11" t="s">
        <v>30</v>
      </c>
      <c r="U771" s="6" t="s">
        <v>30</v>
      </c>
      <c r="V771" s="6" t="s">
        <v>30</v>
      </c>
      <c r="W771" s="6" t="s">
        <v>30</v>
      </c>
      <c r="X771" s="2" t="s">
        <v>30</v>
      </c>
      <c r="Y771" s="6" t="str">
        <f aca="false">IF(AND(X771="processed",ISNUMBER(S771)),S771*O771,"")</f>
        <v/>
      </c>
      <c r="Z771" s="6" t="n">
        <f aca="false">IF(ISNUMBER(K771),K771*O771,0)</f>
        <v>3</v>
      </c>
      <c r="AA771" s="2" t="s">
        <v>31</v>
      </c>
      <c r="AB771" s="6"/>
      <c r="AC771" s="6"/>
      <c r="AD771" s="6"/>
      <c r="AE771" s="6"/>
      <c r="AF771" s="8" t="n">
        <v>1141.304347826</v>
      </c>
      <c r="AG771" s="11" t="n">
        <v>0.2908545727</v>
      </c>
      <c r="AH771" s="12"/>
      <c r="AI771" s="2"/>
      <c r="AJ771" s="2"/>
      <c r="AK771" s="2"/>
    </row>
    <row r="772" customFormat="false" ht="15" hidden="false" customHeight="false" outlineLevel="0" collapsed="false">
      <c r="A772" s="9"/>
      <c r="B772" s="2" t="s">
        <v>1785</v>
      </c>
      <c r="C772" s="2"/>
      <c r="D772" s="2" t="s">
        <v>1190</v>
      </c>
      <c r="E772" s="2" t="s">
        <v>1191</v>
      </c>
      <c r="F772" s="2"/>
      <c r="G772" s="2" t="s">
        <v>324</v>
      </c>
      <c r="H772" s="8" t="n">
        <v>1299.363057325</v>
      </c>
      <c r="I772" s="2" t="s">
        <v>316</v>
      </c>
      <c r="J772" s="8" t="n">
        <v>3060000</v>
      </c>
      <c r="K772" s="6" t="n">
        <v>1</v>
      </c>
      <c r="L772" s="2" t="s">
        <v>1664</v>
      </c>
      <c r="M772" s="10" t="b">
        <f aca="false">FALSE()</f>
        <v>0</v>
      </c>
      <c r="N772" s="9" t="n">
        <f aca="false">IF(H772="","",IF(H772&gt;=Assumptions!$B$5,1,IF(H772&gt;=Assumptions!$B$6,2,IF(H772&gt;=Assumptions!$B$7,3,""))))</f>
        <v>1</v>
      </c>
      <c r="O772" s="9" t="n">
        <f aca="false">IF(N772=1,Assumptions!$B$8,IF(N772=2,Assumptions!$B$9,IF(N772=3,Assumptions!$B$10,0)))</f>
        <v>3</v>
      </c>
      <c r="P772" s="6" t="s">
        <v>30</v>
      </c>
      <c r="Q772" s="6" t="s">
        <v>30</v>
      </c>
      <c r="R772" s="11" t="s">
        <v>30</v>
      </c>
      <c r="S772" s="6" t="s">
        <v>30</v>
      </c>
      <c r="T772" s="11" t="s">
        <v>30</v>
      </c>
      <c r="U772" s="6" t="s">
        <v>30</v>
      </c>
      <c r="V772" s="6" t="s">
        <v>30</v>
      </c>
      <c r="W772" s="6" t="s">
        <v>30</v>
      </c>
      <c r="X772" s="2" t="s">
        <v>30</v>
      </c>
      <c r="Y772" s="6" t="str">
        <f aca="false">IF(AND(X772="processed",ISNUMBER(S772)),S772*O772,"")</f>
        <v/>
      </c>
      <c r="Z772" s="6" t="n">
        <f aca="false">IF(ISNUMBER(K772),K772*O772,0)</f>
        <v>3</v>
      </c>
      <c r="AA772" s="2" t="s">
        <v>31</v>
      </c>
      <c r="AB772" s="6"/>
      <c r="AC772" s="6"/>
      <c r="AD772" s="6"/>
      <c r="AE772" s="6"/>
      <c r="AF772" s="8" t="n">
        <v>1299.363057325</v>
      </c>
      <c r="AG772" s="11"/>
      <c r="AH772" s="12"/>
      <c r="AI772" s="2"/>
      <c r="AJ772" s="2"/>
      <c r="AK772" s="2"/>
    </row>
    <row r="773" customFormat="false" ht="15" hidden="false" customHeight="false" outlineLevel="0" collapsed="false">
      <c r="A773" s="9"/>
      <c r="B773" s="2" t="s">
        <v>1786</v>
      </c>
      <c r="C773" s="2"/>
      <c r="D773" s="2" t="s">
        <v>1190</v>
      </c>
      <c r="E773" s="2" t="s">
        <v>1191</v>
      </c>
      <c r="F773" s="2"/>
      <c r="G773" s="2" t="s">
        <v>324</v>
      </c>
      <c r="H773" s="8" t="n">
        <v>972.222222222</v>
      </c>
      <c r="I773" s="2" t="s">
        <v>316</v>
      </c>
      <c r="J773" s="8" t="n">
        <v>2800000</v>
      </c>
      <c r="K773" s="6" t="n">
        <v>1</v>
      </c>
      <c r="L773" s="2" t="s">
        <v>1664</v>
      </c>
      <c r="M773" s="10" t="b">
        <f aca="false">FALSE()</f>
        <v>0</v>
      </c>
      <c r="N773" s="9" t="n">
        <f aca="false">IF(H773="","",IF(H773&gt;=Assumptions!$B$5,1,IF(H773&gt;=Assumptions!$B$6,2,IF(H773&gt;=Assumptions!$B$7,3,""))))</f>
        <v>1</v>
      </c>
      <c r="O773" s="9" t="n">
        <f aca="false">IF(N773=1,Assumptions!$B$8,IF(N773=2,Assumptions!$B$9,IF(N773=3,Assumptions!$B$10,0)))</f>
        <v>3</v>
      </c>
      <c r="P773" s="6" t="s">
        <v>30</v>
      </c>
      <c r="Q773" s="6" t="s">
        <v>30</v>
      </c>
      <c r="R773" s="11" t="s">
        <v>30</v>
      </c>
      <c r="S773" s="6" t="s">
        <v>30</v>
      </c>
      <c r="T773" s="11" t="s">
        <v>30</v>
      </c>
      <c r="U773" s="6" t="s">
        <v>30</v>
      </c>
      <c r="V773" s="6" t="s">
        <v>30</v>
      </c>
      <c r="W773" s="6" t="s">
        <v>30</v>
      </c>
      <c r="X773" s="2" t="s">
        <v>30</v>
      </c>
      <c r="Y773" s="6" t="str">
        <f aca="false">IF(AND(X773="processed",ISNUMBER(S773)),S773*O773,"")</f>
        <v/>
      </c>
      <c r="Z773" s="6" t="n">
        <f aca="false">IF(ISNUMBER(K773),K773*O773,0)</f>
        <v>3</v>
      </c>
      <c r="AA773" s="2" t="s">
        <v>31</v>
      </c>
      <c r="AB773" s="6"/>
      <c r="AC773" s="6"/>
      <c r="AD773" s="6"/>
      <c r="AE773" s="6"/>
      <c r="AF773" s="8" t="n">
        <v>972.222222222</v>
      </c>
      <c r="AG773" s="11"/>
      <c r="AH773" s="12"/>
      <c r="AI773" s="2"/>
      <c r="AJ773" s="2"/>
      <c r="AK773" s="2"/>
    </row>
    <row r="774" customFormat="false" ht="15" hidden="false" customHeight="false" outlineLevel="0" collapsed="false">
      <c r="A774" s="9"/>
      <c r="B774" s="2" t="s">
        <v>1787</v>
      </c>
      <c r="C774" s="2"/>
      <c r="D774" s="2" t="s">
        <v>1190</v>
      </c>
      <c r="E774" s="2" t="s">
        <v>1191</v>
      </c>
      <c r="F774" s="2"/>
      <c r="G774" s="2" t="s">
        <v>318</v>
      </c>
      <c r="H774" s="8" t="n">
        <v>853.889943074</v>
      </c>
      <c r="I774" s="2" t="s">
        <v>316</v>
      </c>
      <c r="J774" s="8" t="n">
        <v>450000</v>
      </c>
      <c r="K774" s="6" t="n">
        <v>1</v>
      </c>
      <c r="L774" s="2" t="s">
        <v>1664</v>
      </c>
      <c r="M774" s="10" t="b">
        <f aca="false">FALSE()</f>
        <v>0</v>
      </c>
      <c r="N774" s="9" t="n">
        <f aca="false">IF(H774="","",IF(H774&gt;=Assumptions!$B$5,1,IF(H774&gt;=Assumptions!$B$6,2,IF(H774&gt;=Assumptions!$B$7,3,""))))</f>
        <v>1</v>
      </c>
      <c r="O774" s="9" t="n">
        <f aca="false">IF(N774=1,Assumptions!$B$8,IF(N774=2,Assumptions!$B$9,IF(N774=3,Assumptions!$B$10,0)))</f>
        <v>3</v>
      </c>
      <c r="P774" s="6" t="s">
        <v>30</v>
      </c>
      <c r="Q774" s="6" t="s">
        <v>30</v>
      </c>
      <c r="R774" s="11" t="s">
        <v>30</v>
      </c>
      <c r="S774" s="6" t="s">
        <v>30</v>
      </c>
      <c r="T774" s="11" t="s">
        <v>30</v>
      </c>
      <c r="U774" s="6" t="s">
        <v>30</v>
      </c>
      <c r="V774" s="6" t="s">
        <v>30</v>
      </c>
      <c r="W774" s="6" t="s">
        <v>30</v>
      </c>
      <c r="X774" s="2" t="s">
        <v>30</v>
      </c>
      <c r="Y774" s="6" t="str">
        <f aca="false">IF(AND(X774="processed",ISNUMBER(S774)),S774*O774,"")</f>
        <v/>
      </c>
      <c r="Z774" s="6" t="n">
        <f aca="false">IF(ISNUMBER(K774),K774*O774,0)</f>
        <v>3</v>
      </c>
      <c r="AA774" s="2" t="s">
        <v>31</v>
      </c>
      <c r="AB774" s="6"/>
      <c r="AC774" s="6"/>
      <c r="AD774" s="6"/>
      <c r="AE774" s="6"/>
      <c r="AF774" s="8" t="n">
        <v>853.889943074</v>
      </c>
      <c r="AG774" s="11"/>
      <c r="AH774" s="12"/>
      <c r="AI774" s="2"/>
      <c r="AJ774" s="2"/>
      <c r="AK774" s="2"/>
    </row>
    <row r="775" customFormat="false" ht="15" hidden="false" customHeight="false" outlineLevel="0" collapsed="false">
      <c r="A775" s="9"/>
      <c r="B775" s="2" t="s">
        <v>1788</v>
      </c>
      <c r="C775" s="2"/>
      <c r="D775" s="2" t="s">
        <v>1190</v>
      </c>
      <c r="E775" s="2" t="s">
        <v>1191</v>
      </c>
      <c r="F775" s="2"/>
      <c r="G775" s="2" t="s">
        <v>318</v>
      </c>
      <c r="H775" s="8" t="n">
        <v>853.889943074</v>
      </c>
      <c r="I775" s="2" t="s">
        <v>316</v>
      </c>
      <c r="J775" s="8" t="n">
        <v>450000</v>
      </c>
      <c r="K775" s="6" t="n">
        <v>1</v>
      </c>
      <c r="L775" s="2" t="s">
        <v>1664</v>
      </c>
      <c r="M775" s="10" t="b">
        <f aca="false">FALSE()</f>
        <v>0</v>
      </c>
      <c r="N775" s="9" t="n">
        <f aca="false">IF(H775="","",IF(H775&gt;=Assumptions!$B$5,1,IF(H775&gt;=Assumptions!$B$6,2,IF(H775&gt;=Assumptions!$B$7,3,""))))</f>
        <v>1</v>
      </c>
      <c r="O775" s="9" t="n">
        <f aca="false">IF(N775=1,Assumptions!$B$8,IF(N775=2,Assumptions!$B$9,IF(N775=3,Assumptions!$B$10,0)))</f>
        <v>3</v>
      </c>
      <c r="P775" s="6" t="s">
        <v>30</v>
      </c>
      <c r="Q775" s="6" t="s">
        <v>30</v>
      </c>
      <c r="R775" s="11" t="s">
        <v>30</v>
      </c>
      <c r="S775" s="6" t="s">
        <v>30</v>
      </c>
      <c r="T775" s="11" t="s">
        <v>30</v>
      </c>
      <c r="U775" s="6" t="s">
        <v>30</v>
      </c>
      <c r="V775" s="6" t="s">
        <v>30</v>
      </c>
      <c r="W775" s="6" t="s">
        <v>30</v>
      </c>
      <c r="X775" s="2" t="s">
        <v>30</v>
      </c>
      <c r="Y775" s="6" t="str">
        <f aca="false">IF(AND(X775="processed",ISNUMBER(S775)),S775*O775,"")</f>
        <v/>
      </c>
      <c r="Z775" s="6" t="n">
        <f aca="false">IF(ISNUMBER(K775),K775*O775,0)</f>
        <v>3</v>
      </c>
      <c r="AA775" s="2" t="s">
        <v>31</v>
      </c>
      <c r="AB775" s="6"/>
      <c r="AC775" s="6"/>
      <c r="AD775" s="6"/>
      <c r="AE775" s="6"/>
      <c r="AF775" s="8" t="n">
        <v>853.889943074</v>
      </c>
      <c r="AG775" s="11"/>
      <c r="AH775" s="12"/>
      <c r="AI775" s="2"/>
      <c r="AJ775" s="2"/>
      <c r="AK775" s="2"/>
    </row>
    <row r="776" customFormat="false" ht="15" hidden="false" customHeight="false" outlineLevel="0" collapsed="false">
      <c r="A776" s="9"/>
      <c r="B776" s="2" t="s">
        <v>1789</v>
      </c>
      <c r="C776" s="2"/>
      <c r="D776" s="2" t="s">
        <v>1190</v>
      </c>
      <c r="E776" s="2" t="s">
        <v>1191</v>
      </c>
      <c r="F776" s="2"/>
      <c r="G776" s="2" t="s">
        <v>330</v>
      </c>
      <c r="H776" s="8" t="n">
        <v>583.826000521</v>
      </c>
      <c r="I776" s="2" t="s">
        <v>316</v>
      </c>
      <c r="J776" s="8" t="n">
        <v>1323000</v>
      </c>
      <c r="K776" s="6" t="n">
        <v>3</v>
      </c>
      <c r="L776" s="2" t="s">
        <v>1664</v>
      </c>
      <c r="M776" s="10" t="b">
        <f aca="false">FALSE()</f>
        <v>0</v>
      </c>
      <c r="N776" s="9" t="n">
        <f aca="false">IF(H776="","",IF(H776&gt;=Assumptions!$B$5,1,IF(H776&gt;=Assumptions!$B$6,2,IF(H776&gt;=Assumptions!$B$7,3,""))))</f>
        <v>3</v>
      </c>
      <c r="O776" s="9" t="n">
        <f aca="false">IF(N776=1,Assumptions!$B$8,IF(N776=2,Assumptions!$B$9,IF(N776=3,Assumptions!$B$10,0)))</f>
        <v>1</v>
      </c>
      <c r="P776" s="6" t="s">
        <v>30</v>
      </c>
      <c r="Q776" s="6" t="s">
        <v>30</v>
      </c>
      <c r="R776" s="11" t="s">
        <v>30</v>
      </c>
      <c r="S776" s="6" t="s">
        <v>30</v>
      </c>
      <c r="T776" s="11" t="s">
        <v>30</v>
      </c>
      <c r="U776" s="6" t="s">
        <v>30</v>
      </c>
      <c r="V776" s="6" t="s">
        <v>30</v>
      </c>
      <c r="W776" s="6" t="s">
        <v>30</v>
      </c>
      <c r="X776" s="2" t="s">
        <v>30</v>
      </c>
      <c r="Y776" s="6" t="str">
        <f aca="false">IF(AND(X776="processed",ISNUMBER(S776)),S776*O776,"")</f>
        <v/>
      </c>
      <c r="Z776" s="6" t="n">
        <f aca="false">IF(ISNUMBER(K776),K776*O776,0)</f>
        <v>3</v>
      </c>
      <c r="AA776" s="2" t="s">
        <v>31</v>
      </c>
      <c r="AB776" s="6"/>
      <c r="AC776" s="6"/>
      <c r="AD776" s="6"/>
      <c r="AE776" s="6"/>
      <c r="AF776" s="8" t="n">
        <v>579.787234043</v>
      </c>
      <c r="AG776" s="11" t="n">
        <v>0.1000603633</v>
      </c>
      <c r="AH776" s="12"/>
      <c r="AI776" s="2"/>
      <c r="AJ776" s="2"/>
      <c r="AK776" s="2"/>
    </row>
    <row r="777" customFormat="false" ht="15" hidden="false" customHeight="false" outlineLevel="0" collapsed="false">
      <c r="A777" s="9"/>
      <c r="B777" s="2" t="s">
        <v>1790</v>
      </c>
      <c r="C777" s="2"/>
      <c r="D777" s="2" t="s">
        <v>1190</v>
      </c>
      <c r="E777" s="2" t="s">
        <v>1191</v>
      </c>
      <c r="F777" s="2"/>
      <c r="G777" s="2" t="s">
        <v>330</v>
      </c>
      <c r="H777" s="8" t="n">
        <v>779.761904762</v>
      </c>
      <c r="I777" s="2" t="s">
        <v>337</v>
      </c>
      <c r="J777" s="8" t="n">
        <v>655000</v>
      </c>
      <c r="K777" s="6" t="n">
        <v>1</v>
      </c>
      <c r="L777" s="2" t="s">
        <v>1664</v>
      </c>
      <c r="M777" s="10" t="b">
        <f aca="false">FALSE()</f>
        <v>0</v>
      </c>
      <c r="N777" s="9" t="n">
        <f aca="false">IF(H777="","",IF(H777&gt;=Assumptions!$B$5,1,IF(H777&gt;=Assumptions!$B$6,2,IF(H777&gt;=Assumptions!$B$7,3,""))))</f>
        <v>1</v>
      </c>
      <c r="O777" s="9" t="n">
        <f aca="false">IF(N777=1,Assumptions!$B$8,IF(N777=2,Assumptions!$B$9,IF(N777=3,Assumptions!$B$10,0)))</f>
        <v>3</v>
      </c>
      <c r="P777" s="6" t="s">
        <v>30</v>
      </c>
      <c r="Q777" s="6" t="s">
        <v>30</v>
      </c>
      <c r="R777" s="11" t="s">
        <v>30</v>
      </c>
      <c r="S777" s="6" t="s">
        <v>30</v>
      </c>
      <c r="T777" s="11" t="s">
        <v>30</v>
      </c>
      <c r="U777" s="6" t="s">
        <v>30</v>
      </c>
      <c r="V777" s="6" t="s">
        <v>30</v>
      </c>
      <c r="W777" s="6" t="s">
        <v>30</v>
      </c>
      <c r="X777" s="2" t="s">
        <v>30</v>
      </c>
      <c r="Y777" s="6" t="str">
        <f aca="false">IF(AND(X777="processed",ISNUMBER(S777)),S777*O777,"")</f>
        <v/>
      </c>
      <c r="Z777" s="6" t="n">
        <f aca="false">IF(ISNUMBER(K777),K777*O777,0)</f>
        <v>3</v>
      </c>
      <c r="AA777" s="2" t="s">
        <v>31</v>
      </c>
      <c r="AB777" s="6"/>
      <c r="AC777" s="6"/>
      <c r="AD777" s="6"/>
      <c r="AE777" s="6"/>
      <c r="AF777" s="8"/>
      <c r="AG777" s="11"/>
      <c r="AH777" s="12"/>
      <c r="AI777" s="2"/>
      <c r="AJ777" s="2"/>
      <c r="AK777" s="2"/>
    </row>
    <row r="778" customFormat="false" ht="15" hidden="false" customHeight="false" outlineLevel="0" collapsed="false">
      <c r="A778" s="9" t="n">
        <v>723</v>
      </c>
      <c r="B778" s="2" t="s">
        <v>1791</v>
      </c>
      <c r="C778" s="2" t="s">
        <v>38</v>
      </c>
      <c r="D778" s="2" t="s">
        <v>39</v>
      </c>
      <c r="E778" s="2" t="s">
        <v>40</v>
      </c>
      <c r="F778" s="2" t="s">
        <v>1792</v>
      </c>
      <c r="G778" s="2" t="s">
        <v>320</v>
      </c>
      <c r="H778" s="8" t="n">
        <v>741.666666667</v>
      </c>
      <c r="I778" s="2" t="s">
        <v>316</v>
      </c>
      <c r="J778" s="8" t="n">
        <v>1335000</v>
      </c>
      <c r="K778" s="6" t="n">
        <v>1</v>
      </c>
      <c r="L778" s="2" t="s">
        <v>1664</v>
      </c>
      <c r="M778" s="10" t="b">
        <f aca="false">TRUE()</f>
        <v>1</v>
      </c>
      <c r="N778" s="9" t="n">
        <f aca="false">IF(H778="","",IF(H778&gt;=Assumptions!$B$5,1,IF(H778&gt;=Assumptions!$B$6,2,IF(H778&gt;=Assumptions!$B$7,3,""))))</f>
        <v>1</v>
      </c>
      <c r="O778" s="9" t="n">
        <f aca="false">IF(N778=1,Assumptions!$B$8,IF(N778=2,Assumptions!$B$9,IF(N778=3,Assumptions!$B$10,0)))</f>
        <v>3</v>
      </c>
      <c r="P778" s="6" t="s">
        <v>30</v>
      </c>
      <c r="Q778" s="6" t="s">
        <v>30</v>
      </c>
      <c r="R778" s="11" t="s">
        <v>30</v>
      </c>
      <c r="S778" s="6" t="s">
        <v>30</v>
      </c>
      <c r="T778" s="11" t="s">
        <v>30</v>
      </c>
      <c r="U778" s="6" t="s">
        <v>30</v>
      </c>
      <c r="V778" s="6" t="s">
        <v>30</v>
      </c>
      <c r="W778" s="6" t="s">
        <v>30</v>
      </c>
      <c r="X778" s="2" t="s">
        <v>30</v>
      </c>
      <c r="Y778" s="6" t="str">
        <f aca="false">IF(AND(X778="processed",ISNUMBER(S778)),S778*O778,"")</f>
        <v/>
      </c>
      <c r="Z778" s="6" t="n">
        <f aca="false">IF(ISNUMBER(K778),K778*O778,0)</f>
        <v>3</v>
      </c>
      <c r="AA778" s="2" t="s">
        <v>31</v>
      </c>
      <c r="AB778" s="6" t="n">
        <v>999</v>
      </c>
      <c r="AC778" s="6" t="n">
        <v>751</v>
      </c>
      <c r="AD778" s="6" t="n">
        <v>46</v>
      </c>
      <c r="AE778" s="6" t="n">
        <v>1715.65185546875</v>
      </c>
      <c r="AF778" s="8" t="n">
        <v>741.666666667</v>
      </c>
      <c r="AG778" s="11"/>
      <c r="AH778" s="12" t="n">
        <v>0.994939805724243</v>
      </c>
      <c r="AI778" s="2" t="s">
        <v>321</v>
      </c>
      <c r="AJ778" s="2" t="s">
        <v>38</v>
      </c>
      <c r="AK778" s="2" t="s">
        <v>38</v>
      </c>
    </row>
    <row r="779" customFormat="false" ht="15" hidden="false" customHeight="false" outlineLevel="0" collapsed="false">
      <c r="A779" s="9"/>
      <c r="B779" s="2" t="s">
        <v>1793</v>
      </c>
      <c r="C779" s="2"/>
      <c r="D779" s="2" t="s">
        <v>1190</v>
      </c>
      <c r="E779" s="2" t="s">
        <v>1191</v>
      </c>
      <c r="F779" s="2"/>
      <c r="G779" s="2" t="s">
        <v>320</v>
      </c>
      <c r="H779" s="8" t="n">
        <v>1201.923076923</v>
      </c>
      <c r="I779" s="2" t="s">
        <v>316</v>
      </c>
      <c r="J779" s="8" t="n">
        <v>1500000</v>
      </c>
      <c r="K779" s="6" t="n">
        <v>1</v>
      </c>
      <c r="L779" s="2" t="s">
        <v>1664</v>
      </c>
      <c r="M779" s="10" t="b">
        <f aca="false">FALSE()</f>
        <v>0</v>
      </c>
      <c r="N779" s="9" t="n">
        <f aca="false">IF(H779="","",IF(H779&gt;=Assumptions!$B$5,1,IF(H779&gt;=Assumptions!$B$6,2,IF(H779&gt;=Assumptions!$B$7,3,""))))</f>
        <v>1</v>
      </c>
      <c r="O779" s="9" t="n">
        <f aca="false">IF(N779=1,Assumptions!$B$8,IF(N779=2,Assumptions!$B$9,IF(N779=3,Assumptions!$B$10,0)))</f>
        <v>3</v>
      </c>
      <c r="P779" s="6" t="s">
        <v>30</v>
      </c>
      <c r="Q779" s="6" t="s">
        <v>30</v>
      </c>
      <c r="R779" s="11" t="s">
        <v>30</v>
      </c>
      <c r="S779" s="6" t="s">
        <v>30</v>
      </c>
      <c r="T779" s="11" t="s">
        <v>30</v>
      </c>
      <c r="U779" s="6" t="s">
        <v>30</v>
      </c>
      <c r="V779" s="6" t="s">
        <v>30</v>
      </c>
      <c r="W779" s="6" t="s">
        <v>30</v>
      </c>
      <c r="X779" s="2" t="s">
        <v>30</v>
      </c>
      <c r="Y779" s="6" t="str">
        <f aca="false">IF(AND(X779="processed",ISNUMBER(S779)),S779*O779,"")</f>
        <v/>
      </c>
      <c r="Z779" s="6" t="n">
        <f aca="false">IF(ISNUMBER(K779),K779*O779,0)</f>
        <v>3</v>
      </c>
      <c r="AA779" s="2" t="s">
        <v>31</v>
      </c>
      <c r="AB779" s="6"/>
      <c r="AC779" s="6"/>
      <c r="AD779" s="6"/>
      <c r="AE779" s="6"/>
      <c r="AF779" s="8" t="n">
        <v>1201.923076923</v>
      </c>
      <c r="AG779" s="11"/>
      <c r="AH779" s="12"/>
      <c r="AI779" s="2"/>
      <c r="AJ779" s="2"/>
      <c r="AK779" s="2"/>
    </row>
    <row r="780" customFormat="false" ht="15" hidden="false" customHeight="false" outlineLevel="0" collapsed="false">
      <c r="A780" s="9" t="n">
        <v>724</v>
      </c>
      <c r="B780" s="2" t="s">
        <v>1794</v>
      </c>
      <c r="C780" s="2" t="s">
        <v>1795</v>
      </c>
      <c r="D780" s="2" t="s">
        <v>190</v>
      </c>
      <c r="E780" s="2" t="s">
        <v>51</v>
      </c>
      <c r="F780" s="2"/>
      <c r="G780" s="2" t="s">
        <v>336</v>
      </c>
      <c r="H780" s="8" t="n">
        <v>513.432047226333</v>
      </c>
      <c r="I780" s="2" t="s">
        <v>316</v>
      </c>
      <c r="J780" s="8" t="n">
        <v>546000</v>
      </c>
      <c r="K780" s="6" t="n">
        <v>3</v>
      </c>
      <c r="L780" s="2" t="s">
        <v>1664</v>
      </c>
      <c r="M780" s="10" t="b">
        <f aca="false">TRUE()</f>
        <v>1</v>
      </c>
      <c r="N780" s="9" t="n">
        <f aca="false">IF(H780="","",IF(H780&gt;=Assumptions!$B$5,1,IF(H780&gt;=Assumptions!$B$6,2,IF(H780&gt;=Assumptions!$B$7,3,""))))</f>
        <v>3</v>
      </c>
      <c r="O780" s="9" t="n">
        <f aca="false">IF(N780=1,Assumptions!$B$8,IF(N780=2,Assumptions!$B$9,IF(N780=3,Assumptions!$B$10,0)))</f>
        <v>1</v>
      </c>
      <c r="P780" s="6" t="s">
        <v>30</v>
      </c>
      <c r="Q780" s="6" t="s">
        <v>30</v>
      </c>
      <c r="R780" s="11" t="s">
        <v>30</v>
      </c>
      <c r="S780" s="6" t="s">
        <v>30</v>
      </c>
      <c r="T780" s="11" t="s">
        <v>30</v>
      </c>
      <c r="U780" s="6" t="s">
        <v>30</v>
      </c>
      <c r="V780" s="6" t="s">
        <v>30</v>
      </c>
      <c r="W780" s="6" t="s">
        <v>30</v>
      </c>
      <c r="X780" s="2" t="s">
        <v>30</v>
      </c>
      <c r="Y780" s="6" t="str">
        <f aca="false">IF(AND(X780="processed",ISNUMBER(S780)),S780*O780,"")</f>
        <v/>
      </c>
      <c r="Z780" s="6" t="n">
        <f aca="false">IF(ISNUMBER(K780),K780*O780,0)</f>
        <v>3</v>
      </c>
      <c r="AA780" s="2" t="s">
        <v>31</v>
      </c>
      <c r="AB780" s="6" t="n">
        <v>97</v>
      </c>
      <c r="AC780" s="6" t="n">
        <v>47</v>
      </c>
      <c r="AD780" s="6" t="n">
        <v>8</v>
      </c>
      <c r="AE780" s="6" t="n">
        <v>1536.33374023438</v>
      </c>
      <c r="AF780" s="8" t="n">
        <v>599.862843083</v>
      </c>
      <c r="AG780" s="11"/>
      <c r="AH780" s="12" t="n">
        <v>0.999999999999999</v>
      </c>
      <c r="AI780" s="2" t="s">
        <v>1597</v>
      </c>
      <c r="AJ780" s="2"/>
      <c r="AK780" s="2" t="s">
        <v>1795</v>
      </c>
    </row>
    <row r="781" customFormat="false" ht="15" hidden="false" customHeight="false" outlineLevel="0" collapsed="false">
      <c r="A781" s="9" t="n">
        <v>725</v>
      </c>
      <c r="B781" s="2" t="s">
        <v>1796</v>
      </c>
      <c r="C781" s="2" t="s">
        <v>1797</v>
      </c>
      <c r="D781" s="2" t="s">
        <v>1595</v>
      </c>
      <c r="E781" s="2" t="s">
        <v>51</v>
      </c>
      <c r="F781" s="2" t="s">
        <v>1798</v>
      </c>
      <c r="G781" s="2" t="s">
        <v>1596</v>
      </c>
      <c r="H781" s="8" t="n">
        <v>543.939393939667</v>
      </c>
      <c r="I781" s="2" t="s">
        <v>316</v>
      </c>
      <c r="J781" s="8" t="n">
        <v>1065000</v>
      </c>
      <c r="K781" s="6" t="n">
        <v>3</v>
      </c>
      <c r="L781" s="2" t="s">
        <v>1664</v>
      </c>
      <c r="M781" s="10" t="b">
        <f aca="false">TRUE()</f>
        <v>1</v>
      </c>
      <c r="N781" s="9" t="n">
        <f aca="false">IF(H781="","",IF(H781&gt;=Assumptions!$B$5,1,IF(H781&gt;=Assumptions!$B$6,2,IF(H781&gt;=Assumptions!$B$7,3,""))))</f>
        <v>3</v>
      </c>
      <c r="O781" s="9" t="n">
        <f aca="false">IF(N781=1,Assumptions!$B$8,IF(N781=2,Assumptions!$B$9,IF(N781=3,Assumptions!$B$10,0)))</f>
        <v>1</v>
      </c>
      <c r="P781" s="6" t="s">
        <v>30</v>
      </c>
      <c r="Q781" s="6" t="s">
        <v>30</v>
      </c>
      <c r="R781" s="11" t="s">
        <v>30</v>
      </c>
      <c r="S781" s="6" t="s">
        <v>30</v>
      </c>
      <c r="T781" s="11" t="s">
        <v>30</v>
      </c>
      <c r="U781" s="6" t="s">
        <v>30</v>
      </c>
      <c r="V781" s="6" t="s">
        <v>30</v>
      </c>
      <c r="W781" s="6" t="s">
        <v>30</v>
      </c>
      <c r="X781" s="2" t="s">
        <v>30</v>
      </c>
      <c r="Y781" s="6" t="str">
        <f aca="false">IF(AND(X781="processed",ISNUMBER(S781)),S781*O781,"")</f>
        <v/>
      </c>
      <c r="Z781" s="6" t="n">
        <f aca="false">IF(ISNUMBER(K781),K781*O781,0)</f>
        <v>3</v>
      </c>
      <c r="AA781" s="2" t="s">
        <v>31</v>
      </c>
      <c r="AB781" s="6" t="n">
        <v>1230</v>
      </c>
      <c r="AC781" s="6" t="n">
        <v>991</v>
      </c>
      <c r="AD781" s="6" t="n">
        <v>963</v>
      </c>
      <c r="AE781" s="6" t="n">
        <v>1501.26391601563</v>
      </c>
      <c r="AF781" s="8" t="n">
        <v>727.272727273</v>
      </c>
      <c r="AG781" s="11"/>
      <c r="AH781" s="12" t="n">
        <v>1</v>
      </c>
      <c r="AI781" s="2" t="s">
        <v>319</v>
      </c>
      <c r="AJ781" s="2"/>
      <c r="AK781" s="2" t="s">
        <v>1797</v>
      </c>
    </row>
    <row r="782" customFormat="false" ht="15" hidden="false" customHeight="false" outlineLevel="0" collapsed="false">
      <c r="A782" s="9" t="n">
        <v>726</v>
      </c>
      <c r="B782" s="2" t="s">
        <v>1799</v>
      </c>
      <c r="C782" s="2" t="s">
        <v>1800</v>
      </c>
      <c r="D782" s="2" t="s">
        <v>1800</v>
      </c>
      <c r="E782" s="2" t="s">
        <v>51</v>
      </c>
      <c r="F782" s="2"/>
      <c r="G782" s="2" t="s">
        <v>323</v>
      </c>
      <c r="H782" s="8" t="n">
        <v>1001.225490196</v>
      </c>
      <c r="I782" s="2" t="s">
        <v>337</v>
      </c>
      <c r="J782" s="8" t="n">
        <v>817000</v>
      </c>
      <c r="K782" s="6" t="n">
        <v>1</v>
      </c>
      <c r="L782" s="2" t="s">
        <v>1664</v>
      </c>
      <c r="M782" s="10" t="b">
        <f aca="false">TRUE()</f>
        <v>1</v>
      </c>
      <c r="N782" s="9" t="n">
        <f aca="false">IF(H782="","",IF(H782&gt;=Assumptions!$B$5,1,IF(H782&gt;=Assumptions!$B$6,2,IF(H782&gt;=Assumptions!$B$7,3,""))))</f>
        <v>1</v>
      </c>
      <c r="O782" s="9" t="n">
        <f aca="false">IF(N782=1,Assumptions!$B$8,IF(N782=2,Assumptions!$B$9,IF(N782=3,Assumptions!$B$10,0)))</f>
        <v>3</v>
      </c>
      <c r="P782" s="6" t="s">
        <v>30</v>
      </c>
      <c r="Q782" s="6" t="s">
        <v>30</v>
      </c>
      <c r="R782" s="11" t="s">
        <v>30</v>
      </c>
      <c r="S782" s="6" t="s">
        <v>30</v>
      </c>
      <c r="T782" s="11" t="s">
        <v>30</v>
      </c>
      <c r="U782" s="6" t="s">
        <v>30</v>
      </c>
      <c r="V782" s="6" t="s">
        <v>30</v>
      </c>
      <c r="W782" s="6" t="s">
        <v>30</v>
      </c>
      <c r="X782" s="2" t="s">
        <v>30</v>
      </c>
      <c r="Y782" s="6" t="str">
        <f aca="false">IF(AND(X782="processed",ISNUMBER(S782)),S782*O782,"")</f>
        <v/>
      </c>
      <c r="Z782" s="6" t="n">
        <f aca="false">IF(ISNUMBER(K782),K782*O782,0)</f>
        <v>3</v>
      </c>
      <c r="AA782" s="2" t="s">
        <v>31</v>
      </c>
      <c r="AB782" s="6" t="n">
        <v>218</v>
      </c>
      <c r="AC782" s="6" t="n">
        <v>197</v>
      </c>
      <c r="AD782" s="6" t="n">
        <v>9</v>
      </c>
      <c r="AE782" s="6" t="n">
        <v>1595.70336914063</v>
      </c>
      <c r="AF782" s="8"/>
      <c r="AG782" s="11"/>
      <c r="AH782" s="12" t="n">
        <v>1</v>
      </c>
      <c r="AI782" s="2" t="s">
        <v>317</v>
      </c>
      <c r="AJ782" s="2" t="s">
        <v>1800</v>
      </c>
      <c r="AK782" s="2" t="s">
        <v>1800</v>
      </c>
    </row>
    <row r="783" customFormat="false" ht="15" hidden="false" customHeight="false" outlineLevel="0" collapsed="false">
      <c r="A783" s="9"/>
      <c r="B783" s="2" t="s">
        <v>1801</v>
      </c>
      <c r="C783" s="2"/>
      <c r="D783" s="2" t="s">
        <v>1190</v>
      </c>
      <c r="E783" s="2" t="s">
        <v>1191</v>
      </c>
      <c r="F783" s="2"/>
      <c r="G783" s="2" t="s">
        <v>322</v>
      </c>
      <c r="H783" s="8" t="n">
        <v>676.691729323</v>
      </c>
      <c r="I783" s="2" t="s">
        <v>316</v>
      </c>
      <c r="J783" s="8" t="n">
        <v>720000</v>
      </c>
      <c r="K783" s="6" t="n">
        <v>1</v>
      </c>
      <c r="L783" s="2" t="s">
        <v>1664</v>
      </c>
      <c r="M783" s="10" t="b">
        <f aca="false">FALSE()</f>
        <v>0</v>
      </c>
      <c r="N783" s="9" t="n">
        <f aca="false">IF(H783="","",IF(H783&gt;=Assumptions!$B$5,1,IF(H783&gt;=Assumptions!$B$6,2,IF(H783&gt;=Assumptions!$B$7,3,""))))</f>
        <v>2</v>
      </c>
      <c r="O783" s="9" t="n">
        <f aca="false">IF(N783=1,Assumptions!$B$8,IF(N783=2,Assumptions!$B$9,IF(N783=3,Assumptions!$B$10,0)))</f>
        <v>2</v>
      </c>
      <c r="P783" s="6" t="s">
        <v>30</v>
      </c>
      <c r="Q783" s="6" t="s">
        <v>30</v>
      </c>
      <c r="R783" s="11" t="s">
        <v>30</v>
      </c>
      <c r="S783" s="6" t="s">
        <v>30</v>
      </c>
      <c r="T783" s="11" t="s">
        <v>30</v>
      </c>
      <c r="U783" s="6" t="s">
        <v>30</v>
      </c>
      <c r="V783" s="6" t="s">
        <v>30</v>
      </c>
      <c r="W783" s="6" t="s">
        <v>30</v>
      </c>
      <c r="X783" s="2" t="s">
        <v>30</v>
      </c>
      <c r="Y783" s="6" t="str">
        <f aca="false">IF(AND(X783="processed",ISNUMBER(S783)),S783*O783,"")</f>
        <v/>
      </c>
      <c r="Z783" s="6" t="n">
        <f aca="false">IF(ISNUMBER(K783),K783*O783,0)</f>
        <v>2</v>
      </c>
      <c r="AA783" s="2" t="s">
        <v>31</v>
      </c>
      <c r="AB783" s="6"/>
      <c r="AC783" s="6"/>
      <c r="AD783" s="6"/>
      <c r="AE783" s="6"/>
      <c r="AF783" s="8" t="n">
        <v>676.691729323</v>
      </c>
      <c r="AG783" s="11"/>
      <c r="AH783" s="12"/>
      <c r="AI783" s="2"/>
      <c r="AJ783" s="2"/>
      <c r="AK783" s="2"/>
    </row>
    <row r="784" customFormat="false" ht="15" hidden="false" customHeight="false" outlineLevel="0" collapsed="false">
      <c r="A784" s="9"/>
      <c r="B784" s="2" t="s">
        <v>1802</v>
      </c>
      <c r="C784" s="2"/>
      <c r="D784" s="2" t="s">
        <v>1190</v>
      </c>
      <c r="E784" s="2" t="s">
        <v>1191</v>
      </c>
      <c r="F784" s="2"/>
      <c r="G784" s="2" t="s">
        <v>348</v>
      </c>
      <c r="H784" s="8" t="n">
        <v>606.375606376</v>
      </c>
      <c r="I784" s="2" t="s">
        <v>316</v>
      </c>
      <c r="J784" s="8" t="n">
        <v>875000</v>
      </c>
      <c r="K784" s="6" t="n">
        <v>1</v>
      </c>
      <c r="L784" s="2" t="s">
        <v>1664</v>
      </c>
      <c r="M784" s="10" t="b">
        <f aca="false">FALSE()</f>
        <v>0</v>
      </c>
      <c r="N784" s="9" t="n">
        <f aca="false">IF(H784="","",IF(H784&gt;=Assumptions!$B$5,1,IF(H784&gt;=Assumptions!$B$6,2,IF(H784&gt;=Assumptions!$B$7,3,""))))</f>
        <v>2</v>
      </c>
      <c r="O784" s="9" t="n">
        <f aca="false">IF(N784=1,Assumptions!$B$8,IF(N784=2,Assumptions!$B$9,IF(N784=3,Assumptions!$B$10,0)))</f>
        <v>2</v>
      </c>
      <c r="P784" s="6" t="s">
        <v>30</v>
      </c>
      <c r="Q784" s="6" t="s">
        <v>30</v>
      </c>
      <c r="R784" s="11" t="s">
        <v>30</v>
      </c>
      <c r="S784" s="6" t="s">
        <v>30</v>
      </c>
      <c r="T784" s="11" t="s">
        <v>30</v>
      </c>
      <c r="U784" s="6" t="s">
        <v>30</v>
      </c>
      <c r="V784" s="6" t="s">
        <v>30</v>
      </c>
      <c r="W784" s="6" t="s">
        <v>30</v>
      </c>
      <c r="X784" s="2" t="s">
        <v>30</v>
      </c>
      <c r="Y784" s="6" t="str">
        <f aca="false">IF(AND(X784="processed",ISNUMBER(S784)),S784*O784,"")</f>
        <v/>
      </c>
      <c r="Z784" s="6" t="n">
        <f aca="false">IF(ISNUMBER(K784),K784*O784,0)</f>
        <v>2</v>
      </c>
      <c r="AA784" s="2" t="s">
        <v>31</v>
      </c>
      <c r="AB784" s="6"/>
      <c r="AC784" s="6"/>
      <c r="AD784" s="6"/>
      <c r="AE784" s="6"/>
      <c r="AF784" s="8" t="n">
        <v>606.375606376</v>
      </c>
      <c r="AG784" s="11"/>
      <c r="AH784" s="12"/>
      <c r="AI784" s="2"/>
      <c r="AJ784" s="2"/>
      <c r="AK784" s="2"/>
    </row>
    <row r="785" customFormat="false" ht="15" hidden="false" customHeight="false" outlineLevel="0" collapsed="false">
      <c r="A785" s="9"/>
      <c r="B785" s="2" t="s">
        <v>1803</v>
      </c>
      <c r="C785" s="2"/>
      <c r="D785" s="2" t="s">
        <v>1190</v>
      </c>
      <c r="E785" s="2" t="s">
        <v>1191</v>
      </c>
      <c r="F785" s="2"/>
      <c r="G785" s="2" t="s">
        <v>425</v>
      </c>
      <c r="H785" s="8" t="n">
        <v>682.768230376</v>
      </c>
      <c r="I785" s="2" t="s">
        <v>316</v>
      </c>
      <c r="J785" s="8" t="n">
        <v>1470000</v>
      </c>
      <c r="K785" s="6" t="n">
        <v>1</v>
      </c>
      <c r="L785" s="2" t="s">
        <v>1664</v>
      </c>
      <c r="M785" s="10" t="b">
        <f aca="false">FALSE()</f>
        <v>0</v>
      </c>
      <c r="N785" s="9" t="n">
        <f aca="false">IF(H785="","",IF(H785&gt;=Assumptions!$B$5,1,IF(H785&gt;=Assumptions!$B$6,2,IF(H785&gt;=Assumptions!$B$7,3,""))))</f>
        <v>2</v>
      </c>
      <c r="O785" s="9" t="n">
        <f aca="false">IF(N785=1,Assumptions!$B$8,IF(N785=2,Assumptions!$B$9,IF(N785=3,Assumptions!$B$10,0)))</f>
        <v>2</v>
      </c>
      <c r="P785" s="6" t="s">
        <v>30</v>
      </c>
      <c r="Q785" s="6" t="s">
        <v>30</v>
      </c>
      <c r="R785" s="11" t="s">
        <v>30</v>
      </c>
      <c r="S785" s="6" t="s">
        <v>30</v>
      </c>
      <c r="T785" s="11" t="s">
        <v>30</v>
      </c>
      <c r="U785" s="6" t="s">
        <v>30</v>
      </c>
      <c r="V785" s="6" t="s">
        <v>30</v>
      </c>
      <c r="W785" s="6" t="s">
        <v>30</v>
      </c>
      <c r="X785" s="2" t="s">
        <v>30</v>
      </c>
      <c r="Y785" s="6" t="str">
        <f aca="false">IF(AND(X785="processed",ISNUMBER(S785)),S785*O785,"")</f>
        <v/>
      </c>
      <c r="Z785" s="6" t="n">
        <f aca="false">IF(ISNUMBER(K785),K785*O785,0)</f>
        <v>2</v>
      </c>
      <c r="AA785" s="2" t="s">
        <v>31</v>
      </c>
      <c r="AB785" s="6"/>
      <c r="AC785" s="6"/>
      <c r="AD785" s="6"/>
      <c r="AE785" s="6"/>
      <c r="AF785" s="8" t="n">
        <v>682.768230376</v>
      </c>
      <c r="AG785" s="11"/>
      <c r="AH785" s="12"/>
      <c r="AI785" s="2"/>
      <c r="AJ785" s="2"/>
      <c r="AK785" s="2"/>
    </row>
    <row r="786" customFormat="false" ht="15" hidden="false" customHeight="false" outlineLevel="0" collapsed="false">
      <c r="A786" s="9" t="n">
        <v>727</v>
      </c>
      <c r="B786" s="2" t="s">
        <v>1804</v>
      </c>
      <c r="C786" s="2" t="s">
        <v>1805</v>
      </c>
      <c r="D786" s="2" t="s">
        <v>540</v>
      </c>
      <c r="E786" s="2" t="s">
        <v>51</v>
      </c>
      <c r="F786" s="2"/>
      <c r="G786" s="2" t="s">
        <v>541</v>
      </c>
      <c r="H786" s="8" t="n">
        <v>608.766233766</v>
      </c>
      <c r="I786" s="2" t="s">
        <v>316</v>
      </c>
      <c r="J786" s="8" t="n">
        <v>1500000</v>
      </c>
      <c r="K786" s="6" t="n">
        <v>1</v>
      </c>
      <c r="L786" s="2" t="s">
        <v>1664</v>
      </c>
      <c r="M786" s="10" t="b">
        <f aca="false">TRUE()</f>
        <v>1</v>
      </c>
      <c r="N786" s="9" t="n">
        <f aca="false">IF(H786="","",IF(H786&gt;=Assumptions!$B$5,1,IF(H786&gt;=Assumptions!$B$6,2,IF(H786&gt;=Assumptions!$B$7,3,""))))</f>
        <v>2</v>
      </c>
      <c r="O786" s="9" t="n">
        <f aca="false">IF(N786=1,Assumptions!$B$8,IF(N786=2,Assumptions!$B$9,IF(N786=3,Assumptions!$B$10,0)))</f>
        <v>2</v>
      </c>
      <c r="P786" s="6" t="s">
        <v>30</v>
      </c>
      <c r="Q786" s="6" t="s">
        <v>30</v>
      </c>
      <c r="R786" s="11" t="s">
        <v>30</v>
      </c>
      <c r="S786" s="6" t="s">
        <v>30</v>
      </c>
      <c r="T786" s="11" t="s">
        <v>30</v>
      </c>
      <c r="U786" s="6" t="s">
        <v>30</v>
      </c>
      <c r="V786" s="6" t="s">
        <v>30</v>
      </c>
      <c r="W786" s="6" t="s">
        <v>30</v>
      </c>
      <c r="X786" s="2" t="s">
        <v>30</v>
      </c>
      <c r="Y786" s="6" t="str">
        <f aca="false">IF(AND(X786="processed",ISNUMBER(S786)),S786*O786,"")</f>
        <v/>
      </c>
      <c r="Z786" s="6" t="n">
        <f aca="false">IF(ISNUMBER(K786),K786*O786,0)</f>
        <v>2</v>
      </c>
      <c r="AA786" s="2" t="s">
        <v>31</v>
      </c>
      <c r="AB786" s="6" t="n">
        <v>153</v>
      </c>
      <c r="AC786" s="6" t="n">
        <v>103</v>
      </c>
      <c r="AD786" s="6" t="n">
        <v>5</v>
      </c>
      <c r="AE786" s="6" t="n">
        <v>1630.84497070313</v>
      </c>
      <c r="AF786" s="8" t="n">
        <v>608.766233766</v>
      </c>
      <c r="AG786" s="11"/>
      <c r="AH786" s="12" t="n">
        <v>1</v>
      </c>
      <c r="AI786" s="2" t="s">
        <v>1597</v>
      </c>
      <c r="AJ786" s="2"/>
      <c r="AK786" s="2" t="s">
        <v>1805</v>
      </c>
    </row>
    <row r="787" customFormat="false" ht="15" hidden="false" customHeight="false" outlineLevel="0" collapsed="false">
      <c r="A787" s="9" t="n">
        <v>728</v>
      </c>
      <c r="B787" s="2" t="s">
        <v>1806</v>
      </c>
      <c r="C787" s="2" t="s">
        <v>1807</v>
      </c>
      <c r="D787" s="2" t="s">
        <v>190</v>
      </c>
      <c r="E787" s="2" t="s">
        <v>51</v>
      </c>
      <c r="F787" s="2"/>
      <c r="G787" s="2" t="s">
        <v>336</v>
      </c>
      <c r="H787" s="8" t="n">
        <v>572.4700553765</v>
      </c>
      <c r="I787" s="2" t="s">
        <v>316</v>
      </c>
      <c r="J787" s="8" t="n">
        <v>1871750</v>
      </c>
      <c r="K787" s="6" t="n">
        <v>2</v>
      </c>
      <c r="L787" s="2" t="s">
        <v>1664</v>
      </c>
      <c r="M787" s="10" t="b">
        <f aca="false">TRUE()</f>
        <v>1</v>
      </c>
      <c r="N787" s="9" t="n">
        <f aca="false">IF(H787="","",IF(H787&gt;=Assumptions!$B$5,1,IF(H787&gt;=Assumptions!$B$6,2,IF(H787&gt;=Assumptions!$B$7,3,""))))</f>
        <v>3</v>
      </c>
      <c r="O787" s="9" t="n">
        <f aca="false">IF(N787=1,Assumptions!$B$8,IF(N787=2,Assumptions!$B$9,IF(N787=3,Assumptions!$B$10,0)))</f>
        <v>1</v>
      </c>
      <c r="P787" s="6" t="s">
        <v>30</v>
      </c>
      <c r="Q787" s="6" t="s">
        <v>30</v>
      </c>
      <c r="R787" s="11" t="s">
        <v>30</v>
      </c>
      <c r="S787" s="6" t="s">
        <v>30</v>
      </c>
      <c r="T787" s="11" t="s">
        <v>30</v>
      </c>
      <c r="U787" s="6" t="s">
        <v>30</v>
      </c>
      <c r="V787" s="6" t="s">
        <v>30</v>
      </c>
      <c r="W787" s="6" t="s">
        <v>30</v>
      </c>
      <c r="X787" s="2" t="s">
        <v>30</v>
      </c>
      <c r="Y787" s="6" t="str">
        <f aca="false">IF(AND(X787="processed",ISNUMBER(S787)),S787*O787,"")</f>
        <v/>
      </c>
      <c r="Z787" s="6" t="n">
        <f aca="false">IF(ISNUMBER(K787),K787*O787,0)</f>
        <v>2</v>
      </c>
      <c r="AA787" s="2" t="s">
        <v>31</v>
      </c>
      <c r="AB787" s="6" t="n">
        <v>612</v>
      </c>
      <c r="AC787" s="6" t="n">
        <v>393</v>
      </c>
      <c r="AD787" s="6" t="n">
        <v>47</v>
      </c>
      <c r="AE787" s="6" t="n">
        <v>1545.75061035156</v>
      </c>
      <c r="AF787" s="8" t="n">
        <v>605.30482977</v>
      </c>
      <c r="AG787" s="11"/>
      <c r="AH787" s="12" t="n">
        <v>0.993531851537442</v>
      </c>
      <c r="AI787" s="2" t="s">
        <v>317</v>
      </c>
      <c r="AJ787" s="2" t="s">
        <v>1807</v>
      </c>
      <c r="AK787" s="2" t="s">
        <v>1807</v>
      </c>
    </row>
    <row r="788" customFormat="false" ht="15" hidden="false" customHeight="false" outlineLevel="0" collapsed="false">
      <c r="A788" s="9" t="n">
        <v>729</v>
      </c>
      <c r="B788" s="2" t="s">
        <v>1808</v>
      </c>
      <c r="C788" s="2" t="s">
        <v>1809</v>
      </c>
      <c r="D788" s="2" t="s">
        <v>95</v>
      </c>
      <c r="E788" s="2" t="s">
        <v>95</v>
      </c>
      <c r="F788" s="2"/>
      <c r="G788" s="2" t="s">
        <v>330</v>
      </c>
      <c r="H788" s="8" t="n">
        <v>527.57701973</v>
      </c>
      <c r="I788" s="2" t="s">
        <v>316</v>
      </c>
      <c r="J788" s="8" t="n">
        <v>775000</v>
      </c>
      <c r="K788" s="6" t="n">
        <v>2</v>
      </c>
      <c r="L788" s="2" t="s">
        <v>1664</v>
      </c>
      <c r="M788" s="10" t="b">
        <f aca="false">TRUE()</f>
        <v>1</v>
      </c>
      <c r="N788" s="9" t="n">
        <f aca="false">IF(H788="","",IF(H788&gt;=Assumptions!$B$5,1,IF(H788&gt;=Assumptions!$B$6,2,IF(H788&gt;=Assumptions!$B$7,3,""))))</f>
        <v>3</v>
      </c>
      <c r="O788" s="9" t="n">
        <f aca="false">IF(N788=1,Assumptions!$B$8,IF(N788=2,Assumptions!$B$9,IF(N788=3,Assumptions!$B$10,0)))</f>
        <v>1</v>
      </c>
      <c r="P788" s="6" t="s">
        <v>30</v>
      </c>
      <c r="Q788" s="6" t="s">
        <v>30</v>
      </c>
      <c r="R788" s="11" t="s">
        <v>30</v>
      </c>
      <c r="S788" s="6" t="s">
        <v>30</v>
      </c>
      <c r="T788" s="11" t="s">
        <v>30</v>
      </c>
      <c r="U788" s="6" t="s">
        <v>30</v>
      </c>
      <c r="V788" s="6" t="s">
        <v>30</v>
      </c>
      <c r="W788" s="6" t="s">
        <v>30</v>
      </c>
      <c r="X788" s="2" t="s">
        <v>30</v>
      </c>
      <c r="Y788" s="6" t="str">
        <f aca="false">IF(AND(X788="processed",ISNUMBER(S788)),S788*O788,"")</f>
        <v/>
      </c>
      <c r="Z788" s="6" t="n">
        <f aca="false">IF(ISNUMBER(K788),K788*O788,0)</f>
        <v>2</v>
      </c>
      <c r="AA788" s="2" t="s">
        <v>31</v>
      </c>
      <c r="AB788" s="6" t="n">
        <v>130</v>
      </c>
      <c r="AC788" s="6" t="n">
        <v>80</v>
      </c>
      <c r="AD788" s="6" t="n">
        <v>6</v>
      </c>
      <c r="AE788" s="6" t="n">
        <v>1648.74853515625</v>
      </c>
      <c r="AF788" s="8" t="n">
        <v>527.57701973</v>
      </c>
      <c r="AG788" s="11"/>
      <c r="AH788" s="12" t="n">
        <v>0.906751698972154</v>
      </c>
      <c r="AI788" s="2" t="s">
        <v>317</v>
      </c>
      <c r="AJ788" s="2" t="s">
        <v>1809</v>
      </c>
      <c r="AK788" s="2" t="s">
        <v>1585</v>
      </c>
    </row>
    <row r="789" customFormat="false" ht="15" hidden="false" customHeight="false" outlineLevel="0" collapsed="false">
      <c r="A789" s="9" t="n">
        <v>730</v>
      </c>
      <c r="B789" s="2" t="s">
        <v>1810</v>
      </c>
      <c r="C789" s="2" t="s">
        <v>1811</v>
      </c>
      <c r="D789" s="2" t="s">
        <v>197</v>
      </c>
      <c r="E789" s="2" t="s">
        <v>51</v>
      </c>
      <c r="F789" s="2"/>
      <c r="G789" s="2" t="s">
        <v>338</v>
      </c>
      <c r="H789" s="8" t="n">
        <v>655.781584582</v>
      </c>
      <c r="I789" s="2" t="s">
        <v>316</v>
      </c>
      <c r="J789" s="8" t="n">
        <v>1225000</v>
      </c>
      <c r="K789" s="6" t="n">
        <v>1</v>
      </c>
      <c r="L789" s="2" t="s">
        <v>1664</v>
      </c>
      <c r="M789" s="10" t="b">
        <f aca="false">TRUE()</f>
        <v>1</v>
      </c>
      <c r="N789" s="9" t="n">
        <f aca="false">IF(H789="","",IF(H789&gt;=Assumptions!$B$5,1,IF(H789&gt;=Assumptions!$B$6,2,IF(H789&gt;=Assumptions!$B$7,3,""))))</f>
        <v>2</v>
      </c>
      <c r="O789" s="9" t="n">
        <f aca="false">IF(N789=1,Assumptions!$B$8,IF(N789=2,Assumptions!$B$9,IF(N789=3,Assumptions!$B$10,0)))</f>
        <v>2</v>
      </c>
      <c r="P789" s="6" t="s">
        <v>30</v>
      </c>
      <c r="Q789" s="6" t="s">
        <v>30</v>
      </c>
      <c r="R789" s="11" t="s">
        <v>30</v>
      </c>
      <c r="S789" s="6" t="s">
        <v>30</v>
      </c>
      <c r="T789" s="11" t="s">
        <v>30</v>
      </c>
      <c r="U789" s="6" t="s">
        <v>30</v>
      </c>
      <c r="V789" s="6" t="s">
        <v>30</v>
      </c>
      <c r="W789" s="6" t="s">
        <v>30</v>
      </c>
      <c r="X789" s="2" t="s">
        <v>30</v>
      </c>
      <c r="Y789" s="6" t="str">
        <f aca="false">IF(AND(X789="processed",ISNUMBER(S789)),S789*O789,"")</f>
        <v/>
      </c>
      <c r="Z789" s="6" t="n">
        <f aca="false">IF(ISNUMBER(K789),K789*O789,0)</f>
        <v>2</v>
      </c>
      <c r="AA789" s="2" t="s">
        <v>31</v>
      </c>
      <c r="AB789" s="6" t="n">
        <v>764</v>
      </c>
      <c r="AC789" s="6" t="n">
        <v>516</v>
      </c>
      <c r="AD789" s="6" t="n">
        <v>180</v>
      </c>
      <c r="AE789" s="6" t="n">
        <v>1413.0400390625</v>
      </c>
      <c r="AF789" s="8" t="n">
        <v>655.781584582</v>
      </c>
      <c r="AG789" s="11" t="n">
        <v>-0.2439775161</v>
      </c>
      <c r="AH789" s="12" t="n">
        <v>0.963483803163475</v>
      </c>
      <c r="AI789" s="2" t="s">
        <v>321</v>
      </c>
      <c r="AJ789" s="2" t="s">
        <v>1811</v>
      </c>
      <c r="AK789" s="2" t="s">
        <v>1812</v>
      </c>
    </row>
    <row r="790" customFormat="false" ht="15" hidden="false" customHeight="false" outlineLevel="0" collapsed="false">
      <c r="A790" s="9"/>
      <c r="B790" s="2" t="s">
        <v>1813</v>
      </c>
      <c r="C790" s="2"/>
      <c r="D790" s="2" t="s">
        <v>1190</v>
      </c>
      <c r="E790" s="2" t="s">
        <v>1191</v>
      </c>
      <c r="F790" s="2"/>
      <c r="G790" s="2" t="s">
        <v>320</v>
      </c>
      <c r="H790" s="8" t="n">
        <v>652.418447694</v>
      </c>
      <c r="I790" s="2" t="s">
        <v>316</v>
      </c>
      <c r="J790" s="8" t="n">
        <v>1740000</v>
      </c>
      <c r="K790" s="6" t="n">
        <v>1</v>
      </c>
      <c r="L790" s="2" t="s">
        <v>1664</v>
      </c>
      <c r="M790" s="10" t="b">
        <f aca="false">FALSE()</f>
        <v>0</v>
      </c>
      <c r="N790" s="9" t="n">
        <f aca="false">IF(H790="","",IF(H790&gt;=Assumptions!$B$5,1,IF(H790&gt;=Assumptions!$B$6,2,IF(H790&gt;=Assumptions!$B$7,3,""))))</f>
        <v>2</v>
      </c>
      <c r="O790" s="9" t="n">
        <f aca="false">IF(N790=1,Assumptions!$B$8,IF(N790=2,Assumptions!$B$9,IF(N790=3,Assumptions!$B$10,0)))</f>
        <v>2</v>
      </c>
      <c r="P790" s="6" t="s">
        <v>30</v>
      </c>
      <c r="Q790" s="6" t="s">
        <v>30</v>
      </c>
      <c r="R790" s="11" t="s">
        <v>30</v>
      </c>
      <c r="S790" s="6" t="s">
        <v>30</v>
      </c>
      <c r="T790" s="11" t="s">
        <v>30</v>
      </c>
      <c r="U790" s="6" t="s">
        <v>30</v>
      </c>
      <c r="V790" s="6" t="s">
        <v>30</v>
      </c>
      <c r="W790" s="6" t="s">
        <v>30</v>
      </c>
      <c r="X790" s="2" t="s">
        <v>30</v>
      </c>
      <c r="Y790" s="6" t="str">
        <f aca="false">IF(AND(X790="processed",ISNUMBER(S790)),S790*O790,"")</f>
        <v/>
      </c>
      <c r="Z790" s="6" t="n">
        <f aca="false">IF(ISNUMBER(K790),K790*O790,0)</f>
        <v>2</v>
      </c>
      <c r="AA790" s="2" t="s">
        <v>31</v>
      </c>
      <c r="AB790" s="6"/>
      <c r="AC790" s="6"/>
      <c r="AD790" s="6"/>
      <c r="AE790" s="6"/>
      <c r="AF790" s="8" t="n">
        <v>652.418447694</v>
      </c>
      <c r="AG790" s="11"/>
      <c r="AH790" s="12"/>
      <c r="AI790" s="2"/>
      <c r="AJ790" s="2"/>
      <c r="AK790" s="2"/>
    </row>
    <row r="791" customFormat="false" ht="15" hidden="false" customHeight="false" outlineLevel="0" collapsed="false">
      <c r="A791" s="9"/>
      <c r="B791" s="2" t="s">
        <v>1814</v>
      </c>
      <c r="C791" s="2"/>
      <c r="D791" s="2" t="s">
        <v>1190</v>
      </c>
      <c r="E791" s="2" t="s">
        <v>1191</v>
      </c>
      <c r="F791" s="2"/>
      <c r="G791" s="2" t="s">
        <v>320</v>
      </c>
      <c r="H791" s="8" t="n">
        <v>673.173173173</v>
      </c>
      <c r="I791" s="2" t="s">
        <v>337</v>
      </c>
      <c r="J791" s="8" t="n">
        <v>1345000</v>
      </c>
      <c r="K791" s="6" t="n">
        <v>1</v>
      </c>
      <c r="L791" s="2" t="s">
        <v>1664</v>
      </c>
      <c r="M791" s="10" t="b">
        <f aca="false">FALSE()</f>
        <v>0</v>
      </c>
      <c r="N791" s="9" t="n">
        <f aca="false">IF(H791="","",IF(H791&gt;=Assumptions!$B$5,1,IF(H791&gt;=Assumptions!$B$6,2,IF(H791&gt;=Assumptions!$B$7,3,""))))</f>
        <v>2</v>
      </c>
      <c r="O791" s="9" t="n">
        <f aca="false">IF(N791=1,Assumptions!$B$8,IF(N791=2,Assumptions!$B$9,IF(N791=3,Assumptions!$B$10,0)))</f>
        <v>2</v>
      </c>
      <c r="P791" s="6" t="s">
        <v>30</v>
      </c>
      <c r="Q791" s="6" t="s">
        <v>30</v>
      </c>
      <c r="R791" s="11" t="s">
        <v>30</v>
      </c>
      <c r="S791" s="6" t="s">
        <v>30</v>
      </c>
      <c r="T791" s="11" t="s">
        <v>30</v>
      </c>
      <c r="U791" s="6" t="s">
        <v>30</v>
      </c>
      <c r="V791" s="6" t="s">
        <v>30</v>
      </c>
      <c r="W791" s="6" t="s">
        <v>30</v>
      </c>
      <c r="X791" s="2" t="s">
        <v>30</v>
      </c>
      <c r="Y791" s="6" t="str">
        <f aca="false">IF(AND(X791="processed",ISNUMBER(S791)),S791*O791,"")</f>
        <v/>
      </c>
      <c r="Z791" s="6" t="n">
        <f aca="false">IF(ISNUMBER(K791),K791*O791,0)</f>
        <v>2</v>
      </c>
      <c r="AA791" s="2" t="s">
        <v>31</v>
      </c>
      <c r="AB791" s="6"/>
      <c r="AC791" s="6"/>
      <c r="AD791" s="6"/>
      <c r="AE791" s="6"/>
      <c r="AF791" s="8"/>
      <c r="AG791" s="11"/>
      <c r="AH791" s="12"/>
      <c r="AI791" s="2"/>
      <c r="AJ791" s="2"/>
      <c r="AK791" s="2"/>
    </row>
    <row r="792" customFormat="false" ht="15" hidden="false" customHeight="false" outlineLevel="0" collapsed="false">
      <c r="A792" s="9" t="n">
        <v>731</v>
      </c>
      <c r="B792" s="2" t="s">
        <v>1815</v>
      </c>
      <c r="C792" s="2" t="s">
        <v>1816</v>
      </c>
      <c r="D792" s="2" t="s">
        <v>1817</v>
      </c>
      <c r="E792" s="2" t="s">
        <v>51</v>
      </c>
      <c r="F792" s="2"/>
      <c r="G792" s="2" t="s">
        <v>1818</v>
      </c>
      <c r="H792" s="8" t="n">
        <v>510.430276108</v>
      </c>
      <c r="I792" s="2" t="s">
        <v>316</v>
      </c>
      <c r="J792" s="8" t="n">
        <v>521250</v>
      </c>
      <c r="K792" s="6" t="n">
        <v>2</v>
      </c>
      <c r="L792" s="2" t="s">
        <v>1664</v>
      </c>
      <c r="M792" s="10" t="b">
        <f aca="false">TRUE()</f>
        <v>1</v>
      </c>
      <c r="N792" s="9" t="n">
        <f aca="false">IF(H792="","",IF(H792&gt;=Assumptions!$B$5,1,IF(H792&gt;=Assumptions!$B$6,2,IF(H792&gt;=Assumptions!$B$7,3,""))))</f>
        <v>3</v>
      </c>
      <c r="O792" s="9" t="n">
        <f aca="false">IF(N792=1,Assumptions!$B$8,IF(N792=2,Assumptions!$B$9,IF(N792=3,Assumptions!$B$10,0)))</f>
        <v>1</v>
      </c>
      <c r="P792" s="6" t="s">
        <v>30</v>
      </c>
      <c r="Q792" s="6" t="s">
        <v>30</v>
      </c>
      <c r="R792" s="11" t="s">
        <v>30</v>
      </c>
      <c r="S792" s="6" t="s">
        <v>30</v>
      </c>
      <c r="T792" s="11" t="s">
        <v>30</v>
      </c>
      <c r="U792" s="6" t="s">
        <v>30</v>
      </c>
      <c r="V792" s="6" t="s">
        <v>30</v>
      </c>
      <c r="W792" s="6" t="s">
        <v>30</v>
      </c>
      <c r="X792" s="2" t="s">
        <v>30</v>
      </c>
      <c r="Y792" s="6" t="str">
        <f aca="false">IF(AND(X792="processed",ISNUMBER(S792)),S792*O792,"")</f>
        <v/>
      </c>
      <c r="Z792" s="6" t="n">
        <f aca="false">IF(ISNUMBER(K792),K792*O792,0)</f>
        <v>2</v>
      </c>
      <c r="AA792" s="2" t="s">
        <v>31</v>
      </c>
      <c r="AB792" s="6" t="n">
        <v>1459</v>
      </c>
      <c r="AC792" s="6" t="n">
        <v>1048</v>
      </c>
      <c r="AD792" s="6" t="n">
        <v>1105</v>
      </c>
      <c r="AE792" s="6" t="n">
        <v>1831.49780273438</v>
      </c>
      <c r="AF792" s="8" t="n">
        <v>510.430276108</v>
      </c>
      <c r="AG792" s="11" t="n">
        <v>0.7571090516</v>
      </c>
      <c r="AH792" s="12" t="n">
        <v>0.997500955788625</v>
      </c>
      <c r="AI792" s="2" t="s">
        <v>350</v>
      </c>
      <c r="AJ792" s="2" t="s">
        <v>1816</v>
      </c>
      <c r="AK792" s="2" t="s">
        <v>1816</v>
      </c>
    </row>
    <row r="793" customFormat="false" ht="15" hidden="false" customHeight="false" outlineLevel="0" collapsed="false">
      <c r="A793" s="9" t="n">
        <v>732</v>
      </c>
      <c r="B793" s="2" t="s">
        <v>1819</v>
      </c>
      <c r="C793" s="2" t="s">
        <v>1820</v>
      </c>
      <c r="D793" s="2" t="s">
        <v>1595</v>
      </c>
      <c r="E793" s="2" t="s">
        <v>51</v>
      </c>
      <c r="F793" s="2"/>
      <c r="G793" s="2" t="s">
        <v>1596</v>
      </c>
      <c r="H793" s="8" t="n">
        <v>503.273322422</v>
      </c>
      <c r="I793" s="2" t="s">
        <v>316</v>
      </c>
      <c r="J793" s="8" t="n">
        <v>615000</v>
      </c>
      <c r="K793" s="6" t="n">
        <v>2</v>
      </c>
      <c r="L793" s="2" t="s">
        <v>1664</v>
      </c>
      <c r="M793" s="10" t="b">
        <f aca="false">TRUE()</f>
        <v>1</v>
      </c>
      <c r="N793" s="9" t="n">
        <f aca="false">IF(H793="","",IF(H793&gt;=Assumptions!$B$5,1,IF(H793&gt;=Assumptions!$B$6,2,IF(H793&gt;=Assumptions!$B$7,3,""))))</f>
        <v>3</v>
      </c>
      <c r="O793" s="9" t="n">
        <f aca="false">IF(N793=1,Assumptions!$B$8,IF(N793=2,Assumptions!$B$9,IF(N793=3,Assumptions!$B$10,0)))</f>
        <v>1</v>
      </c>
      <c r="P793" s="6" t="s">
        <v>30</v>
      </c>
      <c r="Q793" s="6" t="s">
        <v>30</v>
      </c>
      <c r="R793" s="11" t="s">
        <v>30</v>
      </c>
      <c r="S793" s="6" t="s">
        <v>30</v>
      </c>
      <c r="T793" s="11" t="s">
        <v>30</v>
      </c>
      <c r="U793" s="6" t="s">
        <v>30</v>
      </c>
      <c r="V793" s="6" t="s">
        <v>30</v>
      </c>
      <c r="W793" s="6" t="s">
        <v>30</v>
      </c>
      <c r="X793" s="2" t="s">
        <v>30</v>
      </c>
      <c r="Y793" s="6" t="str">
        <f aca="false">IF(AND(X793="processed",ISNUMBER(S793)),S793*O793,"")</f>
        <v/>
      </c>
      <c r="Z793" s="6" t="n">
        <f aca="false">IF(ISNUMBER(K793),K793*O793,0)</f>
        <v>2</v>
      </c>
      <c r="AA793" s="2" t="s">
        <v>31</v>
      </c>
      <c r="AB793" s="6" t="n">
        <v>379</v>
      </c>
      <c r="AC793" s="6" t="n">
        <v>290</v>
      </c>
      <c r="AD793" s="6" t="n">
        <v>283</v>
      </c>
      <c r="AE793" s="6" t="n">
        <v>1473.05419921875</v>
      </c>
      <c r="AF793" s="8" t="n">
        <v>503.273322422</v>
      </c>
      <c r="AG793" s="11" t="n">
        <v>0.01445522563</v>
      </c>
      <c r="AH793" s="12" t="n">
        <v>0.89845695151881</v>
      </c>
      <c r="AI793" s="2" t="s">
        <v>1597</v>
      </c>
      <c r="AJ793" s="2"/>
      <c r="AK793" s="2" t="s">
        <v>1820</v>
      </c>
    </row>
    <row r="794" customFormat="false" ht="15" hidden="false" customHeight="false" outlineLevel="0" collapsed="false">
      <c r="A794" s="9" t="n">
        <v>733</v>
      </c>
      <c r="B794" s="2" t="s">
        <v>1821</v>
      </c>
      <c r="C794" s="2" t="s">
        <v>1822</v>
      </c>
      <c r="D794" s="2" t="s">
        <v>1595</v>
      </c>
      <c r="E794" s="2" t="s">
        <v>51</v>
      </c>
      <c r="F794" s="2" t="s">
        <v>1823</v>
      </c>
      <c r="G794" s="2" t="s">
        <v>1596</v>
      </c>
      <c r="H794" s="8" t="n">
        <v>677.769171185</v>
      </c>
      <c r="I794" s="2" t="s">
        <v>316</v>
      </c>
      <c r="J794" s="8" t="n">
        <v>875000</v>
      </c>
      <c r="K794" s="6" t="n">
        <v>1</v>
      </c>
      <c r="L794" s="2" t="s">
        <v>1664</v>
      </c>
      <c r="M794" s="10" t="b">
        <f aca="false">TRUE()</f>
        <v>1</v>
      </c>
      <c r="N794" s="9" t="n">
        <f aca="false">IF(H794="","",IF(H794&gt;=Assumptions!$B$5,1,IF(H794&gt;=Assumptions!$B$6,2,IF(H794&gt;=Assumptions!$B$7,3,""))))</f>
        <v>2</v>
      </c>
      <c r="O794" s="9" t="n">
        <f aca="false">IF(N794=1,Assumptions!$B$8,IF(N794=2,Assumptions!$B$9,IF(N794=3,Assumptions!$B$10,0)))</f>
        <v>2</v>
      </c>
      <c r="P794" s="6" t="s">
        <v>30</v>
      </c>
      <c r="Q794" s="6" t="s">
        <v>30</v>
      </c>
      <c r="R794" s="11" t="s">
        <v>30</v>
      </c>
      <c r="S794" s="6" t="s">
        <v>30</v>
      </c>
      <c r="T794" s="11" t="s">
        <v>30</v>
      </c>
      <c r="U794" s="6" t="s">
        <v>30</v>
      </c>
      <c r="V794" s="6" t="s">
        <v>30</v>
      </c>
      <c r="W794" s="6" t="s">
        <v>30</v>
      </c>
      <c r="X794" s="2" t="s">
        <v>30</v>
      </c>
      <c r="Y794" s="6" t="str">
        <f aca="false">IF(AND(X794="processed",ISNUMBER(S794)),S794*O794,"")</f>
        <v/>
      </c>
      <c r="Z794" s="6" t="n">
        <f aca="false">IF(ISNUMBER(K794),K794*O794,0)</f>
        <v>2</v>
      </c>
      <c r="AA794" s="2" t="s">
        <v>31</v>
      </c>
      <c r="AB794" s="6" t="n">
        <v>944</v>
      </c>
      <c r="AC794" s="6" t="n">
        <v>789</v>
      </c>
      <c r="AD794" s="6" t="n">
        <v>676</v>
      </c>
      <c r="AE794" s="6" t="n">
        <v>1587.91882324219</v>
      </c>
      <c r="AF794" s="8" t="n">
        <v>677.769171185</v>
      </c>
      <c r="AG794" s="11" t="n">
        <v>-0.1092009971</v>
      </c>
      <c r="AH794" s="12" t="n">
        <v>0.926564720784359</v>
      </c>
      <c r="AI794" s="2" t="s">
        <v>1597</v>
      </c>
      <c r="AJ794" s="2"/>
      <c r="AK794" s="2" t="s">
        <v>1822</v>
      </c>
    </row>
    <row r="795" customFormat="false" ht="15" hidden="false" customHeight="false" outlineLevel="0" collapsed="false">
      <c r="A795" s="9" t="n">
        <v>734</v>
      </c>
      <c r="B795" s="2" t="s">
        <v>1824</v>
      </c>
      <c r="C795" s="2" t="s">
        <v>1825</v>
      </c>
      <c r="D795" s="2" t="s">
        <v>1800</v>
      </c>
      <c r="E795" s="2" t="s">
        <v>51</v>
      </c>
      <c r="F795" s="2"/>
      <c r="G795" s="2" t="s">
        <v>323</v>
      </c>
      <c r="H795" s="8" t="n">
        <v>510.813148789</v>
      </c>
      <c r="I795" s="2" t="s">
        <v>316</v>
      </c>
      <c r="J795" s="8" t="n">
        <v>842500</v>
      </c>
      <c r="K795" s="6" t="n">
        <v>2</v>
      </c>
      <c r="L795" s="2" t="s">
        <v>1664</v>
      </c>
      <c r="M795" s="10" t="b">
        <f aca="false">TRUE()</f>
        <v>1</v>
      </c>
      <c r="N795" s="9" t="n">
        <f aca="false">IF(H795="","",IF(H795&gt;=Assumptions!$B$5,1,IF(H795&gt;=Assumptions!$B$6,2,IF(H795&gt;=Assumptions!$B$7,3,""))))</f>
        <v>3</v>
      </c>
      <c r="O795" s="9" t="n">
        <f aca="false">IF(N795=1,Assumptions!$B$8,IF(N795=2,Assumptions!$B$9,IF(N795=3,Assumptions!$B$10,0)))</f>
        <v>1</v>
      </c>
      <c r="P795" s="6" t="s">
        <v>30</v>
      </c>
      <c r="Q795" s="6" t="s">
        <v>30</v>
      </c>
      <c r="R795" s="11" t="s">
        <v>30</v>
      </c>
      <c r="S795" s="6" t="s">
        <v>30</v>
      </c>
      <c r="T795" s="11" t="s">
        <v>30</v>
      </c>
      <c r="U795" s="6" t="s">
        <v>30</v>
      </c>
      <c r="V795" s="6" t="s">
        <v>30</v>
      </c>
      <c r="W795" s="6" t="s">
        <v>30</v>
      </c>
      <c r="X795" s="2" t="s">
        <v>30</v>
      </c>
      <c r="Y795" s="6" t="str">
        <f aca="false">IF(AND(X795="processed",ISNUMBER(S795)),S795*O795,"")</f>
        <v/>
      </c>
      <c r="Z795" s="6" t="n">
        <f aca="false">IF(ISNUMBER(K795),K795*O795,0)</f>
        <v>2</v>
      </c>
      <c r="AA795" s="2" t="s">
        <v>31</v>
      </c>
      <c r="AB795" s="6" t="n">
        <v>538</v>
      </c>
      <c r="AC795" s="6" t="n">
        <v>450</v>
      </c>
      <c r="AD795" s="6" t="n">
        <v>73</v>
      </c>
      <c r="AE795" s="6" t="n">
        <v>1833.7314453125</v>
      </c>
      <c r="AF795" s="8" t="n">
        <v>510.813148789</v>
      </c>
      <c r="AG795" s="11"/>
      <c r="AH795" s="12" t="n">
        <v>0.99130643058433</v>
      </c>
      <c r="AI795" s="2" t="s">
        <v>317</v>
      </c>
      <c r="AJ795" s="2" t="s">
        <v>1825</v>
      </c>
      <c r="AK795" s="2" t="s">
        <v>1825</v>
      </c>
    </row>
    <row r="796" customFormat="false" ht="15" hidden="false" customHeight="false" outlineLevel="0" collapsed="false">
      <c r="A796" s="9" t="n">
        <v>735</v>
      </c>
      <c r="B796" s="2" t="s">
        <v>1826</v>
      </c>
      <c r="C796" s="2" t="s">
        <v>1827</v>
      </c>
      <c r="D796" s="2" t="s">
        <v>1828</v>
      </c>
      <c r="E796" s="2" t="s">
        <v>51</v>
      </c>
      <c r="F796" s="2"/>
      <c r="G796" s="2" t="s">
        <v>323</v>
      </c>
      <c r="H796" s="8" t="n">
        <v>508.11529313</v>
      </c>
      <c r="I796" s="2" t="s">
        <v>316</v>
      </c>
      <c r="J796" s="8" t="n">
        <v>1642500</v>
      </c>
      <c r="K796" s="6" t="n">
        <v>2</v>
      </c>
      <c r="L796" s="2" t="s">
        <v>1664</v>
      </c>
      <c r="M796" s="10" t="b">
        <f aca="false">TRUE()</f>
        <v>1</v>
      </c>
      <c r="N796" s="9" t="n">
        <f aca="false">IF(H796="","",IF(H796&gt;=Assumptions!$B$5,1,IF(H796&gt;=Assumptions!$B$6,2,IF(H796&gt;=Assumptions!$B$7,3,""))))</f>
        <v>3</v>
      </c>
      <c r="O796" s="9" t="n">
        <f aca="false">IF(N796=1,Assumptions!$B$8,IF(N796=2,Assumptions!$B$9,IF(N796=3,Assumptions!$B$10,0)))</f>
        <v>1</v>
      </c>
      <c r="P796" s="6" t="s">
        <v>30</v>
      </c>
      <c r="Q796" s="6" t="s">
        <v>30</v>
      </c>
      <c r="R796" s="11" t="s">
        <v>30</v>
      </c>
      <c r="S796" s="6" t="s">
        <v>30</v>
      </c>
      <c r="T796" s="11" t="s">
        <v>30</v>
      </c>
      <c r="U796" s="6" t="s">
        <v>30</v>
      </c>
      <c r="V796" s="6" t="s">
        <v>30</v>
      </c>
      <c r="W796" s="6" t="s">
        <v>30</v>
      </c>
      <c r="X796" s="2" t="s">
        <v>30</v>
      </c>
      <c r="Y796" s="6" t="str">
        <f aca="false">IF(AND(X796="processed",ISNUMBER(S796)),S796*O796,"")</f>
        <v/>
      </c>
      <c r="Z796" s="6" t="n">
        <f aca="false">IF(ISNUMBER(K796),K796*O796,0)</f>
        <v>2</v>
      </c>
      <c r="AA796" s="2" t="s">
        <v>31</v>
      </c>
      <c r="AB796" s="6" t="n">
        <v>288</v>
      </c>
      <c r="AC796" s="6" t="n">
        <v>260</v>
      </c>
      <c r="AD796" s="6" t="n">
        <v>4</v>
      </c>
      <c r="AE796" s="6" t="n">
        <v>2249.66015625</v>
      </c>
      <c r="AF796" s="8" t="n">
        <v>587.659157689</v>
      </c>
      <c r="AG796" s="11"/>
      <c r="AH796" s="12" t="n">
        <v>0.70773981876558</v>
      </c>
      <c r="AI796" s="2" t="s">
        <v>321</v>
      </c>
      <c r="AJ796" s="2" t="s">
        <v>1827</v>
      </c>
      <c r="AK796" s="2" t="s">
        <v>1827</v>
      </c>
    </row>
    <row r="797" customFormat="false" ht="15" hidden="false" customHeight="false" outlineLevel="0" collapsed="false">
      <c r="A797" s="9"/>
      <c r="B797" s="2" t="s">
        <v>1829</v>
      </c>
      <c r="C797" s="2"/>
      <c r="D797" s="2" t="s">
        <v>1190</v>
      </c>
      <c r="E797" s="2" t="s">
        <v>1191</v>
      </c>
      <c r="F797" s="2"/>
      <c r="G797" s="2" t="s">
        <v>323</v>
      </c>
      <c r="H797" s="8" t="n">
        <v>672.102247686</v>
      </c>
      <c r="I797" s="2" t="s">
        <v>316</v>
      </c>
      <c r="J797" s="8" t="n">
        <v>1525000</v>
      </c>
      <c r="K797" s="6" t="n">
        <v>1</v>
      </c>
      <c r="L797" s="2" t="s">
        <v>1664</v>
      </c>
      <c r="M797" s="10" t="b">
        <f aca="false">FALSE()</f>
        <v>0</v>
      </c>
      <c r="N797" s="9" t="n">
        <f aca="false">IF(H797="","",IF(H797&gt;=Assumptions!$B$5,1,IF(H797&gt;=Assumptions!$B$6,2,IF(H797&gt;=Assumptions!$B$7,3,""))))</f>
        <v>2</v>
      </c>
      <c r="O797" s="9" t="n">
        <f aca="false">IF(N797=1,Assumptions!$B$8,IF(N797=2,Assumptions!$B$9,IF(N797=3,Assumptions!$B$10,0)))</f>
        <v>2</v>
      </c>
      <c r="P797" s="6" t="s">
        <v>30</v>
      </c>
      <c r="Q797" s="6" t="s">
        <v>30</v>
      </c>
      <c r="R797" s="11" t="s">
        <v>30</v>
      </c>
      <c r="S797" s="6" t="s">
        <v>30</v>
      </c>
      <c r="T797" s="11" t="s">
        <v>30</v>
      </c>
      <c r="U797" s="6" t="s">
        <v>30</v>
      </c>
      <c r="V797" s="6" t="s">
        <v>30</v>
      </c>
      <c r="W797" s="6" t="s">
        <v>30</v>
      </c>
      <c r="X797" s="2" t="s">
        <v>30</v>
      </c>
      <c r="Y797" s="6" t="str">
        <f aca="false">IF(AND(X797="processed",ISNUMBER(S797)),S797*O797,"")</f>
        <v/>
      </c>
      <c r="Z797" s="6" t="n">
        <f aca="false">IF(ISNUMBER(K797),K797*O797,0)</f>
        <v>2</v>
      </c>
      <c r="AA797" s="2" t="s">
        <v>31</v>
      </c>
      <c r="AB797" s="6"/>
      <c r="AC797" s="6"/>
      <c r="AD797" s="6"/>
      <c r="AE797" s="6"/>
      <c r="AF797" s="8" t="n">
        <v>672.102247686</v>
      </c>
      <c r="AG797" s="11"/>
      <c r="AH797" s="12"/>
      <c r="AI797" s="2"/>
      <c r="AJ797" s="2"/>
      <c r="AK797" s="2"/>
    </row>
    <row r="798" customFormat="false" ht="15" hidden="false" customHeight="false" outlineLevel="0" collapsed="false">
      <c r="A798" s="9"/>
      <c r="B798" s="2" t="s">
        <v>1830</v>
      </c>
      <c r="C798" s="2"/>
      <c r="D798" s="2" t="s">
        <v>1190</v>
      </c>
      <c r="E798" s="2" t="s">
        <v>1191</v>
      </c>
      <c r="F798" s="2"/>
      <c r="G798" s="2" t="s">
        <v>329</v>
      </c>
      <c r="H798" s="8" t="n">
        <v>557.817589577</v>
      </c>
      <c r="I798" s="2" t="s">
        <v>316</v>
      </c>
      <c r="J798" s="8" t="n">
        <v>1370000</v>
      </c>
      <c r="K798" s="6" t="n">
        <v>1</v>
      </c>
      <c r="L798" s="2" t="s">
        <v>1664</v>
      </c>
      <c r="M798" s="10" t="b">
        <f aca="false">FALSE()</f>
        <v>0</v>
      </c>
      <c r="N798" s="9" t="n">
        <f aca="false">IF(H798="","",IF(H798&gt;=Assumptions!$B$5,1,IF(H798&gt;=Assumptions!$B$6,2,IF(H798&gt;=Assumptions!$B$7,3,""))))</f>
        <v>3</v>
      </c>
      <c r="O798" s="9" t="n">
        <f aca="false">IF(N798=1,Assumptions!$B$8,IF(N798=2,Assumptions!$B$9,IF(N798=3,Assumptions!$B$10,0)))</f>
        <v>1</v>
      </c>
      <c r="P798" s="6" t="s">
        <v>30</v>
      </c>
      <c r="Q798" s="6" t="s">
        <v>30</v>
      </c>
      <c r="R798" s="11" t="s">
        <v>30</v>
      </c>
      <c r="S798" s="6" t="s">
        <v>30</v>
      </c>
      <c r="T798" s="11" t="s">
        <v>30</v>
      </c>
      <c r="U798" s="6" t="s">
        <v>30</v>
      </c>
      <c r="V798" s="6" t="s">
        <v>30</v>
      </c>
      <c r="W798" s="6" t="s">
        <v>30</v>
      </c>
      <c r="X798" s="2" t="s">
        <v>30</v>
      </c>
      <c r="Y798" s="6" t="str">
        <f aca="false">IF(AND(X798="processed",ISNUMBER(S798)),S798*O798,"")</f>
        <v/>
      </c>
      <c r="Z798" s="6" t="n">
        <f aca="false">IF(ISNUMBER(K798),K798*O798,0)</f>
        <v>1</v>
      </c>
      <c r="AA798" s="2" t="s">
        <v>31</v>
      </c>
      <c r="AB798" s="6"/>
      <c r="AC798" s="6"/>
      <c r="AD798" s="6"/>
      <c r="AE798" s="6"/>
      <c r="AF798" s="8" t="n">
        <v>557.817589577</v>
      </c>
      <c r="AG798" s="11"/>
      <c r="AH798" s="12"/>
      <c r="AI798" s="2"/>
      <c r="AJ798" s="2"/>
      <c r="AK798" s="2"/>
    </row>
    <row r="799" customFormat="false" ht="15" hidden="false" customHeight="false" outlineLevel="0" collapsed="false">
      <c r="A799" s="9"/>
      <c r="B799" s="2" t="s">
        <v>1831</v>
      </c>
      <c r="C799" s="2"/>
      <c r="D799" s="2" t="s">
        <v>1190</v>
      </c>
      <c r="E799" s="2" t="s">
        <v>1191</v>
      </c>
      <c r="F799" s="2"/>
      <c r="G799" s="2" t="s">
        <v>329</v>
      </c>
      <c r="H799" s="8" t="n">
        <v>549.450549451</v>
      </c>
      <c r="I799" s="2" t="s">
        <v>316</v>
      </c>
      <c r="J799" s="8" t="n">
        <v>800000</v>
      </c>
      <c r="K799" s="6" t="n">
        <v>1</v>
      </c>
      <c r="L799" s="2" t="s">
        <v>1664</v>
      </c>
      <c r="M799" s="10" t="b">
        <f aca="false">FALSE()</f>
        <v>0</v>
      </c>
      <c r="N799" s="9" t="n">
        <f aca="false">IF(H799="","",IF(H799&gt;=Assumptions!$B$5,1,IF(H799&gt;=Assumptions!$B$6,2,IF(H799&gt;=Assumptions!$B$7,3,""))))</f>
        <v>3</v>
      </c>
      <c r="O799" s="9" t="n">
        <f aca="false">IF(N799=1,Assumptions!$B$8,IF(N799=2,Assumptions!$B$9,IF(N799=3,Assumptions!$B$10,0)))</f>
        <v>1</v>
      </c>
      <c r="P799" s="6" t="s">
        <v>30</v>
      </c>
      <c r="Q799" s="6" t="s">
        <v>30</v>
      </c>
      <c r="R799" s="11" t="s">
        <v>30</v>
      </c>
      <c r="S799" s="6" t="s">
        <v>30</v>
      </c>
      <c r="T799" s="11" t="s">
        <v>30</v>
      </c>
      <c r="U799" s="6" t="s">
        <v>30</v>
      </c>
      <c r="V799" s="6" t="s">
        <v>30</v>
      </c>
      <c r="W799" s="6" t="s">
        <v>30</v>
      </c>
      <c r="X799" s="2" t="s">
        <v>30</v>
      </c>
      <c r="Y799" s="6" t="str">
        <f aca="false">IF(AND(X799="processed",ISNUMBER(S799)),S799*O799,"")</f>
        <v/>
      </c>
      <c r="Z799" s="6" t="n">
        <f aca="false">IF(ISNUMBER(K799),K799*O799,0)</f>
        <v>1</v>
      </c>
      <c r="AA799" s="2" t="s">
        <v>31</v>
      </c>
      <c r="AB799" s="6"/>
      <c r="AC799" s="6"/>
      <c r="AD799" s="6"/>
      <c r="AE799" s="6"/>
      <c r="AF799" s="8" t="n">
        <v>549.450549451</v>
      </c>
      <c r="AG799" s="11"/>
      <c r="AH799" s="12"/>
      <c r="AI799" s="2"/>
      <c r="AJ799" s="2"/>
      <c r="AK799" s="2"/>
    </row>
    <row r="800" customFormat="false" ht="15" hidden="false" customHeight="false" outlineLevel="0" collapsed="false">
      <c r="A800" s="9"/>
      <c r="B800" s="2" t="s">
        <v>1832</v>
      </c>
      <c r="C800" s="2"/>
      <c r="D800" s="2" t="s">
        <v>1190</v>
      </c>
      <c r="E800" s="2" t="s">
        <v>1191</v>
      </c>
      <c r="F800" s="2"/>
      <c r="G800" s="2" t="s">
        <v>329</v>
      </c>
      <c r="H800" s="8" t="n">
        <v>567.796610169</v>
      </c>
      <c r="I800" s="2" t="s">
        <v>316</v>
      </c>
      <c r="J800" s="8" t="n">
        <v>670000</v>
      </c>
      <c r="K800" s="6" t="n">
        <v>1</v>
      </c>
      <c r="L800" s="2" t="s">
        <v>1664</v>
      </c>
      <c r="M800" s="10" t="b">
        <f aca="false">FALSE()</f>
        <v>0</v>
      </c>
      <c r="N800" s="9" t="n">
        <f aca="false">IF(H800="","",IF(H800&gt;=Assumptions!$B$5,1,IF(H800&gt;=Assumptions!$B$6,2,IF(H800&gt;=Assumptions!$B$7,3,""))))</f>
        <v>3</v>
      </c>
      <c r="O800" s="9" t="n">
        <f aca="false">IF(N800=1,Assumptions!$B$8,IF(N800=2,Assumptions!$B$9,IF(N800=3,Assumptions!$B$10,0)))</f>
        <v>1</v>
      </c>
      <c r="P800" s="6" t="s">
        <v>30</v>
      </c>
      <c r="Q800" s="6" t="s">
        <v>30</v>
      </c>
      <c r="R800" s="11" t="s">
        <v>30</v>
      </c>
      <c r="S800" s="6" t="s">
        <v>30</v>
      </c>
      <c r="T800" s="11" t="s">
        <v>30</v>
      </c>
      <c r="U800" s="6" t="s">
        <v>30</v>
      </c>
      <c r="V800" s="6" t="s">
        <v>30</v>
      </c>
      <c r="W800" s="6" t="s">
        <v>30</v>
      </c>
      <c r="X800" s="2" t="s">
        <v>30</v>
      </c>
      <c r="Y800" s="6" t="str">
        <f aca="false">IF(AND(X800="processed",ISNUMBER(S800)),S800*O800,"")</f>
        <v/>
      </c>
      <c r="Z800" s="6" t="n">
        <f aca="false">IF(ISNUMBER(K800),K800*O800,0)</f>
        <v>1</v>
      </c>
      <c r="AA800" s="2" t="s">
        <v>31</v>
      </c>
      <c r="AB800" s="6"/>
      <c r="AC800" s="6"/>
      <c r="AD800" s="6"/>
      <c r="AE800" s="6"/>
      <c r="AF800" s="8" t="n">
        <v>567.796610169</v>
      </c>
      <c r="AG800" s="11"/>
      <c r="AH800" s="12"/>
      <c r="AI800" s="2"/>
      <c r="AJ800" s="2"/>
      <c r="AK800" s="2"/>
    </row>
    <row r="801" customFormat="false" ht="15" hidden="false" customHeight="false" outlineLevel="0" collapsed="false">
      <c r="A801" s="9"/>
      <c r="B801" s="2" t="s">
        <v>1833</v>
      </c>
      <c r="C801" s="2"/>
      <c r="D801" s="2" t="s">
        <v>1190</v>
      </c>
      <c r="E801" s="2" t="s">
        <v>1191</v>
      </c>
      <c r="F801" s="2"/>
      <c r="G801" s="2" t="s">
        <v>329</v>
      </c>
      <c r="H801" s="8" t="n">
        <v>523.290986086</v>
      </c>
      <c r="I801" s="2" t="s">
        <v>337</v>
      </c>
      <c r="J801" s="8" t="n">
        <v>865000</v>
      </c>
      <c r="K801" s="6" t="n">
        <v>1</v>
      </c>
      <c r="L801" s="2" t="s">
        <v>1664</v>
      </c>
      <c r="M801" s="10" t="b">
        <f aca="false">FALSE()</f>
        <v>0</v>
      </c>
      <c r="N801" s="9" t="n">
        <f aca="false">IF(H801="","",IF(H801&gt;=Assumptions!$B$5,1,IF(H801&gt;=Assumptions!$B$6,2,IF(H801&gt;=Assumptions!$B$7,3,""))))</f>
        <v>3</v>
      </c>
      <c r="O801" s="9" t="n">
        <f aca="false">IF(N801=1,Assumptions!$B$8,IF(N801=2,Assumptions!$B$9,IF(N801=3,Assumptions!$B$10,0)))</f>
        <v>1</v>
      </c>
      <c r="P801" s="6" t="s">
        <v>30</v>
      </c>
      <c r="Q801" s="6" t="s">
        <v>30</v>
      </c>
      <c r="R801" s="11" t="s">
        <v>30</v>
      </c>
      <c r="S801" s="6" t="s">
        <v>30</v>
      </c>
      <c r="T801" s="11" t="s">
        <v>30</v>
      </c>
      <c r="U801" s="6" t="s">
        <v>30</v>
      </c>
      <c r="V801" s="6" t="s">
        <v>30</v>
      </c>
      <c r="W801" s="6" t="s">
        <v>30</v>
      </c>
      <c r="X801" s="2" t="s">
        <v>30</v>
      </c>
      <c r="Y801" s="6" t="str">
        <f aca="false">IF(AND(X801="processed",ISNUMBER(S801)),S801*O801,"")</f>
        <v/>
      </c>
      <c r="Z801" s="6" t="n">
        <f aca="false">IF(ISNUMBER(K801),K801*O801,0)</f>
        <v>1</v>
      </c>
      <c r="AA801" s="2" t="s">
        <v>31</v>
      </c>
      <c r="AB801" s="6"/>
      <c r="AC801" s="6"/>
      <c r="AD801" s="6"/>
      <c r="AE801" s="6"/>
      <c r="AF801" s="8"/>
      <c r="AG801" s="11"/>
      <c r="AH801" s="12"/>
      <c r="AI801" s="2"/>
      <c r="AJ801" s="2"/>
      <c r="AK801" s="2"/>
    </row>
    <row r="802" customFormat="false" ht="15" hidden="false" customHeight="false" outlineLevel="0" collapsed="false">
      <c r="A802" s="9"/>
      <c r="B802" s="2" t="s">
        <v>1834</v>
      </c>
      <c r="C802" s="2"/>
      <c r="D802" s="2" t="s">
        <v>1190</v>
      </c>
      <c r="E802" s="2" t="s">
        <v>1191</v>
      </c>
      <c r="F802" s="2"/>
      <c r="G802" s="2" t="s">
        <v>329</v>
      </c>
      <c r="H802" s="8" t="n">
        <v>584.31085044</v>
      </c>
      <c r="I802" s="2" t="s">
        <v>316</v>
      </c>
      <c r="J802" s="8" t="n">
        <v>797000</v>
      </c>
      <c r="K802" s="6" t="n">
        <v>1</v>
      </c>
      <c r="L802" s="2" t="s">
        <v>1664</v>
      </c>
      <c r="M802" s="10" t="b">
        <f aca="false">FALSE()</f>
        <v>0</v>
      </c>
      <c r="N802" s="9" t="n">
        <f aca="false">IF(H802="","",IF(H802&gt;=Assumptions!$B$5,1,IF(H802&gt;=Assumptions!$B$6,2,IF(H802&gt;=Assumptions!$B$7,3,""))))</f>
        <v>3</v>
      </c>
      <c r="O802" s="9" t="n">
        <f aca="false">IF(N802=1,Assumptions!$B$8,IF(N802=2,Assumptions!$B$9,IF(N802=3,Assumptions!$B$10,0)))</f>
        <v>1</v>
      </c>
      <c r="P802" s="6" t="s">
        <v>30</v>
      </c>
      <c r="Q802" s="6" t="s">
        <v>30</v>
      </c>
      <c r="R802" s="11" t="s">
        <v>30</v>
      </c>
      <c r="S802" s="6" t="s">
        <v>30</v>
      </c>
      <c r="T802" s="11" t="s">
        <v>30</v>
      </c>
      <c r="U802" s="6" t="s">
        <v>30</v>
      </c>
      <c r="V802" s="6" t="s">
        <v>30</v>
      </c>
      <c r="W802" s="6" t="s">
        <v>30</v>
      </c>
      <c r="X802" s="2" t="s">
        <v>30</v>
      </c>
      <c r="Y802" s="6" t="str">
        <f aca="false">IF(AND(X802="processed",ISNUMBER(S802)),S802*O802,"")</f>
        <v/>
      </c>
      <c r="Z802" s="6" t="n">
        <f aca="false">IF(ISNUMBER(K802),K802*O802,0)</f>
        <v>1</v>
      </c>
      <c r="AA802" s="2" t="s">
        <v>31</v>
      </c>
      <c r="AB802" s="6"/>
      <c r="AC802" s="6"/>
      <c r="AD802" s="6"/>
      <c r="AE802" s="6"/>
      <c r="AF802" s="8" t="n">
        <v>584.31085044</v>
      </c>
      <c r="AG802" s="11"/>
      <c r="AH802" s="12"/>
      <c r="AI802" s="2"/>
      <c r="AJ802" s="2"/>
      <c r="AK802" s="2"/>
    </row>
    <row r="803" customFormat="false" ht="15" hidden="false" customHeight="false" outlineLevel="0" collapsed="false">
      <c r="A803" s="9"/>
      <c r="B803" s="2" t="s">
        <v>1835</v>
      </c>
      <c r="C803" s="2"/>
      <c r="D803" s="2" t="s">
        <v>1190</v>
      </c>
      <c r="E803" s="2" t="s">
        <v>1191</v>
      </c>
      <c r="F803" s="2"/>
      <c r="G803" s="2" t="s">
        <v>329</v>
      </c>
      <c r="H803" s="8" t="n">
        <v>571.428571429</v>
      </c>
      <c r="I803" s="2" t="s">
        <v>337</v>
      </c>
      <c r="J803" s="8" t="n">
        <v>1400000</v>
      </c>
      <c r="K803" s="6" t="n">
        <v>1</v>
      </c>
      <c r="L803" s="2" t="s">
        <v>1664</v>
      </c>
      <c r="M803" s="10" t="b">
        <f aca="false">FALSE()</f>
        <v>0</v>
      </c>
      <c r="N803" s="9" t="n">
        <f aca="false">IF(H803="","",IF(H803&gt;=Assumptions!$B$5,1,IF(H803&gt;=Assumptions!$B$6,2,IF(H803&gt;=Assumptions!$B$7,3,""))))</f>
        <v>3</v>
      </c>
      <c r="O803" s="9" t="n">
        <f aca="false">IF(N803=1,Assumptions!$B$8,IF(N803=2,Assumptions!$B$9,IF(N803=3,Assumptions!$B$10,0)))</f>
        <v>1</v>
      </c>
      <c r="P803" s="6" t="s">
        <v>30</v>
      </c>
      <c r="Q803" s="6" t="s">
        <v>30</v>
      </c>
      <c r="R803" s="11" t="s">
        <v>30</v>
      </c>
      <c r="S803" s="6" t="s">
        <v>30</v>
      </c>
      <c r="T803" s="11" t="s">
        <v>30</v>
      </c>
      <c r="U803" s="6" t="s">
        <v>30</v>
      </c>
      <c r="V803" s="6" t="s">
        <v>30</v>
      </c>
      <c r="W803" s="6" t="s">
        <v>30</v>
      </c>
      <c r="X803" s="2" t="s">
        <v>30</v>
      </c>
      <c r="Y803" s="6" t="str">
        <f aca="false">IF(AND(X803="processed",ISNUMBER(S803)),S803*O803,"")</f>
        <v/>
      </c>
      <c r="Z803" s="6" t="n">
        <f aca="false">IF(ISNUMBER(K803),K803*O803,0)</f>
        <v>1</v>
      </c>
      <c r="AA803" s="2" t="s">
        <v>31</v>
      </c>
      <c r="AB803" s="6"/>
      <c r="AC803" s="6"/>
      <c r="AD803" s="6"/>
      <c r="AE803" s="6"/>
      <c r="AF803" s="8"/>
      <c r="AG803" s="11"/>
      <c r="AH803" s="12"/>
      <c r="AI803" s="2"/>
      <c r="AJ803" s="2"/>
      <c r="AK803" s="2"/>
    </row>
    <row r="804" customFormat="false" ht="15" hidden="false" customHeight="false" outlineLevel="0" collapsed="false">
      <c r="A804" s="9"/>
      <c r="B804" s="2" t="s">
        <v>1836</v>
      </c>
      <c r="C804" s="2"/>
      <c r="D804" s="2" t="s">
        <v>1190</v>
      </c>
      <c r="E804" s="2" t="s">
        <v>1191</v>
      </c>
      <c r="F804" s="2"/>
      <c r="G804" s="2" t="s">
        <v>322</v>
      </c>
      <c r="H804" s="8" t="n">
        <v>522.847100176</v>
      </c>
      <c r="I804" s="2" t="s">
        <v>337</v>
      </c>
      <c r="J804" s="8" t="n">
        <v>595000</v>
      </c>
      <c r="K804" s="6" t="n">
        <v>1</v>
      </c>
      <c r="L804" s="2" t="s">
        <v>1664</v>
      </c>
      <c r="M804" s="10" t="b">
        <f aca="false">FALSE()</f>
        <v>0</v>
      </c>
      <c r="N804" s="9" t="n">
        <f aca="false">IF(H804="","",IF(H804&gt;=Assumptions!$B$5,1,IF(H804&gt;=Assumptions!$B$6,2,IF(H804&gt;=Assumptions!$B$7,3,""))))</f>
        <v>3</v>
      </c>
      <c r="O804" s="9" t="n">
        <f aca="false">IF(N804=1,Assumptions!$B$8,IF(N804=2,Assumptions!$B$9,IF(N804=3,Assumptions!$B$10,0)))</f>
        <v>1</v>
      </c>
      <c r="P804" s="6" t="s">
        <v>30</v>
      </c>
      <c r="Q804" s="6" t="s">
        <v>30</v>
      </c>
      <c r="R804" s="11" t="s">
        <v>30</v>
      </c>
      <c r="S804" s="6" t="s">
        <v>30</v>
      </c>
      <c r="T804" s="11" t="s">
        <v>30</v>
      </c>
      <c r="U804" s="6" t="s">
        <v>30</v>
      </c>
      <c r="V804" s="6" t="s">
        <v>30</v>
      </c>
      <c r="W804" s="6" t="s">
        <v>30</v>
      </c>
      <c r="X804" s="2" t="s">
        <v>30</v>
      </c>
      <c r="Y804" s="6" t="str">
        <f aca="false">IF(AND(X804="processed",ISNUMBER(S804)),S804*O804,"")</f>
        <v/>
      </c>
      <c r="Z804" s="6" t="n">
        <f aca="false">IF(ISNUMBER(K804),K804*O804,0)</f>
        <v>1</v>
      </c>
      <c r="AA804" s="2" t="s">
        <v>31</v>
      </c>
      <c r="AB804" s="6"/>
      <c r="AC804" s="6"/>
      <c r="AD804" s="6"/>
      <c r="AE804" s="6"/>
      <c r="AF804" s="8"/>
      <c r="AG804" s="11"/>
      <c r="AH804" s="12"/>
      <c r="AI804" s="2"/>
      <c r="AJ804" s="2"/>
      <c r="AK804" s="2"/>
    </row>
    <row r="805" customFormat="false" ht="15" hidden="false" customHeight="false" outlineLevel="0" collapsed="false">
      <c r="A805" s="9"/>
      <c r="B805" s="2" t="s">
        <v>1837</v>
      </c>
      <c r="C805" s="2"/>
      <c r="D805" s="2" t="s">
        <v>1190</v>
      </c>
      <c r="E805" s="2" t="s">
        <v>1191</v>
      </c>
      <c r="F805" s="2"/>
      <c r="G805" s="2" t="s">
        <v>315</v>
      </c>
      <c r="H805" s="8" t="n">
        <v>531.271015467</v>
      </c>
      <c r="I805" s="2" t="s">
        <v>316</v>
      </c>
      <c r="J805" s="8" t="n">
        <v>790000</v>
      </c>
      <c r="K805" s="6" t="n">
        <v>1</v>
      </c>
      <c r="L805" s="2" t="s">
        <v>1664</v>
      </c>
      <c r="M805" s="10" t="b">
        <f aca="false">FALSE()</f>
        <v>0</v>
      </c>
      <c r="N805" s="9" t="n">
        <f aca="false">IF(H805="","",IF(H805&gt;=Assumptions!$B$5,1,IF(H805&gt;=Assumptions!$B$6,2,IF(H805&gt;=Assumptions!$B$7,3,""))))</f>
        <v>3</v>
      </c>
      <c r="O805" s="9" t="n">
        <f aca="false">IF(N805=1,Assumptions!$B$8,IF(N805=2,Assumptions!$B$9,IF(N805=3,Assumptions!$B$10,0)))</f>
        <v>1</v>
      </c>
      <c r="P805" s="6" t="s">
        <v>30</v>
      </c>
      <c r="Q805" s="6" t="s">
        <v>30</v>
      </c>
      <c r="R805" s="11" t="s">
        <v>30</v>
      </c>
      <c r="S805" s="6" t="s">
        <v>30</v>
      </c>
      <c r="T805" s="11" t="s">
        <v>30</v>
      </c>
      <c r="U805" s="6" t="s">
        <v>30</v>
      </c>
      <c r="V805" s="6" t="s">
        <v>30</v>
      </c>
      <c r="W805" s="6" t="s">
        <v>30</v>
      </c>
      <c r="X805" s="2" t="s">
        <v>30</v>
      </c>
      <c r="Y805" s="6" t="str">
        <f aca="false">IF(AND(X805="processed",ISNUMBER(S805)),S805*O805,"")</f>
        <v/>
      </c>
      <c r="Z805" s="6" t="n">
        <f aca="false">IF(ISNUMBER(K805),K805*O805,0)</f>
        <v>1</v>
      </c>
      <c r="AA805" s="2" t="s">
        <v>31</v>
      </c>
      <c r="AB805" s="6"/>
      <c r="AC805" s="6"/>
      <c r="AD805" s="6"/>
      <c r="AE805" s="6"/>
      <c r="AF805" s="8" t="n">
        <v>531.271015467</v>
      </c>
      <c r="AG805" s="11"/>
      <c r="AH805" s="12"/>
      <c r="AI805" s="2"/>
      <c r="AJ805" s="2"/>
      <c r="AK805" s="2"/>
    </row>
    <row r="806" customFormat="false" ht="15" hidden="false" customHeight="false" outlineLevel="0" collapsed="false">
      <c r="A806" s="9"/>
      <c r="B806" s="2" t="s">
        <v>1838</v>
      </c>
      <c r="C806" s="2"/>
      <c r="D806" s="2" t="s">
        <v>1190</v>
      </c>
      <c r="E806" s="2" t="s">
        <v>1191</v>
      </c>
      <c r="F806" s="2"/>
      <c r="G806" s="2" t="s">
        <v>348</v>
      </c>
      <c r="H806" s="8" t="n">
        <v>561.155913978</v>
      </c>
      <c r="I806" s="2" t="s">
        <v>316</v>
      </c>
      <c r="J806" s="8" t="n">
        <v>835000</v>
      </c>
      <c r="K806" s="6" t="n">
        <v>1</v>
      </c>
      <c r="L806" s="2" t="s">
        <v>1664</v>
      </c>
      <c r="M806" s="10" t="b">
        <f aca="false">FALSE()</f>
        <v>0</v>
      </c>
      <c r="N806" s="9" t="n">
        <f aca="false">IF(H806="","",IF(H806&gt;=Assumptions!$B$5,1,IF(H806&gt;=Assumptions!$B$6,2,IF(H806&gt;=Assumptions!$B$7,3,""))))</f>
        <v>3</v>
      </c>
      <c r="O806" s="9" t="n">
        <f aca="false">IF(N806=1,Assumptions!$B$8,IF(N806=2,Assumptions!$B$9,IF(N806=3,Assumptions!$B$10,0)))</f>
        <v>1</v>
      </c>
      <c r="P806" s="6" t="s">
        <v>30</v>
      </c>
      <c r="Q806" s="6" t="s">
        <v>30</v>
      </c>
      <c r="R806" s="11" t="s">
        <v>30</v>
      </c>
      <c r="S806" s="6" t="s">
        <v>30</v>
      </c>
      <c r="T806" s="11" t="s">
        <v>30</v>
      </c>
      <c r="U806" s="6" t="s">
        <v>30</v>
      </c>
      <c r="V806" s="6" t="s">
        <v>30</v>
      </c>
      <c r="W806" s="6" t="s">
        <v>30</v>
      </c>
      <c r="X806" s="2" t="s">
        <v>30</v>
      </c>
      <c r="Y806" s="6" t="str">
        <f aca="false">IF(AND(X806="processed",ISNUMBER(S806)),S806*O806,"")</f>
        <v/>
      </c>
      <c r="Z806" s="6" t="n">
        <f aca="false">IF(ISNUMBER(K806),K806*O806,0)</f>
        <v>1</v>
      </c>
      <c r="AA806" s="2" t="s">
        <v>31</v>
      </c>
      <c r="AB806" s="6"/>
      <c r="AC806" s="6"/>
      <c r="AD806" s="6"/>
      <c r="AE806" s="6"/>
      <c r="AF806" s="8" t="n">
        <v>561.155913978</v>
      </c>
      <c r="AG806" s="11"/>
      <c r="AH806" s="12"/>
      <c r="AI806" s="2"/>
      <c r="AJ806" s="2"/>
      <c r="AK806" s="2"/>
    </row>
    <row r="807" customFormat="false" ht="15" hidden="false" customHeight="false" outlineLevel="0" collapsed="false">
      <c r="A807" s="9" t="n">
        <v>736</v>
      </c>
      <c r="B807" s="2" t="s">
        <v>1839</v>
      </c>
      <c r="C807" s="2" t="s">
        <v>38</v>
      </c>
      <c r="D807" s="2" t="s">
        <v>39</v>
      </c>
      <c r="E807" s="2" t="s">
        <v>40</v>
      </c>
      <c r="F807" s="2"/>
      <c r="G807" s="2" t="s">
        <v>320</v>
      </c>
      <c r="H807" s="8" t="n">
        <v>529.567519859</v>
      </c>
      <c r="I807" s="2" t="s">
        <v>316</v>
      </c>
      <c r="J807" s="8" t="n">
        <v>1200000</v>
      </c>
      <c r="K807" s="6" t="n">
        <v>1</v>
      </c>
      <c r="L807" s="2" t="s">
        <v>1664</v>
      </c>
      <c r="M807" s="10" t="b">
        <f aca="false">TRUE()</f>
        <v>1</v>
      </c>
      <c r="N807" s="9" t="n">
        <f aca="false">IF(H807="","",IF(H807&gt;=Assumptions!$B$5,1,IF(H807&gt;=Assumptions!$B$6,2,IF(H807&gt;=Assumptions!$B$7,3,""))))</f>
        <v>3</v>
      </c>
      <c r="O807" s="9" t="n">
        <f aca="false">IF(N807=1,Assumptions!$B$8,IF(N807=2,Assumptions!$B$9,IF(N807=3,Assumptions!$B$10,0)))</f>
        <v>1</v>
      </c>
      <c r="P807" s="6" t="s">
        <v>30</v>
      </c>
      <c r="Q807" s="6" t="s">
        <v>30</v>
      </c>
      <c r="R807" s="11" t="s">
        <v>30</v>
      </c>
      <c r="S807" s="6" t="s">
        <v>30</v>
      </c>
      <c r="T807" s="11" t="s">
        <v>30</v>
      </c>
      <c r="U807" s="6" t="s">
        <v>30</v>
      </c>
      <c r="V807" s="6" t="s">
        <v>30</v>
      </c>
      <c r="W807" s="6" t="s">
        <v>30</v>
      </c>
      <c r="X807" s="2" t="s">
        <v>30</v>
      </c>
      <c r="Y807" s="6" t="str">
        <f aca="false">IF(AND(X807="processed",ISNUMBER(S807)),S807*O807,"")</f>
        <v/>
      </c>
      <c r="Z807" s="6" t="n">
        <f aca="false">IF(ISNUMBER(K807),K807*O807,0)</f>
        <v>1</v>
      </c>
      <c r="AA807" s="2" t="s">
        <v>31</v>
      </c>
      <c r="AB807" s="6" t="n">
        <v>366</v>
      </c>
      <c r="AC807" s="6" t="n">
        <v>274</v>
      </c>
      <c r="AD807" s="6" t="n">
        <v>160</v>
      </c>
      <c r="AE807" s="6" t="n">
        <v>1382.40246582031</v>
      </c>
      <c r="AF807" s="8" t="n">
        <v>529.567519859</v>
      </c>
      <c r="AG807" s="11" t="n">
        <v>-0.09992778625</v>
      </c>
      <c r="AH807" s="12" t="n">
        <v>0.998849975154825</v>
      </c>
      <c r="AI807" s="2" t="s">
        <v>321</v>
      </c>
      <c r="AJ807" s="2" t="s">
        <v>38</v>
      </c>
      <c r="AK807" s="2" t="s">
        <v>38</v>
      </c>
    </row>
    <row r="808" customFormat="false" ht="15" hidden="false" customHeight="false" outlineLevel="0" collapsed="false">
      <c r="A808" s="9"/>
      <c r="B808" s="2" t="s">
        <v>1840</v>
      </c>
      <c r="C808" s="2"/>
      <c r="D808" s="2" t="s">
        <v>1190</v>
      </c>
      <c r="E808" s="2" t="s">
        <v>1191</v>
      </c>
      <c r="F808" s="2"/>
      <c r="G808" s="2" t="s">
        <v>320</v>
      </c>
      <c r="H808" s="8" t="n">
        <v>555.555555556</v>
      </c>
      <c r="I808" s="2" t="s">
        <v>337</v>
      </c>
      <c r="J808" s="8" t="n">
        <v>730000</v>
      </c>
      <c r="K808" s="6" t="n">
        <v>1</v>
      </c>
      <c r="L808" s="2" t="s">
        <v>1664</v>
      </c>
      <c r="M808" s="10" t="b">
        <f aca="false">FALSE()</f>
        <v>0</v>
      </c>
      <c r="N808" s="9" t="n">
        <f aca="false">IF(H808="","",IF(H808&gt;=Assumptions!$B$5,1,IF(H808&gt;=Assumptions!$B$6,2,IF(H808&gt;=Assumptions!$B$7,3,""))))</f>
        <v>3</v>
      </c>
      <c r="O808" s="9" t="n">
        <f aca="false">IF(N808=1,Assumptions!$B$8,IF(N808=2,Assumptions!$B$9,IF(N808=3,Assumptions!$B$10,0)))</f>
        <v>1</v>
      </c>
      <c r="P808" s="6" t="s">
        <v>30</v>
      </c>
      <c r="Q808" s="6" t="s">
        <v>30</v>
      </c>
      <c r="R808" s="11" t="s">
        <v>30</v>
      </c>
      <c r="S808" s="6" t="s">
        <v>30</v>
      </c>
      <c r="T808" s="11" t="s">
        <v>30</v>
      </c>
      <c r="U808" s="6" t="s">
        <v>30</v>
      </c>
      <c r="V808" s="6" t="s">
        <v>30</v>
      </c>
      <c r="W808" s="6" t="s">
        <v>30</v>
      </c>
      <c r="X808" s="2" t="s">
        <v>30</v>
      </c>
      <c r="Y808" s="6" t="str">
        <f aca="false">IF(AND(X808="processed",ISNUMBER(S808)),S808*O808,"")</f>
        <v/>
      </c>
      <c r="Z808" s="6" t="n">
        <f aca="false">IF(ISNUMBER(K808),K808*O808,0)</f>
        <v>1</v>
      </c>
      <c r="AA808" s="2" t="s">
        <v>31</v>
      </c>
      <c r="AB808" s="6"/>
      <c r="AC808" s="6"/>
      <c r="AD808" s="6"/>
      <c r="AE808" s="6"/>
      <c r="AF808" s="8"/>
      <c r="AG808" s="11"/>
      <c r="AH808" s="12"/>
      <c r="AI808" s="2"/>
      <c r="AJ808" s="2"/>
      <c r="AK808" s="2"/>
    </row>
    <row r="809" customFormat="false" ht="15" hidden="false" customHeight="false" outlineLevel="0" collapsed="false">
      <c r="A809" s="9"/>
      <c r="B809" s="2" t="s">
        <v>1841</v>
      </c>
      <c r="C809" s="2"/>
      <c r="D809" s="2" t="s">
        <v>1190</v>
      </c>
      <c r="E809" s="2" t="s">
        <v>1191</v>
      </c>
      <c r="F809" s="2"/>
      <c r="G809" s="2" t="s">
        <v>336</v>
      </c>
      <c r="H809" s="8" t="n">
        <v>531.203566122</v>
      </c>
      <c r="I809" s="2" t="s">
        <v>316</v>
      </c>
      <c r="J809" s="8" t="n">
        <v>715000</v>
      </c>
      <c r="K809" s="6" t="n">
        <v>1</v>
      </c>
      <c r="L809" s="2" t="s">
        <v>1664</v>
      </c>
      <c r="M809" s="10" t="b">
        <f aca="false">FALSE()</f>
        <v>0</v>
      </c>
      <c r="N809" s="9" t="n">
        <f aca="false">IF(H809="","",IF(H809&gt;=Assumptions!$B$5,1,IF(H809&gt;=Assumptions!$B$6,2,IF(H809&gt;=Assumptions!$B$7,3,""))))</f>
        <v>3</v>
      </c>
      <c r="O809" s="9" t="n">
        <f aca="false">IF(N809=1,Assumptions!$B$8,IF(N809=2,Assumptions!$B$9,IF(N809=3,Assumptions!$B$10,0)))</f>
        <v>1</v>
      </c>
      <c r="P809" s="6" t="s">
        <v>30</v>
      </c>
      <c r="Q809" s="6" t="s">
        <v>30</v>
      </c>
      <c r="R809" s="11" t="s">
        <v>30</v>
      </c>
      <c r="S809" s="6" t="s">
        <v>30</v>
      </c>
      <c r="T809" s="11" t="s">
        <v>30</v>
      </c>
      <c r="U809" s="6" t="s">
        <v>30</v>
      </c>
      <c r="V809" s="6" t="s">
        <v>30</v>
      </c>
      <c r="W809" s="6" t="s">
        <v>30</v>
      </c>
      <c r="X809" s="2" t="s">
        <v>30</v>
      </c>
      <c r="Y809" s="6" t="str">
        <f aca="false">IF(AND(X809="processed",ISNUMBER(S809)),S809*O809,"")</f>
        <v/>
      </c>
      <c r="Z809" s="6" t="n">
        <f aca="false">IF(ISNUMBER(K809),K809*O809,0)</f>
        <v>1</v>
      </c>
      <c r="AA809" s="2" t="s">
        <v>31</v>
      </c>
      <c r="AB809" s="6"/>
      <c r="AC809" s="6"/>
      <c r="AD809" s="6"/>
      <c r="AE809" s="6"/>
      <c r="AF809" s="8" t="n">
        <v>531.203566122</v>
      </c>
      <c r="AG809" s="11"/>
      <c r="AH809" s="12"/>
      <c r="AI809" s="2"/>
      <c r="AJ809" s="2"/>
      <c r="AK809" s="2"/>
    </row>
    <row r="810" customFormat="false" ht="15" hidden="false" customHeight="false" outlineLevel="0" collapsed="false">
      <c r="A810" s="9"/>
      <c r="B810" s="2" t="s">
        <v>1842</v>
      </c>
      <c r="C810" s="2" t="s">
        <v>70</v>
      </c>
      <c r="D810" s="2" t="s">
        <v>70</v>
      </c>
      <c r="E810" s="2" t="s">
        <v>71</v>
      </c>
      <c r="F810" s="2" t="s">
        <v>1843</v>
      </c>
      <c r="G810" s="2" t="s">
        <v>329</v>
      </c>
      <c r="H810" s="8" t="n">
        <v>455.924275477714</v>
      </c>
      <c r="I810" s="2" t="s">
        <v>316</v>
      </c>
      <c r="J810" s="8" t="n">
        <v>900357.142857143</v>
      </c>
      <c r="K810" s="6" t="n">
        <v>14</v>
      </c>
      <c r="L810" s="2"/>
      <c r="M810" s="10" t="b">
        <f aca="false">TRUE()</f>
        <v>1</v>
      </c>
      <c r="N810" s="9" t="str">
        <f aca="false">IF(H810="","",IF(H810&gt;=Assumptions!$B$5,1,IF(H810&gt;=Assumptions!$B$6,2,IF(H810&gt;=Assumptions!$B$7,3,""))))</f>
        <v/>
      </c>
      <c r="O810" s="9" t="n">
        <f aca="false">IF(N810=1,Assumptions!$B$8,IF(N810=2,Assumptions!$B$9,IF(N810=3,Assumptions!$B$10,0)))</f>
        <v>0</v>
      </c>
      <c r="P810" s="6" t="s">
        <v>30</v>
      </c>
      <c r="Q810" s="6" t="s">
        <v>30</v>
      </c>
      <c r="R810" s="11" t="s">
        <v>30</v>
      </c>
      <c r="S810" s="6" t="s">
        <v>30</v>
      </c>
      <c r="T810" s="11" t="s">
        <v>30</v>
      </c>
      <c r="U810" s="6" t="s">
        <v>30</v>
      </c>
      <c r="V810" s="6" t="s">
        <v>30</v>
      </c>
      <c r="W810" s="6" t="s">
        <v>30</v>
      </c>
      <c r="X810" s="2" t="s">
        <v>30</v>
      </c>
      <c r="Y810" s="6" t="str">
        <f aca="false">IF(AND(X810="processed",ISNUMBER(S810)),S810*O810,"")</f>
        <v/>
      </c>
      <c r="Z810" s="6" t="n">
        <f aca="false">IF(ISNUMBER(K810),K810*O810,0)</f>
        <v>0</v>
      </c>
      <c r="AA810" s="2" t="s">
        <v>31</v>
      </c>
      <c r="AB810" s="6" t="n">
        <v>6568</v>
      </c>
      <c r="AC810" s="6" t="n">
        <v>4789</v>
      </c>
      <c r="AD810" s="6" t="n">
        <v>57</v>
      </c>
      <c r="AE810" s="6" t="n">
        <v>1843.00744628906</v>
      </c>
      <c r="AF810" s="8" t="n">
        <v>526.6842787</v>
      </c>
      <c r="AG810" s="11" t="n">
        <v>-0.1420649281</v>
      </c>
      <c r="AH810" s="12" t="n">
        <v>1</v>
      </c>
      <c r="AI810" s="2" t="s">
        <v>317</v>
      </c>
      <c r="AJ810" s="2" t="s">
        <v>70</v>
      </c>
      <c r="AK810" s="2" t="s">
        <v>70</v>
      </c>
    </row>
    <row r="811" customFormat="false" ht="15" hidden="false" customHeight="false" outlineLevel="0" collapsed="false">
      <c r="A811" s="9"/>
      <c r="B811" s="2" t="s">
        <v>1844</v>
      </c>
      <c r="C811" s="2" t="s">
        <v>70</v>
      </c>
      <c r="D811" s="2" t="s">
        <v>70</v>
      </c>
      <c r="E811" s="2" t="s">
        <v>71</v>
      </c>
      <c r="F811" s="2" t="s">
        <v>1845</v>
      </c>
      <c r="G811" s="2" t="s">
        <v>329</v>
      </c>
      <c r="H811" s="8" t="n">
        <v>455.950298404737</v>
      </c>
      <c r="I811" s="2" t="s">
        <v>316</v>
      </c>
      <c r="J811" s="8" t="n">
        <v>914105.263157895</v>
      </c>
      <c r="K811" s="6" t="n">
        <v>19</v>
      </c>
      <c r="L811" s="2"/>
      <c r="M811" s="10" t="b">
        <f aca="false">TRUE()</f>
        <v>1</v>
      </c>
      <c r="N811" s="9" t="str">
        <f aca="false">IF(H811="","",IF(H811&gt;=Assumptions!$B$5,1,IF(H811&gt;=Assumptions!$B$6,2,IF(H811&gt;=Assumptions!$B$7,3,""))))</f>
        <v/>
      </c>
      <c r="O811" s="9" t="n">
        <f aca="false">IF(N811=1,Assumptions!$B$8,IF(N811=2,Assumptions!$B$9,IF(N811=3,Assumptions!$B$10,0)))</f>
        <v>0</v>
      </c>
      <c r="P811" s="6" t="s">
        <v>30</v>
      </c>
      <c r="Q811" s="6" t="s">
        <v>30</v>
      </c>
      <c r="R811" s="11" t="s">
        <v>30</v>
      </c>
      <c r="S811" s="6" t="s">
        <v>30</v>
      </c>
      <c r="T811" s="11" t="s">
        <v>30</v>
      </c>
      <c r="U811" s="6" t="s">
        <v>30</v>
      </c>
      <c r="V811" s="6" t="s">
        <v>30</v>
      </c>
      <c r="W811" s="6" t="s">
        <v>30</v>
      </c>
      <c r="X811" s="2" t="s">
        <v>30</v>
      </c>
      <c r="Y811" s="6" t="str">
        <f aca="false">IF(AND(X811="processed",ISNUMBER(S811)),S811*O811,"")</f>
        <v/>
      </c>
      <c r="Z811" s="6" t="n">
        <f aca="false">IF(ISNUMBER(K811),K811*O811,0)</f>
        <v>0</v>
      </c>
      <c r="AA811" s="2" t="s">
        <v>31</v>
      </c>
      <c r="AB811" s="6" t="n">
        <v>6380</v>
      </c>
      <c r="AC811" s="6" t="n">
        <v>4385</v>
      </c>
      <c r="AD811" s="6" t="n">
        <v>82</v>
      </c>
      <c r="AE811" s="6" t="n">
        <v>1859.65246582031</v>
      </c>
      <c r="AF811" s="8" t="n">
        <v>451.39494333</v>
      </c>
      <c r="AG811" s="11" t="n">
        <v>-0.04924940061</v>
      </c>
      <c r="AH811" s="12" t="n">
        <v>1</v>
      </c>
      <c r="AI811" s="2" t="s">
        <v>317</v>
      </c>
      <c r="AJ811" s="2" t="s">
        <v>70</v>
      </c>
      <c r="AK811" s="2" t="s">
        <v>70</v>
      </c>
    </row>
    <row r="812" customFormat="false" ht="15" hidden="false" customHeight="false" outlineLevel="0" collapsed="false">
      <c r="A812" s="9"/>
      <c r="B812" s="2" t="s">
        <v>1846</v>
      </c>
      <c r="C812" s="2" t="s">
        <v>70</v>
      </c>
      <c r="D812" s="2" t="s">
        <v>70</v>
      </c>
      <c r="E812" s="2" t="s">
        <v>71</v>
      </c>
      <c r="F812" s="2" t="s">
        <v>1847</v>
      </c>
      <c r="G812" s="2" t="s">
        <v>329</v>
      </c>
      <c r="H812" s="8" t="n">
        <v>488.975382376406</v>
      </c>
      <c r="I812" s="2" t="s">
        <v>316</v>
      </c>
      <c r="J812" s="8" t="n">
        <v>685859.375</v>
      </c>
      <c r="K812" s="6" t="n">
        <v>64</v>
      </c>
      <c r="L812" s="2"/>
      <c r="M812" s="10" t="b">
        <f aca="false">TRUE()</f>
        <v>1</v>
      </c>
      <c r="N812" s="9" t="str">
        <f aca="false">IF(H812="","",IF(H812&gt;=Assumptions!$B$5,1,IF(H812&gt;=Assumptions!$B$6,2,IF(H812&gt;=Assumptions!$B$7,3,""))))</f>
        <v/>
      </c>
      <c r="O812" s="9" t="n">
        <f aca="false">IF(N812=1,Assumptions!$B$8,IF(N812=2,Assumptions!$B$9,IF(N812=3,Assumptions!$B$10,0)))</f>
        <v>0</v>
      </c>
      <c r="P812" s="6" t="s">
        <v>30</v>
      </c>
      <c r="Q812" s="6" t="s">
        <v>30</v>
      </c>
      <c r="R812" s="11" t="s">
        <v>30</v>
      </c>
      <c r="S812" s="6" t="s">
        <v>30</v>
      </c>
      <c r="T812" s="11" t="s">
        <v>30</v>
      </c>
      <c r="U812" s="6" t="s">
        <v>30</v>
      </c>
      <c r="V812" s="6" t="s">
        <v>30</v>
      </c>
      <c r="W812" s="6" t="s">
        <v>30</v>
      </c>
      <c r="X812" s="2" t="s">
        <v>30</v>
      </c>
      <c r="Y812" s="6" t="str">
        <f aca="false">IF(AND(X812="processed",ISNUMBER(S812)),S812*O812,"")</f>
        <v/>
      </c>
      <c r="Z812" s="6" t="n">
        <f aca="false">IF(ISNUMBER(K812),K812*O812,0)</f>
        <v>0</v>
      </c>
      <c r="AA812" s="2" t="s">
        <v>31</v>
      </c>
      <c r="AB812" s="6" t="n">
        <v>14144</v>
      </c>
      <c r="AC812" s="6" t="n">
        <v>10027</v>
      </c>
      <c r="AD812" s="6" t="n">
        <v>111</v>
      </c>
      <c r="AE812" s="6" t="n">
        <v>1745.79150390625</v>
      </c>
      <c r="AF812" s="8" t="n">
        <v>464.423509186</v>
      </c>
      <c r="AG812" s="11" t="n">
        <v>-0.03542809631</v>
      </c>
      <c r="AH812" s="12" t="n">
        <v>0.999999999999999</v>
      </c>
      <c r="AI812" s="2" t="s">
        <v>317</v>
      </c>
      <c r="AJ812" s="2" t="s">
        <v>70</v>
      </c>
      <c r="AK812" s="2" t="s">
        <v>70</v>
      </c>
    </row>
    <row r="813" customFormat="false" ht="15" hidden="false" customHeight="false" outlineLevel="0" collapsed="false">
      <c r="A813" s="9"/>
      <c r="B813" s="2" t="s">
        <v>1848</v>
      </c>
      <c r="C813" s="2" t="s">
        <v>70</v>
      </c>
      <c r="D813" s="2" t="s">
        <v>70</v>
      </c>
      <c r="E813" s="2" t="s">
        <v>71</v>
      </c>
      <c r="F813" s="2" t="s">
        <v>1849</v>
      </c>
      <c r="G813" s="2"/>
      <c r="H813" s="8"/>
      <c r="I813" s="2"/>
      <c r="J813" s="8"/>
      <c r="K813" s="6"/>
      <c r="L813" s="2"/>
      <c r="M813" s="10" t="b">
        <f aca="false">TRUE()</f>
        <v>1</v>
      </c>
      <c r="N813" s="9" t="str">
        <f aca="false">IF(H813="","",IF(H813&gt;=Assumptions!$B$5,1,IF(H813&gt;=Assumptions!$B$6,2,IF(H813&gt;=Assumptions!$B$7,3,""))))</f>
        <v/>
      </c>
      <c r="O813" s="9" t="n">
        <f aca="false">IF(N813=1,Assumptions!$B$8,IF(N813=2,Assumptions!$B$9,IF(N813=3,Assumptions!$B$10,0)))</f>
        <v>0</v>
      </c>
      <c r="P813" s="6" t="s">
        <v>30</v>
      </c>
      <c r="Q813" s="6" t="s">
        <v>30</v>
      </c>
      <c r="R813" s="11" t="s">
        <v>30</v>
      </c>
      <c r="S813" s="6" t="s">
        <v>30</v>
      </c>
      <c r="T813" s="11" t="s">
        <v>30</v>
      </c>
      <c r="U813" s="6" t="s">
        <v>30</v>
      </c>
      <c r="V813" s="6" t="s">
        <v>30</v>
      </c>
      <c r="W813" s="6" t="s">
        <v>30</v>
      </c>
      <c r="X813" s="2" t="s">
        <v>30</v>
      </c>
      <c r="Y813" s="6" t="str">
        <f aca="false">IF(AND(X813="processed",ISNUMBER(S813)),S813*O813,"")</f>
        <v/>
      </c>
      <c r="Z813" s="6" t="n">
        <f aca="false">IF(ISNUMBER(K813),K813*O813,0)</f>
        <v>0</v>
      </c>
      <c r="AA813" s="2" t="s">
        <v>31</v>
      </c>
      <c r="AB813" s="6" t="n">
        <v>41</v>
      </c>
      <c r="AC813" s="6" t="n">
        <v>5</v>
      </c>
      <c r="AD813" s="6" t="n">
        <v>1</v>
      </c>
      <c r="AE813" s="6" t="n">
        <v>1078.39111328125</v>
      </c>
      <c r="AF813" s="8"/>
      <c r="AG813" s="11"/>
      <c r="AH813" s="12" t="n">
        <v>1</v>
      </c>
      <c r="AI813" s="2" t="s">
        <v>317</v>
      </c>
      <c r="AJ813" s="2" t="s">
        <v>70</v>
      </c>
      <c r="AK813" s="2" t="s">
        <v>70</v>
      </c>
    </row>
    <row r="814" customFormat="false" ht="15" hidden="false" customHeight="false" outlineLevel="0" collapsed="false">
      <c r="A814" s="9"/>
      <c r="B814" s="2" t="s">
        <v>1850</v>
      </c>
      <c r="C814" s="2" t="s">
        <v>70</v>
      </c>
      <c r="D814" s="2" t="s">
        <v>70</v>
      </c>
      <c r="E814" s="2" t="s">
        <v>71</v>
      </c>
      <c r="F814" s="2"/>
      <c r="G814" s="2"/>
      <c r="H814" s="8"/>
      <c r="I814" s="2"/>
      <c r="J814" s="8"/>
      <c r="K814" s="6"/>
      <c r="L814" s="2"/>
      <c r="M814" s="10" t="b">
        <f aca="false">TRUE()</f>
        <v>1</v>
      </c>
      <c r="N814" s="9" t="str">
        <f aca="false">IF(H814="","",IF(H814&gt;=Assumptions!$B$5,1,IF(H814&gt;=Assumptions!$B$6,2,IF(H814&gt;=Assumptions!$B$7,3,""))))</f>
        <v/>
      </c>
      <c r="O814" s="9" t="n">
        <f aca="false">IF(N814=1,Assumptions!$B$8,IF(N814=2,Assumptions!$B$9,IF(N814=3,Assumptions!$B$10,0)))</f>
        <v>0</v>
      </c>
      <c r="P814" s="6" t="s">
        <v>30</v>
      </c>
      <c r="Q814" s="6" t="s">
        <v>30</v>
      </c>
      <c r="R814" s="11" t="s">
        <v>30</v>
      </c>
      <c r="S814" s="6" t="s">
        <v>30</v>
      </c>
      <c r="T814" s="11" t="s">
        <v>30</v>
      </c>
      <c r="U814" s="6" t="s">
        <v>30</v>
      </c>
      <c r="V814" s="6" t="s">
        <v>30</v>
      </c>
      <c r="W814" s="6" t="s">
        <v>30</v>
      </c>
      <c r="X814" s="2" t="s">
        <v>30</v>
      </c>
      <c r="Y814" s="6" t="str">
        <f aca="false">IF(AND(X814="processed",ISNUMBER(S814)),S814*O814,"")</f>
        <v/>
      </c>
      <c r="Z814" s="6" t="n">
        <f aca="false">IF(ISNUMBER(K814),K814*O814,0)</f>
        <v>0</v>
      </c>
      <c r="AA814" s="2" t="s">
        <v>31</v>
      </c>
      <c r="AB814" s="6" t="n">
        <v>132</v>
      </c>
      <c r="AC814" s="6" t="n">
        <v>50</v>
      </c>
      <c r="AD814" s="6" t="n">
        <v>15</v>
      </c>
      <c r="AE814" s="6" t="n">
        <v>1995.98754882813</v>
      </c>
      <c r="AF814" s="8"/>
      <c r="AG814" s="11"/>
      <c r="AH814" s="12" t="n">
        <v>1</v>
      </c>
      <c r="AI814" s="2" t="s">
        <v>317</v>
      </c>
      <c r="AJ814" s="2" t="s">
        <v>70</v>
      </c>
      <c r="AK814" s="2" t="s">
        <v>1851</v>
      </c>
    </row>
    <row r="815" customFormat="false" ht="15" hidden="false" customHeight="false" outlineLevel="0" collapsed="false">
      <c r="A815" s="9"/>
      <c r="B815" s="2" t="s">
        <v>1852</v>
      </c>
      <c r="C815" s="2" t="s">
        <v>70</v>
      </c>
      <c r="D815" s="2" t="s">
        <v>70</v>
      </c>
      <c r="E815" s="2" t="s">
        <v>71</v>
      </c>
      <c r="F815" s="2"/>
      <c r="G815" s="2"/>
      <c r="H815" s="8"/>
      <c r="I815" s="2"/>
      <c r="J815" s="8"/>
      <c r="K815" s="6"/>
      <c r="L815" s="2"/>
      <c r="M815" s="10" t="b">
        <f aca="false">TRUE()</f>
        <v>1</v>
      </c>
      <c r="N815" s="9" t="str">
        <f aca="false">IF(H815="","",IF(H815&gt;=Assumptions!$B$5,1,IF(H815&gt;=Assumptions!$B$6,2,IF(H815&gt;=Assumptions!$B$7,3,""))))</f>
        <v/>
      </c>
      <c r="O815" s="9" t="n">
        <f aca="false">IF(N815=1,Assumptions!$B$8,IF(N815=2,Assumptions!$B$9,IF(N815=3,Assumptions!$B$10,0)))</f>
        <v>0</v>
      </c>
      <c r="P815" s="6" t="s">
        <v>30</v>
      </c>
      <c r="Q815" s="6" t="s">
        <v>30</v>
      </c>
      <c r="R815" s="11" t="s">
        <v>30</v>
      </c>
      <c r="S815" s="6" t="s">
        <v>30</v>
      </c>
      <c r="T815" s="11" t="s">
        <v>30</v>
      </c>
      <c r="U815" s="6" t="s">
        <v>30</v>
      </c>
      <c r="V815" s="6" t="s">
        <v>30</v>
      </c>
      <c r="W815" s="6" t="s">
        <v>30</v>
      </c>
      <c r="X815" s="2" t="s">
        <v>30</v>
      </c>
      <c r="Y815" s="6" t="str">
        <f aca="false">IF(AND(X815="processed",ISNUMBER(S815)),S815*O815,"")</f>
        <v/>
      </c>
      <c r="Z815" s="6" t="n">
        <f aca="false">IF(ISNUMBER(K815),K815*O815,0)</f>
        <v>0</v>
      </c>
      <c r="AA815" s="2" t="s">
        <v>31</v>
      </c>
      <c r="AB815" s="6" t="n">
        <v>2</v>
      </c>
      <c r="AC815" s="6" t="n">
        <v>1</v>
      </c>
      <c r="AD815" s="6" t="n">
        <v>0</v>
      </c>
      <c r="AE815" s="6" t="n">
        <v>1122.58435058594</v>
      </c>
      <c r="AF815" s="8"/>
      <c r="AG815" s="11"/>
      <c r="AH815" s="12" t="n">
        <v>1</v>
      </c>
      <c r="AI815" s="2" t="s">
        <v>319</v>
      </c>
      <c r="AJ815" s="2"/>
      <c r="AK815" s="2" t="s">
        <v>70</v>
      </c>
    </row>
    <row r="816" customFormat="false" ht="15" hidden="false" customHeight="false" outlineLevel="0" collapsed="false">
      <c r="A816" s="9"/>
      <c r="B816" s="2" t="s">
        <v>1853</v>
      </c>
      <c r="C816" s="2" t="s">
        <v>70</v>
      </c>
      <c r="D816" s="2" t="s">
        <v>70</v>
      </c>
      <c r="E816" s="2" t="s">
        <v>71</v>
      </c>
      <c r="F816" s="2"/>
      <c r="G816" s="2"/>
      <c r="H816" s="8"/>
      <c r="I816" s="2"/>
      <c r="J816" s="8"/>
      <c r="K816" s="6"/>
      <c r="L816" s="2"/>
      <c r="M816" s="10" t="b">
        <f aca="false">TRUE()</f>
        <v>1</v>
      </c>
      <c r="N816" s="9" t="str">
        <f aca="false">IF(H816="","",IF(H816&gt;=Assumptions!$B$5,1,IF(H816&gt;=Assumptions!$B$6,2,IF(H816&gt;=Assumptions!$B$7,3,""))))</f>
        <v/>
      </c>
      <c r="O816" s="9" t="n">
        <f aca="false">IF(N816=1,Assumptions!$B$8,IF(N816=2,Assumptions!$B$9,IF(N816=3,Assumptions!$B$10,0)))</f>
        <v>0</v>
      </c>
      <c r="P816" s="6" t="s">
        <v>30</v>
      </c>
      <c r="Q816" s="6" t="s">
        <v>30</v>
      </c>
      <c r="R816" s="11" t="s">
        <v>30</v>
      </c>
      <c r="S816" s="6" t="s">
        <v>30</v>
      </c>
      <c r="T816" s="11" t="s">
        <v>30</v>
      </c>
      <c r="U816" s="6" t="s">
        <v>30</v>
      </c>
      <c r="V816" s="6" t="s">
        <v>30</v>
      </c>
      <c r="W816" s="6" t="s">
        <v>30</v>
      </c>
      <c r="X816" s="2" t="s">
        <v>30</v>
      </c>
      <c r="Y816" s="6" t="str">
        <f aca="false">IF(AND(X816="processed",ISNUMBER(S816)),S816*O816,"")</f>
        <v/>
      </c>
      <c r="Z816" s="6" t="n">
        <f aca="false">IF(ISNUMBER(K816),K816*O816,0)</f>
        <v>0</v>
      </c>
      <c r="AA816" s="2" t="s">
        <v>31</v>
      </c>
      <c r="AB816" s="6" t="n">
        <v>203</v>
      </c>
      <c r="AC816" s="6" t="n">
        <v>62</v>
      </c>
      <c r="AD816" s="6" t="n">
        <v>32</v>
      </c>
      <c r="AE816" s="6" t="n">
        <v>1605.46643066406</v>
      </c>
      <c r="AF816" s="8"/>
      <c r="AG816" s="11"/>
      <c r="AH816" s="12" t="n">
        <v>1</v>
      </c>
      <c r="AI816" s="2" t="s">
        <v>317</v>
      </c>
      <c r="AJ816" s="2" t="s">
        <v>70</v>
      </c>
      <c r="AK816" s="2" t="s">
        <v>70</v>
      </c>
    </row>
    <row r="817" customFormat="false" ht="15" hidden="false" customHeight="false" outlineLevel="0" collapsed="false">
      <c r="A817" s="9"/>
      <c r="B817" s="2" t="s">
        <v>1854</v>
      </c>
      <c r="C817" s="2" t="s">
        <v>70</v>
      </c>
      <c r="D817" s="2" t="s">
        <v>70</v>
      </c>
      <c r="E817" s="2" t="s">
        <v>71</v>
      </c>
      <c r="F817" s="2"/>
      <c r="G817" s="2"/>
      <c r="H817" s="8"/>
      <c r="I817" s="2"/>
      <c r="J817" s="8"/>
      <c r="K817" s="6"/>
      <c r="L817" s="2"/>
      <c r="M817" s="10" t="b">
        <f aca="false">TRUE()</f>
        <v>1</v>
      </c>
      <c r="N817" s="9" t="str">
        <f aca="false">IF(H817="","",IF(H817&gt;=Assumptions!$B$5,1,IF(H817&gt;=Assumptions!$B$6,2,IF(H817&gt;=Assumptions!$B$7,3,""))))</f>
        <v/>
      </c>
      <c r="O817" s="9" t="n">
        <f aca="false">IF(N817=1,Assumptions!$B$8,IF(N817=2,Assumptions!$B$9,IF(N817=3,Assumptions!$B$10,0)))</f>
        <v>0</v>
      </c>
      <c r="P817" s="6" t="s">
        <v>30</v>
      </c>
      <c r="Q817" s="6" t="s">
        <v>30</v>
      </c>
      <c r="R817" s="11" t="s">
        <v>30</v>
      </c>
      <c r="S817" s="6" t="s">
        <v>30</v>
      </c>
      <c r="T817" s="11" t="s">
        <v>30</v>
      </c>
      <c r="U817" s="6" t="s">
        <v>30</v>
      </c>
      <c r="V817" s="6" t="s">
        <v>30</v>
      </c>
      <c r="W817" s="6" t="s">
        <v>30</v>
      </c>
      <c r="X817" s="2" t="s">
        <v>30</v>
      </c>
      <c r="Y817" s="6" t="str">
        <f aca="false">IF(AND(X817="processed",ISNUMBER(S817)),S817*O817,"")</f>
        <v/>
      </c>
      <c r="Z817" s="6" t="n">
        <f aca="false">IF(ISNUMBER(K817),K817*O817,0)</f>
        <v>0</v>
      </c>
      <c r="AA817" s="2" t="s">
        <v>31</v>
      </c>
      <c r="AB817" s="6" t="n">
        <v>15</v>
      </c>
      <c r="AC817" s="6" t="n">
        <v>13</v>
      </c>
      <c r="AD817" s="6" t="n">
        <v>5</v>
      </c>
      <c r="AE817" s="6" t="n">
        <v>1649.13586425781</v>
      </c>
      <c r="AF817" s="8"/>
      <c r="AG817" s="11"/>
      <c r="AH817" s="12" t="n">
        <v>1</v>
      </c>
      <c r="AI817" s="2" t="s">
        <v>319</v>
      </c>
      <c r="AJ817" s="2"/>
      <c r="AK817" s="2" t="s">
        <v>70</v>
      </c>
    </row>
    <row r="818" customFormat="false" ht="15" hidden="false" customHeight="false" outlineLevel="0" collapsed="false">
      <c r="A818" s="9"/>
      <c r="B818" s="2" t="s">
        <v>1855</v>
      </c>
      <c r="C818" s="2" t="s">
        <v>70</v>
      </c>
      <c r="D818" s="2" t="s">
        <v>70</v>
      </c>
      <c r="E818" s="2" t="s">
        <v>71</v>
      </c>
      <c r="F818" s="2" t="s">
        <v>1856</v>
      </c>
      <c r="G818" s="2"/>
      <c r="H818" s="8"/>
      <c r="I818" s="2"/>
      <c r="J818" s="8"/>
      <c r="K818" s="6"/>
      <c r="L818" s="2"/>
      <c r="M818" s="10" t="b">
        <f aca="false">TRUE()</f>
        <v>1</v>
      </c>
      <c r="N818" s="9" t="str">
        <f aca="false">IF(H818="","",IF(H818&gt;=Assumptions!$B$5,1,IF(H818&gt;=Assumptions!$B$6,2,IF(H818&gt;=Assumptions!$B$7,3,""))))</f>
        <v/>
      </c>
      <c r="O818" s="9" t="n">
        <f aca="false">IF(N818=1,Assumptions!$B$8,IF(N818=2,Assumptions!$B$9,IF(N818=3,Assumptions!$B$10,0)))</f>
        <v>0</v>
      </c>
      <c r="P818" s="6" t="s">
        <v>30</v>
      </c>
      <c r="Q818" s="6" t="s">
        <v>30</v>
      </c>
      <c r="R818" s="11" t="s">
        <v>30</v>
      </c>
      <c r="S818" s="6" t="s">
        <v>30</v>
      </c>
      <c r="T818" s="11" t="s">
        <v>30</v>
      </c>
      <c r="U818" s="6" t="s">
        <v>30</v>
      </c>
      <c r="V818" s="6" t="s">
        <v>30</v>
      </c>
      <c r="W818" s="6" t="s">
        <v>30</v>
      </c>
      <c r="X818" s="2" t="s">
        <v>30</v>
      </c>
      <c r="Y818" s="6" t="str">
        <f aca="false">IF(AND(X818="processed",ISNUMBER(S818)),S818*O818,"")</f>
        <v/>
      </c>
      <c r="Z818" s="6" t="n">
        <f aca="false">IF(ISNUMBER(K818),K818*O818,0)</f>
        <v>0</v>
      </c>
      <c r="AA818" s="2" t="s">
        <v>31</v>
      </c>
      <c r="AB818" s="6" t="n">
        <v>122</v>
      </c>
      <c r="AC818" s="6" t="n">
        <v>17</v>
      </c>
      <c r="AD818" s="6" t="n">
        <v>2</v>
      </c>
      <c r="AE818" s="6" t="n">
        <v>2425.09301757813</v>
      </c>
      <c r="AF818" s="8"/>
      <c r="AG818" s="11"/>
      <c r="AH818" s="12" t="n">
        <v>1</v>
      </c>
      <c r="AI818" s="2" t="s">
        <v>319</v>
      </c>
      <c r="AJ818" s="2"/>
      <c r="AK818" s="2" t="s">
        <v>70</v>
      </c>
    </row>
    <row r="819" customFormat="false" ht="15" hidden="false" customHeight="false" outlineLevel="0" collapsed="false">
      <c r="A819" s="9"/>
      <c r="B819" s="2" t="s">
        <v>1857</v>
      </c>
      <c r="C819" s="2"/>
      <c r="D819" s="2" t="s">
        <v>1190</v>
      </c>
      <c r="E819" s="2" t="s">
        <v>1191</v>
      </c>
      <c r="F819" s="2"/>
      <c r="G819" s="2" t="s">
        <v>329</v>
      </c>
      <c r="H819" s="8" t="n">
        <v>427.186977733</v>
      </c>
      <c r="I819" s="2" t="s">
        <v>316</v>
      </c>
      <c r="J819" s="8" t="n">
        <v>514500</v>
      </c>
      <c r="K819" s="6" t="n">
        <v>3</v>
      </c>
      <c r="L819" s="2" t="s">
        <v>1664</v>
      </c>
      <c r="M819" s="10" t="b">
        <f aca="false">FALSE()</f>
        <v>0</v>
      </c>
      <c r="N819" s="9" t="str">
        <f aca="false">IF(H819="","",IF(H819&gt;=Assumptions!$B$5,1,IF(H819&gt;=Assumptions!$B$6,2,IF(H819&gt;=Assumptions!$B$7,3,""))))</f>
        <v/>
      </c>
      <c r="O819" s="9" t="n">
        <f aca="false">IF(N819=1,Assumptions!$B$8,IF(N819=2,Assumptions!$B$9,IF(N819=3,Assumptions!$B$10,0)))</f>
        <v>0</v>
      </c>
      <c r="P819" s="6" t="s">
        <v>30</v>
      </c>
      <c r="Q819" s="6" t="s">
        <v>30</v>
      </c>
      <c r="R819" s="11" t="s">
        <v>30</v>
      </c>
      <c r="S819" s="6" t="s">
        <v>30</v>
      </c>
      <c r="T819" s="11" t="s">
        <v>30</v>
      </c>
      <c r="U819" s="6" t="s">
        <v>30</v>
      </c>
      <c r="V819" s="6" t="s">
        <v>30</v>
      </c>
      <c r="W819" s="6" t="s">
        <v>30</v>
      </c>
      <c r="X819" s="2" t="s">
        <v>30</v>
      </c>
      <c r="Y819" s="6" t="str">
        <f aca="false">IF(AND(X819="processed",ISNUMBER(S819)),S819*O819,"")</f>
        <v/>
      </c>
      <c r="Z819" s="6" t="n">
        <f aca="false">IF(ISNUMBER(K819),K819*O819,0)</f>
        <v>0</v>
      </c>
      <c r="AA819" s="2" t="s">
        <v>31</v>
      </c>
      <c r="AB819" s="6"/>
      <c r="AC819" s="6"/>
      <c r="AD819" s="6"/>
      <c r="AE819" s="6"/>
      <c r="AF819" s="8" t="n">
        <v>446.271929825</v>
      </c>
      <c r="AG819" s="11"/>
      <c r="AH819" s="12"/>
      <c r="AI819" s="2"/>
      <c r="AJ819" s="2"/>
      <c r="AK819" s="2"/>
    </row>
    <row r="820" customFormat="false" ht="15" hidden="false" customHeight="false" outlineLevel="0" collapsed="false">
      <c r="A820" s="9"/>
      <c r="B820" s="2" t="s">
        <v>1858</v>
      </c>
      <c r="C820" s="2"/>
      <c r="D820" s="2" t="s">
        <v>1190</v>
      </c>
      <c r="E820" s="2" t="s">
        <v>1191</v>
      </c>
      <c r="F820" s="2"/>
      <c r="G820" s="2" t="s">
        <v>329</v>
      </c>
      <c r="H820" s="8" t="n">
        <v>485.3850184995</v>
      </c>
      <c r="I820" s="2" t="s">
        <v>316</v>
      </c>
      <c r="J820" s="8" t="n">
        <v>670000</v>
      </c>
      <c r="K820" s="6" t="n">
        <v>2</v>
      </c>
      <c r="L820" s="2" t="s">
        <v>1664</v>
      </c>
      <c r="M820" s="10" t="b">
        <f aca="false">FALSE()</f>
        <v>0</v>
      </c>
      <c r="N820" s="9" t="str">
        <f aca="false">IF(H820="","",IF(H820&gt;=Assumptions!$B$5,1,IF(H820&gt;=Assumptions!$B$6,2,IF(H820&gt;=Assumptions!$B$7,3,""))))</f>
        <v/>
      </c>
      <c r="O820" s="9" t="n">
        <f aca="false">IF(N820=1,Assumptions!$B$8,IF(N820=2,Assumptions!$B$9,IF(N820=3,Assumptions!$B$10,0)))</f>
        <v>0</v>
      </c>
      <c r="P820" s="6" t="s">
        <v>30</v>
      </c>
      <c r="Q820" s="6" t="s">
        <v>30</v>
      </c>
      <c r="R820" s="11" t="s">
        <v>30</v>
      </c>
      <c r="S820" s="6" t="s">
        <v>30</v>
      </c>
      <c r="T820" s="11" t="s">
        <v>30</v>
      </c>
      <c r="U820" s="6" t="s">
        <v>30</v>
      </c>
      <c r="V820" s="6" t="s">
        <v>30</v>
      </c>
      <c r="W820" s="6" t="s">
        <v>30</v>
      </c>
      <c r="X820" s="2" t="s">
        <v>30</v>
      </c>
      <c r="Y820" s="6" t="str">
        <f aca="false">IF(AND(X820="processed",ISNUMBER(S820)),S820*O820,"")</f>
        <v/>
      </c>
      <c r="Z820" s="6" t="n">
        <f aca="false">IF(ISNUMBER(K820),K820*O820,0)</f>
        <v>0</v>
      </c>
      <c r="AA820" s="2" t="s">
        <v>31</v>
      </c>
      <c r="AB820" s="6"/>
      <c r="AC820" s="6"/>
      <c r="AD820" s="6"/>
      <c r="AE820" s="6"/>
      <c r="AF820" s="8" t="n">
        <v>469.576719577</v>
      </c>
      <c r="AG820" s="11"/>
      <c r="AH820" s="12"/>
      <c r="AI820" s="2"/>
      <c r="AJ820" s="2"/>
      <c r="AK820" s="2"/>
    </row>
    <row r="821" customFormat="false" ht="15" hidden="false" customHeight="false" outlineLevel="0" collapsed="false">
      <c r="A821" s="9"/>
      <c r="B821" s="2" t="s">
        <v>1859</v>
      </c>
      <c r="C821" s="2" t="s">
        <v>557</v>
      </c>
      <c r="D821" s="2" t="s">
        <v>70</v>
      </c>
      <c r="E821" s="2" t="s">
        <v>71</v>
      </c>
      <c r="F821" s="2"/>
      <c r="G821" s="2"/>
      <c r="H821" s="8"/>
      <c r="I821" s="2"/>
      <c r="J821" s="8"/>
      <c r="K821" s="6"/>
      <c r="L821" s="2"/>
      <c r="M821" s="10" t="b">
        <f aca="false">TRUE()</f>
        <v>1</v>
      </c>
      <c r="N821" s="9" t="str">
        <f aca="false">IF(H821="","",IF(H821&gt;=Assumptions!$B$5,1,IF(H821&gt;=Assumptions!$B$6,2,IF(H821&gt;=Assumptions!$B$7,3,""))))</f>
        <v/>
      </c>
      <c r="O821" s="9" t="n">
        <f aca="false">IF(N821=1,Assumptions!$B$8,IF(N821=2,Assumptions!$B$9,IF(N821=3,Assumptions!$B$10,0)))</f>
        <v>0</v>
      </c>
      <c r="P821" s="6" t="s">
        <v>30</v>
      </c>
      <c r="Q821" s="6" t="s">
        <v>30</v>
      </c>
      <c r="R821" s="11" t="s">
        <v>30</v>
      </c>
      <c r="S821" s="6" t="s">
        <v>30</v>
      </c>
      <c r="T821" s="11" t="s">
        <v>30</v>
      </c>
      <c r="U821" s="6" t="s">
        <v>30</v>
      </c>
      <c r="V821" s="6" t="s">
        <v>30</v>
      </c>
      <c r="W821" s="6" t="s">
        <v>30</v>
      </c>
      <c r="X821" s="2" t="s">
        <v>30</v>
      </c>
      <c r="Y821" s="6" t="str">
        <f aca="false">IF(AND(X821="processed",ISNUMBER(S821)),S821*O821,"")</f>
        <v/>
      </c>
      <c r="Z821" s="6" t="n">
        <f aca="false">IF(ISNUMBER(K821),K821*O821,0)</f>
        <v>0</v>
      </c>
      <c r="AA821" s="2" t="s">
        <v>31</v>
      </c>
      <c r="AB821" s="6" t="n">
        <v>55</v>
      </c>
      <c r="AC821" s="6" t="n">
        <v>34</v>
      </c>
      <c r="AD821" s="6" t="n">
        <v>1</v>
      </c>
      <c r="AE821" s="6" t="n">
        <v>4949.142578125</v>
      </c>
      <c r="AF821" s="8"/>
      <c r="AG821" s="11"/>
      <c r="AH821" s="12" t="n">
        <v>1</v>
      </c>
      <c r="AI821" s="2" t="s">
        <v>317</v>
      </c>
      <c r="AJ821" s="2" t="s">
        <v>557</v>
      </c>
      <c r="AK821" s="2" t="s">
        <v>559</v>
      </c>
    </row>
    <row r="822" customFormat="false" ht="15" hidden="false" customHeight="false" outlineLevel="0" collapsed="false">
      <c r="A822" s="9"/>
      <c r="B822" s="2" t="s">
        <v>1860</v>
      </c>
      <c r="C822" s="2" t="s">
        <v>352</v>
      </c>
      <c r="D822" s="2" t="s">
        <v>70</v>
      </c>
      <c r="E822" s="2" t="s">
        <v>71</v>
      </c>
      <c r="F822" s="2"/>
      <c r="G822" s="2"/>
      <c r="H822" s="8"/>
      <c r="I822" s="2"/>
      <c r="J822" s="8"/>
      <c r="K822" s="6"/>
      <c r="L822" s="2"/>
      <c r="M822" s="10" t="b">
        <f aca="false">TRUE()</f>
        <v>1</v>
      </c>
      <c r="N822" s="9" t="str">
        <f aca="false">IF(H822="","",IF(H822&gt;=Assumptions!$B$5,1,IF(H822&gt;=Assumptions!$B$6,2,IF(H822&gt;=Assumptions!$B$7,3,""))))</f>
        <v/>
      </c>
      <c r="O822" s="9" t="n">
        <f aca="false">IF(N822=1,Assumptions!$B$8,IF(N822=2,Assumptions!$B$9,IF(N822=3,Assumptions!$B$10,0)))</f>
        <v>0</v>
      </c>
      <c r="P822" s="6" t="s">
        <v>30</v>
      </c>
      <c r="Q822" s="6" t="s">
        <v>30</v>
      </c>
      <c r="R822" s="11" t="s">
        <v>30</v>
      </c>
      <c r="S822" s="6" t="s">
        <v>30</v>
      </c>
      <c r="T822" s="11" t="s">
        <v>30</v>
      </c>
      <c r="U822" s="6" t="s">
        <v>30</v>
      </c>
      <c r="V822" s="6" t="s">
        <v>30</v>
      </c>
      <c r="W822" s="6" t="s">
        <v>30</v>
      </c>
      <c r="X822" s="2" t="s">
        <v>30</v>
      </c>
      <c r="Y822" s="6" t="str">
        <f aca="false">IF(AND(X822="processed",ISNUMBER(S822)),S822*O822,"")</f>
        <v/>
      </c>
      <c r="Z822" s="6" t="n">
        <f aca="false">IF(ISNUMBER(K822),K822*O822,0)</f>
        <v>0</v>
      </c>
      <c r="AA822" s="2" t="s">
        <v>31</v>
      </c>
      <c r="AB822" s="6" t="n">
        <v>50</v>
      </c>
      <c r="AC822" s="6" t="n">
        <v>17</v>
      </c>
      <c r="AD822" s="6" t="n">
        <v>7</v>
      </c>
      <c r="AE822" s="6" t="n">
        <v>1527.95776367188</v>
      </c>
      <c r="AF822" s="8"/>
      <c r="AG822" s="11"/>
      <c r="AH822" s="12" t="n">
        <v>1</v>
      </c>
      <c r="AI822" s="2" t="s">
        <v>319</v>
      </c>
      <c r="AJ822" s="2"/>
      <c r="AK822" s="2" t="s">
        <v>352</v>
      </c>
    </row>
    <row r="823" customFormat="false" ht="15" hidden="false" customHeight="false" outlineLevel="0" collapsed="false">
      <c r="A823" s="9"/>
      <c r="B823" s="2" t="s">
        <v>1861</v>
      </c>
      <c r="C823" s="2" t="s">
        <v>59</v>
      </c>
      <c r="D823" s="2" t="s">
        <v>27</v>
      </c>
      <c r="E823" s="2" t="s">
        <v>28</v>
      </c>
      <c r="F823" s="2" t="s">
        <v>1862</v>
      </c>
      <c r="G823" s="2"/>
      <c r="H823" s="8"/>
      <c r="I823" s="2"/>
      <c r="J823" s="8"/>
      <c r="K823" s="6"/>
      <c r="L823" s="2"/>
      <c r="M823" s="10" t="b">
        <f aca="false">TRUE()</f>
        <v>1</v>
      </c>
      <c r="N823" s="9" t="str">
        <f aca="false">IF(H823="","",IF(H823&gt;=Assumptions!$B$5,1,IF(H823&gt;=Assumptions!$B$6,2,IF(H823&gt;=Assumptions!$B$7,3,""))))</f>
        <v/>
      </c>
      <c r="O823" s="9" t="n">
        <f aca="false">IF(N823=1,Assumptions!$B$8,IF(N823=2,Assumptions!$B$9,IF(N823=3,Assumptions!$B$10,0)))</f>
        <v>0</v>
      </c>
      <c r="P823" s="6" t="s">
        <v>30</v>
      </c>
      <c r="Q823" s="6" t="s">
        <v>30</v>
      </c>
      <c r="R823" s="11" t="s">
        <v>30</v>
      </c>
      <c r="S823" s="6" t="s">
        <v>30</v>
      </c>
      <c r="T823" s="11" t="s">
        <v>30</v>
      </c>
      <c r="U823" s="6" t="s">
        <v>30</v>
      </c>
      <c r="V823" s="6" t="s">
        <v>30</v>
      </c>
      <c r="W823" s="6" t="s">
        <v>30</v>
      </c>
      <c r="X823" s="2" t="s">
        <v>30</v>
      </c>
      <c r="Y823" s="6" t="str">
        <f aca="false">IF(AND(X823="processed",ISNUMBER(S823)),S823*O823,"")</f>
        <v/>
      </c>
      <c r="Z823" s="6" t="n">
        <f aca="false">IF(ISNUMBER(K823),K823*O823,0)</f>
        <v>0</v>
      </c>
      <c r="AA823" s="2" t="s">
        <v>31</v>
      </c>
      <c r="AB823" s="6" t="n">
        <v>407</v>
      </c>
      <c r="AC823" s="6" t="n">
        <v>378</v>
      </c>
      <c r="AD823" s="6" t="n">
        <v>76</v>
      </c>
      <c r="AE823" s="6" t="n">
        <v>1753.95568847656</v>
      </c>
      <c r="AF823" s="8"/>
      <c r="AG823" s="11"/>
      <c r="AH823" s="12" t="n">
        <v>0.282372290950353</v>
      </c>
      <c r="AI823" s="2" t="s">
        <v>317</v>
      </c>
      <c r="AJ823" s="2" t="s">
        <v>59</v>
      </c>
      <c r="AK823" s="2" t="s">
        <v>59</v>
      </c>
    </row>
    <row r="824" customFormat="false" ht="15" hidden="false" customHeight="false" outlineLevel="0" collapsed="false">
      <c r="A824" s="9"/>
      <c r="B824" s="2" t="s">
        <v>1863</v>
      </c>
      <c r="C824" s="2" t="s">
        <v>1217</v>
      </c>
      <c r="D824" s="2" t="s">
        <v>70</v>
      </c>
      <c r="E824" s="2" t="s">
        <v>71</v>
      </c>
      <c r="F824" s="2"/>
      <c r="G824" s="2"/>
      <c r="H824" s="8"/>
      <c r="I824" s="2"/>
      <c r="J824" s="8"/>
      <c r="K824" s="6"/>
      <c r="L824" s="2"/>
      <c r="M824" s="10" t="b">
        <f aca="false">TRUE()</f>
        <v>1</v>
      </c>
      <c r="N824" s="9" t="str">
        <f aca="false">IF(H824="","",IF(H824&gt;=Assumptions!$B$5,1,IF(H824&gt;=Assumptions!$B$6,2,IF(H824&gt;=Assumptions!$B$7,3,""))))</f>
        <v/>
      </c>
      <c r="O824" s="9" t="n">
        <f aca="false">IF(N824=1,Assumptions!$B$8,IF(N824=2,Assumptions!$B$9,IF(N824=3,Assumptions!$B$10,0)))</f>
        <v>0</v>
      </c>
      <c r="P824" s="6" t="s">
        <v>30</v>
      </c>
      <c r="Q824" s="6" t="s">
        <v>30</v>
      </c>
      <c r="R824" s="11" t="s">
        <v>30</v>
      </c>
      <c r="S824" s="6" t="s">
        <v>30</v>
      </c>
      <c r="T824" s="11" t="s">
        <v>30</v>
      </c>
      <c r="U824" s="6" t="s">
        <v>30</v>
      </c>
      <c r="V824" s="6" t="s">
        <v>30</v>
      </c>
      <c r="W824" s="6" t="s">
        <v>30</v>
      </c>
      <c r="X824" s="2" t="s">
        <v>30</v>
      </c>
      <c r="Y824" s="6" t="str">
        <f aca="false">IF(AND(X824="processed",ISNUMBER(S824)),S824*O824,"")</f>
        <v/>
      </c>
      <c r="Z824" s="6" t="n">
        <f aca="false">IF(ISNUMBER(K824),K824*O824,0)</f>
        <v>0</v>
      </c>
      <c r="AA824" s="2" t="s">
        <v>31</v>
      </c>
      <c r="AB824" s="6" t="n">
        <v>10</v>
      </c>
      <c r="AC824" s="6" t="n">
        <v>9</v>
      </c>
      <c r="AD824" s="6" t="n">
        <v>0</v>
      </c>
      <c r="AE824" s="6" t="n">
        <v>5897.203125</v>
      </c>
      <c r="AF824" s="8"/>
      <c r="AG824" s="11"/>
      <c r="AH824" s="12" t="n">
        <v>1</v>
      </c>
      <c r="AI824" s="2" t="s">
        <v>317</v>
      </c>
      <c r="AJ824" s="2" t="s">
        <v>1217</v>
      </c>
      <c r="AK824" s="2" t="s">
        <v>1217</v>
      </c>
    </row>
    <row r="825" customFormat="false" ht="15" hidden="false" customHeight="false" outlineLevel="0" collapsed="false">
      <c r="A825" s="9"/>
      <c r="B825" s="2" t="s">
        <v>1864</v>
      </c>
      <c r="C825" s="2" t="s">
        <v>84</v>
      </c>
      <c r="D825" s="2" t="s">
        <v>70</v>
      </c>
      <c r="E825" s="2" t="s">
        <v>71</v>
      </c>
      <c r="F825" s="2"/>
      <c r="G825" s="2"/>
      <c r="H825" s="8"/>
      <c r="I825" s="2"/>
      <c r="J825" s="8"/>
      <c r="K825" s="6"/>
      <c r="L825" s="2"/>
      <c r="M825" s="10" t="b">
        <f aca="false">TRUE()</f>
        <v>1</v>
      </c>
      <c r="N825" s="9" t="str">
        <f aca="false">IF(H825="","",IF(H825&gt;=Assumptions!$B$5,1,IF(H825&gt;=Assumptions!$B$6,2,IF(H825&gt;=Assumptions!$B$7,3,""))))</f>
        <v/>
      </c>
      <c r="O825" s="9" t="n">
        <f aca="false">IF(N825=1,Assumptions!$B$8,IF(N825=2,Assumptions!$B$9,IF(N825=3,Assumptions!$B$10,0)))</f>
        <v>0</v>
      </c>
      <c r="P825" s="6" t="s">
        <v>30</v>
      </c>
      <c r="Q825" s="6" t="s">
        <v>30</v>
      </c>
      <c r="R825" s="11" t="s">
        <v>30</v>
      </c>
      <c r="S825" s="6" t="s">
        <v>30</v>
      </c>
      <c r="T825" s="11" t="s">
        <v>30</v>
      </c>
      <c r="U825" s="6" t="s">
        <v>30</v>
      </c>
      <c r="V825" s="6" t="s">
        <v>30</v>
      </c>
      <c r="W825" s="6" t="s">
        <v>30</v>
      </c>
      <c r="X825" s="2" t="s">
        <v>30</v>
      </c>
      <c r="Y825" s="6" t="str">
        <f aca="false">IF(AND(X825="processed",ISNUMBER(S825)),S825*O825,"")</f>
        <v/>
      </c>
      <c r="Z825" s="6" t="n">
        <f aca="false">IF(ISNUMBER(K825),K825*O825,0)</f>
        <v>0</v>
      </c>
      <c r="AA825" s="2" t="s">
        <v>31</v>
      </c>
      <c r="AB825" s="6" t="n">
        <v>60</v>
      </c>
      <c r="AC825" s="6" t="n">
        <v>24</v>
      </c>
      <c r="AD825" s="6" t="n">
        <v>8</v>
      </c>
      <c r="AE825" s="6" t="n">
        <v>1265.966796875</v>
      </c>
      <c r="AF825" s="8"/>
      <c r="AG825" s="11"/>
      <c r="AH825" s="12" t="n">
        <v>1</v>
      </c>
      <c r="AI825" s="2" t="s">
        <v>319</v>
      </c>
      <c r="AJ825" s="2"/>
      <c r="AK825" s="2" t="s">
        <v>84</v>
      </c>
    </row>
    <row r="826" customFormat="false" ht="15" hidden="false" customHeight="false" outlineLevel="0" collapsed="false">
      <c r="A826" s="9"/>
      <c r="B826" s="2" t="s">
        <v>1865</v>
      </c>
      <c r="C826" s="2" t="s">
        <v>84</v>
      </c>
      <c r="D826" s="2" t="s">
        <v>70</v>
      </c>
      <c r="E826" s="2" t="s">
        <v>71</v>
      </c>
      <c r="F826" s="2"/>
      <c r="G826" s="2"/>
      <c r="H826" s="8"/>
      <c r="I826" s="2"/>
      <c r="J826" s="8"/>
      <c r="K826" s="6"/>
      <c r="L826" s="2"/>
      <c r="M826" s="10" t="b">
        <f aca="false">TRUE()</f>
        <v>1</v>
      </c>
      <c r="N826" s="9" t="str">
        <f aca="false">IF(H826="","",IF(H826&gt;=Assumptions!$B$5,1,IF(H826&gt;=Assumptions!$B$6,2,IF(H826&gt;=Assumptions!$B$7,3,""))))</f>
        <v/>
      </c>
      <c r="O826" s="9" t="n">
        <f aca="false">IF(N826=1,Assumptions!$B$8,IF(N826=2,Assumptions!$B$9,IF(N826=3,Assumptions!$B$10,0)))</f>
        <v>0</v>
      </c>
      <c r="P826" s="6" t="s">
        <v>30</v>
      </c>
      <c r="Q826" s="6" t="s">
        <v>30</v>
      </c>
      <c r="R826" s="11" t="s">
        <v>30</v>
      </c>
      <c r="S826" s="6" t="s">
        <v>30</v>
      </c>
      <c r="T826" s="11" t="s">
        <v>30</v>
      </c>
      <c r="U826" s="6" t="s">
        <v>30</v>
      </c>
      <c r="V826" s="6" t="s">
        <v>30</v>
      </c>
      <c r="W826" s="6" t="s">
        <v>30</v>
      </c>
      <c r="X826" s="2" t="s">
        <v>30</v>
      </c>
      <c r="Y826" s="6" t="str">
        <f aca="false">IF(AND(X826="processed",ISNUMBER(S826)),S826*O826,"")</f>
        <v/>
      </c>
      <c r="Z826" s="6" t="n">
        <f aca="false">IF(ISNUMBER(K826),K826*O826,0)</f>
        <v>0</v>
      </c>
      <c r="AA826" s="2" t="s">
        <v>31</v>
      </c>
      <c r="AB826" s="6" t="n">
        <v>5</v>
      </c>
      <c r="AC826" s="6" t="n">
        <v>0</v>
      </c>
      <c r="AD826" s="6" t="n">
        <v>0</v>
      </c>
      <c r="AE826" s="6"/>
      <c r="AF826" s="8"/>
      <c r="AG826" s="11"/>
      <c r="AH826" s="12" t="n">
        <v>1</v>
      </c>
      <c r="AI826" s="2" t="s">
        <v>317</v>
      </c>
      <c r="AJ826" s="2" t="s">
        <v>84</v>
      </c>
      <c r="AK826" s="2" t="s">
        <v>84</v>
      </c>
    </row>
    <row r="827" customFormat="false" ht="15" hidden="false" customHeight="false" outlineLevel="0" collapsed="false">
      <c r="A827" s="9"/>
      <c r="B827" s="2" t="s">
        <v>1866</v>
      </c>
      <c r="C827" s="2" t="s">
        <v>1867</v>
      </c>
      <c r="D827" s="2" t="s">
        <v>70</v>
      </c>
      <c r="E827" s="2" t="s">
        <v>71</v>
      </c>
      <c r="F827" s="2"/>
      <c r="G827" s="2"/>
      <c r="H827" s="8"/>
      <c r="I827" s="2"/>
      <c r="J827" s="8"/>
      <c r="K827" s="6"/>
      <c r="L827" s="2"/>
      <c r="M827" s="10" t="b">
        <f aca="false">TRUE()</f>
        <v>1</v>
      </c>
      <c r="N827" s="9" t="str">
        <f aca="false">IF(H827="","",IF(H827&gt;=Assumptions!$B$5,1,IF(H827&gt;=Assumptions!$B$6,2,IF(H827&gt;=Assumptions!$B$7,3,""))))</f>
        <v/>
      </c>
      <c r="O827" s="9" t="n">
        <f aca="false">IF(N827=1,Assumptions!$B$8,IF(N827=2,Assumptions!$B$9,IF(N827=3,Assumptions!$B$10,0)))</f>
        <v>0</v>
      </c>
      <c r="P827" s="6" t="s">
        <v>30</v>
      </c>
      <c r="Q827" s="6" t="s">
        <v>30</v>
      </c>
      <c r="R827" s="11" t="s">
        <v>30</v>
      </c>
      <c r="S827" s="6" t="s">
        <v>30</v>
      </c>
      <c r="T827" s="11" t="s">
        <v>30</v>
      </c>
      <c r="U827" s="6" t="s">
        <v>30</v>
      </c>
      <c r="V827" s="6" t="s">
        <v>30</v>
      </c>
      <c r="W827" s="6" t="s">
        <v>30</v>
      </c>
      <c r="X827" s="2" t="s">
        <v>30</v>
      </c>
      <c r="Y827" s="6" t="str">
        <f aca="false">IF(AND(X827="processed",ISNUMBER(S827)),S827*O827,"")</f>
        <v/>
      </c>
      <c r="Z827" s="6" t="n">
        <f aca="false">IF(ISNUMBER(K827),K827*O827,0)</f>
        <v>0</v>
      </c>
      <c r="AA827" s="2" t="s">
        <v>31</v>
      </c>
      <c r="AB827" s="6" t="n">
        <v>23</v>
      </c>
      <c r="AC827" s="6" t="n">
        <v>14</v>
      </c>
      <c r="AD827" s="6" t="n">
        <v>0</v>
      </c>
      <c r="AE827" s="6" t="n">
        <v>1715.21325683594</v>
      </c>
      <c r="AF827" s="8"/>
      <c r="AG827" s="11"/>
      <c r="AH827" s="12" t="n">
        <v>1</v>
      </c>
      <c r="AI827" s="2" t="s">
        <v>317</v>
      </c>
      <c r="AJ827" s="2" t="s">
        <v>1867</v>
      </c>
      <c r="AK827" s="2" t="s">
        <v>403</v>
      </c>
    </row>
    <row r="828" customFormat="false" ht="15" hidden="false" customHeight="false" outlineLevel="0" collapsed="false">
      <c r="A828" s="9"/>
      <c r="B828" s="2" t="s">
        <v>1868</v>
      </c>
      <c r="C828" s="2"/>
      <c r="D828" s="2" t="s">
        <v>1190</v>
      </c>
      <c r="E828" s="2" t="s">
        <v>1191</v>
      </c>
      <c r="F828" s="2"/>
      <c r="G828" s="2" t="s">
        <v>329</v>
      </c>
      <c r="H828" s="8" t="n">
        <v>351.193725534853</v>
      </c>
      <c r="I828" s="2" t="s">
        <v>316</v>
      </c>
      <c r="J828" s="8" t="n">
        <v>984146.691176471</v>
      </c>
      <c r="K828" s="6" t="n">
        <v>136</v>
      </c>
      <c r="L828" s="2"/>
      <c r="M828" s="10" t="b">
        <f aca="false">FALSE()</f>
        <v>0</v>
      </c>
      <c r="N828" s="9" t="str">
        <f aca="false">IF(H828="","",IF(H828&gt;=Assumptions!$B$5,1,IF(H828&gt;=Assumptions!$B$6,2,IF(H828&gt;=Assumptions!$B$7,3,""))))</f>
        <v/>
      </c>
      <c r="O828" s="9" t="n">
        <f aca="false">IF(N828=1,Assumptions!$B$8,IF(N828=2,Assumptions!$B$9,IF(N828=3,Assumptions!$B$10,0)))</f>
        <v>0</v>
      </c>
      <c r="P828" s="6" t="s">
        <v>30</v>
      </c>
      <c r="Q828" s="6" t="s">
        <v>30</v>
      </c>
      <c r="R828" s="11" t="s">
        <v>30</v>
      </c>
      <c r="S828" s="6" t="s">
        <v>30</v>
      </c>
      <c r="T828" s="11" t="s">
        <v>30</v>
      </c>
      <c r="U828" s="6" t="s">
        <v>30</v>
      </c>
      <c r="V828" s="6" t="s">
        <v>30</v>
      </c>
      <c r="W828" s="6" t="s">
        <v>30</v>
      </c>
      <c r="X828" s="2" t="s">
        <v>30</v>
      </c>
      <c r="Y828" s="6" t="str">
        <f aca="false">IF(AND(X828="processed",ISNUMBER(S828)),S828*O828,"")</f>
        <v/>
      </c>
      <c r="Z828" s="6" t="n">
        <f aca="false">IF(ISNUMBER(K828),K828*O828,0)</f>
        <v>0</v>
      </c>
      <c r="AA828" s="2" t="s">
        <v>31</v>
      </c>
      <c r="AB828" s="6"/>
      <c r="AC828" s="6"/>
      <c r="AD828" s="6"/>
      <c r="AE828" s="6"/>
      <c r="AF828" s="8" t="n">
        <v>332.306200762</v>
      </c>
      <c r="AG828" s="11" t="n">
        <v>-0.08190232674</v>
      </c>
      <c r="AH828" s="12"/>
      <c r="AI828" s="2"/>
      <c r="AJ828" s="2"/>
      <c r="AK828" s="2"/>
    </row>
    <row r="829" customFormat="false" ht="15" hidden="false" customHeight="false" outlineLevel="0" collapsed="false">
      <c r="A829" s="9"/>
      <c r="B829" s="2" t="s">
        <v>1869</v>
      </c>
      <c r="C829" s="2" t="s">
        <v>1870</v>
      </c>
      <c r="D829" s="2" t="s">
        <v>70</v>
      </c>
      <c r="E829" s="2" t="s">
        <v>71</v>
      </c>
      <c r="F829" s="2" t="s">
        <v>1871</v>
      </c>
      <c r="G829" s="2" t="s">
        <v>329</v>
      </c>
      <c r="H829" s="8" t="n">
        <v>482.864275268238</v>
      </c>
      <c r="I829" s="2" t="s">
        <v>316</v>
      </c>
      <c r="J829" s="8" t="n">
        <v>1135104.16666667</v>
      </c>
      <c r="K829" s="6" t="n">
        <v>240</v>
      </c>
      <c r="L829" s="2"/>
      <c r="M829" s="10" t="b">
        <f aca="false">TRUE()</f>
        <v>1</v>
      </c>
      <c r="N829" s="9" t="str">
        <f aca="false">IF(H829="","",IF(H829&gt;=Assumptions!$B$5,1,IF(H829&gt;=Assumptions!$B$6,2,IF(H829&gt;=Assumptions!$B$7,3,""))))</f>
        <v/>
      </c>
      <c r="O829" s="9" t="n">
        <f aca="false">IF(N829=1,Assumptions!$B$8,IF(N829=2,Assumptions!$B$9,IF(N829=3,Assumptions!$B$10,0)))</f>
        <v>0</v>
      </c>
      <c r="P829" s="6" t="s">
        <v>30</v>
      </c>
      <c r="Q829" s="6" t="s">
        <v>30</v>
      </c>
      <c r="R829" s="11" t="s">
        <v>30</v>
      </c>
      <c r="S829" s="6" t="s">
        <v>30</v>
      </c>
      <c r="T829" s="11" t="s">
        <v>30</v>
      </c>
      <c r="U829" s="6" t="s">
        <v>30</v>
      </c>
      <c r="V829" s="6" t="s">
        <v>30</v>
      </c>
      <c r="W829" s="6" t="s">
        <v>30</v>
      </c>
      <c r="X829" s="2" t="s">
        <v>30</v>
      </c>
      <c r="Y829" s="6" t="str">
        <f aca="false">IF(AND(X829="processed",ISNUMBER(S829)),S829*O829,"")</f>
        <v/>
      </c>
      <c r="Z829" s="6" t="n">
        <f aca="false">IF(ISNUMBER(K829),K829*O829,0)</f>
        <v>0</v>
      </c>
      <c r="AA829" s="2" t="s">
        <v>31</v>
      </c>
      <c r="AB829" s="6" t="n">
        <v>15066</v>
      </c>
      <c r="AC829" s="6" t="n">
        <v>10753</v>
      </c>
      <c r="AD829" s="6" t="n">
        <v>732</v>
      </c>
      <c r="AE829" s="6" t="n">
        <v>2696.8916015625</v>
      </c>
      <c r="AF829" s="8" t="n">
        <v>496.528037967</v>
      </c>
      <c r="AG829" s="11" t="n">
        <v>-0.03412230088</v>
      </c>
      <c r="AH829" s="12" t="n">
        <v>0.988705205223176</v>
      </c>
      <c r="AI829" s="2" t="s">
        <v>317</v>
      </c>
      <c r="AJ829" s="2" t="s">
        <v>1870</v>
      </c>
      <c r="AK829" s="2" t="s">
        <v>1872</v>
      </c>
    </row>
    <row r="830" customFormat="false" ht="15" hidden="false" customHeight="false" outlineLevel="0" collapsed="false">
      <c r="A830" s="9"/>
      <c r="B830" s="2" t="s">
        <v>1873</v>
      </c>
      <c r="C830" s="2"/>
      <c r="D830" s="2" t="s">
        <v>1190</v>
      </c>
      <c r="E830" s="2" t="s">
        <v>1191</v>
      </c>
      <c r="F830" s="2"/>
      <c r="G830" s="2" t="s">
        <v>329</v>
      </c>
      <c r="H830" s="8" t="n">
        <v>428.60588384675</v>
      </c>
      <c r="I830" s="2" t="s">
        <v>337</v>
      </c>
      <c r="J830" s="8" t="n">
        <v>610500</v>
      </c>
      <c r="K830" s="6" t="n">
        <v>4</v>
      </c>
      <c r="L830" s="2" t="s">
        <v>1664</v>
      </c>
      <c r="M830" s="10" t="b">
        <f aca="false">FALSE()</f>
        <v>0</v>
      </c>
      <c r="N830" s="9" t="str">
        <f aca="false">IF(H830="","",IF(H830&gt;=Assumptions!$B$5,1,IF(H830&gt;=Assumptions!$B$6,2,IF(H830&gt;=Assumptions!$B$7,3,""))))</f>
        <v/>
      </c>
      <c r="O830" s="9" t="n">
        <f aca="false">IF(N830=1,Assumptions!$B$8,IF(N830=2,Assumptions!$B$9,IF(N830=3,Assumptions!$B$10,0)))</f>
        <v>0</v>
      </c>
      <c r="P830" s="6" t="s">
        <v>30</v>
      </c>
      <c r="Q830" s="6" t="s">
        <v>30</v>
      </c>
      <c r="R830" s="11" t="s">
        <v>30</v>
      </c>
      <c r="S830" s="6" t="s">
        <v>30</v>
      </c>
      <c r="T830" s="11" t="s">
        <v>30</v>
      </c>
      <c r="U830" s="6" t="s">
        <v>30</v>
      </c>
      <c r="V830" s="6" t="s">
        <v>30</v>
      </c>
      <c r="W830" s="6" t="s">
        <v>30</v>
      </c>
      <c r="X830" s="2" t="s">
        <v>30</v>
      </c>
      <c r="Y830" s="6" t="str">
        <f aca="false">IF(AND(X830="processed",ISNUMBER(S830)),S830*O830,"")</f>
        <v/>
      </c>
      <c r="Z830" s="6" t="n">
        <f aca="false">IF(ISNUMBER(K830),K830*O830,0)</f>
        <v>0</v>
      </c>
      <c r="AA830" s="2" t="s">
        <v>31</v>
      </c>
      <c r="AB830" s="6"/>
      <c r="AC830" s="6"/>
      <c r="AD830" s="6"/>
      <c r="AE830" s="6"/>
      <c r="AF830" s="8"/>
      <c r="AG830" s="11"/>
      <c r="AH830" s="12"/>
      <c r="AI830" s="2"/>
      <c r="AJ830" s="2"/>
      <c r="AK830" s="2"/>
    </row>
    <row r="831" customFormat="false" ht="15" hidden="false" customHeight="false" outlineLevel="0" collapsed="false">
      <c r="A831" s="9"/>
      <c r="B831" s="2" t="s">
        <v>1874</v>
      </c>
      <c r="C831" s="2" t="s">
        <v>1875</v>
      </c>
      <c r="D831" s="2" t="s">
        <v>70</v>
      </c>
      <c r="E831" s="2" t="s">
        <v>71</v>
      </c>
      <c r="F831" s="2" t="s">
        <v>1875</v>
      </c>
      <c r="G831" s="2" t="s">
        <v>329</v>
      </c>
      <c r="H831" s="8" t="n">
        <v>444.748052604521</v>
      </c>
      <c r="I831" s="2" t="s">
        <v>316</v>
      </c>
      <c r="J831" s="8" t="n">
        <v>907256.41025641</v>
      </c>
      <c r="K831" s="6" t="n">
        <v>117</v>
      </c>
      <c r="L831" s="2"/>
      <c r="M831" s="10" t="b">
        <f aca="false">TRUE()</f>
        <v>1</v>
      </c>
      <c r="N831" s="9" t="str">
        <f aca="false">IF(H831="","",IF(H831&gt;=Assumptions!$B$5,1,IF(H831&gt;=Assumptions!$B$6,2,IF(H831&gt;=Assumptions!$B$7,3,""))))</f>
        <v/>
      </c>
      <c r="O831" s="9" t="n">
        <f aca="false">IF(N831=1,Assumptions!$B$8,IF(N831=2,Assumptions!$B$9,IF(N831=3,Assumptions!$B$10,0)))</f>
        <v>0</v>
      </c>
      <c r="P831" s="6" t="s">
        <v>30</v>
      </c>
      <c r="Q831" s="6" t="s">
        <v>30</v>
      </c>
      <c r="R831" s="11" t="s">
        <v>30</v>
      </c>
      <c r="S831" s="6" t="s">
        <v>30</v>
      </c>
      <c r="T831" s="11" t="s">
        <v>30</v>
      </c>
      <c r="U831" s="6" t="s">
        <v>30</v>
      </c>
      <c r="V831" s="6" t="s">
        <v>30</v>
      </c>
      <c r="W831" s="6" t="s">
        <v>30</v>
      </c>
      <c r="X831" s="2" t="s">
        <v>30</v>
      </c>
      <c r="Y831" s="6" t="str">
        <f aca="false">IF(AND(X831="processed",ISNUMBER(S831)),S831*O831,"")</f>
        <v/>
      </c>
      <c r="Z831" s="6" t="n">
        <f aca="false">IF(ISNUMBER(K831),K831*O831,0)</f>
        <v>0</v>
      </c>
      <c r="AA831" s="2" t="s">
        <v>31</v>
      </c>
      <c r="AB831" s="6" t="n">
        <v>9812</v>
      </c>
      <c r="AC831" s="6" t="n">
        <v>8425</v>
      </c>
      <c r="AD831" s="6" t="n">
        <v>787</v>
      </c>
      <c r="AE831" s="6" t="n">
        <v>2383.04443359375</v>
      </c>
      <c r="AF831" s="8" t="n">
        <v>427.397665926</v>
      </c>
      <c r="AG831" s="11" t="n">
        <v>-0.1007510262</v>
      </c>
      <c r="AH831" s="12" t="n">
        <v>0.999999999999996</v>
      </c>
      <c r="AI831" s="2" t="s">
        <v>317</v>
      </c>
      <c r="AJ831" s="2" t="s">
        <v>1875</v>
      </c>
      <c r="AK831" s="2" t="s">
        <v>1102</v>
      </c>
    </row>
    <row r="832" customFormat="false" ht="15" hidden="false" customHeight="false" outlineLevel="0" collapsed="false">
      <c r="A832" s="9"/>
      <c r="B832" s="2" t="s">
        <v>1876</v>
      </c>
      <c r="C832" s="2" t="s">
        <v>1176</v>
      </c>
      <c r="D832" s="2" t="s">
        <v>70</v>
      </c>
      <c r="E832" s="2" t="s">
        <v>71</v>
      </c>
      <c r="F832" s="2" t="s">
        <v>1877</v>
      </c>
      <c r="G832" s="2"/>
      <c r="H832" s="8"/>
      <c r="I832" s="2"/>
      <c r="J832" s="8"/>
      <c r="K832" s="6"/>
      <c r="L832" s="2"/>
      <c r="M832" s="10" t="b">
        <f aca="false">TRUE()</f>
        <v>1</v>
      </c>
      <c r="N832" s="9" t="str">
        <f aca="false">IF(H832="","",IF(H832&gt;=Assumptions!$B$5,1,IF(H832&gt;=Assumptions!$B$6,2,IF(H832&gt;=Assumptions!$B$7,3,""))))</f>
        <v/>
      </c>
      <c r="O832" s="9" t="n">
        <f aca="false">IF(N832=1,Assumptions!$B$8,IF(N832=2,Assumptions!$B$9,IF(N832=3,Assumptions!$B$10,0)))</f>
        <v>0</v>
      </c>
      <c r="P832" s="6" t="s">
        <v>30</v>
      </c>
      <c r="Q832" s="6" t="s">
        <v>30</v>
      </c>
      <c r="R832" s="11" t="s">
        <v>30</v>
      </c>
      <c r="S832" s="6" t="s">
        <v>30</v>
      </c>
      <c r="T832" s="11" t="s">
        <v>30</v>
      </c>
      <c r="U832" s="6" t="s">
        <v>30</v>
      </c>
      <c r="V832" s="6" t="s">
        <v>30</v>
      </c>
      <c r="W832" s="6" t="s">
        <v>30</v>
      </c>
      <c r="X832" s="2" t="s">
        <v>30</v>
      </c>
      <c r="Y832" s="6" t="str">
        <f aca="false">IF(AND(X832="processed",ISNUMBER(S832)),S832*O832,"")</f>
        <v/>
      </c>
      <c r="Z832" s="6" t="n">
        <f aca="false">IF(ISNUMBER(K832),K832*O832,0)</f>
        <v>0</v>
      </c>
      <c r="AA832" s="2" t="s">
        <v>31</v>
      </c>
      <c r="AB832" s="6" t="n">
        <v>154</v>
      </c>
      <c r="AC832" s="6" t="n">
        <v>65</v>
      </c>
      <c r="AD832" s="6" t="n">
        <v>8</v>
      </c>
      <c r="AE832" s="6" t="n">
        <v>1868.31335449219</v>
      </c>
      <c r="AF832" s="8"/>
      <c r="AG832" s="11"/>
      <c r="AH832" s="12" t="n">
        <v>1</v>
      </c>
      <c r="AI832" s="2" t="s">
        <v>317</v>
      </c>
      <c r="AJ832" s="2" t="s">
        <v>1176</v>
      </c>
      <c r="AK832" s="2" t="s">
        <v>70</v>
      </c>
    </row>
    <row r="833" customFormat="false" ht="15" hidden="false" customHeight="false" outlineLevel="0" collapsed="false">
      <c r="A833" s="9"/>
      <c r="B833" s="2" t="s">
        <v>1878</v>
      </c>
      <c r="C833" s="2" t="s">
        <v>1102</v>
      </c>
      <c r="D833" s="2" t="s">
        <v>70</v>
      </c>
      <c r="E833" s="2" t="s">
        <v>71</v>
      </c>
      <c r="F833" s="2" t="s">
        <v>1879</v>
      </c>
      <c r="G833" s="2" t="s">
        <v>329</v>
      </c>
      <c r="H833" s="8" t="n">
        <v>430.651095893199</v>
      </c>
      <c r="I833" s="2" t="s">
        <v>316</v>
      </c>
      <c r="J833" s="8" t="n">
        <v>842853.0259366</v>
      </c>
      <c r="K833" s="6" t="n">
        <v>347</v>
      </c>
      <c r="L833" s="2"/>
      <c r="M833" s="10" t="b">
        <f aca="false">TRUE()</f>
        <v>1</v>
      </c>
      <c r="N833" s="9" t="str">
        <f aca="false">IF(H833="","",IF(H833&gt;=Assumptions!$B$5,1,IF(H833&gt;=Assumptions!$B$6,2,IF(H833&gt;=Assumptions!$B$7,3,""))))</f>
        <v/>
      </c>
      <c r="O833" s="9" t="n">
        <f aca="false">IF(N833=1,Assumptions!$B$8,IF(N833=2,Assumptions!$B$9,IF(N833=3,Assumptions!$B$10,0)))</f>
        <v>0</v>
      </c>
      <c r="P833" s="6" t="s">
        <v>30</v>
      </c>
      <c r="Q833" s="6" t="s">
        <v>30</v>
      </c>
      <c r="R833" s="11" t="s">
        <v>30</v>
      </c>
      <c r="S833" s="6" t="s">
        <v>30</v>
      </c>
      <c r="T833" s="11" t="s">
        <v>30</v>
      </c>
      <c r="U833" s="6" t="s">
        <v>30</v>
      </c>
      <c r="V833" s="6" t="s">
        <v>30</v>
      </c>
      <c r="W833" s="6" t="s">
        <v>30</v>
      </c>
      <c r="X833" s="2" t="s">
        <v>30</v>
      </c>
      <c r="Y833" s="6" t="str">
        <f aca="false">IF(AND(X833="processed",ISNUMBER(S833)),S833*O833,"")</f>
        <v/>
      </c>
      <c r="Z833" s="6" t="n">
        <f aca="false">IF(ISNUMBER(K833),K833*O833,0)</f>
        <v>0</v>
      </c>
      <c r="AA833" s="2" t="s">
        <v>31</v>
      </c>
      <c r="AB833" s="6" t="n">
        <v>12677</v>
      </c>
      <c r="AC833" s="6" t="n">
        <v>11766</v>
      </c>
      <c r="AD833" s="6" t="n">
        <v>257</v>
      </c>
      <c r="AE833" s="6" t="n">
        <v>2310.99633789063</v>
      </c>
      <c r="AF833" s="8" t="n">
        <v>436.999365543</v>
      </c>
      <c r="AG833" s="11" t="n">
        <v>-0.01581959181</v>
      </c>
      <c r="AH833" s="12" t="n">
        <v>1</v>
      </c>
      <c r="AI833" s="2" t="s">
        <v>317</v>
      </c>
      <c r="AJ833" s="2" t="s">
        <v>1102</v>
      </c>
      <c r="AK833" s="2" t="s">
        <v>1102</v>
      </c>
    </row>
    <row r="834" customFormat="false" ht="15" hidden="false" customHeight="false" outlineLevel="0" collapsed="false">
      <c r="A834" s="9"/>
      <c r="B834" s="2" t="s">
        <v>1880</v>
      </c>
      <c r="C834" s="2" t="s">
        <v>1881</v>
      </c>
      <c r="D834" s="2" t="s">
        <v>70</v>
      </c>
      <c r="E834" s="2" t="s">
        <v>71</v>
      </c>
      <c r="F834" s="2" t="s">
        <v>1882</v>
      </c>
      <c r="G834" s="2" t="s">
        <v>329</v>
      </c>
      <c r="H834" s="8" t="n">
        <v>449.612112360643</v>
      </c>
      <c r="I834" s="2" t="s">
        <v>316</v>
      </c>
      <c r="J834" s="8" t="n">
        <v>760429.864253394</v>
      </c>
      <c r="K834" s="6" t="n">
        <v>221</v>
      </c>
      <c r="L834" s="2"/>
      <c r="M834" s="10" t="b">
        <f aca="false">TRUE()</f>
        <v>1</v>
      </c>
      <c r="N834" s="9" t="str">
        <f aca="false">IF(H834="","",IF(H834&gt;=Assumptions!$B$5,1,IF(H834&gt;=Assumptions!$B$6,2,IF(H834&gt;=Assumptions!$B$7,3,""))))</f>
        <v/>
      </c>
      <c r="O834" s="9" t="n">
        <f aca="false">IF(N834=1,Assumptions!$B$8,IF(N834=2,Assumptions!$B$9,IF(N834=3,Assumptions!$B$10,0)))</f>
        <v>0</v>
      </c>
      <c r="P834" s="6" t="s">
        <v>30</v>
      </c>
      <c r="Q834" s="6" t="s">
        <v>30</v>
      </c>
      <c r="R834" s="11" t="s">
        <v>30</v>
      </c>
      <c r="S834" s="6" t="s">
        <v>30</v>
      </c>
      <c r="T834" s="11" t="s">
        <v>30</v>
      </c>
      <c r="U834" s="6" t="s">
        <v>30</v>
      </c>
      <c r="V834" s="6" t="s">
        <v>30</v>
      </c>
      <c r="W834" s="6" t="s">
        <v>30</v>
      </c>
      <c r="X834" s="2" t="s">
        <v>30</v>
      </c>
      <c r="Y834" s="6" t="str">
        <f aca="false">IF(AND(X834="processed",ISNUMBER(S834)),S834*O834,"")</f>
        <v/>
      </c>
      <c r="Z834" s="6" t="n">
        <f aca="false">IF(ISNUMBER(K834),K834*O834,0)</f>
        <v>0</v>
      </c>
      <c r="AA834" s="2" t="s">
        <v>31</v>
      </c>
      <c r="AB834" s="6" t="n">
        <v>11019</v>
      </c>
      <c r="AC834" s="6" t="n">
        <v>10271</v>
      </c>
      <c r="AD834" s="6" t="n">
        <v>232</v>
      </c>
      <c r="AE834" s="6" t="n">
        <v>2186.20458984375</v>
      </c>
      <c r="AF834" s="8" t="n">
        <v>445.969238929</v>
      </c>
      <c r="AG834" s="11" t="n">
        <v>0.001663413457</v>
      </c>
      <c r="AH834" s="12" t="n">
        <v>1</v>
      </c>
      <c r="AI834" s="2" t="s">
        <v>317</v>
      </c>
      <c r="AJ834" s="2" t="s">
        <v>1881</v>
      </c>
      <c r="AK834" s="2" t="s">
        <v>1102</v>
      </c>
    </row>
    <row r="835" customFormat="false" ht="15" hidden="false" customHeight="false" outlineLevel="0" collapsed="false">
      <c r="A835" s="9"/>
      <c r="B835" s="2" t="s">
        <v>1883</v>
      </c>
      <c r="C835" s="2" t="s">
        <v>1100</v>
      </c>
      <c r="D835" s="2" t="s">
        <v>70</v>
      </c>
      <c r="E835" s="2" t="s">
        <v>71</v>
      </c>
      <c r="F835" s="2" t="s">
        <v>1884</v>
      </c>
      <c r="G835" s="2" t="s">
        <v>329</v>
      </c>
      <c r="H835" s="8" t="n">
        <v>396.338599175518</v>
      </c>
      <c r="I835" s="2" t="s">
        <v>316</v>
      </c>
      <c r="J835" s="8" t="n">
        <v>908969.605263158</v>
      </c>
      <c r="K835" s="6" t="n">
        <v>380</v>
      </c>
      <c r="L835" s="2"/>
      <c r="M835" s="10" t="b">
        <f aca="false">TRUE()</f>
        <v>1</v>
      </c>
      <c r="N835" s="9" t="str">
        <f aca="false">IF(H835="","",IF(H835&gt;=Assumptions!$B$5,1,IF(H835&gt;=Assumptions!$B$6,2,IF(H835&gt;=Assumptions!$B$7,3,""))))</f>
        <v/>
      </c>
      <c r="O835" s="9" t="n">
        <f aca="false">IF(N835=1,Assumptions!$B$8,IF(N835=2,Assumptions!$B$9,IF(N835=3,Assumptions!$B$10,0)))</f>
        <v>0</v>
      </c>
      <c r="P835" s="6" t="s">
        <v>30</v>
      </c>
      <c r="Q835" s="6" t="s">
        <v>30</v>
      </c>
      <c r="R835" s="11" t="s">
        <v>30</v>
      </c>
      <c r="S835" s="6" t="s">
        <v>30</v>
      </c>
      <c r="T835" s="11" t="s">
        <v>30</v>
      </c>
      <c r="U835" s="6" t="s">
        <v>30</v>
      </c>
      <c r="V835" s="6" t="s">
        <v>30</v>
      </c>
      <c r="W835" s="6" t="s">
        <v>30</v>
      </c>
      <c r="X835" s="2" t="s">
        <v>30</v>
      </c>
      <c r="Y835" s="6" t="str">
        <f aca="false">IF(AND(X835="processed",ISNUMBER(S835)),S835*O835,"")</f>
        <v/>
      </c>
      <c r="Z835" s="6" t="n">
        <f aca="false">IF(ISNUMBER(K835),K835*O835,0)</f>
        <v>0</v>
      </c>
      <c r="AA835" s="2" t="s">
        <v>31</v>
      </c>
      <c r="AB835" s="6" t="n">
        <v>9350</v>
      </c>
      <c r="AC835" s="6" t="n">
        <v>8971</v>
      </c>
      <c r="AD835" s="6" t="n">
        <v>489</v>
      </c>
      <c r="AE835" s="6" t="n">
        <v>2273.3974609375</v>
      </c>
      <c r="AF835" s="8" t="n">
        <v>376.671826625</v>
      </c>
      <c r="AG835" s="11" t="n">
        <v>-0.07494894018</v>
      </c>
      <c r="AH835" s="12" t="n">
        <v>0.999999999999999</v>
      </c>
      <c r="AI835" s="2" t="s">
        <v>317</v>
      </c>
      <c r="AJ835" s="2" t="s">
        <v>1100</v>
      </c>
      <c r="AK835" s="2" t="s">
        <v>1102</v>
      </c>
    </row>
    <row r="836" customFormat="false" ht="15" hidden="false" customHeight="false" outlineLevel="0" collapsed="false">
      <c r="A836" s="9"/>
      <c r="B836" s="2" t="s">
        <v>1885</v>
      </c>
      <c r="C836" s="2" t="s">
        <v>70</v>
      </c>
      <c r="D836" s="2" t="s">
        <v>70</v>
      </c>
      <c r="E836" s="2" t="s">
        <v>71</v>
      </c>
      <c r="F836" s="2"/>
      <c r="G836" s="2"/>
      <c r="H836" s="8"/>
      <c r="I836" s="2"/>
      <c r="J836" s="8"/>
      <c r="K836" s="6"/>
      <c r="L836" s="2"/>
      <c r="M836" s="10" t="b">
        <f aca="false">TRUE()</f>
        <v>1</v>
      </c>
      <c r="N836" s="9" t="str">
        <f aca="false">IF(H836="","",IF(H836&gt;=Assumptions!$B$5,1,IF(H836&gt;=Assumptions!$B$6,2,IF(H836&gt;=Assumptions!$B$7,3,""))))</f>
        <v/>
      </c>
      <c r="O836" s="9" t="n">
        <f aca="false">IF(N836=1,Assumptions!$B$8,IF(N836=2,Assumptions!$B$9,IF(N836=3,Assumptions!$B$10,0)))</f>
        <v>0</v>
      </c>
      <c r="P836" s="6" t="s">
        <v>30</v>
      </c>
      <c r="Q836" s="6" t="s">
        <v>30</v>
      </c>
      <c r="R836" s="11" t="s">
        <v>30</v>
      </c>
      <c r="S836" s="6" t="s">
        <v>30</v>
      </c>
      <c r="T836" s="11" t="s">
        <v>30</v>
      </c>
      <c r="U836" s="6" t="s">
        <v>30</v>
      </c>
      <c r="V836" s="6" t="s">
        <v>30</v>
      </c>
      <c r="W836" s="6" t="s">
        <v>30</v>
      </c>
      <c r="X836" s="2" t="s">
        <v>30</v>
      </c>
      <c r="Y836" s="6" t="str">
        <f aca="false">IF(AND(X836="processed",ISNUMBER(S836)),S836*O836,"")</f>
        <v/>
      </c>
      <c r="Z836" s="6" t="n">
        <f aca="false">IF(ISNUMBER(K836),K836*O836,0)</f>
        <v>0</v>
      </c>
      <c r="AA836" s="2" t="s">
        <v>31</v>
      </c>
      <c r="AB836" s="6" t="n">
        <v>121</v>
      </c>
      <c r="AC836" s="6" t="n">
        <v>59</v>
      </c>
      <c r="AD836" s="6" t="n">
        <v>3</v>
      </c>
      <c r="AE836" s="6" t="n">
        <v>1643.12731933594</v>
      </c>
      <c r="AF836" s="8"/>
      <c r="AG836" s="11"/>
      <c r="AH836" s="12" t="n">
        <v>1</v>
      </c>
      <c r="AI836" s="2" t="s">
        <v>319</v>
      </c>
      <c r="AJ836" s="2"/>
      <c r="AK836" s="2" t="s">
        <v>70</v>
      </c>
    </row>
    <row r="837" customFormat="false" ht="15" hidden="false" customHeight="false" outlineLevel="0" collapsed="false">
      <c r="A837" s="9"/>
      <c r="B837" s="2" t="s">
        <v>1886</v>
      </c>
      <c r="C837" s="2" t="s">
        <v>1887</v>
      </c>
      <c r="D837" s="2" t="s">
        <v>70</v>
      </c>
      <c r="E837" s="2" t="s">
        <v>71</v>
      </c>
      <c r="F837" s="2" t="s">
        <v>1888</v>
      </c>
      <c r="G837" s="2" t="s">
        <v>329</v>
      </c>
      <c r="H837" s="8" t="n">
        <v>431.155720891583</v>
      </c>
      <c r="I837" s="2" t="s">
        <v>316</v>
      </c>
      <c r="J837" s="8" t="n">
        <v>1230051.42857143</v>
      </c>
      <c r="K837" s="6" t="n">
        <v>175</v>
      </c>
      <c r="L837" s="2"/>
      <c r="M837" s="10" t="b">
        <f aca="false">TRUE()</f>
        <v>1</v>
      </c>
      <c r="N837" s="9" t="str">
        <f aca="false">IF(H837="","",IF(H837&gt;=Assumptions!$B$5,1,IF(H837&gt;=Assumptions!$B$6,2,IF(H837&gt;=Assumptions!$B$7,3,""))))</f>
        <v/>
      </c>
      <c r="O837" s="9" t="n">
        <f aca="false">IF(N837=1,Assumptions!$B$8,IF(N837=2,Assumptions!$B$9,IF(N837=3,Assumptions!$B$10,0)))</f>
        <v>0</v>
      </c>
      <c r="P837" s="6" t="s">
        <v>30</v>
      </c>
      <c r="Q837" s="6" t="s">
        <v>30</v>
      </c>
      <c r="R837" s="11" t="s">
        <v>30</v>
      </c>
      <c r="S837" s="6" t="s">
        <v>30</v>
      </c>
      <c r="T837" s="11" t="s">
        <v>30</v>
      </c>
      <c r="U837" s="6" t="s">
        <v>30</v>
      </c>
      <c r="V837" s="6" t="s">
        <v>30</v>
      </c>
      <c r="W837" s="6" t="s">
        <v>30</v>
      </c>
      <c r="X837" s="2" t="s">
        <v>30</v>
      </c>
      <c r="Y837" s="6" t="str">
        <f aca="false">IF(AND(X837="processed",ISNUMBER(S837)),S837*O837,"")</f>
        <v/>
      </c>
      <c r="Z837" s="6" t="n">
        <f aca="false">IF(ISNUMBER(K837),K837*O837,0)</f>
        <v>0</v>
      </c>
      <c r="AA837" s="2" t="s">
        <v>31</v>
      </c>
      <c r="AB837" s="6" t="n">
        <v>5854</v>
      </c>
      <c r="AC837" s="6" t="n">
        <v>5378</v>
      </c>
      <c r="AD837" s="6" t="n">
        <v>599</v>
      </c>
      <c r="AE837" s="6" t="n">
        <v>2530.55517578125</v>
      </c>
      <c r="AF837" s="8" t="n">
        <v>440.534642662</v>
      </c>
      <c r="AG837" s="11" t="n">
        <v>-0.00289253394</v>
      </c>
      <c r="AH837" s="12" t="n">
        <v>0.999318337471278</v>
      </c>
      <c r="AI837" s="2" t="s">
        <v>317</v>
      </c>
      <c r="AJ837" s="2" t="s">
        <v>1887</v>
      </c>
      <c r="AK837" s="2" t="s">
        <v>1872</v>
      </c>
    </row>
    <row r="838" customFormat="false" ht="15" hidden="false" customHeight="false" outlineLevel="0" collapsed="false">
      <c r="A838" s="9"/>
      <c r="B838" s="2" t="s">
        <v>1889</v>
      </c>
      <c r="C838" s="2"/>
      <c r="D838" s="2" t="s">
        <v>1190</v>
      </c>
      <c r="E838" s="2" t="s">
        <v>1191</v>
      </c>
      <c r="F838" s="2"/>
      <c r="G838" s="2" t="s">
        <v>329</v>
      </c>
      <c r="H838" s="8" t="n">
        <v>476.350896764688</v>
      </c>
      <c r="I838" s="2" t="s">
        <v>316</v>
      </c>
      <c r="J838" s="8" t="n">
        <v>1125250</v>
      </c>
      <c r="K838" s="6" t="n">
        <v>16</v>
      </c>
      <c r="L838" s="2"/>
      <c r="M838" s="10" t="b">
        <f aca="false">FALSE()</f>
        <v>0</v>
      </c>
      <c r="N838" s="9" t="str">
        <f aca="false">IF(H838="","",IF(H838&gt;=Assumptions!$B$5,1,IF(H838&gt;=Assumptions!$B$6,2,IF(H838&gt;=Assumptions!$B$7,3,""))))</f>
        <v/>
      </c>
      <c r="O838" s="9" t="n">
        <f aca="false">IF(N838=1,Assumptions!$B$8,IF(N838=2,Assumptions!$B$9,IF(N838=3,Assumptions!$B$10,0)))</f>
        <v>0</v>
      </c>
      <c r="P838" s="6" t="s">
        <v>30</v>
      </c>
      <c r="Q838" s="6" t="s">
        <v>30</v>
      </c>
      <c r="R838" s="11" t="s">
        <v>30</v>
      </c>
      <c r="S838" s="6" t="s">
        <v>30</v>
      </c>
      <c r="T838" s="11" t="s">
        <v>30</v>
      </c>
      <c r="U838" s="6" t="s">
        <v>30</v>
      </c>
      <c r="V838" s="6" t="s">
        <v>30</v>
      </c>
      <c r="W838" s="6" t="s">
        <v>30</v>
      </c>
      <c r="X838" s="2" t="s">
        <v>30</v>
      </c>
      <c r="Y838" s="6" t="str">
        <f aca="false">IF(AND(X838="processed",ISNUMBER(S838)),S838*O838,"")</f>
        <v/>
      </c>
      <c r="Z838" s="6" t="n">
        <f aca="false">IF(ISNUMBER(K838),K838*O838,0)</f>
        <v>0</v>
      </c>
      <c r="AA838" s="2" t="s">
        <v>31</v>
      </c>
      <c r="AB838" s="6"/>
      <c r="AC838" s="6"/>
      <c r="AD838" s="6"/>
      <c r="AE838" s="6"/>
      <c r="AF838" s="8" t="n">
        <v>386.444963071</v>
      </c>
      <c r="AG838" s="11" t="n">
        <v>-0.1982530806</v>
      </c>
      <c r="AH838" s="12"/>
      <c r="AI838" s="2"/>
      <c r="AJ838" s="2"/>
      <c r="AK838" s="2"/>
    </row>
    <row r="839" customFormat="false" ht="15" hidden="false" customHeight="false" outlineLevel="0" collapsed="false">
      <c r="A839" s="9"/>
      <c r="B839" s="2" t="s">
        <v>1890</v>
      </c>
      <c r="C839" s="2" t="s">
        <v>1891</v>
      </c>
      <c r="D839" s="2" t="s">
        <v>70</v>
      </c>
      <c r="E839" s="2" t="s">
        <v>71</v>
      </c>
      <c r="F839" s="2" t="s">
        <v>1892</v>
      </c>
      <c r="G839" s="2" t="s">
        <v>329</v>
      </c>
      <c r="H839" s="8" t="n">
        <v>411.946828061848</v>
      </c>
      <c r="I839" s="2" t="s">
        <v>316</v>
      </c>
      <c r="J839" s="8" t="n">
        <v>810191.964285714</v>
      </c>
      <c r="K839" s="6" t="n">
        <v>224</v>
      </c>
      <c r="L839" s="2"/>
      <c r="M839" s="10" t="b">
        <f aca="false">TRUE()</f>
        <v>1</v>
      </c>
      <c r="N839" s="9" t="str">
        <f aca="false">IF(H839="","",IF(H839&gt;=Assumptions!$B$5,1,IF(H839&gt;=Assumptions!$B$6,2,IF(H839&gt;=Assumptions!$B$7,3,""))))</f>
        <v/>
      </c>
      <c r="O839" s="9" t="n">
        <f aca="false">IF(N839=1,Assumptions!$B$8,IF(N839=2,Assumptions!$B$9,IF(N839=3,Assumptions!$B$10,0)))</f>
        <v>0</v>
      </c>
      <c r="P839" s="6" t="s">
        <v>30</v>
      </c>
      <c r="Q839" s="6" t="s">
        <v>30</v>
      </c>
      <c r="R839" s="11" t="s">
        <v>30</v>
      </c>
      <c r="S839" s="6" t="s">
        <v>30</v>
      </c>
      <c r="T839" s="11" t="s">
        <v>30</v>
      </c>
      <c r="U839" s="6" t="s">
        <v>30</v>
      </c>
      <c r="V839" s="6" t="s">
        <v>30</v>
      </c>
      <c r="W839" s="6" t="s">
        <v>30</v>
      </c>
      <c r="X839" s="2" t="s">
        <v>30</v>
      </c>
      <c r="Y839" s="6" t="str">
        <f aca="false">IF(AND(X839="processed",ISNUMBER(S839)),S839*O839,"")</f>
        <v/>
      </c>
      <c r="Z839" s="6" t="n">
        <f aca="false">IF(ISNUMBER(K839),K839*O839,0)</f>
        <v>0</v>
      </c>
      <c r="AA839" s="2" t="s">
        <v>31</v>
      </c>
      <c r="AB839" s="6" t="n">
        <v>8633</v>
      </c>
      <c r="AC839" s="6" t="n">
        <v>7829</v>
      </c>
      <c r="AD839" s="6" t="n">
        <v>308</v>
      </c>
      <c r="AE839" s="6" t="n">
        <v>2141.22900390625</v>
      </c>
      <c r="AF839" s="8" t="n">
        <v>439.257028112</v>
      </c>
      <c r="AG839" s="11" t="n">
        <v>0.03809224239</v>
      </c>
      <c r="AH839" s="12" t="n">
        <v>0.999446716361463</v>
      </c>
      <c r="AI839" s="2" t="s">
        <v>317</v>
      </c>
      <c r="AJ839" s="2" t="s">
        <v>1891</v>
      </c>
      <c r="AK839" s="2" t="s">
        <v>1102</v>
      </c>
    </row>
    <row r="840" customFormat="false" ht="15" hidden="false" customHeight="false" outlineLevel="0" collapsed="false">
      <c r="A840" s="9"/>
      <c r="B840" s="2" t="s">
        <v>1893</v>
      </c>
      <c r="C840" s="2" t="s">
        <v>1881</v>
      </c>
      <c r="D840" s="2" t="s">
        <v>70</v>
      </c>
      <c r="E840" s="2" t="s">
        <v>71</v>
      </c>
      <c r="F840" s="2" t="s">
        <v>1894</v>
      </c>
      <c r="G840" s="2" t="s">
        <v>329</v>
      </c>
      <c r="H840" s="8" t="n">
        <v>412.744865869404</v>
      </c>
      <c r="I840" s="2" t="s">
        <v>316</v>
      </c>
      <c r="J840" s="8" t="n">
        <v>939865.470852018</v>
      </c>
      <c r="K840" s="6" t="n">
        <v>223</v>
      </c>
      <c r="L840" s="2"/>
      <c r="M840" s="10" t="b">
        <f aca="false">TRUE()</f>
        <v>1</v>
      </c>
      <c r="N840" s="9" t="str">
        <f aca="false">IF(H840="","",IF(H840&gt;=Assumptions!$B$5,1,IF(H840&gt;=Assumptions!$B$6,2,IF(H840&gt;=Assumptions!$B$7,3,""))))</f>
        <v/>
      </c>
      <c r="O840" s="9" t="n">
        <f aca="false">IF(N840=1,Assumptions!$B$8,IF(N840=2,Assumptions!$B$9,IF(N840=3,Assumptions!$B$10,0)))</f>
        <v>0</v>
      </c>
      <c r="P840" s="6" t="s">
        <v>30</v>
      </c>
      <c r="Q840" s="6" t="s">
        <v>30</v>
      </c>
      <c r="R840" s="11" t="s">
        <v>30</v>
      </c>
      <c r="S840" s="6" t="s">
        <v>30</v>
      </c>
      <c r="T840" s="11" t="s">
        <v>30</v>
      </c>
      <c r="U840" s="6" t="s">
        <v>30</v>
      </c>
      <c r="V840" s="6" t="s">
        <v>30</v>
      </c>
      <c r="W840" s="6" t="s">
        <v>30</v>
      </c>
      <c r="X840" s="2" t="s">
        <v>30</v>
      </c>
      <c r="Y840" s="6" t="str">
        <f aca="false">IF(AND(X840="processed",ISNUMBER(S840)),S840*O840,"")</f>
        <v/>
      </c>
      <c r="Z840" s="6" t="n">
        <f aca="false">IF(ISNUMBER(K840),K840*O840,0)</f>
        <v>0</v>
      </c>
      <c r="AA840" s="2" t="s">
        <v>31</v>
      </c>
      <c r="AB840" s="6" t="n">
        <v>11000</v>
      </c>
      <c r="AC840" s="6" t="n">
        <v>9850</v>
      </c>
      <c r="AD840" s="6" t="n">
        <v>497</v>
      </c>
      <c r="AE840" s="6" t="n">
        <v>2419.98583984375</v>
      </c>
      <c r="AF840" s="8" t="n">
        <v>415.742793792</v>
      </c>
      <c r="AG840" s="11" t="n">
        <v>-0.06290115533</v>
      </c>
      <c r="AH840" s="12" t="n">
        <v>0.999999999999998</v>
      </c>
      <c r="AI840" s="2" t="s">
        <v>317</v>
      </c>
      <c r="AJ840" s="2" t="s">
        <v>1881</v>
      </c>
      <c r="AK840" s="2" t="s">
        <v>1102</v>
      </c>
    </row>
    <row r="841" customFormat="false" ht="15" hidden="false" customHeight="false" outlineLevel="0" collapsed="false">
      <c r="A841" s="9"/>
      <c r="B841" s="2" t="s">
        <v>1895</v>
      </c>
      <c r="C841" s="2" t="s">
        <v>1102</v>
      </c>
      <c r="D841" s="2" t="s">
        <v>70</v>
      </c>
      <c r="E841" s="2" t="s">
        <v>71</v>
      </c>
      <c r="F841" s="2"/>
      <c r="G841" s="2" t="s">
        <v>329</v>
      </c>
      <c r="H841" s="8" t="n">
        <v>387.107530826297</v>
      </c>
      <c r="I841" s="2" t="s">
        <v>316</v>
      </c>
      <c r="J841" s="8" t="n">
        <v>933972.527472528</v>
      </c>
      <c r="K841" s="6" t="n">
        <v>182</v>
      </c>
      <c r="L841" s="2"/>
      <c r="M841" s="10" t="b">
        <f aca="false">TRUE()</f>
        <v>1</v>
      </c>
      <c r="N841" s="9" t="str">
        <f aca="false">IF(H841="","",IF(H841&gt;=Assumptions!$B$5,1,IF(H841&gt;=Assumptions!$B$6,2,IF(H841&gt;=Assumptions!$B$7,3,""))))</f>
        <v/>
      </c>
      <c r="O841" s="9" t="n">
        <f aca="false">IF(N841=1,Assumptions!$B$8,IF(N841=2,Assumptions!$B$9,IF(N841=3,Assumptions!$B$10,0)))</f>
        <v>0</v>
      </c>
      <c r="P841" s="6" t="s">
        <v>30</v>
      </c>
      <c r="Q841" s="6" t="s">
        <v>30</v>
      </c>
      <c r="R841" s="11" t="s">
        <v>30</v>
      </c>
      <c r="S841" s="6" t="s">
        <v>30</v>
      </c>
      <c r="T841" s="11" t="s">
        <v>30</v>
      </c>
      <c r="U841" s="6" t="s">
        <v>30</v>
      </c>
      <c r="V841" s="6" t="s">
        <v>30</v>
      </c>
      <c r="W841" s="6" t="s">
        <v>30</v>
      </c>
      <c r="X841" s="2" t="s">
        <v>30</v>
      </c>
      <c r="Y841" s="6" t="str">
        <f aca="false">IF(AND(X841="processed",ISNUMBER(S841)),S841*O841,"")</f>
        <v/>
      </c>
      <c r="Z841" s="6" t="n">
        <f aca="false">IF(ISNUMBER(K841),K841*O841,0)</f>
        <v>0</v>
      </c>
      <c r="AA841" s="2" t="s">
        <v>31</v>
      </c>
      <c r="AB841" s="6" t="n">
        <v>10409</v>
      </c>
      <c r="AC841" s="6" t="n">
        <v>8576</v>
      </c>
      <c r="AD841" s="6" t="n">
        <v>671</v>
      </c>
      <c r="AE841" s="6" t="n">
        <v>2260.65478515625</v>
      </c>
      <c r="AF841" s="8" t="n">
        <v>362.784079835</v>
      </c>
      <c r="AG841" s="11" t="n">
        <v>-0.04801668726</v>
      </c>
      <c r="AH841" s="12" t="n">
        <v>1</v>
      </c>
      <c r="AI841" s="2" t="s">
        <v>317</v>
      </c>
      <c r="AJ841" s="2" t="s">
        <v>1102</v>
      </c>
      <c r="AK841" s="2" t="s">
        <v>1102</v>
      </c>
    </row>
    <row r="842" customFormat="false" ht="15" hidden="false" customHeight="false" outlineLevel="0" collapsed="false">
      <c r="A842" s="9"/>
      <c r="B842" s="2" t="s">
        <v>1896</v>
      </c>
      <c r="C842" s="2"/>
      <c r="D842" s="2" t="s">
        <v>1190</v>
      </c>
      <c r="E842" s="2" t="s">
        <v>1191</v>
      </c>
      <c r="F842" s="2"/>
      <c r="G842" s="2" t="s">
        <v>329</v>
      </c>
      <c r="H842" s="8" t="n">
        <v>397.727272727</v>
      </c>
      <c r="I842" s="2" t="s">
        <v>316</v>
      </c>
      <c r="J842" s="8" t="n">
        <v>910000</v>
      </c>
      <c r="K842" s="6" t="n">
        <v>1</v>
      </c>
      <c r="L842" s="2" t="s">
        <v>1664</v>
      </c>
      <c r="M842" s="10" t="b">
        <f aca="false">FALSE()</f>
        <v>0</v>
      </c>
      <c r="N842" s="9" t="str">
        <f aca="false">IF(H842="","",IF(H842&gt;=Assumptions!$B$5,1,IF(H842&gt;=Assumptions!$B$6,2,IF(H842&gt;=Assumptions!$B$7,3,""))))</f>
        <v/>
      </c>
      <c r="O842" s="9" t="n">
        <f aca="false">IF(N842=1,Assumptions!$B$8,IF(N842=2,Assumptions!$B$9,IF(N842=3,Assumptions!$B$10,0)))</f>
        <v>0</v>
      </c>
      <c r="P842" s="6" t="s">
        <v>30</v>
      </c>
      <c r="Q842" s="6" t="s">
        <v>30</v>
      </c>
      <c r="R842" s="11" t="s">
        <v>30</v>
      </c>
      <c r="S842" s="6" t="s">
        <v>30</v>
      </c>
      <c r="T842" s="11" t="s">
        <v>30</v>
      </c>
      <c r="U842" s="6" t="s">
        <v>30</v>
      </c>
      <c r="V842" s="6" t="s">
        <v>30</v>
      </c>
      <c r="W842" s="6" t="s">
        <v>30</v>
      </c>
      <c r="X842" s="2" t="s">
        <v>30</v>
      </c>
      <c r="Y842" s="6" t="str">
        <f aca="false">IF(AND(X842="processed",ISNUMBER(S842)),S842*O842,"")</f>
        <v/>
      </c>
      <c r="Z842" s="6" t="n">
        <f aca="false">IF(ISNUMBER(K842),K842*O842,0)</f>
        <v>0</v>
      </c>
      <c r="AA842" s="2" t="s">
        <v>31</v>
      </c>
      <c r="AB842" s="6"/>
      <c r="AC842" s="6"/>
      <c r="AD842" s="6"/>
      <c r="AE842" s="6"/>
      <c r="AF842" s="8" t="n">
        <v>397.727272727</v>
      </c>
      <c r="AG842" s="11"/>
      <c r="AH842" s="12"/>
      <c r="AI842" s="2"/>
      <c r="AJ842" s="2"/>
      <c r="AK842" s="2"/>
    </row>
    <row r="843" customFormat="false" ht="15" hidden="false" customHeight="false" outlineLevel="0" collapsed="false">
      <c r="A843" s="9"/>
      <c r="B843" s="2" t="s">
        <v>1897</v>
      </c>
      <c r="C843" s="2" t="s">
        <v>1898</v>
      </c>
      <c r="D843" s="2" t="s">
        <v>70</v>
      </c>
      <c r="E843" s="2" t="s">
        <v>71</v>
      </c>
      <c r="F843" s="2" t="s">
        <v>1898</v>
      </c>
      <c r="G843" s="2"/>
      <c r="H843" s="8"/>
      <c r="I843" s="2"/>
      <c r="J843" s="8"/>
      <c r="K843" s="6"/>
      <c r="L843" s="2"/>
      <c r="M843" s="10" t="b">
        <f aca="false">TRUE()</f>
        <v>1</v>
      </c>
      <c r="N843" s="9" t="str">
        <f aca="false">IF(H843="","",IF(H843&gt;=Assumptions!$B$5,1,IF(H843&gt;=Assumptions!$B$6,2,IF(H843&gt;=Assumptions!$B$7,3,""))))</f>
        <v/>
      </c>
      <c r="O843" s="9" t="n">
        <f aca="false">IF(N843=1,Assumptions!$B$8,IF(N843=2,Assumptions!$B$9,IF(N843=3,Assumptions!$B$10,0)))</f>
        <v>0</v>
      </c>
      <c r="P843" s="6" t="s">
        <v>30</v>
      </c>
      <c r="Q843" s="6" t="s">
        <v>30</v>
      </c>
      <c r="R843" s="11" t="s">
        <v>30</v>
      </c>
      <c r="S843" s="6" t="s">
        <v>30</v>
      </c>
      <c r="T843" s="11" t="s">
        <v>30</v>
      </c>
      <c r="U843" s="6" t="s">
        <v>30</v>
      </c>
      <c r="V843" s="6" t="s">
        <v>30</v>
      </c>
      <c r="W843" s="6" t="s">
        <v>30</v>
      </c>
      <c r="X843" s="2" t="s">
        <v>30</v>
      </c>
      <c r="Y843" s="6" t="str">
        <f aca="false">IF(AND(X843="processed",ISNUMBER(S843)),S843*O843,"")</f>
        <v/>
      </c>
      <c r="Z843" s="6" t="n">
        <f aca="false">IF(ISNUMBER(K843),K843*O843,0)</f>
        <v>0</v>
      </c>
      <c r="AA843" s="2" t="s">
        <v>31</v>
      </c>
      <c r="AB843" s="6" t="n">
        <v>500</v>
      </c>
      <c r="AC843" s="6" t="n">
        <v>234</v>
      </c>
      <c r="AD843" s="6" t="n">
        <v>19</v>
      </c>
      <c r="AE843" s="6" t="n">
        <v>1721.67651367188</v>
      </c>
      <c r="AF843" s="8"/>
      <c r="AG843" s="11"/>
      <c r="AH843" s="12" t="n">
        <v>1</v>
      </c>
      <c r="AI843" s="2" t="s">
        <v>317</v>
      </c>
      <c r="AJ843" s="2" t="s">
        <v>1898</v>
      </c>
      <c r="AK843" s="2" t="s">
        <v>1898</v>
      </c>
    </row>
    <row r="844" customFormat="false" ht="15" hidden="false" customHeight="false" outlineLevel="0" collapsed="false">
      <c r="A844" s="9"/>
      <c r="B844" s="2" t="s">
        <v>1899</v>
      </c>
      <c r="C844" s="2"/>
      <c r="D844" s="2" t="s">
        <v>1190</v>
      </c>
      <c r="E844" s="2" t="s">
        <v>1191</v>
      </c>
      <c r="F844" s="2"/>
      <c r="G844" s="2" t="s">
        <v>329</v>
      </c>
      <c r="H844" s="8" t="n">
        <v>448.818897638</v>
      </c>
      <c r="I844" s="2" t="s">
        <v>316</v>
      </c>
      <c r="J844" s="8" t="n">
        <v>969000</v>
      </c>
      <c r="K844" s="6" t="n">
        <v>2</v>
      </c>
      <c r="L844" s="2" t="s">
        <v>1664</v>
      </c>
      <c r="M844" s="10" t="b">
        <f aca="false">FALSE()</f>
        <v>0</v>
      </c>
      <c r="N844" s="9" t="str">
        <f aca="false">IF(H844="","",IF(H844&gt;=Assumptions!$B$5,1,IF(H844&gt;=Assumptions!$B$6,2,IF(H844&gt;=Assumptions!$B$7,3,""))))</f>
        <v/>
      </c>
      <c r="O844" s="9" t="n">
        <f aca="false">IF(N844=1,Assumptions!$B$8,IF(N844=2,Assumptions!$B$9,IF(N844=3,Assumptions!$B$10,0)))</f>
        <v>0</v>
      </c>
      <c r="P844" s="6" t="s">
        <v>30</v>
      </c>
      <c r="Q844" s="6" t="s">
        <v>30</v>
      </c>
      <c r="R844" s="11" t="s">
        <v>30</v>
      </c>
      <c r="S844" s="6" t="s">
        <v>30</v>
      </c>
      <c r="T844" s="11" t="s">
        <v>30</v>
      </c>
      <c r="U844" s="6" t="s">
        <v>30</v>
      </c>
      <c r="V844" s="6" t="s">
        <v>30</v>
      </c>
      <c r="W844" s="6" t="s">
        <v>30</v>
      </c>
      <c r="X844" s="2" t="s">
        <v>30</v>
      </c>
      <c r="Y844" s="6" t="str">
        <f aca="false">IF(AND(X844="processed",ISNUMBER(S844)),S844*O844,"")</f>
        <v/>
      </c>
      <c r="Z844" s="6" t="n">
        <f aca="false">IF(ISNUMBER(K844),K844*O844,0)</f>
        <v>0</v>
      </c>
      <c r="AA844" s="2" t="s">
        <v>31</v>
      </c>
      <c r="AB844" s="6"/>
      <c r="AC844" s="6"/>
      <c r="AD844" s="6"/>
      <c r="AE844" s="6"/>
      <c r="AF844" s="8" t="n">
        <v>448.818897638</v>
      </c>
      <c r="AG844" s="11"/>
      <c r="AH844" s="12"/>
      <c r="AI844" s="2"/>
      <c r="AJ844" s="2"/>
      <c r="AK844" s="2"/>
    </row>
    <row r="845" customFormat="false" ht="15" hidden="false" customHeight="false" outlineLevel="0" collapsed="false">
      <c r="A845" s="9"/>
      <c r="B845" s="2" t="s">
        <v>1900</v>
      </c>
      <c r="C845" s="2" t="s">
        <v>1901</v>
      </c>
      <c r="D845" s="2" t="s">
        <v>524</v>
      </c>
      <c r="E845" s="2" t="s">
        <v>456</v>
      </c>
      <c r="F845" s="2"/>
      <c r="G845" s="2" t="s">
        <v>458</v>
      </c>
      <c r="H845" s="8" t="n">
        <v>460.878586376297</v>
      </c>
      <c r="I845" s="2" t="s">
        <v>316</v>
      </c>
      <c r="J845" s="8" t="n">
        <v>852336.956521739</v>
      </c>
      <c r="K845" s="6" t="n">
        <v>276</v>
      </c>
      <c r="L845" s="2"/>
      <c r="M845" s="10" t="b">
        <f aca="false">TRUE()</f>
        <v>1</v>
      </c>
      <c r="N845" s="9" t="str">
        <f aca="false">IF(H845="","",IF(H845&gt;=Assumptions!$B$5,1,IF(H845&gt;=Assumptions!$B$6,2,IF(H845&gt;=Assumptions!$B$7,3,""))))</f>
        <v/>
      </c>
      <c r="O845" s="9" t="n">
        <f aca="false">IF(N845=1,Assumptions!$B$8,IF(N845=2,Assumptions!$B$9,IF(N845=3,Assumptions!$B$10,0)))</f>
        <v>0</v>
      </c>
      <c r="P845" s="6" t="s">
        <v>30</v>
      </c>
      <c r="Q845" s="6" t="s">
        <v>30</v>
      </c>
      <c r="R845" s="11" t="s">
        <v>30</v>
      </c>
      <c r="S845" s="6" t="s">
        <v>30</v>
      </c>
      <c r="T845" s="11" t="s">
        <v>30</v>
      </c>
      <c r="U845" s="6" t="s">
        <v>30</v>
      </c>
      <c r="V845" s="6" t="s">
        <v>30</v>
      </c>
      <c r="W845" s="6" t="s">
        <v>30</v>
      </c>
      <c r="X845" s="2" t="s">
        <v>30</v>
      </c>
      <c r="Y845" s="6" t="str">
        <f aca="false">IF(AND(X845="processed",ISNUMBER(S845)),S845*O845,"")</f>
        <v/>
      </c>
      <c r="Z845" s="6" t="n">
        <f aca="false">IF(ISNUMBER(K845),K845*O845,0)</f>
        <v>0</v>
      </c>
      <c r="AA845" s="2" t="s">
        <v>31</v>
      </c>
      <c r="AB845" s="6" t="n">
        <v>11923</v>
      </c>
      <c r="AC845" s="6" t="n">
        <v>10947</v>
      </c>
      <c r="AD845" s="6" t="n">
        <v>10414</v>
      </c>
      <c r="AE845" s="6" t="n">
        <v>2366.59594726563</v>
      </c>
      <c r="AF845" s="8" t="n">
        <v>468.697916667</v>
      </c>
      <c r="AG845" s="11" t="n">
        <v>-0.005853716216</v>
      </c>
      <c r="AH845" s="12" t="n">
        <v>0.999999999999999</v>
      </c>
      <c r="AI845" s="2" t="s">
        <v>317</v>
      </c>
      <c r="AJ845" s="2" t="s">
        <v>1901</v>
      </c>
      <c r="AK845" s="2" t="s">
        <v>1901</v>
      </c>
    </row>
    <row r="846" customFormat="false" ht="15" hidden="false" customHeight="false" outlineLevel="0" collapsed="false">
      <c r="A846" s="9"/>
      <c r="B846" s="2" t="s">
        <v>1902</v>
      </c>
      <c r="C846" s="2" t="s">
        <v>1903</v>
      </c>
      <c r="D846" s="2" t="s">
        <v>524</v>
      </c>
      <c r="E846" s="2" t="s">
        <v>456</v>
      </c>
      <c r="F846" s="2" t="s">
        <v>1904</v>
      </c>
      <c r="G846" s="2" t="s">
        <v>458</v>
      </c>
      <c r="H846" s="8" t="n">
        <v>361.458881506022</v>
      </c>
      <c r="I846" s="2" t="s">
        <v>316</v>
      </c>
      <c r="J846" s="8" t="n">
        <v>834359.296296296</v>
      </c>
      <c r="K846" s="6" t="n">
        <v>135</v>
      </c>
      <c r="L846" s="2"/>
      <c r="M846" s="10" t="b">
        <f aca="false">TRUE()</f>
        <v>1</v>
      </c>
      <c r="N846" s="9" t="str">
        <f aca="false">IF(H846="","",IF(H846&gt;=Assumptions!$B$5,1,IF(H846&gt;=Assumptions!$B$6,2,IF(H846&gt;=Assumptions!$B$7,3,""))))</f>
        <v/>
      </c>
      <c r="O846" s="9" t="n">
        <f aca="false">IF(N846=1,Assumptions!$B$8,IF(N846=2,Assumptions!$B$9,IF(N846=3,Assumptions!$B$10,0)))</f>
        <v>0</v>
      </c>
      <c r="P846" s="6" t="s">
        <v>30</v>
      </c>
      <c r="Q846" s="6" t="s">
        <v>30</v>
      </c>
      <c r="R846" s="11" t="s">
        <v>30</v>
      </c>
      <c r="S846" s="6" t="s">
        <v>30</v>
      </c>
      <c r="T846" s="11" t="s">
        <v>30</v>
      </c>
      <c r="U846" s="6" t="s">
        <v>30</v>
      </c>
      <c r="V846" s="6" t="s">
        <v>30</v>
      </c>
      <c r="W846" s="6" t="s">
        <v>30</v>
      </c>
      <c r="X846" s="2" t="s">
        <v>30</v>
      </c>
      <c r="Y846" s="6" t="str">
        <f aca="false">IF(AND(X846="processed",ISNUMBER(S846)),S846*O846,"")</f>
        <v/>
      </c>
      <c r="Z846" s="6" t="n">
        <f aca="false">IF(ISNUMBER(K846),K846*O846,0)</f>
        <v>0</v>
      </c>
      <c r="AA846" s="2" t="s">
        <v>31</v>
      </c>
      <c r="AB846" s="6" t="n">
        <v>1667</v>
      </c>
      <c r="AC846" s="6" t="n">
        <v>1288</v>
      </c>
      <c r="AD846" s="6" t="n">
        <v>468</v>
      </c>
      <c r="AE846" s="6" t="n">
        <v>2199.53833007813</v>
      </c>
      <c r="AF846" s="8" t="n">
        <v>368.785904273</v>
      </c>
      <c r="AG846" s="11" t="n">
        <v>-0.01499731688</v>
      </c>
      <c r="AH846" s="12" t="n">
        <v>0.998389747417347</v>
      </c>
      <c r="AI846" s="2" t="s">
        <v>317</v>
      </c>
      <c r="AJ846" s="2" t="s">
        <v>1903</v>
      </c>
      <c r="AK846" s="2" t="s">
        <v>1903</v>
      </c>
    </row>
    <row r="847" customFormat="false" ht="15" hidden="false" customHeight="false" outlineLevel="0" collapsed="false">
      <c r="A847" s="9"/>
      <c r="B847" s="2" t="s">
        <v>1905</v>
      </c>
      <c r="C847" s="2" t="s">
        <v>1903</v>
      </c>
      <c r="D847" s="2" t="s">
        <v>524</v>
      </c>
      <c r="E847" s="2" t="s">
        <v>456</v>
      </c>
      <c r="F847" s="2" t="s">
        <v>1906</v>
      </c>
      <c r="G847" s="2" t="s">
        <v>458</v>
      </c>
      <c r="H847" s="8" t="n">
        <v>452.77963818292</v>
      </c>
      <c r="I847" s="2" t="s">
        <v>316</v>
      </c>
      <c r="J847" s="8" t="n">
        <v>776759.643916914</v>
      </c>
      <c r="K847" s="6" t="n">
        <v>337</v>
      </c>
      <c r="L847" s="2"/>
      <c r="M847" s="10" t="b">
        <f aca="false">TRUE()</f>
        <v>1</v>
      </c>
      <c r="N847" s="9" t="str">
        <f aca="false">IF(H847="","",IF(H847&gt;=Assumptions!$B$5,1,IF(H847&gt;=Assumptions!$B$6,2,IF(H847&gt;=Assumptions!$B$7,3,""))))</f>
        <v/>
      </c>
      <c r="O847" s="9" t="n">
        <f aca="false">IF(N847=1,Assumptions!$B$8,IF(N847=2,Assumptions!$B$9,IF(N847=3,Assumptions!$B$10,0)))</f>
        <v>0</v>
      </c>
      <c r="P847" s="6" t="s">
        <v>30</v>
      </c>
      <c r="Q847" s="6" t="s">
        <v>30</v>
      </c>
      <c r="R847" s="11" t="s">
        <v>30</v>
      </c>
      <c r="S847" s="6" t="s">
        <v>30</v>
      </c>
      <c r="T847" s="11" t="s">
        <v>30</v>
      </c>
      <c r="U847" s="6" t="s">
        <v>30</v>
      </c>
      <c r="V847" s="6" t="s">
        <v>30</v>
      </c>
      <c r="W847" s="6" t="s">
        <v>30</v>
      </c>
      <c r="X847" s="2" t="s">
        <v>30</v>
      </c>
      <c r="Y847" s="6" t="str">
        <f aca="false">IF(AND(X847="processed",ISNUMBER(S847)),S847*O847,"")</f>
        <v/>
      </c>
      <c r="Z847" s="6" t="n">
        <f aca="false">IF(ISNUMBER(K847),K847*O847,0)</f>
        <v>0</v>
      </c>
      <c r="AA847" s="2" t="s">
        <v>31</v>
      </c>
      <c r="AB847" s="6" t="n">
        <v>28657</v>
      </c>
      <c r="AC847" s="6" t="n">
        <v>24985</v>
      </c>
      <c r="AD847" s="6" t="n">
        <v>26600</v>
      </c>
      <c r="AE847" s="6" t="n">
        <v>2237.626953125</v>
      </c>
      <c r="AF847" s="8" t="n">
        <v>453.394078298</v>
      </c>
      <c r="AG847" s="11" t="n">
        <v>0.05460704788</v>
      </c>
      <c r="AH847" s="12" t="n">
        <v>0.999390942800308</v>
      </c>
      <c r="AI847" s="2" t="s">
        <v>317</v>
      </c>
      <c r="AJ847" s="2" t="s">
        <v>1903</v>
      </c>
      <c r="AK847" s="2" t="s">
        <v>1903</v>
      </c>
    </row>
    <row r="848" customFormat="false" ht="15" hidden="false" customHeight="false" outlineLevel="0" collapsed="false">
      <c r="A848" s="9"/>
      <c r="B848" s="2" t="s">
        <v>1907</v>
      </c>
      <c r="C848" s="2" t="s">
        <v>1901</v>
      </c>
      <c r="D848" s="2" t="s">
        <v>524</v>
      </c>
      <c r="E848" s="2" t="s">
        <v>456</v>
      </c>
      <c r="F848" s="2" t="s">
        <v>1908</v>
      </c>
      <c r="G848" s="2" t="s">
        <v>458</v>
      </c>
      <c r="H848" s="8" t="n">
        <v>485.724405604247</v>
      </c>
      <c r="I848" s="2" t="s">
        <v>316</v>
      </c>
      <c r="J848" s="8" t="n">
        <v>730876.623376623</v>
      </c>
      <c r="K848" s="6" t="n">
        <v>231</v>
      </c>
      <c r="L848" s="2"/>
      <c r="M848" s="10" t="b">
        <f aca="false">TRUE()</f>
        <v>1</v>
      </c>
      <c r="N848" s="9" t="str">
        <f aca="false">IF(H848="","",IF(H848&gt;=Assumptions!$B$5,1,IF(H848&gt;=Assumptions!$B$6,2,IF(H848&gt;=Assumptions!$B$7,3,""))))</f>
        <v/>
      </c>
      <c r="O848" s="9" t="n">
        <f aca="false">IF(N848=1,Assumptions!$B$8,IF(N848=2,Assumptions!$B$9,IF(N848=3,Assumptions!$B$10,0)))</f>
        <v>0</v>
      </c>
      <c r="P848" s="6" t="s">
        <v>30</v>
      </c>
      <c r="Q848" s="6" t="s">
        <v>30</v>
      </c>
      <c r="R848" s="11" t="s">
        <v>30</v>
      </c>
      <c r="S848" s="6" t="s">
        <v>30</v>
      </c>
      <c r="T848" s="11" t="s">
        <v>30</v>
      </c>
      <c r="U848" s="6" t="s">
        <v>30</v>
      </c>
      <c r="V848" s="6" t="s">
        <v>30</v>
      </c>
      <c r="W848" s="6" t="s">
        <v>30</v>
      </c>
      <c r="X848" s="2" t="s">
        <v>30</v>
      </c>
      <c r="Y848" s="6" t="str">
        <f aca="false">IF(AND(X848="processed",ISNUMBER(S848)),S848*O848,"")</f>
        <v/>
      </c>
      <c r="Z848" s="6" t="n">
        <f aca="false">IF(ISNUMBER(K848),K848*O848,0)</f>
        <v>0</v>
      </c>
      <c r="AA848" s="2" t="s">
        <v>31</v>
      </c>
      <c r="AB848" s="6" t="n">
        <v>15999</v>
      </c>
      <c r="AC848" s="6" t="n">
        <v>13162</v>
      </c>
      <c r="AD848" s="6" t="n">
        <v>13184</v>
      </c>
      <c r="AE848" s="6" t="n">
        <v>2208.36865234375</v>
      </c>
      <c r="AF848" s="8" t="n">
        <v>486.571388739</v>
      </c>
      <c r="AG848" s="11" t="n">
        <v>0.02933302265</v>
      </c>
      <c r="AH848" s="12" t="n">
        <v>0.999999999999998</v>
      </c>
      <c r="AI848" s="2" t="s">
        <v>317</v>
      </c>
      <c r="AJ848" s="2" t="s">
        <v>1901</v>
      </c>
      <c r="AK848" s="2" t="s">
        <v>1901</v>
      </c>
    </row>
    <row r="849" customFormat="false" ht="15" hidden="false" customHeight="false" outlineLevel="0" collapsed="false">
      <c r="A849" s="9"/>
      <c r="B849" s="2" t="s">
        <v>1909</v>
      </c>
      <c r="C849" s="2" t="s">
        <v>1901</v>
      </c>
      <c r="D849" s="2" t="s">
        <v>524</v>
      </c>
      <c r="E849" s="2" t="s">
        <v>456</v>
      </c>
      <c r="F849" s="2" t="s">
        <v>1910</v>
      </c>
      <c r="G849" s="2" t="s">
        <v>458</v>
      </c>
      <c r="H849" s="8" t="n">
        <v>461.646980462796</v>
      </c>
      <c r="I849" s="2" t="s">
        <v>316</v>
      </c>
      <c r="J849" s="8" t="n">
        <v>1044311.37724551</v>
      </c>
      <c r="K849" s="6" t="n">
        <v>167</v>
      </c>
      <c r="L849" s="2"/>
      <c r="M849" s="10" t="b">
        <f aca="false">TRUE()</f>
        <v>1</v>
      </c>
      <c r="N849" s="9" t="str">
        <f aca="false">IF(H849="","",IF(H849&gt;=Assumptions!$B$5,1,IF(H849&gt;=Assumptions!$B$6,2,IF(H849&gt;=Assumptions!$B$7,3,""))))</f>
        <v/>
      </c>
      <c r="O849" s="9" t="n">
        <f aca="false">IF(N849=1,Assumptions!$B$8,IF(N849=2,Assumptions!$B$9,IF(N849=3,Assumptions!$B$10,0)))</f>
        <v>0</v>
      </c>
      <c r="P849" s="6" t="s">
        <v>30</v>
      </c>
      <c r="Q849" s="6" t="s">
        <v>30</v>
      </c>
      <c r="R849" s="11" t="s">
        <v>30</v>
      </c>
      <c r="S849" s="6" t="s">
        <v>30</v>
      </c>
      <c r="T849" s="11" t="s">
        <v>30</v>
      </c>
      <c r="U849" s="6" t="s">
        <v>30</v>
      </c>
      <c r="V849" s="6" t="s">
        <v>30</v>
      </c>
      <c r="W849" s="6" t="s">
        <v>30</v>
      </c>
      <c r="X849" s="2" t="s">
        <v>30</v>
      </c>
      <c r="Y849" s="6" t="str">
        <f aca="false">IF(AND(X849="processed",ISNUMBER(S849)),S849*O849,"")</f>
        <v/>
      </c>
      <c r="Z849" s="6" t="n">
        <f aca="false">IF(ISNUMBER(K849),K849*O849,0)</f>
        <v>0</v>
      </c>
      <c r="AA849" s="2" t="s">
        <v>31</v>
      </c>
      <c r="AB849" s="6" t="n">
        <v>8098</v>
      </c>
      <c r="AC849" s="6" t="n">
        <v>7255</v>
      </c>
      <c r="AD849" s="6" t="n">
        <v>7785</v>
      </c>
      <c r="AE849" s="6" t="n">
        <v>2670.37866210938</v>
      </c>
      <c r="AF849" s="8" t="n">
        <v>475.229691765</v>
      </c>
      <c r="AG849" s="11" t="n">
        <v>0.003049862698</v>
      </c>
      <c r="AH849" s="12" t="n">
        <v>1</v>
      </c>
      <c r="AI849" s="2" t="s">
        <v>317</v>
      </c>
      <c r="AJ849" s="2" t="s">
        <v>1901</v>
      </c>
      <c r="AK849" s="2" t="s">
        <v>1901</v>
      </c>
    </row>
    <row r="850" customFormat="false" ht="15" hidden="false" customHeight="false" outlineLevel="0" collapsed="false">
      <c r="A850" s="9"/>
      <c r="B850" s="2" t="s">
        <v>1911</v>
      </c>
      <c r="C850" s="2" t="s">
        <v>1901</v>
      </c>
      <c r="D850" s="2" t="s">
        <v>524</v>
      </c>
      <c r="E850" s="2" t="s">
        <v>456</v>
      </c>
      <c r="F850" s="2" t="s">
        <v>1912</v>
      </c>
      <c r="G850" s="2" t="s">
        <v>458</v>
      </c>
      <c r="H850" s="8" t="n">
        <v>413.438886316561</v>
      </c>
      <c r="I850" s="2" t="s">
        <v>316</v>
      </c>
      <c r="J850" s="8" t="n">
        <v>1025321.26696833</v>
      </c>
      <c r="K850" s="6" t="n">
        <v>221</v>
      </c>
      <c r="L850" s="2"/>
      <c r="M850" s="10" t="b">
        <f aca="false">TRUE()</f>
        <v>1</v>
      </c>
      <c r="N850" s="9" t="str">
        <f aca="false">IF(H850="","",IF(H850&gt;=Assumptions!$B$5,1,IF(H850&gt;=Assumptions!$B$6,2,IF(H850&gt;=Assumptions!$B$7,3,""))))</f>
        <v/>
      </c>
      <c r="O850" s="9" t="n">
        <f aca="false">IF(N850=1,Assumptions!$B$8,IF(N850=2,Assumptions!$B$9,IF(N850=3,Assumptions!$B$10,0)))</f>
        <v>0</v>
      </c>
      <c r="P850" s="6" t="s">
        <v>30</v>
      </c>
      <c r="Q850" s="6" t="s">
        <v>30</v>
      </c>
      <c r="R850" s="11" t="s">
        <v>30</v>
      </c>
      <c r="S850" s="6" t="s">
        <v>30</v>
      </c>
      <c r="T850" s="11" t="s">
        <v>30</v>
      </c>
      <c r="U850" s="6" t="s">
        <v>30</v>
      </c>
      <c r="V850" s="6" t="s">
        <v>30</v>
      </c>
      <c r="W850" s="6" t="s">
        <v>30</v>
      </c>
      <c r="X850" s="2" t="s">
        <v>30</v>
      </c>
      <c r="Y850" s="6" t="str">
        <f aca="false">IF(AND(X850="processed",ISNUMBER(S850)),S850*O850,"")</f>
        <v/>
      </c>
      <c r="Z850" s="6" t="n">
        <f aca="false">IF(ISNUMBER(K850),K850*O850,0)</f>
        <v>0</v>
      </c>
      <c r="AA850" s="2" t="s">
        <v>31</v>
      </c>
      <c r="AB850" s="6" t="n">
        <v>11508</v>
      </c>
      <c r="AC850" s="6" t="n">
        <v>10126</v>
      </c>
      <c r="AD850" s="6" t="n">
        <v>10436</v>
      </c>
      <c r="AE850" s="6" t="n">
        <v>2704.44409179688</v>
      </c>
      <c r="AF850" s="8" t="n">
        <v>418.410041841</v>
      </c>
      <c r="AG850" s="11" t="n">
        <v>-0.01382021047</v>
      </c>
      <c r="AH850" s="12" t="n">
        <v>1</v>
      </c>
      <c r="AI850" s="2" t="s">
        <v>317</v>
      </c>
      <c r="AJ850" s="2" t="s">
        <v>1901</v>
      </c>
      <c r="AK850" s="2" t="s">
        <v>1901</v>
      </c>
    </row>
    <row r="851" customFormat="false" ht="15" hidden="false" customHeight="false" outlineLevel="0" collapsed="false">
      <c r="A851" s="9"/>
      <c r="B851" s="2" t="s">
        <v>1913</v>
      </c>
      <c r="C851" s="2" t="s">
        <v>1914</v>
      </c>
      <c r="D851" s="2" t="s">
        <v>455</v>
      </c>
      <c r="E851" s="2" t="s">
        <v>456</v>
      </c>
      <c r="F851" s="2" t="s">
        <v>1915</v>
      </c>
      <c r="G851" s="2" t="s">
        <v>458</v>
      </c>
      <c r="H851" s="8" t="n">
        <v>336.501980708068</v>
      </c>
      <c r="I851" s="2" t="s">
        <v>316</v>
      </c>
      <c r="J851" s="8" t="n">
        <v>881389.570552147</v>
      </c>
      <c r="K851" s="6" t="n">
        <v>163</v>
      </c>
      <c r="L851" s="2"/>
      <c r="M851" s="10" t="b">
        <f aca="false">TRUE()</f>
        <v>1</v>
      </c>
      <c r="N851" s="9" t="str">
        <f aca="false">IF(H851="","",IF(H851&gt;=Assumptions!$B$5,1,IF(H851&gt;=Assumptions!$B$6,2,IF(H851&gt;=Assumptions!$B$7,3,""))))</f>
        <v/>
      </c>
      <c r="O851" s="9" t="n">
        <f aca="false">IF(N851=1,Assumptions!$B$8,IF(N851=2,Assumptions!$B$9,IF(N851=3,Assumptions!$B$10,0)))</f>
        <v>0</v>
      </c>
      <c r="P851" s="6" t="s">
        <v>30</v>
      </c>
      <c r="Q851" s="6" t="s">
        <v>30</v>
      </c>
      <c r="R851" s="11" t="s">
        <v>30</v>
      </c>
      <c r="S851" s="6" t="s">
        <v>30</v>
      </c>
      <c r="T851" s="11" t="s">
        <v>30</v>
      </c>
      <c r="U851" s="6" t="s">
        <v>30</v>
      </c>
      <c r="V851" s="6" t="s">
        <v>30</v>
      </c>
      <c r="W851" s="6" t="s">
        <v>30</v>
      </c>
      <c r="X851" s="2" t="s">
        <v>30</v>
      </c>
      <c r="Y851" s="6" t="str">
        <f aca="false">IF(AND(X851="processed",ISNUMBER(S851)),S851*O851,"")</f>
        <v/>
      </c>
      <c r="Z851" s="6" t="n">
        <f aca="false">IF(ISNUMBER(K851),K851*O851,0)</f>
        <v>0</v>
      </c>
      <c r="AA851" s="2" t="s">
        <v>31</v>
      </c>
      <c r="AB851" s="6" t="n">
        <v>12911</v>
      </c>
      <c r="AC851" s="6" t="n">
        <v>11352</v>
      </c>
      <c r="AD851" s="6" t="n">
        <v>6144</v>
      </c>
      <c r="AE851" s="6" t="n">
        <v>2459.19384765625</v>
      </c>
      <c r="AF851" s="8" t="n">
        <v>324.101355333</v>
      </c>
      <c r="AG851" s="11" t="n">
        <v>-0.07416068147</v>
      </c>
      <c r="AH851" s="12" t="n">
        <v>0.999621528928367</v>
      </c>
      <c r="AI851" s="2" t="s">
        <v>1916</v>
      </c>
      <c r="AJ851" s="2" t="s">
        <v>1917</v>
      </c>
      <c r="AK851" s="2" t="s">
        <v>1914</v>
      </c>
    </row>
    <row r="852" customFormat="false" ht="15" hidden="false" customHeight="false" outlineLevel="0" collapsed="false">
      <c r="A852" s="9"/>
      <c r="B852" s="2" t="s">
        <v>1918</v>
      </c>
      <c r="C852" s="2" t="s">
        <v>1919</v>
      </c>
      <c r="D852" s="2" t="s">
        <v>70</v>
      </c>
      <c r="E852" s="2" t="s">
        <v>71</v>
      </c>
      <c r="F852" s="2"/>
      <c r="G852" s="2" t="s">
        <v>458</v>
      </c>
      <c r="H852" s="8" t="n">
        <v>406.299028406375</v>
      </c>
      <c r="I852" s="2" t="s">
        <v>316</v>
      </c>
      <c r="J852" s="8" t="n">
        <v>647500</v>
      </c>
      <c r="K852" s="6" t="n">
        <v>8</v>
      </c>
      <c r="L852" s="2"/>
      <c r="M852" s="10" t="b">
        <f aca="false">TRUE()</f>
        <v>1</v>
      </c>
      <c r="N852" s="9" t="str">
        <f aca="false">IF(H852="","",IF(H852&gt;=Assumptions!$B$5,1,IF(H852&gt;=Assumptions!$B$6,2,IF(H852&gt;=Assumptions!$B$7,3,""))))</f>
        <v/>
      </c>
      <c r="O852" s="9" t="n">
        <f aca="false">IF(N852=1,Assumptions!$B$8,IF(N852=2,Assumptions!$B$9,IF(N852=3,Assumptions!$B$10,0)))</f>
        <v>0</v>
      </c>
      <c r="P852" s="6" t="s">
        <v>30</v>
      </c>
      <c r="Q852" s="6" t="s">
        <v>30</v>
      </c>
      <c r="R852" s="11" t="s">
        <v>30</v>
      </c>
      <c r="S852" s="6" t="s">
        <v>30</v>
      </c>
      <c r="T852" s="11" t="s">
        <v>30</v>
      </c>
      <c r="U852" s="6" t="s">
        <v>30</v>
      </c>
      <c r="V852" s="6" t="s">
        <v>30</v>
      </c>
      <c r="W852" s="6" t="s">
        <v>30</v>
      </c>
      <c r="X852" s="2" t="s">
        <v>30</v>
      </c>
      <c r="Y852" s="6" t="str">
        <f aca="false">IF(AND(X852="processed",ISNUMBER(S852)),S852*O852,"")</f>
        <v/>
      </c>
      <c r="Z852" s="6" t="n">
        <f aca="false">IF(ISNUMBER(K852),K852*O852,0)</f>
        <v>0</v>
      </c>
      <c r="AA852" s="2" t="s">
        <v>31</v>
      </c>
      <c r="AB852" s="6" t="n">
        <v>377</v>
      </c>
      <c r="AC852" s="6" t="n">
        <v>301</v>
      </c>
      <c r="AD852" s="6" t="n">
        <v>164</v>
      </c>
      <c r="AE852" s="6" t="n">
        <v>1296.76806640625</v>
      </c>
      <c r="AF852" s="8" t="n">
        <v>453.296703297</v>
      </c>
      <c r="AG852" s="11" t="n">
        <v>1.018681319</v>
      </c>
      <c r="AH852" s="12" t="n">
        <v>0.791735612520585</v>
      </c>
      <c r="AI852" s="2" t="s">
        <v>317</v>
      </c>
      <c r="AJ852" s="2" t="s">
        <v>1919</v>
      </c>
      <c r="AK852" s="2" t="s">
        <v>934</v>
      </c>
    </row>
    <row r="853" customFormat="false" ht="15" hidden="false" customHeight="false" outlineLevel="0" collapsed="false">
      <c r="A853" s="9"/>
      <c r="B853" s="2" t="s">
        <v>1920</v>
      </c>
      <c r="C853" s="2" t="s">
        <v>1921</v>
      </c>
      <c r="D853" s="2" t="s">
        <v>524</v>
      </c>
      <c r="E853" s="2" t="s">
        <v>456</v>
      </c>
      <c r="F853" s="2" t="s">
        <v>1922</v>
      </c>
      <c r="G853" s="2" t="s">
        <v>458</v>
      </c>
      <c r="H853" s="8" t="n">
        <v>393.760864100633</v>
      </c>
      <c r="I853" s="2" t="s">
        <v>316</v>
      </c>
      <c r="J853" s="8" t="n">
        <v>754347.806451613</v>
      </c>
      <c r="K853" s="6" t="n">
        <v>341</v>
      </c>
      <c r="L853" s="2"/>
      <c r="M853" s="10" t="b">
        <f aca="false">TRUE()</f>
        <v>1</v>
      </c>
      <c r="N853" s="9" t="str">
        <f aca="false">IF(H853="","",IF(H853&gt;=Assumptions!$B$5,1,IF(H853&gt;=Assumptions!$B$6,2,IF(H853&gt;=Assumptions!$B$7,3,""))))</f>
        <v/>
      </c>
      <c r="O853" s="9" t="n">
        <f aca="false">IF(N853=1,Assumptions!$B$8,IF(N853=2,Assumptions!$B$9,IF(N853=3,Assumptions!$B$10,0)))</f>
        <v>0</v>
      </c>
      <c r="P853" s="6" t="s">
        <v>30</v>
      </c>
      <c r="Q853" s="6" t="s">
        <v>30</v>
      </c>
      <c r="R853" s="11" t="s">
        <v>30</v>
      </c>
      <c r="S853" s="6" t="s">
        <v>30</v>
      </c>
      <c r="T853" s="11" t="s">
        <v>30</v>
      </c>
      <c r="U853" s="6" t="s">
        <v>30</v>
      </c>
      <c r="V853" s="6" t="s">
        <v>30</v>
      </c>
      <c r="W853" s="6" t="s">
        <v>30</v>
      </c>
      <c r="X853" s="2" t="s">
        <v>30</v>
      </c>
      <c r="Y853" s="6" t="str">
        <f aca="false">IF(AND(X853="processed",ISNUMBER(S853)),S853*O853,"")</f>
        <v/>
      </c>
      <c r="Z853" s="6" t="n">
        <f aca="false">IF(ISNUMBER(K853),K853*O853,0)</f>
        <v>0</v>
      </c>
      <c r="AA853" s="2" t="s">
        <v>31</v>
      </c>
      <c r="AB853" s="6" t="n">
        <v>19895</v>
      </c>
      <c r="AC853" s="6" t="n">
        <v>16733</v>
      </c>
      <c r="AD853" s="6" t="n">
        <v>17438</v>
      </c>
      <c r="AE853" s="6" t="n">
        <v>2231.34326171875</v>
      </c>
      <c r="AF853" s="8" t="n">
        <v>390.965732087</v>
      </c>
      <c r="AG853" s="11" t="n">
        <v>-0.09196371379</v>
      </c>
      <c r="AH853" s="12" t="n">
        <v>0.999680714833871</v>
      </c>
      <c r="AI853" s="2" t="s">
        <v>317</v>
      </c>
      <c r="AJ853" s="2" t="s">
        <v>1921</v>
      </c>
      <c r="AK853" s="2" t="s">
        <v>1921</v>
      </c>
    </row>
    <row r="854" customFormat="false" ht="15" hidden="false" customHeight="false" outlineLevel="0" collapsed="false">
      <c r="A854" s="9"/>
      <c r="B854" s="2" t="s">
        <v>1923</v>
      </c>
      <c r="C854" s="2" t="s">
        <v>1921</v>
      </c>
      <c r="D854" s="2" t="s">
        <v>524</v>
      </c>
      <c r="E854" s="2" t="s">
        <v>456</v>
      </c>
      <c r="F854" s="2" t="s">
        <v>1924</v>
      </c>
      <c r="G854" s="2" t="s">
        <v>458</v>
      </c>
      <c r="H854" s="8" t="n">
        <v>430.718905418277</v>
      </c>
      <c r="I854" s="2" t="s">
        <v>316</v>
      </c>
      <c r="J854" s="8" t="n">
        <v>715081.180811808</v>
      </c>
      <c r="K854" s="6" t="n">
        <v>271</v>
      </c>
      <c r="L854" s="2"/>
      <c r="M854" s="10" t="b">
        <f aca="false">TRUE()</f>
        <v>1</v>
      </c>
      <c r="N854" s="9" t="str">
        <f aca="false">IF(H854="","",IF(H854&gt;=Assumptions!$B$5,1,IF(H854&gt;=Assumptions!$B$6,2,IF(H854&gt;=Assumptions!$B$7,3,""))))</f>
        <v/>
      </c>
      <c r="O854" s="9" t="n">
        <f aca="false">IF(N854=1,Assumptions!$B$8,IF(N854=2,Assumptions!$B$9,IF(N854=3,Assumptions!$B$10,0)))</f>
        <v>0</v>
      </c>
      <c r="P854" s="6" t="s">
        <v>30</v>
      </c>
      <c r="Q854" s="6" t="s">
        <v>30</v>
      </c>
      <c r="R854" s="11" t="s">
        <v>30</v>
      </c>
      <c r="S854" s="6" t="s">
        <v>30</v>
      </c>
      <c r="T854" s="11" t="s">
        <v>30</v>
      </c>
      <c r="U854" s="6" t="s">
        <v>30</v>
      </c>
      <c r="V854" s="6" t="s">
        <v>30</v>
      </c>
      <c r="W854" s="6" t="s">
        <v>30</v>
      </c>
      <c r="X854" s="2" t="s">
        <v>30</v>
      </c>
      <c r="Y854" s="6" t="str">
        <f aca="false">IF(AND(X854="processed",ISNUMBER(S854)),S854*O854,"")</f>
        <v/>
      </c>
      <c r="Z854" s="6" t="n">
        <f aca="false">IF(ISNUMBER(K854),K854*O854,0)</f>
        <v>0</v>
      </c>
      <c r="AA854" s="2" t="s">
        <v>31</v>
      </c>
      <c r="AB854" s="6" t="n">
        <v>18137</v>
      </c>
      <c r="AC854" s="6" t="n">
        <v>15290</v>
      </c>
      <c r="AD854" s="6" t="n">
        <v>16482</v>
      </c>
      <c r="AE854" s="6" t="n">
        <v>2164.35888671875</v>
      </c>
      <c r="AF854" s="8" t="n">
        <v>431.878103837</v>
      </c>
      <c r="AG854" s="11" t="n">
        <v>0.03650744921</v>
      </c>
      <c r="AH854" s="12" t="n">
        <v>1</v>
      </c>
      <c r="AI854" s="2" t="s">
        <v>317</v>
      </c>
      <c r="AJ854" s="2" t="s">
        <v>1921</v>
      </c>
      <c r="AK854" s="2" t="s">
        <v>1921</v>
      </c>
    </row>
    <row r="855" customFormat="false" ht="15" hidden="false" customHeight="false" outlineLevel="0" collapsed="false">
      <c r="A855" s="9"/>
      <c r="B855" s="2" t="s">
        <v>1925</v>
      </c>
      <c r="C855" s="2" t="s">
        <v>1926</v>
      </c>
      <c r="D855" s="2" t="s">
        <v>524</v>
      </c>
      <c r="E855" s="2" t="s">
        <v>456</v>
      </c>
      <c r="F855" s="2"/>
      <c r="G855" s="2" t="s">
        <v>458</v>
      </c>
      <c r="H855" s="8" t="n">
        <v>485.860383226866</v>
      </c>
      <c r="I855" s="2" t="s">
        <v>316</v>
      </c>
      <c r="J855" s="8" t="n">
        <v>696814.432989691</v>
      </c>
      <c r="K855" s="6" t="n">
        <v>97</v>
      </c>
      <c r="L855" s="2"/>
      <c r="M855" s="10" t="b">
        <f aca="false">TRUE()</f>
        <v>1</v>
      </c>
      <c r="N855" s="9" t="str">
        <f aca="false">IF(H855="","",IF(H855&gt;=Assumptions!$B$5,1,IF(H855&gt;=Assumptions!$B$6,2,IF(H855&gt;=Assumptions!$B$7,3,""))))</f>
        <v/>
      </c>
      <c r="O855" s="9" t="n">
        <f aca="false">IF(N855=1,Assumptions!$B$8,IF(N855=2,Assumptions!$B$9,IF(N855=3,Assumptions!$B$10,0)))</f>
        <v>0</v>
      </c>
      <c r="P855" s="6" t="s">
        <v>30</v>
      </c>
      <c r="Q855" s="6" t="s">
        <v>30</v>
      </c>
      <c r="R855" s="11" t="s">
        <v>30</v>
      </c>
      <c r="S855" s="6" t="s">
        <v>30</v>
      </c>
      <c r="T855" s="11" t="s">
        <v>30</v>
      </c>
      <c r="U855" s="6" t="s">
        <v>30</v>
      </c>
      <c r="V855" s="6" t="s">
        <v>30</v>
      </c>
      <c r="W855" s="6" t="s">
        <v>30</v>
      </c>
      <c r="X855" s="2" t="s">
        <v>30</v>
      </c>
      <c r="Y855" s="6" t="str">
        <f aca="false">IF(AND(X855="processed",ISNUMBER(S855)),S855*O855,"")</f>
        <v/>
      </c>
      <c r="Z855" s="6" t="n">
        <f aca="false">IF(ISNUMBER(K855),K855*O855,0)</f>
        <v>0</v>
      </c>
      <c r="AA855" s="2" t="s">
        <v>31</v>
      </c>
      <c r="AB855" s="6" t="n">
        <v>9092</v>
      </c>
      <c r="AC855" s="6" t="n">
        <v>7605</v>
      </c>
      <c r="AD855" s="6" t="n">
        <v>6321</v>
      </c>
      <c r="AE855" s="6" t="n">
        <v>2159.34497070313</v>
      </c>
      <c r="AF855" s="8" t="n">
        <v>474.72469664</v>
      </c>
      <c r="AG855" s="11" t="n">
        <v>0.04489229558</v>
      </c>
      <c r="AH855" s="12" t="n">
        <v>0.99949870791531</v>
      </c>
      <c r="AI855" s="2" t="s">
        <v>317</v>
      </c>
      <c r="AJ855" s="2" t="s">
        <v>1926</v>
      </c>
      <c r="AK855" s="2" t="s">
        <v>1926</v>
      </c>
    </row>
    <row r="856" customFormat="false" ht="15" hidden="false" customHeight="false" outlineLevel="0" collapsed="false">
      <c r="A856" s="9"/>
      <c r="B856" s="2" t="s">
        <v>1927</v>
      </c>
      <c r="C856" s="2" t="s">
        <v>1921</v>
      </c>
      <c r="D856" s="2" t="s">
        <v>524</v>
      </c>
      <c r="E856" s="2" t="s">
        <v>456</v>
      </c>
      <c r="F856" s="2"/>
      <c r="G856" s="2" t="s">
        <v>458</v>
      </c>
      <c r="H856" s="8" t="n">
        <v>487.233803487052</v>
      </c>
      <c r="I856" s="2" t="s">
        <v>316</v>
      </c>
      <c r="J856" s="8" t="n">
        <v>659888.888888889</v>
      </c>
      <c r="K856" s="6" t="n">
        <v>153</v>
      </c>
      <c r="L856" s="2"/>
      <c r="M856" s="10" t="b">
        <f aca="false">TRUE()</f>
        <v>1</v>
      </c>
      <c r="N856" s="9" t="str">
        <f aca="false">IF(H856="","",IF(H856&gt;=Assumptions!$B$5,1,IF(H856&gt;=Assumptions!$B$6,2,IF(H856&gt;=Assumptions!$B$7,3,""))))</f>
        <v/>
      </c>
      <c r="O856" s="9" t="n">
        <f aca="false">IF(N856=1,Assumptions!$B$8,IF(N856=2,Assumptions!$B$9,IF(N856=3,Assumptions!$B$10,0)))</f>
        <v>0</v>
      </c>
      <c r="P856" s="6" t="s">
        <v>30</v>
      </c>
      <c r="Q856" s="6" t="s">
        <v>30</v>
      </c>
      <c r="R856" s="11" t="s">
        <v>30</v>
      </c>
      <c r="S856" s="6" t="s">
        <v>30</v>
      </c>
      <c r="T856" s="11" t="s">
        <v>30</v>
      </c>
      <c r="U856" s="6" t="s">
        <v>30</v>
      </c>
      <c r="V856" s="6" t="s">
        <v>30</v>
      </c>
      <c r="W856" s="6" t="s">
        <v>30</v>
      </c>
      <c r="X856" s="2" t="s">
        <v>30</v>
      </c>
      <c r="Y856" s="6" t="str">
        <f aca="false">IF(AND(X856="processed",ISNUMBER(S856)),S856*O856,"")</f>
        <v/>
      </c>
      <c r="Z856" s="6" t="n">
        <f aca="false">IF(ISNUMBER(K856),K856*O856,0)</f>
        <v>0</v>
      </c>
      <c r="AA856" s="2" t="s">
        <v>31</v>
      </c>
      <c r="AB856" s="6" t="n">
        <v>12098</v>
      </c>
      <c r="AC856" s="6" t="n">
        <v>10104</v>
      </c>
      <c r="AD856" s="6" t="n">
        <v>10878</v>
      </c>
      <c r="AE856" s="6" t="n">
        <v>1997.69140625</v>
      </c>
      <c r="AF856" s="8" t="n">
        <v>486.517996993</v>
      </c>
      <c r="AG856" s="11" t="n">
        <v>0.01680790325</v>
      </c>
      <c r="AH856" s="12" t="n">
        <v>1</v>
      </c>
      <c r="AI856" s="2" t="s">
        <v>317</v>
      </c>
      <c r="AJ856" s="2" t="s">
        <v>1921</v>
      </c>
      <c r="AK856" s="2" t="s">
        <v>1921</v>
      </c>
    </row>
    <row r="857" customFormat="false" ht="15" hidden="false" customHeight="false" outlineLevel="0" collapsed="false">
      <c r="A857" s="9"/>
      <c r="B857" s="2" t="s">
        <v>1928</v>
      </c>
      <c r="C857" s="2" t="s">
        <v>1109</v>
      </c>
      <c r="D857" s="2" t="s">
        <v>70</v>
      </c>
      <c r="E857" s="2" t="s">
        <v>71</v>
      </c>
      <c r="F857" s="2"/>
      <c r="G857" s="2" t="s">
        <v>329</v>
      </c>
      <c r="H857" s="8" t="n">
        <v>492.17298089251</v>
      </c>
      <c r="I857" s="2" t="s">
        <v>316</v>
      </c>
      <c r="J857" s="8" t="n">
        <v>692679.738562092</v>
      </c>
      <c r="K857" s="6" t="n">
        <v>153</v>
      </c>
      <c r="L857" s="2"/>
      <c r="M857" s="10" t="b">
        <f aca="false">TRUE()</f>
        <v>1</v>
      </c>
      <c r="N857" s="9" t="str">
        <f aca="false">IF(H857="","",IF(H857&gt;=Assumptions!$B$5,1,IF(H857&gt;=Assumptions!$B$6,2,IF(H857&gt;=Assumptions!$B$7,3,""))))</f>
        <v/>
      </c>
      <c r="O857" s="9" t="n">
        <f aca="false">IF(N857=1,Assumptions!$B$8,IF(N857=2,Assumptions!$B$9,IF(N857=3,Assumptions!$B$10,0)))</f>
        <v>0</v>
      </c>
      <c r="P857" s="6" t="s">
        <v>30</v>
      </c>
      <c r="Q857" s="6" t="s">
        <v>30</v>
      </c>
      <c r="R857" s="11" t="s">
        <v>30</v>
      </c>
      <c r="S857" s="6" t="s">
        <v>30</v>
      </c>
      <c r="T857" s="11" t="s">
        <v>30</v>
      </c>
      <c r="U857" s="6" t="s">
        <v>30</v>
      </c>
      <c r="V857" s="6" t="s">
        <v>30</v>
      </c>
      <c r="W857" s="6" t="s">
        <v>30</v>
      </c>
      <c r="X857" s="2" t="s">
        <v>30</v>
      </c>
      <c r="Y857" s="6" t="str">
        <f aca="false">IF(AND(X857="processed",ISNUMBER(S857)),S857*O857,"")</f>
        <v/>
      </c>
      <c r="Z857" s="6" t="n">
        <f aca="false">IF(ISNUMBER(K857),K857*O857,0)</f>
        <v>0</v>
      </c>
      <c r="AA857" s="2" t="s">
        <v>31</v>
      </c>
      <c r="AB857" s="6" t="n">
        <v>14818</v>
      </c>
      <c r="AC857" s="6" t="n">
        <v>11806</v>
      </c>
      <c r="AD857" s="6" t="n">
        <v>222</v>
      </c>
      <c r="AE857" s="6" t="n">
        <v>2070.20947265625</v>
      </c>
      <c r="AF857" s="8" t="n">
        <v>496.732026144</v>
      </c>
      <c r="AG857" s="11" t="n">
        <v>-0.02694959262</v>
      </c>
      <c r="AH857" s="12" t="n">
        <v>0.99858516445692</v>
      </c>
      <c r="AI857" s="2" t="s">
        <v>317</v>
      </c>
      <c r="AJ857" s="2" t="s">
        <v>1109</v>
      </c>
      <c r="AK857" s="2" t="s">
        <v>1109</v>
      </c>
    </row>
    <row r="858" customFormat="false" ht="15" hidden="false" customHeight="false" outlineLevel="0" collapsed="false">
      <c r="A858" s="9"/>
      <c r="B858" s="2" t="s">
        <v>1929</v>
      </c>
      <c r="C858" s="2" t="s">
        <v>1930</v>
      </c>
      <c r="D858" s="2" t="s">
        <v>524</v>
      </c>
      <c r="E858" s="2" t="s">
        <v>456</v>
      </c>
      <c r="F858" s="2"/>
      <c r="G858" s="2" t="s">
        <v>458</v>
      </c>
      <c r="H858" s="8" t="n">
        <v>435.740422622346</v>
      </c>
      <c r="I858" s="2" t="s">
        <v>316</v>
      </c>
      <c r="J858" s="8" t="n">
        <v>1007198.31223629</v>
      </c>
      <c r="K858" s="6" t="n">
        <v>237</v>
      </c>
      <c r="L858" s="2"/>
      <c r="M858" s="10" t="b">
        <f aca="false">TRUE()</f>
        <v>1</v>
      </c>
      <c r="N858" s="9" t="str">
        <f aca="false">IF(H858="","",IF(H858&gt;=Assumptions!$B$5,1,IF(H858&gt;=Assumptions!$B$6,2,IF(H858&gt;=Assumptions!$B$7,3,""))))</f>
        <v/>
      </c>
      <c r="O858" s="9" t="n">
        <f aca="false">IF(N858=1,Assumptions!$B$8,IF(N858=2,Assumptions!$B$9,IF(N858=3,Assumptions!$B$10,0)))</f>
        <v>0</v>
      </c>
      <c r="P858" s="6" t="s">
        <v>30</v>
      </c>
      <c r="Q858" s="6" t="s">
        <v>30</v>
      </c>
      <c r="R858" s="11" t="s">
        <v>30</v>
      </c>
      <c r="S858" s="6" t="s">
        <v>30</v>
      </c>
      <c r="T858" s="11" t="s">
        <v>30</v>
      </c>
      <c r="U858" s="6" t="s">
        <v>30</v>
      </c>
      <c r="V858" s="6" t="s">
        <v>30</v>
      </c>
      <c r="W858" s="6" t="s">
        <v>30</v>
      </c>
      <c r="X858" s="2" t="s">
        <v>30</v>
      </c>
      <c r="Y858" s="6" t="str">
        <f aca="false">IF(AND(X858="processed",ISNUMBER(S858)),S858*O858,"")</f>
        <v/>
      </c>
      <c r="Z858" s="6" t="n">
        <f aca="false">IF(ISNUMBER(K858),K858*O858,0)</f>
        <v>0</v>
      </c>
      <c r="AA858" s="2" t="s">
        <v>31</v>
      </c>
      <c r="AB858" s="6" t="n">
        <v>10764</v>
      </c>
      <c r="AC858" s="6" t="n">
        <v>9779</v>
      </c>
      <c r="AD858" s="6" t="n">
        <v>1569</v>
      </c>
      <c r="AE858" s="6" t="n">
        <v>2693.2080078125</v>
      </c>
      <c r="AF858" s="8" t="n">
        <v>434.039644566</v>
      </c>
      <c r="AG858" s="11" t="n">
        <v>-0.02530184382</v>
      </c>
      <c r="AH858" s="12" t="n">
        <v>0.999495837377193</v>
      </c>
      <c r="AI858" s="2" t="s">
        <v>317</v>
      </c>
      <c r="AJ858" s="2" t="s">
        <v>1930</v>
      </c>
      <c r="AK858" s="2" t="s">
        <v>1930</v>
      </c>
    </row>
    <row r="859" customFormat="false" ht="15" hidden="false" customHeight="false" outlineLevel="0" collapsed="false">
      <c r="A859" s="9"/>
      <c r="B859" s="2" t="s">
        <v>1931</v>
      </c>
      <c r="C859" s="2" t="s">
        <v>1930</v>
      </c>
      <c r="D859" s="2" t="s">
        <v>524</v>
      </c>
      <c r="E859" s="2" t="s">
        <v>456</v>
      </c>
      <c r="F859" s="2" t="s">
        <v>1932</v>
      </c>
      <c r="G859" s="2" t="s">
        <v>458</v>
      </c>
      <c r="H859" s="8" t="n">
        <v>466.256741381331</v>
      </c>
      <c r="I859" s="2" t="s">
        <v>316</v>
      </c>
      <c r="J859" s="8" t="n">
        <v>756893.225806452</v>
      </c>
      <c r="K859" s="6" t="n">
        <v>248</v>
      </c>
      <c r="L859" s="2"/>
      <c r="M859" s="10" t="b">
        <f aca="false">TRUE()</f>
        <v>1</v>
      </c>
      <c r="N859" s="9" t="str">
        <f aca="false">IF(H859="","",IF(H859&gt;=Assumptions!$B$5,1,IF(H859&gt;=Assumptions!$B$6,2,IF(H859&gt;=Assumptions!$B$7,3,""))))</f>
        <v/>
      </c>
      <c r="O859" s="9" t="n">
        <f aca="false">IF(N859=1,Assumptions!$B$8,IF(N859=2,Assumptions!$B$9,IF(N859=3,Assumptions!$B$10,0)))</f>
        <v>0</v>
      </c>
      <c r="P859" s="6" t="s">
        <v>30</v>
      </c>
      <c r="Q859" s="6" t="s">
        <v>30</v>
      </c>
      <c r="R859" s="11" t="s">
        <v>30</v>
      </c>
      <c r="S859" s="6" t="s">
        <v>30</v>
      </c>
      <c r="T859" s="11" t="s">
        <v>30</v>
      </c>
      <c r="U859" s="6" t="s">
        <v>30</v>
      </c>
      <c r="V859" s="6" t="s">
        <v>30</v>
      </c>
      <c r="W859" s="6" t="s">
        <v>30</v>
      </c>
      <c r="X859" s="2" t="s">
        <v>30</v>
      </c>
      <c r="Y859" s="6" t="str">
        <f aca="false">IF(AND(X859="processed",ISNUMBER(S859)),S859*O859,"")</f>
        <v/>
      </c>
      <c r="Z859" s="6" t="n">
        <f aca="false">IF(ISNUMBER(K859),K859*O859,0)</f>
        <v>0</v>
      </c>
      <c r="AA859" s="2" t="s">
        <v>31</v>
      </c>
      <c r="AB859" s="6" t="n">
        <v>16389</v>
      </c>
      <c r="AC859" s="6" t="n">
        <v>13792</v>
      </c>
      <c r="AD859" s="6" t="n">
        <v>3606</v>
      </c>
      <c r="AE859" s="6" t="n">
        <v>2127.26635742188</v>
      </c>
      <c r="AF859" s="8" t="n">
        <v>457.746478873</v>
      </c>
      <c r="AG859" s="11" t="n">
        <v>-0.03376634729</v>
      </c>
      <c r="AH859" s="12" t="n">
        <v>0.999833093237892</v>
      </c>
      <c r="AI859" s="2" t="s">
        <v>317</v>
      </c>
      <c r="AJ859" s="2" t="s">
        <v>1930</v>
      </c>
      <c r="AK859" s="2" t="s">
        <v>1930</v>
      </c>
    </row>
    <row r="860" customFormat="false" ht="15" hidden="false" customHeight="false" outlineLevel="0" collapsed="false">
      <c r="A860" s="9"/>
      <c r="B860" s="2" t="s">
        <v>1933</v>
      </c>
      <c r="C860" s="2" t="s">
        <v>1828</v>
      </c>
      <c r="D860" s="2" t="s">
        <v>44</v>
      </c>
      <c r="E860" s="2" t="s">
        <v>44</v>
      </c>
      <c r="F860" s="2" t="s">
        <v>1934</v>
      </c>
      <c r="G860" s="2" t="s">
        <v>322</v>
      </c>
      <c r="H860" s="8" t="n">
        <v>466.896034617013</v>
      </c>
      <c r="I860" s="2" t="s">
        <v>316</v>
      </c>
      <c r="J860" s="8" t="n">
        <v>981570.512820513</v>
      </c>
      <c r="K860" s="6" t="n">
        <v>156</v>
      </c>
      <c r="L860" s="2"/>
      <c r="M860" s="10" t="b">
        <f aca="false">TRUE()</f>
        <v>1</v>
      </c>
      <c r="N860" s="9" t="str">
        <f aca="false">IF(H860="","",IF(H860&gt;=Assumptions!$B$5,1,IF(H860&gt;=Assumptions!$B$6,2,IF(H860&gt;=Assumptions!$B$7,3,""))))</f>
        <v/>
      </c>
      <c r="O860" s="9" t="n">
        <f aca="false">IF(N860=1,Assumptions!$B$8,IF(N860=2,Assumptions!$B$9,IF(N860=3,Assumptions!$B$10,0)))</f>
        <v>0</v>
      </c>
      <c r="P860" s="6" t="s">
        <v>30</v>
      </c>
      <c r="Q860" s="6" t="s">
        <v>30</v>
      </c>
      <c r="R860" s="11" t="s">
        <v>30</v>
      </c>
      <c r="S860" s="6" t="s">
        <v>30</v>
      </c>
      <c r="T860" s="11" t="s">
        <v>30</v>
      </c>
      <c r="U860" s="6" t="s">
        <v>30</v>
      </c>
      <c r="V860" s="6" t="s">
        <v>30</v>
      </c>
      <c r="W860" s="6" t="s">
        <v>30</v>
      </c>
      <c r="X860" s="2" t="s">
        <v>30</v>
      </c>
      <c r="Y860" s="6" t="str">
        <f aca="false">IF(AND(X860="processed",ISNUMBER(S860)),S860*O860,"")</f>
        <v/>
      </c>
      <c r="Z860" s="6" t="n">
        <f aca="false">IF(ISNUMBER(K860),K860*O860,0)</f>
        <v>0</v>
      </c>
      <c r="AA860" s="2" t="s">
        <v>31</v>
      </c>
      <c r="AB860" s="6" t="n">
        <v>9122</v>
      </c>
      <c r="AC860" s="6" t="n">
        <v>7602</v>
      </c>
      <c r="AD860" s="6" t="n">
        <v>8506</v>
      </c>
      <c r="AE860" s="6" t="n">
        <v>2481.91650390625</v>
      </c>
      <c r="AF860" s="8" t="n">
        <v>460.189793688</v>
      </c>
      <c r="AG860" s="11" t="n">
        <v>0.04625153957</v>
      </c>
      <c r="AH860" s="12" t="n">
        <v>1</v>
      </c>
      <c r="AI860" s="2" t="s">
        <v>317</v>
      </c>
      <c r="AJ860" s="2" t="s">
        <v>1828</v>
      </c>
      <c r="AK860" s="2" t="s">
        <v>1935</v>
      </c>
    </row>
    <row r="861" customFormat="false" ht="15" hidden="false" customHeight="false" outlineLevel="0" collapsed="false">
      <c r="A861" s="9"/>
      <c r="B861" s="2" t="s">
        <v>1936</v>
      </c>
      <c r="C861" s="2" t="s">
        <v>1937</v>
      </c>
      <c r="D861" s="2" t="s">
        <v>44</v>
      </c>
      <c r="E861" s="2" t="s">
        <v>44</v>
      </c>
      <c r="F861" s="2"/>
      <c r="G861" s="2" t="s">
        <v>322</v>
      </c>
      <c r="H861" s="8" t="n">
        <v>321.619701128941</v>
      </c>
      <c r="I861" s="2" t="s">
        <v>316</v>
      </c>
      <c r="J861" s="8" t="n">
        <v>467764.705882353</v>
      </c>
      <c r="K861" s="6" t="n">
        <v>17</v>
      </c>
      <c r="L861" s="2"/>
      <c r="M861" s="10" t="b">
        <f aca="false">TRUE()</f>
        <v>1</v>
      </c>
      <c r="N861" s="9" t="str">
        <f aca="false">IF(H861="","",IF(H861&gt;=Assumptions!$B$5,1,IF(H861&gt;=Assumptions!$B$6,2,IF(H861&gt;=Assumptions!$B$7,3,""))))</f>
        <v/>
      </c>
      <c r="O861" s="9" t="n">
        <f aca="false">IF(N861=1,Assumptions!$B$8,IF(N861=2,Assumptions!$B$9,IF(N861=3,Assumptions!$B$10,0)))</f>
        <v>0</v>
      </c>
      <c r="P861" s="6" t="s">
        <v>30</v>
      </c>
      <c r="Q861" s="6" t="s">
        <v>30</v>
      </c>
      <c r="R861" s="11" t="s">
        <v>30</v>
      </c>
      <c r="S861" s="6" t="s">
        <v>30</v>
      </c>
      <c r="T861" s="11" t="s">
        <v>30</v>
      </c>
      <c r="U861" s="6" t="s">
        <v>30</v>
      </c>
      <c r="V861" s="6" t="s">
        <v>30</v>
      </c>
      <c r="W861" s="6" t="s">
        <v>30</v>
      </c>
      <c r="X861" s="2" t="s">
        <v>30</v>
      </c>
      <c r="Y861" s="6" t="str">
        <f aca="false">IF(AND(X861="processed",ISNUMBER(S861)),S861*O861,"")</f>
        <v/>
      </c>
      <c r="Z861" s="6" t="n">
        <f aca="false">IF(ISNUMBER(K861),K861*O861,0)</f>
        <v>0</v>
      </c>
      <c r="AA861" s="2" t="s">
        <v>31</v>
      </c>
      <c r="AB861" s="6" t="n">
        <v>3509</v>
      </c>
      <c r="AC861" s="6" t="n">
        <v>1395</v>
      </c>
      <c r="AD861" s="6" t="n">
        <v>1390</v>
      </c>
      <c r="AE861" s="6" t="n">
        <v>1485.21691894531</v>
      </c>
      <c r="AF861" s="8" t="n">
        <v>324.463118581</v>
      </c>
      <c r="AG861" s="11" t="n">
        <v>0.7989677352</v>
      </c>
      <c r="AH861" s="12" t="n">
        <v>0.999796766371853</v>
      </c>
      <c r="AI861" s="2" t="s">
        <v>317</v>
      </c>
      <c r="AJ861" s="2" t="s">
        <v>1937</v>
      </c>
      <c r="AK861" s="2" t="s">
        <v>1938</v>
      </c>
    </row>
    <row r="862" customFormat="false" ht="15" hidden="false" customHeight="false" outlineLevel="0" collapsed="false">
      <c r="A862" s="9"/>
      <c r="B862" s="2" t="s">
        <v>1939</v>
      </c>
      <c r="C862" s="2" t="s">
        <v>1940</v>
      </c>
      <c r="D862" s="2" t="s">
        <v>44</v>
      </c>
      <c r="E862" s="2" t="s">
        <v>44</v>
      </c>
      <c r="F862" s="2"/>
      <c r="G862" s="2" t="s">
        <v>322</v>
      </c>
      <c r="H862" s="8" t="n">
        <v>372.295225912829</v>
      </c>
      <c r="I862" s="2" t="s">
        <v>316</v>
      </c>
      <c r="J862" s="8" t="n">
        <v>476804.878048781</v>
      </c>
      <c r="K862" s="6" t="n">
        <v>41</v>
      </c>
      <c r="L862" s="2"/>
      <c r="M862" s="10" t="b">
        <f aca="false">TRUE()</f>
        <v>1</v>
      </c>
      <c r="N862" s="9" t="str">
        <f aca="false">IF(H862="","",IF(H862&gt;=Assumptions!$B$5,1,IF(H862&gt;=Assumptions!$B$6,2,IF(H862&gt;=Assumptions!$B$7,3,""))))</f>
        <v/>
      </c>
      <c r="O862" s="9" t="n">
        <f aca="false">IF(N862=1,Assumptions!$B$8,IF(N862=2,Assumptions!$B$9,IF(N862=3,Assumptions!$B$10,0)))</f>
        <v>0</v>
      </c>
      <c r="P862" s="6" t="s">
        <v>30</v>
      </c>
      <c r="Q862" s="6" t="s">
        <v>30</v>
      </c>
      <c r="R862" s="11" t="s">
        <v>30</v>
      </c>
      <c r="S862" s="6" t="s">
        <v>30</v>
      </c>
      <c r="T862" s="11" t="s">
        <v>30</v>
      </c>
      <c r="U862" s="6" t="s">
        <v>30</v>
      </c>
      <c r="V862" s="6" t="s">
        <v>30</v>
      </c>
      <c r="W862" s="6" t="s">
        <v>30</v>
      </c>
      <c r="X862" s="2" t="s">
        <v>30</v>
      </c>
      <c r="Y862" s="6" t="str">
        <f aca="false">IF(AND(X862="processed",ISNUMBER(S862)),S862*O862,"")</f>
        <v/>
      </c>
      <c r="Z862" s="6" t="n">
        <f aca="false">IF(ISNUMBER(K862),K862*O862,0)</f>
        <v>0</v>
      </c>
      <c r="AA862" s="2" t="s">
        <v>31</v>
      </c>
      <c r="AB862" s="6" t="n">
        <v>3584</v>
      </c>
      <c r="AC862" s="6" t="n">
        <v>2275</v>
      </c>
      <c r="AD862" s="6" t="n">
        <v>1518</v>
      </c>
      <c r="AE862" s="6" t="n">
        <v>1719.30139160156</v>
      </c>
      <c r="AF862" s="8" t="n">
        <v>372.869318182</v>
      </c>
      <c r="AG862" s="11" t="n">
        <v>0.1042668269</v>
      </c>
      <c r="AH862" s="12" t="n">
        <v>0.999931591790725</v>
      </c>
      <c r="AI862" s="2" t="s">
        <v>317</v>
      </c>
      <c r="AJ862" s="2" t="s">
        <v>1940</v>
      </c>
      <c r="AK862" s="2" t="s">
        <v>1941</v>
      </c>
    </row>
    <row r="863" customFormat="false" ht="15" hidden="false" customHeight="false" outlineLevel="0" collapsed="false">
      <c r="A863" s="9"/>
      <c r="B863" s="2" t="s">
        <v>1942</v>
      </c>
      <c r="C863" s="2" t="s">
        <v>993</v>
      </c>
      <c r="D863" s="2" t="s">
        <v>44</v>
      </c>
      <c r="E863" s="2" t="s">
        <v>44</v>
      </c>
      <c r="F863" s="2" t="s">
        <v>1943</v>
      </c>
      <c r="G863" s="2" t="s">
        <v>322</v>
      </c>
      <c r="H863" s="8" t="n">
        <v>449.148233328482</v>
      </c>
      <c r="I863" s="2" t="s">
        <v>316</v>
      </c>
      <c r="J863" s="8" t="n">
        <v>973284.172661871</v>
      </c>
      <c r="K863" s="6" t="n">
        <v>278</v>
      </c>
      <c r="L863" s="2"/>
      <c r="M863" s="10" t="b">
        <f aca="false">TRUE()</f>
        <v>1</v>
      </c>
      <c r="N863" s="9" t="str">
        <f aca="false">IF(H863="","",IF(H863&gt;=Assumptions!$B$5,1,IF(H863&gt;=Assumptions!$B$6,2,IF(H863&gt;=Assumptions!$B$7,3,""))))</f>
        <v/>
      </c>
      <c r="O863" s="9" t="n">
        <f aca="false">IF(N863=1,Assumptions!$B$8,IF(N863=2,Assumptions!$B$9,IF(N863=3,Assumptions!$B$10,0)))</f>
        <v>0</v>
      </c>
      <c r="P863" s="6" t="s">
        <v>30</v>
      </c>
      <c r="Q863" s="6" t="s">
        <v>30</v>
      </c>
      <c r="R863" s="11" t="s">
        <v>30</v>
      </c>
      <c r="S863" s="6" t="s">
        <v>30</v>
      </c>
      <c r="T863" s="11" t="s">
        <v>30</v>
      </c>
      <c r="U863" s="6" t="s">
        <v>30</v>
      </c>
      <c r="V863" s="6" t="s">
        <v>30</v>
      </c>
      <c r="W863" s="6" t="s">
        <v>30</v>
      </c>
      <c r="X863" s="2" t="s">
        <v>30</v>
      </c>
      <c r="Y863" s="6" t="str">
        <f aca="false">IF(AND(X863="processed",ISNUMBER(S863)),S863*O863,"")</f>
        <v/>
      </c>
      <c r="Z863" s="6" t="n">
        <f aca="false">IF(ISNUMBER(K863),K863*O863,0)</f>
        <v>0</v>
      </c>
      <c r="AA863" s="2" t="s">
        <v>31</v>
      </c>
      <c r="AB863" s="6" t="n">
        <v>15980</v>
      </c>
      <c r="AC863" s="6" t="n">
        <v>12262</v>
      </c>
      <c r="AD863" s="6" t="n">
        <v>624</v>
      </c>
      <c r="AE863" s="6" t="n">
        <v>2140.626953125</v>
      </c>
      <c r="AF863" s="8" t="n">
        <v>440.865626573</v>
      </c>
      <c r="AG863" s="11" t="n">
        <v>0.009589749411</v>
      </c>
      <c r="AH863" s="12" t="n">
        <v>1</v>
      </c>
      <c r="AI863" s="2" t="s">
        <v>317</v>
      </c>
      <c r="AJ863" s="2" t="s">
        <v>993</v>
      </c>
      <c r="AK863" s="2" t="s">
        <v>993</v>
      </c>
    </row>
    <row r="864" customFormat="false" ht="15" hidden="false" customHeight="false" outlineLevel="0" collapsed="false">
      <c r="A864" s="9"/>
      <c r="B864" s="2" t="s">
        <v>1944</v>
      </c>
      <c r="C864" s="2" t="s">
        <v>993</v>
      </c>
      <c r="D864" s="2" t="s">
        <v>44</v>
      </c>
      <c r="E864" s="2" t="s">
        <v>44</v>
      </c>
      <c r="F864" s="2" t="s">
        <v>1945</v>
      </c>
      <c r="G864" s="2" t="s">
        <v>322</v>
      </c>
      <c r="H864" s="8" t="n">
        <v>467.368342044724</v>
      </c>
      <c r="I864" s="2" t="s">
        <v>316</v>
      </c>
      <c r="J864" s="8" t="n">
        <v>1326184.21052632</v>
      </c>
      <c r="K864" s="6" t="n">
        <v>76</v>
      </c>
      <c r="L864" s="2"/>
      <c r="M864" s="10" t="b">
        <f aca="false">TRUE()</f>
        <v>1</v>
      </c>
      <c r="N864" s="9" t="str">
        <f aca="false">IF(H864="","",IF(H864&gt;=Assumptions!$B$5,1,IF(H864&gt;=Assumptions!$B$6,2,IF(H864&gt;=Assumptions!$B$7,3,""))))</f>
        <v/>
      </c>
      <c r="O864" s="9" t="n">
        <f aca="false">IF(N864=1,Assumptions!$B$8,IF(N864=2,Assumptions!$B$9,IF(N864=3,Assumptions!$B$10,0)))</f>
        <v>0</v>
      </c>
      <c r="P864" s="6" t="s">
        <v>30</v>
      </c>
      <c r="Q864" s="6" t="s">
        <v>30</v>
      </c>
      <c r="R864" s="11" t="s">
        <v>30</v>
      </c>
      <c r="S864" s="6" t="s">
        <v>30</v>
      </c>
      <c r="T864" s="11" t="s">
        <v>30</v>
      </c>
      <c r="U864" s="6" t="s">
        <v>30</v>
      </c>
      <c r="V864" s="6" t="s">
        <v>30</v>
      </c>
      <c r="W864" s="6" t="s">
        <v>30</v>
      </c>
      <c r="X864" s="2" t="s">
        <v>30</v>
      </c>
      <c r="Y864" s="6" t="str">
        <f aca="false">IF(AND(X864="processed",ISNUMBER(S864)),S864*O864,"")</f>
        <v/>
      </c>
      <c r="Z864" s="6" t="n">
        <f aca="false">IF(ISNUMBER(K864),K864*O864,0)</f>
        <v>0</v>
      </c>
      <c r="AA864" s="2" t="s">
        <v>31</v>
      </c>
      <c r="AB864" s="6" t="n">
        <v>6324</v>
      </c>
      <c r="AC864" s="6" t="n">
        <v>4324</v>
      </c>
      <c r="AD864" s="6" t="n">
        <v>73</v>
      </c>
      <c r="AE864" s="6" t="n">
        <v>2676.13940429688</v>
      </c>
      <c r="AF864" s="8" t="n">
        <v>472.316977171</v>
      </c>
      <c r="AG864" s="11" t="n">
        <v>-0.05158750984</v>
      </c>
      <c r="AH864" s="12" t="n">
        <v>1</v>
      </c>
      <c r="AI864" s="2" t="s">
        <v>317</v>
      </c>
      <c r="AJ864" s="2" t="s">
        <v>993</v>
      </c>
      <c r="AK864" s="2" t="s">
        <v>993</v>
      </c>
    </row>
    <row r="865" customFormat="false" ht="15" hidden="false" customHeight="false" outlineLevel="0" collapsed="false">
      <c r="A865" s="9"/>
      <c r="B865" s="2" t="s">
        <v>1946</v>
      </c>
      <c r="C865" s="2" t="s">
        <v>993</v>
      </c>
      <c r="D865" s="2" t="s">
        <v>44</v>
      </c>
      <c r="E865" s="2" t="s">
        <v>44</v>
      </c>
      <c r="F865" s="2" t="s">
        <v>1947</v>
      </c>
      <c r="G865" s="2" t="s">
        <v>322</v>
      </c>
      <c r="H865" s="8" t="n">
        <v>466.208924484214</v>
      </c>
      <c r="I865" s="2" t="s">
        <v>316</v>
      </c>
      <c r="J865" s="8" t="n">
        <v>977269.230769231</v>
      </c>
      <c r="K865" s="6" t="n">
        <v>117</v>
      </c>
      <c r="L865" s="2"/>
      <c r="M865" s="10" t="b">
        <f aca="false">TRUE()</f>
        <v>1</v>
      </c>
      <c r="N865" s="9" t="str">
        <f aca="false">IF(H865="","",IF(H865&gt;=Assumptions!$B$5,1,IF(H865&gt;=Assumptions!$B$6,2,IF(H865&gt;=Assumptions!$B$7,3,""))))</f>
        <v/>
      </c>
      <c r="O865" s="9" t="n">
        <f aca="false">IF(N865=1,Assumptions!$B$8,IF(N865=2,Assumptions!$B$9,IF(N865=3,Assumptions!$B$10,0)))</f>
        <v>0</v>
      </c>
      <c r="P865" s="6" t="s">
        <v>30</v>
      </c>
      <c r="Q865" s="6" t="s">
        <v>30</v>
      </c>
      <c r="R865" s="11" t="s">
        <v>30</v>
      </c>
      <c r="S865" s="6" t="s">
        <v>30</v>
      </c>
      <c r="T865" s="11" t="s">
        <v>30</v>
      </c>
      <c r="U865" s="6" t="s">
        <v>30</v>
      </c>
      <c r="V865" s="6" t="s">
        <v>30</v>
      </c>
      <c r="W865" s="6" t="s">
        <v>30</v>
      </c>
      <c r="X865" s="2" t="s">
        <v>30</v>
      </c>
      <c r="Y865" s="6" t="str">
        <f aca="false">IF(AND(X865="processed",ISNUMBER(S865)),S865*O865,"")</f>
        <v/>
      </c>
      <c r="Z865" s="6" t="n">
        <f aca="false">IF(ISNUMBER(K865),K865*O865,0)</f>
        <v>0</v>
      </c>
      <c r="AA865" s="2" t="s">
        <v>31</v>
      </c>
      <c r="AB865" s="6" t="n">
        <v>9551</v>
      </c>
      <c r="AC865" s="6" t="n">
        <v>7590</v>
      </c>
      <c r="AD865" s="6" t="n">
        <v>80</v>
      </c>
      <c r="AE865" s="6" t="n">
        <v>1904.21508789063</v>
      </c>
      <c r="AF865" s="8" t="n">
        <v>483.70369508</v>
      </c>
      <c r="AG865" s="11" t="n">
        <v>0.007239834821</v>
      </c>
      <c r="AH865" s="12" t="n">
        <v>1</v>
      </c>
      <c r="AI865" s="2" t="s">
        <v>317</v>
      </c>
      <c r="AJ865" s="2" t="s">
        <v>993</v>
      </c>
      <c r="AK865" s="2" t="s">
        <v>993</v>
      </c>
    </row>
    <row r="866" customFormat="false" ht="15" hidden="false" customHeight="false" outlineLevel="0" collapsed="false">
      <c r="A866" s="9"/>
      <c r="B866" s="2" t="s">
        <v>1948</v>
      </c>
      <c r="C866" s="2" t="s">
        <v>1949</v>
      </c>
      <c r="D866" s="2" t="s">
        <v>44</v>
      </c>
      <c r="E866" s="2" t="s">
        <v>44</v>
      </c>
      <c r="F866" s="2"/>
      <c r="G866" s="2" t="s">
        <v>322</v>
      </c>
      <c r="H866" s="8" t="n">
        <v>418.708091650063</v>
      </c>
      <c r="I866" s="2" t="s">
        <v>316</v>
      </c>
      <c r="J866" s="8" t="n">
        <v>738078.125</v>
      </c>
      <c r="K866" s="6" t="n">
        <v>32</v>
      </c>
      <c r="L866" s="2"/>
      <c r="M866" s="10" t="b">
        <f aca="false">TRUE()</f>
        <v>1</v>
      </c>
      <c r="N866" s="9" t="str">
        <f aca="false">IF(H866="","",IF(H866&gt;=Assumptions!$B$5,1,IF(H866&gt;=Assumptions!$B$6,2,IF(H866&gt;=Assumptions!$B$7,3,""))))</f>
        <v/>
      </c>
      <c r="O866" s="9" t="n">
        <f aca="false">IF(N866=1,Assumptions!$B$8,IF(N866=2,Assumptions!$B$9,IF(N866=3,Assumptions!$B$10,0)))</f>
        <v>0</v>
      </c>
      <c r="P866" s="6" t="s">
        <v>30</v>
      </c>
      <c r="Q866" s="6" t="s">
        <v>30</v>
      </c>
      <c r="R866" s="11" t="s">
        <v>30</v>
      </c>
      <c r="S866" s="6" t="s">
        <v>30</v>
      </c>
      <c r="T866" s="11" t="s">
        <v>30</v>
      </c>
      <c r="U866" s="6" t="s">
        <v>30</v>
      </c>
      <c r="V866" s="6" t="s">
        <v>30</v>
      </c>
      <c r="W866" s="6" t="s">
        <v>30</v>
      </c>
      <c r="X866" s="2" t="s">
        <v>30</v>
      </c>
      <c r="Y866" s="6" t="str">
        <f aca="false">IF(AND(X866="processed",ISNUMBER(S866)),S866*O866,"")</f>
        <v/>
      </c>
      <c r="Z866" s="6" t="n">
        <f aca="false">IF(ISNUMBER(K866),K866*O866,0)</f>
        <v>0</v>
      </c>
      <c r="AA866" s="2" t="s">
        <v>31</v>
      </c>
      <c r="AB866" s="6" t="n">
        <v>1546</v>
      </c>
      <c r="AC866" s="6" t="n">
        <v>1247</v>
      </c>
      <c r="AD866" s="6" t="n">
        <v>1504</v>
      </c>
      <c r="AE866" s="6" t="n">
        <v>1595.70935058594</v>
      </c>
      <c r="AF866" s="8" t="n">
        <v>394.42645648</v>
      </c>
      <c r="AG866" s="11" t="n">
        <v>-0.1234967634</v>
      </c>
      <c r="AH866" s="12" t="n">
        <v>0.999999999999998</v>
      </c>
      <c r="AI866" s="2" t="s">
        <v>317</v>
      </c>
      <c r="AJ866" s="2" t="s">
        <v>1949</v>
      </c>
      <c r="AK866" s="2" t="s">
        <v>1950</v>
      </c>
    </row>
    <row r="867" customFormat="false" ht="15" hidden="false" customHeight="false" outlineLevel="0" collapsed="false">
      <c r="A867" s="9"/>
      <c r="B867" s="2" t="s">
        <v>1951</v>
      </c>
      <c r="C867" s="2" t="s">
        <v>1952</v>
      </c>
      <c r="D867" s="2" t="s">
        <v>44</v>
      </c>
      <c r="E867" s="2" t="s">
        <v>44</v>
      </c>
      <c r="F867" s="2"/>
      <c r="G867" s="2" t="s">
        <v>322</v>
      </c>
      <c r="H867" s="8" t="n">
        <v>485.012755102</v>
      </c>
      <c r="I867" s="2" t="s">
        <v>316</v>
      </c>
      <c r="J867" s="8" t="n">
        <v>760500</v>
      </c>
      <c r="K867" s="6" t="n">
        <v>1</v>
      </c>
      <c r="L867" s="2" t="s">
        <v>1664</v>
      </c>
      <c r="M867" s="10" t="b">
        <f aca="false">TRUE()</f>
        <v>1</v>
      </c>
      <c r="N867" s="9" t="str">
        <f aca="false">IF(H867="","",IF(H867&gt;=Assumptions!$B$5,1,IF(H867&gt;=Assumptions!$B$6,2,IF(H867&gt;=Assumptions!$B$7,3,""))))</f>
        <v/>
      </c>
      <c r="O867" s="9" t="n">
        <f aca="false">IF(N867=1,Assumptions!$B$8,IF(N867=2,Assumptions!$B$9,IF(N867=3,Assumptions!$B$10,0)))</f>
        <v>0</v>
      </c>
      <c r="P867" s="6" t="s">
        <v>30</v>
      </c>
      <c r="Q867" s="6" t="s">
        <v>30</v>
      </c>
      <c r="R867" s="11" t="s">
        <v>30</v>
      </c>
      <c r="S867" s="6" t="s">
        <v>30</v>
      </c>
      <c r="T867" s="11" t="s">
        <v>30</v>
      </c>
      <c r="U867" s="6" t="s">
        <v>30</v>
      </c>
      <c r="V867" s="6" t="s">
        <v>30</v>
      </c>
      <c r="W867" s="6" t="s">
        <v>30</v>
      </c>
      <c r="X867" s="2" t="s">
        <v>30</v>
      </c>
      <c r="Y867" s="6" t="str">
        <f aca="false">IF(AND(X867="processed",ISNUMBER(S867)),S867*O867,"")</f>
        <v/>
      </c>
      <c r="Z867" s="6" t="n">
        <f aca="false">IF(ISNUMBER(K867),K867*O867,0)</f>
        <v>0</v>
      </c>
      <c r="AA867" s="2" t="s">
        <v>31</v>
      </c>
      <c r="AB867" s="6" t="n">
        <v>330</v>
      </c>
      <c r="AC867" s="6" t="n">
        <v>261</v>
      </c>
      <c r="AD867" s="6" t="n">
        <v>236</v>
      </c>
      <c r="AE867" s="6" t="n">
        <v>1165.31689453125</v>
      </c>
      <c r="AF867" s="8" t="n">
        <v>485.012755102</v>
      </c>
      <c r="AG867" s="11" t="n">
        <v>0.2208125933</v>
      </c>
      <c r="AH867" s="12" t="n">
        <v>1</v>
      </c>
      <c r="AI867" s="2" t="s">
        <v>317</v>
      </c>
      <c r="AJ867" s="2" t="s">
        <v>1952</v>
      </c>
      <c r="AK867" s="2" t="s">
        <v>1953</v>
      </c>
    </row>
    <row r="868" customFormat="false" ht="15" hidden="false" customHeight="false" outlineLevel="0" collapsed="false">
      <c r="A868" s="9"/>
      <c r="B868" s="2" t="s">
        <v>1954</v>
      </c>
      <c r="C868" s="2" t="s">
        <v>1955</v>
      </c>
      <c r="D868" s="2" t="s">
        <v>44</v>
      </c>
      <c r="E868" s="2" t="s">
        <v>44</v>
      </c>
      <c r="F868" s="2"/>
      <c r="G868" s="2" t="s">
        <v>322</v>
      </c>
      <c r="H868" s="8" t="n">
        <v>319.090065537</v>
      </c>
      <c r="I868" s="2" t="s">
        <v>316</v>
      </c>
      <c r="J868" s="8" t="n">
        <v>336715.285714286</v>
      </c>
      <c r="K868" s="6" t="n">
        <v>7</v>
      </c>
      <c r="L868" s="2"/>
      <c r="M868" s="10" t="b">
        <f aca="false">TRUE()</f>
        <v>1</v>
      </c>
      <c r="N868" s="9" t="str">
        <f aca="false">IF(H868="","",IF(H868&gt;=Assumptions!$B$5,1,IF(H868&gt;=Assumptions!$B$6,2,IF(H868&gt;=Assumptions!$B$7,3,""))))</f>
        <v/>
      </c>
      <c r="O868" s="9" t="n">
        <f aca="false">IF(N868=1,Assumptions!$B$8,IF(N868=2,Assumptions!$B$9,IF(N868=3,Assumptions!$B$10,0)))</f>
        <v>0</v>
      </c>
      <c r="P868" s="6" t="s">
        <v>30</v>
      </c>
      <c r="Q868" s="6" t="s">
        <v>30</v>
      </c>
      <c r="R868" s="11" t="s">
        <v>30</v>
      </c>
      <c r="S868" s="6" t="s">
        <v>30</v>
      </c>
      <c r="T868" s="11" t="s">
        <v>30</v>
      </c>
      <c r="U868" s="6" t="s">
        <v>30</v>
      </c>
      <c r="V868" s="6" t="s">
        <v>30</v>
      </c>
      <c r="W868" s="6" t="s">
        <v>30</v>
      </c>
      <c r="X868" s="2" t="s">
        <v>30</v>
      </c>
      <c r="Y868" s="6" t="str">
        <f aca="false">IF(AND(X868="processed",ISNUMBER(S868)),S868*O868,"")</f>
        <v/>
      </c>
      <c r="Z868" s="6" t="n">
        <f aca="false">IF(ISNUMBER(K868),K868*O868,0)</f>
        <v>0</v>
      </c>
      <c r="AA868" s="2" t="s">
        <v>31</v>
      </c>
      <c r="AB868" s="6" t="n">
        <v>1974</v>
      </c>
      <c r="AC868" s="6" t="n">
        <v>585</v>
      </c>
      <c r="AD868" s="6" t="n">
        <v>202</v>
      </c>
      <c r="AE868" s="6" t="n">
        <v>1233.83532714844</v>
      </c>
      <c r="AF868" s="8" t="n">
        <v>349.264705882</v>
      </c>
      <c r="AG868" s="11" t="n">
        <v>0.4477570018</v>
      </c>
      <c r="AH868" s="12" t="n">
        <v>0.999075068061003</v>
      </c>
      <c r="AI868" s="2" t="s">
        <v>317</v>
      </c>
      <c r="AJ868" s="2" t="s">
        <v>1955</v>
      </c>
      <c r="AK868" s="2" t="s">
        <v>1956</v>
      </c>
    </row>
    <row r="869" customFormat="false" ht="15" hidden="false" customHeight="false" outlineLevel="0" collapsed="false">
      <c r="A869" s="9"/>
      <c r="B869" s="2" t="s">
        <v>1957</v>
      </c>
      <c r="C869" s="2" t="s">
        <v>1958</v>
      </c>
      <c r="D869" s="2" t="s">
        <v>44</v>
      </c>
      <c r="E869" s="2" t="s">
        <v>44</v>
      </c>
      <c r="F869" s="2" t="s">
        <v>1959</v>
      </c>
      <c r="G869" s="2" t="s">
        <v>322</v>
      </c>
      <c r="H869" s="8" t="n">
        <v>437.1716793942</v>
      </c>
      <c r="I869" s="2" t="s">
        <v>316</v>
      </c>
      <c r="J869" s="8" t="n">
        <v>989458.823529412</v>
      </c>
      <c r="K869" s="6" t="n">
        <v>85</v>
      </c>
      <c r="L869" s="2"/>
      <c r="M869" s="10" t="b">
        <f aca="false">TRUE()</f>
        <v>1</v>
      </c>
      <c r="N869" s="9" t="str">
        <f aca="false">IF(H869="","",IF(H869&gt;=Assumptions!$B$5,1,IF(H869&gt;=Assumptions!$B$6,2,IF(H869&gt;=Assumptions!$B$7,3,""))))</f>
        <v/>
      </c>
      <c r="O869" s="9" t="n">
        <f aca="false">IF(N869=1,Assumptions!$B$8,IF(N869=2,Assumptions!$B$9,IF(N869=3,Assumptions!$B$10,0)))</f>
        <v>0</v>
      </c>
      <c r="P869" s="6" t="s">
        <v>30</v>
      </c>
      <c r="Q869" s="6" t="s">
        <v>30</v>
      </c>
      <c r="R869" s="11" t="s">
        <v>30</v>
      </c>
      <c r="S869" s="6" t="s">
        <v>30</v>
      </c>
      <c r="T869" s="11" t="s">
        <v>30</v>
      </c>
      <c r="U869" s="6" t="s">
        <v>30</v>
      </c>
      <c r="V869" s="6" t="s">
        <v>30</v>
      </c>
      <c r="W869" s="6" t="s">
        <v>30</v>
      </c>
      <c r="X869" s="2" t="s">
        <v>30</v>
      </c>
      <c r="Y869" s="6" t="str">
        <f aca="false">IF(AND(X869="processed",ISNUMBER(S869)),S869*O869,"")</f>
        <v/>
      </c>
      <c r="Z869" s="6" t="n">
        <f aca="false">IF(ISNUMBER(K869),K869*O869,0)</f>
        <v>0</v>
      </c>
      <c r="AA869" s="2" t="s">
        <v>31</v>
      </c>
      <c r="AB869" s="6" t="n">
        <v>9707</v>
      </c>
      <c r="AC869" s="6" t="n">
        <v>4955</v>
      </c>
      <c r="AD869" s="6" t="n">
        <v>2547</v>
      </c>
      <c r="AE869" s="6" t="n">
        <v>2109.89038085938</v>
      </c>
      <c r="AF869" s="8" t="n">
        <v>442.180621092</v>
      </c>
      <c r="AG869" s="11" t="n">
        <v>0.05438682294</v>
      </c>
      <c r="AH869" s="12" t="n">
        <v>1</v>
      </c>
      <c r="AI869" s="2" t="s">
        <v>317</v>
      </c>
      <c r="AJ869" s="2" t="s">
        <v>1958</v>
      </c>
      <c r="AK869" s="2" t="s">
        <v>1960</v>
      </c>
    </row>
    <row r="870" customFormat="false" ht="15" hidden="false" customHeight="false" outlineLevel="0" collapsed="false">
      <c r="A870" s="9"/>
      <c r="B870" s="2" t="s">
        <v>1961</v>
      </c>
      <c r="C870" s="2" t="s">
        <v>1962</v>
      </c>
      <c r="D870" s="2" t="s">
        <v>44</v>
      </c>
      <c r="E870" s="2" t="s">
        <v>44</v>
      </c>
      <c r="F870" s="2"/>
      <c r="G870" s="2" t="s">
        <v>322</v>
      </c>
      <c r="H870" s="8" t="n">
        <v>253.20624426875</v>
      </c>
      <c r="I870" s="2" t="s">
        <v>316</v>
      </c>
      <c r="J870" s="8" t="n">
        <v>205250</v>
      </c>
      <c r="K870" s="6" t="n">
        <v>8</v>
      </c>
      <c r="L870" s="2"/>
      <c r="M870" s="10" t="b">
        <f aca="false">TRUE()</f>
        <v>1</v>
      </c>
      <c r="N870" s="9" t="str">
        <f aca="false">IF(H870="","",IF(H870&gt;=Assumptions!$B$5,1,IF(H870&gt;=Assumptions!$B$6,2,IF(H870&gt;=Assumptions!$B$7,3,""))))</f>
        <v/>
      </c>
      <c r="O870" s="9" t="n">
        <f aca="false">IF(N870=1,Assumptions!$B$8,IF(N870=2,Assumptions!$B$9,IF(N870=3,Assumptions!$B$10,0)))</f>
        <v>0</v>
      </c>
      <c r="P870" s="6" t="s">
        <v>30</v>
      </c>
      <c r="Q870" s="6" t="s">
        <v>30</v>
      </c>
      <c r="R870" s="11" t="s">
        <v>30</v>
      </c>
      <c r="S870" s="6" t="s">
        <v>30</v>
      </c>
      <c r="T870" s="11" t="s">
        <v>30</v>
      </c>
      <c r="U870" s="6" t="s">
        <v>30</v>
      </c>
      <c r="V870" s="6" t="s">
        <v>30</v>
      </c>
      <c r="W870" s="6" t="s">
        <v>30</v>
      </c>
      <c r="X870" s="2" t="s">
        <v>30</v>
      </c>
      <c r="Y870" s="6" t="str">
        <f aca="false">IF(AND(X870="processed",ISNUMBER(S870)),S870*O870,"")</f>
        <v/>
      </c>
      <c r="Z870" s="6" t="n">
        <f aca="false">IF(ISNUMBER(K870),K870*O870,0)</f>
        <v>0</v>
      </c>
      <c r="AA870" s="2" t="s">
        <v>31</v>
      </c>
      <c r="AB870" s="6" t="n">
        <v>332</v>
      </c>
      <c r="AC870" s="6" t="n">
        <v>249</v>
      </c>
      <c r="AD870" s="6" t="n">
        <v>72</v>
      </c>
      <c r="AE870" s="6" t="n">
        <v>1089.53540039063</v>
      </c>
      <c r="AF870" s="8" t="n">
        <v>227.531285552</v>
      </c>
      <c r="AG870" s="11" t="n">
        <v>0.2640449547</v>
      </c>
      <c r="AH870" s="12" t="n">
        <v>1</v>
      </c>
      <c r="AI870" s="2" t="s">
        <v>317</v>
      </c>
      <c r="AJ870" s="2" t="s">
        <v>1962</v>
      </c>
      <c r="AK870" s="2" t="s">
        <v>1962</v>
      </c>
    </row>
    <row r="871" customFormat="false" ht="15" hidden="false" customHeight="false" outlineLevel="0" collapsed="false">
      <c r="A871" s="9"/>
      <c r="B871" s="2" t="s">
        <v>1963</v>
      </c>
      <c r="C871" s="2" t="s">
        <v>1964</v>
      </c>
      <c r="D871" s="2" t="s">
        <v>44</v>
      </c>
      <c r="E871" s="2" t="s">
        <v>44</v>
      </c>
      <c r="F871" s="2"/>
      <c r="G871" s="2" t="s">
        <v>322</v>
      </c>
      <c r="H871" s="8" t="n">
        <v>369.884600425962</v>
      </c>
      <c r="I871" s="2" t="s">
        <v>316</v>
      </c>
      <c r="J871" s="8" t="n">
        <v>703576.923076923</v>
      </c>
      <c r="K871" s="6" t="n">
        <v>26</v>
      </c>
      <c r="L871" s="2"/>
      <c r="M871" s="10" t="b">
        <f aca="false">TRUE()</f>
        <v>1</v>
      </c>
      <c r="N871" s="9" t="str">
        <f aca="false">IF(H871="","",IF(H871&gt;=Assumptions!$B$5,1,IF(H871&gt;=Assumptions!$B$6,2,IF(H871&gt;=Assumptions!$B$7,3,""))))</f>
        <v/>
      </c>
      <c r="O871" s="9" t="n">
        <f aca="false">IF(N871=1,Assumptions!$B$8,IF(N871=2,Assumptions!$B$9,IF(N871=3,Assumptions!$B$10,0)))</f>
        <v>0</v>
      </c>
      <c r="P871" s="6" t="s">
        <v>30</v>
      </c>
      <c r="Q871" s="6" t="s">
        <v>30</v>
      </c>
      <c r="R871" s="11" t="s">
        <v>30</v>
      </c>
      <c r="S871" s="6" t="s">
        <v>30</v>
      </c>
      <c r="T871" s="11" t="s">
        <v>30</v>
      </c>
      <c r="U871" s="6" t="s">
        <v>30</v>
      </c>
      <c r="V871" s="6" t="s">
        <v>30</v>
      </c>
      <c r="W871" s="6" t="s">
        <v>30</v>
      </c>
      <c r="X871" s="2" t="s">
        <v>30</v>
      </c>
      <c r="Y871" s="6" t="str">
        <f aca="false">IF(AND(X871="processed",ISNUMBER(S871)),S871*O871,"")</f>
        <v/>
      </c>
      <c r="Z871" s="6" t="n">
        <f aca="false">IF(ISNUMBER(K871),K871*O871,0)</f>
        <v>0</v>
      </c>
      <c r="AA871" s="2" t="s">
        <v>31</v>
      </c>
      <c r="AB871" s="6" t="n">
        <v>1118</v>
      </c>
      <c r="AC871" s="6" t="n">
        <v>989</v>
      </c>
      <c r="AD871" s="6" t="n">
        <v>1066</v>
      </c>
      <c r="AE871" s="6" t="n">
        <v>1900.89428710938</v>
      </c>
      <c r="AF871" s="8" t="n">
        <v>366.600592441</v>
      </c>
      <c r="AG871" s="11" t="n">
        <v>-0.005561948505</v>
      </c>
      <c r="AH871" s="12" t="n">
        <v>1</v>
      </c>
      <c r="AI871" s="2" t="s">
        <v>317</v>
      </c>
      <c r="AJ871" s="2" t="s">
        <v>1964</v>
      </c>
      <c r="AK871" s="2" t="s">
        <v>1965</v>
      </c>
    </row>
    <row r="872" customFormat="false" ht="15" hidden="false" customHeight="false" outlineLevel="0" collapsed="false">
      <c r="A872" s="9"/>
      <c r="B872" s="2" t="s">
        <v>1966</v>
      </c>
      <c r="C872" s="2" t="s">
        <v>1967</v>
      </c>
      <c r="D872" s="2" t="s">
        <v>44</v>
      </c>
      <c r="E872" s="2" t="s">
        <v>44</v>
      </c>
      <c r="F872" s="2"/>
      <c r="G872" s="2" t="s">
        <v>322</v>
      </c>
      <c r="H872" s="8" t="n">
        <v>369.055264633571</v>
      </c>
      <c r="I872" s="2" t="s">
        <v>316</v>
      </c>
      <c r="J872" s="8" t="n">
        <v>588071.428571429</v>
      </c>
      <c r="K872" s="6" t="n">
        <v>7</v>
      </c>
      <c r="L872" s="2"/>
      <c r="M872" s="10" t="b">
        <f aca="false">TRUE()</f>
        <v>1</v>
      </c>
      <c r="N872" s="9" t="str">
        <f aca="false">IF(H872="","",IF(H872&gt;=Assumptions!$B$5,1,IF(H872&gt;=Assumptions!$B$6,2,IF(H872&gt;=Assumptions!$B$7,3,""))))</f>
        <v/>
      </c>
      <c r="O872" s="9" t="n">
        <f aca="false">IF(N872=1,Assumptions!$B$8,IF(N872=2,Assumptions!$B$9,IF(N872=3,Assumptions!$B$10,0)))</f>
        <v>0</v>
      </c>
      <c r="P872" s="6" t="s">
        <v>30</v>
      </c>
      <c r="Q872" s="6" t="s">
        <v>30</v>
      </c>
      <c r="R872" s="11" t="s">
        <v>30</v>
      </c>
      <c r="S872" s="6" t="s">
        <v>30</v>
      </c>
      <c r="T872" s="11" t="s">
        <v>30</v>
      </c>
      <c r="U872" s="6" t="s">
        <v>30</v>
      </c>
      <c r="V872" s="6" t="s">
        <v>30</v>
      </c>
      <c r="W872" s="6" t="s">
        <v>30</v>
      </c>
      <c r="X872" s="2" t="s">
        <v>30</v>
      </c>
      <c r="Y872" s="6" t="str">
        <f aca="false">IF(AND(X872="processed",ISNUMBER(S872)),S872*O872,"")</f>
        <v/>
      </c>
      <c r="Z872" s="6" t="n">
        <f aca="false">IF(ISNUMBER(K872),K872*O872,0)</f>
        <v>0</v>
      </c>
      <c r="AA872" s="2" t="s">
        <v>31</v>
      </c>
      <c r="AB872" s="6" t="n">
        <v>1763</v>
      </c>
      <c r="AC872" s="6" t="n">
        <v>636</v>
      </c>
      <c r="AD872" s="6" t="n">
        <v>586</v>
      </c>
      <c r="AE872" s="6" t="n">
        <v>1353.83117675781</v>
      </c>
      <c r="AF872" s="8" t="n">
        <v>503.246753247</v>
      </c>
      <c r="AG872" s="11" t="n">
        <v>0.2498321244</v>
      </c>
      <c r="AH872" s="12" t="n">
        <v>1</v>
      </c>
      <c r="AI872" s="2" t="s">
        <v>317</v>
      </c>
      <c r="AJ872" s="2" t="s">
        <v>1967</v>
      </c>
      <c r="AK872" s="2" t="s">
        <v>1967</v>
      </c>
    </row>
    <row r="873" customFormat="false" ht="15" hidden="false" customHeight="false" outlineLevel="0" collapsed="false">
      <c r="A873" s="9"/>
      <c r="B873" s="2" t="s">
        <v>1968</v>
      </c>
      <c r="C873" s="2" t="s">
        <v>717</v>
      </c>
      <c r="D873" s="2" t="s">
        <v>44</v>
      </c>
      <c r="E873" s="2" t="s">
        <v>44</v>
      </c>
      <c r="F873" s="2"/>
      <c r="G873" s="2" t="s">
        <v>322</v>
      </c>
      <c r="H873" s="8" t="n">
        <v>426.222175696319</v>
      </c>
      <c r="I873" s="2" t="s">
        <v>316</v>
      </c>
      <c r="J873" s="8" t="n">
        <v>930138.29787234</v>
      </c>
      <c r="K873" s="6" t="n">
        <v>47</v>
      </c>
      <c r="L873" s="2"/>
      <c r="M873" s="10" t="b">
        <f aca="false">TRUE()</f>
        <v>1</v>
      </c>
      <c r="N873" s="9" t="str">
        <f aca="false">IF(H873="","",IF(H873&gt;=Assumptions!$B$5,1,IF(H873&gt;=Assumptions!$B$6,2,IF(H873&gt;=Assumptions!$B$7,3,""))))</f>
        <v/>
      </c>
      <c r="O873" s="9" t="n">
        <f aca="false">IF(N873=1,Assumptions!$B$8,IF(N873=2,Assumptions!$B$9,IF(N873=3,Assumptions!$B$10,0)))</f>
        <v>0</v>
      </c>
      <c r="P873" s="6" t="s">
        <v>30</v>
      </c>
      <c r="Q873" s="6" t="s">
        <v>30</v>
      </c>
      <c r="R873" s="11" t="s">
        <v>30</v>
      </c>
      <c r="S873" s="6" t="s">
        <v>30</v>
      </c>
      <c r="T873" s="11" t="s">
        <v>30</v>
      </c>
      <c r="U873" s="6" t="s">
        <v>30</v>
      </c>
      <c r="V873" s="6" t="s">
        <v>30</v>
      </c>
      <c r="W873" s="6" t="s">
        <v>30</v>
      </c>
      <c r="X873" s="2" t="s">
        <v>30</v>
      </c>
      <c r="Y873" s="6" t="str">
        <f aca="false">IF(AND(X873="processed",ISNUMBER(S873)),S873*O873,"")</f>
        <v/>
      </c>
      <c r="Z873" s="6" t="n">
        <f aca="false">IF(ISNUMBER(K873),K873*O873,0)</f>
        <v>0</v>
      </c>
      <c r="AA873" s="2" t="s">
        <v>31</v>
      </c>
      <c r="AB873" s="6" t="n">
        <v>4091</v>
      </c>
      <c r="AC873" s="6" t="n">
        <v>3069</v>
      </c>
      <c r="AD873" s="6" t="n">
        <v>188</v>
      </c>
      <c r="AE873" s="6" t="n">
        <v>2178.75</v>
      </c>
      <c r="AF873" s="8" t="n">
        <v>391.608073706</v>
      </c>
      <c r="AG873" s="11" t="n">
        <v>-0.1326014367</v>
      </c>
      <c r="AH873" s="12" t="n">
        <v>1</v>
      </c>
      <c r="AI873" s="2" t="s">
        <v>317</v>
      </c>
      <c r="AJ873" s="2" t="s">
        <v>717</v>
      </c>
      <c r="AK873" s="2" t="s">
        <v>1958</v>
      </c>
    </row>
    <row r="874" customFormat="false" ht="15" hidden="false" customHeight="false" outlineLevel="0" collapsed="false">
      <c r="A874" s="9"/>
      <c r="B874" s="2" t="s">
        <v>1969</v>
      </c>
      <c r="C874" s="2" t="s">
        <v>1970</v>
      </c>
      <c r="D874" s="2" t="s">
        <v>44</v>
      </c>
      <c r="E874" s="2" t="s">
        <v>44</v>
      </c>
      <c r="F874" s="2"/>
      <c r="G874" s="2"/>
      <c r="H874" s="8"/>
      <c r="I874" s="2"/>
      <c r="J874" s="8"/>
      <c r="K874" s="6"/>
      <c r="L874" s="2"/>
      <c r="M874" s="10" t="b">
        <f aca="false">TRUE()</f>
        <v>1</v>
      </c>
      <c r="N874" s="9" t="str">
        <f aca="false">IF(H874="","",IF(H874&gt;=Assumptions!$B$5,1,IF(H874&gt;=Assumptions!$B$6,2,IF(H874&gt;=Assumptions!$B$7,3,""))))</f>
        <v/>
      </c>
      <c r="O874" s="9" t="n">
        <f aca="false">IF(N874=1,Assumptions!$B$8,IF(N874=2,Assumptions!$B$9,IF(N874=3,Assumptions!$B$10,0)))</f>
        <v>0</v>
      </c>
      <c r="P874" s="6" t="s">
        <v>30</v>
      </c>
      <c r="Q874" s="6" t="s">
        <v>30</v>
      </c>
      <c r="R874" s="11" t="s">
        <v>30</v>
      </c>
      <c r="S874" s="6" t="s">
        <v>30</v>
      </c>
      <c r="T874" s="11" t="s">
        <v>30</v>
      </c>
      <c r="U874" s="6" t="s">
        <v>30</v>
      </c>
      <c r="V874" s="6" t="s">
        <v>30</v>
      </c>
      <c r="W874" s="6" t="s">
        <v>30</v>
      </c>
      <c r="X874" s="2" t="s">
        <v>30</v>
      </c>
      <c r="Y874" s="6" t="str">
        <f aca="false">IF(AND(X874="processed",ISNUMBER(S874)),S874*O874,"")</f>
        <v/>
      </c>
      <c r="Z874" s="6" t="n">
        <f aca="false">IF(ISNUMBER(K874),K874*O874,0)</f>
        <v>0</v>
      </c>
      <c r="AA874" s="2" t="s">
        <v>31</v>
      </c>
      <c r="AB874" s="6" t="n">
        <v>801</v>
      </c>
      <c r="AC874" s="6" t="n">
        <v>187</v>
      </c>
      <c r="AD874" s="6" t="n">
        <v>58</v>
      </c>
      <c r="AE874" s="6" t="n">
        <v>1117.80017089844</v>
      </c>
      <c r="AF874" s="8"/>
      <c r="AG874" s="11"/>
      <c r="AH874" s="12" t="n">
        <v>0.998993614800754</v>
      </c>
      <c r="AI874" s="2" t="s">
        <v>317</v>
      </c>
      <c r="AJ874" s="2" t="s">
        <v>1970</v>
      </c>
      <c r="AK874" s="2" t="s">
        <v>1970</v>
      </c>
    </row>
    <row r="875" customFormat="false" ht="15" hidden="false" customHeight="false" outlineLevel="0" collapsed="false">
      <c r="A875" s="9"/>
      <c r="B875" s="2" t="s">
        <v>1971</v>
      </c>
      <c r="C875" s="2" t="s">
        <v>1972</v>
      </c>
      <c r="D875" s="2" t="s">
        <v>44</v>
      </c>
      <c r="E875" s="2" t="s">
        <v>44</v>
      </c>
      <c r="F875" s="2"/>
      <c r="G875" s="2" t="s">
        <v>322</v>
      </c>
      <c r="H875" s="8" t="n">
        <v>457.888878153772</v>
      </c>
      <c r="I875" s="2" t="s">
        <v>316</v>
      </c>
      <c r="J875" s="8" t="n">
        <v>1400263.15789474</v>
      </c>
      <c r="K875" s="6" t="n">
        <v>57</v>
      </c>
      <c r="L875" s="2"/>
      <c r="M875" s="10" t="b">
        <f aca="false">TRUE()</f>
        <v>1</v>
      </c>
      <c r="N875" s="9" t="str">
        <f aca="false">IF(H875="","",IF(H875&gt;=Assumptions!$B$5,1,IF(H875&gt;=Assumptions!$B$6,2,IF(H875&gt;=Assumptions!$B$7,3,""))))</f>
        <v/>
      </c>
      <c r="O875" s="9" t="n">
        <f aca="false">IF(N875=1,Assumptions!$B$8,IF(N875=2,Assumptions!$B$9,IF(N875=3,Assumptions!$B$10,0)))</f>
        <v>0</v>
      </c>
      <c r="P875" s="6" t="s">
        <v>30</v>
      </c>
      <c r="Q875" s="6" t="s">
        <v>30</v>
      </c>
      <c r="R875" s="11" t="s">
        <v>30</v>
      </c>
      <c r="S875" s="6" t="s">
        <v>30</v>
      </c>
      <c r="T875" s="11" t="s">
        <v>30</v>
      </c>
      <c r="U875" s="6" t="s">
        <v>30</v>
      </c>
      <c r="V875" s="6" t="s">
        <v>30</v>
      </c>
      <c r="W875" s="6" t="s">
        <v>30</v>
      </c>
      <c r="X875" s="2" t="s">
        <v>30</v>
      </c>
      <c r="Y875" s="6" t="str">
        <f aca="false">IF(AND(X875="processed",ISNUMBER(S875)),S875*O875,"")</f>
        <v/>
      </c>
      <c r="Z875" s="6" t="n">
        <f aca="false">IF(ISNUMBER(K875),K875*O875,0)</f>
        <v>0</v>
      </c>
      <c r="AA875" s="2" t="s">
        <v>31</v>
      </c>
      <c r="AB875" s="6" t="n">
        <v>3227</v>
      </c>
      <c r="AC875" s="6" t="n">
        <v>2508</v>
      </c>
      <c r="AD875" s="6" t="n">
        <v>3080</v>
      </c>
      <c r="AE875" s="6" t="n">
        <v>2452.9033203125</v>
      </c>
      <c r="AF875" s="8" t="n">
        <v>419.193616302</v>
      </c>
      <c r="AG875" s="11" t="n">
        <v>-0.0552912241</v>
      </c>
      <c r="AH875" s="12" t="n">
        <v>0.999999999999999</v>
      </c>
      <c r="AI875" s="2" t="s">
        <v>317</v>
      </c>
      <c r="AJ875" s="2" t="s">
        <v>1972</v>
      </c>
      <c r="AK875" s="2" t="s">
        <v>355</v>
      </c>
    </row>
    <row r="876" customFormat="false" ht="15" hidden="false" customHeight="false" outlineLevel="0" collapsed="false">
      <c r="A876" s="9"/>
      <c r="B876" s="2" t="s">
        <v>1973</v>
      </c>
      <c r="C876" s="2" t="s">
        <v>1974</v>
      </c>
      <c r="D876" s="2" t="s">
        <v>1975</v>
      </c>
      <c r="E876" s="2" t="s">
        <v>51</v>
      </c>
      <c r="F876" s="2" t="s">
        <v>1976</v>
      </c>
      <c r="G876" s="2" t="s">
        <v>322</v>
      </c>
      <c r="H876" s="8" t="n">
        <v>233.969851470407</v>
      </c>
      <c r="I876" s="2" t="s">
        <v>316</v>
      </c>
      <c r="J876" s="8" t="n">
        <v>368166.666666667</v>
      </c>
      <c r="K876" s="6" t="n">
        <v>54</v>
      </c>
      <c r="L876" s="2"/>
      <c r="M876" s="10" t="b">
        <f aca="false">TRUE()</f>
        <v>1</v>
      </c>
      <c r="N876" s="9" t="str">
        <f aca="false">IF(H876="","",IF(H876&gt;=Assumptions!$B$5,1,IF(H876&gt;=Assumptions!$B$6,2,IF(H876&gt;=Assumptions!$B$7,3,""))))</f>
        <v/>
      </c>
      <c r="O876" s="9" t="n">
        <f aca="false">IF(N876=1,Assumptions!$B$8,IF(N876=2,Assumptions!$B$9,IF(N876=3,Assumptions!$B$10,0)))</f>
        <v>0</v>
      </c>
      <c r="P876" s="6" t="s">
        <v>30</v>
      </c>
      <c r="Q876" s="6" t="s">
        <v>30</v>
      </c>
      <c r="R876" s="11" t="s">
        <v>30</v>
      </c>
      <c r="S876" s="6" t="s">
        <v>30</v>
      </c>
      <c r="T876" s="11" t="s">
        <v>30</v>
      </c>
      <c r="U876" s="6" t="s">
        <v>30</v>
      </c>
      <c r="V876" s="6" t="s">
        <v>30</v>
      </c>
      <c r="W876" s="6" t="s">
        <v>30</v>
      </c>
      <c r="X876" s="2" t="s">
        <v>30</v>
      </c>
      <c r="Y876" s="6" t="str">
        <f aca="false">IF(AND(X876="processed",ISNUMBER(S876)),S876*O876,"")</f>
        <v/>
      </c>
      <c r="Z876" s="6" t="n">
        <f aca="false">IF(ISNUMBER(K876),K876*O876,0)</f>
        <v>0</v>
      </c>
      <c r="AA876" s="2" t="s">
        <v>31</v>
      </c>
      <c r="AB876" s="6" t="n">
        <v>5075</v>
      </c>
      <c r="AC876" s="6" t="n">
        <v>3620</v>
      </c>
      <c r="AD876" s="6" t="n">
        <v>731</v>
      </c>
      <c r="AE876" s="6" t="n">
        <v>2131.76953125</v>
      </c>
      <c r="AF876" s="8" t="n">
        <v>232.614716247</v>
      </c>
      <c r="AG876" s="11" t="n">
        <v>-0.1173694034</v>
      </c>
      <c r="AH876" s="12" t="n">
        <v>0.560816174441983</v>
      </c>
      <c r="AI876" s="2" t="s">
        <v>317</v>
      </c>
      <c r="AJ876" s="2" t="s">
        <v>1974</v>
      </c>
      <c r="AK876" s="2" t="s">
        <v>1977</v>
      </c>
    </row>
    <row r="877" customFormat="false" ht="15" hidden="false" customHeight="false" outlineLevel="0" collapsed="false">
      <c r="A877" s="9"/>
      <c r="B877" s="2" t="s">
        <v>1978</v>
      </c>
      <c r="C877" s="2" t="s">
        <v>1122</v>
      </c>
      <c r="D877" s="2" t="s">
        <v>44</v>
      </c>
      <c r="E877" s="2" t="s">
        <v>44</v>
      </c>
      <c r="F877" s="2" t="s">
        <v>1979</v>
      </c>
      <c r="G877" s="2" t="s">
        <v>322</v>
      </c>
      <c r="H877" s="8" t="n">
        <v>470.285752160016</v>
      </c>
      <c r="I877" s="2" t="s">
        <v>316</v>
      </c>
      <c r="J877" s="8" t="n">
        <v>890960.422163588</v>
      </c>
      <c r="K877" s="6" t="n">
        <v>379</v>
      </c>
      <c r="L877" s="2"/>
      <c r="M877" s="10" t="b">
        <f aca="false">TRUE()</f>
        <v>1</v>
      </c>
      <c r="N877" s="9" t="str">
        <f aca="false">IF(H877="","",IF(H877&gt;=Assumptions!$B$5,1,IF(H877&gt;=Assumptions!$B$6,2,IF(H877&gt;=Assumptions!$B$7,3,""))))</f>
        <v/>
      </c>
      <c r="O877" s="9" t="n">
        <f aca="false">IF(N877=1,Assumptions!$B$8,IF(N877=2,Assumptions!$B$9,IF(N877=3,Assumptions!$B$10,0)))</f>
        <v>0</v>
      </c>
      <c r="P877" s="6" t="s">
        <v>30</v>
      </c>
      <c r="Q877" s="6" t="s">
        <v>30</v>
      </c>
      <c r="R877" s="11" t="s">
        <v>30</v>
      </c>
      <c r="S877" s="6" t="s">
        <v>30</v>
      </c>
      <c r="T877" s="11" t="s">
        <v>30</v>
      </c>
      <c r="U877" s="6" t="s">
        <v>30</v>
      </c>
      <c r="V877" s="6" t="s">
        <v>30</v>
      </c>
      <c r="W877" s="6" t="s">
        <v>30</v>
      </c>
      <c r="X877" s="2" t="s">
        <v>30</v>
      </c>
      <c r="Y877" s="6" t="str">
        <f aca="false">IF(AND(X877="processed",ISNUMBER(S877)),S877*O877,"")</f>
        <v/>
      </c>
      <c r="Z877" s="6" t="n">
        <f aca="false">IF(ISNUMBER(K877),K877*O877,0)</f>
        <v>0</v>
      </c>
      <c r="AA877" s="2" t="s">
        <v>31</v>
      </c>
      <c r="AB877" s="6" t="n">
        <v>16138</v>
      </c>
      <c r="AC877" s="6" t="n">
        <v>14568</v>
      </c>
      <c r="AD877" s="6" t="n">
        <v>12826</v>
      </c>
      <c r="AE877" s="6" t="n">
        <v>2443.5703125</v>
      </c>
      <c r="AF877" s="8" t="n">
        <v>480.836728013</v>
      </c>
      <c r="AG877" s="11" t="n">
        <v>-0.01847264036</v>
      </c>
      <c r="AH877" s="12" t="n">
        <v>1</v>
      </c>
      <c r="AI877" s="2" t="s">
        <v>317</v>
      </c>
      <c r="AJ877" s="2" t="s">
        <v>1122</v>
      </c>
      <c r="AK877" s="2" t="s">
        <v>1122</v>
      </c>
    </row>
    <row r="878" customFormat="false" ht="15" hidden="false" customHeight="false" outlineLevel="0" collapsed="false">
      <c r="A878" s="9"/>
      <c r="B878" s="2" t="s">
        <v>1980</v>
      </c>
      <c r="C878" s="2" t="s">
        <v>1122</v>
      </c>
      <c r="D878" s="2" t="s">
        <v>44</v>
      </c>
      <c r="E878" s="2" t="s">
        <v>44</v>
      </c>
      <c r="F878" s="2" t="s">
        <v>1981</v>
      </c>
      <c r="G878" s="2" t="s">
        <v>322</v>
      </c>
      <c r="H878" s="8" t="n">
        <v>483.663466460703</v>
      </c>
      <c r="I878" s="2" t="s">
        <v>316</v>
      </c>
      <c r="J878" s="8" t="n">
        <v>837011.551155116</v>
      </c>
      <c r="K878" s="6" t="n">
        <v>303</v>
      </c>
      <c r="L878" s="2"/>
      <c r="M878" s="10" t="b">
        <f aca="false">TRUE()</f>
        <v>1</v>
      </c>
      <c r="N878" s="9" t="str">
        <f aca="false">IF(H878="","",IF(H878&gt;=Assumptions!$B$5,1,IF(H878&gt;=Assumptions!$B$6,2,IF(H878&gt;=Assumptions!$B$7,3,""))))</f>
        <v/>
      </c>
      <c r="O878" s="9" t="n">
        <f aca="false">IF(N878=1,Assumptions!$B$8,IF(N878=2,Assumptions!$B$9,IF(N878=3,Assumptions!$B$10,0)))</f>
        <v>0</v>
      </c>
      <c r="P878" s="6" t="s">
        <v>30</v>
      </c>
      <c r="Q878" s="6" t="s">
        <v>30</v>
      </c>
      <c r="R878" s="11" t="s">
        <v>30</v>
      </c>
      <c r="S878" s="6" t="s">
        <v>30</v>
      </c>
      <c r="T878" s="11" t="s">
        <v>30</v>
      </c>
      <c r="U878" s="6" t="s">
        <v>30</v>
      </c>
      <c r="V878" s="6" t="s">
        <v>30</v>
      </c>
      <c r="W878" s="6" t="s">
        <v>30</v>
      </c>
      <c r="X878" s="2" t="s">
        <v>30</v>
      </c>
      <c r="Y878" s="6" t="str">
        <f aca="false">IF(AND(X878="processed",ISNUMBER(S878)),S878*O878,"")</f>
        <v/>
      </c>
      <c r="Z878" s="6" t="n">
        <f aca="false">IF(ISNUMBER(K878),K878*O878,0)</f>
        <v>0</v>
      </c>
      <c r="AA878" s="2" t="s">
        <v>31</v>
      </c>
      <c r="AB878" s="6" t="n">
        <v>16140</v>
      </c>
      <c r="AC878" s="6" t="n">
        <v>14378</v>
      </c>
      <c r="AD878" s="6" t="n">
        <v>13397</v>
      </c>
      <c r="AE878" s="6" t="n">
        <v>2374.97436523438</v>
      </c>
      <c r="AF878" s="8" t="n">
        <v>491.466417219</v>
      </c>
      <c r="AG878" s="11" t="n">
        <v>-0.05443820561</v>
      </c>
      <c r="AH878" s="12" t="n">
        <v>1</v>
      </c>
      <c r="AI878" s="2" t="s">
        <v>317</v>
      </c>
      <c r="AJ878" s="2" t="s">
        <v>1122</v>
      </c>
      <c r="AK878" s="2" t="s">
        <v>1122</v>
      </c>
    </row>
    <row r="879" customFormat="false" ht="15" hidden="false" customHeight="false" outlineLevel="0" collapsed="false">
      <c r="A879" s="9"/>
      <c r="B879" s="2" t="s">
        <v>1982</v>
      </c>
      <c r="C879" s="2" t="s">
        <v>1983</v>
      </c>
      <c r="D879" s="2" t="s">
        <v>44</v>
      </c>
      <c r="E879" s="2" t="s">
        <v>44</v>
      </c>
      <c r="F879" s="2" t="s">
        <v>1984</v>
      </c>
      <c r="G879" s="2" t="s">
        <v>322</v>
      </c>
      <c r="H879" s="8" t="n">
        <v>417.958733826307</v>
      </c>
      <c r="I879" s="2" t="s">
        <v>316</v>
      </c>
      <c r="J879" s="8" t="n">
        <v>910439.393939394</v>
      </c>
      <c r="K879" s="6" t="n">
        <v>528</v>
      </c>
      <c r="L879" s="2"/>
      <c r="M879" s="10" t="b">
        <f aca="false">TRUE()</f>
        <v>1</v>
      </c>
      <c r="N879" s="9" t="str">
        <f aca="false">IF(H879="","",IF(H879&gt;=Assumptions!$B$5,1,IF(H879&gt;=Assumptions!$B$6,2,IF(H879&gt;=Assumptions!$B$7,3,""))))</f>
        <v/>
      </c>
      <c r="O879" s="9" t="n">
        <f aca="false">IF(N879=1,Assumptions!$B$8,IF(N879=2,Assumptions!$B$9,IF(N879=3,Assumptions!$B$10,0)))</f>
        <v>0</v>
      </c>
      <c r="P879" s="6" t="s">
        <v>30</v>
      </c>
      <c r="Q879" s="6" t="s">
        <v>30</v>
      </c>
      <c r="R879" s="11" t="s">
        <v>30</v>
      </c>
      <c r="S879" s="6" t="s">
        <v>30</v>
      </c>
      <c r="T879" s="11" t="s">
        <v>30</v>
      </c>
      <c r="U879" s="6" t="s">
        <v>30</v>
      </c>
      <c r="V879" s="6" t="s">
        <v>30</v>
      </c>
      <c r="W879" s="6" t="s">
        <v>30</v>
      </c>
      <c r="X879" s="2" t="s">
        <v>30</v>
      </c>
      <c r="Y879" s="6" t="str">
        <f aca="false">IF(AND(X879="processed",ISNUMBER(S879)),S879*O879,"")</f>
        <v/>
      </c>
      <c r="Z879" s="6" t="n">
        <f aca="false">IF(ISNUMBER(K879),K879*O879,0)</f>
        <v>0</v>
      </c>
      <c r="AA879" s="2" t="s">
        <v>31</v>
      </c>
      <c r="AB879" s="6" t="n">
        <v>23471</v>
      </c>
      <c r="AC879" s="6" t="n">
        <v>20059</v>
      </c>
      <c r="AD879" s="6" t="n">
        <v>22580</v>
      </c>
      <c r="AE879" s="6" t="n">
        <v>2469.794921875</v>
      </c>
      <c r="AF879" s="8" t="n">
        <v>424.913187999</v>
      </c>
      <c r="AG879" s="11" t="n">
        <v>-0.07638630393</v>
      </c>
      <c r="AH879" s="12" t="n">
        <v>0.990027384610216</v>
      </c>
      <c r="AI879" s="2" t="s">
        <v>317</v>
      </c>
      <c r="AJ879" s="2" t="s">
        <v>1983</v>
      </c>
      <c r="AK879" s="2" t="s">
        <v>1985</v>
      </c>
    </row>
    <row r="880" customFormat="false" ht="15" hidden="false" customHeight="false" outlineLevel="0" collapsed="false">
      <c r="A880" s="9"/>
      <c r="B880" s="2" t="s">
        <v>1986</v>
      </c>
      <c r="C880" s="2" t="s">
        <v>1987</v>
      </c>
      <c r="D880" s="2" t="s">
        <v>44</v>
      </c>
      <c r="E880" s="2" t="s">
        <v>44</v>
      </c>
      <c r="F880" s="2"/>
      <c r="G880" s="2" t="s">
        <v>322</v>
      </c>
      <c r="H880" s="8" t="n">
        <v>414.972656952747</v>
      </c>
      <c r="I880" s="2" t="s">
        <v>316</v>
      </c>
      <c r="J880" s="8" t="n">
        <v>587341.772151899</v>
      </c>
      <c r="K880" s="6" t="n">
        <v>79</v>
      </c>
      <c r="L880" s="2"/>
      <c r="M880" s="10" t="b">
        <f aca="false">TRUE()</f>
        <v>1</v>
      </c>
      <c r="N880" s="9" t="str">
        <f aca="false">IF(H880="","",IF(H880&gt;=Assumptions!$B$5,1,IF(H880&gt;=Assumptions!$B$6,2,IF(H880&gt;=Assumptions!$B$7,3,""))))</f>
        <v/>
      </c>
      <c r="O880" s="9" t="n">
        <f aca="false">IF(N880=1,Assumptions!$B$8,IF(N880=2,Assumptions!$B$9,IF(N880=3,Assumptions!$B$10,0)))</f>
        <v>0</v>
      </c>
      <c r="P880" s="6" t="s">
        <v>30</v>
      </c>
      <c r="Q880" s="6" t="s">
        <v>30</v>
      </c>
      <c r="R880" s="11" t="s">
        <v>30</v>
      </c>
      <c r="S880" s="6" t="s">
        <v>30</v>
      </c>
      <c r="T880" s="11" t="s">
        <v>30</v>
      </c>
      <c r="U880" s="6" t="s">
        <v>30</v>
      </c>
      <c r="V880" s="6" t="s">
        <v>30</v>
      </c>
      <c r="W880" s="6" t="s">
        <v>30</v>
      </c>
      <c r="X880" s="2" t="s">
        <v>30</v>
      </c>
      <c r="Y880" s="6" t="str">
        <f aca="false">IF(AND(X880="processed",ISNUMBER(S880)),S880*O880,"")</f>
        <v/>
      </c>
      <c r="Z880" s="6" t="n">
        <f aca="false">IF(ISNUMBER(K880),K880*O880,0)</f>
        <v>0</v>
      </c>
      <c r="AA880" s="2" t="s">
        <v>31</v>
      </c>
      <c r="AB880" s="6" t="n">
        <v>4205</v>
      </c>
      <c r="AC880" s="6" t="n">
        <v>3305</v>
      </c>
      <c r="AD880" s="6" t="n">
        <v>2446</v>
      </c>
      <c r="AE880" s="6" t="n">
        <v>1530.251953125</v>
      </c>
      <c r="AF880" s="8" t="n">
        <v>377.435064935</v>
      </c>
      <c r="AG880" s="11" t="n">
        <v>0.005416807395</v>
      </c>
      <c r="AH880" s="12" t="n">
        <v>0.999999999999992</v>
      </c>
      <c r="AI880" s="2" t="s">
        <v>317</v>
      </c>
      <c r="AJ880" s="2" t="s">
        <v>1987</v>
      </c>
      <c r="AK880" s="2" t="s">
        <v>1988</v>
      </c>
    </row>
    <row r="881" customFormat="false" ht="15" hidden="false" customHeight="false" outlineLevel="0" collapsed="false">
      <c r="A881" s="9"/>
      <c r="B881" s="2" t="s">
        <v>1989</v>
      </c>
      <c r="C881" s="2" t="s">
        <v>1990</v>
      </c>
      <c r="D881" s="2" t="s">
        <v>44</v>
      </c>
      <c r="E881" s="2" t="s">
        <v>44</v>
      </c>
      <c r="F881" s="2" t="s">
        <v>1991</v>
      </c>
      <c r="G881" s="2" t="s">
        <v>322</v>
      </c>
      <c r="H881" s="8" t="n">
        <v>499.517368128243</v>
      </c>
      <c r="I881" s="2" t="s">
        <v>316</v>
      </c>
      <c r="J881" s="8" t="n">
        <v>826148.648648649</v>
      </c>
      <c r="K881" s="6" t="n">
        <v>222</v>
      </c>
      <c r="L881" s="2"/>
      <c r="M881" s="10" t="b">
        <f aca="false">TRUE()</f>
        <v>1</v>
      </c>
      <c r="N881" s="9" t="str">
        <f aca="false">IF(H881="","",IF(H881&gt;=Assumptions!$B$5,1,IF(H881&gt;=Assumptions!$B$6,2,IF(H881&gt;=Assumptions!$B$7,3,""))))</f>
        <v/>
      </c>
      <c r="O881" s="9" t="n">
        <f aca="false">IF(N881=1,Assumptions!$B$8,IF(N881=2,Assumptions!$B$9,IF(N881=3,Assumptions!$B$10,0)))</f>
        <v>0</v>
      </c>
      <c r="P881" s="6" t="s">
        <v>30</v>
      </c>
      <c r="Q881" s="6" t="s">
        <v>30</v>
      </c>
      <c r="R881" s="11" t="s">
        <v>30</v>
      </c>
      <c r="S881" s="6" t="s">
        <v>30</v>
      </c>
      <c r="T881" s="11" t="s">
        <v>30</v>
      </c>
      <c r="U881" s="6" t="s">
        <v>30</v>
      </c>
      <c r="V881" s="6" t="s">
        <v>30</v>
      </c>
      <c r="W881" s="6" t="s">
        <v>30</v>
      </c>
      <c r="X881" s="2" t="s">
        <v>30</v>
      </c>
      <c r="Y881" s="6" t="str">
        <f aca="false">IF(AND(X881="processed",ISNUMBER(S881)),S881*O881,"")</f>
        <v/>
      </c>
      <c r="Z881" s="6" t="n">
        <f aca="false">IF(ISNUMBER(K881),K881*O881,0)</f>
        <v>0</v>
      </c>
      <c r="AA881" s="2" t="s">
        <v>31</v>
      </c>
      <c r="AB881" s="6" t="n">
        <v>16512</v>
      </c>
      <c r="AC881" s="6" t="n">
        <v>14481</v>
      </c>
      <c r="AD881" s="6" t="n">
        <v>15467</v>
      </c>
      <c r="AE881" s="6" t="n">
        <v>2274.27465820313</v>
      </c>
      <c r="AF881" s="8" t="n">
        <v>502.329192547</v>
      </c>
      <c r="AG881" s="11" t="n">
        <v>-0.01807594266</v>
      </c>
      <c r="AH881" s="12" t="n">
        <v>1</v>
      </c>
      <c r="AI881" s="2" t="s">
        <v>317</v>
      </c>
      <c r="AJ881" s="2" t="s">
        <v>1990</v>
      </c>
      <c r="AK881" s="2" t="s">
        <v>738</v>
      </c>
    </row>
    <row r="882" customFormat="false" ht="15" hidden="false" customHeight="false" outlineLevel="0" collapsed="false">
      <c r="A882" s="9"/>
      <c r="B882" s="2" t="s">
        <v>1992</v>
      </c>
      <c r="C882" s="2" t="s">
        <v>184</v>
      </c>
      <c r="D882" s="2" t="s">
        <v>44</v>
      </c>
      <c r="E882" s="2" t="s">
        <v>44</v>
      </c>
      <c r="F882" s="2" t="s">
        <v>1993</v>
      </c>
      <c r="G882" s="2"/>
      <c r="H882" s="8"/>
      <c r="I882" s="2"/>
      <c r="J882" s="8"/>
      <c r="K882" s="6"/>
      <c r="L882" s="2"/>
      <c r="M882" s="10" t="b">
        <f aca="false">TRUE()</f>
        <v>1</v>
      </c>
      <c r="N882" s="9" t="str">
        <f aca="false">IF(H882="","",IF(H882&gt;=Assumptions!$B$5,1,IF(H882&gt;=Assumptions!$B$6,2,IF(H882&gt;=Assumptions!$B$7,3,""))))</f>
        <v/>
      </c>
      <c r="O882" s="9" t="n">
        <f aca="false">IF(N882=1,Assumptions!$B$8,IF(N882=2,Assumptions!$B$9,IF(N882=3,Assumptions!$B$10,0)))</f>
        <v>0</v>
      </c>
      <c r="P882" s="6" t="s">
        <v>30</v>
      </c>
      <c r="Q882" s="6" t="s">
        <v>30</v>
      </c>
      <c r="R882" s="11" t="s">
        <v>30</v>
      </c>
      <c r="S882" s="6" t="s">
        <v>30</v>
      </c>
      <c r="T882" s="11" t="s">
        <v>30</v>
      </c>
      <c r="U882" s="6" t="s">
        <v>30</v>
      </c>
      <c r="V882" s="6" t="s">
        <v>30</v>
      </c>
      <c r="W882" s="6" t="s">
        <v>30</v>
      </c>
      <c r="X882" s="2" t="s">
        <v>30</v>
      </c>
      <c r="Y882" s="6" t="str">
        <f aca="false">IF(AND(X882="processed",ISNUMBER(S882)),S882*O882,"")</f>
        <v/>
      </c>
      <c r="Z882" s="6" t="n">
        <f aca="false">IF(ISNUMBER(K882),K882*O882,0)</f>
        <v>0</v>
      </c>
      <c r="AA882" s="2" t="s">
        <v>31</v>
      </c>
      <c r="AB882" s="6" t="n">
        <v>1992</v>
      </c>
      <c r="AC882" s="6" t="n">
        <v>1077</v>
      </c>
      <c r="AD882" s="6" t="n">
        <v>335</v>
      </c>
      <c r="AE882" s="6" t="n">
        <v>1953.39392089844</v>
      </c>
      <c r="AF882" s="8"/>
      <c r="AG882" s="11"/>
      <c r="AH882" s="12" t="n">
        <v>0.998803224797741</v>
      </c>
      <c r="AI882" s="2" t="s">
        <v>319</v>
      </c>
      <c r="AJ882" s="2"/>
      <c r="AK882" s="2" t="s">
        <v>184</v>
      </c>
    </row>
    <row r="883" customFormat="false" ht="15" hidden="false" customHeight="false" outlineLevel="0" collapsed="false">
      <c r="A883" s="9"/>
      <c r="B883" s="2" t="s">
        <v>1994</v>
      </c>
      <c r="C883" s="2" t="s">
        <v>355</v>
      </c>
      <c r="D883" s="2" t="s">
        <v>44</v>
      </c>
      <c r="E883" s="2" t="s">
        <v>44</v>
      </c>
      <c r="F883" s="2" t="s">
        <v>1995</v>
      </c>
      <c r="G883" s="2" t="s">
        <v>322</v>
      </c>
      <c r="H883" s="8" t="n">
        <v>485.44777819738</v>
      </c>
      <c r="I883" s="2" t="s">
        <v>316</v>
      </c>
      <c r="J883" s="8" t="n">
        <v>865022.222222222</v>
      </c>
      <c r="K883" s="6" t="n">
        <v>450</v>
      </c>
      <c r="L883" s="2"/>
      <c r="M883" s="10" t="b">
        <f aca="false">TRUE()</f>
        <v>1</v>
      </c>
      <c r="N883" s="9" t="str">
        <f aca="false">IF(H883="","",IF(H883&gt;=Assumptions!$B$5,1,IF(H883&gt;=Assumptions!$B$6,2,IF(H883&gt;=Assumptions!$B$7,3,""))))</f>
        <v/>
      </c>
      <c r="O883" s="9" t="n">
        <f aca="false">IF(N883=1,Assumptions!$B$8,IF(N883=2,Assumptions!$B$9,IF(N883=3,Assumptions!$B$10,0)))</f>
        <v>0</v>
      </c>
      <c r="P883" s="6" t="s">
        <v>30</v>
      </c>
      <c r="Q883" s="6" t="s">
        <v>30</v>
      </c>
      <c r="R883" s="11" t="s">
        <v>30</v>
      </c>
      <c r="S883" s="6" t="s">
        <v>30</v>
      </c>
      <c r="T883" s="11" t="s">
        <v>30</v>
      </c>
      <c r="U883" s="6" t="s">
        <v>30</v>
      </c>
      <c r="V883" s="6" t="s">
        <v>30</v>
      </c>
      <c r="W883" s="6" t="s">
        <v>30</v>
      </c>
      <c r="X883" s="2" t="s">
        <v>30</v>
      </c>
      <c r="Y883" s="6" t="str">
        <f aca="false">IF(AND(X883="processed",ISNUMBER(S883)),S883*O883,"")</f>
        <v/>
      </c>
      <c r="Z883" s="6" t="n">
        <f aca="false">IF(ISNUMBER(K883),K883*O883,0)</f>
        <v>0</v>
      </c>
      <c r="AA883" s="2" t="s">
        <v>31</v>
      </c>
      <c r="AB883" s="6" t="n">
        <v>17244</v>
      </c>
      <c r="AC883" s="6" t="n">
        <v>15387</v>
      </c>
      <c r="AD883" s="6" t="n">
        <v>387</v>
      </c>
      <c r="AE883" s="6" t="n">
        <v>2410.72338867188</v>
      </c>
      <c r="AF883" s="8" t="n">
        <v>500.285877644</v>
      </c>
      <c r="AG883" s="11" t="n">
        <v>-0.0314933399</v>
      </c>
      <c r="AH883" s="12" t="n">
        <v>1</v>
      </c>
      <c r="AI883" s="2" t="s">
        <v>317</v>
      </c>
      <c r="AJ883" s="2" t="s">
        <v>355</v>
      </c>
      <c r="AK883" s="2" t="s">
        <v>355</v>
      </c>
    </row>
    <row r="884" customFormat="false" ht="15" hidden="false" customHeight="false" outlineLevel="0" collapsed="false">
      <c r="A884" s="9"/>
      <c r="B884" s="2" t="s">
        <v>1996</v>
      </c>
      <c r="C884" s="2" t="s">
        <v>1997</v>
      </c>
      <c r="D884" s="2" t="s">
        <v>44</v>
      </c>
      <c r="E884" s="2" t="s">
        <v>44</v>
      </c>
      <c r="F884" s="2"/>
      <c r="G884" s="2" t="s">
        <v>322</v>
      </c>
      <c r="H884" s="8" t="n">
        <v>401.228923095067</v>
      </c>
      <c r="I884" s="2" t="s">
        <v>316</v>
      </c>
      <c r="J884" s="8" t="n">
        <v>422866.666666667</v>
      </c>
      <c r="K884" s="6" t="n">
        <v>15</v>
      </c>
      <c r="L884" s="2"/>
      <c r="M884" s="10" t="b">
        <f aca="false">TRUE()</f>
        <v>1</v>
      </c>
      <c r="N884" s="9" t="str">
        <f aca="false">IF(H884="","",IF(H884&gt;=Assumptions!$B$5,1,IF(H884&gt;=Assumptions!$B$6,2,IF(H884&gt;=Assumptions!$B$7,3,""))))</f>
        <v/>
      </c>
      <c r="O884" s="9" t="n">
        <f aca="false">IF(N884=1,Assumptions!$B$8,IF(N884=2,Assumptions!$B$9,IF(N884=3,Assumptions!$B$10,0)))</f>
        <v>0</v>
      </c>
      <c r="P884" s="6" t="s">
        <v>30</v>
      </c>
      <c r="Q884" s="6" t="s">
        <v>30</v>
      </c>
      <c r="R884" s="11" t="s">
        <v>30</v>
      </c>
      <c r="S884" s="6" t="s">
        <v>30</v>
      </c>
      <c r="T884" s="11" t="s">
        <v>30</v>
      </c>
      <c r="U884" s="6" t="s">
        <v>30</v>
      </c>
      <c r="V884" s="6" t="s">
        <v>30</v>
      </c>
      <c r="W884" s="6" t="s">
        <v>30</v>
      </c>
      <c r="X884" s="2" t="s">
        <v>30</v>
      </c>
      <c r="Y884" s="6" t="str">
        <f aca="false">IF(AND(X884="processed",ISNUMBER(S884)),S884*O884,"")</f>
        <v/>
      </c>
      <c r="Z884" s="6" t="n">
        <f aca="false">IF(ISNUMBER(K884),K884*O884,0)</f>
        <v>0</v>
      </c>
      <c r="AA884" s="2" t="s">
        <v>31</v>
      </c>
      <c r="AB884" s="6" t="n">
        <v>700</v>
      </c>
      <c r="AC884" s="6" t="n">
        <v>479</v>
      </c>
      <c r="AD884" s="6" t="n">
        <v>75</v>
      </c>
      <c r="AE884" s="6" t="n">
        <v>1336.25854492188</v>
      </c>
      <c r="AF884" s="8" t="n">
        <v>411.382113821</v>
      </c>
      <c r="AG884" s="11" t="n">
        <v>0.09031347526</v>
      </c>
      <c r="AH884" s="12" t="n">
        <v>0.999497683779831</v>
      </c>
      <c r="AI884" s="2" t="s">
        <v>317</v>
      </c>
      <c r="AJ884" s="2" t="s">
        <v>1997</v>
      </c>
      <c r="AK884" s="2" t="s">
        <v>1997</v>
      </c>
    </row>
    <row r="885" customFormat="false" ht="15" hidden="false" customHeight="false" outlineLevel="0" collapsed="false">
      <c r="A885" s="9"/>
      <c r="B885" s="2" t="s">
        <v>1998</v>
      </c>
      <c r="C885" s="2" t="s">
        <v>1999</v>
      </c>
      <c r="D885" s="2" t="s">
        <v>44</v>
      </c>
      <c r="E885" s="2" t="s">
        <v>44</v>
      </c>
      <c r="F885" s="2"/>
      <c r="G885" s="2" t="s">
        <v>322</v>
      </c>
      <c r="H885" s="8" t="n">
        <v>395.771438960909</v>
      </c>
      <c r="I885" s="2" t="s">
        <v>316</v>
      </c>
      <c r="J885" s="8" t="n">
        <v>1084272.72727273</v>
      </c>
      <c r="K885" s="6" t="n">
        <v>22</v>
      </c>
      <c r="L885" s="2"/>
      <c r="M885" s="10" t="b">
        <f aca="false">TRUE()</f>
        <v>1</v>
      </c>
      <c r="N885" s="9" t="str">
        <f aca="false">IF(H885="","",IF(H885&gt;=Assumptions!$B$5,1,IF(H885&gt;=Assumptions!$B$6,2,IF(H885&gt;=Assumptions!$B$7,3,""))))</f>
        <v/>
      </c>
      <c r="O885" s="9" t="n">
        <f aca="false">IF(N885=1,Assumptions!$B$8,IF(N885=2,Assumptions!$B$9,IF(N885=3,Assumptions!$B$10,0)))</f>
        <v>0</v>
      </c>
      <c r="P885" s="6" t="s">
        <v>30</v>
      </c>
      <c r="Q885" s="6" t="s">
        <v>30</v>
      </c>
      <c r="R885" s="11" t="s">
        <v>30</v>
      </c>
      <c r="S885" s="6" t="s">
        <v>30</v>
      </c>
      <c r="T885" s="11" t="s">
        <v>30</v>
      </c>
      <c r="U885" s="6" t="s">
        <v>30</v>
      </c>
      <c r="V885" s="6" t="s">
        <v>30</v>
      </c>
      <c r="W885" s="6" t="s">
        <v>30</v>
      </c>
      <c r="X885" s="2" t="s">
        <v>30</v>
      </c>
      <c r="Y885" s="6" t="str">
        <f aca="false">IF(AND(X885="processed",ISNUMBER(S885)),S885*O885,"")</f>
        <v/>
      </c>
      <c r="Z885" s="6" t="n">
        <f aca="false">IF(ISNUMBER(K885),K885*O885,0)</f>
        <v>0</v>
      </c>
      <c r="AA885" s="2" t="s">
        <v>31</v>
      </c>
      <c r="AB885" s="6" t="n">
        <v>1921</v>
      </c>
      <c r="AC885" s="6" t="n">
        <v>1509</v>
      </c>
      <c r="AD885" s="6" t="n">
        <v>1494</v>
      </c>
      <c r="AE885" s="6" t="n">
        <v>2080.69653320313</v>
      </c>
      <c r="AF885" s="8" t="n">
        <v>447.219754341</v>
      </c>
      <c r="AG885" s="11" t="n">
        <v>0.1327181938</v>
      </c>
      <c r="AH885" s="12" t="n">
        <v>1</v>
      </c>
      <c r="AI885" s="2" t="s">
        <v>317</v>
      </c>
      <c r="AJ885" s="2" t="s">
        <v>1999</v>
      </c>
      <c r="AK885" s="2" t="s">
        <v>2000</v>
      </c>
    </row>
    <row r="886" customFormat="false" ht="15" hidden="false" customHeight="false" outlineLevel="0" collapsed="false">
      <c r="A886" s="9"/>
      <c r="B886" s="2" t="s">
        <v>2001</v>
      </c>
      <c r="C886" s="2" t="s">
        <v>2002</v>
      </c>
      <c r="D886" s="2" t="s">
        <v>44</v>
      </c>
      <c r="E886" s="2" t="s">
        <v>44</v>
      </c>
      <c r="F886" s="2" t="s">
        <v>2003</v>
      </c>
      <c r="G886" s="2" t="s">
        <v>322</v>
      </c>
      <c r="H886" s="8" t="n">
        <v>414.932684865393</v>
      </c>
      <c r="I886" s="2" t="s">
        <v>316</v>
      </c>
      <c r="J886" s="8" t="n">
        <v>820469.208211144</v>
      </c>
      <c r="K886" s="6" t="n">
        <v>341</v>
      </c>
      <c r="L886" s="2"/>
      <c r="M886" s="10" t="b">
        <f aca="false">TRUE()</f>
        <v>1</v>
      </c>
      <c r="N886" s="9" t="str">
        <f aca="false">IF(H886="","",IF(H886&gt;=Assumptions!$B$5,1,IF(H886&gt;=Assumptions!$B$6,2,IF(H886&gt;=Assumptions!$B$7,3,""))))</f>
        <v/>
      </c>
      <c r="O886" s="9" t="n">
        <f aca="false">IF(N886=1,Assumptions!$B$8,IF(N886=2,Assumptions!$B$9,IF(N886=3,Assumptions!$B$10,0)))</f>
        <v>0</v>
      </c>
      <c r="P886" s="6" t="s">
        <v>30</v>
      </c>
      <c r="Q886" s="6" t="s">
        <v>30</v>
      </c>
      <c r="R886" s="11" t="s">
        <v>30</v>
      </c>
      <c r="S886" s="6" t="s">
        <v>30</v>
      </c>
      <c r="T886" s="11" t="s">
        <v>30</v>
      </c>
      <c r="U886" s="6" t="s">
        <v>30</v>
      </c>
      <c r="V886" s="6" t="s">
        <v>30</v>
      </c>
      <c r="W886" s="6" t="s">
        <v>30</v>
      </c>
      <c r="X886" s="2" t="s">
        <v>30</v>
      </c>
      <c r="Y886" s="6" t="str">
        <f aca="false">IF(AND(X886="processed",ISNUMBER(S886)),S886*O886,"")</f>
        <v/>
      </c>
      <c r="Z886" s="6" t="n">
        <f aca="false">IF(ISNUMBER(K886),K886*O886,0)</f>
        <v>0</v>
      </c>
      <c r="AA886" s="2" t="s">
        <v>31</v>
      </c>
      <c r="AB886" s="6" t="n">
        <v>19466</v>
      </c>
      <c r="AC886" s="6" t="n">
        <v>16579</v>
      </c>
      <c r="AD886" s="6" t="n">
        <v>18954</v>
      </c>
      <c r="AE886" s="6" t="n">
        <v>2546.056640625</v>
      </c>
      <c r="AF886" s="8" t="n">
        <v>421.970362561</v>
      </c>
      <c r="AG886" s="11" t="n">
        <v>0.01451977115</v>
      </c>
      <c r="AH886" s="12" t="n">
        <v>1.00000000000001</v>
      </c>
      <c r="AI886" s="2" t="s">
        <v>317</v>
      </c>
      <c r="AJ886" s="2" t="s">
        <v>2002</v>
      </c>
      <c r="AK886" s="2" t="s">
        <v>143</v>
      </c>
    </row>
    <row r="887" customFormat="false" ht="15" hidden="false" customHeight="false" outlineLevel="0" collapsed="false">
      <c r="A887" s="9"/>
      <c r="B887" s="2" t="s">
        <v>2004</v>
      </c>
      <c r="C887" s="2" t="s">
        <v>2005</v>
      </c>
      <c r="D887" s="2" t="s">
        <v>44</v>
      </c>
      <c r="E887" s="2" t="s">
        <v>44</v>
      </c>
      <c r="F887" s="2"/>
      <c r="G887" s="2" t="s">
        <v>322</v>
      </c>
      <c r="H887" s="8" t="n">
        <v>353.7214193491</v>
      </c>
      <c r="I887" s="2" t="s">
        <v>316</v>
      </c>
      <c r="J887" s="8" t="n">
        <v>436200</v>
      </c>
      <c r="K887" s="6" t="n">
        <v>10</v>
      </c>
      <c r="L887" s="2"/>
      <c r="M887" s="10" t="b">
        <f aca="false">TRUE()</f>
        <v>1</v>
      </c>
      <c r="N887" s="9" t="str">
        <f aca="false">IF(H887="","",IF(H887&gt;=Assumptions!$B$5,1,IF(H887&gt;=Assumptions!$B$6,2,IF(H887&gt;=Assumptions!$B$7,3,""))))</f>
        <v/>
      </c>
      <c r="O887" s="9" t="n">
        <f aca="false">IF(N887=1,Assumptions!$B$8,IF(N887=2,Assumptions!$B$9,IF(N887=3,Assumptions!$B$10,0)))</f>
        <v>0</v>
      </c>
      <c r="P887" s="6" t="s">
        <v>30</v>
      </c>
      <c r="Q887" s="6" t="s">
        <v>30</v>
      </c>
      <c r="R887" s="11" t="s">
        <v>30</v>
      </c>
      <c r="S887" s="6" t="s">
        <v>30</v>
      </c>
      <c r="T887" s="11" t="s">
        <v>30</v>
      </c>
      <c r="U887" s="6" t="s">
        <v>30</v>
      </c>
      <c r="V887" s="6" t="s">
        <v>30</v>
      </c>
      <c r="W887" s="6" t="s">
        <v>30</v>
      </c>
      <c r="X887" s="2" t="s">
        <v>30</v>
      </c>
      <c r="Y887" s="6" t="str">
        <f aca="false">IF(AND(X887="processed",ISNUMBER(S887)),S887*O887,"")</f>
        <v/>
      </c>
      <c r="Z887" s="6" t="n">
        <f aca="false">IF(ISNUMBER(K887),K887*O887,0)</f>
        <v>0</v>
      </c>
      <c r="AA887" s="2" t="s">
        <v>31</v>
      </c>
      <c r="AB887" s="6" t="n">
        <v>674</v>
      </c>
      <c r="AC887" s="6" t="n">
        <v>441</v>
      </c>
      <c r="AD887" s="6" t="n">
        <v>164</v>
      </c>
      <c r="AE887" s="6" t="n">
        <v>1448.47082519531</v>
      </c>
      <c r="AF887" s="8" t="n">
        <v>275.735294118</v>
      </c>
      <c r="AG887" s="11"/>
      <c r="AH887" s="12" t="n">
        <v>0.999999999999999</v>
      </c>
      <c r="AI887" s="2" t="s">
        <v>317</v>
      </c>
      <c r="AJ887" s="2" t="s">
        <v>2005</v>
      </c>
      <c r="AK887" s="2" t="s">
        <v>2005</v>
      </c>
    </row>
    <row r="888" customFormat="false" ht="15" hidden="false" customHeight="false" outlineLevel="0" collapsed="false">
      <c r="A888" s="9"/>
      <c r="B888" s="2" t="s">
        <v>2006</v>
      </c>
      <c r="C888" s="2"/>
      <c r="D888" s="2" t="s">
        <v>1190</v>
      </c>
      <c r="E888" s="2" t="s">
        <v>1191</v>
      </c>
      <c r="F888" s="2"/>
      <c r="G888" s="2" t="s">
        <v>322</v>
      </c>
      <c r="H888" s="8" t="n">
        <v>391.251473447408</v>
      </c>
      <c r="I888" s="2" t="s">
        <v>316</v>
      </c>
      <c r="J888" s="8" t="n">
        <v>1126775.51020408</v>
      </c>
      <c r="K888" s="6" t="n">
        <v>49</v>
      </c>
      <c r="L888" s="2"/>
      <c r="M888" s="10" t="b">
        <f aca="false">FALSE()</f>
        <v>0</v>
      </c>
      <c r="N888" s="9" t="str">
        <f aca="false">IF(H888="","",IF(H888&gt;=Assumptions!$B$5,1,IF(H888&gt;=Assumptions!$B$6,2,IF(H888&gt;=Assumptions!$B$7,3,""))))</f>
        <v/>
      </c>
      <c r="O888" s="9" t="n">
        <f aca="false">IF(N888=1,Assumptions!$B$8,IF(N888=2,Assumptions!$B$9,IF(N888=3,Assumptions!$B$10,0)))</f>
        <v>0</v>
      </c>
      <c r="P888" s="6" t="s">
        <v>30</v>
      </c>
      <c r="Q888" s="6" t="s">
        <v>30</v>
      </c>
      <c r="R888" s="11" t="s">
        <v>30</v>
      </c>
      <c r="S888" s="6" t="s">
        <v>30</v>
      </c>
      <c r="T888" s="11" t="s">
        <v>30</v>
      </c>
      <c r="U888" s="6" t="s">
        <v>30</v>
      </c>
      <c r="V888" s="6" t="s">
        <v>30</v>
      </c>
      <c r="W888" s="6" t="s">
        <v>30</v>
      </c>
      <c r="X888" s="2" t="s">
        <v>30</v>
      </c>
      <c r="Y888" s="6" t="str">
        <f aca="false">IF(AND(X888="processed",ISNUMBER(S888)),S888*O888,"")</f>
        <v/>
      </c>
      <c r="Z888" s="6" t="n">
        <f aca="false">IF(ISNUMBER(K888),K888*O888,0)</f>
        <v>0</v>
      </c>
      <c r="AA888" s="2" t="s">
        <v>31</v>
      </c>
      <c r="AB888" s="6"/>
      <c r="AC888" s="6"/>
      <c r="AD888" s="6"/>
      <c r="AE888" s="6"/>
      <c r="AF888" s="8" t="n">
        <v>395.226537217</v>
      </c>
      <c r="AG888" s="11" t="n">
        <v>-0.07557662059</v>
      </c>
      <c r="AH888" s="12"/>
      <c r="AI888" s="2"/>
      <c r="AJ888" s="2"/>
      <c r="AK888" s="2"/>
    </row>
    <row r="889" customFormat="false" ht="15" hidden="false" customHeight="false" outlineLevel="0" collapsed="false">
      <c r="A889" s="9"/>
      <c r="B889" s="2" t="s">
        <v>2007</v>
      </c>
      <c r="C889" s="2" t="s">
        <v>2008</v>
      </c>
      <c r="D889" s="2" t="s">
        <v>44</v>
      </c>
      <c r="E889" s="2" t="s">
        <v>44</v>
      </c>
      <c r="F889" s="2"/>
      <c r="G889" s="2" t="s">
        <v>322</v>
      </c>
      <c r="H889" s="8" t="n">
        <v>386.845180418778</v>
      </c>
      <c r="I889" s="2" t="s">
        <v>316</v>
      </c>
      <c r="J889" s="8" t="n">
        <v>901835.858585859</v>
      </c>
      <c r="K889" s="6" t="n">
        <v>198</v>
      </c>
      <c r="L889" s="2"/>
      <c r="M889" s="10" t="b">
        <f aca="false">TRUE()</f>
        <v>1</v>
      </c>
      <c r="N889" s="9" t="str">
        <f aca="false">IF(H889="","",IF(H889&gt;=Assumptions!$B$5,1,IF(H889&gt;=Assumptions!$B$6,2,IF(H889&gt;=Assumptions!$B$7,3,""))))</f>
        <v/>
      </c>
      <c r="O889" s="9" t="n">
        <f aca="false">IF(N889=1,Assumptions!$B$8,IF(N889=2,Assumptions!$B$9,IF(N889=3,Assumptions!$B$10,0)))</f>
        <v>0</v>
      </c>
      <c r="P889" s="6" t="s">
        <v>30</v>
      </c>
      <c r="Q889" s="6" t="s">
        <v>30</v>
      </c>
      <c r="R889" s="11" t="s">
        <v>30</v>
      </c>
      <c r="S889" s="6" t="s">
        <v>30</v>
      </c>
      <c r="T889" s="11" t="s">
        <v>30</v>
      </c>
      <c r="U889" s="6" t="s">
        <v>30</v>
      </c>
      <c r="V889" s="6" t="s">
        <v>30</v>
      </c>
      <c r="W889" s="6" t="s">
        <v>30</v>
      </c>
      <c r="X889" s="2" t="s">
        <v>30</v>
      </c>
      <c r="Y889" s="6" t="str">
        <f aca="false">IF(AND(X889="processed",ISNUMBER(S889)),S889*O889,"")</f>
        <v/>
      </c>
      <c r="Z889" s="6" t="n">
        <f aca="false">IF(ISNUMBER(K889),K889*O889,0)</f>
        <v>0</v>
      </c>
      <c r="AA889" s="2" t="s">
        <v>31</v>
      </c>
      <c r="AB889" s="6" t="n">
        <v>15059</v>
      </c>
      <c r="AC889" s="6" t="n">
        <v>11064</v>
      </c>
      <c r="AD889" s="6" t="n">
        <v>9797</v>
      </c>
      <c r="AE889" s="6" t="n">
        <v>2266.18408203125</v>
      </c>
      <c r="AF889" s="8" t="n">
        <v>379.785070574</v>
      </c>
      <c r="AG889" s="11" t="n">
        <v>0.003450786327</v>
      </c>
      <c r="AH889" s="12" t="n">
        <v>1</v>
      </c>
      <c r="AI889" s="2" t="s">
        <v>317</v>
      </c>
      <c r="AJ889" s="2" t="s">
        <v>2008</v>
      </c>
      <c r="AK889" s="2" t="s">
        <v>1122</v>
      </c>
    </row>
    <row r="890" customFormat="false" ht="15" hidden="false" customHeight="false" outlineLevel="0" collapsed="false">
      <c r="A890" s="9"/>
      <c r="B890" s="2" t="s">
        <v>2009</v>
      </c>
      <c r="C890" s="2" t="s">
        <v>1129</v>
      </c>
      <c r="D890" s="2" t="s">
        <v>44</v>
      </c>
      <c r="E890" s="2" t="s">
        <v>44</v>
      </c>
      <c r="F890" s="2" t="s">
        <v>2010</v>
      </c>
      <c r="G890" s="2" t="s">
        <v>322</v>
      </c>
      <c r="H890" s="8" t="n">
        <v>499.473505885909</v>
      </c>
      <c r="I890" s="2" t="s">
        <v>316</v>
      </c>
      <c r="J890" s="8" t="n">
        <v>983395.765472313</v>
      </c>
      <c r="K890" s="6" t="n">
        <v>307</v>
      </c>
      <c r="L890" s="2"/>
      <c r="M890" s="10" t="b">
        <f aca="false">TRUE()</f>
        <v>1</v>
      </c>
      <c r="N890" s="9" t="str">
        <f aca="false">IF(H890="","",IF(H890&gt;=Assumptions!$B$5,1,IF(H890&gt;=Assumptions!$B$6,2,IF(H890&gt;=Assumptions!$B$7,3,""))))</f>
        <v/>
      </c>
      <c r="O890" s="9" t="n">
        <f aca="false">IF(N890=1,Assumptions!$B$8,IF(N890=2,Assumptions!$B$9,IF(N890=3,Assumptions!$B$10,0)))</f>
        <v>0</v>
      </c>
      <c r="P890" s="6" t="s">
        <v>30</v>
      </c>
      <c r="Q890" s="6" t="s">
        <v>30</v>
      </c>
      <c r="R890" s="11" t="s">
        <v>30</v>
      </c>
      <c r="S890" s="6" t="s">
        <v>30</v>
      </c>
      <c r="T890" s="11" t="s">
        <v>30</v>
      </c>
      <c r="U890" s="6" t="s">
        <v>30</v>
      </c>
      <c r="V890" s="6" t="s">
        <v>30</v>
      </c>
      <c r="W890" s="6" t="s">
        <v>30</v>
      </c>
      <c r="X890" s="2" t="s">
        <v>30</v>
      </c>
      <c r="Y890" s="6" t="str">
        <f aca="false">IF(AND(X890="processed",ISNUMBER(S890)),S890*O890,"")</f>
        <v/>
      </c>
      <c r="Z890" s="6" t="n">
        <f aca="false">IF(ISNUMBER(K890),K890*O890,0)</f>
        <v>0</v>
      </c>
      <c r="AA890" s="2" t="s">
        <v>31</v>
      </c>
      <c r="AB890" s="6" t="n">
        <v>16643</v>
      </c>
      <c r="AC890" s="6" t="n">
        <v>14151</v>
      </c>
      <c r="AD890" s="6" t="n">
        <v>12982</v>
      </c>
      <c r="AE890" s="6" t="n">
        <v>2487.9970703125</v>
      </c>
      <c r="AF890" s="8" t="n">
        <v>484.140233723</v>
      </c>
      <c r="AG890" s="11" t="n">
        <v>-0.01773325914</v>
      </c>
      <c r="AH890" s="12" t="n">
        <v>1</v>
      </c>
      <c r="AI890" s="2" t="s">
        <v>317</v>
      </c>
      <c r="AJ890" s="2" t="s">
        <v>1129</v>
      </c>
      <c r="AK890" s="2" t="s">
        <v>1129</v>
      </c>
    </row>
    <row r="891" customFormat="false" ht="15" hidden="false" customHeight="false" outlineLevel="0" collapsed="false">
      <c r="A891" s="9"/>
      <c r="B891" s="2" t="s">
        <v>2011</v>
      </c>
      <c r="C891" s="2" t="s">
        <v>2012</v>
      </c>
      <c r="D891" s="2" t="s">
        <v>44</v>
      </c>
      <c r="E891" s="2" t="s">
        <v>44</v>
      </c>
      <c r="F891" s="2"/>
      <c r="G891" s="2" t="s">
        <v>322</v>
      </c>
      <c r="H891" s="8" t="n">
        <v>277.051337304</v>
      </c>
      <c r="I891" s="2" t="s">
        <v>316</v>
      </c>
      <c r="J891" s="8" t="n">
        <v>509615.384615385</v>
      </c>
      <c r="K891" s="6" t="n">
        <v>13</v>
      </c>
      <c r="L891" s="2"/>
      <c r="M891" s="10" t="b">
        <f aca="false">TRUE()</f>
        <v>1</v>
      </c>
      <c r="N891" s="9" t="str">
        <f aca="false">IF(H891="","",IF(H891&gt;=Assumptions!$B$5,1,IF(H891&gt;=Assumptions!$B$6,2,IF(H891&gt;=Assumptions!$B$7,3,""))))</f>
        <v/>
      </c>
      <c r="O891" s="9" t="n">
        <f aca="false">IF(N891=1,Assumptions!$B$8,IF(N891=2,Assumptions!$B$9,IF(N891=3,Assumptions!$B$10,0)))</f>
        <v>0</v>
      </c>
      <c r="P891" s="6" t="s">
        <v>30</v>
      </c>
      <c r="Q891" s="6" t="s">
        <v>30</v>
      </c>
      <c r="R891" s="11" t="s">
        <v>30</v>
      </c>
      <c r="S891" s="6" t="s">
        <v>30</v>
      </c>
      <c r="T891" s="11" t="s">
        <v>30</v>
      </c>
      <c r="U891" s="6" t="s">
        <v>30</v>
      </c>
      <c r="V891" s="6" t="s">
        <v>30</v>
      </c>
      <c r="W891" s="6" t="s">
        <v>30</v>
      </c>
      <c r="X891" s="2" t="s">
        <v>30</v>
      </c>
      <c r="Y891" s="6" t="str">
        <f aca="false">IF(AND(X891="processed",ISNUMBER(S891)),S891*O891,"")</f>
        <v/>
      </c>
      <c r="Z891" s="6" t="n">
        <f aca="false">IF(ISNUMBER(K891),K891*O891,0)</f>
        <v>0</v>
      </c>
      <c r="AA891" s="2" t="s">
        <v>31</v>
      </c>
      <c r="AB891" s="6" t="n">
        <v>2348</v>
      </c>
      <c r="AC891" s="6" t="n">
        <v>1809</v>
      </c>
      <c r="AD891" s="6" t="n">
        <v>1788</v>
      </c>
      <c r="AE891" s="6" t="n">
        <v>1605.70910644531</v>
      </c>
      <c r="AF891" s="8" t="n">
        <v>280.927835052</v>
      </c>
      <c r="AG891" s="11" t="n">
        <v>-0.02776436697</v>
      </c>
      <c r="AH891" s="12" t="n">
        <v>0.999928685393035</v>
      </c>
      <c r="AI891" s="2" t="s">
        <v>317</v>
      </c>
      <c r="AJ891" s="2" t="s">
        <v>2012</v>
      </c>
      <c r="AK891" s="2" t="s">
        <v>2013</v>
      </c>
    </row>
    <row r="892" customFormat="false" ht="15" hidden="false" customHeight="false" outlineLevel="0" collapsed="false">
      <c r="A892" s="9"/>
      <c r="B892" s="2" t="s">
        <v>2014</v>
      </c>
      <c r="C892" s="2" t="s">
        <v>44</v>
      </c>
      <c r="D892" s="2" t="s">
        <v>44</v>
      </c>
      <c r="E892" s="2" t="s">
        <v>44</v>
      </c>
      <c r="F892" s="2"/>
      <c r="G892" s="2"/>
      <c r="H892" s="8"/>
      <c r="I892" s="2"/>
      <c r="J892" s="8"/>
      <c r="K892" s="6"/>
      <c r="L892" s="2"/>
      <c r="M892" s="10" t="b">
        <f aca="false">TRUE()</f>
        <v>1</v>
      </c>
      <c r="N892" s="9" t="str">
        <f aca="false">IF(H892="","",IF(H892&gt;=Assumptions!$B$5,1,IF(H892&gt;=Assumptions!$B$6,2,IF(H892&gt;=Assumptions!$B$7,3,""))))</f>
        <v/>
      </c>
      <c r="O892" s="9" t="n">
        <f aca="false">IF(N892=1,Assumptions!$B$8,IF(N892=2,Assumptions!$B$9,IF(N892=3,Assumptions!$B$10,0)))</f>
        <v>0</v>
      </c>
      <c r="P892" s="6" t="s">
        <v>30</v>
      </c>
      <c r="Q892" s="6" t="s">
        <v>30</v>
      </c>
      <c r="R892" s="11" t="s">
        <v>30</v>
      </c>
      <c r="S892" s="6" t="s">
        <v>30</v>
      </c>
      <c r="T892" s="11" t="s">
        <v>30</v>
      </c>
      <c r="U892" s="6" t="s">
        <v>30</v>
      </c>
      <c r="V892" s="6" t="s">
        <v>30</v>
      </c>
      <c r="W892" s="6" t="s">
        <v>30</v>
      </c>
      <c r="X892" s="2" t="s">
        <v>30</v>
      </c>
      <c r="Y892" s="6" t="str">
        <f aca="false">IF(AND(X892="processed",ISNUMBER(S892)),S892*O892,"")</f>
        <v/>
      </c>
      <c r="Z892" s="6" t="n">
        <f aca="false">IF(ISNUMBER(K892),K892*O892,0)</f>
        <v>0</v>
      </c>
      <c r="AA892" s="2" t="s">
        <v>31</v>
      </c>
      <c r="AB892" s="6" t="n">
        <v>54</v>
      </c>
      <c r="AC892" s="6" t="n">
        <v>18</v>
      </c>
      <c r="AD892" s="6" t="n">
        <v>18</v>
      </c>
      <c r="AE892" s="6" t="n">
        <v>1710.60180664063</v>
      </c>
      <c r="AF892" s="8"/>
      <c r="AG892" s="11"/>
      <c r="AH892" s="12" t="n">
        <v>1</v>
      </c>
      <c r="AI892" s="2" t="s">
        <v>319</v>
      </c>
      <c r="AJ892" s="2"/>
      <c r="AK892" s="2" t="s">
        <v>44</v>
      </c>
    </row>
    <row r="893" customFormat="false" ht="15" hidden="false" customHeight="false" outlineLevel="0" collapsed="false">
      <c r="A893" s="9"/>
      <c r="B893" s="2" t="s">
        <v>2015</v>
      </c>
      <c r="C893" s="2" t="s">
        <v>648</v>
      </c>
      <c r="D893" s="2" t="s">
        <v>44</v>
      </c>
      <c r="E893" s="2" t="s">
        <v>44</v>
      </c>
      <c r="F893" s="2"/>
      <c r="G893" s="2"/>
      <c r="H893" s="8"/>
      <c r="I893" s="2"/>
      <c r="J893" s="8"/>
      <c r="K893" s="6"/>
      <c r="L893" s="2"/>
      <c r="M893" s="10" t="b">
        <f aca="false">TRUE()</f>
        <v>1</v>
      </c>
      <c r="N893" s="9" t="str">
        <f aca="false">IF(H893="","",IF(H893&gt;=Assumptions!$B$5,1,IF(H893&gt;=Assumptions!$B$6,2,IF(H893&gt;=Assumptions!$B$7,3,""))))</f>
        <v/>
      </c>
      <c r="O893" s="9" t="n">
        <f aca="false">IF(N893=1,Assumptions!$B$8,IF(N893=2,Assumptions!$B$9,IF(N893=3,Assumptions!$B$10,0)))</f>
        <v>0</v>
      </c>
      <c r="P893" s="6" t="s">
        <v>30</v>
      </c>
      <c r="Q893" s="6" t="s">
        <v>30</v>
      </c>
      <c r="R893" s="11" t="s">
        <v>30</v>
      </c>
      <c r="S893" s="6" t="s">
        <v>30</v>
      </c>
      <c r="T893" s="11" t="s">
        <v>30</v>
      </c>
      <c r="U893" s="6" t="s">
        <v>30</v>
      </c>
      <c r="V893" s="6" t="s">
        <v>30</v>
      </c>
      <c r="W893" s="6" t="s">
        <v>30</v>
      </c>
      <c r="X893" s="2" t="s">
        <v>30</v>
      </c>
      <c r="Y893" s="6" t="str">
        <f aca="false">IF(AND(X893="processed",ISNUMBER(S893)),S893*O893,"")</f>
        <v/>
      </c>
      <c r="Z893" s="6" t="n">
        <f aca="false">IF(ISNUMBER(K893),K893*O893,0)</f>
        <v>0</v>
      </c>
      <c r="AA893" s="2" t="s">
        <v>31</v>
      </c>
      <c r="AB893" s="6" t="n">
        <v>213</v>
      </c>
      <c r="AC893" s="6" t="n">
        <v>66</v>
      </c>
      <c r="AD893" s="6" t="n">
        <v>2</v>
      </c>
      <c r="AE893" s="6" t="n">
        <v>2492.65795898438</v>
      </c>
      <c r="AF893" s="8"/>
      <c r="AG893" s="11"/>
      <c r="AH893" s="12" t="n">
        <v>0.999982052081222</v>
      </c>
      <c r="AI893" s="2" t="s">
        <v>319</v>
      </c>
      <c r="AJ893" s="2"/>
      <c r="AK893" s="2" t="s">
        <v>648</v>
      </c>
    </row>
    <row r="894" customFormat="false" ht="15" hidden="false" customHeight="false" outlineLevel="0" collapsed="false">
      <c r="A894" s="9"/>
      <c r="B894" s="2" t="s">
        <v>2016</v>
      </c>
      <c r="C894" s="2" t="s">
        <v>44</v>
      </c>
      <c r="D894" s="2" t="s">
        <v>44</v>
      </c>
      <c r="E894" s="2" t="s">
        <v>44</v>
      </c>
      <c r="F894" s="2"/>
      <c r="G894" s="2"/>
      <c r="H894" s="8"/>
      <c r="I894" s="2"/>
      <c r="J894" s="8"/>
      <c r="K894" s="6"/>
      <c r="L894" s="2"/>
      <c r="M894" s="10" t="b">
        <f aca="false">TRUE()</f>
        <v>1</v>
      </c>
      <c r="N894" s="9" t="str">
        <f aca="false">IF(H894="","",IF(H894&gt;=Assumptions!$B$5,1,IF(H894&gt;=Assumptions!$B$6,2,IF(H894&gt;=Assumptions!$B$7,3,""))))</f>
        <v/>
      </c>
      <c r="O894" s="9" t="n">
        <f aca="false">IF(N894=1,Assumptions!$B$8,IF(N894=2,Assumptions!$B$9,IF(N894=3,Assumptions!$B$10,0)))</f>
        <v>0</v>
      </c>
      <c r="P894" s="6" t="s">
        <v>30</v>
      </c>
      <c r="Q894" s="6" t="s">
        <v>30</v>
      </c>
      <c r="R894" s="11" t="s">
        <v>30</v>
      </c>
      <c r="S894" s="6" t="s">
        <v>30</v>
      </c>
      <c r="T894" s="11" t="s">
        <v>30</v>
      </c>
      <c r="U894" s="6" t="s">
        <v>30</v>
      </c>
      <c r="V894" s="6" t="s">
        <v>30</v>
      </c>
      <c r="W894" s="6" t="s">
        <v>30</v>
      </c>
      <c r="X894" s="2" t="s">
        <v>30</v>
      </c>
      <c r="Y894" s="6" t="str">
        <f aca="false">IF(AND(X894="processed",ISNUMBER(S894)),S894*O894,"")</f>
        <v/>
      </c>
      <c r="Z894" s="6" t="n">
        <f aca="false">IF(ISNUMBER(K894),K894*O894,0)</f>
        <v>0</v>
      </c>
      <c r="AA894" s="2" t="s">
        <v>31</v>
      </c>
      <c r="AB894" s="6" t="n">
        <v>204</v>
      </c>
      <c r="AC894" s="6" t="n">
        <v>88</v>
      </c>
      <c r="AD894" s="6" t="n">
        <v>43</v>
      </c>
      <c r="AE894" s="6" t="n">
        <v>1755.65319824219</v>
      </c>
      <c r="AF894" s="8"/>
      <c r="AG894" s="11"/>
      <c r="AH894" s="12" t="n">
        <v>0.999946977845816</v>
      </c>
      <c r="AI894" s="2" t="s">
        <v>319</v>
      </c>
      <c r="AJ894" s="2"/>
      <c r="AK894" s="2" t="s">
        <v>44</v>
      </c>
    </row>
    <row r="895" customFormat="false" ht="15" hidden="false" customHeight="false" outlineLevel="0" collapsed="false">
      <c r="A895" s="9"/>
      <c r="B895" s="2" t="s">
        <v>2017</v>
      </c>
      <c r="C895" s="2" t="s">
        <v>44</v>
      </c>
      <c r="D895" s="2" t="s">
        <v>44</v>
      </c>
      <c r="E895" s="2" t="s">
        <v>44</v>
      </c>
      <c r="F895" s="2" t="s">
        <v>2018</v>
      </c>
      <c r="G895" s="2"/>
      <c r="H895" s="8"/>
      <c r="I895" s="2"/>
      <c r="J895" s="8"/>
      <c r="K895" s="6"/>
      <c r="L895" s="2"/>
      <c r="M895" s="10" t="b">
        <f aca="false">TRUE()</f>
        <v>1</v>
      </c>
      <c r="N895" s="9" t="str">
        <f aca="false">IF(H895="","",IF(H895&gt;=Assumptions!$B$5,1,IF(H895&gt;=Assumptions!$B$6,2,IF(H895&gt;=Assumptions!$B$7,3,""))))</f>
        <v/>
      </c>
      <c r="O895" s="9" t="n">
        <f aca="false">IF(N895=1,Assumptions!$B$8,IF(N895=2,Assumptions!$B$9,IF(N895=3,Assumptions!$B$10,0)))</f>
        <v>0</v>
      </c>
      <c r="P895" s="6" t="s">
        <v>30</v>
      </c>
      <c r="Q895" s="6" t="s">
        <v>30</v>
      </c>
      <c r="R895" s="11" t="s">
        <v>30</v>
      </c>
      <c r="S895" s="6" t="s">
        <v>30</v>
      </c>
      <c r="T895" s="11" t="s">
        <v>30</v>
      </c>
      <c r="U895" s="6" t="s">
        <v>30</v>
      </c>
      <c r="V895" s="6" t="s">
        <v>30</v>
      </c>
      <c r="W895" s="6" t="s">
        <v>30</v>
      </c>
      <c r="X895" s="2" t="s">
        <v>30</v>
      </c>
      <c r="Y895" s="6" t="str">
        <f aca="false">IF(AND(X895="processed",ISNUMBER(S895)),S895*O895,"")</f>
        <v/>
      </c>
      <c r="Z895" s="6" t="n">
        <f aca="false">IF(ISNUMBER(K895),K895*O895,0)</f>
        <v>0</v>
      </c>
      <c r="AA895" s="2" t="s">
        <v>31</v>
      </c>
      <c r="AB895" s="6" t="n">
        <v>980</v>
      </c>
      <c r="AC895" s="6" t="n">
        <v>614</v>
      </c>
      <c r="AD895" s="6" t="n">
        <v>19</v>
      </c>
      <c r="AE895" s="6" t="n">
        <v>4134.11181640625</v>
      </c>
      <c r="AF895" s="8"/>
      <c r="AG895" s="11"/>
      <c r="AH895" s="12" t="n">
        <v>1</v>
      </c>
      <c r="AI895" s="2" t="s">
        <v>319</v>
      </c>
      <c r="AJ895" s="2"/>
      <c r="AK895" s="2" t="s">
        <v>44</v>
      </c>
    </row>
    <row r="896" customFormat="false" ht="15" hidden="false" customHeight="false" outlineLevel="0" collapsed="false">
      <c r="A896" s="9"/>
      <c r="B896" s="2" t="s">
        <v>2019</v>
      </c>
      <c r="C896" s="2" t="s">
        <v>44</v>
      </c>
      <c r="D896" s="2" t="s">
        <v>44</v>
      </c>
      <c r="E896" s="2" t="s">
        <v>44</v>
      </c>
      <c r="F896" s="2"/>
      <c r="G896" s="2"/>
      <c r="H896" s="8"/>
      <c r="I896" s="2"/>
      <c r="J896" s="8"/>
      <c r="K896" s="6"/>
      <c r="L896" s="2"/>
      <c r="M896" s="10" t="b">
        <f aca="false">TRUE()</f>
        <v>1</v>
      </c>
      <c r="N896" s="9" t="str">
        <f aca="false">IF(H896="","",IF(H896&gt;=Assumptions!$B$5,1,IF(H896&gt;=Assumptions!$B$6,2,IF(H896&gt;=Assumptions!$B$7,3,""))))</f>
        <v/>
      </c>
      <c r="O896" s="9" t="n">
        <f aca="false">IF(N896=1,Assumptions!$B$8,IF(N896=2,Assumptions!$B$9,IF(N896=3,Assumptions!$B$10,0)))</f>
        <v>0</v>
      </c>
      <c r="P896" s="6" t="s">
        <v>30</v>
      </c>
      <c r="Q896" s="6" t="s">
        <v>30</v>
      </c>
      <c r="R896" s="11" t="s">
        <v>30</v>
      </c>
      <c r="S896" s="6" t="s">
        <v>30</v>
      </c>
      <c r="T896" s="11" t="s">
        <v>30</v>
      </c>
      <c r="U896" s="6" t="s">
        <v>30</v>
      </c>
      <c r="V896" s="6" t="s">
        <v>30</v>
      </c>
      <c r="W896" s="6" t="s">
        <v>30</v>
      </c>
      <c r="X896" s="2" t="s">
        <v>30</v>
      </c>
      <c r="Y896" s="6" t="str">
        <f aca="false">IF(AND(X896="processed",ISNUMBER(S896)),S896*O896,"")</f>
        <v/>
      </c>
      <c r="Z896" s="6" t="n">
        <f aca="false">IF(ISNUMBER(K896),K896*O896,0)</f>
        <v>0</v>
      </c>
      <c r="AA896" s="2" t="s">
        <v>31</v>
      </c>
      <c r="AB896" s="6" t="n">
        <v>52</v>
      </c>
      <c r="AC896" s="6" t="n">
        <v>26</v>
      </c>
      <c r="AD896" s="6" t="n">
        <v>5</v>
      </c>
      <c r="AE896" s="6" t="n">
        <v>2407.896484375</v>
      </c>
      <c r="AF896" s="8"/>
      <c r="AG896" s="11"/>
      <c r="AH896" s="12" t="n">
        <v>0.971777052885766</v>
      </c>
      <c r="AI896" s="2" t="s">
        <v>319</v>
      </c>
      <c r="AJ896" s="2"/>
      <c r="AK896" s="2" t="s">
        <v>44</v>
      </c>
    </row>
    <row r="897" customFormat="false" ht="15" hidden="false" customHeight="false" outlineLevel="0" collapsed="false">
      <c r="A897" s="9"/>
      <c r="B897" s="2" t="s">
        <v>2020</v>
      </c>
      <c r="C897" s="2" t="s">
        <v>44</v>
      </c>
      <c r="D897" s="2" t="s">
        <v>44</v>
      </c>
      <c r="E897" s="2" t="s">
        <v>44</v>
      </c>
      <c r="F897" s="2" t="s">
        <v>2021</v>
      </c>
      <c r="G897" s="2" t="s">
        <v>322</v>
      </c>
      <c r="H897" s="8" t="n">
        <v>494.823497480549</v>
      </c>
      <c r="I897" s="2" t="s">
        <v>316</v>
      </c>
      <c r="J897" s="8" t="n">
        <v>799588.495575221</v>
      </c>
      <c r="K897" s="6" t="n">
        <v>226</v>
      </c>
      <c r="L897" s="2"/>
      <c r="M897" s="10" t="b">
        <f aca="false">TRUE()</f>
        <v>1</v>
      </c>
      <c r="N897" s="9" t="str">
        <f aca="false">IF(H897="","",IF(H897&gt;=Assumptions!$B$5,1,IF(H897&gt;=Assumptions!$B$6,2,IF(H897&gt;=Assumptions!$B$7,3,""))))</f>
        <v/>
      </c>
      <c r="O897" s="9" t="n">
        <f aca="false">IF(N897=1,Assumptions!$B$8,IF(N897=2,Assumptions!$B$9,IF(N897=3,Assumptions!$B$10,0)))</f>
        <v>0</v>
      </c>
      <c r="P897" s="6" t="s">
        <v>30</v>
      </c>
      <c r="Q897" s="6" t="s">
        <v>30</v>
      </c>
      <c r="R897" s="11" t="s">
        <v>30</v>
      </c>
      <c r="S897" s="6" t="s">
        <v>30</v>
      </c>
      <c r="T897" s="11" t="s">
        <v>30</v>
      </c>
      <c r="U897" s="6" t="s">
        <v>30</v>
      </c>
      <c r="V897" s="6" t="s">
        <v>30</v>
      </c>
      <c r="W897" s="6" t="s">
        <v>30</v>
      </c>
      <c r="X897" s="2" t="s">
        <v>30</v>
      </c>
      <c r="Y897" s="6" t="str">
        <f aca="false">IF(AND(X897="processed",ISNUMBER(S897)),S897*O897,"")</f>
        <v/>
      </c>
      <c r="Z897" s="6" t="n">
        <f aca="false">IF(ISNUMBER(K897),K897*O897,0)</f>
        <v>0</v>
      </c>
      <c r="AA897" s="2" t="s">
        <v>31</v>
      </c>
      <c r="AB897" s="6" t="n">
        <v>30647</v>
      </c>
      <c r="AC897" s="6" t="n">
        <v>16029</v>
      </c>
      <c r="AD897" s="6" t="n">
        <v>7020</v>
      </c>
      <c r="AE897" s="6" t="n">
        <v>2021.38781738281</v>
      </c>
      <c r="AF897" s="8" t="n">
        <v>504.133306324</v>
      </c>
      <c r="AG897" s="11" t="n">
        <v>-0.02388101848</v>
      </c>
      <c r="AH897" s="12" t="n">
        <v>0.995592007535711</v>
      </c>
      <c r="AI897" s="2" t="s">
        <v>317</v>
      </c>
      <c r="AJ897" s="2" t="s">
        <v>44</v>
      </c>
      <c r="AK897" s="2" t="s">
        <v>44</v>
      </c>
    </row>
    <row r="898" customFormat="false" ht="15" hidden="false" customHeight="false" outlineLevel="0" collapsed="false">
      <c r="A898" s="9"/>
      <c r="B898" s="2" t="s">
        <v>2022</v>
      </c>
      <c r="C898" s="2" t="s">
        <v>648</v>
      </c>
      <c r="D898" s="2" t="s">
        <v>44</v>
      </c>
      <c r="E898" s="2" t="s">
        <v>44</v>
      </c>
      <c r="F898" s="2"/>
      <c r="G898" s="2"/>
      <c r="H898" s="8"/>
      <c r="I898" s="2"/>
      <c r="J898" s="8"/>
      <c r="K898" s="6"/>
      <c r="L898" s="2"/>
      <c r="M898" s="10" t="b">
        <f aca="false">TRUE()</f>
        <v>1</v>
      </c>
      <c r="N898" s="9" t="str">
        <f aca="false">IF(H898="","",IF(H898&gt;=Assumptions!$B$5,1,IF(H898&gt;=Assumptions!$B$6,2,IF(H898&gt;=Assumptions!$B$7,3,""))))</f>
        <v/>
      </c>
      <c r="O898" s="9" t="n">
        <f aca="false">IF(N898=1,Assumptions!$B$8,IF(N898=2,Assumptions!$B$9,IF(N898=3,Assumptions!$B$10,0)))</f>
        <v>0</v>
      </c>
      <c r="P898" s="6" t="s">
        <v>30</v>
      </c>
      <c r="Q898" s="6" t="s">
        <v>30</v>
      </c>
      <c r="R898" s="11" t="s">
        <v>30</v>
      </c>
      <c r="S898" s="6" t="s">
        <v>30</v>
      </c>
      <c r="T898" s="11" t="s">
        <v>30</v>
      </c>
      <c r="U898" s="6" t="s">
        <v>30</v>
      </c>
      <c r="V898" s="6" t="s">
        <v>30</v>
      </c>
      <c r="W898" s="6" t="s">
        <v>30</v>
      </c>
      <c r="X898" s="2" t="s">
        <v>30</v>
      </c>
      <c r="Y898" s="6" t="str">
        <f aca="false">IF(AND(X898="processed",ISNUMBER(S898)),S898*O898,"")</f>
        <v/>
      </c>
      <c r="Z898" s="6" t="n">
        <f aca="false">IF(ISNUMBER(K898),K898*O898,0)</f>
        <v>0</v>
      </c>
      <c r="AA898" s="2" t="s">
        <v>31</v>
      </c>
      <c r="AB898" s="6" t="n">
        <v>130</v>
      </c>
      <c r="AC898" s="6" t="n">
        <v>50</v>
      </c>
      <c r="AD898" s="6" t="n">
        <v>13</v>
      </c>
      <c r="AE898" s="6" t="n">
        <v>2063.18920898438</v>
      </c>
      <c r="AF898" s="8"/>
      <c r="AG898" s="11"/>
      <c r="AH898" s="12" t="n">
        <v>0.722010547859719</v>
      </c>
      <c r="AI898" s="2" t="s">
        <v>319</v>
      </c>
      <c r="AJ898" s="2"/>
      <c r="AK898" s="2" t="s">
        <v>648</v>
      </c>
    </row>
    <row r="899" customFormat="false" ht="15" hidden="false" customHeight="false" outlineLevel="0" collapsed="false">
      <c r="A899" s="9"/>
      <c r="B899" s="2" t="s">
        <v>2023</v>
      </c>
      <c r="C899" s="2"/>
      <c r="D899" s="2" t="s">
        <v>1190</v>
      </c>
      <c r="E899" s="2" t="s">
        <v>1191</v>
      </c>
      <c r="F899" s="2"/>
      <c r="G899" s="2" t="s">
        <v>322</v>
      </c>
      <c r="H899" s="8" t="n">
        <v>409.5703125</v>
      </c>
      <c r="I899" s="2" t="s">
        <v>337</v>
      </c>
      <c r="J899" s="8" t="n">
        <v>786375</v>
      </c>
      <c r="K899" s="6" t="n">
        <v>1</v>
      </c>
      <c r="L899" s="2" t="s">
        <v>1664</v>
      </c>
      <c r="M899" s="10" t="b">
        <f aca="false">FALSE()</f>
        <v>0</v>
      </c>
      <c r="N899" s="9" t="str">
        <f aca="false">IF(H899="","",IF(H899&gt;=Assumptions!$B$5,1,IF(H899&gt;=Assumptions!$B$6,2,IF(H899&gt;=Assumptions!$B$7,3,""))))</f>
        <v/>
      </c>
      <c r="O899" s="9" t="n">
        <f aca="false">IF(N899=1,Assumptions!$B$8,IF(N899=2,Assumptions!$B$9,IF(N899=3,Assumptions!$B$10,0)))</f>
        <v>0</v>
      </c>
      <c r="P899" s="6" t="s">
        <v>30</v>
      </c>
      <c r="Q899" s="6" t="s">
        <v>30</v>
      </c>
      <c r="R899" s="11" t="s">
        <v>30</v>
      </c>
      <c r="S899" s="6" t="s">
        <v>30</v>
      </c>
      <c r="T899" s="11" t="s">
        <v>30</v>
      </c>
      <c r="U899" s="6" t="s">
        <v>30</v>
      </c>
      <c r="V899" s="6" t="s">
        <v>30</v>
      </c>
      <c r="W899" s="6" t="s">
        <v>30</v>
      </c>
      <c r="X899" s="2" t="s">
        <v>30</v>
      </c>
      <c r="Y899" s="6" t="str">
        <f aca="false">IF(AND(X899="processed",ISNUMBER(S899)),S899*O899,"")</f>
        <v/>
      </c>
      <c r="Z899" s="6" t="n">
        <f aca="false">IF(ISNUMBER(K899),K899*O899,0)</f>
        <v>0</v>
      </c>
      <c r="AA899" s="2" t="s">
        <v>31</v>
      </c>
      <c r="AB899" s="6"/>
      <c r="AC899" s="6"/>
      <c r="AD899" s="6"/>
      <c r="AE899" s="6"/>
      <c r="AF899" s="8"/>
      <c r="AG899" s="11"/>
      <c r="AH899" s="12"/>
      <c r="AI899" s="2"/>
      <c r="AJ899" s="2"/>
      <c r="AK899" s="2"/>
    </row>
    <row r="900" customFormat="false" ht="15" hidden="false" customHeight="false" outlineLevel="0" collapsed="false">
      <c r="A900" s="9"/>
      <c r="B900" s="2" t="s">
        <v>2024</v>
      </c>
      <c r="C900" s="2" t="s">
        <v>2025</v>
      </c>
      <c r="D900" s="2" t="s">
        <v>455</v>
      </c>
      <c r="E900" s="2" t="s">
        <v>456</v>
      </c>
      <c r="F900" s="2" t="s">
        <v>2026</v>
      </c>
      <c r="G900" s="2" t="s">
        <v>458</v>
      </c>
      <c r="H900" s="8" t="n">
        <v>298.025742077089</v>
      </c>
      <c r="I900" s="2" t="s">
        <v>316</v>
      </c>
      <c r="J900" s="8" t="n">
        <v>558959.566074951</v>
      </c>
      <c r="K900" s="6" t="n">
        <v>507</v>
      </c>
      <c r="L900" s="2"/>
      <c r="M900" s="10" t="b">
        <f aca="false">TRUE()</f>
        <v>1</v>
      </c>
      <c r="N900" s="9" t="str">
        <f aca="false">IF(H900="","",IF(H900&gt;=Assumptions!$B$5,1,IF(H900&gt;=Assumptions!$B$6,2,IF(H900&gt;=Assumptions!$B$7,3,""))))</f>
        <v/>
      </c>
      <c r="O900" s="9" t="n">
        <f aca="false">IF(N900=1,Assumptions!$B$8,IF(N900=2,Assumptions!$B$9,IF(N900=3,Assumptions!$B$10,0)))</f>
        <v>0</v>
      </c>
      <c r="P900" s="6" t="s">
        <v>30</v>
      </c>
      <c r="Q900" s="6" t="s">
        <v>30</v>
      </c>
      <c r="R900" s="11" t="s">
        <v>30</v>
      </c>
      <c r="S900" s="6" t="s">
        <v>30</v>
      </c>
      <c r="T900" s="11" t="s">
        <v>30</v>
      </c>
      <c r="U900" s="6" t="s">
        <v>30</v>
      </c>
      <c r="V900" s="6" t="s">
        <v>30</v>
      </c>
      <c r="W900" s="6" t="s">
        <v>30</v>
      </c>
      <c r="X900" s="2" t="s">
        <v>30</v>
      </c>
      <c r="Y900" s="6" t="str">
        <f aca="false">IF(AND(X900="processed",ISNUMBER(S900)),S900*O900,"")</f>
        <v/>
      </c>
      <c r="Z900" s="6" t="n">
        <f aca="false">IF(ISNUMBER(K900),K900*O900,0)</f>
        <v>0</v>
      </c>
      <c r="AA900" s="2" t="s">
        <v>31</v>
      </c>
      <c r="AB900" s="6" t="n">
        <v>22043</v>
      </c>
      <c r="AC900" s="6" t="n">
        <v>19394</v>
      </c>
      <c r="AD900" s="6" t="n">
        <v>18144</v>
      </c>
      <c r="AE900" s="6" t="n">
        <v>2609.84545898438</v>
      </c>
      <c r="AF900" s="8" t="n">
        <v>299.603134428</v>
      </c>
      <c r="AG900" s="11" t="n">
        <v>-0.06659724511</v>
      </c>
      <c r="AH900" s="12" t="n">
        <v>1</v>
      </c>
      <c r="AI900" s="2" t="s">
        <v>317</v>
      </c>
      <c r="AJ900" s="2" t="s">
        <v>2025</v>
      </c>
      <c r="AK900" s="2" t="s">
        <v>2025</v>
      </c>
    </row>
    <row r="901" customFormat="false" ht="15" hidden="false" customHeight="false" outlineLevel="0" collapsed="false">
      <c r="A901" s="9"/>
      <c r="B901" s="2" t="s">
        <v>2027</v>
      </c>
      <c r="C901" s="2" t="s">
        <v>2025</v>
      </c>
      <c r="D901" s="2" t="s">
        <v>455</v>
      </c>
      <c r="E901" s="2" t="s">
        <v>456</v>
      </c>
      <c r="F901" s="2"/>
      <c r="G901" s="2" t="s">
        <v>458</v>
      </c>
      <c r="H901" s="8" t="n">
        <v>272.876111610897</v>
      </c>
      <c r="I901" s="2" t="s">
        <v>316</v>
      </c>
      <c r="J901" s="8" t="n">
        <v>562956.79389313</v>
      </c>
      <c r="K901" s="6" t="n">
        <v>524</v>
      </c>
      <c r="L901" s="2"/>
      <c r="M901" s="10" t="b">
        <f aca="false">TRUE()</f>
        <v>1</v>
      </c>
      <c r="N901" s="9" t="str">
        <f aca="false">IF(H901="","",IF(H901&gt;=Assumptions!$B$5,1,IF(H901&gt;=Assumptions!$B$6,2,IF(H901&gt;=Assumptions!$B$7,3,""))))</f>
        <v/>
      </c>
      <c r="O901" s="9" t="n">
        <f aca="false">IF(N901=1,Assumptions!$B$8,IF(N901=2,Assumptions!$B$9,IF(N901=3,Assumptions!$B$10,0)))</f>
        <v>0</v>
      </c>
      <c r="P901" s="6" t="s">
        <v>30</v>
      </c>
      <c r="Q901" s="6" t="s">
        <v>30</v>
      </c>
      <c r="R901" s="11" t="s">
        <v>30</v>
      </c>
      <c r="S901" s="6" t="s">
        <v>30</v>
      </c>
      <c r="T901" s="11" t="s">
        <v>30</v>
      </c>
      <c r="U901" s="6" t="s">
        <v>30</v>
      </c>
      <c r="V901" s="6" t="s">
        <v>30</v>
      </c>
      <c r="W901" s="6" t="s">
        <v>30</v>
      </c>
      <c r="X901" s="2" t="s">
        <v>30</v>
      </c>
      <c r="Y901" s="6" t="str">
        <f aca="false">IF(AND(X901="processed",ISNUMBER(S901)),S901*O901,"")</f>
        <v/>
      </c>
      <c r="Z901" s="6" t="n">
        <f aca="false">IF(ISNUMBER(K901),K901*O901,0)</f>
        <v>0</v>
      </c>
      <c r="AA901" s="2" t="s">
        <v>31</v>
      </c>
      <c r="AB901" s="6" t="n">
        <v>14497</v>
      </c>
      <c r="AC901" s="6" t="n">
        <v>12864</v>
      </c>
      <c r="AD901" s="6" t="n">
        <v>10600</v>
      </c>
      <c r="AE901" s="6" t="n">
        <v>3072.05078125</v>
      </c>
      <c r="AF901" s="8" t="n">
        <v>268.259727716</v>
      </c>
      <c r="AG901" s="11" t="n">
        <v>-0.05933889382</v>
      </c>
      <c r="AH901" s="12" t="n">
        <v>1</v>
      </c>
      <c r="AI901" s="2" t="s">
        <v>317</v>
      </c>
      <c r="AJ901" s="2" t="s">
        <v>2025</v>
      </c>
      <c r="AK901" s="2" t="s">
        <v>2025</v>
      </c>
    </row>
    <row r="902" customFormat="false" ht="15" hidden="false" customHeight="false" outlineLevel="0" collapsed="false">
      <c r="A902" s="9"/>
      <c r="B902" s="2" t="s">
        <v>2028</v>
      </c>
      <c r="C902" s="2" t="s">
        <v>2029</v>
      </c>
      <c r="D902" s="2" t="s">
        <v>455</v>
      </c>
      <c r="E902" s="2" t="s">
        <v>456</v>
      </c>
      <c r="F902" s="2" t="s">
        <v>2030</v>
      </c>
      <c r="G902" s="2" t="s">
        <v>458</v>
      </c>
      <c r="H902" s="8" t="n">
        <v>304.835833984747</v>
      </c>
      <c r="I902" s="2" t="s">
        <v>316</v>
      </c>
      <c r="J902" s="8" t="n">
        <v>566693.75</v>
      </c>
      <c r="K902" s="6" t="n">
        <v>640</v>
      </c>
      <c r="L902" s="2"/>
      <c r="M902" s="10" t="b">
        <f aca="false">TRUE()</f>
        <v>1</v>
      </c>
      <c r="N902" s="9" t="str">
        <f aca="false">IF(H902="","",IF(H902&gt;=Assumptions!$B$5,1,IF(H902&gt;=Assumptions!$B$6,2,IF(H902&gt;=Assumptions!$B$7,3,""))))</f>
        <v/>
      </c>
      <c r="O902" s="9" t="n">
        <f aca="false">IF(N902=1,Assumptions!$B$8,IF(N902=2,Assumptions!$B$9,IF(N902=3,Assumptions!$B$10,0)))</f>
        <v>0</v>
      </c>
      <c r="P902" s="6" t="s">
        <v>30</v>
      </c>
      <c r="Q902" s="6" t="s">
        <v>30</v>
      </c>
      <c r="R902" s="11" t="s">
        <v>30</v>
      </c>
      <c r="S902" s="6" t="s">
        <v>30</v>
      </c>
      <c r="T902" s="11" t="s">
        <v>30</v>
      </c>
      <c r="U902" s="6" t="s">
        <v>30</v>
      </c>
      <c r="V902" s="6" t="s">
        <v>30</v>
      </c>
      <c r="W902" s="6" t="s">
        <v>30</v>
      </c>
      <c r="X902" s="2" t="s">
        <v>30</v>
      </c>
      <c r="Y902" s="6" t="str">
        <f aca="false">IF(AND(X902="processed",ISNUMBER(S902)),S902*O902,"")</f>
        <v/>
      </c>
      <c r="Z902" s="6" t="n">
        <f aca="false">IF(ISNUMBER(K902),K902*O902,0)</f>
        <v>0</v>
      </c>
      <c r="AA902" s="2" t="s">
        <v>31</v>
      </c>
      <c r="AB902" s="6" t="n">
        <v>20329</v>
      </c>
      <c r="AC902" s="6" t="n">
        <v>17991</v>
      </c>
      <c r="AD902" s="6" t="n">
        <v>6570</v>
      </c>
      <c r="AE902" s="6" t="n">
        <v>2673.09594726563</v>
      </c>
      <c r="AF902" s="8" t="n">
        <v>302.584960269</v>
      </c>
      <c r="AG902" s="11" t="n">
        <v>-0.04656517817</v>
      </c>
      <c r="AH902" s="12" t="n">
        <v>1</v>
      </c>
      <c r="AI902" s="2" t="s">
        <v>317</v>
      </c>
      <c r="AJ902" s="2" t="s">
        <v>2029</v>
      </c>
      <c r="AK902" s="2" t="s">
        <v>2029</v>
      </c>
    </row>
    <row r="903" customFormat="false" ht="15" hidden="false" customHeight="false" outlineLevel="0" collapsed="false">
      <c r="A903" s="9"/>
      <c r="B903" s="2" t="s">
        <v>2031</v>
      </c>
      <c r="C903" s="2" t="s">
        <v>2032</v>
      </c>
      <c r="D903" s="2" t="s">
        <v>455</v>
      </c>
      <c r="E903" s="2" t="s">
        <v>456</v>
      </c>
      <c r="F903" s="2"/>
      <c r="G903" s="2" t="s">
        <v>458</v>
      </c>
      <c r="H903" s="8" t="n">
        <v>262.568963714408</v>
      </c>
      <c r="I903" s="2" t="s">
        <v>316</v>
      </c>
      <c r="J903" s="8" t="n">
        <v>443645.84631579</v>
      </c>
      <c r="K903" s="6" t="n">
        <v>475</v>
      </c>
      <c r="L903" s="2"/>
      <c r="M903" s="10" t="b">
        <f aca="false">TRUE()</f>
        <v>1</v>
      </c>
      <c r="N903" s="9" t="str">
        <f aca="false">IF(H903="","",IF(H903&gt;=Assumptions!$B$5,1,IF(H903&gt;=Assumptions!$B$6,2,IF(H903&gt;=Assumptions!$B$7,3,""))))</f>
        <v/>
      </c>
      <c r="O903" s="9" t="n">
        <f aca="false">IF(N903=1,Assumptions!$B$8,IF(N903=2,Assumptions!$B$9,IF(N903=3,Assumptions!$B$10,0)))</f>
        <v>0</v>
      </c>
      <c r="P903" s="6" t="s">
        <v>30</v>
      </c>
      <c r="Q903" s="6" t="s">
        <v>30</v>
      </c>
      <c r="R903" s="11" t="s">
        <v>30</v>
      </c>
      <c r="S903" s="6" t="s">
        <v>30</v>
      </c>
      <c r="T903" s="11" t="s">
        <v>30</v>
      </c>
      <c r="U903" s="6" t="s">
        <v>30</v>
      </c>
      <c r="V903" s="6" t="s">
        <v>30</v>
      </c>
      <c r="W903" s="6" t="s">
        <v>30</v>
      </c>
      <c r="X903" s="2" t="s">
        <v>30</v>
      </c>
      <c r="Y903" s="6" t="str">
        <f aca="false">IF(AND(X903="processed",ISNUMBER(S903)),S903*O903,"")</f>
        <v/>
      </c>
      <c r="Z903" s="6" t="n">
        <f aca="false">IF(ISNUMBER(K903),K903*O903,0)</f>
        <v>0</v>
      </c>
      <c r="AA903" s="2" t="s">
        <v>31</v>
      </c>
      <c r="AB903" s="6" t="n">
        <v>16361</v>
      </c>
      <c r="AC903" s="6" t="n">
        <v>14522</v>
      </c>
      <c r="AD903" s="6" t="n">
        <v>14783</v>
      </c>
      <c r="AE903" s="6" t="n">
        <v>2315.77197265625</v>
      </c>
      <c r="AF903" s="8" t="n">
        <v>262.957317073</v>
      </c>
      <c r="AG903" s="11" t="n">
        <v>0.009810492109</v>
      </c>
      <c r="AH903" s="12" t="n">
        <v>0.999954283394613</v>
      </c>
      <c r="AI903" s="2" t="s">
        <v>317</v>
      </c>
      <c r="AJ903" s="2" t="s">
        <v>2032</v>
      </c>
      <c r="AK903" s="2" t="s">
        <v>2032</v>
      </c>
    </row>
    <row r="904" customFormat="false" ht="15" hidden="false" customHeight="false" outlineLevel="0" collapsed="false">
      <c r="A904" s="9"/>
      <c r="B904" s="2" t="s">
        <v>2033</v>
      </c>
      <c r="C904" s="2" t="s">
        <v>2034</v>
      </c>
      <c r="D904" s="2" t="s">
        <v>1975</v>
      </c>
      <c r="E904" s="2" t="s">
        <v>51</v>
      </c>
      <c r="F904" s="2"/>
      <c r="G904" s="2"/>
      <c r="H904" s="8"/>
      <c r="I904" s="2"/>
      <c r="J904" s="8"/>
      <c r="K904" s="6"/>
      <c r="L904" s="2"/>
      <c r="M904" s="10" t="b">
        <f aca="false">TRUE()</f>
        <v>1</v>
      </c>
      <c r="N904" s="9" t="str">
        <f aca="false">IF(H904="","",IF(H904&gt;=Assumptions!$B$5,1,IF(H904&gt;=Assumptions!$B$6,2,IF(H904&gt;=Assumptions!$B$7,3,""))))</f>
        <v/>
      </c>
      <c r="O904" s="9" t="n">
        <f aca="false">IF(N904=1,Assumptions!$B$8,IF(N904=2,Assumptions!$B$9,IF(N904=3,Assumptions!$B$10,0)))</f>
        <v>0</v>
      </c>
      <c r="P904" s="6" t="s">
        <v>30</v>
      </c>
      <c r="Q904" s="6" t="s">
        <v>30</v>
      </c>
      <c r="R904" s="11" t="s">
        <v>30</v>
      </c>
      <c r="S904" s="6" t="s">
        <v>30</v>
      </c>
      <c r="T904" s="11" t="s">
        <v>30</v>
      </c>
      <c r="U904" s="6" t="s">
        <v>30</v>
      </c>
      <c r="V904" s="6" t="s">
        <v>30</v>
      </c>
      <c r="W904" s="6" t="s">
        <v>30</v>
      </c>
      <c r="X904" s="2" t="s">
        <v>30</v>
      </c>
      <c r="Y904" s="6" t="str">
        <f aca="false">IF(AND(X904="processed",ISNUMBER(S904)),S904*O904,"")</f>
        <v/>
      </c>
      <c r="Z904" s="6" t="n">
        <f aca="false">IF(ISNUMBER(K904),K904*O904,0)</f>
        <v>0</v>
      </c>
      <c r="AA904" s="2" t="s">
        <v>31</v>
      </c>
      <c r="AB904" s="6" t="n">
        <v>49</v>
      </c>
      <c r="AC904" s="6" t="n">
        <v>35</v>
      </c>
      <c r="AD904" s="6" t="n">
        <v>30</v>
      </c>
      <c r="AE904" s="6" t="n">
        <v>2223.10302734375</v>
      </c>
      <c r="AF904" s="8"/>
      <c r="AG904" s="11"/>
      <c r="AH904" s="12" t="n">
        <v>1</v>
      </c>
      <c r="AI904" s="2" t="s">
        <v>1597</v>
      </c>
      <c r="AJ904" s="2"/>
      <c r="AK904" s="2" t="s">
        <v>2034</v>
      </c>
    </row>
    <row r="905" customFormat="false" ht="15" hidden="false" customHeight="false" outlineLevel="0" collapsed="false">
      <c r="A905" s="9"/>
      <c r="B905" s="2" t="s">
        <v>2035</v>
      </c>
      <c r="C905" s="2" t="s">
        <v>2036</v>
      </c>
      <c r="D905" s="2" t="s">
        <v>455</v>
      </c>
      <c r="E905" s="2" t="s">
        <v>456</v>
      </c>
      <c r="F905" s="2" t="s">
        <v>2037</v>
      </c>
      <c r="G905" s="2" t="s">
        <v>458</v>
      </c>
      <c r="H905" s="8" t="n">
        <v>262.530013809378</v>
      </c>
      <c r="I905" s="2" t="s">
        <v>316</v>
      </c>
      <c r="J905" s="8" t="n">
        <v>536708.333333333</v>
      </c>
      <c r="K905" s="6" t="n">
        <v>720</v>
      </c>
      <c r="L905" s="2"/>
      <c r="M905" s="10" t="b">
        <f aca="false">TRUE()</f>
        <v>1</v>
      </c>
      <c r="N905" s="9" t="str">
        <f aca="false">IF(H905="","",IF(H905&gt;=Assumptions!$B$5,1,IF(H905&gt;=Assumptions!$B$6,2,IF(H905&gt;=Assumptions!$B$7,3,""))))</f>
        <v/>
      </c>
      <c r="O905" s="9" t="n">
        <f aca="false">IF(N905=1,Assumptions!$B$8,IF(N905=2,Assumptions!$B$9,IF(N905=3,Assumptions!$B$10,0)))</f>
        <v>0</v>
      </c>
      <c r="P905" s="6" t="s">
        <v>30</v>
      </c>
      <c r="Q905" s="6" t="s">
        <v>30</v>
      </c>
      <c r="R905" s="11" t="s">
        <v>30</v>
      </c>
      <c r="S905" s="6" t="s">
        <v>30</v>
      </c>
      <c r="T905" s="11" t="s">
        <v>30</v>
      </c>
      <c r="U905" s="6" t="s">
        <v>30</v>
      </c>
      <c r="V905" s="6" t="s">
        <v>30</v>
      </c>
      <c r="W905" s="6" t="s">
        <v>30</v>
      </c>
      <c r="X905" s="2" t="s">
        <v>30</v>
      </c>
      <c r="Y905" s="6" t="str">
        <f aca="false">IF(AND(X905="processed",ISNUMBER(S905)),S905*O905,"")</f>
        <v/>
      </c>
      <c r="Z905" s="6" t="n">
        <f aca="false">IF(ISNUMBER(K905),K905*O905,0)</f>
        <v>0</v>
      </c>
      <c r="AA905" s="2" t="s">
        <v>31</v>
      </c>
      <c r="AB905" s="6" t="n">
        <v>24690</v>
      </c>
      <c r="AC905" s="6" t="n">
        <v>22928</v>
      </c>
      <c r="AD905" s="6" t="n">
        <v>17876</v>
      </c>
      <c r="AE905" s="6" t="n">
        <v>2453.36254882813</v>
      </c>
      <c r="AF905" s="8" t="n">
        <v>264.246323529</v>
      </c>
      <c r="AG905" s="11" t="n">
        <v>0.02433563563</v>
      </c>
      <c r="AH905" s="12" t="n">
        <v>0.999818872241296</v>
      </c>
      <c r="AI905" s="2" t="s">
        <v>317</v>
      </c>
      <c r="AJ905" s="2" t="s">
        <v>2036</v>
      </c>
      <c r="AK905" s="2" t="s">
        <v>2036</v>
      </c>
    </row>
    <row r="906" customFormat="false" ht="15" hidden="false" customHeight="false" outlineLevel="0" collapsed="false">
      <c r="A906" s="9"/>
      <c r="B906" s="2" t="s">
        <v>2038</v>
      </c>
      <c r="C906" s="2" t="s">
        <v>2039</v>
      </c>
      <c r="D906" s="2" t="s">
        <v>455</v>
      </c>
      <c r="E906" s="2" t="s">
        <v>456</v>
      </c>
      <c r="F906" s="2"/>
      <c r="G906" s="2" t="s">
        <v>458</v>
      </c>
      <c r="H906" s="8" t="n">
        <v>162.564577266775</v>
      </c>
      <c r="I906" s="2" t="s">
        <v>316</v>
      </c>
      <c r="J906" s="8" t="n">
        <v>213674.157303371</v>
      </c>
      <c r="K906" s="6" t="n">
        <v>89</v>
      </c>
      <c r="L906" s="2"/>
      <c r="M906" s="10" t="b">
        <f aca="false">TRUE()</f>
        <v>1</v>
      </c>
      <c r="N906" s="9" t="str">
        <f aca="false">IF(H906="","",IF(H906&gt;=Assumptions!$B$5,1,IF(H906&gt;=Assumptions!$B$6,2,IF(H906&gt;=Assumptions!$B$7,3,""))))</f>
        <v/>
      </c>
      <c r="O906" s="9" t="n">
        <f aca="false">IF(N906=1,Assumptions!$B$8,IF(N906=2,Assumptions!$B$9,IF(N906=3,Assumptions!$B$10,0)))</f>
        <v>0</v>
      </c>
      <c r="P906" s="6" t="s">
        <v>30</v>
      </c>
      <c r="Q906" s="6" t="s">
        <v>30</v>
      </c>
      <c r="R906" s="11" t="s">
        <v>30</v>
      </c>
      <c r="S906" s="6" t="s">
        <v>30</v>
      </c>
      <c r="T906" s="11" t="s">
        <v>30</v>
      </c>
      <c r="U906" s="6" t="s">
        <v>30</v>
      </c>
      <c r="V906" s="6" t="s">
        <v>30</v>
      </c>
      <c r="W906" s="6" t="s">
        <v>30</v>
      </c>
      <c r="X906" s="2" t="s">
        <v>30</v>
      </c>
      <c r="Y906" s="6" t="str">
        <f aca="false">IF(AND(X906="processed",ISNUMBER(S906)),S906*O906,"")</f>
        <v/>
      </c>
      <c r="Z906" s="6" t="n">
        <f aca="false">IF(ISNUMBER(K906),K906*O906,0)</f>
        <v>0</v>
      </c>
      <c r="AA906" s="2" t="s">
        <v>31</v>
      </c>
      <c r="AB906" s="6" t="n">
        <v>9191</v>
      </c>
      <c r="AC906" s="6" t="n">
        <v>7858</v>
      </c>
      <c r="AD906" s="6" t="n">
        <v>6930</v>
      </c>
      <c r="AE906" s="6" t="n">
        <v>1987.2236328125</v>
      </c>
      <c r="AF906" s="8" t="n">
        <v>165.262172285</v>
      </c>
      <c r="AG906" s="11" t="n">
        <v>-0.08655090228</v>
      </c>
      <c r="AH906" s="12" t="n">
        <v>0.994919989261645</v>
      </c>
      <c r="AI906" s="2" t="s">
        <v>317</v>
      </c>
      <c r="AJ906" s="2" t="s">
        <v>2039</v>
      </c>
      <c r="AK906" s="2" t="s">
        <v>2039</v>
      </c>
    </row>
    <row r="907" customFormat="false" ht="15" hidden="false" customHeight="false" outlineLevel="0" collapsed="false">
      <c r="A907" s="9"/>
      <c r="B907" s="2" t="s">
        <v>2040</v>
      </c>
      <c r="C907" s="2" t="s">
        <v>2041</v>
      </c>
      <c r="D907" s="2" t="s">
        <v>1975</v>
      </c>
      <c r="E907" s="2" t="s">
        <v>51</v>
      </c>
      <c r="F907" s="2"/>
      <c r="G907" s="2" t="s">
        <v>2042</v>
      </c>
      <c r="H907" s="8" t="n">
        <v>246.456674075727</v>
      </c>
      <c r="I907" s="2" t="s">
        <v>316</v>
      </c>
      <c r="J907" s="8" t="n">
        <v>388363.636363636</v>
      </c>
      <c r="K907" s="6" t="n">
        <v>99</v>
      </c>
      <c r="L907" s="2"/>
      <c r="M907" s="10" t="b">
        <f aca="false">TRUE()</f>
        <v>1</v>
      </c>
      <c r="N907" s="9" t="str">
        <f aca="false">IF(H907="","",IF(H907&gt;=Assumptions!$B$5,1,IF(H907&gt;=Assumptions!$B$6,2,IF(H907&gt;=Assumptions!$B$7,3,""))))</f>
        <v/>
      </c>
      <c r="O907" s="9" t="n">
        <f aca="false">IF(N907=1,Assumptions!$B$8,IF(N907=2,Assumptions!$B$9,IF(N907=3,Assumptions!$B$10,0)))</f>
        <v>0</v>
      </c>
      <c r="P907" s="6" t="s">
        <v>30</v>
      </c>
      <c r="Q907" s="6" t="s">
        <v>30</v>
      </c>
      <c r="R907" s="11" t="s">
        <v>30</v>
      </c>
      <c r="S907" s="6" t="s">
        <v>30</v>
      </c>
      <c r="T907" s="11" t="s">
        <v>30</v>
      </c>
      <c r="U907" s="6" t="s">
        <v>30</v>
      </c>
      <c r="V907" s="6" t="s">
        <v>30</v>
      </c>
      <c r="W907" s="6" t="s">
        <v>30</v>
      </c>
      <c r="X907" s="2" t="s">
        <v>30</v>
      </c>
      <c r="Y907" s="6" t="str">
        <f aca="false">IF(AND(X907="processed",ISNUMBER(S907)),S907*O907,"")</f>
        <v/>
      </c>
      <c r="Z907" s="6" t="n">
        <f aca="false">IF(ISNUMBER(K907),K907*O907,0)</f>
        <v>0</v>
      </c>
      <c r="AA907" s="2" t="s">
        <v>31</v>
      </c>
      <c r="AB907" s="6" t="n">
        <v>10532</v>
      </c>
      <c r="AC907" s="6" t="n">
        <v>9210</v>
      </c>
      <c r="AD907" s="6" t="n">
        <v>5260</v>
      </c>
      <c r="AE907" s="6" t="n">
        <v>2175.96752929688</v>
      </c>
      <c r="AF907" s="8" t="n">
        <v>269.36026936</v>
      </c>
      <c r="AG907" s="11" t="n">
        <v>0.08885575301</v>
      </c>
      <c r="AH907" s="12" t="n">
        <v>1</v>
      </c>
      <c r="AI907" s="2" t="s">
        <v>321</v>
      </c>
      <c r="AJ907" s="2" t="s">
        <v>2041</v>
      </c>
      <c r="AK907" s="2" t="s">
        <v>2041</v>
      </c>
    </row>
    <row r="908" customFormat="false" ht="15" hidden="false" customHeight="false" outlineLevel="0" collapsed="false">
      <c r="A908" s="9"/>
      <c r="B908" s="2" t="s">
        <v>2043</v>
      </c>
      <c r="C908" s="2" t="s">
        <v>2044</v>
      </c>
      <c r="D908" s="2" t="s">
        <v>455</v>
      </c>
      <c r="E908" s="2" t="s">
        <v>456</v>
      </c>
      <c r="F908" s="2"/>
      <c r="G908" s="2" t="s">
        <v>458</v>
      </c>
      <c r="H908" s="8" t="n">
        <v>260.024321942375</v>
      </c>
      <c r="I908" s="2" t="s">
        <v>316</v>
      </c>
      <c r="J908" s="8" t="n">
        <v>324062.5</v>
      </c>
      <c r="K908" s="6" t="n">
        <v>16</v>
      </c>
      <c r="L908" s="2"/>
      <c r="M908" s="10" t="b">
        <f aca="false">TRUE()</f>
        <v>1</v>
      </c>
      <c r="N908" s="9" t="str">
        <f aca="false">IF(H908="","",IF(H908&gt;=Assumptions!$B$5,1,IF(H908&gt;=Assumptions!$B$6,2,IF(H908&gt;=Assumptions!$B$7,3,""))))</f>
        <v/>
      </c>
      <c r="O908" s="9" t="n">
        <f aca="false">IF(N908=1,Assumptions!$B$8,IF(N908=2,Assumptions!$B$9,IF(N908=3,Assumptions!$B$10,0)))</f>
        <v>0</v>
      </c>
      <c r="P908" s="6" t="s">
        <v>30</v>
      </c>
      <c r="Q908" s="6" t="s">
        <v>30</v>
      </c>
      <c r="R908" s="11" t="s">
        <v>30</v>
      </c>
      <c r="S908" s="6" t="s">
        <v>30</v>
      </c>
      <c r="T908" s="11" t="s">
        <v>30</v>
      </c>
      <c r="U908" s="6" t="s">
        <v>30</v>
      </c>
      <c r="V908" s="6" t="s">
        <v>30</v>
      </c>
      <c r="W908" s="6" t="s">
        <v>30</v>
      </c>
      <c r="X908" s="2" t="s">
        <v>30</v>
      </c>
      <c r="Y908" s="6" t="str">
        <f aca="false">IF(AND(X908="processed",ISNUMBER(S908)),S908*O908,"")</f>
        <v/>
      </c>
      <c r="Z908" s="6" t="n">
        <f aca="false">IF(ISNUMBER(K908),K908*O908,0)</f>
        <v>0</v>
      </c>
      <c r="AA908" s="2" t="s">
        <v>31</v>
      </c>
      <c r="AB908" s="6" t="n">
        <v>1222</v>
      </c>
      <c r="AC908" s="6" t="n">
        <v>1081</v>
      </c>
      <c r="AD908" s="6" t="n">
        <v>1141</v>
      </c>
      <c r="AE908" s="6" t="n">
        <v>1821.32104492188</v>
      </c>
      <c r="AF908" s="8" t="n">
        <v>280.085403727</v>
      </c>
      <c r="AG908" s="11" t="n">
        <v>0.002021472251</v>
      </c>
      <c r="AH908" s="12" t="n">
        <v>1</v>
      </c>
      <c r="AI908" s="2" t="s">
        <v>317</v>
      </c>
      <c r="AJ908" s="2" t="s">
        <v>2044</v>
      </c>
      <c r="AK908" s="2" t="s">
        <v>2044</v>
      </c>
    </row>
    <row r="909" customFormat="false" ht="15" hidden="false" customHeight="false" outlineLevel="0" collapsed="false">
      <c r="A909" s="9"/>
      <c r="B909" s="2" t="s">
        <v>2045</v>
      </c>
      <c r="C909" s="2" t="s">
        <v>2046</v>
      </c>
      <c r="D909" s="2" t="s">
        <v>1975</v>
      </c>
      <c r="E909" s="2" t="s">
        <v>51</v>
      </c>
      <c r="F909" s="2" t="s">
        <v>2047</v>
      </c>
      <c r="G909" s="2" t="s">
        <v>2042</v>
      </c>
      <c r="H909" s="8" t="n">
        <v>266.483652328436</v>
      </c>
      <c r="I909" s="2" t="s">
        <v>316</v>
      </c>
      <c r="J909" s="8" t="n">
        <v>393141.025641026</v>
      </c>
      <c r="K909" s="6" t="n">
        <v>78</v>
      </c>
      <c r="L909" s="2"/>
      <c r="M909" s="10" t="b">
        <f aca="false">TRUE()</f>
        <v>1</v>
      </c>
      <c r="N909" s="9" t="str">
        <f aca="false">IF(H909="","",IF(H909&gt;=Assumptions!$B$5,1,IF(H909&gt;=Assumptions!$B$6,2,IF(H909&gt;=Assumptions!$B$7,3,""))))</f>
        <v/>
      </c>
      <c r="O909" s="9" t="n">
        <f aca="false">IF(N909=1,Assumptions!$B$8,IF(N909=2,Assumptions!$B$9,IF(N909=3,Assumptions!$B$10,0)))</f>
        <v>0</v>
      </c>
      <c r="P909" s="6" t="s">
        <v>30</v>
      </c>
      <c r="Q909" s="6" t="s">
        <v>30</v>
      </c>
      <c r="R909" s="11" t="s">
        <v>30</v>
      </c>
      <c r="S909" s="6" t="s">
        <v>30</v>
      </c>
      <c r="T909" s="11" t="s">
        <v>30</v>
      </c>
      <c r="U909" s="6" t="s">
        <v>30</v>
      </c>
      <c r="V909" s="6" t="s">
        <v>30</v>
      </c>
      <c r="W909" s="6" t="s">
        <v>30</v>
      </c>
      <c r="X909" s="2" t="s">
        <v>30</v>
      </c>
      <c r="Y909" s="6" t="str">
        <f aca="false">IF(AND(X909="processed",ISNUMBER(S909)),S909*O909,"")</f>
        <v/>
      </c>
      <c r="Z909" s="6" t="n">
        <f aca="false">IF(ISNUMBER(K909),K909*O909,0)</f>
        <v>0</v>
      </c>
      <c r="AA909" s="2" t="s">
        <v>31</v>
      </c>
      <c r="AB909" s="6" t="n">
        <v>15746</v>
      </c>
      <c r="AC909" s="6" t="n">
        <v>10198</v>
      </c>
      <c r="AD909" s="6" t="n">
        <v>6224</v>
      </c>
      <c r="AE909" s="6" t="n">
        <v>2247.951171875</v>
      </c>
      <c r="AF909" s="8" t="n">
        <v>248.493975904</v>
      </c>
      <c r="AG909" s="11" t="n">
        <v>0.02397781618</v>
      </c>
      <c r="AH909" s="12" t="n">
        <v>0.995334435302957</v>
      </c>
      <c r="AI909" s="2" t="s">
        <v>317</v>
      </c>
      <c r="AJ909" s="2" t="s">
        <v>2046</v>
      </c>
      <c r="AK909" s="2" t="s">
        <v>2046</v>
      </c>
    </row>
    <row r="910" customFormat="false" ht="15" hidden="false" customHeight="false" outlineLevel="0" collapsed="false">
      <c r="A910" s="9"/>
      <c r="B910" s="2" t="s">
        <v>2048</v>
      </c>
      <c r="C910" s="2" t="s">
        <v>2049</v>
      </c>
      <c r="D910" s="2" t="s">
        <v>1975</v>
      </c>
      <c r="E910" s="2" t="s">
        <v>51</v>
      </c>
      <c r="F910" s="2"/>
      <c r="G910" s="2" t="s">
        <v>2042</v>
      </c>
      <c r="H910" s="8" t="n">
        <v>187.669668832167</v>
      </c>
      <c r="I910" s="2" t="s">
        <v>316</v>
      </c>
      <c r="J910" s="8" t="n">
        <v>258333.333333333</v>
      </c>
      <c r="K910" s="6" t="n">
        <v>6</v>
      </c>
      <c r="L910" s="2"/>
      <c r="M910" s="10" t="b">
        <f aca="false">TRUE()</f>
        <v>1</v>
      </c>
      <c r="N910" s="9" t="str">
        <f aca="false">IF(H910="","",IF(H910&gt;=Assumptions!$B$5,1,IF(H910&gt;=Assumptions!$B$6,2,IF(H910&gt;=Assumptions!$B$7,3,""))))</f>
        <v/>
      </c>
      <c r="O910" s="9" t="n">
        <f aca="false">IF(N910=1,Assumptions!$B$8,IF(N910=2,Assumptions!$B$9,IF(N910=3,Assumptions!$B$10,0)))</f>
        <v>0</v>
      </c>
      <c r="P910" s="6" t="s">
        <v>30</v>
      </c>
      <c r="Q910" s="6" t="s">
        <v>30</v>
      </c>
      <c r="R910" s="11" t="s">
        <v>30</v>
      </c>
      <c r="S910" s="6" t="s">
        <v>30</v>
      </c>
      <c r="T910" s="11" t="s">
        <v>30</v>
      </c>
      <c r="U910" s="6" t="s">
        <v>30</v>
      </c>
      <c r="V910" s="6" t="s">
        <v>30</v>
      </c>
      <c r="W910" s="6" t="s">
        <v>30</v>
      </c>
      <c r="X910" s="2" t="s">
        <v>30</v>
      </c>
      <c r="Y910" s="6" t="str">
        <f aca="false">IF(AND(X910="processed",ISNUMBER(S910)),S910*O910,"")</f>
        <v/>
      </c>
      <c r="Z910" s="6" t="n">
        <f aca="false">IF(ISNUMBER(K910),K910*O910,0)</f>
        <v>0</v>
      </c>
      <c r="AA910" s="2" t="s">
        <v>31</v>
      </c>
      <c r="AB910" s="6" t="n">
        <v>1116</v>
      </c>
      <c r="AC910" s="6" t="n">
        <v>635</v>
      </c>
      <c r="AD910" s="6" t="n">
        <v>903</v>
      </c>
      <c r="AE910" s="6" t="n">
        <v>1930.71862792969</v>
      </c>
      <c r="AF910" s="8" t="n">
        <v>207.231040564</v>
      </c>
      <c r="AG910" s="11" t="n">
        <v>0.04997060553</v>
      </c>
      <c r="AH910" s="12" t="n">
        <v>1</v>
      </c>
      <c r="AI910" s="2" t="s">
        <v>317</v>
      </c>
      <c r="AJ910" s="2" t="s">
        <v>2049</v>
      </c>
      <c r="AK910" s="2" t="s">
        <v>2049</v>
      </c>
    </row>
    <row r="911" customFormat="false" ht="15" hidden="false" customHeight="false" outlineLevel="0" collapsed="false">
      <c r="A911" s="9"/>
      <c r="B911" s="2" t="s">
        <v>2050</v>
      </c>
      <c r="C911" s="2" t="s">
        <v>2051</v>
      </c>
      <c r="D911" s="2" t="s">
        <v>455</v>
      </c>
      <c r="E911" s="2" t="s">
        <v>456</v>
      </c>
      <c r="F911" s="2" t="s">
        <v>2052</v>
      </c>
      <c r="G911" s="2" t="s">
        <v>458</v>
      </c>
      <c r="H911" s="8" t="n">
        <v>312.581486613388</v>
      </c>
      <c r="I911" s="2" t="s">
        <v>316</v>
      </c>
      <c r="J911" s="8" t="n">
        <v>551778.86977887</v>
      </c>
      <c r="K911" s="6" t="n">
        <v>407</v>
      </c>
      <c r="L911" s="2"/>
      <c r="M911" s="10" t="b">
        <f aca="false">TRUE()</f>
        <v>1</v>
      </c>
      <c r="N911" s="9" t="str">
        <f aca="false">IF(H911="","",IF(H911&gt;=Assumptions!$B$5,1,IF(H911&gt;=Assumptions!$B$6,2,IF(H911&gt;=Assumptions!$B$7,3,""))))</f>
        <v/>
      </c>
      <c r="O911" s="9" t="n">
        <f aca="false">IF(N911=1,Assumptions!$B$8,IF(N911=2,Assumptions!$B$9,IF(N911=3,Assumptions!$B$10,0)))</f>
        <v>0</v>
      </c>
      <c r="P911" s="6" t="s">
        <v>30</v>
      </c>
      <c r="Q911" s="6" t="s">
        <v>30</v>
      </c>
      <c r="R911" s="11" t="s">
        <v>30</v>
      </c>
      <c r="S911" s="6" t="s">
        <v>30</v>
      </c>
      <c r="T911" s="11" t="s">
        <v>30</v>
      </c>
      <c r="U911" s="6" t="s">
        <v>30</v>
      </c>
      <c r="V911" s="6" t="s">
        <v>30</v>
      </c>
      <c r="W911" s="6" t="s">
        <v>30</v>
      </c>
      <c r="X911" s="2" t="s">
        <v>30</v>
      </c>
      <c r="Y911" s="6" t="str">
        <f aca="false">IF(AND(X911="processed",ISNUMBER(S911)),S911*O911,"")</f>
        <v/>
      </c>
      <c r="Z911" s="6" t="n">
        <f aca="false">IF(ISNUMBER(K911),K911*O911,0)</f>
        <v>0</v>
      </c>
      <c r="AA911" s="2" t="s">
        <v>31</v>
      </c>
      <c r="AB911" s="6" t="n">
        <v>21491</v>
      </c>
      <c r="AC911" s="6" t="n">
        <v>17695</v>
      </c>
      <c r="AD911" s="6" t="n">
        <v>1806</v>
      </c>
      <c r="AE911" s="6" t="n">
        <v>2705.13940429688</v>
      </c>
      <c r="AF911" s="8" t="n">
        <v>310.841610037</v>
      </c>
      <c r="AG911" s="11" t="n">
        <v>-0.02525559637</v>
      </c>
      <c r="AH911" s="12" t="n">
        <v>0.999999999999999</v>
      </c>
      <c r="AI911" s="2" t="s">
        <v>317</v>
      </c>
      <c r="AJ911" s="2" t="s">
        <v>2051</v>
      </c>
      <c r="AK911" s="2" t="s">
        <v>2051</v>
      </c>
    </row>
    <row r="912" customFormat="false" ht="15" hidden="false" customHeight="false" outlineLevel="0" collapsed="false">
      <c r="A912" s="9"/>
      <c r="B912" s="2" t="s">
        <v>2053</v>
      </c>
      <c r="C912" s="2" t="s">
        <v>2054</v>
      </c>
      <c r="D912" s="2" t="s">
        <v>455</v>
      </c>
      <c r="E912" s="2" t="s">
        <v>456</v>
      </c>
      <c r="F912" s="2"/>
      <c r="G912" s="2" t="s">
        <v>458</v>
      </c>
      <c r="H912" s="8" t="n">
        <v>285.638287105722</v>
      </c>
      <c r="I912" s="2" t="s">
        <v>316</v>
      </c>
      <c r="J912" s="8" t="n">
        <v>498934.166666667</v>
      </c>
      <c r="K912" s="6" t="n">
        <v>108</v>
      </c>
      <c r="L912" s="2"/>
      <c r="M912" s="10" t="b">
        <f aca="false">TRUE()</f>
        <v>1</v>
      </c>
      <c r="N912" s="9" t="str">
        <f aca="false">IF(H912="","",IF(H912&gt;=Assumptions!$B$5,1,IF(H912&gt;=Assumptions!$B$6,2,IF(H912&gt;=Assumptions!$B$7,3,""))))</f>
        <v/>
      </c>
      <c r="O912" s="9" t="n">
        <f aca="false">IF(N912=1,Assumptions!$B$8,IF(N912=2,Assumptions!$B$9,IF(N912=3,Assumptions!$B$10,0)))</f>
        <v>0</v>
      </c>
      <c r="P912" s="6" t="s">
        <v>30</v>
      </c>
      <c r="Q912" s="6" t="s">
        <v>30</v>
      </c>
      <c r="R912" s="11" t="s">
        <v>30</v>
      </c>
      <c r="S912" s="6" t="s">
        <v>30</v>
      </c>
      <c r="T912" s="11" t="s">
        <v>30</v>
      </c>
      <c r="U912" s="6" t="s">
        <v>30</v>
      </c>
      <c r="V912" s="6" t="s">
        <v>30</v>
      </c>
      <c r="W912" s="6" t="s">
        <v>30</v>
      </c>
      <c r="X912" s="2" t="s">
        <v>30</v>
      </c>
      <c r="Y912" s="6" t="str">
        <f aca="false">IF(AND(X912="processed",ISNUMBER(S912)),S912*O912,"")</f>
        <v/>
      </c>
      <c r="Z912" s="6" t="n">
        <f aca="false">IF(ISNUMBER(K912),K912*O912,0)</f>
        <v>0</v>
      </c>
      <c r="AA912" s="2" t="s">
        <v>31</v>
      </c>
      <c r="AB912" s="6" t="n">
        <v>11243</v>
      </c>
      <c r="AC912" s="6" t="n">
        <v>10190</v>
      </c>
      <c r="AD912" s="6" t="n">
        <v>7261</v>
      </c>
      <c r="AE912" s="6" t="n">
        <v>2254.732421875</v>
      </c>
      <c r="AF912" s="8" t="n">
        <v>300.749845393</v>
      </c>
      <c r="AG912" s="11" t="n">
        <v>0.1141942287</v>
      </c>
      <c r="AH912" s="12" t="n">
        <v>1</v>
      </c>
      <c r="AI912" s="2" t="s">
        <v>317</v>
      </c>
      <c r="AJ912" s="2" t="s">
        <v>2054</v>
      </c>
      <c r="AK912" s="2" t="s">
        <v>2054</v>
      </c>
    </row>
    <row r="913" customFormat="false" ht="15" hidden="false" customHeight="false" outlineLevel="0" collapsed="false">
      <c r="A913" s="9"/>
      <c r="B913" s="2" t="s">
        <v>2055</v>
      </c>
      <c r="C913" s="2" t="s">
        <v>2056</v>
      </c>
      <c r="D913" s="2" t="s">
        <v>455</v>
      </c>
      <c r="E913" s="2" t="s">
        <v>456</v>
      </c>
      <c r="F913" s="2"/>
      <c r="G913" s="2" t="s">
        <v>458</v>
      </c>
      <c r="H913" s="8" t="n">
        <v>169.010609425</v>
      </c>
      <c r="I913" s="2" t="s">
        <v>316</v>
      </c>
      <c r="J913" s="8" t="n">
        <v>198000</v>
      </c>
      <c r="K913" s="6" t="n">
        <v>2</v>
      </c>
      <c r="L913" s="2" t="s">
        <v>1664</v>
      </c>
      <c r="M913" s="10" t="b">
        <f aca="false">TRUE()</f>
        <v>1</v>
      </c>
      <c r="N913" s="9" t="str">
        <f aca="false">IF(H913="","",IF(H913&gt;=Assumptions!$B$5,1,IF(H913&gt;=Assumptions!$B$6,2,IF(H913&gt;=Assumptions!$B$7,3,""))))</f>
        <v/>
      </c>
      <c r="O913" s="9" t="n">
        <f aca="false">IF(N913=1,Assumptions!$B$8,IF(N913=2,Assumptions!$B$9,IF(N913=3,Assumptions!$B$10,0)))</f>
        <v>0</v>
      </c>
      <c r="P913" s="6" t="s">
        <v>30</v>
      </c>
      <c r="Q913" s="6" t="s">
        <v>30</v>
      </c>
      <c r="R913" s="11" t="s">
        <v>30</v>
      </c>
      <c r="S913" s="6" t="s">
        <v>30</v>
      </c>
      <c r="T913" s="11" t="s">
        <v>30</v>
      </c>
      <c r="U913" s="6" t="s">
        <v>30</v>
      </c>
      <c r="V913" s="6" t="s">
        <v>30</v>
      </c>
      <c r="W913" s="6" t="s">
        <v>30</v>
      </c>
      <c r="X913" s="2" t="s">
        <v>30</v>
      </c>
      <c r="Y913" s="6" t="str">
        <f aca="false">IF(AND(X913="processed",ISNUMBER(S913)),S913*O913,"")</f>
        <v/>
      </c>
      <c r="Z913" s="6" t="n">
        <f aca="false">IF(ISNUMBER(K913),K913*O913,0)</f>
        <v>0</v>
      </c>
      <c r="AA913" s="2" t="s">
        <v>31</v>
      </c>
      <c r="AB913" s="6" t="n">
        <v>1108</v>
      </c>
      <c r="AC913" s="6" t="n">
        <v>827</v>
      </c>
      <c r="AD913" s="6" t="n">
        <v>343</v>
      </c>
      <c r="AE913" s="6" t="n">
        <v>1443.82116699219</v>
      </c>
      <c r="AF913" s="8" t="n">
        <v>195.164075993</v>
      </c>
      <c r="AG913" s="11" t="n">
        <v>4.368786309</v>
      </c>
      <c r="AH913" s="12" t="n">
        <v>0.999999999999998</v>
      </c>
      <c r="AI913" s="2" t="s">
        <v>317</v>
      </c>
      <c r="AJ913" s="2" t="s">
        <v>2056</v>
      </c>
      <c r="AK913" s="2" t="s">
        <v>2057</v>
      </c>
    </row>
    <row r="914" customFormat="false" ht="15" hidden="false" customHeight="false" outlineLevel="0" collapsed="false">
      <c r="A914" s="9"/>
      <c r="B914" s="2" t="s">
        <v>2058</v>
      </c>
      <c r="C914" s="2" t="s">
        <v>2059</v>
      </c>
      <c r="D914" s="2" t="s">
        <v>455</v>
      </c>
      <c r="E914" s="2" t="s">
        <v>456</v>
      </c>
      <c r="F914" s="2"/>
      <c r="G914" s="2" t="s">
        <v>458</v>
      </c>
      <c r="H914" s="8" t="n">
        <v>246.801917776116</v>
      </c>
      <c r="I914" s="2" t="s">
        <v>316</v>
      </c>
      <c r="J914" s="8" t="n">
        <v>402170.900692841</v>
      </c>
      <c r="K914" s="6" t="n">
        <v>433</v>
      </c>
      <c r="L914" s="2"/>
      <c r="M914" s="10" t="b">
        <f aca="false">TRUE()</f>
        <v>1</v>
      </c>
      <c r="N914" s="9" t="str">
        <f aca="false">IF(H914="","",IF(H914&gt;=Assumptions!$B$5,1,IF(H914&gt;=Assumptions!$B$6,2,IF(H914&gt;=Assumptions!$B$7,3,""))))</f>
        <v/>
      </c>
      <c r="O914" s="9" t="n">
        <f aca="false">IF(N914=1,Assumptions!$B$8,IF(N914=2,Assumptions!$B$9,IF(N914=3,Assumptions!$B$10,0)))</f>
        <v>0</v>
      </c>
      <c r="P914" s="6" t="s">
        <v>30</v>
      </c>
      <c r="Q914" s="6" t="s">
        <v>30</v>
      </c>
      <c r="R914" s="11" t="s">
        <v>30</v>
      </c>
      <c r="S914" s="6" t="s">
        <v>30</v>
      </c>
      <c r="T914" s="11" t="s">
        <v>30</v>
      </c>
      <c r="U914" s="6" t="s">
        <v>30</v>
      </c>
      <c r="V914" s="6" t="s">
        <v>30</v>
      </c>
      <c r="W914" s="6" t="s">
        <v>30</v>
      </c>
      <c r="X914" s="2" t="s">
        <v>30</v>
      </c>
      <c r="Y914" s="6" t="str">
        <f aca="false">IF(AND(X914="processed",ISNUMBER(S914)),S914*O914,"")</f>
        <v/>
      </c>
      <c r="Z914" s="6" t="n">
        <f aca="false">IF(ISNUMBER(K914),K914*O914,0)</f>
        <v>0</v>
      </c>
      <c r="AA914" s="2" t="s">
        <v>31</v>
      </c>
      <c r="AB914" s="6" t="n">
        <v>14102</v>
      </c>
      <c r="AC914" s="6" t="n">
        <v>13226</v>
      </c>
      <c r="AD914" s="6" t="n">
        <v>13925</v>
      </c>
      <c r="AE914" s="6" t="n">
        <v>2491.27270507813</v>
      </c>
      <c r="AF914" s="8" t="n">
        <v>243.116413664</v>
      </c>
      <c r="AG914" s="11" t="n">
        <v>-0.036684702</v>
      </c>
      <c r="AH914" s="12" t="n">
        <v>1</v>
      </c>
      <c r="AI914" s="2" t="s">
        <v>317</v>
      </c>
      <c r="AJ914" s="2" t="s">
        <v>2059</v>
      </c>
      <c r="AK914" s="2" t="s">
        <v>2059</v>
      </c>
    </row>
    <row r="915" customFormat="false" ht="15" hidden="false" customHeight="false" outlineLevel="0" collapsed="false">
      <c r="A915" s="9"/>
      <c r="B915" s="2" t="s">
        <v>2060</v>
      </c>
      <c r="C915" s="2" t="s">
        <v>2059</v>
      </c>
      <c r="D915" s="2" t="s">
        <v>455</v>
      </c>
      <c r="E915" s="2" t="s">
        <v>456</v>
      </c>
      <c r="F915" s="2"/>
      <c r="G915" s="2" t="s">
        <v>458</v>
      </c>
      <c r="H915" s="8" t="n">
        <v>280.603663771949</v>
      </c>
      <c r="I915" s="2" t="s">
        <v>316</v>
      </c>
      <c r="J915" s="8" t="n">
        <v>501000</v>
      </c>
      <c r="K915" s="6" t="n">
        <v>39</v>
      </c>
      <c r="L915" s="2"/>
      <c r="M915" s="10" t="b">
        <f aca="false">TRUE()</f>
        <v>1</v>
      </c>
      <c r="N915" s="9" t="str">
        <f aca="false">IF(H915="","",IF(H915&gt;=Assumptions!$B$5,1,IF(H915&gt;=Assumptions!$B$6,2,IF(H915&gt;=Assumptions!$B$7,3,""))))</f>
        <v/>
      </c>
      <c r="O915" s="9" t="n">
        <f aca="false">IF(N915=1,Assumptions!$B$8,IF(N915=2,Assumptions!$B$9,IF(N915=3,Assumptions!$B$10,0)))</f>
        <v>0</v>
      </c>
      <c r="P915" s="6" t="s">
        <v>30</v>
      </c>
      <c r="Q915" s="6" t="s">
        <v>30</v>
      </c>
      <c r="R915" s="11" t="s">
        <v>30</v>
      </c>
      <c r="S915" s="6" t="s">
        <v>30</v>
      </c>
      <c r="T915" s="11" t="s">
        <v>30</v>
      </c>
      <c r="U915" s="6" t="s">
        <v>30</v>
      </c>
      <c r="V915" s="6" t="s">
        <v>30</v>
      </c>
      <c r="W915" s="6" t="s">
        <v>30</v>
      </c>
      <c r="X915" s="2" t="s">
        <v>30</v>
      </c>
      <c r="Y915" s="6" t="str">
        <f aca="false">IF(AND(X915="processed",ISNUMBER(S915)),S915*O915,"")</f>
        <v/>
      </c>
      <c r="Z915" s="6" t="n">
        <f aca="false">IF(ISNUMBER(K915),K915*O915,0)</f>
        <v>0</v>
      </c>
      <c r="AA915" s="2" t="s">
        <v>31</v>
      </c>
      <c r="AB915" s="6" t="n">
        <v>7066</v>
      </c>
      <c r="AC915" s="6" t="n">
        <v>6100</v>
      </c>
      <c r="AD915" s="6" t="n">
        <v>6129</v>
      </c>
      <c r="AE915" s="6" t="n">
        <v>1613.30004882813</v>
      </c>
      <c r="AF915" s="8" t="n">
        <v>278.571428571</v>
      </c>
      <c r="AG915" s="11" t="n">
        <v>-0.104270964</v>
      </c>
      <c r="AH915" s="12" t="n">
        <v>0.999999999999998</v>
      </c>
      <c r="AI915" s="2" t="s">
        <v>317</v>
      </c>
      <c r="AJ915" s="2" t="s">
        <v>2059</v>
      </c>
      <c r="AK915" s="2" t="s">
        <v>2051</v>
      </c>
    </row>
    <row r="916" customFormat="false" ht="15" hidden="false" customHeight="false" outlineLevel="0" collapsed="false">
      <c r="A916" s="9"/>
      <c r="B916" s="2" t="s">
        <v>2061</v>
      </c>
      <c r="C916" s="2" t="s">
        <v>2062</v>
      </c>
      <c r="D916" s="2" t="s">
        <v>524</v>
      </c>
      <c r="E916" s="2" t="s">
        <v>456</v>
      </c>
      <c r="F916" s="2"/>
      <c r="G916" s="2" t="s">
        <v>458</v>
      </c>
      <c r="H916" s="8" t="n">
        <v>105.612076313778</v>
      </c>
      <c r="I916" s="2" t="s">
        <v>316</v>
      </c>
      <c r="J916" s="8" t="n">
        <v>157211.111111111</v>
      </c>
      <c r="K916" s="6" t="n">
        <v>9</v>
      </c>
      <c r="L916" s="2"/>
      <c r="M916" s="10" t="b">
        <f aca="false">TRUE()</f>
        <v>1</v>
      </c>
      <c r="N916" s="9" t="str">
        <f aca="false">IF(H916="","",IF(H916&gt;=Assumptions!$B$5,1,IF(H916&gt;=Assumptions!$B$6,2,IF(H916&gt;=Assumptions!$B$7,3,""))))</f>
        <v/>
      </c>
      <c r="O916" s="9" t="n">
        <f aca="false">IF(N916=1,Assumptions!$B$8,IF(N916=2,Assumptions!$B$9,IF(N916=3,Assumptions!$B$10,0)))</f>
        <v>0</v>
      </c>
      <c r="P916" s="6" t="s">
        <v>30</v>
      </c>
      <c r="Q916" s="6" t="s">
        <v>30</v>
      </c>
      <c r="R916" s="11" t="s">
        <v>30</v>
      </c>
      <c r="S916" s="6" t="s">
        <v>30</v>
      </c>
      <c r="T916" s="11" t="s">
        <v>30</v>
      </c>
      <c r="U916" s="6" t="s">
        <v>30</v>
      </c>
      <c r="V916" s="6" t="s">
        <v>30</v>
      </c>
      <c r="W916" s="6" t="s">
        <v>30</v>
      </c>
      <c r="X916" s="2" t="s">
        <v>30</v>
      </c>
      <c r="Y916" s="6" t="str">
        <f aca="false">IF(AND(X916="processed",ISNUMBER(S916)),S916*O916,"")</f>
        <v/>
      </c>
      <c r="Z916" s="6" t="n">
        <f aca="false">IF(ISNUMBER(K916),K916*O916,0)</f>
        <v>0</v>
      </c>
      <c r="AA916" s="2" t="s">
        <v>31</v>
      </c>
      <c r="AB916" s="6" t="n">
        <v>1942</v>
      </c>
      <c r="AC916" s="6" t="n">
        <v>1773</v>
      </c>
      <c r="AD916" s="6" t="n">
        <v>1765</v>
      </c>
      <c r="AE916" s="6" t="n">
        <v>2096.70629882813</v>
      </c>
      <c r="AF916" s="8" t="n">
        <v>124.716553288</v>
      </c>
      <c r="AG916" s="11" t="n">
        <v>0.6168939982</v>
      </c>
      <c r="AH916" s="12" t="n">
        <v>0.997890505718095</v>
      </c>
      <c r="AI916" s="2" t="s">
        <v>2063</v>
      </c>
      <c r="AJ916" s="2" t="s">
        <v>2064</v>
      </c>
      <c r="AK916" s="2" t="s">
        <v>2062</v>
      </c>
    </row>
    <row r="917" customFormat="false" ht="15" hidden="false" customHeight="false" outlineLevel="0" collapsed="false">
      <c r="A917" s="9"/>
      <c r="B917" s="2" t="s">
        <v>2065</v>
      </c>
      <c r="C917" s="2" t="s">
        <v>2066</v>
      </c>
      <c r="D917" s="2" t="s">
        <v>1975</v>
      </c>
      <c r="E917" s="2" t="s">
        <v>51</v>
      </c>
      <c r="F917" s="2"/>
      <c r="G917" s="2" t="s">
        <v>2042</v>
      </c>
      <c r="H917" s="8" t="n">
        <v>252.200394626677</v>
      </c>
      <c r="I917" s="2" t="s">
        <v>316</v>
      </c>
      <c r="J917" s="8" t="n">
        <v>423946.153846154</v>
      </c>
      <c r="K917" s="6" t="n">
        <v>130</v>
      </c>
      <c r="L917" s="2"/>
      <c r="M917" s="10" t="b">
        <f aca="false">TRUE()</f>
        <v>1</v>
      </c>
      <c r="N917" s="9" t="str">
        <f aca="false">IF(H917="","",IF(H917&gt;=Assumptions!$B$5,1,IF(H917&gt;=Assumptions!$B$6,2,IF(H917&gt;=Assumptions!$B$7,3,""))))</f>
        <v/>
      </c>
      <c r="O917" s="9" t="n">
        <f aca="false">IF(N917=1,Assumptions!$B$8,IF(N917=2,Assumptions!$B$9,IF(N917=3,Assumptions!$B$10,0)))</f>
        <v>0</v>
      </c>
      <c r="P917" s="6" t="s">
        <v>30</v>
      </c>
      <c r="Q917" s="6" t="s">
        <v>30</v>
      </c>
      <c r="R917" s="11" t="s">
        <v>30</v>
      </c>
      <c r="S917" s="6" t="s">
        <v>30</v>
      </c>
      <c r="T917" s="11" t="s">
        <v>30</v>
      </c>
      <c r="U917" s="6" t="s">
        <v>30</v>
      </c>
      <c r="V917" s="6" t="s">
        <v>30</v>
      </c>
      <c r="W917" s="6" t="s">
        <v>30</v>
      </c>
      <c r="X917" s="2" t="s">
        <v>30</v>
      </c>
      <c r="Y917" s="6" t="str">
        <f aca="false">IF(AND(X917="processed",ISNUMBER(S917)),S917*O917,"")</f>
        <v/>
      </c>
      <c r="Z917" s="6" t="n">
        <f aca="false">IF(ISNUMBER(K917),K917*O917,0)</f>
        <v>0</v>
      </c>
      <c r="AA917" s="2" t="s">
        <v>31</v>
      </c>
      <c r="AB917" s="6" t="n">
        <v>27968</v>
      </c>
      <c r="AC917" s="6" t="n">
        <v>16608</v>
      </c>
      <c r="AD917" s="6" t="n">
        <v>8196</v>
      </c>
      <c r="AE917" s="6" t="n">
        <v>2090.85693359375</v>
      </c>
      <c r="AF917" s="8" t="n">
        <v>261.516077153</v>
      </c>
      <c r="AG917" s="11" t="n">
        <v>0.02161824053</v>
      </c>
      <c r="AH917" s="12" t="n">
        <v>0.999999999999999</v>
      </c>
      <c r="AI917" s="2" t="s">
        <v>317</v>
      </c>
      <c r="AJ917" s="2" t="s">
        <v>2066</v>
      </c>
      <c r="AK917" s="2" t="s">
        <v>2066</v>
      </c>
    </row>
    <row r="918" customFormat="false" ht="15" hidden="false" customHeight="false" outlineLevel="0" collapsed="false">
      <c r="A918" s="9"/>
      <c r="B918" s="2" t="s">
        <v>2067</v>
      </c>
      <c r="C918" s="2" t="s">
        <v>2068</v>
      </c>
      <c r="D918" s="2" t="s">
        <v>1975</v>
      </c>
      <c r="E918" s="2" t="s">
        <v>51</v>
      </c>
      <c r="F918" s="2" t="s">
        <v>2069</v>
      </c>
      <c r="G918" s="2" t="s">
        <v>2042</v>
      </c>
      <c r="H918" s="8" t="n">
        <v>242.458973029375</v>
      </c>
      <c r="I918" s="2" t="s">
        <v>316</v>
      </c>
      <c r="J918" s="8" t="n">
        <v>437187.5</v>
      </c>
      <c r="K918" s="6" t="n">
        <v>16</v>
      </c>
      <c r="L918" s="2"/>
      <c r="M918" s="10" t="b">
        <f aca="false">TRUE()</f>
        <v>1</v>
      </c>
      <c r="N918" s="9" t="str">
        <f aca="false">IF(H918="","",IF(H918&gt;=Assumptions!$B$5,1,IF(H918&gt;=Assumptions!$B$6,2,IF(H918&gt;=Assumptions!$B$7,3,""))))</f>
        <v/>
      </c>
      <c r="O918" s="9" t="n">
        <f aca="false">IF(N918=1,Assumptions!$B$8,IF(N918=2,Assumptions!$B$9,IF(N918=3,Assumptions!$B$10,0)))</f>
        <v>0</v>
      </c>
      <c r="P918" s="6" t="s">
        <v>30</v>
      </c>
      <c r="Q918" s="6" t="s">
        <v>30</v>
      </c>
      <c r="R918" s="11" t="s">
        <v>30</v>
      </c>
      <c r="S918" s="6" t="s">
        <v>30</v>
      </c>
      <c r="T918" s="11" t="s">
        <v>30</v>
      </c>
      <c r="U918" s="6" t="s">
        <v>30</v>
      </c>
      <c r="V918" s="6" t="s">
        <v>30</v>
      </c>
      <c r="W918" s="6" t="s">
        <v>30</v>
      </c>
      <c r="X918" s="2" t="s">
        <v>30</v>
      </c>
      <c r="Y918" s="6" t="str">
        <f aca="false">IF(AND(X918="processed",ISNUMBER(S918)),S918*O918,"")</f>
        <v/>
      </c>
      <c r="Z918" s="6" t="n">
        <f aca="false">IF(ISNUMBER(K918),K918*O918,0)</f>
        <v>0</v>
      </c>
      <c r="AA918" s="2" t="s">
        <v>31</v>
      </c>
      <c r="AB918" s="6" t="n">
        <v>3236</v>
      </c>
      <c r="AC918" s="6" t="n">
        <v>2026</v>
      </c>
      <c r="AD918" s="6" t="n">
        <v>936</v>
      </c>
      <c r="AE918" s="6" t="n">
        <v>2278.89892578125</v>
      </c>
      <c r="AF918" s="8" t="n">
        <v>241.506068197</v>
      </c>
      <c r="AG918" s="11" t="n">
        <v>0.03657021497</v>
      </c>
      <c r="AH918" s="12" t="n">
        <v>1</v>
      </c>
      <c r="AI918" s="2" t="s">
        <v>317</v>
      </c>
      <c r="AJ918" s="2" t="s">
        <v>2068</v>
      </c>
      <c r="AK918" s="2" t="s">
        <v>2046</v>
      </c>
    </row>
    <row r="919" customFormat="false" ht="15" hidden="false" customHeight="false" outlineLevel="0" collapsed="false">
      <c r="A919" s="9"/>
      <c r="B919" s="2" t="s">
        <v>2070</v>
      </c>
      <c r="C919" s="2" t="s">
        <v>2071</v>
      </c>
      <c r="D919" s="2" t="s">
        <v>1975</v>
      </c>
      <c r="E919" s="2" t="s">
        <v>51</v>
      </c>
      <c r="F919" s="2"/>
      <c r="G919" s="2" t="s">
        <v>2042</v>
      </c>
      <c r="H919" s="8" t="n">
        <v>245.737217335385</v>
      </c>
      <c r="I919" s="2" t="s">
        <v>316</v>
      </c>
      <c r="J919" s="8" t="n">
        <v>341660.769230769</v>
      </c>
      <c r="K919" s="6" t="n">
        <v>26</v>
      </c>
      <c r="L919" s="2"/>
      <c r="M919" s="10" t="b">
        <f aca="false">TRUE()</f>
        <v>1</v>
      </c>
      <c r="N919" s="9" t="str">
        <f aca="false">IF(H919="","",IF(H919&gt;=Assumptions!$B$5,1,IF(H919&gt;=Assumptions!$B$6,2,IF(H919&gt;=Assumptions!$B$7,3,""))))</f>
        <v/>
      </c>
      <c r="O919" s="9" t="n">
        <f aca="false">IF(N919=1,Assumptions!$B$8,IF(N919=2,Assumptions!$B$9,IF(N919=3,Assumptions!$B$10,0)))</f>
        <v>0</v>
      </c>
      <c r="P919" s="6" t="s">
        <v>30</v>
      </c>
      <c r="Q919" s="6" t="s">
        <v>30</v>
      </c>
      <c r="R919" s="11" t="s">
        <v>30</v>
      </c>
      <c r="S919" s="6" t="s">
        <v>30</v>
      </c>
      <c r="T919" s="11" t="s">
        <v>30</v>
      </c>
      <c r="U919" s="6" t="s">
        <v>30</v>
      </c>
      <c r="V919" s="6" t="s">
        <v>30</v>
      </c>
      <c r="W919" s="6" t="s">
        <v>30</v>
      </c>
      <c r="X919" s="2" t="s">
        <v>30</v>
      </c>
      <c r="Y919" s="6" t="str">
        <f aca="false">IF(AND(X919="processed",ISNUMBER(S919)),S919*O919,"")</f>
        <v/>
      </c>
      <c r="Z919" s="6" t="n">
        <f aca="false">IF(ISNUMBER(K919),K919*O919,0)</f>
        <v>0</v>
      </c>
      <c r="AA919" s="2" t="s">
        <v>31</v>
      </c>
      <c r="AB919" s="6" t="n">
        <v>3760</v>
      </c>
      <c r="AC919" s="6" t="n">
        <v>3105</v>
      </c>
      <c r="AD919" s="6" t="n">
        <v>3093</v>
      </c>
      <c r="AE919" s="6" t="n">
        <v>1990.52514648438</v>
      </c>
      <c r="AF919" s="8" t="n">
        <v>243.792130424</v>
      </c>
      <c r="AG919" s="11" t="n">
        <v>0.06804171424</v>
      </c>
      <c r="AH919" s="12" t="n">
        <v>0.999117053609573</v>
      </c>
      <c r="AI919" s="2" t="s">
        <v>317</v>
      </c>
      <c r="AJ919" s="2" t="s">
        <v>2071</v>
      </c>
      <c r="AK919" s="2" t="s">
        <v>2071</v>
      </c>
    </row>
    <row r="920" customFormat="false" ht="15" hidden="false" customHeight="false" outlineLevel="0" collapsed="false">
      <c r="A920" s="9"/>
      <c r="B920" s="2" t="s">
        <v>2072</v>
      </c>
      <c r="C920" s="2" t="s">
        <v>1975</v>
      </c>
      <c r="D920" s="2" t="s">
        <v>1975</v>
      </c>
      <c r="E920" s="2" t="s">
        <v>51</v>
      </c>
      <c r="F920" s="2"/>
      <c r="G920" s="2" t="s">
        <v>2042</v>
      </c>
      <c r="H920" s="8" t="n">
        <v>260.524406644149</v>
      </c>
      <c r="I920" s="2" t="s">
        <v>316</v>
      </c>
      <c r="J920" s="8" t="n">
        <v>463395.52238806</v>
      </c>
      <c r="K920" s="6" t="n">
        <v>134</v>
      </c>
      <c r="L920" s="2"/>
      <c r="M920" s="10" t="b">
        <f aca="false">TRUE()</f>
        <v>1</v>
      </c>
      <c r="N920" s="9" t="str">
        <f aca="false">IF(H920="","",IF(H920&gt;=Assumptions!$B$5,1,IF(H920&gt;=Assumptions!$B$6,2,IF(H920&gt;=Assumptions!$B$7,3,""))))</f>
        <v/>
      </c>
      <c r="O920" s="9" t="n">
        <f aca="false">IF(N920=1,Assumptions!$B$8,IF(N920=2,Assumptions!$B$9,IF(N920=3,Assumptions!$B$10,0)))</f>
        <v>0</v>
      </c>
      <c r="P920" s="6" t="s">
        <v>30</v>
      </c>
      <c r="Q920" s="6" t="s">
        <v>30</v>
      </c>
      <c r="R920" s="11" t="s">
        <v>30</v>
      </c>
      <c r="S920" s="6" t="s">
        <v>30</v>
      </c>
      <c r="T920" s="11" t="s">
        <v>30</v>
      </c>
      <c r="U920" s="6" t="s">
        <v>30</v>
      </c>
      <c r="V920" s="6" t="s">
        <v>30</v>
      </c>
      <c r="W920" s="6" t="s">
        <v>30</v>
      </c>
      <c r="X920" s="2" t="s">
        <v>30</v>
      </c>
      <c r="Y920" s="6" t="str">
        <f aca="false">IF(AND(X920="processed",ISNUMBER(S920)),S920*O920,"")</f>
        <v/>
      </c>
      <c r="Z920" s="6" t="n">
        <f aca="false">IF(ISNUMBER(K920),K920*O920,0)</f>
        <v>0</v>
      </c>
      <c r="AA920" s="2" t="s">
        <v>31</v>
      </c>
      <c r="AB920" s="6" t="n">
        <v>7600</v>
      </c>
      <c r="AC920" s="6" t="n">
        <v>6538</v>
      </c>
      <c r="AD920" s="6" t="n">
        <v>6407</v>
      </c>
      <c r="AE920" s="6" t="n">
        <v>2280.1064453125</v>
      </c>
      <c r="AF920" s="8" t="n">
        <v>248.092084871</v>
      </c>
      <c r="AG920" s="11" t="n">
        <v>-0.07843546901</v>
      </c>
      <c r="AH920" s="12" t="n">
        <v>1</v>
      </c>
      <c r="AI920" s="2" t="s">
        <v>317</v>
      </c>
      <c r="AJ920" s="2" t="s">
        <v>1975</v>
      </c>
      <c r="AK920" s="2" t="s">
        <v>1975</v>
      </c>
    </row>
    <row r="921" customFormat="false" ht="15" hidden="false" customHeight="false" outlineLevel="0" collapsed="false">
      <c r="A921" s="9"/>
      <c r="B921" s="2" t="s">
        <v>2073</v>
      </c>
      <c r="C921" s="2" t="s">
        <v>2074</v>
      </c>
      <c r="D921" s="2" t="s">
        <v>524</v>
      </c>
      <c r="E921" s="2" t="s">
        <v>456</v>
      </c>
      <c r="F921" s="2" t="s">
        <v>2075</v>
      </c>
      <c r="G921" s="2" t="s">
        <v>458</v>
      </c>
      <c r="H921" s="8" t="n">
        <v>318.928046820155</v>
      </c>
      <c r="I921" s="2" t="s">
        <v>316</v>
      </c>
      <c r="J921" s="8" t="n">
        <v>393077.625570776</v>
      </c>
      <c r="K921" s="6" t="n">
        <v>219</v>
      </c>
      <c r="L921" s="2"/>
      <c r="M921" s="10" t="b">
        <f aca="false">TRUE()</f>
        <v>1</v>
      </c>
      <c r="N921" s="9" t="str">
        <f aca="false">IF(H921="","",IF(H921&gt;=Assumptions!$B$5,1,IF(H921&gt;=Assumptions!$B$6,2,IF(H921&gt;=Assumptions!$B$7,3,""))))</f>
        <v/>
      </c>
      <c r="O921" s="9" t="n">
        <f aca="false">IF(N921=1,Assumptions!$B$8,IF(N921=2,Assumptions!$B$9,IF(N921=3,Assumptions!$B$10,0)))</f>
        <v>0</v>
      </c>
      <c r="P921" s="6" t="s">
        <v>30</v>
      </c>
      <c r="Q921" s="6" t="s">
        <v>30</v>
      </c>
      <c r="R921" s="11" t="s">
        <v>30</v>
      </c>
      <c r="S921" s="6" t="s">
        <v>30</v>
      </c>
      <c r="T921" s="11" t="s">
        <v>30</v>
      </c>
      <c r="U921" s="6" t="s">
        <v>30</v>
      </c>
      <c r="V921" s="6" t="s">
        <v>30</v>
      </c>
      <c r="W921" s="6" t="s">
        <v>30</v>
      </c>
      <c r="X921" s="2" t="s">
        <v>30</v>
      </c>
      <c r="Y921" s="6" t="str">
        <f aca="false">IF(AND(X921="processed",ISNUMBER(S921)),S921*O921,"")</f>
        <v/>
      </c>
      <c r="Z921" s="6" t="n">
        <f aca="false">IF(ISNUMBER(K921),K921*O921,0)</f>
        <v>0</v>
      </c>
      <c r="AA921" s="2" t="s">
        <v>31</v>
      </c>
      <c r="AB921" s="6" t="n">
        <v>6866</v>
      </c>
      <c r="AC921" s="6" t="n">
        <v>5826</v>
      </c>
      <c r="AD921" s="6" t="n">
        <v>646</v>
      </c>
      <c r="AE921" s="6" t="n">
        <v>1927.66772460938</v>
      </c>
      <c r="AF921" s="8" t="n">
        <v>332.225913621</v>
      </c>
      <c r="AG921" s="11" t="n">
        <v>0.04344117484</v>
      </c>
      <c r="AH921" s="12" t="n">
        <v>0.999999999999996</v>
      </c>
      <c r="AI921" s="2" t="s">
        <v>317</v>
      </c>
      <c r="AJ921" s="2" t="s">
        <v>2074</v>
      </c>
      <c r="AK921" s="2" t="s">
        <v>1717</v>
      </c>
    </row>
    <row r="922" customFormat="false" ht="15" hidden="false" customHeight="false" outlineLevel="0" collapsed="false">
      <c r="A922" s="9"/>
      <c r="B922" s="2" t="s">
        <v>2076</v>
      </c>
      <c r="C922" s="2" t="s">
        <v>2077</v>
      </c>
      <c r="D922" s="2" t="s">
        <v>455</v>
      </c>
      <c r="E922" s="2" t="s">
        <v>456</v>
      </c>
      <c r="F922" s="2"/>
      <c r="G922" s="2" t="s">
        <v>458</v>
      </c>
      <c r="H922" s="8" t="n">
        <v>386.863938566436</v>
      </c>
      <c r="I922" s="2" t="s">
        <v>316</v>
      </c>
      <c r="J922" s="8" t="n">
        <v>882954.641350211</v>
      </c>
      <c r="K922" s="6" t="n">
        <v>948</v>
      </c>
      <c r="L922" s="2"/>
      <c r="M922" s="10" t="b">
        <f aca="false">TRUE()</f>
        <v>1</v>
      </c>
      <c r="N922" s="9" t="str">
        <f aca="false">IF(H922="","",IF(H922&gt;=Assumptions!$B$5,1,IF(H922&gt;=Assumptions!$B$6,2,IF(H922&gt;=Assumptions!$B$7,3,""))))</f>
        <v/>
      </c>
      <c r="O922" s="9" t="n">
        <f aca="false">IF(N922=1,Assumptions!$B$8,IF(N922=2,Assumptions!$B$9,IF(N922=3,Assumptions!$B$10,0)))</f>
        <v>0</v>
      </c>
      <c r="P922" s="6" t="s">
        <v>30</v>
      </c>
      <c r="Q922" s="6" t="s">
        <v>30</v>
      </c>
      <c r="R922" s="11" t="s">
        <v>30</v>
      </c>
      <c r="S922" s="6" t="s">
        <v>30</v>
      </c>
      <c r="T922" s="11" t="s">
        <v>30</v>
      </c>
      <c r="U922" s="6" t="s">
        <v>30</v>
      </c>
      <c r="V922" s="6" t="s">
        <v>30</v>
      </c>
      <c r="W922" s="6" t="s">
        <v>30</v>
      </c>
      <c r="X922" s="2" t="s">
        <v>30</v>
      </c>
      <c r="Y922" s="6" t="str">
        <f aca="false">IF(AND(X922="processed",ISNUMBER(S922)),S922*O922,"")</f>
        <v/>
      </c>
      <c r="Z922" s="6" t="n">
        <f aca="false">IF(ISNUMBER(K922),K922*O922,0)</f>
        <v>0</v>
      </c>
      <c r="AA922" s="2" t="s">
        <v>31</v>
      </c>
      <c r="AB922" s="6" t="n">
        <v>22899</v>
      </c>
      <c r="AC922" s="6" t="n">
        <v>18263</v>
      </c>
      <c r="AD922" s="6" t="n">
        <v>21136</v>
      </c>
      <c r="AE922" s="6" t="n">
        <v>3027.63159179688</v>
      </c>
      <c r="AF922" s="8" t="n">
        <v>397.088021178</v>
      </c>
      <c r="AG922" s="11" t="n">
        <v>-0.03193509873</v>
      </c>
      <c r="AH922" s="12" t="n">
        <v>1</v>
      </c>
      <c r="AI922" s="2" t="s">
        <v>317</v>
      </c>
      <c r="AJ922" s="2" t="s">
        <v>2077</v>
      </c>
      <c r="AK922" s="2" t="s">
        <v>2077</v>
      </c>
    </row>
    <row r="923" customFormat="false" ht="15" hidden="false" customHeight="false" outlineLevel="0" collapsed="false">
      <c r="A923" s="9"/>
      <c r="B923" s="2" t="s">
        <v>2078</v>
      </c>
      <c r="C923" s="2" t="s">
        <v>2079</v>
      </c>
      <c r="D923" s="2" t="s">
        <v>455</v>
      </c>
      <c r="E923" s="2" t="s">
        <v>456</v>
      </c>
      <c r="F923" s="2" t="s">
        <v>2080</v>
      </c>
      <c r="G923" s="2" t="s">
        <v>458</v>
      </c>
      <c r="H923" s="8" t="n">
        <v>232.62604521</v>
      </c>
      <c r="I923" s="2" t="s">
        <v>316</v>
      </c>
      <c r="J923" s="8" t="n">
        <v>261250</v>
      </c>
      <c r="K923" s="6" t="n">
        <v>8</v>
      </c>
      <c r="L923" s="2"/>
      <c r="M923" s="10" t="b">
        <f aca="false">TRUE()</f>
        <v>1</v>
      </c>
      <c r="N923" s="9" t="str">
        <f aca="false">IF(H923="","",IF(H923&gt;=Assumptions!$B$5,1,IF(H923&gt;=Assumptions!$B$6,2,IF(H923&gt;=Assumptions!$B$7,3,""))))</f>
        <v/>
      </c>
      <c r="O923" s="9" t="n">
        <f aca="false">IF(N923=1,Assumptions!$B$8,IF(N923=2,Assumptions!$B$9,IF(N923=3,Assumptions!$B$10,0)))</f>
        <v>0</v>
      </c>
      <c r="P923" s="6" t="s">
        <v>30</v>
      </c>
      <c r="Q923" s="6" t="s">
        <v>30</v>
      </c>
      <c r="R923" s="11" t="s">
        <v>30</v>
      </c>
      <c r="S923" s="6" t="s">
        <v>30</v>
      </c>
      <c r="T923" s="11" t="s">
        <v>30</v>
      </c>
      <c r="U923" s="6" t="s">
        <v>30</v>
      </c>
      <c r="V923" s="6" t="s">
        <v>30</v>
      </c>
      <c r="W923" s="6" t="s">
        <v>30</v>
      </c>
      <c r="X923" s="2" t="s">
        <v>30</v>
      </c>
      <c r="Y923" s="6" t="str">
        <f aca="false">IF(AND(X923="processed",ISNUMBER(S923)),S923*O923,"")</f>
        <v/>
      </c>
      <c r="Z923" s="6" t="n">
        <f aca="false">IF(ISNUMBER(K923),K923*O923,0)</f>
        <v>0</v>
      </c>
      <c r="AA923" s="2" t="s">
        <v>31</v>
      </c>
      <c r="AB923" s="6" t="n">
        <v>3052</v>
      </c>
      <c r="AC923" s="6" t="n">
        <v>2728</v>
      </c>
      <c r="AD923" s="6" t="n">
        <v>2908</v>
      </c>
      <c r="AE923" s="6" t="n">
        <v>2141.4189453125</v>
      </c>
      <c r="AF923" s="8" t="n">
        <v>288.392857143</v>
      </c>
      <c r="AG923" s="11" t="n">
        <v>0.505635436</v>
      </c>
      <c r="AH923" s="12" t="n">
        <v>1</v>
      </c>
      <c r="AI923" s="2" t="s">
        <v>317</v>
      </c>
      <c r="AJ923" s="2" t="s">
        <v>2079</v>
      </c>
      <c r="AK923" s="2" t="s">
        <v>2079</v>
      </c>
    </row>
    <row r="924" customFormat="false" ht="15" hidden="false" customHeight="false" outlineLevel="0" collapsed="false">
      <c r="A924" s="9"/>
      <c r="B924" s="2" t="s">
        <v>2081</v>
      </c>
      <c r="C924" s="2"/>
      <c r="D924" s="2" t="s">
        <v>1190</v>
      </c>
      <c r="E924" s="2" t="s">
        <v>1191</v>
      </c>
      <c r="F924" s="2"/>
      <c r="G924" s="2" t="s">
        <v>458</v>
      </c>
      <c r="H924" s="8" t="n">
        <v>251.509054326</v>
      </c>
      <c r="I924" s="2" t="s">
        <v>316</v>
      </c>
      <c r="J924" s="8" t="n">
        <v>750000</v>
      </c>
      <c r="K924" s="6" t="n">
        <v>1</v>
      </c>
      <c r="L924" s="2" t="s">
        <v>1664</v>
      </c>
      <c r="M924" s="10" t="b">
        <f aca="false">FALSE()</f>
        <v>0</v>
      </c>
      <c r="N924" s="9" t="str">
        <f aca="false">IF(H924="","",IF(H924&gt;=Assumptions!$B$5,1,IF(H924&gt;=Assumptions!$B$6,2,IF(H924&gt;=Assumptions!$B$7,3,""))))</f>
        <v/>
      </c>
      <c r="O924" s="9" t="n">
        <f aca="false">IF(N924=1,Assumptions!$B$8,IF(N924=2,Assumptions!$B$9,IF(N924=3,Assumptions!$B$10,0)))</f>
        <v>0</v>
      </c>
      <c r="P924" s="6" t="s">
        <v>30</v>
      </c>
      <c r="Q924" s="6" t="s">
        <v>30</v>
      </c>
      <c r="R924" s="11" t="s">
        <v>30</v>
      </c>
      <c r="S924" s="6" t="s">
        <v>30</v>
      </c>
      <c r="T924" s="11" t="s">
        <v>30</v>
      </c>
      <c r="U924" s="6" t="s">
        <v>30</v>
      </c>
      <c r="V924" s="6" t="s">
        <v>30</v>
      </c>
      <c r="W924" s="6" t="s">
        <v>30</v>
      </c>
      <c r="X924" s="2" t="s">
        <v>30</v>
      </c>
      <c r="Y924" s="6" t="str">
        <f aca="false">IF(AND(X924="processed",ISNUMBER(S924)),S924*O924,"")</f>
        <v/>
      </c>
      <c r="Z924" s="6" t="n">
        <f aca="false">IF(ISNUMBER(K924),K924*O924,0)</f>
        <v>0</v>
      </c>
      <c r="AA924" s="2" t="s">
        <v>31</v>
      </c>
      <c r="AB924" s="6"/>
      <c r="AC924" s="6"/>
      <c r="AD924" s="6"/>
      <c r="AE924" s="6"/>
      <c r="AF924" s="8" t="n">
        <v>251.509054326</v>
      </c>
      <c r="AG924" s="11" t="n">
        <v>-0.479345207</v>
      </c>
      <c r="AH924" s="12"/>
      <c r="AI924" s="2"/>
      <c r="AJ924" s="2"/>
      <c r="AK924" s="2"/>
    </row>
    <row r="925" customFormat="false" ht="15" hidden="false" customHeight="false" outlineLevel="0" collapsed="false">
      <c r="A925" s="9"/>
      <c r="B925" s="2" t="s">
        <v>2082</v>
      </c>
      <c r="C925" s="2" t="s">
        <v>2083</v>
      </c>
      <c r="D925" s="2" t="s">
        <v>524</v>
      </c>
      <c r="E925" s="2" t="s">
        <v>456</v>
      </c>
      <c r="F925" s="2"/>
      <c r="G925" s="2" t="s">
        <v>458</v>
      </c>
      <c r="H925" s="8" t="n">
        <v>265.478666541562</v>
      </c>
      <c r="I925" s="2" t="s">
        <v>316</v>
      </c>
      <c r="J925" s="8" t="n">
        <v>343883.561643836</v>
      </c>
      <c r="K925" s="6" t="n">
        <v>73</v>
      </c>
      <c r="L925" s="2"/>
      <c r="M925" s="10" t="b">
        <f aca="false">TRUE()</f>
        <v>1</v>
      </c>
      <c r="N925" s="9" t="str">
        <f aca="false">IF(H925="","",IF(H925&gt;=Assumptions!$B$5,1,IF(H925&gt;=Assumptions!$B$6,2,IF(H925&gt;=Assumptions!$B$7,3,""))))</f>
        <v/>
      </c>
      <c r="O925" s="9" t="n">
        <f aca="false">IF(N925=1,Assumptions!$B$8,IF(N925=2,Assumptions!$B$9,IF(N925=3,Assumptions!$B$10,0)))</f>
        <v>0</v>
      </c>
      <c r="P925" s="6" t="s">
        <v>30</v>
      </c>
      <c r="Q925" s="6" t="s">
        <v>30</v>
      </c>
      <c r="R925" s="11" t="s">
        <v>30</v>
      </c>
      <c r="S925" s="6" t="s">
        <v>30</v>
      </c>
      <c r="T925" s="11" t="s">
        <v>30</v>
      </c>
      <c r="U925" s="6" t="s">
        <v>30</v>
      </c>
      <c r="V925" s="6" t="s">
        <v>30</v>
      </c>
      <c r="W925" s="6" t="s">
        <v>30</v>
      </c>
      <c r="X925" s="2" t="s">
        <v>30</v>
      </c>
      <c r="Y925" s="6" t="str">
        <f aca="false">IF(AND(X925="processed",ISNUMBER(S925)),S925*O925,"")</f>
        <v/>
      </c>
      <c r="Z925" s="6" t="n">
        <f aca="false">IF(ISNUMBER(K925),K925*O925,0)</f>
        <v>0</v>
      </c>
      <c r="AA925" s="2" t="s">
        <v>31</v>
      </c>
      <c r="AB925" s="6" t="n">
        <v>2938</v>
      </c>
      <c r="AC925" s="6" t="n">
        <v>2537</v>
      </c>
      <c r="AD925" s="6" t="n">
        <v>113</v>
      </c>
      <c r="AE925" s="6" t="n">
        <v>1748.83422851563</v>
      </c>
      <c r="AF925" s="8" t="n">
        <v>279.117440974</v>
      </c>
      <c r="AG925" s="11" t="n">
        <v>-0.04881463993</v>
      </c>
      <c r="AH925" s="12" t="n">
        <v>0.999568370342518</v>
      </c>
      <c r="AI925" s="2" t="s">
        <v>1558</v>
      </c>
      <c r="AJ925" s="2" t="s">
        <v>2083</v>
      </c>
      <c r="AK925" s="2" t="s">
        <v>1717</v>
      </c>
    </row>
    <row r="926" customFormat="false" ht="15" hidden="false" customHeight="false" outlineLevel="0" collapsed="false">
      <c r="A926" s="9"/>
      <c r="B926" s="2" t="s">
        <v>2084</v>
      </c>
      <c r="C926" s="2" t="s">
        <v>2085</v>
      </c>
      <c r="D926" s="2" t="s">
        <v>1975</v>
      </c>
      <c r="E926" s="2" t="s">
        <v>51</v>
      </c>
      <c r="F926" s="2"/>
      <c r="G926" s="2" t="s">
        <v>2042</v>
      </c>
      <c r="H926" s="8" t="n">
        <v>139.764390164429</v>
      </c>
      <c r="I926" s="2" t="s">
        <v>316</v>
      </c>
      <c r="J926" s="8" t="n">
        <v>111257.142857143</v>
      </c>
      <c r="K926" s="6" t="n">
        <v>7</v>
      </c>
      <c r="L926" s="2"/>
      <c r="M926" s="10" t="b">
        <f aca="false">TRUE()</f>
        <v>1</v>
      </c>
      <c r="N926" s="9" t="str">
        <f aca="false">IF(H926="","",IF(H926&gt;=Assumptions!$B$5,1,IF(H926&gt;=Assumptions!$B$6,2,IF(H926&gt;=Assumptions!$B$7,3,""))))</f>
        <v/>
      </c>
      <c r="O926" s="9" t="n">
        <f aca="false">IF(N926=1,Assumptions!$B$8,IF(N926=2,Assumptions!$B$9,IF(N926=3,Assumptions!$B$10,0)))</f>
        <v>0</v>
      </c>
      <c r="P926" s="6" t="s">
        <v>30</v>
      </c>
      <c r="Q926" s="6" t="s">
        <v>30</v>
      </c>
      <c r="R926" s="11" t="s">
        <v>30</v>
      </c>
      <c r="S926" s="6" t="s">
        <v>30</v>
      </c>
      <c r="T926" s="11" t="s">
        <v>30</v>
      </c>
      <c r="U926" s="6" t="s">
        <v>30</v>
      </c>
      <c r="V926" s="6" t="s">
        <v>30</v>
      </c>
      <c r="W926" s="6" t="s">
        <v>30</v>
      </c>
      <c r="X926" s="2" t="s">
        <v>30</v>
      </c>
      <c r="Y926" s="6" t="str">
        <f aca="false">IF(AND(X926="processed",ISNUMBER(S926)),S926*O926,"")</f>
        <v/>
      </c>
      <c r="Z926" s="6" t="n">
        <f aca="false">IF(ISNUMBER(K926),K926*O926,0)</f>
        <v>0</v>
      </c>
      <c r="AA926" s="2" t="s">
        <v>31</v>
      </c>
      <c r="AB926" s="6" t="n">
        <v>1623</v>
      </c>
      <c r="AC926" s="6" t="n">
        <v>1279</v>
      </c>
      <c r="AD926" s="6" t="n">
        <v>637</v>
      </c>
      <c r="AE926" s="6" t="n">
        <v>1438.94006347656</v>
      </c>
      <c r="AF926" s="8" t="n">
        <v>143.276515152</v>
      </c>
      <c r="AG926" s="11" t="n">
        <v>0.2592189501</v>
      </c>
      <c r="AH926" s="12" t="n">
        <v>0.999950047163045</v>
      </c>
      <c r="AI926" s="2" t="s">
        <v>2086</v>
      </c>
      <c r="AJ926" s="2" t="s">
        <v>2087</v>
      </c>
      <c r="AK926" s="2" t="s">
        <v>2088</v>
      </c>
    </row>
    <row r="927" customFormat="false" ht="15" hidden="false" customHeight="false" outlineLevel="0" collapsed="false">
      <c r="A927" s="9"/>
      <c r="B927" s="2" t="s">
        <v>2089</v>
      </c>
      <c r="C927" s="2" t="s">
        <v>2090</v>
      </c>
      <c r="D927" s="2" t="s">
        <v>455</v>
      </c>
      <c r="E927" s="2" t="s">
        <v>456</v>
      </c>
      <c r="F927" s="2"/>
      <c r="G927" s="2" t="s">
        <v>458</v>
      </c>
      <c r="H927" s="8" t="n">
        <v>243.456876940333</v>
      </c>
      <c r="I927" s="2" t="s">
        <v>316</v>
      </c>
      <c r="J927" s="8" t="n">
        <v>329166.666666667</v>
      </c>
      <c r="K927" s="6" t="n">
        <v>3</v>
      </c>
      <c r="L927" s="2" t="s">
        <v>1664</v>
      </c>
      <c r="M927" s="10" t="b">
        <f aca="false">TRUE()</f>
        <v>1</v>
      </c>
      <c r="N927" s="9" t="str">
        <f aca="false">IF(H927="","",IF(H927&gt;=Assumptions!$B$5,1,IF(H927&gt;=Assumptions!$B$6,2,IF(H927&gt;=Assumptions!$B$7,3,""))))</f>
        <v/>
      </c>
      <c r="O927" s="9" t="n">
        <f aca="false">IF(N927=1,Assumptions!$B$8,IF(N927=2,Assumptions!$B$9,IF(N927=3,Assumptions!$B$10,0)))</f>
        <v>0</v>
      </c>
      <c r="P927" s="6" t="s">
        <v>30</v>
      </c>
      <c r="Q927" s="6" t="s">
        <v>30</v>
      </c>
      <c r="R927" s="11" t="s">
        <v>30</v>
      </c>
      <c r="S927" s="6" t="s">
        <v>30</v>
      </c>
      <c r="T927" s="11" t="s">
        <v>30</v>
      </c>
      <c r="U927" s="6" t="s">
        <v>30</v>
      </c>
      <c r="V927" s="6" t="s">
        <v>30</v>
      </c>
      <c r="W927" s="6" t="s">
        <v>30</v>
      </c>
      <c r="X927" s="2" t="s">
        <v>30</v>
      </c>
      <c r="Y927" s="6" t="str">
        <f aca="false">IF(AND(X927="processed",ISNUMBER(S927)),S927*O927,"")</f>
        <v/>
      </c>
      <c r="Z927" s="6" t="n">
        <f aca="false">IF(ISNUMBER(K927),K927*O927,0)</f>
        <v>0</v>
      </c>
      <c r="AA927" s="2" t="s">
        <v>31</v>
      </c>
      <c r="AB927" s="6" t="n">
        <v>550</v>
      </c>
      <c r="AC927" s="6" t="n">
        <v>418</v>
      </c>
      <c r="AD927" s="6" t="n">
        <v>345</v>
      </c>
      <c r="AE927" s="6" t="n">
        <v>1484.68872070313</v>
      </c>
      <c r="AF927" s="8" t="n">
        <v>217.144353701</v>
      </c>
      <c r="AG927" s="11"/>
      <c r="AH927" s="12" t="n">
        <v>1</v>
      </c>
      <c r="AI927" s="2" t="s">
        <v>1558</v>
      </c>
      <c r="AJ927" s="2" t="s">
        <v>2090</v>
      </c>
      <c r="AK927" s="2" t="s">
        <v>454</v>
      </c>
    </row>
    <row r="928" customFormat="false" ht="15" hidden="false" customHeight="false" outlineLevel="0" collapsed="false">
      <c r="A928" s="9"/>
      <c r="B928" s="2" t="s">
        <v>2091</v>
      </c>
      <c r="C928" s="2" t="s">
        <v>2092</v>
      </c>
      <c r="D928" s="2" t="s">
        <v>1975</v>
      </c>
      <c r="E928" s="2" t="s">
        <v>51</v>
      </c>
      <c r="F928" s="2"/>
      <c r="G928" s="2" t="s">
        <v>2042</v>
      </c>
      <c r="H928" s="8" t="n">
        <v>138.888888889</v>
      </c>
      <c r="I928" s="2" t="s">
        <v>316</v>
      </c>
      <c r="J928" s="8" t="n">
        <v>220000</v>
      </c>
      <c r="K928" s="6" t="n">
        <v>1</v>
      </c>
      <c r="L928" s="2" t="s">
        <v>1664</v>
      </c>
      <c r="M928" s="10" t="b">
        <f aca="false">TRUE()</f>
        <v>1</v>
      </c>
      <c r="N928" s="9" t="str">
        <f aca="false">IF(H928="","",IF(H928&gt;=Assumptions!$B$5,1,IF(H928&gt;=Assumptions!$B$6,2,IF(H928&gt;=Assumptions!$B$7,3,""))))</f>
        <v/>
      </c>
      <c r="O928" s="9" t="n">
        <f aca="false">IF(N928=1,Assumptions!$B$8,IF(N928=2,Assumptions!$B$9,IF(N928=3,Assumptions!$B$10,0)))</f>
        <v>0</v>
      </c>
      <c r="P928" s="6" t="s">
        <v>30</v>
      </c>
      <c r="Q928" s="6" t="s">
        <v>30</v>
      </c>
      <c r="R928" s="11" t="s">
        <v>30</v>
      </c>
      <c r="S928" s="6" t="s">
        <v>30</v>
      </c>
      <c r="T928" s="11" t="s">
        <v>30</v>
      </c>
      <c r="U928" s="6" t="s">
        <v>30</v>
      </c>
      <c r="V928" s="6" t="s">
        <v>30</v>
      </c>
      <c r="W928" s="6" t="s">
        <v>30</v>
      </c>
      <c r="X928" s="2" t="s">
        <v>30</v>
      </c>
      <c r="Y928" s="6" t="str">
        <f aca="false">IF(AND(X928="processed",ISNUMBER(S928)),S928*O928,"")</f>
        <v/>
      </c>
      <c r="Z928" s="6" t="n">
        <f aca="false">IF(ISNUMBER(K928),K928*O928,0)</f>
        <v>0</v>
      </c>
      <c r="AA928" s="2" t="s">
        <v>31</v>
      </c>
      <c r="AB928" s="6" t="n">
        <v>1176</v>
      </c>
      <c r="AC928" s="6" t="n">
        <v>550</v>
      </c>
      <c r="AD928" s="6" t="n">
        <v>436</v>
      </c>
      <c r="AE928" s="6" t="n">
        <v>1357.63500976563</v>
      </c>
      <c r="AF928" s="8" t="n">
        <v>138.888888889</v>
      </c>
      <c r="AG928" s="11"/>
      <c r="AH928" s="12" t="n">
        <v>0.999141224455368</v>
      </c>
      <c r="AI928" s="2" t="s">
        <v>317</v>
      </c>
      <c r="AJ928" s="2" t="s">
        <v>2092</v>
      </c>
      <c r="AK928" s="2" t="s">
        <v>2093</v>
      </c>
    </row>
    <row r="929" customFormat="false" ht="15" hidden="false" customHeight="false" outlineLevel="0" collapsed="false">
      <c r="A929" s="9"/>
      <c r="B929" s="2" t="s">
        <v>2094</v>
      </c>
      <c r="C929" s="2" t="s">
        <v>2029</v>
      </c>
      <c r="D929" s="2" t="s">
        <v>455</v>
      </c>
      <c r="E929" s="2" t="s">
        <v>456</v>
      </c>
      <c r="F929" s="2" t="s">
        <v>2095</v>
      </c>
      <c r="G929" s="2" t="s">
        <v>458</v>
      </c>
      <c r="H929" s="8" t="n">
        <v>396.338611843113</v>
      </c>
      <c r="I929" s="2" t="s">
        <v>316</v>
      </c>
      <c r="J929" s="8" t="n">
        <v>881053.333333333</v>
      </c>
      <c r="K929" s="6" t="n">
        <v>300</v>
      </c>
      <c r="L929" s="2"/>
      <c r="M929" s="10" t="b">
        <f aca="false">TRUE()</f>
        <v>1</v>
      </c>
      <c r="N929" s="9" t="str">
        <f aca="false">IF(H929="","",IF(H929&gt;=Assumptions!$B$5,1,IF(H929&gt;=Assumptions!$B$6,2,IF(H929&gt;=Assumptions!$B$7,3,""))))</f>
        <v/>
      </c>
      <c r="O929" s="9" t="n">
        <f aca="false">IF(N929=1,Assumptions!$B$8,IF(N929=2,Assumptions!$B$9,IF(N929=3,Assumptions!$B$10,0)))</f>
        <v>0</v>
      </c>
      <c r="P929" s="6" t="s">
        <v>30</v>
      </c>
      <c r="Q929" s="6" t="s">
        <v>30</v>
      </c>
      <c r="R929" s="11" t="s">
        <v>30</v>
      </c>
      <c r="S929" s="6" t="s">
        <v>30</v>
      </c>
      <c r="T929" s="11" t="s">
        <v>30</v>
      </c>
      <c r="U929" s="6" t="s">
        <v>30</v>
      </c>
      <c r="V929" s="6" t="s">
        <v>30</v>
      </c>
      <c r="W929" s="6" t="s">
        <v>30</v>
      </c>
      <c r="X929" s="2" t="s">
        <v>30</v>
      </c>
      <c r="Y929" s="6" t="str">
        <f aca="false">IF(AND(X929="processed",ISNUMBER(S929)),S929*O929,"")</f>
        <v/>
      </c>
      <c r="Z929" s="6" t="n">
        <f aca="false">IF(ISNUMBER(K929),K929*O929,0)</f>
        <v>0</v>
      </c>
      <c r="AA929" s="2" t="s">
        <v>31</v>
      </c>
      <c r="AB929" s="6" t="n">
        <v>21603</v>
      </c>
      <c r="AC929" s="6" t="n">
        <v>18776</v>
      </c>
      <c r="AD929" s="6" t="n">
        <v>618</v>
      </c>
      <c r="AE929" s="6" t="n">
        <v>2740.38671875</v>
      </c>
      <c r="AF929" s="8" t="n">
        <v>430.165375719</v>
      </c>
      <c r="AG929" s="11" t="n">
        <v>0.07083904634</v>
      </c>
      <c r="AH929" s="12" t="n">
        <v>1</v>
      </c>
      <c r="AI929" s="2" t="s">
        <v>317</v>
      </c>
      <c r="AJ929" s="2" t="s">
        <v>2029</v>
      </c>
      <c r="AK929" s="2" t="s">
        <v>2029</v>
      </c>
    </row>
    <row r="930" customFormat="false" ht="15" hidden="false" customHeight="false" outlineLevel="0" collapsed="false">
      <c r="A930" s="9"/>
      <c r="B930" s="2" t="s">
        <v>2096</v>
      </c>
      <c r="C930" s="2"/>
      <c r="D930" s="2" t="s">
        <v>1190</v>
      </c>
      <c r="E930" s="2" t="s">
        <v>1191</v>
      </c>
      <c r="F930" s="2"/>
      <c r="G930" s="2" t="s">
        <v>458</v>
      </c>
      <c r="H930" s="8" t="n">
        <v>302.093301435</v>
      </c>
      <c r="I930" s="2" t="s">
        <v>316</v>
      </c>
      <c r="J930" s="8" t="n">
        <v>627500</v>
      </c>
      <c r="K930" s="6" t="n">
        <v>2</v>
      </c>
      <c r="L930" s="2" t="s">
        <v>1664</v>
      </c>
      <c r="M930" s="10" t="b">
        <f aca="false">FALSE()</f>
        <v>0</v>
      </c>
      <c r="N930" s="9" t="str">
        <f aca="false">IF(H930="","",IF(H930&gt;=Assumptions!$B$5,1,IF(H930&gt;=Assumptions!$B$6,2,IF(H930&gt;=Assumptions!$B$7,3,""))))</f>
        <v/>
      </c>
      <c r="O930" s="9" t="n">
        <f aca="false">IF(N930=1,Assumptions!$B$8,IF(N930=2,Assumptions!$B$9,IF(N930=3,Assumptions!$B$10,0)))</f>
        <v>0</v>
      </c>
      <c r="P930" s="6" t="s">
        <v>30</v>
      </c>
      <c r="Q930" s="6" t="s">
        <v>30</v>
      </c>
      <c r="R930" s="11" t="s">
        <v>30</v>
      </c>
      <c r="S930" s="6" t="s">
        <v>30</v>
      </c>
      <c r="T930" s="11" t="s">
        <v>30</v>
      </c>
      <c r="U930" s="6" t="s">
        <v>30</v>
      </c>
      <c r="V930" s="6" t="s">
        <v>30</v>
      </c>
      <c r="W930" s="6" t="s">
        <v>30</v>
      </c>
      <c r="X930" s="2" t="s">
        <v>30</v>
      </c>
      <c r="Y930" s="6" t="str">
        <f aca="false">IF(AND(X930="processed",ISNUMBER(S930)),S930*O930,"")</f>
        <v/>
      </c>
      <c r="Z930" s="6" t="n">
        <f aca="false">IF(ISNUMBER(K930),K930*O930,0)</f>
        <v>0</v>
      </c>
      <c r="AA930" s="2" t="s">
        <v>31</v>
      </c>
      <c r="AB930" s="6"/>
      <c r="AC930" s="6"/>
      <c r="AD930" s="6"/>
      <c r="AE930" s="6"/>
      <c r="AF930" s="8" t="n">
        <v>302.093301435</v>
      </c>
      <c r="AG930" s="11"/>
      <c r="AH930" s="12"/>
      <c r="AI930" s="2"/>
      <c r="AJ930" s="2"/>
      <c r="AK930" s="2"/>
    </row>
    <row r="931" customFormat="false" ht="15" hidden="false" customHeight="false" outlineLevel="0" collapsed="false">
      <c r="A931" s="9"/>
      <c r="B931" s="2" t="s">
        <v>2097</v>
      </c>
      <c r="C931" s="2" t="s">
        <v>454</v>
      </c>
      <c r="D931" s="2" t="s">
        <v>455</v>
      </c>
      <c r="E931" s="2" t="s">
        <v>456</v>
      </c>
      <c r="F931" s="2" t="s">
        <v>2098</v>
      </c>
      <c r="G931" s="2" t="s">
        <v>458</v>
      </c>
      <c r="H931" s="8" t="n">
        <v>489.561019466183</v>
      </c>
      <c r="I931" s="2" t="s">
        <v>316</v>
      </c>
      <c r="J931" s="8" t="n">
        <v>908510.040160643</v>
      </c>
      <c r="K931" s="6" t="n">
        <v>498</v>
      </c>
      <c r="L931" s="2"/>
      <c r="M931" s="10" t="b">
        <f aca="false">TRUE()</f>
        <v>1</v>
      </c>
      <c r="N931" s="9" t="str">
        <f aca="false">IF(H931="","",IF(H931&gt;=Assumptions!$B$5,1,IF(H931&gt;=Assumptions!$B$6,2,IF(H931&gt;=Assumptions!$B$7,3,""))))</f>
        <v/>
      </c>
      <c r="O931" s="9" t="n">
        <f aca="false">IF(N931=1,Assumptions!$B$8,IF(N931=2,Assumptions!$B$9,IF(N931=3,Assumptions!$B$10,0)))</f>
        <v>0</v>
      </c>
      <c r="P931" s="6" t="s">
        <v>30</v>
      </c>
      <c r="Q931" s="6" t="s">
        <v>30</v>
      </c>
      <c r="R931" s="11" t="s">
        <v>30</v>
      </c>
      <c r="S931" s="6" t="s">
        <v>30</v>
      </c>
      <c r="T931" s="11" t="s">
        <v>30</v>
      </c>
      <c r="U931" s="6" t="s">
        <v>30</v>
      </c>
      <c r="V931" s="6" t="s">
        <v>30</v>
      </c>
      <c r="W931" s="6" t="s">
        <v>30</v>
      </c>
      <c r="X931" s="2" t="s">
        <v>30</v>
      </c>
      <c r="Y931" s="6" t="str">
        <f aca="false">IF(AND(X931="processed",ISNUMBER(S931)),S931*O931,"")</f>
        <v/>
      </c>
      <c r="Z931" s="6" t="n">
        <f aca="false">IF(ISNUMBER(K931),K931*O931,0)</f>
        <v>0</v>
      </c>
      <c r="AA931" s="2" t="s">
        <v>31</v>
      </c>
      <c r="AB931" s="6" t="n">
        <v>14624</v>
      </c>
      <c r="AC931" s="6" t="n">
        <v>11919</v>
      </c>
      <c r="AD931" s="6" t="n">
        <v>913</v>
      </c>
      <c r="AE931" s="6" t="n">
        <v>2806.98608398438</v>
      </c>
      <c r="AF931" s="8" t="n">
        <v>488.415779587</v>
      </c>
      <c r="AG931" s="11" t="n">
        <v>-0.144541396</v>
      </c>
      <c r="AH931" s="12" t="n">
        <v>1</v>
      </c>
      <c r="AI931" s="2" t="s">
        <v>317</v>
      </c>
      <c r="AJ931" s="2" t="s">
        <v>454</v>
      </c>
      <c r="AK931" s="2" t="s">
        <v>454</v>
      </c>
    </row>
    <row r="932" customFormat="false" ht="15" hidden="false" customHeight="false" outlineLevel="0" collapsed="false">
      <c r="A932" s="9"/>
      <c r="B932" s="2" t="s">
        <v>2099</v>
      </c>
      <c r="C932" s="2" t="s">
        <v>2100</v>
      </c>
      <c r="D932" s="2" t="s">
        <v>1975</v>
      </c>
      <c r="E932" s="2" t="s">
        <v>51</v>
      </c>
      <c r="F932" s="2"/>
      <c r="G932" s="2"/>
      <c r="H932" s="8"/>
      <c r="I932" s="2"/>
      <c r="J932" s="8"/>
      <c r="K932" s="6"/>
      <c r="L932" s="2"/>
      <c r="M932" s="10" t="b">
        <f aca="false">TRUE()</f>
        <v>1</v>
      </c>
      <c r="N932" s="9" t="str">
        <f aca="false">IF(H932="","",IF(H932&gt;=Assumptions!$B$5,1,IF(H932&gt;=Assumptions!$B$6,2,IF(H932&gt;=Assumptions!$B$7,3,""))))</f>
        <v/>
      </c>
      <c r="O932" s="9" t="n">
        <f aca="false">IF(N932=1,Assumptions!$B$8,IF(N932=2,Assumptions!$B$9,IF(N932=3,Assumptions!$B$10,0)))</f>
        <v>0</v>
      </c>
      <c r="P932" s="6" t="s">
        <v>30</v>
      </c>
      <c r="Q932" s="6" t="s">
        <v>30</v>
      </c>
      <c r="R932" s="11" t="s">
        <v>30</v>
      </c>
      <c r="S932" s="6" t="s">
        <v>30</v>
      </c>
      <c r="T932" s="11" t="s">
        <v>30</v>
      </c>
      <c r="U932" s="6" t="s">
        <v>30</v>
      </c>
      <c r="V932" s="6" t="s">
        <v>30</v>
      </c>
      <c r="W932" s="6" t="s">
        <v>30</v>
      </c>
      <c r="X932" s="2" t="s">
        <v>30</v>
      </c>
      <c r="Y932" s="6" t="str">
        <f aca="false">IF(AND(X932="processed",ISNUMBER(S932)),S932*O932,"")</f>
        <v/>
      </c>
      <c r="Z932" s="6" t="n">
        <f aca="false">IF(ISNUMBER(K932),K932*O932,0)</f>
        <v>0</v>
      </c>
      <c r="AA932" s="2" t="s">
        <v>31</v>
      </c>
      <c r="AB932" s="6" t="n">
        <v>422</v>
      </c>
      <c r="AC932" s="6" t="n">
        <v>330</v>
      </c>
      <c r="AD932" s="6" t="n">
        <v>370</v>
      </c>
      <c r="AE932" s="6" t="n">
        <v>1345.93383789063</v>
      </c>
      <c r="AF932" s="8"/>
      <c r="AG932" s="11"/>
      <c r="AH932" s="12" t="n">
        <v>0.999544971402506</v>
      </c>
      <c r="AI932" s="2" t="s">
        <v>317</v>
      </c>
      <c r="AJ932" s="2" t="s">
        <v>2100</v>
      </c>
      <c r="AK932" s="2" t="s">
        <v>2100</v>
      </c>
    </row>
    <row r="933" customFormat="false" ht="15" hidden="false" customHeight="false" outlineLevel="0" collapsed="false">
      <c r="A933" s="9"/>
      <c r="B933" s="2" t="s">
        <v>2101</v>
      </c>
      <c r="C933" s="2" t="s">
        <v>2102</v>
      </c>
      <c r="D933" s="2" t="s">
        <v>524</v>
      </c>
      <c r="E933" s="2" t="s">
        <v>456</v>
      </c>
      <c r="F933" s="2"/>
      <c r="G933" s="2"/>
      <c r="H933" s="8"/>
      <c r="I933" s="2"/>
      <c r="J933" s="8"/>
      <c r="K933" s="6"/>
      <c r="L933" s="2"/>
      <c r="M933" s="10" t="b">
        <f aca="false">TRUE()</f>
        <v>1</v>
      </c>
      <c r="N933" s="9" t="str">
        <f aca="false">IF(H933="","",IF(H933&gt;=Assumptions!$B$5,1,IF(H933&gt;=Assumptions!$B$6,2,IF(H933&gt;=Assumptions!$B$7,3,""))))</f>
        <v/>
      </c>
      <c r="O933" s="9" t="n">
        <f aca="false">IF(N933=1,Assumptions!$B$8,IF(N933=2,Assumptions!$B$9,IF(N933=3,Assumptions!$B$10,0)))</f>
        <v>0</v>
      </c>
      <c r="P933" s="6" t="s">
        <v>30</v>
      </c>
      <c r="Q933" s="6" t="s">
        <v>30</v>
      </c>
      <c r="R933" s="11" t="s">
        <v>30</v>
      </c>
      <c r="S933" s="6" t="s">
        <v>30</v>
      </c>
      <c r="T933" s="11" t="s">
        <v>30</v>
      </c>
      <c r="U933" s="6" t="s">
        <v>30</v>
      </c>
      <c r="V933" s="6" t="s">
        <v>30</v>
      </c>
      <c r="W933" s="6" t="s">
        <v>30</v>
      </c>
      <c r="X933" s="2" t="s">
        <v>30</v>
      </c>
      <c r="Y933" s="6" t="str">
        <f aca="false">IF(AND(X933="processed",ISNUMBER(S933)),S933*O933,"")</f>
        <v/>
      </c>
      <c r="Z933" s="6" t="n">
        <f aca="false">IF(ISNUMBER(K933),K933*O933,0)</f>
        <v>0</v>
      </c>
      <c r="AA933" s="2" t="s">
        <v>31</v>
      </c>
      <c r="AB933" s="6" t="n">
        <v>861</v>
      </c>
      <c r="AC933" s="6" t="n">
        <v>726</v>
      </c>
      <c r="AD933" s="6" t="n">
        <v>835</v>
      </c>
      <c r="AE933" s="6" t="n">
        <v>1571.22607421875</v>
      </c>
      <c r="AF933" s="8"/>
      <c r="AG933" s="11"/>
      <c r="AH933" s="12" t="n">
        <v>0.999519592928439</v>
      </c>
      <c r="AI933" s="2" t="s">
        <v>317</v>
      </c>
      <c r="AJ933" s="2" t="s">
        <v>2102</v>
      </c>
      <c r="AK933" s="2" t="s">
        <v>2103</v>
      </c>
    </row>
    <row r="934" customFormat="false" ht="15" hidden="false" customHeight="false" outlineLevel="0" collapsed="false">
      <c r="A934" s="9"/>
      <c r="B934" s="2" t="s">
        <v>2104</v>
      </c>
      <c r="C934" s="2" t="s">
        <v>2105</v>
      </c>
      <c r="D934" s="2" t="s">
        <v>455</v>
      </c>
      <c r="E934" s="2" t="s">
        <v>456</v>
      </c>
      <c r="F934" s="2"/>
      <c r="G934" s="2" t="s">
        <v>458</v>
      </c>
      <c r="H934" s="8" t="n">
        <v>429.827488670097</v>
      </c>
      <c r="I934" s="2" t="s">
        <v>316</v>
      </c>
      <c r="J934" s="8" t="n">
        <v>1141477.27272727</v>
      </c>
      <c r="K934" s="6" t="n">
        <v>484</v>
      </c>
      <c r="L934" s="2"/>
      <c r="M934" s="10" t="b">
        <f aca="false">TRUE()</f>
        <v>1</v>
      </c>
      <c r="N934" s="9" t="str">
        <f aca="false">IF(H934="","",IF(H934&gt;=Assumptions!$B$5,1,IF(H934&gt;=Assumptions!$B$6,2,IF(H934&gt;=Assumptions!$B$7,3,""))))</f>
        <v/>
      </c>
      <c r="O934" s="9" t="n">
        <f aca="false">IF(N934=1,Assumptions!$B$8,IF(N934=2,Assumptions!$B$9,IF(N934=3,Assumptions!$B$10,0)))</f>
        <v>0</v>
      </c>
      <c r="P934" s="6" t="s">
        <v>30</v>
      </c>
      <c r="Q934" s="6" t="s">
        <v>30</v>
      </c>
      <c r="R934" s="11" t="s">
        <v>30</v>
      </c>
      <c r="S934" s="6" t="s">
        <v>30</v>
      </c>
      <c r="T934" s="11" t="s">
        <v>30</v>
      </c>
      <c r="U934" s="6" t="s">
        <v>30</v>
      </c>
      <c r="V934" s="6" t="s">
        <v>30</v>
      </c>
      <c r="W934" s="6" t="s">
        <v>30</v>
      </c>
      <c r="X934" s="2" t="s">
        <v>30</v>
      </c>
      <c r="Y934" s="6" t="str">
        <f aca="false">IF(AND(X934="processed",ISNUMBER(S934)),S934*O934,"")</f>
        <v/>
      </c>
      <c r="Z934" s="6" t="n">
        <f aca="false">IF(ISNUMBER(K934),K934*O934,0)</f>
        <v>0</v>
      </c>
      <c r="AA934" s="2" t="s">
        <v>31</v>
      </c>
      <c r="AB934" s="6" t="n">
        <v>12354</v>
      </c>
      <c r="AC934" s="6" t="n">
        <v>8466</v>
      </c>
      <c r="AD934" s="6" t="n">
        <v>6563</v>
      </c>
      <c r="AE934" s="6" t="n">
        <v>3637.44506835938</v>
      </c>
      <c r="AF934" s="8" t="n">
        <v>426.981919332</v>
      </c>
      <c r="AG934" s="11" t="n">
        <v>-0.04615952107</v>
      </c>
      <c r="AH934" s="12" t="n">
        <v>1</v>
      </c>
      <c r="AI934" s="2" t="s">
        <v>317</v>
      </c>
      <c r="AJ934" s="2" t="s">
        <v>2105</v>
      </c>
      <c r="AK934" s="2" t="s">
        <v>2105</v>
      </c>
    </row>
    <row r="935" customFormat="false" ht="15" hidden="false" customHeight="false" outlineLevel="0" collapsed="false">
      <c r="A935" s="9"/>
      <c r="B935" s="2" t="s">
        <v>2106</v>
      </c>
      <c r="C935" s="2" t="s">
        <v>2107</v>
      </c>
      <c r="D935" s="2" t="s">
        <v>1975</v>
      </c>
      <c r="E935" s="2" t="s">
        <v>51</v>
      </c>
      <c r="F935" s="2"/>
      <c r="G935" s="2"/>
      <c r="H935" s="8"/>
      <c r="I935" s="2"/>
      <c r="J935" s="8"/>
      <c r="K935" s="6"/>
      <c r="L935" s="2"/>
      <c r="M935" s="10" t="b">
        <f aca="false">TRUE()</f>
        <v>1</v>
      </c>
      <c r="N935" s="9" t="str">
        <f aca="false">IF(H935="","",IF(H935&gt;=Assumptions!$B$5,1,IF(H935&gt;=Assumptions!$B$6,2,IF(H935&gt;=Assumptions!$B$7,3,""))))</f>
        <v/>
      </c>
      <c r="O935" s="9" t="n">
        <f aca="false">IF(N935=1,Assumptions!$B$8,IF(N935=2,Assumptions!$B$9,IF(N935=3,Assumptions!$B$10,0)))</f>
        <v>0</v>
      </c>
      <c r="P935" s="6" t="s">
        <v>30</v>
      </c>
      <c r="Q935" s="6" t="s">
        <v>30</v>
      </c>
      <c r="R935" s="11" t="s">
        <v>30</v>
      </c>
      <c r="S935" s="6" t="s">
        <v>30</v>
      </c>
      <c r="T935" s="11" t="s">
        <v>30</v>
      </c>
      <c r="U935" s="6" t="s">
        <v>30</v>
      </c>
      <c r="V935" s="6" t="s">
        <v>30</v>
      </c>
      <c r="W935" s="6" t="s">
        <v>30</v>
      </c>
      <c r="X935" s="2" t="s">
        <v>30</v>
      </c>
      <c r="Y935" s="6" t="str">
        <f aca="false">IF(AND(X935="processed",ISNUMBER(S935)),S935*O935,"")</f>
        <v/>
      </c>
      <c r="Z935" s="6" t="n">
        <f aca="false">IF(ISNUMBER(K935),K935*O935,0)</f>
        <v>0</v>
      </c>
      <c r="AA935" s="2" t="s">
        <v>31</v>
      </c>
      <c r="AB935" s="6" t="n">
        <v>420</v>
      </c>
      <c r="AC935" s="6" t="n">
        <v>375</v>
      </c>
      <c r="AD935" s="6" t="n">
        <v>365</v>
      </c>
      <c r="AE935" s="6" t="n">
        <v>1785.25341796875</v>
      </c>
      <c r="AF935" s="8"/>
      <c r="AG935" s="11"/>
      <c r="AH935" s="12" t="n">
        <v>0.999999999999999</v>
      </c>
      <c r="AI935" s="2" t="s">
        <v>317</v>
      </c>
      <c r="AJ935" s="2" t="s">
        <v>2107</v>
      </c>
      <c r="AK935" s="2" t="s">
        <v>2107</v>
      </c>
    </row>
    <row r="936" customFormat="false" ht="15" hidden="false" customHeight="false" outlineLevel="0" collapsed="false">
      <c r="A936" s="9"/>
      <c r="B936" s="2" t="s">
        <v>2108</v>
      </c>
      <c r="C936" s="2" t="s">
        <v>2109</v>
      </c>
      <c r="D936" s="2" t="s">
        <v>455</v>
      </c>
      <c r="E936" s="2" t="s">
        <v>456</v>
      </c>
      <c r="F936" s="2" t="s">
        <v>2110</v>
      </c>
      <c r="G936" s="2" t="s">
        <v>2042</v>
      </c>
      <c r="H936" s="8" t="n">
        <v>213.56592759938</v>
      </c>
      <c r="I936" s="2" t="s">
        <v>316</v>
      </c>
      <c r="J936" s="8" t="n">
        <v>304274.647887324</v>
      </c>
      <c r="K936" s="6" t="n">
        <v>71</v>
      </c>
      <c r="L936" s="2"/>
      <c r="M936" s="10" t="b">
        <f aca="false">TRUE()</f>
        <v>1</v>
      </c>
      <c r="N936" s="9" t="str">
        <f aca="false">IF(H936="","",IF(H936&gt;=Assumptions!$B$5,1,IF(H936&gt;=Assumptions!$B$6,2,IF(H936&gt;=Assumptions!$B$7,3,""))))</f>
        <v/>
      </c>
      <c r="O936" s="9" t="n">
        <f aca="false">IF(N936=1,Assumptions!$B$8,IF(N936=2,Assumptions!$B$9,IF(N936=3,Assumptions!$B$10,0)))</f>
        <v>0</v>
      </c>
      <c r="P936" s="6" t="s">
        <v>30</v>
      </c>
      <c r="Q936" s="6" t="s">
        <v>30</v>
      </c>
      <c r="R936" s="11" t="s">
        <v>30</v>
      </c>
      <c r="S936" s="6" t="s">
        <v>30</v>
      </c>
      <c r="T936" s="11" t="s">
        <v>30</v>
      </c>
      <c r="U936" s="6" t="s">
        <v>30</v>
      </c>
      <c r="V936" s="6" t="s">
        <v>30</v>
      </c>
      <c r="W936" s="6" t="s">
        <v>30</v>
      </c>
      <c r="X936" s="2" t="s">
        <v>30</v>
      </c>
      <c r="Y936" s="6" t="str">
        <f aca="false">IF(AND(X936="processed",ISNUMBER(S936)),S936*O936,"")</f>
        <v/>
      </c>
      <c r="Z936" s="6" t="n">
        <f aca="false">IF(ISNUMBER(K936),K936*O936,0)</f>
        <v>0</v>
      </c>
      <c r="AA936" s="2" t="s">
        <v>31</v>
      </c>
      <c r="AB936" s="6" t="n">
        <v>7732</v>
      </c>
      <c r="AC936" s="6" t="n">
        <v>6472</v>
      </c>
      <c r="AD936" s="6" t="n">
        <v>4649</v>
      </c>
      <c r="AE936" s="6" t="n">
        <v>1800.73840332031</v>
      </c>
      <c r="AF936" s="8" t="n">
        <v>215.625</v>
      </c>
      <c r="AG936" s="11" t="n">
        <v>0.05454101562</v>
      </c>
      <c r="AH936" s="12" t="n">
        <v>0.526948685537311</v>
      </c>
      <c r="AI936" s="2" t="s">
        <v>2111</v>
      </c>
      <c r="AJ936" s="2" t="s">
        <v>2112</v>
      </c>
      <c r="AK936" s="2" t="s">
        <v>2054</v>
      </c>
    </row>
    <row r="937" customFormat="false" ht="15" hidden="false" customHeight="false" outlineLevel="0" collapsed="false">
      <c r="A937" s="9"/>
      <c r="B937" s="2" t="s">
        <v>2113</v>
      </c>
      <c r="C937" s="2" t="s">
        <v>2109</v>
      </c>
      <c r="D937" s="2" t="s">
        <v>1975</v>
      </c>
      <c r="E937" s="2" t="s">
        <v>51</v>
      </c>
      <c r="F937" s="2"/>
      <c r="G937" s="2" t="s">
        <v>2042</v>
      </c>
      <c r="H937" s="8" t="n">
        <v>192.567567568</v>
      </c>
      <c r="I937" s="2" t="s">
        <v>316</v>
      </c>
      <c r="J937" s="8" t="n">
        <v>285000</v>
      </c>
      <c r="K937" s="6" t="n">
        <v>1</v>
      </c>
      <c r="L937" s="2" t="s">
        <v>1664</v>
      </c>
      <c r="M937" s="10" t="b">
        <f aca="false">TRUE()</f>
        <v>1</v>
      </c>
      <c r="N937" s="9" t="str">
        <f aca="false">IF(H937="","",IF(H937&gt;=Assumptions!$B$5,1,IF(H937&gt;=Assumptions!$B$6,2,IF(H937&gt;=Assumptions!$B$7,3,""))))</f>
        <v/>
      </c>
      <c r="O937" s="9" t="n">
        <f aca="false">IF(N937=1,Assumptions!$B$8,IF(N937=2,Assumptions!$B$9,IF(N937=3,Assumptions!$B$10,0)))</f>
        <v>0</v>
      </c>
      <c r="P937" s="6" t="s">
        <v>30</v>
      </c>
      <c r="Q937" s="6" t="s">
        <v>30</v>
      </c>
      <c r="R937" s="11" t="s">
        <v>30</v>
      </c>
      <c r="S937" s="6" t="s">
        <v>30</v>
      </c>
      <c r="T937" s="11" t="s">
        <v>30</v>
      </c>
      <c r="U937" s="6" t="s">
        <v>30</v>
      </c>
      <c r="V937" s="6" t="s">
        <v>30</v>
      </c>
      <c r="W937" s="6" t="s">
        <v>30</v>
      </c>
      <c r="X937" s="2" t="s">
        <v>30</v>
      </c>
      <c r="Y937" s="6" t="str">
        <f aca="false">IF(AND(X937="processed",ISNUMBER(S937)),S937*O937,"")</f>
        <v/>
      </c>
      <c r="Z937" s="6" t="n">
        <f aca="false">IF(ISNUMBER(K937),K937*O937,0)</f>
        <v>0</v>
      </c>
      <c r="AA937" s="2" t="s">
        <v>31</v>
      </c>
      <c r="AB937" s="6" t="n">
        <v>1093</v>
      </c>
      <c r="AC937" s="6" t="n">
        <v>1028</v>
      </c>
      <c r="AD937" s="6" t="n">
        <v>65</v>
      </c>
      <c r="AE937" s="6" t="n">
        <v>2410.09106445313</v>
      </c>
      <c r="AF937" s="8" t="n">
        <v>192.567567568</v>
      </c>
      <c r="AG937" s="11"/>
      <c r="AH937" s="12" t="n">
        <v>0.999999999999998</v>
      </c>
      <c r="AI937" s="2" t="s">
        <v>1597</v>
      </c>
      <c r="AJ937" s="2"/>
      <c r="AK937" s="2" t="s">
        <v>2109</v>
      </c>
    </row>
    <row r="938" customFormat="false" ht="15" hidden="false" customHeight="false" outlineLevel="0" collapsed="false">
      <c r="A938" s="9"/>
      <c r="B938" s="2" t="s">
        <v>2114</v>
      </c>
      <c r="C938" s="2" t="s">
        <v>2115</v>
      </c>
      <c r="D938" s="2" t="s">
        <v>455</v>
      </c>
      <c r="E938" s="2" t="s">
        <v>456</v>
      </c>
      <c r="F938" s="2" t="s">
        <v>2116</v>
      </c>
      <c r="G938" s="2" t="s">
        <v>458</v>
      </c>
      <c r="H938" s="8" t="n">
        <v>275.653989124098</v>
      </c>
      <c r="I938" s="2" t="s">
        <v>316</v>
      </c>
      <c r="J938" s="8" t="n">
        <v>428743.902439024</v>
      </c>
      <c r="K938" s="6" t="n">
        <v>41</v>
      </c>
      <c r="L938" s="2"/>
      <c r="M938" s="10" t="b">
        <f aca="false">TRUE()</f>
        <v>1</v>
      </c>
      <c r="N938" s="9" t="str">
        <f aca="false">IF(H938="","",IF(H938&gt;=Assumptions!$B$5,1,IF(H938&gt;=Assumptions!$B$6,2,IF(H938&gt;=Assumptions!$B$7,3,""))))</f>
        <v/>
      </c>
      <c r="O938" s="9" t="n">
        <f aca="false">IF(N938=1,Assumptions!$B$8,IF(N938=2,Assumptions!$B$9,IF(N938=3,Assumptions!$B$10,0)))</f>
        <v>0</v>
      </c>
      <c r="P938" s="6" t="s">
        <v>30</v>
      </c>
      <c r="Q938" s="6" t="s">
        <v>30</v>
      </c>
      <c r="R938" s="11" t="s">
        <v>30</v>
      </c>
      <c r="S938" s="6" t="s">
        <v>30</v>
      </c>
      <c r="T938" s="11" t="s">
        <v>30</v>
      </c>
      <c r="U938" s="6" t="s">
        <v>30</v>
      </c>
      <c r="V938" s="6" t="s">
        <v>30</v>
      </c>
      <c r="W938" s="6" t="s">
        <v>30</v>
      </c>
      <c r="X938" s="2" t="s">
        <v>30</v>
      </c>
      <c r="Y938" s="6" t="str">
        <f aca="false">IF(AND(X938="processed",ISNUMBER(S938)),S938*O938,"")</f>
        <v/>
      </c>
      <c r="Z938" s="6" t="n">
        <f aca="false">IF(ISNUMBER(K938),K938*O938,0)</f>
        <v>0</v>
      </c>
      <c r="AA938" s="2" t="s">
        <v>31</v>
      </c>
      <c r="AB938" s="6" t="n">
        <v>4438</v>
      </c>
      <c r="AC938" s="6" t="n">
        <v>3982</v>
      </c>
      <c r="AD938" s="6" t="n">
        <v>4321</v>
      </c>
      <c r="AE938" s="6" t="n">
        <v>2380.21630859375</v>
      </c>
      <c r="AF938" s="8" t="n">
        <v>291.167736088</v>
      </c>
      <c r="AG938" s="11" t="n">
        <v>0.04297776234</v>
      </c>
      <c r="AH938" s="12" t="n">
        <v>1</v>
      </c>
      <c r="AI938" s="2" t="s">
        <v>317</v>
      </c>
      <c r="AJ938" s="2" t="s">
        <v>2115</v>
      </c>
      <c r="AK938" s="2" t="s">
        <v>2051</v>
      </c>
    </row>
    <row r="939" customFormat="false" ht="15" hidden="false" customHeight="false" outlineLevel="0" collapsed="false">
      <c r="A939" s="9"/>
      <c r="B939" s="2" t="s">
        <v>2117</v>
      </c>
      <c r="C939" s="2" t="s">
        <v>2118</v>
      </c>
      <c r="D939" s="2" t="s">
        <v>524</v>
      </c>
      <c r="E939" s="2" t="s">
        <v>456</v>
      </c>
      <c r="F939" s="2"/>
      <c r="G939" s="2" t="s">
        <v>458</v>
      </c>
      <c r="H939" s="8" t="n">
        <v>220.843013371666</v>
      </c>
      <c r="I939" s="2" t="s">
        <v>316</v>
      </c>
      <c r="J939" s="8" t="n">
        <v>260183.606557377</v>
      </c>
      <c r="K939" s="6" t="n">
        <v>305</v>
      </c>
      <c r="L939" s="2"/>
      <c r="M939" s="10" t="b">
        <f aca="false">TRUE()</f>
        <v>1</v>
      </c>
      <c r="N939" s="9" t="str">
        <f aca="false">IF(H939="","",IF(H939&gt;=Assumptions!$B$5,1,IF(H939&gt;=Assumptions!$B$6,2,IF(H939&gt;=Assumptions!$B$7,3,""))))</f>
        <v/>
      </c>
      <c r="O939" s="9" t="n">
        <f aca="false">IF(N939=1,Assumptions!$B$8,IF(N939=2,Assumptions!$B$9,IF(N939=3,Assumptions!$B$10,0)))</f>
        <v>0</v>
      </c>
      <c r="P939" s="6" t="s">
        <v>30</v>
      </c>
      <c r="Q939" s="6" t="s">
        <v>30</v>
      </c>
      <c r="R939" s="11" t="s">
        <v>30</v>
      </c>
      <c r="S939" s="6" t="s">
        <v>30</v>
      </c>
      <c r="T939" s="11" t="s">
        <v>30</v>
      </c>
      <c r="U939" s="6" t="s">
        <v>30</v>
      </c>
      <c r="V939" s="6" t="s">
        <v>30</v>
      </c>
      <c r="W939" s="6" t="s">
        <v>30</v>
      </c>
      <c r="X939" s="2" t="s">
        <v>30</v>
      </c>
      <c r="Y939" s="6" t="str">
        <f aca="false">IF(AND(X939="processed",ISNUMBER(S939)),S939*O939,"")</f>
        <v/>
      </c>
      <c r="Z939" s="6" t="n">
        <f aca="false">IF(ISNUMBER(K939),K939*O939,0)</f>
        <v>0</v>
      </c>
      <c r="AA939" s="2" t="s">
        <v>31</v>
      </c>
      <c r="AB939" s="6" t="n">
        <v>11400</v>
      </c>
      <c r="AC939" s="6" t="n">
        <v>9923</v>
      </c>
      <c r="AD939" s="6" t="n">
        <v>1844</v>
      </c>
      <c r="AE939" s="6" t="n">
        <v>2059.95581054688</v>
      </c>
      <c r="AF939" s="8" t="n">
        <v>211.689236991</v>
      </c>
      <c r="AG939" s="11" t="n">
        <v>-0.04287602719</v>
      </c>
      <c r="AH939" s="12" t="n">
        <v>0.993859224956136</v>
      </c>
      <c r="AI939" s="2" t="s">
        <v>328</v>
      </c>
      <c r="AJ939" s="2" t="s">
        <v>2118</v>
      </c>
      <c r="AK939" s="2" t="s">
        <v>2118</v>
      </c>
    </row>
    <row r="940" customFormat="false" ht="15" hidden="false" customHeight="false" outlineLevel="0" collapsed="false">
      <c r="A940" s="9"/>
      <c r="B940" s="2" t="s">
        <v>2119</v>
      </c>
      <c r="C940" s="2" t="s">
        <v>2118</v>
      </c>
      <c r="D940" s="2" t="s">
        <v>524</v>
      </c>
      <c r="E940" s="2" t="s">
        <v>456</v>
      </c>
      <c r="F940" s="2"/>
      <c r="G940" s="2"/>
      <c r="H940" s="8"/>
      <c r="I940" s="2"/>
      <c r="J940" s="8"/>
      <c r="K940" s="6"/>
      <c r="L940" s="2"/>
      <c r="M940" s="10" t="b">
        <f aca="false">TRUE()</f>
        <v>1</v>
      </c>
      <c r="N940" s="9" t="str">
        <f aca="false">IF(H940="","",IF(H940&gt;=Assumptions!$B$5,1,IF(H940&gt;=Assumptions!$B$6,2,IF(H940&gt;=Assumptions!$B$7,3,""))))</f>
        <v/>
      </c>
      <c r="O940" s="9" t="n">
        <f aca="false">IF(N940=1,Assumptions!$B$8,IF(N940=2,Assumptions!$B$9,IF(N940=3,Assumptions!$B$10,0)))</f>
        <v>0</v>
      </c>
      <c r="P940" s="6" t="s">
        <v>30</v>
      </c>
      <c r="Q940" s="6" t="s">
        <v>30</v>
      </c>
      <c r="R940" s="11" t="s">
        <v>30</v>
      </c>
      <c r="S940" s="6" t="s">
        <v>30</v>
      </c>
      <c r="T940" s="11" t="s">
        <v>30</v>
      </c>
      <c r="U940" s="6" t="s">
        <v>30</v>
      </c>
      <c r="V940" s="6" t="s">
        <v>30</v>
      </c>
      <c r="W940" s="6" t="s">
        <v>30</v>
      </c>
      <c r="X940" s="2" t="s">
        <v>30</v>
      </c>
      <c r="Y940" s="6" t="str">
        <f aca="false">IF(AND(X940="processed",ISNUMBER(S940)),S940*O940,"")</f>
        <v/>
      </c>
      <c r="Z940" s="6" t="n">
        <f aca="false">IF(ISNUMBER(K940),K940*O940,0)</f>
        <v>0</v>
      </c>
      <c r="AA940" s="2" t="s">
        <v>31</v>
      </c>
      <c r="AB940" s="6" t="n">
        <v>439</v>
      </c>
      <c r="AC940" s="6" t="n">
        <v>239</v>
      </c>
      <c r="AD940" s="6" t="n">
        <v>69</v>
      </c>
      <c r="AE940" s="6" t="n">
        <v>3379.38500976563</v>
      </c>
      <c r="AF940" s="8"/>
      <c r="AG940" s="11"/>
      <c r="AH940" s="12" t="n">
        <v>0.999999999999999</v>
      </c>
      <c r="AI940" s="2" t="s">
        <v>319</v>
      </c>
      <c r="AJ940" s="2"/>
      <c r="AK940" s="2" t="s">
        <v>2118</v>
      </c>
    </row>
    <row r="941" customFormat="false" ht="15" hidden="false" customHeight="false" outlineLevel="0" collapsed="false">
      <c r="A941" s="9"/>
      <c r="B941" s="2" t="s">
        <v>2120</v>
      </c>
      <c r="C941" s="2" t="s">
        <v>2121</v>
      </c>
      <c r="D941" s="2" t="s">
        <v>524</v>
      </c>
      <c r="E941" s="2" t="s">
        <v>456</v>
      </c>
      <c r="F941" s="2"/>
      <c r="G941" s="2"/>
      <c r="H941" s="8"/>
      <c r="I941" s="2"/>
      <c r="J941" s="8"/>
      <c r="K941" s="6"/>
      <c r="L941" s="2"/>
      <c r="M941" s="10" t="b">
        <f aca="false">TRUE()</f>
        <v>1</v>
      </c>
      <c r="N941" s="9" t="str">
        <f aca="false">IF(H941="","",IF(H941&gt;=Assumptions!$B$5,1,IF(H941&gt;=Assumptions!$B$6,2,IF(H941&gt;=Assumptions!$B$7,3,""))))</f>
        <v/>
      </c>
      <c r="O941" s="9" t="n">
        <f aca="false">IF(N941=1,Assumptions!$B$8,IF(N941=2,Assumptions!$B$9,IF(N941=3,Assumptions!$B$10,0)))</f>
        <v>0</v>
      </c>
      <c r="P941" s="6" t="s">
        <v>30</v>
      </c>
      <c r="Q941" s="6" t="s">
        <v>30</v>
      </c>
      <c r="R941" s="11" t="s">
        <v>30</v>
      </c>
      <c r="S941" s="6" t="s">
        <v>30</v>
      </c>
      <c r="T941" s="11" t="s">
        <v>30</v>
      </c>
      <c r="U941" s="6" t="s">
        <v>30</v>
      </c>
      <c r="V941" s="6" t="s">
        <v>30</v>
      </c>
      <c r="W941" s="6" t="s">
        <v>30</v>
      </c>
      <c r="X941" s="2" t="s">
        <v>30</v>
      </c>
      <c r="Y941" s="6" t="str">
        <f aca="false">IF(AND(X941="processed",ISNUMBER(S941)),S941*O941,"")</f>
        <v/>
      </c>
      <c r="Z941" s="6" t="n">
        <f aca="false">IF(ISNUMBER(K941),K941*O941,0)</f>
        <v>0</v>
      </c>
      <c r="AA941" s="2" t="s">
        <v>31</v>
      </c>
      <c r="AB941" s="6" t="n">
        <v>44</v>
      </c>
      <c r="AC941" s="6" t="n">
        <v>34</v>
      </c>
      <c r="AD941" s="6" t="n">
        <v>8</v>
      </c>
      <c r="AE941" s="6" t="n">
        <v>1179.708984375</v>
      </c>
      <c r="AF941" s="8"/>
      <c r="AG941" s="11"/>
      <c r="AH941" s="12" t="n">
        <v>0.998061633658178</v>
      </c>
      <c r="AI941" s="2" t="s">
        <v>317</v>
      </c>
      <c r="AJ941" s="2" t="s">
        <v>2121</v>
      </c>
      <c r="AK941" s="2" t="s">
        <v>2121</v>
      </c>
    </row>
    <row r="942" customFormat="false" ht="15" hidden="false" customHeight="false" outlineLevel="0" collapsed="false">
      <c r="A942" s="9"/>
      <c r="B942" s="2" t="s">
        <v>2122</v>
      </c>
      <c r="C942" s="2" t="s">
        <v>2123</v>
      </c>
      <c r="D942" s="2" t="s">
        <v>1975</v>
      </c>
      <c r="E942" s="2" t="s">
        <v>51</v>
      </c>
      <c r="F942" s="2"/>
      <c r="G942" s="2" t="s">
        <v>2042</v>
      </c>
      <c r="H942" s="8" t="n">
        <v>236.815202648</v>
      </c>
      <c r="I942" s="2" t="s">
        <v>316</v>
      </c>
      <c r="J942" s="8" t="n">
        <v>310400</v>
      </c>
      <c r="K942" s="6" t="n">
        <v>5</v>
      </c>
      <c r="L942" s="2"/>
      <c r="M942" s="10" t="b">
        <f aca="false">TRUE()</f>
        <v>1</v>
      </c>
      <c r="N942" s="9" t="str">
        <f aca="false">IF(H942="","",IF(H942&gt;=Assumptions!$B$5,1,IF(H942&gt;=Assumptions!$B$6,2,IF(H942&gt;=Assumptions!$B$7,3,""))))</f>
        <v/>
      </c>
      <c r="O942" s="9" t="n">
        <f aca="false">IF(N942=1,Assumptions!$B$8,IF(N942=2,Assumptions!$B$9,IF(N942=3,Assumptions!$B$10,0)))</f>
        <v>0</v>
      </c>
      <c r="P942" s="6" t="s">
        <v>30</v>
      </c>
      <c r="Q942" s="6" t="s">
        <v>30</v>
      </c>
      <c r="R942" s="11" t="s">
        <v>30</v>
      </c>
      <c r="S942" s="6" t="s">
        <v>30</v>
      </c>
      <c r="T942" s="11" t="s">
        <v>30</v>
      </c>
      <c r="U942" s="6" t="s">
        <v>30</v>
      </c>
      <c r="V942" s="6" t="s">
        <v>30</v>
      </c>
      <c r="W942" s="6" t="s">
        <v>30</v>
      </c>
      <c r="X942" s="2" t="s">
        <v>30</v>
      </c>
      <c r="Y942" s="6" t="str">
        <f aca="false">IF(AND(X942="processed",ISNUMBER(S942)),S942*O942,"")</f>
        <v/>
      </c>
      <c r="Z942" s="6" t="n">
        <f aca="false">IF(ISNUMBER(K942),K942*O942,0)</f>
        <v>0</v>
      </c>
      <c r="AA942" s="2" t="s">
        <v>31</v>
      </c>
      <c r="AB942" s="6" t="n">
        <v>842</v>
      </c>
      <c r="AC942" s="6" t="n">
        <v>744</v>
      </c>
      <c r="AD942" s="6" t="n">
        <v>563</v>
      </c>
      <c r="AE942" s="6" t="n">
        <v>2092.96997070313</v>
      </c>
      <c r="AF942" s="8" t="n">
        <v>249.221183801</v>
      </c>
      <c r="AG942" s="11"/>
      <c r="AH942" s="12" t="n">
        <v>0.999999999999999</v>
      </c>
      <c r="AI942" s="2" t="s">
        <v>317</v>
      </c>
      <c r="AJ942" s="2" t="s">
        <v>2123</v>
      </c>
      <c r="AK942" s="2" t="s">
        <v>2123</v>
      </c>
    </row>
    <row r="943" customFormat="false" ht="15" hidden="false" customHeight="false" outlineLevel="0" collapsed="false">
      <c r="A943" s="9"/>
      <c r="B943" s="2" t="s">
        <v>2124</v>
      </c>
      <c r="C943" s="2" t="s">
        <v>2125</v>
      </c>
      <c r="D943" s="2" t="s">
        <v>455</v>
      </c>
      <c r="E943" s="2" t="s">
        <v>456</v>
      </c>
      <c r="F943" s="2"/>
      <c r="G943" s="2" t="s">
        <v>458</v>
      </c>
      <c r="H943" s="8" t="n">
        <v>259.932172969294</v>
      </c>
      <c r="I943" s="2" t="s">
        <v>316</v>
      </c>
      <c r="J943" s="8" t="n">
        <v>416000</v>
      </c>
      <c r="K943" s="6" t="n">
        <v>17</v>
      </c>
      <c r="L943" s="2"/>
      <c r="M943" s="10" t="b">
        <f aca="false">TRUE()</f>
        <v>1</v>
      </c>
      <c r="N943" s="9" t="str">
        <f aca="false">IF(H943="","",IF(H943&gt;=Assumptions!$B$5,1,IF(H943&gt;=Assumptions!$B$6,2,IF(H943&gt;=Assumptions!$B$7,3,""))))</f>
        <v/>
      </c>
      <c r="O943" s="9" t="n">
        <f aca="false">IF(N943=1,Assumptions!$B$8,IF(N943=2,Assumptions!$B$9,IF(N943=3,Assumptions!$B$10,0)))</f>
        <v>0</v>
      </c>
      <c r="P943" s="6" t="s">
        <v>30</v>
      </c>
      <c r="Q943" s="6" t="s">
        <v>30</v>
      </c>
      <c r="R943" s="11" t="s">
        <v>30</v>
      </c>
      <c r="S943" s="6" t="s">
        <v>30</v>
      </c>
      <c r="T943" s="11" t="s">
        <v>30</v>
      </c>
      <c r="U943" s="6" t="s">
        <v>30</v>
      </c>
      <c r="V943" s="6" t="s">
        <v>30</v>
      </c>
      <c r="W943" s="6" t="s">
        <v>30</v>
      </c>
      <c r="X943" s="2" t="s">
        <v>30</v>
      </c>
      <c r="Y943" s="6" t="str">
        <f aca="false">IF(AND(X943="processed",ISNUMBER(S943)),S943*O943,"")</f>
        <v/>
      </c>
      <c r="Z943" s="6" t="n">
        <f aca="false">IF(ISNUMBER(K943),K943*O943,0)</f>
        <v>0</v>
      </c>
      <c r="AA943" s="2" t="s">
        <v>31</v>
      </c>
      <c r="AB943" s="6" t="n">
        <v>777</v>
      </c>
      <c r="AC943" s="6" t="n">
        <v>704</v>
      </c>
      <c r="AD943" s="6" t="n">
        <v>484</v>
      </c>
      <c r="AE943" s="6" t="n">
        <v>2206.61157226563</v>
      </c>
      <c r="AF943" s="8" t="n">
        <v>329.341317365</v>
      </c>
      <c r="AG943" s="11" t="n">
        <v>0.3658366429</v>
      </c>
      <c r="AH943" s="12" t="n">
        <v>0.999998995119877</v>
      </c>
      <c r="AI943" s="2" t="s">
        <v>317</v>
      </c>
      <c r="AJ943" s="2" t="s">
        <v>2125</v>
      </c>
      <c r="AK943" s="2" t="s">
        <v>2059</v>
      </c>
    </row>
    <row r="944" customFormat="false" ht="15" hidden="false" customHeight="false" outlineLevel="0" collapsed="false">
      <c r="A944" s="9"/>
      <c r="B944" s="2" t="s">
        <v>2126</v>
      </c>
      <c r="C944" s="2" t="s">
        <v>2127</v>
      </c>
      <c r="D944" s="2" t="s">
        <v>1975</v>
      </c>
      <c r="E944" s="2" t="s">
        <v>51</v>
      </c>
      <c r="F944" s="2"/>
      <c r="G944" s="2" t="s">
        <v>2042</v>
      </c>
      <c r="H944" s="8" t="n">
        <v>202.5718337075</v>
      </c>
      <c r="I944" s="2" t="s">
        <v>316</v>
      </c>
      <c r="J944" s="8" t="n">
        <v>505000</v>
      </c>
      <c r="K944" s="6" t="n">
        <v>2</v>
      </c>
      <c r="L944" s="2" t="s">
        <v>1664</v>
      </c>
      <c r="M944" s="10" t="b">
        <f aca="false">TRUE()</f>
        <v>1</v>
      </c>
      <c r="N944" s="9" t="str">
        <f aca="false">IF(H944="","",IF(H944&gt;=Assumptions!$B$5,1,IF(H944&gt;=Assumptions!$B$6,2,IF(H944&gt;=Assumptions!$B$7,3,""))))</f>
        <v/>
      </c>
      <c r="O944" s="9" t="n">
        <f aca="false">IF(N944=1,Assumptions!$B$8,IF(N944=2,Assumptions!$B$9,IF(N944=3,Assumptions!$B$10,0)))</f>
        <v>0</v>
      </c>
      <c r="P944" s="6" t="s">
        <v>30</v>
      </c>
      <c r="Q944" s="6" t="s">
        <v>30</v>
      </c>
      <c r="R944" s="11" t="s">
        <v>30</v>
      </c>
      <c r="S944" s="6" t="s">
        <v>30</v>
      </c>
      <c r="T944" s="11" t="s">
        <v>30</v>
      </c>
      <c r="U944" s="6" t="s">
        <v>30</v>
      </c>
      <c r="V944" s="6" t="s">
        <v>30</v>
      </c>
      <c r="W944" s="6" t="s">
        <v>30</v>
      </c>
      <c r="X944" s="2" t="s">
        <v>30</v>
      </c>
      <c r="Y944" s="6" t="str">
        <f aca="false">IF(AND(X944="processed",ISNUMBER(S944)),S944*O944,"")</f>
        <v/>
      </c>
      <c r="Z944" s="6" t="n">
        <f aca="false">IF(ISNUMBER(K944),K944*O944,0)</f>
        <v>0</v>
      </c>
      <c r="AA944" s="2" t="s">
        <v>31</v>
      </c>
      <c r="AB944" s="6" t="n">
        <v>2323</v>
      </c>
      <c r="AC944" s="6" t="n">
        <v>1585</v>
      </c>
      <c r="AD944" s="6" t="n">
        <v>1289</v>
      </c>
      <c r="AE944" s="6" t="n">
        <v>1753.47717285156</v>
      </c>
      <c r="AF944" s="8" t="n">
        <v>165.178571429</v>
      </c>
      <c r="AG944" s="11"/>
      <c r="AH944" s="12" t="n">
        <v>0.999179705520959</v>
      </c>
      <c r="AI944" s="2" t="s">
        <v>321</v>
      </c>
      <c r="AJ944" s="2" t="s">
        <v>2127</v>
      </c>
      <c r="AK944" s="2" t="s">
        <v>2128</v>
      </c>
    </row>
    <row r="945" customFormat="false" ht="15" hidden="false" customHeight="false" outlineLevel="0" collapsed="false">
      <c r="A945" s="9"/>
      <c r="B945" s="2" t="s">
        <v>2129</v>
      </c>
      <c r="C945" s="2" t="s">
        <v>1717</v>
      </c>
      <c r="D945" s="2" t="s">
        <v>524</v>
      </c>
      <c r="E945" s="2" t="s">
        <v>456</v>
      </c>
      <c r="F945" s="2"/>
      <c r="G945" s="2" t="s">
        <v>458</v>
      </c>
      <c r="H945" s="8" t="n">
        <v>255.697776960809</v>
      </c>
      <c r="I945" s="2" t="s">
        <v>316</v>
      </c>
      <c r="J945" s="8" t="n">
        <v>381427.860696517</v>
      </c>
      <c r="K945" s="6" t="n">
        <v>402</v>
      </c>
      <c r="L945" s="2"/>
      <c r="M945" s="10" t="b">
        <f aca="false">TRUE()</f>
        <v>1</v>
      </c>
      <c r="N945" s="9" t="str">
        <f aca="false">IF(H945="","",IF(H945&gt;=Assumptions!$B$5,1,IF(H945&gt;=Assumptions!$B$6,2,IF(H945&gt;=Assumptions!$B$7,3,""))))</f>
        <v/>
      </c>
      <c r="O945" s="9" t="n">
        <f aca="false">IF(N945=1,Assumptions!$B$8,IF(N945=2,Assumptions!$B$9,IF(N945=3,Assumptions!$B$10,0)))</f>
        <v>0</v>
      </c>
      <c r="P945" s="6" t="s">
        <v>30</v>
      </c>
      <c r="Q945" s="6" t="s">
        <v>30</v>
      </c>
      <c r="R945" s="11" t="s">
        <v>30</v>
      </c>
      <c r="S945" s="6" t="s">
        <v>30</v>
      </c>
      <c r="T945" s="11" t="s">
        <v>30</v>
      </c>
      <c r="U945" s="6" t="s">
        <v>30</v>
      </c>
      <c r="V945" s="6" t="s">
        <v>30</v>
      </c>
      <c r="W945" s="6" t="s">
        <v>30</v>
      </c>
      <c r="X945" s="2" t="s">
        <v>30</v>
      </c>
      <c r="Y945" s="6" t="str">
        <f aca="false">IF(AND(X945="processed",ISNUMBER(S945)),S945*O945,"")</f>
        <v/>
      </c>
      <c r="Z945" s="6" t="n">
        <f aca="false">IF(ISNUMBER(K945),K945*O945,0)</f>
        <v>0</v>
      </c>
      <c r="AA945" s="2" t="s">
        <v>31</v>
      </c>
      <c r="AB945" s="6" t="n">
        <v>15170</v>
      </c>
      <c r="AC945" s="6" t="n">
        <v>13818</v>
      </c>
      <c r="AD945" s="6" t="n">
        <v>5071</v>
      </c>
      <c r="AE945" s="6" t="n">
        <v>2342.0927734375</v>
      </c>
      <c r="AF945" s="8" t="n">
        <v>254.609929078</v>
      </c>
      <c r="AG945" s="11" t="n">
        <v>0.002391575328</v>
      </c>
      <c r="AH945" s="12" t="n">
        <v>0.999999999999998</v>
      </c>
      <c r="AI945" s="2" t="s">
        <v>321</v>
      </c>
      <c r="AJ945" s="2" t="s">
        <v>1717</v>
      </c>
      <c r="AK945" s="2" t="s">
        <v>1717</v>
      </c>
    </row>
    <row r="946" customFormat="false" ht="15" hidden="false" customHeight="false" outlineLevel="0" collapsed="false">
      <c r="A946" s="9"/>
      <c r="B946" s="2" t="s">
        <v>2130</v>
      </c>
      <c r="C946" s="2" t="s">
        <v>2131</v>
      </c>
      <c r="D946" s="2" t="s">
        <v>524</v>
      </c>
      <c r="E946" s="2" t="s">
        <v>456</v>
      </c>
      <c r="F946" s="2"/>
      <c r="G946" s="2" t="s">
        <v>458</v>
      </c>
      <c r="H946" s="8" t="n">
        <v>234.857791491569</v>
      </c>
      <c r="I946" s="2" t="s">
        <v>316</v>
      </c>
      <c r="J946" s="8" t="n">
        <v>254384.615384615</v>
      </c>
      <c r="K946" s="6" t="n">
        <v>65</v>
      </c>
      <c r="L946" s="2"/>
      <c r="M946" s="10" t="b">
        <f aca="false">TRUE()</f>
        <v>1</v>
      </c>
      <c r="N946" s="9" t="str">
        <f aca="false">IF(H946="","",IF(H946&gt;=Assumptions!$B$5,1,IF(H946&gt;=Assumptions!$B$6,2,IF(H946&gt;=Assumptions!$B$7,3,""))))</f>
        <v/>
      </c>
      <c r="O946" s="9" t="n">
        <f aca="false">IF(N946=1,Assumptions!$B$8,IF(N946=2,Assumptions!$B$9,IF(N946=3,Assumptions!$B$10,0)))</f>
        <v>0</v>
      </c>
      <c r="P946" s="6" t="s">
        <v>30</v>
      </c>
      <c r="Q946" s="6" t="s">
        <v>30</v>
      </c>
      <c r="R946" s="11" t="s">
        <v>30</v>
      </c>
      <c r="S946" s="6" t="s">
        <v>30</v>
      </c>
      <c r="T946" s="11" t="s">
        <v>30</v>
      </c>
      <c r="U946" s="6" t="s">
        <v>30</v>
      </c>
      <c r="V946" s="6" t="s">
        <v>30</v>
      </c>
      <c r="W946" s="6" t="s">
        <v>30</v>
      </c>
      <c r="X946" s="2" t="s">
        <v>30</v>
      </c>
      <c r="Y946" s="6" t="str">
        <f aca="false">IF(AND(X946="processed",ISNUMBER(S946)),S946*O946,"")</f>
        <v/>
      </c>
      <c r="Z946" s="6" t="n">
        <f aca="false">IF(ISNUMBER(K946),K946*O946,0)</f>
        <v>0</v>
      </c>
      <c r="AA946" s="2" t="s">
        <v>31</v>
      </c>
      <c r="AB946" s="6" t="n">
        <v>2279</v>
      </c>
      <c r="AC946" s="6" t="n">
        <v>1977</v>
      </c>
      <c r="AD946" s="6" t="n">
        <v>1796</v>
      </c>
      <c r="AE946" s="6" t="n">
        <v>1361.7646484375</v>
      </c>
      <c r="AF946" s="8" t="n">
        <v>231.25</v>
      </c>
      <c r="AG946" s="11" t="n">
        <v>-0.1148141835</v>
      </c>
      <c r="AH946" s="12" t="n">
        <v>0.999999999999998</v>
      </c>
      <c r="AI946" s="2" t="s">
        <v>2132</v>
      </c>
      <c r="AJ946" s="2" t="s">
        <v>2133</v>
      </c>
      <c r="AK946" s="2" t="s">
        <v>2134</v>
      </c>
    </row>
    <row r="947" customFormat="false" ht="15" hidden="false" customHeight="false" outlineLevel="0" collapsed="false">
      <c r="A947" s="9"/>
      <c r="B947" s="2" t="s">
        <v>2135</v>
      </c>
      <c r="C947" s="2" t="s">
        <v>2136</v>
      </c>
      <c r="D947" s="2" t="s">
        <v>524</v>
      </c>
      <c r="E947" s="2" t="s">
        <v>456</v>
      </c>
      <c r="F947" s="2"/>
      <c r="G947" s="2" t="s">
        <v>458</v>
      </c>
      <c r="H947" s="8" t="n">
        <v>255.585009407138</v>
      </c>
      <c r="I947" s="2" t="s">
        <v>316</v>
      </c>
      <c r="J947" s="8" t="n">
        <v>397741.666666667</v>
      </c>
      <c r="K947" s="6" t="n">
        <v>240</v>
      </c>
      <c r="L947" s="2"/>
      <c r="M947" s="10" t="b">
        <f aca="false">TRUE()</f>
        <v>1</v>
      </c>
      <c r="N947" s="9" t="str">
        <f aca="false">IF(H947="","",IF(H947&gt;=Assumptions!$B$5,1,IF(H947&gt;=Assumptions!$B$6,2,IF(H947&gt;=Assumptions!$B$7,3,""))))</f>
        <v/>
      </c>
      <c r="O947" s="9" t="n">
        <f aca="false">IF(N947=1,Assumptions!$B$8,IF(N947=2,Assumptions!$B$9,IF(N947=3,Assumptions!$B$10,0)))</f>
        <v>0</v>
      </c>
      <c r="P947" s="6" t="s">
        <v>30</v>
      </c>
      <c r="Q947" s="6" t="s">
        <v>30</v>
      </c>
      <c r="R947" s="11" t="s">
        <v>30</v>
      </c>
      <c r="S947" s="6" t="s">
        <v>30</v>
      </c>
      <c r="T947" s="11" t="s">
        <v>30</v>
      </c>
      <c r="U947" s="6" t="s">
        <v>30</v>
      </c>
      <c r="V947" s="6" t="s">
        <v>30</v>
      </c>
      <c r="W947" s="6" t="s">
        <v>30</v>
      </c>
      <c r="X947" s="2" t="s">
        <v>30</v>
      </c>
      <c r="Y947" s="6" t="str">
        <f aca="false">IF(AND(X947="processed",ISNUMBER(S947)),S947*O947,"")</f>
        <v/>
      </c>
      <c r="Z947" s="6" t="n">
        <f aca="false">IF(ISNUMBER(K947),K947*O947,0)</f>
        <v>0</v>
      </c>
      <c r="AA947" s="2" t="s">
        <v>31</v>
      </c>
      <c r="AB947" s="6" t="n">
        <v>10841</v>
      </c>
      <c r="AC947" s="6" t="n">
        <v>10129</v>
      </c>
      <c r="AD947" s="6" t="n">
        <v>1418</v>
      </c>
      <c r="AE947" s="6" t="n">
        <v>2259.74487304688</v>
      </c>
      <c r="AF947" s="8" t="n">
        <v>258.044930176</v>
      </c>
      <c r="AG947" s="11" t="n">
        <v>-0.01791370005</v>
      </c>
      <c r="AH947" s="12" t="n">
        <v>0.999828857401956</v>
      </c>
      <c r="AI947" s="2" t="s">
        <v>321</v>
      </c>
      <c r="AJ947" s="2" t="s">
        <v>2136</v>
      </c>
      <c r="AK947" s="2" t="s">
        <v>2136</v>
      </c>
    </row>
    <row r="948" customFormat="false" ht="15" hidden="false" customHeight="false" outlineLevel="0" collapsed="false">
      <c r="A948" s="9"/>
      <c r="B948" s="2" t="s">
        <v>2137</v>
      </c>
      <c r="C948" s="2" t="s">
        <v>2138</v>
      </c>
      <c r="D948" s="2" t="s">
        <v>524</v>
      </c>
      <c r="E948" s="2" t="s">
        <v>456</v>
      </c>
      <c r="F948" s="2"/>
      <c r="G948" s="2"/>
      <c r="H948" s="8"/>
      <c r="I948" s="2"/>
      <c r="J948" s="8"/>
      <c r="K948" s="6"/>
      <c r="L948" s="2"/>
      <c r="M948" s="10" t="b">
        <f aca="false">TRUE()</f>
        <v>1</v>
      </c>
      <c r="N948" s="9" t="str">
        <f aca="false">IF(H948="","",IF(H948&gt;=Assumptions!$B$5,1,IF(H948&gt;=Assumptions!$B$6,2,IF(H948&gt;=Assumptions!$B$7,3,""))))</f>
        <v/>
      </c>
      <c r="O948" s="9" t="n">
        <f aca="false">IF(N948=1,Assumptions!$B$8,IF(N948=2,Assumptions!$B$9,IF(N948=3,Assumptions!$B$10,0)))</f>
        <v>0</v>
      </c>
      <c r="P948" s="6" t="s">
        <v>30</v>
      </c>
      <c r="Q948" s="6" t="s">
        <v>30</v>
      </c>
      <c r="R948" s="11" t="s">
        <v>30</v>
      </c>
      <c r="S948" s="6" t="s">
        <v>30</v>
      </c>
      <c r="T948" s="11" t="s">
        <v>30</v>
      </c>
      <c r="U948" s="6" t="s">
        <v>30</v>
      </c>
      <c r="V948" s="6" t="s">
        <v>30</v>
      </c>
      <c r="W948" s="6" t="s">
        <v>30</v>
      </c>
      <c r="X948" s="2" t="s">
        <v>30</v>
      </c>
      <c r="Y948" s="6" t="str">
        <f aca="false">IF(AND(X948="processed",ISNUMBER(S948)),S948*O948,"")</f>
        <v/>
      </c>
      <c r="Z948" s="6" t="n">
        <f aca="false">IF(ISNUMBER(K948),K948*O948,0)</f>
        <v>0</v>
      </c>
      <c r="AA948" s="2" t="s">
        <v>31</v>
      </c>
      <c r="AB948" s="6" t="n">
        <v>97</v>
      </c>
      <c r="AC948" s="6" t="n">
        <v>70</v>
      </c>
      <c r="AD948" s="6" t="n">
        <v>11</v>
      </c>
      <c r="AE948" s="6" t="n">
        <v>1277.56787109375</v>
      </c>
      <c r="AF948" s="8"/>
      <c r="AG948" s="11"/>
      <c r="AH948" s="12" t="n">
        <v>0.999999999999999</v>
      </c>
      <c r="AI948" s="2" t="s">
        <v>1597</v>
      </c>
      <c r="AJ948" s="2"/>
      <c r="AK948" s="2" t="s">
        <v>2138</v>
      </c>
    </row>
    <row r="949" customFormat="false" ht="15" hidden="false" customHeight="false" outlineLevel="0" collapsed="false">
      <c r="A949" s="9"/>
      <c r="B949" s="2" t="s">
        <v>2139</v>
      </c>
      <c r="C949" s="2" t="s">
        <v>2140</v>
      </c>
      <c r="D949" s="2" t="s">
        <v>524</v>
      </c>
      <c r="E949" s="2" t="s">
        <v>456</v>
      </c>
      <c r="F949" s="2"/>
      <c r="G949" s="2" t="s">
        <v>458</v>
      </c>
      <c r="H949" s="8" t="n">
        <v>223.779778756188</v>
      </c>
      <c r="I949" s="2" t="s">
        <v>316</v>
      </c>
      <c r="J949" s="8" t="n">
        <v>345062.5</v>
      </c>
      <c r="K949" s="6" t="n">
        <v>16</v>
      </c>
      <c r="L949" s="2"/>
      <c r="M949" s="10" t="b">
        <f aca="false">TRUE()</f>
        <v>1</v>
      </c>
      <c r="N949" s="9" t="str">
        <f aca="false">IF(H949="","",IF(H949&gt;=Assumptions!$B$5,1,IF(H949&gt;=Assumptions!$B$6,2,IF(H949&gt;=Assumptions!$B$7,3,""))))</f>
        <v/>
      </c>
      <c r="O949" s="9" t="n">
        <f aca="false">IF(N949=1,Assumptions!$B$8,IF(N949=2,Assumptions!$B$9,IF(N949=3,Assumptions!$B$10,0)))</f>
        <v>0</v>
      </c>
      <c r="P949" s="6" t="s">
        <v>30</v>
      </c>
      <c r="Q949" s="6" t="s">
        <v>30</v>
      </c>
      <c r="R949" s="11" t="s">
        <v>30</v>
      </c>
      <c r="S949" s="6" t="s">
        <v>30</v>
      </c>
      <c r="T949" s="11" t="s">
        <v>30</v>
      </c>
      <c r="U949" s="6" t="s">
        <v>30</v>
      </c>
      <c r="V949" s="6" t="s">
        <v>30</v>
      </c>
      <c r="W949" s="6" t="s">
        <v>30</v>
      </c>
      <c r="X949" s="2" t="s">
        <v>30</v>
      </c>
      <c r="Y949" s="6" t="str">
        <f aca="false">IF(AND(X949="processed",ISNUMBER(S949)),S949*O949,"")</f>
        <v/>
      </c>
      <c r="Z949" s="6" t="n">
        <f aca="false">IF(ISNUMBER(K949),K949*O949,0)</f>
        <v>0</v>
      </c>
      <c r="AA949" s="2" t="s">
        <v>31</v>
      </c>
      <c r="AB949" s="6" t="n">
        <v>922</v>
      </c>
      <c r="AC949" s="6" t="n">
        <v>627</v>
      </c>
      <c r="AD949" s="6" t="n">
        <v>371</v>
      </c>
      <c r="AE949" s="6" t="n">
        <v>1184.77978515625</v>
      </c>
      <c r="AF949" s="8" t="n">
        <v>284.6035369</v>
      </c>
      <c r="AG949" s="11" t="n">
        <v>0.6075352926</v>
      </c>
      <c r="AH949" s="12" t="n">
        <v>1</v>
      </c>
      <c r="AI949" s="2" t="s">
        <v>321</v>
      </c>
      <c r="AJ949" s="2" t="s">
        <v>2140</v>
      </c>
      <c r="AK949" s="2" t="s">
        <v>2141</v>
      </c>
    </row>
    <row r="950" customFormat="false" ht="15" hidden="false" customHeight="false" outlineLevel="0" collapsed="false">
      <c r="A950" s="9"/>
      <c r="B950" s="2" t="s">
        <v>2142</v>
      </c>
      <c r="C950" s="2" t="s">
        <v>2143</v>
      </c>
      <c r="D950" s="2" t="s">
        <v>524</v>
      </c>
      <c r="E950" s="2" t="s">
        <v>456</v>
      </c>
      <c r="F950" s="2"/>
      <c r="G950" s="2" t="s">
        <v>458</v>
      </c>
      <c r="H950" s="8" t="n">
        <v>239.532330504622</v>
      </c>
      <c r="I950" s="2" t="s">
        <v>316</v>
      </c>
      <c r="J950" s="8" t="n">
        <v>462293.868921776</v>
      </c>
      <c r="K950" s="6" t="n">
        <v>473</v>
      </c>
      <c r="L950" s="2"/>
      <c r="M950" s="10" t="b">
        <f aca="false">TRUE()</f>
        <v>1</v>
      </c>
      <c r="N950" s="9" t="str">
        <f aca="false">IF(H950="","",IF(H950&gt;=Assumptions!$B$5,1,IF(H950&gt;=Assumptions!$B$6,2,IF(H950&gt;=Assumptions!$B$7,3,""))))</f>
        <v/>
      </c>
      <c r="O950" s="9" t="n">
        <f aca="false">IF(N950=1,Assumptions!$B$8,IF(N950=2,Assumptions!$B$9,IF(N950=3,Assumptions!$B$10,0)))</f>
        <v>0</v>
      </c>
      <c r="P950" s="6" t="s">
        <v>30</v>
      </c>
      <c r="Q950" s="6" t="s">
        <v>30</v>
      </c>
      <c r="R950" s="11" t="s">
        <v>30</v>
      </c>
      <c r="S950" s="6" t="s">
        <v>30</v>
      </c>
      <c r="T950" s="11" t="s">
        <v>30</v>
      </c>
      <c r="U950" s="6" t="s">
        <v>30</v>
      </c>
      <c r="V950" s="6" t="s">
        <v>30</v>
      </c>
      <c r="W950" s="6" t="s">
        <v>30</v>
      </c>
      <c r="X950" s="2" t="s">
        <v>30</v>
      </c>
      <c r="Y950" s="6" t="str">
        <f aca="false">IF(AND(X950="processed",ISNUMBER(S950)),S950*O950,"")</f>
        <v/>
      </c>
      <c r="Z950" s="6" t="n">
        <f aca="false">IF(ISNUMBER(K950),K950*O950,0)</f>
        <v>0</v>
      </c>
      <c r="AA950" s="2" t="s">
        <v>31</v>
      </c>
      <c r="AB950" s="6" t="n">
        <v>16617</v>
      </c>
      <c r="AC950" s="6" t="n">
        <v>14985</v>
      </c>
      <c r="AD950" s="6" t="n">
        <v>3146</v>
      </c>
      <c r="AE950" s="6" t="n">
        <v>3001.37451171875</v>
      </c>
      <c r="AF950" s="8" t="n">
        <v>238.292356791</v>
      </c>
      <c r="AG950" s="11" t="n">
        <v>-0.05023474936</v>
      </c>
      <c r="AH950" s="12" t="n">
        <v>1</v>
      </c>
      <c r="AI950" s="2" t="s">
        <v>317</v>
      </c>
      <c r="AJ950" s="2" t="s">
        <v>2143</v>
      </c>
      <c r="AK950" s="2" t="s">
        <v>2143</v>
      </c>
    </row>
    <row r="951" customFormat="false" ht="15" hidden="false" customHeight="false" outlineLevel="0" collapsed="false">
      <c r="A951" s="9"/>
      <c r="B951" s="2" t="s">
        <v>2144</v>
      </c>
      <c r="C951" s="2" t="s">
        <v>2143</v>
      </c>
      <c r="D951" s="2" t="s">
        <v>524</v>
      </c>
      <c r="E951" s="2" t="s">
        <v>456</v>
      </c>
      <c r="F951" s="2"/>
      <c r="G951" s="2" t="s">
        <v>458</v>
      </c>
      <c r="H951" s="8" t="n">
        <v>237.847815499425</v>
      </c>
      <c r="I951" s="2" t="s">
        <v>316</v>
      </c>
      <c r="J951" s="8" t="n">
        <v>414476.843910806</v>
      </c>
      <c r="K951" s="6" t="n">
        <v>583</v>
      </c>
      <c r="L951" s="2"/>
      <c r="M951" s="10" t="b">
        <f aca="false">TRUE()</f>
        <v>1</v>
      </c>
      <c r="N951" s="9" t="str">
        <f aca="false">IF(H951="","",IF(H951&gt;=Assumptions!$B$5,1,IF(H951&gt;=Assumptions!$B$6,2,IF(H951&gt;=Assumptions!$B$7,3,""))))</f>
        <v/>
      </c>
      <c r="O951" s="9" t="n">
        <f aca="false">IF(N951=1,Assumptions!$B$8,IF(N951=2,Assumptions!$B$9,IF(N951=3,Assumptions!$B$10,0)))</f>
        <v>0</v>
      </c>
      <c r="P951" s="6" t="s">
        <v>30</v>
      </c>
      <c r="Q951" s="6" t="s">
        <v>30</v>
      </c>
      <c r="R951" s="11" t="s">
        <v>30</v>
      </c>
      <c r="S951" s="6" t="s">
        <v>30</v>
      </c>
      <c r="T951" s="11" t="s">
        <v>30</v>
      </c>
      <c r="U951" s="6" t="s">
        <v>30</v>
      </c>
      <c r="V951" s="6" t="s">
        <v>30</v>
      </c>
      <c r="W951" s="6" t="s">
        <v>30</v>
      </c>
      <c r="X951" s="2" t="s">
        <v>30</v>
      </c>
      <c r="Y951" s="6" t="str">
        <f aca="false">IF(AND(X951="processed",ISNUMBER(S951)),S951*O951,"")</f>
        <v/>
      </c>
      <c r="Z951" s="6" t="n">
        <f aca="false">IF(ISNUMBER(K951),K951*O951,0)</f>
        <v>0</v>
      </c>
      <c r="AA951" s="2" t="s">
        <v>31</v>
      </c>
      <c r="AB951" s="6" t="n">
        <v>18975</v>
      </c>
      <c r="AC951" s="6" t="n">
        <v>16994</v>
      </c>
      <c r="AD951" s="6" t="n">
        <v>4323</v>
      </c>
      <c r="AE951" s="6" t="n">
        <v>2676.8095703125</v>
      </c>
      <c r="AF951" s="8" t="n">
        <v>236.976506639</v>
      </c>
      <c r="AG951" s="11" t="n">
        <v>-0.02501094411</v>
      </c>
      <c r="AH951" s="12" t="n">
        <v>0.999999999999998</v>
      </c>
      <c r="AI951" s="2" t="s">
        <v>317</v>
      </c>
      <c r="AJ951" s="2" t="s">
        <v>2143</v>
      </c>
      <c r="AK951" s="2" t="s">
        <v>2143</v>
      </c>
    </row>
    <row r="952" customFormat="false" ht="15" hidden="false" customHeight="false" outlineLevel="0" collapsed="false">
      <c r="A952" s="9"/>
      <c r="B952" s="2" t="s">
        <v>2145</v>
      </c>
      <c r="C952" s="2" t="s">
        <v>2146</v>
      </c>
      <c r="D952" s="2" t="s">
        <v>524</v>
      </c>
      <c r="E952" s="2" t="s">
        <v>456</v>
      </c>
      <c r="F952" s="2"/>
      <c r="G952" s="2"/>
      <c r="H952" s="8"/>
      <c r="I952" s="2"/>
      <c r="J952" s="8"/>
      <c r="K952" s="6"/>
      <c r="L952" s="2"/>
      <c r="M952" s="10" t="b">
        <f aca="false">TRUE()</f>
        <v>1</v>
      </c>
      <c r="N952" s="9" t="str">
        <f aca="false">IF(H952="","",IF(H952&gt;=Assumptions!$B$5,1,IF(H952&gt;=Assumptions!$B$6,2,IF(H952&gt;=Assumptions!$B$7,3,""))))</f>
        <v/>
      </c>
      <c r="O952" s="9" t="n">
        <f aca="false">IF(N952=1,Assumptions!$B$8,IF(N952=2,Assumptions!$B$9,IF(N952=3,Assumptions!$B$10,0)))</f>
        <v>0</v>
      </c>
      <c r="P952" s="6" t="s">
        <v>30</v>
      </c>
      <c r="Q952" s="6" t="s">
        <v>30</v>
      </c>
      <c r="R952" s="11" t="s">
        <v>30</v>
      </c>
      <c r="S952" s="6" t="s">
        <v>30</v>
      </c>
      <c r="T952" s="11" t="s">
        <v>30</v>
      </c>
      <c r="U952" s="6" t="s">
        <v>30</v>
      </c>
      <c r="V952" s="6" t="s">
        <v>30</v>
      </c>
      <c r="W952" s="6" t="s">
        <v>30</v>
      </c>
      <c r="X952" s="2" t="s">
        <v>30</v>
      </c>
      <c r="Y952" s="6" t="str">
        <f aca="false">IF(AND(X952="processed",ISNUMBER(S952)),S952*O952,"")</f>
        <v/>
      </c>
      <c r="Z952" s="6" t="n">
        <f aca="false">IF(ISNUMBER(K952),K952*O952,0)</f>
        <v>0</v>
      </c>
      <c r="AA952" s="2" t="s">
        <v>31</v>
      </c>
      <c r="AB952" s="6" t="n">
        <v>495</v>
      </c>
      <c r="AC952" s="6" t="n">
        <v>396</v>
      </c>
      <c r="AD952" s="6" t="n">
        <v>101</v>
      </c>
      <c r="AE952" s="6" t="n">
        <v>1603.15991210938</v>
      </c>
      <c r="AF952" s="8"/>
      <c r="AG952" s="11"/>
      <c r="AH952" s="12" t="n">
        <v>1</v>
      </c>
      <c r="AI952" s="2" t="s">
        <v>342</v>
      </c>
      <c r="AJ952" s="2" t="s">
        <v>2146</v>
      </c>
      <c r="AK952" s="2" t="s">
        <v>2147</v>
      </c>
    </row>
    <row r="953" customFormat="false" ht="15" hidden="false" customHeight="false" outlineLevel="0" collapsed="false">
      <c r="A953" s="9"/>
      <c r="B953" s="2" t="s">
        <v>2148</v>
      </c>
      <c r="C953" s="2" t="s">
        <v>2149</v>
      </c>
      <c r="D953" s="2" t="s">
        <v>524</v>
      </c>
      <c r="E953" s="2" t="s">
        <v>456</v>
      </c>
      <c r="F953" s="2" t="s">
        <v>2150</v>
      </c>
      <c r="G953" s="2"/>
      <c r="H953" s="8"/>
      <c r="I953" s="2"/>
      <c r="J953" s="8"/>
      <c r="K953" s="6"/>
      <c r="L953" s="2"/>
      <c r="M953" s="10" t="b">
        <f aca="false">TRUE()</f>
        <v>1</v>
      </c>
      <c r="N953" s="9" t="str">
        <f aca="false">IF(H953="","",IF(H953&gt;=Assumptions!$B$5,1,IF(H953&gt;=Assumptions!$B$6,2,IF(H953&gt;=Assumptions!$B$7,3,""))))</f>
        <v/>
      </c>
      <c r="O953" s="9" t="n">
        <f aca="false">IF(N953=1,Assumptions!$B$8,IF(N953=2,Assumptions!$B$9,IF(N953=3,Assumptions!$B$10,0)))</f>
        <v>0</v>
      </c>
      <c r="P953" s="6" t="s">
        <v>30</v>
      </c>
      <c r="Q953" s="6" t="s">
        <v>30</v>
      </c>
      <c r="R953" s="11" t="s">
        <v>30</v>
      </c>
      <c r="S953" s="6" t="s">
        <v>30</v>
      </c>
      <c r="T953" s="11" t="s">
        <v>30</v>
      </c>
      <c r="U953" s="6" t="s">
        <v>30</v>
      </c>
      <c r="V953" s="6" t="s">
        <v>30</v>
      </c>
      <c r="W953" s="6" t="s">
        <v>30</v>
      </c>
      <c r="X953" s="2" t="s">
        <v>30</v>
      </c>
      <c r="Y953" s="6" t="str">
        <f aca="false">IF(AND(X953="processed",ISNUMBER(S953)),S953*O953,"")</f>
        <v/>
      </c>
      <c r="Z953" s="6" t="n">
        <f aca="false">IF(ISNUMBER(K953),K953*O953,0)</f>
        <v>0</v>
      </c>
      <c r="AA953" s="2" t="s">
        <v>31</v>
      </c>
      <c r="AB953" s="6" t="n">
        <v>2361</v>
      </c>
      <c r="AC953" s="6" t="n">
        <v>1891</v>
      </c>
      <c r="AD953" s="6" t="n">
        <v>904</v>
      </c>
      <c r="AE953" s="6" t="n">
        <v>2369.4375</v>
      </c>
      <c r="AF953" s="8"/>
      <c r="AG953" s="11"/>
      <c r="AH953" s="12" t="n">
        <v>1</v>
      </c>
      <c r="AI953" s="2" t="s">
        <v>317</v>
      </c>
      <c r="AJ953" s="2" t="s">
        <v>2149</v>
      </c>
      <c r="AK953" s="2" t="s">
        <v>2149</v>
      </c>
    </row>
    <row r="954" customFormat="false" ht="15" hidden="false" customHeight="false" outlineLevel="0" collapsed="false">
      <c r="A954" s="9"/>
      <c r="B954" s="2" t="s">
        <v>2151</v>
      </c>
      <c r="C954" s="2" t="s">
        <v>2152</v>
      </c>
      <c r="D954" s="2" t="s">
        <v>524</v>
      </c>
      <c r="E954" s="2" t="s">
        <v>456</v>
      </c>
      <c r="F954" s="2" t="s">
        <v>2153</v>
      </c>
      <c r="G954" s="2" t="s">
        <v>458</v>
      </c>
      <c r="H954" s="8" t="n">
        <v>206.860529569791</v>
      </c>
      <c r="I954" s="2" t="s">
        <v>316</v>
      </c>
      <c r="J954" s="8" t="n">
        <v>271179.487179487</v>
      </c>
      <c r="K954" s="6" t="n">
        <v>273</v>
      </c>
      <c r="L954" s="2"/>
      <c r="M954" s="10" t="b">
        <f aca="false">TRUE()</f>
        <v>1</v>
      </c>
      <c r="N954" s="9" t="str">
        <f aca="false">IF(H954="","",IF(H954&gt;=Assumptions!$B$5,1,IF(H954&gt;=Assumptions!$B$6,2,IF(H954&gt;=Assumptions!$B$7,3,""))))</f>
        <v/>
      </c>
      <c r="O954" s="9" t="n">
        <f aca="false">IF(N954=1,Assumptions!$B$8,IF(N954=2,Assumptions!$B$9,IF(N954=3,Assumptions!$B$10,0)))</f>
        <v>0</v>
      </c>
      <c r="P954" s="6" t="s">
        <v>30</v>
      </c>
      <c r="Q954" s="6" t="s">
        <v>30</v>
      </c>
      <c r="R954" s="11" t="s">
        <v>30</v>
      </c>
      <c r="S954" s="6" t="s">
        <v>30</v>
      </c>
      <c r="T954" s="11" t="s">
        <v>30</v>
      </c>
      <c r="U954" s="6" t="s">
        <v>30</v>
      </c>
      <c r="V954" s="6" t="s">
        <v>30</v>
      </c>
      <c r="W954" s="6" t="s">
        <v>30</v>
      </c>
      <c r="X954" s="2" t="s">
        <v>30</v>
      </c>
      <c r="Y954" s="6" t="str">
        <f aca="false">IF(AND(X954="processed",ISNUMBER(S954)),S954*O954,"")</f>
        <v/>
      </c>
      <c r="Z954" s="6" t="n">
        <f aca="false">IF(ISNUMBER(K954),K954*O954,0)</f>
        <v>0</v>
      </c>
      <c r="AA954" s="2" t="s">
        <v>31</v>
      </c>
      <c r="AB954" s="6" t="n">
        <v>14168</v>
      </c>
      <c r="AC954" s="6" t="n">
        <v>12524</v>
      </c>
      <c r="AD954" s="6" t="n">
        <v>4964</v>
      </c>
      <c r="AE954" s="6" t="n">
        <v>2054.86328125</v>
      </c>
      <c r="AF954" s="8" t="n">
        <v>193.6991931</v>
      </c>
      <c r="AG954" s="11" t="n">
        <v>-0.09489939651</v>
      </c>
      <c r="AH954" s="12" t="n">
        <v>1</v>
      </c>
      <c r="AI954" s="2" t="s">
        <v>317</v>
      </c>
      <c r="AJ954" s="2" t="s">
        <v>2152</v>
      </c>
      <c r="AK954" s="2" t="s">
        <v>2152</v>
      </c>
    </row>
    <row r="955" customFormat="false" ht="15" hidden="false" customHeight="false" outlineLevel="0" collapsed="false">
      <c r="A955" s="9"/>
      <c r="B955" s="2" t="s">
        <v>2154</v>
      </c>
      <c r="C955" s="2" t="s">
        <v>2155</v>
      </c>
      <c r="D955" s="2" t="s">
        <v>524</v>
      </c>
      <c r="E955" s="2" t="s">
        <v>456</v>
      </c>
      <c r="F955" s="2"/>
      <c r="G955" s="2" t="s">
        <v>458</v>
      </c>
      <c r="H955" s="8" t="n">
        <v>366.952561703125</v>
      </c>
      <c r="I955" s="2" t="s">
        <v>316</v>
      </c>
      <c r="J955" s="8" t="n">
        <v>611875</v>
      </c>
      <c r="K955" s="6" t="n">
        <v>80</v>
      </c>
      <c r="L955" s="2"/>
      <c r="M955" s="10" t="b">
        <f aca="false">TRUE()</f>
        <v>1</v>
      </c>
      <c r="N955" s="9" t="str">
        <f aca="false">IF(H955="","",IF(H955&gt;=Assumptions!$B$5,1,IF(H955&gt;=Assumptions!$B$6,2,IF(H955&gt;=Assumptions!$B$7,3,""))))</f>
        <v/>
      </c>
      <c r="O955" s="9" t="n">
        <f aca="false">IF(N955=1,Assumptions!$B$8,IF(N955=2,Assumptions!$B$9,IF(N955=3,Assumptions!$B$10,0)))</f>
        <v>0</v>
      </c>
      <c r="P955" s="6" t="s">
        <v>30</v>
      </c>
      <c r="Q955" s="6" t="s">
        <v>30</v>
      </c>
      <c r="R955" s="11" t="s">
        <v>30</v>
      </c>
      <c r="S955" s="6" t="s">
        <v>30</v>
      </c>
      <c r="T955" s="11" t="s">
        <v>30</v>
      </c>
      <c r="U955" s="6" t="s">
        <v>30</v>
      </c>
      <c r="V955" s="6" t="s">
        <v>30</v>
      </c>
      <c r="W955" s="6" t="s">
        <v>30</v>
      </c>
      <c r="X955" s="2" t="s">
        <v>30</v>
      </c>
      <c r="Y955" s="6" t="str">
        <f aca="false">IF(AND(X955="processed",ISNUMBER(S955)),S955*O955,"")</f>
        <v/>
      </c>
      <c r="Z955" s="6" t="n">
        <f aca="false">IF(ISNUMBER(K955),K955*O955,0)</f>
        <v>0</v>
      </c>
      <c r="AA955" s="2" t="s">
        <v>31</v>
      </c>
      <c r="AB955" s="6" t="n">
        <v>4049</v>
      </c>
      <c r="AC955" s="6" t="n">
        <v>3715</v>
      </c>
      <c r="AD955" s="6" t="n">
        <v>3529</v>
      </c>
      <c r="AE955" s="6" t="n">
        <v>2450.89624023438</v>
      </c>
      <c r="AF955" s="8" t="n">
        <v>336.628217612</v>
      </c>
      <c r="AG955" s="11" t="n">
        <v>-0.01066467179</v>
      </c>
      <c r="AH955" s="12" t="n">
        <v>0.999683063422981</v>
      </c>
      <c r="AI955" s="2" t="s">
        <v>317</v>
      </c>
      <c r="AJ955" s="2" t="s">
        <v>2155</v>
      </c>
      <c r="AK955" s="2" t="s">
        <v>2155</v>
      </c>
    </row>
    <row r="956" customFormat="false" ht="15" hidden="false" customHeight="false" outlineLevel="0" collapsed="false">
      <c r="A956" s="9"/>
      <c r="B956" s="2" t="s">
        <v>2156</v>
      </c>
      <c r="C956" s="2" t="s">
        <v>2157</v>
      </c>
      <c r="D956" s="2" t="s">
        <v>524</v>
      </c>
      <c r="E956" s="2" t="s">
        <v>456</v>
      </c>
      <c r="F956" s="2"/>
      <c r="G956" s="2" t="s">
        <v>458</v>
      </c>
      <c r="H956" s="8" t="n">
        <v>330.691371269666</v>
      </c>
      <c r="I956" s="2" t="s">
        <v>316</v>
      </c>
      <c r="J956" s="8" t="n">
        <v>393742.765273312</v>
      </c>
      <c r="K956" s="6" t="n">
        <v>311</v>
      </c>
      <c r="L956" s="2"/>
      <c r="M956" s="10" t="b">
        <f aca="false">TRUE()</f>
        <v>1</v>
      </c>
      <c r="N956" s="9" t="str">
        <f aca="false">IF(H956="","",IF(H956&gt;=Assumptions!$B$5,1,IF(H956&gt;=Assumptions!$B$6,2,IF(H956&gt;=Assumptions!$B$7,3,""))))</f>
        <v/>
      </c>
      <c r="O956" s="9" t="n">
        <f aca="false">IF(N956=1,Assumptions!$B$8,IF(N956=2,Assumptions!$B$9,IF(N956=3,Assumptions!$B$10,0)))</f>
        <v>0</v>
      </c>
      <c r="P956" s="6" t="s">
        <v>30</v>
      </c>
      <c r="Q956" s="6" t="s">
        <v>30</v>
      </c>
      <c r="R956" s="11" t="s">
        <v>30</v>
      </c>
      <c r="S956" s="6" t="s">
        <v>30</v>
      </c>
      <c r="T956" s="11" t="s">
        <v>30</v>
      </c>
      <c r="U956" s="6" t="s">
        <v>30</v>
      </c>
      <c r="V956" s="6" t="s">
        <v>30</v>
      </c>
      <c r="W956" s="6" t="s">
        <v>30</v>
      </c>
      <c r="X956" s="2" t="s">
        <v>30</v>
      </c>
      <c r="Y956" s="6" t="str">
        <f aca="false">IF(AND(X956="processed",ISNUMBER(S956)),S956*O956,"")</f>
        <v/>
      </c>
      <c r="Z956" s="6" t="n">
        <f aca="false">IF(ISNUMBER(K956),K956*O956,0)</f>
        <v>0</v>
      </c>
      <c r="AA956" s="2" t="s">
        <v>31</v>
      </c>
      <c r="AB956" s="6" t="n">
        <v>10483</v>
      </c>
      <c r="AC956" s="6" t="n">
        <v>9317</v>
      </c>
      <c r="AD956" s="6" t="n">
        <v>7876</v>
      </c>
      <c r="AE956" s="6" t="n">
        <v>1443.97521972656</v>
      </c>
      <c r="AF956" s="8" t="n">
        <v>322.385019034</v>
      </c>
      <c r="AG956" s="11" t="n">
        <v>-0.08633976371</v>
      </c>
      <c r="AH956" s="12" t="n">
        <v>1</v>
      </c>
      <c r="AI956" s="2" t="s">
        <v>426</v>
      </c>
      <c r="AJ956" s="2" t="s">
        <v>2158</v>
      </c>
      <c r="AK956" s="2" t="s">
        <v>2159</v>
      </c>
    </row>
    <row r="957" customFormat="false" ht="15" hidden="false" customHeight="false" outlineLevel="0" collapsed="false">
      <c r="A957" s="9"/>
      <c r="B957" s="2" t="s">
        <v>2160</v>
      </c>
      <c r="C957" s="2" t="s">
        <v>2159</v>
      </c>
      <c r="D957" s="2" t="s">
        <v>524</v>
      </c>
      <c r="E957" s="2" t="s">
        <v>456</v>
      </c>
      <c r="F957" s="2"/>
      <c r="G957" s="2" t="s">
        <v>458</v>
      </c>
      <c r="H957" s="8" t="n">
        <v>395.086269639825</v>
      </c>
      <c r="I957" s="2" t="s">
        <v>316</v>
      </c>
      <c r="J957" s="8" t="n">
        <v>611276.805251641</v>
      </c>
      <c r="K957" s="6" t="n">
        <v>457</v>
      </c>
      <c r="L957" s="2"/>
      <c r="M957" s="10" t="b">
        <f aca="false">TRUE()</f>
        <v>1</v>
      </c>
      <c r="N957" s="9" t="str">
        <f aca="false">IF(H957="","",IF(H957&gt;=Assumptions!$B$5,1,IF(H957&gt;=Assumptions!$B$6,2,IF(H957&gt;=Assumptions!$B$7,3,""))))</f>
        <v/>
      </c>
      <c r="O957" s="9" t="n">
        <f aca="false">IF(N957=1,Assumptions!$B$8,IF(N957=2,Assumptions!$B$9,IF(N957=3,Assumptions!$B$10,0)))</f>
        <v>0</v>
      </c>
      <c r="P957" s="6" t="s">
        <v>30</v>
      </c>
      <c r="Q957" s="6" t="s">
        <v>30</v>
      </c>
      <c r="R957" s="11" t="s">
        <v>30</v>
      </c>
      <c r="S957" s="6" t="s">
        <v>30</v>
      </c>
      <c r="T957" s="11" t="s">
        <v>30</v>
      </c>
      <c r="U957" s="6" t="s">
        <v>30</v>
      </c>
      <c r="V957" s="6" t="s">
        <v>30</v>
      </c>
      <c r="W957" s="6" t="s">
        <v>30</v>
      </c>
      <c r="X957" s="2" t="s">
        <v>30</v>
      </c>
      <c r="Y957" s="6" t="str">
        <f aca="false">IF(AND(X957="processed",ISNUMBER(S957)),S957*O957,"")</f>
        <v/>
      </c>
      <c r="Z957" s="6" t="n">
        <f aca="false">IF(ISNUMBER(K957),K957*O957,0)</f>
        <v>0</v>
      </c>
      <c r="AA957" s="2" t="s">
        <v>31</v>
      </c>
      <c r="AB957" s="6" t="n">
        <v>10378</v>
      </c>
      <c r="AC957" s="6" t="n">
        <v>8997</v>
      </c>
      <c r="AD957" s="6" t="n">
        <v>4398</v>
      </c>
      <c r="AE957" s="6" t="n">
        <v>1462.27954101563</v>
      </c>
      <c r="AF957" s="8" t="n">
        <v>401.515151515</v>
      </c>
      <c r="AG957" s="11" t="n">
        <v>-0.09247900694</v>
      </c>
      <c r="AH957" s="12" t="n">
        <v>0.999999999999998</v>
      </c>
      <c r="AI957" s="2" t="s">
        <v>317</v>
      </c>
      <c r="AJ957" s="2" t="s">
        <v>2159</v>
      </c>
      <c r="AK957" s="2" t="s">
        <v>2159</v>
      </c>
    </row>
    <row r="958" customFormat="false" ht="15" hidden="false" customHeight="false" outlineLevel="0" collapsed="false">
      <c r="A958" s="9"/>
      <c r="B958" s="2" t="s">
        <v>2161</v>
      </c>
      <c r="C958" s="2" t="s">
        <v>2162</v>
      </c>
      <c r="D958" s="2" t="s">
        <v>524</v>
      </c>
      <c r="E958" s="2" t="s">
        <v>456</v>
      </c>
      <c r="F958" s="2" t="s">
        <v>2163</v>
      </c>
      <c r="G958" s="2" t="s">
        <v>458</v>
      </c>
      <c r="H958" s="8" t="n">
        <v>419.933230545396</v>
      </c>
      <c r="I958" s="2" t="s">
        <v>316</v>
      </c>
      <c r="J958" s="8" t="n">
        <v>544455.445544555</v>
      </c>
      <c r="K958" s="6" t="n">
        <v>101</v>
      </c>
      <c r="L958" s="2"/>
      <c r="M958" s="10" t="b">
        <f aca="false">TRUE()</f>
        <v>1</v>
      </c>
      <c r="N958" s="9" t="str">
        <f aca="false">IF(H958="","",IF(H958&gt;=Assumptions!$B$5,1,IF(H958&gt;=Assumptions!$B$6,2,IF(H958&gt;=Assumptions!$B$7,3,""))))</f>
        <v/>
      </c>
      <c r="O958" s="9" t="n">
        <f aca="false">IF(N958=1,Assumptions!$B$8,IF(N958=2,Assumptions!$B$9,IF(N958=3,Assumptions!$B$10,0)))</f>
        <v>0</v>
      </c>
      <c r="P958" s="6" t="s">
        <v>30</v>
      </c>
      <c r="Q958" s="6" t="s">
        <v>30</v>
      </c>
      <c r="R958" s="11" t="s">
        <v>30</v>
      </c>
      <c r="S958" s="6" t="s">
        <v>30</v>
      </c>
      <c r="T958" s="11" t="s">
        <v>30</v>
      </c>
      <c r="U958" s="6" t="s">
        <v>30</v>
      </c>
      <c r="V958" s="6" t="s">
        <v>30</v>
      </c>
      <c r="W958" s="6" t="s">
        <v>30</v>
      </c>
      <c r="X958" s="2" t="s">
        <v>30</v>
      </c>
      <c r="Y958" s="6" t="str">
        <f aca="false">IF(AND(X958="processed",ISNUMBER(S958)),S958*O958,"")</f>
        <v/>
      </c>
      <c r="Z958" s="6" t="n">
        <f aca="false">IF(ISNUMBER(K958),K958*O958,0)</f>
        <v>0</v>
      </c>
      <c r="AA958" s="2" t="s">
        <v>31</v>
      </c>
      <c r="AB958" s="6" t="n">
        <v>10349</v>
      </c>
      <c r="AC958" s="6" t="n">
        <v>9053</v>
      </c>
      <c r="AD958" s="6" t="n">
        <v>9219</v>
      </c>
      <c r="AE958" s="6" t="n">
        <v>2160.42211914063</v>
      </c>
      <c r="AF958" s="8" t="n">
        <v>437.592867756</v>
      </c>
      <c r="AG958" s="11" t="n">
        <v>-0.01995330079</v>
      </c>
      <c r="AH958" s="12" t="n">
        <v>0.999353405137929</v>
      </c>
      <c r="AI958" s="2" t="s">
        <v>321</v>
      </c>
      <c r="AJ958" s="2" t="s">
        <v>2162</v>
      </c>
      <c r="AK958" s="2" t="s">
        <v>2164</v>
      </c>
    </row>
    <row r="959" customFormat="false" ht="15" hidden="false" customHeight="false" outlineLevel="0" collapsed="false">
      <c r="A959" s="9"/>
      <c r="B959" s="2" t="s">
        <v>2165</v>
      </c>
      <c r="C959" s="2"/>
      <c r="D959" s="2" t="s">
        <v>1190</v>
      </c>
      <c r="E959" s="2" t="s">
        <v>1191</v>
      </c>
      <c r="F959" s="2"/>
      <c r="G959" s="2" t="s">
        <v>458</v>
      </c>
      <c r="H959" s="8" t="n">
        <v>306.054870290429</v>
      </c>
      <c r="I959" s="2" t="s">
        <v>316</v>
      </c>
      <c r="J959" s="8" t="n">
        <v>268428.571428571</v>
      </c>
      <c r="K959" s="6" t="n">
        <v>7</v>
      </c>
      <c r="L959" s="2"/>
      <c r="M959" s="10" t="b">
        <f aca="false">FALSE()</f>
        <v>0</v>
      </c>
      <c r="N959" s="9" t="str">
        <f aca="false">IF(H959="","",IF(H959&gt;=Assumptions!$B$5,1,IF(H959&gt;=Assumptions!$B$6,2,IF(H959&gt;=Assumptions!$B$7,3,""))))</f>
        <v/>
      </c>
      <c r="O959" s="9" t="n">
        <f aca="false">IF(N959=1,Assumptions!$B$8,IF(N959=2,Assumptions!$B$9,IF(N959=3,Assumptions!$B$10,0)))</f>
        <v>0</v>
      </c>
      <c r="P959" s="6" t="s">
        <v>30</v>
      </c>
      <c r="Q959" s="6" t="s">
        <v>30</v>
      </c>
      <c r="R959" s="11" t="s">
        <v>30</v>
      </c>
      <c r="S959" s="6" t="s">
        <v>30</v>
      </c>
      <c r="T959" s="11" t="s">
        <v>30</v>
      </c>
      <c r="U959" s="6" t="s">
        <v>30</v>
      </c>
      <c r="V959" s="6" t="s">
        <v>30</v>
      </c>
      <c r="W959" s="6" t="s">
        <v>30</v>
      </c>
      <c r="X959" s="2" t="s">
        <v>30</v>
      </c>
      <c r="Y959" s="6" t="str">
        <f aca="false">IF(AND(X959="processed",ISNUMBER(S959)),S959*O959,"")</f>
        <v/>
      </c>
      <c r="Z959" s="6" t="n">
        <f aca="false">IF(ISNUMBER(K959),K959*O959,0)</f>
        <v>0</v>
      </c>
      <c r="AA959" s="2" t="s">
        <v>31</v>
      </c>
      <c r="AB959" s="6"/>
      <c r="AC959" s="6"/>
      <c r="AD959" s="6"/>
      <c r="AE959" s="6"/>
      <c r="AF959" s="8" t="n">
        <v>223.538940678</v>
      </c>
      <c r="AG959" s="11"/>
      <c r="AH959" s="12"/>
      <c r="AI959" s="2"/>
      <c r="AJ959" s="2"/>
      <c r="AK959" s="2"/>
    </row>
    <row r="960" customFormat="false" ht="15" hidden="false" customHeight="false" outlineLevel="0" collapsed="false">
      <c r="A960" s="9"/>
      <c r="B960" s="2" t="s">
        <v>2166</v>
      </c>
      <c r="C960" s="2"/>
      <c r="D960" s="2" t="s">
        <v>1190</v>
      </c>
      <c r="E960" s="2" t="s">
        <v>1191</v>
      </c>
      <c r="F960" s="2"/>
      <c r="G960" s="2" t="s">
        <v>458</v>
      </c>
      <c r="H960" s="8" t="n">
        <v>337.60972316</v>
      </c>
      <c r="I960" s="2" t="s">
        <v>316</v>
      </c>
      <c r="J960" s="8" t="n">
        <v>500000</v>
      </c>
      <c r="K960" s="6" t="n">
        <v>2</v>
      </c>
      <c r="L960" s="2" t="s">
        <v>1664</v>
      </c>
      <c r="M960" s="10" t="b">
        <f aca="false">FALSE()</f>
        <v>0</v>
      </c>
      <c r="N960" s="9" t="str">
        <f aca="false">IF(H960="","",IF(H960&gt;=Assumptions!$B$5,1,IF(H960&gt;=Assumptions!$B$6,2,IF(H960&gt;=Assumptions!$B$7,3,""))))</f>
        <v/>
      </c>
      <c r="O960" s="9" t="n">
        <f aca="false">IF(N960=1,Assumptions!$B$8,IF(N960=2,Assumptions!$B$9,IF(N960=3,Assumptions!$B$10,0)))</f>
        <v>0</v>
      </c>
      <c r="P960" s="6" t="s">
        <v>30</v>
      </c>
      <c r="Q960" s="6" t="s">
        <v>30</v>
      </c>
      <c r="R960" s="11" t="s">
        <v>30</v>
      </c>
      <c r="S960" s="6" t="s">
        <v>30</v>
      </c>
      <c r="T960" s="11" t="s">
        <v>30</v>
      </c>
      <c r="U960" s="6" t="s">
        <v>30</v>
      </c>
      <c r="V960" s="6" t="s">
        <v>30</v>
      </c>
      <c r="W960" s="6" t="s">
        <v>30</v>
      </c>
      <c r="X960" s="2" t="s">
        <v>30</v>
      </c>
      <c r="Y960" s="6" t="str">
        <f aca="false">IF(AND(X960="processed",ISNUMBER(S960)),S960*O960,"")</f>
        <v/>
      </c>
      <c r="Z960" s="6" t="n">
        <f aca="false">IF(ISNUMBER(K960),K960*O960,0)</f>
        <v>0</v>
      </c>
      <c r="AA960" s="2" t="s">
        <v>31</v>
      </c>
      <c r="AB960" s="6"/>
      <c r="AC960" s="6"/>
      <c r="AD960" s="6"/>
      <c r="AE960" s="6"/>
      <c r="AF960" s="8" t="n">
        <v>337.60972316</v>
      </c>
      <c r="AG960" s="11"/>
      <c r="AH960" s="12"/>
      <c r="AI960" s="2"/>
      <c r="AJ960" s="2"/>
      <c r="AK960" s="2"/>
    </row>
    <row r="961" customFormat="false" ht="15" hidden="false" customHeight="false" outlineLevel="0" collapsed="false">
      <c r="A961" s="9"/>
      <c r="B961" s="2" t="s">
        <v>2167</v>
      </c>
      <c r="C961" s="2" t="s">
        <v>2168</v>
      </c>
      <c r="D961" s="2" t="s">
        <v>455</v>
      </c>
      <c r="E961" s="2" t="s">
        <v>456</v>
      </c>
      <c r="F961" s="2"/>
      <c r="G961" s="2" t="s">
        <v>458</v>
      </c>
      <c r="H961" s="8" t="n">
        <v>307.600719800716</v>
      </c>
      <c r="I961" s="2" t="s">
        <v>316</v>
      </c>
      <c r="J961" s="8" t="n">
        <v>582052.631578947</v>
      </c>
      <c r="K961" s="6" t="n">
        <v>95</v>
      </c>
      <c r="L961" s="2"/>
      <c r="M961" s="10" t="b">
        <f aca="false">TRUE()</f>
        <v>1</v>
      </c>
      <c r="N961" s="9" t="str">
        <f aca="false">IF(H961="","",IF(H961&gt;=Assumptions!$B$5,1,IF(H961&gt;=Assumptions!$B$6,2,IF(H961&gt;=Assumptions!$B$7,3,""))))</f>
        <v/>
      </c>
      <c r="O961" s="9" t="n">
        <f aca="false">IF(N961=1,Assumptions!$B$8,IF(N961=2,Assumptions!$B$9,IF(N961=3,Assumptions!$B$10,0)))</f>
        <v>0</v>
      </c>
      <c r="P961" s="6" t="s">
        <v>30</v>
      </c>
      <c r="Q961" s="6" t="s">
        <v>30</v>
      </c>
      <c r="R961" s="11" t="s">
        <v>30</v>
      </c>
      <c r="S961" s="6" t="s">
        <v>30</v>
      </c>
      <c r="T961" s="11" t="s">
        <v>30</v>
      </c>
      <c r="U961" s="6" t="s">
        <v>30</v>
      </c>
      <c r="V961" s="6" t="s">
        <v>30</v>
      </c>
      <c r="W961" s="6" t="s">
        <v>30</v>
      </c>
      <c r="X961" s="2" t="s">
        <v>30</v>
      </c>
      <c r="Y961" s="6" t="str">
        <f aca="false">IF(AND(X961="processed",ISNUMBER(S961)),S961*O961,"")</f>
        <v/>
      </c>
      <c r="Z961" s="6" t="n">
        <f aca="false">IF(ISNUMBER(K961),K961*O961,0)</f>
        <v>0</v>
      </c>
      <c r="AA961" s="2" t="s">
        <v>31</v>
      </c>
      <c r="AB961" s="6" t="n">
        <v>4900</v>
      </c>
      <c r="AC961" s="6" t="n">
        <v>4509</v>
      </c>
      <c r="AD961" s="6" t="n">
        <v>4531</v>
      </c>
      <c r="AE961" s="6" t="n">
        <v>2500.55834960938</v>
      </c>
      <c r="AF961" s="8" t="n">
        <v>317.832631944</v>
      </c>
      <c r="AG961" s="11" t="n">
        <v>-0.03550243202</v>
      </c>
      <c r="AH961" s="12" t="n">
        <v>0.999567038784012</v>
      </c>
      <c r="AI961" s="2" t="s">
        <v>317</v>
      </c>
      <c r="AJ961" s="2" t="s">
        <v>2168</v>
      </c>
      <c r="AK961" s="2" t="s">
        <v>2168</v>
      </c>
    </row>
    <row r="962" customFormat="false" ht="15" hidden="false" customHeight="false" outlineLevel="0" collapsed="false">
      <c r="A962" s="9"/>
      <c r="B962" s="2" t="s">
        <v>2169</v>
      </c>
      <c r="C962" s="2" t="s">
        <v>2170</v>
      </c>
      <c r="D962" s="2" t="s">
        <v>524</v>
      </c>
      <c r="E962" s="2" t="s">
        <v>456</v>
      </c>
      <c r="F962" s="2"/>
      <c r="G962" s="2" t="s">
        <v>458</v>
      </c>
      <c r="H962" s="8" t="n">
        <v>315.656772888556</v>
      </c>
      <c r="I962" s="2" t="s">
        <v>316</v>
      </c>
      <c r="J962" s="8" t="n">
        <v>345015.111111111</v>
      </c>
      <c r="K962" s="6" t="n">
        <v>18</v>
      </c>
      <c r="L962" s="2"/>
      <c r="M962" s="10" t="b">
        <f aca="false">TRUE()</f>
        <v>1</v>
      </c>
      <c r="N962" s="9" t="str">
        <f aca="false">IF(H962="","",IF(H962&gt;=Assumptions!$B$5,1,IF(H962&gt;=Assumptions!$B$6,2,IF(H962&gt;=Assumptions!$B$7,3,""))))</f>
        <v/>
      </c>
      <c r="O962" s="9" t="n">
        <f aca="false">IF(N962=1,Assumptions!$B$8,IF(N962=2,Assumptions!$B$9,IF(N962=3,Assumptions!$B$10,0)))</f>
        <v>0</v>
      </c>
      <c r="P962" s="6" t="s">
        <v>30</v>
      </c>
      <c r="Q962" s="6" t="s">
        <v>30</v>
      </c>
      <c r="R962" s="11" t="s">
        <v>30</v>
      </c>
      <c r="S962" s="6" t="s">
        <v>30</v>
      </c>
      <c r="T962" s="11" t="s">
        <v>30</v>
      </c>
      <c r="U962" s="6" t="s">
        <v>30</v>
      </c>
      <c r="V962" s="6" t="s">
        <v>30</v>
      </c>
      <c r="W962" s="6" t="s">
        <v>30</v>
      </c>
      <c r="X962" s="2" t="s">
        <v>30</v>
      </c>
      <c r="Y962" s="6" t="str">
        <f aca="false">IF(AND(X962="processed",ISNUMBER(S962)),S962*O962,"")</f>
        <v/>
      </c>
      <c r="Z962" s="6" t="n">
        <f aca="false">IF(ISNUMBER(K962),K962*O962,0)</f>
        <v>0</v>
      </c>
      <c r="AA962" s="2" t="s">
        <v>31</v>
      </c>
      <c r="AB962" s="6" t="n">
        <v>1126</v>
      </c>
      <c r="AC962" s="6" t="n">
        <v>1011</v>
      </c>
      <c r="AD962" s="6" t="n">
        <v>1101</v>
      </c>
      <c r="AE962" s="6" t="n">
        <v>1276.08703613281</v>
      </c>
      <c r="AF962" s="8" t="n">
        <v>319.929185635</v>
      </c>
      <c r="AG962" s="11" t="n">
        <v>-0.2073068863</v>
      </c>
      <c r="AH962" s="12" t="n">
        <v>0.999999999999998</v>
      </c>
      <c r="AI962" s="2" t="s">
        <v>317</v>
      </c>
      <c r="AJ962" s="2" t="s">
        <v>2170</v>
      </c>
      <c r="AK962" s="2" t="s">
        <v>2170</v>
      </c>
    </row>
    <row r="963" customFormat="false" ht="15" hidden="false" customHeight="false" outlineLevel="0" collapsed="false">
      <c r="A963" s="9"/>
      <c r="B963" s="2" t="s">
        <v>2171</v>
      </c>
      <c r="C963" s="2" t="s">
        <v>2172</v>
      </c>
      <c r="D963" s="2" t="s">
        <v>524</v>
      </c>
      <c r="E963" s="2" t="s">
        <v>456</v>
      </c>
      <c r="F963" s="2"/>
      <c r="G963" s="2" t="s">
        <v>458</v>
      </c>
      <c r="H963" s="8" t="n">
        <v>243.645646037042</v>
      </c>
      <c r="I963" s="2" t="s">
        <v>316</v>
      </c>
      <c r="J963" s="8" t="n">
        <v>321645.833333333</v>
      </c>
      <c r="K963" s="6" t="n">
        <v>24</v>
      </c>
      <c r="L963" s="2"/>
      <c r="M963" s="10" t="b">
        <f aca="false">TRUE()</f>
        <v>1</v>
      </c>
      <c r="N963" s="9" t="str">
        <f aca="false">IF(H963="","",IF(H963&gt;=Assumptions!$B$5,1,IF(H963&gt;=Assumptions!$B$6,2,IF(H963&gt;=Assumptions!$B$7,3,""))))</f>
        <v/>
      </c>
      <c r="O963" s="9" t="n">
        <f aca="false">IF(N963=1,Assumptions!$B$8,IF(N963=2,Assumptions!$B$9,IF(N963=3,Assumptions!$B$10,0)))</f>
        <v>0</v>
      </c>
      <c r="P963" s="6" t="s">
        <v>30</v>
      </c>
      <c r="Q963" s="6" t="s">
        <v>30</v>
      </c>
      <c r="R963" s="11" t="s">
        <v>30</v>
      </c>
      <c r="S963" s="6" t="s">
        <v>30</v>
      </c>
      <c r="T963" s="11" t="s">
        <v>30</v>
      </c>
      <c r="U963" s="6" t="s">
        <v>30</v>
      </c>
      <c r="V963" s="6" t="s">
        <v>30</v>
      </c>
      <c r="W963" s="6" t="s">
        <v>30</v>
      </c>
      <c r="X963" s="2" t="s">
        <v>30</v>
      </c>
      <c r="Y963" s="6" t="str">
        <f aca="false">IF(AND(X963="processed",ISNUMBER(S963)),S963*O963,"")</f>
        <v/>
      </c>
      <c r="Z963" s="6" t="n">
        <f aca="false">IF(ISNUMBER(K963),K963*O963,0)</f>
        <v>0</v>
      </c>
      <c r="AA963" s="2" t="s">
        <v>31</v>
      </c>
      <c r="AB963" s="6" t="n">
        <v>634</v>
      </c>
      <c r="AC963" s="6" t="n">
        <v>545</v>
      </c>
      <c r="AD963" s="6" t="n">
        <v>546</v>
      </c>
      <c r="AE963" s="6" t="n">
        <v>1209.08801269531</v>
      </c>
      <c r="AF963" s="8" t="n">
        <v>201.445020805</v>
      </c>
      <c r="AG963" s="11" t="n">
        <v>-0.2878682709</v>
      </c>
      <c r="AH963" s="12" t="n">
        <v>1</v>
      </c>
      <c r="AI963" s="2" t="s">
        <v>317</v>
      </c>
      <c r="AJ963" s="2" t="s">
        <v>2172</v>
      </c>
      <c r="AK963" s="2" t="s">
        <v>2172</v>
      </c>
    </row>
    <row r="964" customFormat="false" ht="15" hidden="false" customHeight="false" outlineLevel="0" collapsed="false">
      <c r="A964" s="9"/>
      <c r="B964" s="2" t="s">
        <v>2173</v>
      </c>
      <c r="C964" s="2" t="s">
        <v>2174</v>
      </c>
      <c r="D964" s="2" t="s">
        <v>524</v>
      </c>
      <c r="E964" s="2" t="s">
        <v>456</v>
      </c>
      <c r="F964" s="2"/>
      <c r="G964" s="2" t="s">
        <v>458</v>
      </c>
      <c r="H964" s="8" t="n">
        <v>369.204556611298</v>
      </c>
      <c r="I964" s="2" t="s">
        <v>316</v>
      </c>
      <c r="J964" s="8" t="n">
        <v>516447.115384615</v>
      </c>
      <c r="K964" s="6" t="n">
        <v>208</v>
      </c>
      <c r="L964" s="2"/>
      <c r="M964" s="10" t="b">
        <f aca="false">TRUE()</f>
        <v>1</v>
      </c>
      <c r="N964" s="9" t="str">
        <f aca="false">IF(H964="","",IF(H964&gt;=Assumptions!$B$5,1,IF(H964&gt;=Assumptions!$B$6,2,IF(H964&gt;=Assumptions!$B$7,3,""))))</f>
        <v/>
      </c>
      <c r="O964" s="9" t="n">
        <f aca="false">IF(N964=1,Assumptions!$B$8,IF(N964=2,Assumptions!$B$9,IF(N964=3,Assumptions!$B$10,0)))</f>
        <v>0</v>
      </c>
      <c r="P964" s="6" t="s">
        <v>30</v>
      </c>
      <c r="Q964" s="6" t="s">
        <v>30</v>
      </c>
      <c r="R964" s="11" t="s">
        <v>30</v>
      </c>
      <c r="S964" s="6" t="s">
        <v>30</v>
      </c>
      <c r="T964" s="11" t="s">
        <v>30</v>
      </c>
      <c r="U964" s="6" t="s">
        <v>30</v>
      </c>
      <c r="V964" s="6" t="s">
        <v>30</v>
      </c>
      <c r="W964" s="6" t="s">
        <v>30</v>
      </c>
      <c r="X964" s="2" t="s">
        <v>30</v>
      </c>
      <c r="Y964" s="6" t="str">
        <f aca="false">IF(AND(X964="processed",ISNUMBER(S964)),S964*O964,"")</f>
        <v/>
      </c>
      <c r="Z964" s="6" t="n">
        <f aca="false">IF(ISNUMBER(K964),K964*O964,0)</f>
        <v>0</v>
      </c>
      <c r="AA964" s="2" t="s">
        <v>31</v>
      </c>
      <c r="AB964" s="6" t="n">
        <v>18985</v>
      </c>
      <c r="AC964" s="6" t="n">
        <v>16145</v>
      </c>
      <c r="AD964" s="6" t="n">
        <v>2640</v>
      </c>
      <c r="AE964" s="6" t="n">
        <v>1838.47692871094</v>
      </c>
      <c r="AF964" s="8" t="n">
        <v>384.401464803</v>
      </c>
      <c r="AG964" s="11" t="n">
        <v>-0.001224715798</v>
      </c>
      <c r="AH964" s="12" t="n">
        <v>0.640218083245544</v>
      </c>
      <c r="AI964" s="2" t="s">
        <v>317</v>
      </c>
      <c r="AJ964" s="2" t="s">
        <v>2174</v>
      </c>
      <c r="AK964" s="2" t="s">
        <v>2174</v>
      </c>
    </row>
    <row r="965" customFormat="false" ht="15" hidden="false" customHeight="false" outlineLevel="0" collapsed="false">
      <c r="A965" s="9"/>
      <c r="B965" s="2" t="s">
        <v>2175</v>
      </c>
      <c r="C965" s="2" t="s">
        <v>2176</v>
      </c>
      <c r="D965" s="2" t="s">
        <v>524</v>
      </c>
      <c r="E965" s="2" t="s">
        <v>456</v>
      </c>
      <c r="F965" s="2"/>
      <c r="G965" s="2" t="s">
        <v>458</v>
      </c>
      <c r="H965" s="8" t="n">
        <v>274.295094504099</v>
      </c>
      <c r="I965" s="2" t="s">
        <v>316</v>
      </c>
      <c r="J965" s="8" t="n">
        <v>354751.908396947</v>
      </c>
      <c r="K965" s="6" t="n">
        <v>262</v>
      </c>
      <c r="L965" s="2"/>
      <c r="M965" s="10" t="b">
        <f aca="false">TRUE()</f>
        <v>1</v>
      </c>
      <c r="N965" s="9" t="str">
        <f aca="false">IF(H965="","",IF(H965&gt;=Assumptions!$B$5,1,IF(H965&gt;=Assumptions!$B$6,2,IF(H965&gt;=Assumptions!$B$7,3,""))))</f>
        <v/>
      </c>
      <c r="O965" s="9" t="n">
        <f aca="false">IF(N965=1,Assumptions!$B$8,IF(N965=2,Assumptions!$B$9,IF(N965=3,Assumptions!$B$10,0)))</f>
        <v>0</v>
      </c>
      <c r="P965" s="6" t="s">
        <v>30</v>
      </c>
      <c r="Q965" s="6" t="s">
        <v>30</v>
      </c>
      <c r="R965" s="11" t="s">
        <v>30</v>
      </c>
      <c r="S965" s="6" t="s">
        <v>30</v>
      </c>
      <c r="T965" s="11" t="s">
        <v>30</v>
      </c>
      <c r="U965" s="6" t="s">
        <v>30</v>
      </c>
      <c r="V965" s="6" t="s">
        <v>30</v>
      </c>
      <c r="W965" s="6" t="s">
        <v>30</v>
      </c>
      <c r="X965" s="2" t="s">
        <v>30</v>
      </c>
      <c r="Y965" s="6" t="str">
        <f aca="false">IF(AND(X965="processed",ISNUMBER(S965)),S965*O965,"")</f>
        <v/>
      </c>
      <c r="Z965" s="6" t="n">
        <f aca="false">IF(ISNUMBER(K965),K965*O965,0)</f>
        <v>0</v>
      </c>
      <c r="AA965" s="2" t="s">
        <v>31</v>
      </c>
      <c r="AB965" s="6" t="n">
        <v>4827</v>
      </c>
      <c r="AC965" s="6" t="n">
        <v>4255</v>
      </c>
      <c r="AD965" s="6" t="n">
        <v>4794</v>
      </c>
      <c r="AE965" s="6" t="n">
        <v>1191.15356445313</v>
      </c>
      <c r="AF965" s="8" t="n">
        <v>280.714817573</v>
      </c>
      <c r="AG965" s="11" t="n">
        <v>0.03024737321</v>
      </c>
      <c r="AH965" s="12" t="n">
        <v>0.999999999999999</v>
      </c>
      <c r="AI965" s="2" t="s">
        <v>321</v>
      </c>
      <c r="AJ965" s="2" t="s">
        <v>2176</v>
      </c>
      <c r="AK965" s="2" t="s">
        <v>524</v>
      </c>
    </row>
    <row r="966" customFormat="false" ht="15" hidden="false" customHeight="false" outlineLevel="0" collapsed="false">
      <c r="A966" s="9"/>
      <c r="B966" s="2" t="s">
        <v>2177</v>
      </c>
      <c r="C966" s="2"/>
      <c r="D966" s="2" t="s">
        <v>1190</v>
      </c>
      <c r="E966" s="2" t="s">
        <v>1191</v>
      </c>
      <c r="F966" s="2"/>
      <c r="G966" s="2" t="s">
        <v>458</v>
      </c>
      <c r="H966" s="8" t="n">
        <v>424.801123277</v>
      </c>
      <c r="I966" s="2" t="s">
        <v>316</v>
      </c>
      <c r="J966" s="8" t="n">
        <v>395500</v>
      </c>
      <c r="K966" s="6" t="n">
        <v>2</v>
      </c>
      <c r="L966" s="2" t="s">
        <v>1664</v>
      </c>
      <c r="M966" s="10" t="b">
        <f aca="false">FALSE()</f>
        <v>0</v>
      </c>
      <c r="N966" s="9" t="str">
        <f aca="false">IF(H966="","",IF(H966&gt;=Assumptions!$B$5,1,IF(H966&gt;=Assumptions!$B$6,2,IF(H966&gt;=Assumptions!$B$7,3,""))))</f>
        <v/>
      </c>
      <c r="O966" s="9" t="n">
        <f aca="false">IF(N966=1,Assumptions!$B$8,IF(N966=2,Assumptions!$B$9,IF(N966=3,Assumptions!$B$10,0)))</f>
        <v>0</v>
      </c>
      <c r="P966" s="6" t="s">
        <v>30</v>
      </c>
      <c r="Q966" s="6" t="s">
        <v>30</v>
      </c>
      <c r="R966" s="11" t="s">
        <v>30</v>
      </c>
      <c r="S966" s="6" t="s">
        <v>30</v>
      </c>
      <c r="T966" s="11" t="s">
        <v>30</v>
      </c>
      <c r="U966" s="6" t="s">
        <v>30</v>
      </c>
      <c r="V966" s="6" t="s">
        <v>30</v>
      </c>
      <c r="W966" s="6" t="s">
        <v>30</v>
      </c>
      <c r="X966" s="2" t="s">
        <v>30</v>
      </c>
      <c r="Y966" s="6" t="str">
        <f aca="false">IF(AND(X966="processed",ISNUMBER(S966)),S966*O966,"")</f>
        <v/>
      </c>
      <c r="Z966" s="6" t="n">
        <f aca="false">IF(ISNUMBER(K966),K966*O966,0)</f>
        <v>0</v>
      </c>
      <c r="AA966" s="2" t="s">
        <v>31</v>
      </c>
      <c r="AB966" s="6"/>
      <c r="AC966" s="6"/>
      <c r="AD966" s="6"/>
      <c r="AE966" s="6"/>
      <c r="AF966" s="8" t="n">
        <v>552.536231884</v>
      </c>
      <c r="AG966" s="11" t="n">
        <v>0.08117900509</v>
      </c>
      <c r="AH966" s="12"/>
      <c r="AI966" s="2"/>
      <c r="AJ966" s="2"/>
      <c r="AK966" s="2"/>
    </row>
    <row r="967" customFormat="false" ht="15" hidden="false" customHeight="false" outlineLevel="0" collapsed="false">
      <c r="A967" s="9"/>
      <c r="B967" s="2" t="s">
        <v>2178</v>
      </c>
      <c r="C967" s="2" t="s">
        <v>2179</v>
      </c>
      <c r="D967" s="2" t="s">
        <v>524</v>
      </c>
      <c r="E967" s="2" t="s">
        <v>456</v>
      </c>
      <c r="F967" s="2"/>
      <c r="G967" s="2" t="s">
        <v>458</v>
      </c>
      <c r="H967" s="8" t="n">
        <v>129.546429546667</v>
      </c>
      <c r="I967" s="2" t="s">
        <v>316</v>
      </c>
      <c r="J967" s="8" t="n">
        <v>150000</v>
      </c>
      <c r="K967" s="6" t="n">
        <v>3</v>
      </c>
      <c r="L967" s="2" t="s">
        <v>1664</v>
      </c>
      <c r="M967" s="10" t="b">
        <f aca="false">TRUE()</f>
        <v>1</v>
      </c>
      <c r="N967" s="9" t="str">
        <f aca="false">IF(H967="","",IF(H967&gt;=Assumptions!$B$5,1,IF(H967&gt;=Assumptions!$B$6,2,IF(H967&gt;=Assumptions!$B$7,3,""))))</f>
        <v/>
      </c>
      <c r="O967" s="9" t="n">
        <f aca="false">IF(N967=1,Assumptions!$B$8,IF(N967=2,Assumptions!$B$9,IF(N967=3,Assumptions!$B$10,0)))</f>
        <v>0</v>
      </c>
      <c r="P967" s="6" t="s">
        <v>30</v>
      </c>
      <c r="Q967" s="6" t="s">
        <v>30</v>
      </c>
      <c r="R967" s="11" t="s">
        <v>30</v>
      </c>
      <c r="S967" s="6" t="s">
        <v>30</v>
      </c>
      <c r="T967" s="11" t="s">
        <v>30</v>
      </c>
      <c r="U967" s="6" t="s">
        <v>30</v>
      </c>
      <c r="V967" s="6" t="s">
        <v>30</v>
      </c>
      <c r="W967" s="6" t="s">
        <v>30</v>
      </c>
      <c r="X967" s="2" t="s">
        <v>30</v>
      </c>
      <c r="Y967" s="6" t="str">
        <f aca="false">IF(AND(X967="processed",ISNUMBER(S967)),S967*O967,"")</f>
        <v/>
      </c>
      <c r="Z967" s="6" t="n">
        <f aca="false">IF(ISNUMBER(K967),K967*O967,0)</f>
        <v>0</v>
      </c>
      <c r="AA967" s="2" t="s">
        <v>31</v>
      </c>
      <c r="AB967" s="6" t="n">
        <v>564</v>
      </c>
      <c r="AC967" s="6" t="n">
        <v>435</v>
      </c>
      <c r="AD967" s="6" t="n">
        <v>135</v>
      </c>
      <c r="AE967" s="6" t="n">
        <v>1464.17126464844</v>
      </c>
      <c r="AF967" s="8" t="n">
        <v>43.29004329</v>
      </c>
      <c r="AG967" s="11" t="n">
        <v>-0.1952491952</v>
      </c>
      <c r="AH967" s="12" t="n">
        <v>0.999999999999999</v>
      </c>
      <c r="AI967" s="2" t="s">
        <v>321</v>
      </c>
      <c r="AJ967" s="2" t="s">
        <v>2179</v>
      </c>
      <c r="AK967" s="2" t="s">
        <v>2152</v>
      </c>
    </row>
    <row r="968" customFormat="false" ht="15" hidden="false" customHeight="false" outlineLevel="0" collapsed="false">
      <c r="A968" s="9"/>
      <c r="B968" s="2" t="s">
        <v>2180</v>
      </c>
      <c r="C968" s="2" t="s">
        <v>2181</v>
      </c>
      <c r="D968" s="2" t="s">
        <v>2182</v>
      </c>
      <c r="E968" s="2" t="s">
        <v>51</v>
      </c>
      <c r="F968" s="2"/>
      <c r="G968" s="2"/>
      <c r="H968" s="8"/>
      <c r="I968" s="2"/>
      <c r="J968" s="8"/>
      <c r="K968" s="6"/>
      <c r="L968" s="2"/>
      <c r="M968" s="10" t="b">
        <f aca="false">TRUE()</f>
        <v>1</v>
      </c>
      <c r="N968" s="9" t="str">
        <f aca="false">IF(H968="","",IF(H968&gt;=Assumptions!$B$5,1,IF(H968&gt;=Assumptions!$B$6,2,IF(H968&gt;=Assumptions!$B$7,3,""))))</f>
        <v/>
      </c>
      <c r="O968" s="9" t="n">
        <f aca="false">IF(N968=1,Assumptions!$B$8,IF(N968=2,Assumptions!$B$9,IF(N968=3,Assumptions!$B$10,0)))</f>
        <v>0</v>
      </c>
      <c r="P968" s="6" t="s">
        <v>30</v>
      </c>
      <c r="Q968" s="6" t="s">
        <v>30</v>
      </c>
      <c r="R968" s="11" t="s">
        <v>30</v>
      </c>
      <c r="S968" s="6" t="s">
        <v>30</v>
      </c>
      <c r="T968" s="11" t="s">
        <v>30</v>
      </c>
      <c r="U968" s="6" t="s">
        <v>30</v>
      </c>
      <c r="V968" s="6" t="s">
        <v>30</v>
      </c>
      <c r="W968" s="6" t="s">
        <v>30</v>
      </c>
      <c r="X968" s="2" t="s">
        <v>30</v>
      </c>
      <c r="Y968" s="6" t="str">
        <f aca="false">IF(AND(X968="processed",ISNUMBER(S968)),S968*O968,"")</f>
        <v/>
      </c>
      <c r="Z968" s="6" t="n">
        <f aca="false">IF(ISNUMBER(K968),K968*O968,0)</f>
        <v>0</v>
      </c>
      <c r="AA968" s="2" t="s">
        <v>31</v>
      </c>
      <c r="AB968" s="6" t="n">
        <v>432</v>
      </c>
      <c r="AC968" s="6" t="n">
        <v>298</v>
      </c>
      <c r="AD968" s="6" t="n">
        <v>16</v>
      </c>
      <c r="AE968" s="6" t="n">
        <v>1303.02941894531</v>
      </c>
      <c r="AF968" s="8"/>
      <c r="AG968" s="11"/>
      <c r="AH968" s="12" t="n">
        <v>0.99999740707804</v>
      </c>
      <c r="AI968" s="2" t="s">
        <v>319</v>
      </c>
      <c r="AJ968" s="2"/>
      <c r="AK968" s="2" t="s">
        <v>2181</v>
      </c>
    </row>
    <row r="969" customFormat="false" ht="15" hidden="false" customHeight="false" outlineLevel="0" collapsed="false">
      <c r="A969" s="9"/>
      <c r="B969" s="2" t="s">
        <v>2183</v>
      </c>
      <c r="C969" s="2" t="s">
        <v>2184</v>
      </c>
      <c r="D969" s="2" t="s">
        <v>524</v>
      </c>
      <c r="E969" s="2" t="s">
        <v>456</v>
      </c>
      <c r="F969" s="2"/>
      <c r="G969" s="2"/>
      <c r="H969" s="8"/>
      <c r="I969" s="2"/>
      <c r="J969" s="8"/>
      <c r="K969" s="6"/>
      <c r="L969" s="2"/>
      <c r="M969" s="10" t="b">
        <f aca="false">TRUE()</f>
        <v>1</v>
      </c>
      <c r="N969" s="9" t="str">
        <f aca="false">IF(H969="","",IF(H969&gt;=Assumptions!$B$5,1,IF(H969&gt;=Assumptions!$B$6,2,IF(H969&gt;=Assumptions!$B$7,3,""))))</f>
        <v/>
      </c>
      <c r="O969" s="9" t="n">
        <f aca="false">IF(N969=1,Assumptions!$B$8,IF(N969=2,Assumptions!$B$9,IF(N969=3,Assumptions!$B$10,0)))</f>
        <v>0</v>
      </c>
      <c r="P969" s="6" t="s">
        <v>30</v>
      </c>
      <c r="Q969" s="6" t="s">
        <v>30</v>
      </c>
      <c r="R969" s="11" t="s">
        <v>30</v>
      </c>
      <c r="S969" s="6" t="s">
        <v>30</v>
      </c>
      <c r="T969" s="11" t="s">
        <v>30</v>
      </c>
      <c r="U969" s="6" t="s">
        <v>30</v>
      </c>
      <c r="V969" s="6" t="s">
        <v>30</v>
      </c>
      <c r="W969" s="6" t="s">
        <v>30</v>
      </c>
      <c r="X969" s="2" t="s">
        <v>30</v>
      </c>
      <c r="Y969" s="6" t="str">
        <f aca="false">IF(AND(X969="processed",ISNUMBER(S969)),S969*O969,"")</f>
        <v/>
      </c>
      <c r="Z969" s="6" t="n">
        <f aca="false">IF(ISNUMBER(K969),K969*O969,0)</f>
        <v>0</v>
      </c>
      <c r="AA969" s="2" t="s">
        <v>31</v>
      </c>
      <c r="AB969" s="6" t="n">
        <v>232</v>
      </c>
      <c r="AC969" s="6" t="n">
        <v>139</v>
      </c>
      <c r="AD969" s="6" t="n">
        <v>11</v>
      </c>
      <c r="AE969" s="6" t="n">
        <v>1447.91625976563</v>
      </c>
      <c r="AF969" s="8"/>
      <c r="AG969" s="11"/>
      <c r="AH969" s="12" t="n">
        <v>1</v>
      </c>
      <c r="AI969" s="2" t="s">
        <v>347</v>
      </c>
      <c r="AJ969" s="2" t="s">
        <v>2184</v>
      </c>
      <c r="AK969" s="2" t="s">
        <v>2185</v>
      </c>
    </row>
    <row r="970" customFormat="false" ht="15" hidden="false" customHeight="false" outlineLevel="0" collapsed="false">
      <c r="A970" s="9"/>
      <c r="B970" s="2" t="s">
        <v>2186</v>
      </c>
      <c r="C970" s="2" t="s">
        <v>2187</v>
      </c>
      <c r="D970" s="2" t="s">
        <v>524</v>
      </c>
      <c r="E970" s="2" t="s">
        <v>456</v>
      </c>
      <c r="F970" s="2" t="s">
        <v>2187</v>
      </c>
      <c r="G970" s="2" t="s">
        <v>458</v>
      </c>
      <c r="H970" s="8" t="n">
        <v>374.041392983529</v>
      </c>
      <c r="I970" s="2" t="s">
        <v>316</v>
      </c>
      <c r="J970" s="8" t="n">
        <v>498441.176470588</v>
      </c>
      <c r="K970" s="6" t="n">
        <v>68</v>
      </c>
      <c r="L970" s="2"/>
      <c r="M970" s="10" t="b">
        <f aca="false">TRUE()</f>
        <v>1</v>
      </c>
      <c r="N970" s="9" t="str">
        <f aca="false">IF(H970="","",IF(H970&gt;=Assumptions!$B$5,1,IF(H970&gt;=Assumptions!$B$6,2,IF(H970&gt;=Assumptions!$B$7,3,""))))</f>
        <v/>
      </c>
      <c r="O970" s="9" t="n">
        <f aca="false">IF(N970=1,Assumptions!$B$8,IF(N970=2,Assumptions!$B$9,IF(N970=3,Assumptions!$B$10,0)))</f>
        <v>0</v>
      </c>
      <c r="P970" s="6" t="s">
        <v>30</v>
      </c>
      <c r="Q970" s="6" t="s">
        <v>30</v>
      </c>
      <c r="R970" s="11" t="s">
        <v>30</v>
      </c>
      <c r="S970" s="6" t="s">
        <v>30</v>
      </c>
      <c r="T970" s="11" t="s">
        <v>30</v>
      </c>
      <c r="U970" s="6" t="s">
        <v>30</v>
      </c>
      <c r="V970" s="6" t="s">
        <v>30</v>
      </c>
      <c r="W970" s="6" t="s">
        <v>30</v>
      </c>
      <c r="X970" s="2" t="s">
        <v>30</v>
      </c>
      <c r="Y970" s="6" t="str">
        <f aca="false">IF(AND(X970="processed",ISNUMBER(S970)),S970*O970,"")</f>
        <v/>
      </c>
      <c r="Z970" s="6" t="n">
        <f aca="false">IF(ISNUMBER(K970),K970*O970,0)</f>
        <v>0</v>
      </c>
      <c r="AA970" s="2" t="s">
        <v>31</v>
      </c>
      <c r="AB970" s="6" t="n">
        <v>1134</v>
      </c>
      <c r="AC970" s="6" t="n">
        <v>951</v>
      </c>
      <c r="AD970" s="6" t="n">
        <v>63</v>
      </c>
      <c r="AE970" s="6" t="n">
        <v>1254.59631347656</v>
      </c>
      <c r="AF970" s="8" t="n">
        <v>432.692307692</v>
      </c>
      <c r="AG970" s="11" t="n">
        <v>0.2007211538</v>
      </c>
      <c r="AH970" s="12" t="n">
        <v>0.999999999999998</v>
      </c>
      <c r="AI970" s="2" t="s">
        <v>317</v>
      </c>
      <c r="AJ970" s="2" t="s">
        <v>2187</v>
      </c>
      <c r="AK970" s="2" t="s">
        <v>2159</v>
      </c>
    </row>
    <row r="971" customFormat="false" ht="15" hidden="false" customHeight="false" outlineLevel="0" collapsed="false">
      <c r="A971" s="9"/>
      <c r="B971" s="2" t="s">
        <v>2188</v>
      </c>
      <c r="C971" s="2" t="s">
        <v>2189</v>
      </c>
      <c r="D971" s="2" t="s">
        <v>524</v>
      </c>
      <c r="E971" s="2" t="s">
        <v>456</v>
      </c>
      <c r="F971" s="2" t="s">
        <v>2190</v>
      </c>
      <c r="G971" s="2" t="s">
        <v>458</v>
      </c>
      <c r="H971" s="8" t="n">
        <v>428.386293684269</v>
      </c>
      <c r="I971" s="2" t="s">
        <v>316</v>
      </c>
      <c r="J971" s="8" t="n">
        <v>564260.273972603</v>
      </c>
      <c r="K971" s="6" t="n">
        <v>219</v>
      </c>
      <c r="L971" s="2"/>
      <c r="M971" s="10" t="b">
        <f aca="false">TRUE()</f>
        <v>1</v>
      </c>
      <c r="N971" s="9" t="str">
        <f aca="false">IF(H971="","",IF(H971&gt;=Assumptions!$B$5,1,IF(H971&gt;=Assumptions!$B$6,2,IF(H971&gt;=Assumptions!$B$7,3,""))))</f>
        <v/>
      </c>
      <c r="O971" s="9" t="n">
        <f aca="false">IF(N971=1,Assumptions!$B$8,IF(N971=2,Assumptions!$B$9,IF(N971=3,Assumptions!$B$10,0)))</f>
        <v>0</v>
      </c>
      <c r="P971" s="6" t="s">
        <v>30</v>
      </c>
      <c r="Q971" s="6" t="s">
        <v>30</v>
      </c>
      <c r="R971" s="11" t="s">
        <v>30</v>
      </c>
      <c r="S971" s="6" t="s">
        <v>30</v>
      </c>
      <c r="T971" s="11" t="s">
        <v>30</v>
      </c>
      <c r="U971" s="6" t="s">
        <v>30</v>
      </c>
      <c r="V971" s="6" t="s">
        <v>30</v>
      </c>
      <c r="W971" s="6" t="s">
        <v>30</v>
      </c>
      <c r="X971" s="2" t="s">
        <v>30</v>
      </c>
      <c r="Y971" s="6" t="str">
        <f aca="false">IF(AND(X971="processed",ISNUMBER(S971)),S971*O971,"")</f>
        <v/>
      </c>
      <c r="Z971" s="6" t="n">
        <f aca="false">IF(ISNUMBER(K971),K971*O971,0)</f>
        <v>0</v>
      </c>
      <c r="AA971" s="2" t="s">
        <v>31</v>
      </c>
      <c r="AB971" s="6" t="n">
        <v>26422</v>
      </c>
      <c r="AC971" s="6" t="n">
        <v>21599</v>
      </c>
      <c r="AD971" s="6" t="n">
        <v>8351</v>
      </c>
      <c r="AE971" s="6" t="n">
        <v>2072.41918945313</v>
      </c>
      <c r="AF971" s="8" t="n">
        <v>427.204374573</v>
      </c>
      <c r="AG971" s="11" t="n">
        <v>-0.0241437267</v>
      </c>
      <c r="AH971" s="12" t="n">
        <v>1</v>
      </c>
      <c r="AI971" s="2" t="s">
        <v>317</v>
      </c>
      <c r="AJ971" s="2" t="s">
        <v>2189</v>
      </c>
      <c r="AK971" s="2" t="s">
        <v>2189</v>
      </c>
    </row>
    <row r="972" customFormat="false" ht="15" hidden="false" customHeight="false" outlineLevel="0" collapsed="false">
      <c r="A972" s="9"/>
      <c r="B972" s="2" t="s">
        <v>2191</v>
      </c>
      <c r="C972" s="2" t="s">
        <v>2189</v>
      </c>
      <c r="D972" s="2" t="s">
        <v>524</v>
      </c>
      <c r="E972" s="2" t="s">
        <v>456</v>
      </c>
      <c r="F972" s="2" t="s">
        <v>2192</v>
      </c>
      <c r="G972" s="2" t="s">
        <v>458</v>
      </c>
      <c r="H972" s="8" t="n">
        <v>348.047544071624</v>
      </c>
      <c r="I972" s="2" t="s">
        <v>316</v>
      </c>
      <c r="J972" s="8" t="n">
        <v>717765.373158756</v>
      </c>
      <c r="K972" s="6" t="n">
        <v>611</v>
      </c>
      <c r="L972" s="2"/>
      <c r="M972" s="10" t="b">
        <f aca="false">TRUE()</f>
        <v>1</v>
      </c>
      <c r="N972" s="9" t="str">
        <f aca="false">IF(H972="","",IF(H972&gt;=Assumptions!$B$5,1,IF(H972&gt;=Assumptions!$B$6,2,IF(H972&gt;=Assumptions!$B$7,3,""))))</f>
        <v/>
      </c>
      <c r="O972" s="9" t="n">
        <f aca="false">IF(N972=1,Assumptions!$B$8,IF(N972=2,Assumptions!$B$9,IF(N972=3,Assumptions!$B$10,0)))</f>
        <v>0</v>
      </c>
      <c r="P972" s="6" t="s">
        <v>30</v>
      </c>
      <c r="Q972" s="6" t="s">
        <v>30</v>
      </c>
      <c r="R972" s="11" t="s">
        <v>30</v>
      </c>
      <c r="S972" s="6" t="s">
        <v>30</v>
      </c>
      <c r="T972" s="11" t="s">
        <v>30</v>
      </c>
      <c r="U972" s="6" t="s">
        <v>30</v>
      </c>
      <c r="V972" s="6" t="s">
        <v>30</v>
      </c>
      <c r="W972" s="6" t="s">
        <v>30</v>
      </c>
      <c r="X972" s="2" t="s">
        <v>30</v>
      </c>
      <c r="Y972" s="6" t="str">
        <f aca="false">IF(AND(X972="processed",ISNUMBER(S972)),S972*O972,"")</f>
        <v/>
      </c>
      <c r="Z972" s="6" t="n">
        <f aca="false">IF(ISNUMBER(K972),K972*O972,0)</f>
        <v>0</v>
      </c>
      <c r="AA972" s="2" t="s">
        <v>31</v>
      </c>
      <c r="AB972" s="6" t="n">
        <v>31095</v>
      </c>
      <c r="AC972" s="6" t="n">
        <v>28915</v>
      </c>
      <c r="AD972" s="6" t="n">
        <v>1299</v>
      </c>
      <c r="AE972" s="6" t="n">
        <v>2090.98071289063</v>
      </c>
      <c r="AF972" s="8" t="n">
        <v>343.609597326</v>
      </c>
      <c r="AG972" s="11" t="n">
        <v>0.00360289236</v>
      </c>
      <c r="AH972" s="12" t="n">
        <v>0.999999999999998</v>
      </c>
      <c r="AI972" s="2" t="s">
        <v>317</v>
      </c>
      <c r="AJ972" s="2" t="s">
        <v>2189</v>
      </c>
      <c r="AK972" s="2" t="s">
        <v>2189</v>
      </c>
    </row>
    <row r="973" customFormat="false" ht="15" hidden="false" customHeight="false" outlineLevel="0" collapsed="false">
      <c r="A973" s="9"/>
      <c r="B973" s="2" t="s">
        <v>2193</v>
      </c>
      <c r="C973" s="2" t="s">
        <v>2189</v>
      </c>
      <c r="D973" s="2" t="s">
        <v>524</v>
      </c>
      <c r="E973" s="2" t="s">
        <v>456</v>
      </c>
      <c r="F973" s="2" t="s">
        <v>2194</v>
      </c>
      <c r="G973" s="2" t="s">
        <v>458</v>
      </c>
      <c r="H973" s="8" t="n">
        <v>396.655579630121</v>
      </c>
      <c r="I973" s="2" t="s">
        <v>316</v>
      </c>
      <c r="J973" s="8" t="n">
        <v>593815.028901734</v>
      </c>
      <c r="K973" s="6" t="n">
        <v>173</v>
      </c>
      <c r="L973" s="2"/>
      <c r="M973" s="10" t="b">
        <f aca="false">TRUE()</f>
        <v>1</v>
      </c>
      <c r="N973" s="9" t="str">
        <f aca="false">IF(H973="","",IF(H973&gt;=Assumptions!$B$5,1,IF(H973&gt;=Assumptions!$B$6,2,IF(H973&gt;=Assumptions!$B$7,3,""))))</f>
        <v/>
      </c>
      <c r="O973" s="9" t="n">
        <f aca="false">IF(N973=1,Assumptions!$B$8,IF(N973=2,Assumptions!$B$9,IF(N973=3,Assumptions!$B$10,0)))</f>
        <v>0</v>
      </c>
      <c r="P973" s="6" t="s">
        <v>30</v>
      </c>
      <c r="Q973" s="6" t="s">
        <v>30</v>
      </c>
      <c r="R973" s="11" t="s">
        <v>30</v>
      </c>
      <c r="S973" s="6" t="s">
        <v>30</v>
      </c>
      <c r="T973" s="11" t="s">
        <v>30</v>
      </c>
      <c r="U973" s="6" t="s">
        <v>30</v>
      </c>
      <c r="V973" s="6" t="s">
        <v>30</v>
      </c>
      <c r="W973" s="6" t="s">
        <v>30</v>
      </c>
      <c r="X973" s="2" t="s">
        <v>30</v>
      </c>
      <c r="Y973" s="6" t="str">
        <f aca="false">IF(AND(X973="processed",ISNUMBER(S973)),S973*O973,"")</f>
        <v/>
      </c>
      <c r="Z973" s="6" t="n">
        <f aca="false">IF(ISNUMBER(K973),K973*O973,0)</f>
        <v>0</v>
      </c>
      <c r="AA973" s="2" t="s">
        <v>31</v>
      </c>
      <c r="AB973" s="6" t="n">
        <v>11242</v>
      </c>
      <c r="AC973" s="6" t="n">
        <v>10034</v>
      </c>
      <c r="AD973" s="6" t="n">
        <v>1163</v>
      </c>
      <c r="AE973" s="6" t="n">
        <v>1891.97509765625</v>
      </c>
      <c r="AF973" s="8" t="n">
        <v>382.395382395</v>
      </c>
      <c r="AG973" s="11" t="n">
        <v>-0.08351826411</v>
      </c>
      <c r="AH973" s="12" t="n">
        <v>0.99963166620658</v>
      </c>
      <c r="AI973" s="2" t="s">
        <v>317</v>
      </c>
      <c r="AJ973" s="2" t="s">
        <v>2189</v>
      </c>
      <c r="AK973" s="2" t="s">
        <v>2189</v>
      </c>
    </row>
    <row r="974" customFormat="false" ht="15" hidden="false" customHeight="false" outlineLevel="0" collapsed="false">
      <c r="A974" s="9"/>
      <c r="B974" s="2" t="s">
        <v>2195</v>
      </c>
      <c r="C974" s="2" t="s">
        <v>2196</v>
      </c>
      <c r="D974" s="2" t="s">
        <v>524</v>
      </c>
      <c r="E974" s="2" t="s">
        <v>456</v>
      </c>
      <c r="F974" s="2"/>
      <c r="G974" s="2"/>
      <c r="H974" s="8"/>
      <c r="I974" s="2"/>
      <c r="J974" s="8"/>
      <c r="K974" s="6"/>
      <c r="L974" s="2"/>
      <c r="M974" s="10" t="b">
        <f aca="false">TRUE()</f>
        <v>1</v>
      </c>
      <c r="N974" s="9" t="str">
        <f aca="false">IF(H974="","",IF(H974&gt;=Assumptions!$B$5,1,IF(H974&gt;=Assumptions!$B$6,2,IF(H974&gt;=Assumptions!$B$7,3,""))))</f>
        <v/>
      </c>
      <c r="O974" s="9" t="n">
        <f aca="false">IF(N974=1,Assumptions!$B$8,IF(N974=2,Assumptions!$B$9,IF(N974=3,Assumptions!$B$10,0)))</f>
        <v>0</v>
      </c>
      <c r="P974" s="6" t="s">
        <v>30</v>
      </c>
      <c r="Q974" s="6" t="s">
        <v>30</v>
      </c>
      <c r="R974" s="11" t="s">
        <v>30</v>
      </c>
      <c r="S974" s="6" t="s">
        <v>30</v>
      </c>
      <c r="T974" s="11" t="s">
        <v>30</v>
      </c>
      <c r="U974" s="6" t="s">
        <v>30</v>
      </c>
      <c r="V974" s="6" t="s">
        <v>30</v>
      </c>
      <c r="W974" s="6" t="s">
        <v>30</v>
      </c>
      <c r="X974" s="2" t="s">
        <v>30</v>
      </c>
      <c r="Y974" s="6" t="str">
        <f aca="false">IF(AND(X974="processed",ISNUMBER(S974)),S974*O974,"")</f>
        <v/>
      </c>
      <c r="Z974" s="6" t="n">
        <f aca="false">IF(ISNUMBER(K974),K974*O974,0)</f>
        <v>0</v>
      </c>
      <c r="AA974" s="2" t="s">
        <v>31</v>
      </c>
      <c r="AB974" s="6" t="n">
        <v>33</v>
      </c>
      <c r="AC974" s="6" t="n">
        <v>26</v>
      </c>
      <c r="AD974" s="6" t="n">
        <v>3</v>
      </c>
      <c r="AE974" s="6" t="n">
        <v>1902.54272460938</v>
      </c>
      <c r="AF974" s="8"/>
      <c r="AG974" s="11"/>
      <c r="AH974" s="12" t="n">
        <v>1</v>
      </c>
      <c r="AI974" s="2" t="s">
        <v>2197</v>
      </c>
      <c r="AJ974" s="2" t="s">
        <v>2198</v>
      </c>
      <c r="AK974" s="2" t="s">
        <v>2199</v>
      </c>
    </row>
    <row r="975" customFormat="false" ht="15" hidden="false" customHeight="false" outlineLevel="0" collapsed="false">
      <c r="A975" s="9"/>
      <c r="B975" s="2" t="s">
        <v>2200</v>
      </c>
      <c r="C975" s="2" t="s">
        <v>2201</v>
      </c>
      <c r="D975" s="2" t="s">
        <v>524</v>
      </c>
      <c r="E975" s="2" t="s">
        <v>456</v>
      </c>
      <c r="F975" s="2"/>
      <c r="G975" s="2" t="s">
        <v>458</v>
      </c>
      <c r="H975" s="8" t="n">
        <v>259.584129287267</v>
      </c>
      <c r="I975" s="2" t="s">
        <v>316</v>
      </c>
      <c r="J975" s="8" t="n">
        <v>331283.333333333</v>
      </c>
      <c r="K975" s="6" t="n">
        <v>30</v>
      </c>
      <c r="L975" s="2"/>
      <c r="M975" s="10" t="b">
        <f aca="false">TRUE()</f>
        <v>1</v>
      </c>
      <c r="N975" s="9" t="str">
        <f aca="false">IF(H975="","",IF(H975&gt;=Assumptions!$B$5,1,IF(H975&gt;=Assumptions!$B$6,2,IF(H975&gt;=Assumptions!$B$7,3,""))))</f>
        <v/>
      </c>
      <c r="O975" s="9" t="n">
        <f aca="false">IF(N975=1,Assumptions!$B$8,IF(N975=2,Assumptions!$B$9,IF(N975=3,Assumptions!$B$10,0)))</f>
        <v>0</v>
      </c>
      <c r="P975" s="6" t="s">
        <v>30</v>
      </c>
      <c r="Q975" s="6" t="s">
        <v>30</v>
      </c>
      <c r="R975" s="11" t="s">
        <v>30</v>
      </c>
      <c r="S975" s="6" t="s">
        <v>30</v>
      </c>
      <c r="T975" s="11" t="s">
        <v>30</v>
      </c>
      <c r="U975" s="6" t="s">
        <v>30</v>
      </c>
      <c r="V975" s="6" t="s">
        <v>30</v>
      </c>
      <c r="W975" s="6" t="s">
        <v>30</v>
      </c>
      <c r="X975" s="2" t="s">
        <v>30</v>
      </c>
      <c r="Y975" s="6" t="str">
        <f aca="false">IF(AND(X975="processed",ISNUMBER(S975)),S975*O975,"")</f>
        <v/>
      </c>
      <c r="Z975" s="6" t="n">
        <f aca="false">IF(ISNUMBER(K975),K975*O975,0)</f>
        <v>0</v>
      </c>
      <c r="AA975" s="2" t="s">
        <v>31</v>
      </c>
      <c r="AB975" s="6" t="n">
        <v>857</v>
      </c>
      <c r="AC975" s="6" t="n">
        <v>704</v>
      </c>
      <c r="AD975" s="6" t="n">
        <v>107</v>
      </c>
      <c r="AE975" s="6" t="n">
        <v>1239.798828125</v>
      </c>
      <c r="AF975" s="8" t="n">
        <v>283.244680851</v>
      </c>
      <c r="AG975" s="11" t="n">
        <v>0.119649562</v>
      </c>
      <c r="AH975" s="12" t="n">
        <v>1</v>
      </c>
      <c r="AI975" s="2" t="s">
        <v>317</v>
      </c>
      <c r="AJ975" s="2" t="s">
        <v>2201</v>
      </c>
      <c r="AK975" s="2" t="s">
        <v>2202</v>
      </c>
    </row>
    <row r="976" customFormat="false" ht="15" hidden="false" customHeight="false" outlineLevel="0" collapsed="false">
      <c r="A976" s="9"/>
      <c r="B976" s="2" t="s">
        <v>2203</v>
      </c>
      <c r="C976" s="2" t="s">
        <v>2204</v>
      </c>
      <c r="D976" s="2" t="s">
        <v>524</v>
      </c>
      <c r="E976" s="2" t="s">
        <v>456</v>
      </c>
      <c r="F976" s="2"/>
      <c r="G976" s="2" t="s">
        <v>458</v>
      </c>
      <c r="H976" s="8" t="n">
        <v>286.458556328225</v>
      </c>
      <c r="I976" s="2" t="s">
        <v>316</v>
      </c>
      <c r="J976" s="8" t="n">
        <v>329897.959183674</v>
      </c>
      <c r="K976" s="6" t="n">
        <v>49</v>
      </c>
      <c r="L976" s="2"/>
      <c r="M976" s="10" t="b">
        <f aca="false">TRUE()</f>
        <v>1</v>
      </c>
      <c r="N976" s="9" t="str">
        <f aca="false">IF(H976="","",IF(H976&gt;=Assumptions!$B$5,1,IF(H976&gt;=Assumptions!$B$6,2,IF(H976&gt;=Assumptions!$B$7,3,""))))</f>
        <v/>
      </c>
      <c r="O976" s="9" t="n">
        <f aca="false">IF(N976=1,Assumptions!$B$8,IF(N976=2,Assumptions!$B$9,IF(N976=3,Assumptions!$B$10,0)))</f>
        <v>0</v>
      </c>
      <c r="P976" s="6" t="s">
        <v>30</v>
      </c>
      <c r="Q976" s="6" t="s">
        <v>30</v>
      </c>
      <c r="R976" s="11" t="s">
        <v>30</v>
      </c>
      <c r="S976" s="6" t="s">
        <v>30</v>
      </c>
      <c r="T976" s="11" t="s">
        <v>30</v>
      </c>
      <c r="U976" s="6" t="s">
        <v>30</v>
      </c>
      <c r="V976" s="6" t="s">
        <v>30</v>
      </c>
      <c r="W976" s="6" t="s">
        <v>30</v>
      </c>
      <c r="X976" s="2" t="s">
        <v>30</v>
      </c>
      <c r="Y976" s="6" t="str">
        <f aca="false">IF(AND(X976="processed",ISNUMBER(S976)),S976*O976,"")</f>
        <v/>
      </c>
      <c r="Z976" s="6" t="n">
        <f aca="false">IF(ISNUMBER(K976),K976*O976,0)</f>
        <v>0</v>
      </c>
      <c r="AA976" s="2" t="s">
        <v>31</v>
      </c>
      <c r="AB976" s="6" t="n">
        <v>1054</v>
      </c>
      <c r="AC976" s="6" t="n">
        <v>897</v>
      </c>
      <c r="AD976" s="6" t="n">
        <v>982</v>
      </c>
      <c r="AE976" s="6" t="n">
        <v>1038.236328125</v>
      </c>
      <c r="AF976" s="8" t="n">
        <v>284.426229508</v>
      </c>
      <c r="AG976" s="11" t="n">
        <v>-0.1546833608</v>
      </c>
      <c r="AH976" s="12" t="n">
        <v>1</v>
      </c>
      <c r="AI976" s="2" t="s">
        <v>317</v>
      </c>
      <c r="AJ976" s="2" t="s">
        <v>2204</v>
      </c>
      <c r="AK976" s="2" t="s">
        <v>2204</v>
      </c>
    </row>
    <row r="977" customFormat="false" ht="15" hidden="false" customHeight="false" outlineLevel="0" collapsed="false">
      <c r="A977" s="9"/>
      <c r="B977" s="2" t="s">
        <v>2205</v>
      </c>
      <c r="C977" s="2" t="s">
        <v>2206</v>
      </c>
      <c r="D977" s="2" t="s">
        <v>524</v>
      </c>
      <c r="E977" s="2" t="s">
        <v>456</v>
      </c>
      <c r="F977" s="2" t="s">
        <v>2207</v>
      </c>
      <c r="G977" s="2" t="s">
        <v>458</v>
      </c>
      <c r="H977" s="8" t="n">
        <v>202.585282265959</v>
      </c>
      <c r="I977" s="2" t="s">
        <v>316</v>
      </c>
      <c r="J977" s="8" t="n">
        <v>377636.98630137</v>
      </c>
      <c r="K977" s="6" t="n">
        <v>146</v>
      </c>
      <c r="L977" s="2"/>
      <c r="M977" s="10" t="b">
        <f aca="false">TRUE()</f>
        <v>1</v>
      </c>
      <c r="N977" s="9" t="str">
        <f aca="false">IF(H977="","",IF(H977&gt;=Assumptions!$B$5,1,IF(H977&gt;=Assumptions!$B$6,2,IF(H977&gt;=Assumptions!$B$7,3,""))))</f>
        <v/>
      </c>
      <c r="O977" s="9" t="n">
        <f aca="false">IF(N977=1,Assumptions!$B$8,IF(N977=2,Assumptions!$B$9,IF(N977=3,Assumptions!$B$10,0)))</f>
        <v>0</v>
      </c>
      <c r="P977" s="6" t="s">
        <v>30</v>
      </c>
      <c r="Q977" s="6" t="s">
        <v>30</v>
      </c>
      <c r="R977" s="11" t="s">
        <v>30</v>
      </c>
      <c r="S977" s="6" t="s">
        <v>30</v>
      </c>
      <c r="T977" s="11" t="s">
        <v>30</v>
      </c>
      <c r="U977" s="6" t="s">
        <v>30</v>
      </c>
      <c r="V977" s="6" t="s">
        <v>30</v>
      </c>
      <c r="W977" s="6" t="s">
        <v>30</v>
      </c>
      <c r="X977" s="2" t="s">
        <v>30</v>
      </c>
      <c r="Y977" s="6" t="str">
        <f aca="false">IF(AND(X977="processed",ISNUMBER(S977)),S977*O977,"")</f>
        <v/>
      </c>
      <c r="Z977" s="6" t="n">
        <f aca="false">IF(ISNUMBER(K977),K977*O977,0)</f>
        <v>0</v>
      </c>
      <c r="AA977" s="2" t="s">
        <v>31</v>
      </c>
      <c r="AB977" s="6" t="n">
        <v>3354</v>
      </c>
      <c r="AC977" s="6" t="n">
        <v>3121</v>
      </c>
      <c r="AD977" s="6" t="n">
        <v>372</v>
      </c>
      <c r="AE977" s="6" t="n">
        <v>3038.35791015625</v>
      </c>
      <c r="AF977" s="8" t="n">
        <v>208.42009313</v>
      </c>
      <c r="AG977" s="11" t="n">
        <v>-0.009692675552</v>
      </c>
      <c r="AH977" s="12" t="n">
        <v>1</v>
      </c>
      <c r="AI977" s="2" t="s">
        <v>317</v>
      </c>
      <c r="AJ977" s="2" t="s">
        <v>2206</v>
      </c>
      <c r="AK977" s="2" t="s">
        <v>2206</v>
      </c>
    </row>
    <row r="978" customFormat="false" ht="15" hidden="false" customHeight="false" outlineLevel="0" collapsed="false">
      <c r="A978" s="9"/>
      <c r="B978" s="2" t="s">
        <v>2208</v>
      </c>
      <c r="C978" s="2" t="s">
        <v>2209</v>
      </c>
      <c r="D978" s="2" t="s">
        <v>524</v>
      </c>
      <c r="E978" s="2" t="s">
        <v>456</v>
      </c>
      <c r="F978" s="2"/>
      <c r="G978" s="2" t="s">
        <v>458</v>
      </c>
      <c r="H978" s="8" t="n">
        <v>247.184401793354</v>
      </c>
      <c r="I978" s="2" t="s">
        <v>316</v>
      </c>
      <c r="J978" s="8" t="n">
        <v>535796.880877743</v>
      </c>
      <c r="K978" s="6" t="n">
        <v>319</v>
      </c>
      <c r="L978" s="2"/>
      <c r="M978" s="10" t="b">
        <f aca="false">TRUE()</f>
        <v>1</v>
      </c>
      <c r="N978" s="9" t="str">
        <f aca="false">IF(H978="","",IF(H978&gt;=Assumptions!$B$5,1,IF(H978&gt;=Assumptions!$B$6,2,IF(H978&gt;=Assumptions!$B$7,3,""))))</f>
        <v/>
      </c>
      <c r="O978" s="9" t="n">
        <f aca="false">IF(N978=1,Assumptions!$B$8,IF(N978=2,Assumptions!$B$9,IF(N978=3,Assumptions!$B$10,0)))</f>
        <v>0</v>
      </c>
      <c r="P978" s="6" t="s">
        <v>30</v>
      </c>
      <c r="Q978" s="6" t="s">
        <v>30</v>
      </c>
      <c r="R978" s="11" t="s">
        <v>30</v>
      </c>
      <c r="S978" s="6" t="s">
        <v>30</v>
      </c>
      <c r="T978" s="11" t="s">
        <v>30</v>
      </c>
      <c r="U978" s="6" t="s">
        <v>30</v>
      </c>
      <c r="V978" s="6" t="s">
        <v>30</v>
      </c>
      <c r="W978" s="6" t="s">
        <v>30</v>
      </c>
      <c r="X978" s="2" t="s">
        <v>30</v>
      </c>
      <c r="Y978" s="6" t="str">
        <f aca="false">IF(AND(X978="processed",ISNUMBER(S978)),S978*O978,"")</f>
        <v/>
      </c>
      <c r="Z978" s="6" t="n">
        <f aca="false">IF(ISNUMBER(K978),K978*O978,0)</f>
        <v>0</v>
      </c>
      <c r="AA978" s="2" t="s">
        <v>31</v>
      </c>
      <c r="AB978" s="6" t="n">
        <v>9252</v>
      </c>
      <c r="AC978" s="6" t="n">
        <v>8228</v>
      </c>
      <c r="AD978" s="6" t="n">
        <v>3385</v>
      </c>
      <c r="AE978" s="6" t="n">
        <v>2658.13623046875</v>
      </c>
      <c r="AF978" s="8" t="n">
        <v>249.372402328</v>
      </c>
      <c r="AG978" s="11" t="n">
        <v>-0.02142829707</v>
      </c>
      <c r="AH978" s="12" t="n">
        <v>0.999999999999999</v>
      </c>
      <c r="AI978" s="2" t="s">
        <v>2210</v>
      </c>
      <c r="AJ978" s="2" t="s">
        <v>2211</v>
      </c>
      <c r="AK978" s="2" t="s">
        <v>2209</v>
      </c>
    </row>
    <row r="979" customFormat="false" ht="15" hidden="false" customHeight="false" outlineLevel="0" collapsed="false">
      <c r="A979" s="9"/>
      <c r="B979" s="2" t="s">
        <v>2212</v>
      </c>
      <c r="C979" s="2" t="s">
        <v>2209</v>
      </c>
      <c r="D979" s="2" t="s">
        <v>524</v>
      </c>
      <c r="E979" s="2" t="s">
        <v>456</v>
      </c>
      <c r="F979" s="2"/>
      <c r="G979" s="2" t="s">
        <v>458</v>
      </c>
      <c r="H979" s="8" t="n">
        <v>262.741005938485</v>
      </c>
      <c r="I979" s="2" t="s">
        <v>316</v>
      </c>
      <c r="J979" s="8" t="n">
        <v>459813.50132626</v>
      </c>
      <c r="K979" s="6" t="n">
        <v>754</v>
      </c>
      <c r="L979" s="2"/>
      <c r="M979" s="10" t="b">
        <f aca="false">TRUE()</f>
        <v>1</v>
      </c>
      <c r="N979" s="9" t="str">
        <f aca="false">IF(H979="","",IF(H979&gt;=Assumptions!$B$5,1,IF(H979&gt;=Assumptions!$B$6,2,IF(H979&gt;=Assumptions!$B$7,3,""))))</f>
        <v/>
      </c>
      <c r="O979" s="9" t="n">
        <f aca="false">IF(N979=1,Assumptions!$B$8,IF(N979=2,Assumptions!$B$9,IF(N979=3,Assumptions!$B$10,0)))</f>
        <v>0</v>
      </c>
      <c r="P979" s="6" t="s">
        <v>30</v>
      </c>
      <c r="Q979" s="6" t="s">
        <v>30</v>
      </c>
      <c r="R979" s="11" t="s">
        <v>30</v>
      </c>
      <c r="S979" s="6" t="s">
        <v>30</v>
      </c>
      <c r="T979" s="11" t="s">
        <v>30</v>
      </c>
      <c r="U979" s="6" t="s">
        <v>30</v>
      </c>
      <c r="V979" s="6" t="s">
        <v>30</v>
      </c>
      <c r="W979" s="6" t="s">
        <v>30</v>
      </c>
      <c r="X979" s="2" t="s">
        <v>30</v>
      </c>
      <c r="Y979" s="6" t="str">
        <f aca="false">IF(AND(X979="processed",ISNUMBER(S979)),S979*O979,"")</f>
        <v/>
      </c>
      <c r="Z979" s="6" t="n">
        <f aca="false">IF(ISNUMBER(K979),K979*O979,0)</f>
        <v>0</v>
      </c>
      <c r="AA979" s="2" t="s">
        <v>31</v>
      </c>
      <c r="AB979" s="6" t="n">
        <v>32806</v>
      </c>
      <c r="AC979" s="6" t="n">
        <v>29908</v>
      </c>
      <c r="AD979" s="6" t="n">
        <v>4147</v>
      </c>
      <c r="AE979" s="6" t="n">
        <v>2637.0439453125</v>
      </c>
      <c r="AF979" s="8" t="n">
        <v>258.013865779</v>
      </c>
      <c r="AG979" s="11" t="n">
        <v>-0.04446829516</v>
      </c>
      <c r="AH979" s="12" t="n">
        <v>1</v>
      </c>
      <c r="AI979" s="2" t="s">
        <v>317</v>
      </c>
      <c r="AJ979" s="2" t="s">
        <v>2209</v>
      </c>
      <c r="AK979" s="2" t="s">
        <v>2209</v>
      </c>
    </row>
    <row r="980" customFormat="false" ht="15" hidden="false" customHeight="false" outlineLevel="0" collapsed="false">
      <c r="A980" s="9"/>
      <c r="B980" s="2" t="s">
        <v>2213</v>
      </c>
      <c r="C980" s="2" t="s">
        <v>2214</v>
      </c>
      <c r="D980" s="2" t="s">
        <v>524</v>
      </c>
      <c r="E980" s="2" t="s">
        <v>456</v>
      </c>
      <c r="F980" s="2" t="s">
        <v>2215</v>
      </c>
      <c r="G980" s="2" t="s">
        <v>458</v>
      </c>
      <c r="H980" s="8" t="n">
        <v>317.305728486702</v>
      </c>
      <c r="I980" s="2" t="s">
        <v>316</v>
      </c>
      <c r="J980" s="8" t="n">
        <v>594075.464480874</v>
      </c>
      <c r="K980" s="6" t="n">
        <v>366</v>
      </c>
      <c r="L980" s="2"/>
      <c r="M980" s="10" t="b">
        <f aca="false">TRUE()</f>
        <v>1</v>
      </c>
      <c r="N980" s="9" t="str">
        <f aca="false">IF(H980="","",IF(H980&gt;=Assumptions!$B$5,1,IF(H980&gt;=Assumptions!$B$6,2,IF(H980&gt;=Assumptions!$B$7,3,""))))</f>
        <v/>
      </c>
      <c r="O980" s="9" t="n">
        <f aca="false">IF(N980=1,Assumptions!$B$8,IF(N980=2,Assumptions!$B$9,IF(N980=3,Assumptions!$B$10,0)))</f>
        <v>0</v>
      </c>
      <c r="P980" s="6" t="s">
        <v>30</v>
      </c>
      <c r="Q980" s="6" t="s">
        <v>30</v>
      </c>
      <c r="R980" s="11" t="s">
        <v>30</v>
      </c>
      <c r="S980" s="6" t="s">
        <v>30</v>
      </c>
      <c r="T980" s="11" t="s">
        <v>30</v>
      </c>
      <c r="U980" s="6" t="s">
        <v>30</v>
      </c>
      <c r="V980" s="6" t="s">
        <v>30</v>
      </c>
      <c r="W980" s="6" t="s">
        <v>30</v>
      </c>
      <c r="X980" s="2" t="s">
        <v>30</v>
      </c>
      <c r="Y980" s="6" t="str">
        <f aca="false">IF(AND(X980="processed",ISNUMBER(S980)),S980*O980,"")</f>
        <v/>
      </c>
      <c r="Z980" s="6" t="n">
        <f aca="false">IF(ISNUMBER(K980),K980*O980,0)</f>
        <v>0</v>
      </c>
      <c r="AA980" s="2" t="s">
        <v>31</v>
      </c>
      <c r="AB980" s="6" t="n">
        <v>18440</v>
      </c>
      <c r="AC980" s="6" t="n">
        <v>16772</v>
      </c>
      <c r="AD980" s="6" t="n">
        <v>17605</v>
      </c>
      <c r="AE980" s="6" t="n">
        <v>2356.37377929688</v>
      </c>
      <c r="AF980" s="8" t="n">
        <v>322.224448481</v>
      </c>
      <c r="AG980" s="11" t="n">
        <v>-0.005088130554</v>
      </c>
      <c r="AH980" s="12" t="n">
        <v>1</v>
      </c>
      <c r="AI980" s="2" t="s">
        <v>321</v>
      </c>
      <c r="AJ980" s="2" t="s">
        <v>2214</v>
      </c>
      <c r="AK980" s="2" t="s">
        <v>2214</v>
      </c>
    </row>
    <row r="981" customFormat="false" ht="15" hidden="false" customHeight="false" outlineLevel="0" collapsed="false">
      <c r="A981" s="9"/>
      <c r="B981" s="2" t="s">
        <v>2216</v>
      </c>
      <c r="C981" s="2" t="s">
        <v>2217</v>
      </c>
      <c r="D981" s="2" t="s">
        <v>524</v>
      </c>
      <c r="E981" s="2" t="s">
        <v>456</v>
      </c>
      <c r="F981" s="2"/>
      <c r="G981" s="2" t="s">
        <v>458</v>
      </c>
      <c r="H981" s="8" t="n">
        <v>100</v>
      </c>
      <c r="I981" s="2" t="s">
        <v>316</v>
      </c>
      <c r="J981" s="8" t="n">
        <v>75000</v>
      </c>
      <c r="K981" s="6" t="n">
        <v>1</v>
      </c>
      <c r="L981" s="2" t="s">
        <v>1664</v>
      </c>
      <c r="M981" s="10" t="b">
        <f aca="false">TRUE()</f>
        <v>1</v>
      </c>
      <c r="N981" s="9" t="str">
        <f aca="false">IF(H981="","",IF(H981&gt;=Assumptions!$B$5,1,IF(H981&gt;=Assumptions!$B$6,2,IF(H981&gt;=Assumptions!$B$7,3,""))))</f>
        <v/>
      </c>
      <c r="O981" s="9" t="n">
        <f aca="false">IF(N981=1,Assumptions!$B$8,IF(N981=2,Assumptions!$B$9,IF(N981=3,Assumptions!$B$10,0)))</f>
        <v>0</v>
      </c>
      <c r="P981" s="6" t="s">
        <v>30</v>
      </c>
      <c r="Q981" s="6" t="s">
        <v>30</v>
      </c>
      <c r="R981" s="11" t="s">
        <v>30</v>
      </c>
      <c r="S981" s="6" t="s">
        <v>30</v>
      </c>
      <c r="T981" s="11" t="s">
        <v>30</v>
      </c>
      <c r="U981" s="6" t="s">
        <v>30</v>
      </c>
      <c r="V981" s="6" t="s">
        <v>30</v>
      </c>
      <c r="W981" s="6" t="s">
        <v>30</v>
      </c>
      <c r="X981" s="2" t="s">
        <v>30</v>
      </c>
      <c r="Y981" s="6" t="str">
        <f aca="false">IF(AND(X981="processed",ISNUMBER(S981)),S981*O981,"")</f>
        <v/>
      </c>
      <c r="Z981" s="6" t="n">
        <f aca="false">IF(ISNUMBER(K981),K981*O981,0)</f>
        <v>0</v>
      </c>
      <c r="AA981" s="2" t="s">
        <v>31</v>
      </c>
      <c r="AB981" s="6" t="n">
        <v>961</v>
      </c>
      <c r="AC981" s="6" t="n">
        <v>698</v>
      </c>
      <c r="AD981" s="6" t="n">
        <v>368</v>
      </c>
      <c r="AE981" s="6" t="n">
        <v>1467.99938964844</v>
      </c>
      <c r="AF981" s="8" t="n">
        <v>100</v>
      </c>
      <c r="AG981" s="11"/>
      <c r="AH981" s="12" t="n">
        <v>1</v>
      </c>
      <c r="AI981" s="2" t="s">
        <v>317</v>
      </c>
      <c r="AJ981" s="2" t="s">
        <v>2217</v>
      </c>
      <c r="AK981" s="2" t="s">
        <v>2152</v>
      </c>
    </row>
    <row r="982" customFormat="false" ht="15" hidden="false" customHeight="false" outlineLevel="0" collapsed="false">
      <c r="A982" s="9"/>
      <c r="B982" s="2" t="s">
        <v>2218</v>
      </c>
      <c r="C982" s="2" t="s">
        <v>2219</v>
      </c>
      <c r="D982" s="2" t="s">
        <v>524</v>
      </c>
      <c r="E982" s="2" t="s">
        <v>456</v>
      </c>
      <c r="F982" s="2"/>
      <c r="G982" s="2" t="s">
        <v>458</v>
      </c>
      <c r="H982" s="8" t="n">
        <v>348.192677292216</v>
      </c>
      <c r="I982" s="2" t="s">
        <v>316</v>
      </c>
      <c r="J982" s="8" t="n">
        <v>689844.12470024</v>
      </c>
      <c r="K982" s="6" t="n">
        <v>417</v>
      </c>
      <c r="L982" s="2"/>
      <c r="M982" s="10" t="b">
        <f aca="false">TRUE()</f>
        <v>1</v>
      </c>
      <c r="N982" s="9" t="str">
        <f aca="false">IF(H982="","",IF(H982&gt;=Assumptions!$B$5,1,IF(H982&gt;=Assumptions!$B$6,2,IF(H982&gt;=Assumptions!$B$7,3,""))))</f>
        <v/>
      </c>
      <c r="O982" s="9" t="n">
        <f aca="false">IF(N982=1,Assumptions!$B$8,IF(N982=2,Assumptions!$B$9,IF(N982=3,Assumptions!$B$10,0)))</f>
        <v>0</v>
      </c>
      <c r="P982" s="6" t="s">
        <v>30</v>
      </c>
      <c r="Q982" s="6" t="s">
        <v>30</v>
      </c>
      <c r="R982" s="11" t="s">
        <v>30</v>
      </c>
      <c r="S982" s="6" t="s">
        <v>30</v>
      </c>
      <c r="T982" s="11" t="s">
        <v>30</v>
      </c>
      <c r="U982" s="6" t="s">
        <v>30</v>
      </c>
      <c r="V982" s="6" t="s">
        <v>30</v>
      </c>
      <c r="W982" s="6" t="s">
        <v>30</v>
      </c>
      <c r="X982" s="2" t="s">
        <v>30</v>
      </c>
      <c r="Y982" s="6" t="str">
        <f aca="false">IF(AND(X982="processed",ISNUMBER(S982)),S982*O982,"")</f>
        <v/>
      </c>
      <c r="Z982" s="6" t="n">
        <f aca="false">IF(ISNUMBER(K982),K982*O982,0)</f>
        <v>0</v>
      </c>
      <c r="AA982" s="2" t="s">
        <v>31</v>
      </c>
      <c r="AB982" s="6" t="n">
        <v>7420</v>
      </c>
      <c r="AC982" s="6" t="n">
        <v>6849</v>
      </c>
      <c r="AD982" s="6" t="n">
        <v>7296</v>
      </c>
      <c r="AE982" s="6" t="n">
        <v>1544.77307128906</v>
      </c>
      <c r="AF982" s="8" t="n">
        <v>360.576923077</v>
      </c>
      <c r="AG982" s="11" t="n">
        <v>-0.004940014114</v>
      </c>
      <c r="AH982" s="12" t="n">
        <v>1</v>
      </c>
      <c r="AI982" s="2" t="s">
        <v>321</v>
      </c>
      <c r="AJ982" s="2" t="s">
        <v>2219</v>
      </c>
      <c r="AK982" s="2" t="s">
        <v>2220</v>
      </c>
    </row>
    <row r="983" customFormat="false" ht="15" hidden="false" customHeight="false" outlineLevel="0" collapsed="false">
      <c r="A983" s="9"/>
      <c r="B983" s="2" t="s">
        <v>2221</v>
      </c>
      <c r="C983" s="2" t="s">
        <v>2222</v>
      </c>
      <c r="D983" s="2" t="s">
        <v>524</v>
      </c>
      <c r="E983" s="2" t="s">
        <v>456</v>
      </c>
      <c r="F983" s="2"/>
      <c r="G983" s="2" t="s">
        <v>458</v>
      </c>
      <c r="H983" s="8" t="n">
        <v>353.209159807796</v>
      </c>
      <c r="I983" s="2" t="s">
        <v>316</v>
      </c>
      <c r="J983" s="8" t="n">
        <v>688545.454545455</v>
      </c>
      <c r="K983" s="6" t="n">
        <v>132</v>
      </c>
      <c r="L983" s="2"/>
      <c r="M983" s="10" t="b">
        <f aca="false">TRUE()</f>
        <v>1</v>
      </c>
      <c r="N983" s="9" t="str">
        <f aca="false">IF(H983="","",IF(H983&gt;=Assumptions!$B$5,1,IF(H983&gt;=Assumptions!$B$6,2,IF(H983&gt;=Assumptions!$B$7,3,""))))</f>
        <v/>
      </c>
      <c r="O983" s="9" t="n">
        <f aca="false">IF(N983=1,Assumptions!$B$8,IF(N983=2,Assumptions!$B$9,IF(N983=3,Assumptions!$B$10,0)))</f>
        <v>0</v>
      </c>
      <c r="P983" s="6" t="s">
        <v>30</v>
      </c>
      <c r="Q983" s="6" t="s">
        <v>30</v>
      </c>
      <c r="R983" s="11" t="s">
        <v>30</v>
      </c>
      <c r="S983" s="6" t="s">
        <v>30</v>
      </c>
      <c r="T983" s="11" t="s">
        <v>30</v>
      </c>
      <c r="U983" s="6" t="s">
        <v>30</v>
      </c>
      <c r="V983" s="6" t="s">
        <v>30</v>
      </c>
      <c r="W983" s="6" t="s">
        <v>30</v>
      </c>
      <c r="X983" s="2" t="s">
        <v>30</v>
      </c>
      <c r="Y983" s="6" t="str">
        <f aca="false">IF(AND(X983="processed",ISNUMBER(S983)),S983*O983,"")</f>
        <v/>
      </c>
      <c r="Z983" s="6" t="n">
        <f aca="false">IF(ISNUMBER(K983),K983*O983,0)</f>
        <v>0</v>
      </c>
      <c r="AA983" s="2" t="s">
        <v>31</v>
      </c>
      <c r="AB983" s="6" t="n">
        <v>6701</v>
      </c>
      <c r="AC983" s="6" t="n">
        <v>6004</v>
      </c>
      <c r="AD983" s="6" t="n">
        <v>4339</v>
      </c>
      <c r="AE983" s="6" t="n">
        <v>2279.0908203125</v>
      </c>
      <c r="AF983" s="8" t="n">
        <v>373.609771778</v>
      </c>
      <c r="AG983" s="11" t="n">
        <v>0.04804591773</v>
      </c>
      <c r="AH983" s="12" t="n">
        <v>1</v>
      </c>
      <c r="AI983" s="2" t="s">
        <v>317</v>
      </c>
      <c r="AJ983" s="2" t="s">
        <v>2222</v>
      </c>
      <c r="AK983" s="2" t="s">
        <v>2222</v>
      </c>
    </row>
    <row r="984" customFormat="false" ht="15" hidden="false" customHeight="false" outlineLevel="0" collapsed="false">
      <c r="A984" s="9"/>
      <c r="B984" s="2" t="s">
        <v>2223</v>
      </c>
      <c r="C984" s="2" t="s">
        <v>2224</v>
      </c>
      <c r="D984" s="2" t="s">
        <v>524</v>
      </c>
      <c r="E984" s="2" t="s">
        <v>456</v>
      </c>
      <c r="F984" s="2"/>
      <c r="G984" s="2" t="s">
        <v>458</v>
      </c>
      <c r="H984" s="8" t="n">
        <v>192.001785796421</v>
      </c>
      <c r="I984" s="2" t="s">
        <v>316</v>
      </c>
      <c r="J984" s="8" t="n">
        <v>281381.578947368</v>
      </c>
      <c r="K984" s="6" t="n">
        <v>76</v>
      </c>
      <c r="L984" s="2"/>
      <c r="M984" s="10" t="b">
        <f aca="false">TRUE()</f>
        <v>1</v>
      </c>
      <c r="N984" s="9" t="str">
        <f aca="false">IF(H984="","",IF(H984&gt;=Assumptions!$B$5,1,IF(H984&gt;=Assumptions!$B$6,2,IF(H984&gt;=Assumptions!$B$7,3,""))))</f>
        <v/>
      </c>
      <c r="O984" s="9" t="n">
        <f aca="false">IF(N984=1,Assumptions!$B$8,IF(N984=2,Assumptions!$B$9,IF(N984=3,Assumptions!$B$10,0)))</f>
        <v>0</v>
      </c>
      <c r="P984" s="6" t="s">
        <v>30</v>
      </c>
      <c r="Q984" s="6" t="s">
        <v>30</v>
      </c>
      <c r="R984" s="11" t="s">
        <v>30</v>
      </c>
      <c r="S984" s="6" t="s">
        <v>30</v>
      </c>
      <c r="T984" s="11" t="s">
        <v>30</v>
      </c>
      <c r="U984" s="6" t="s">
        <v>30</v>
      </c>
      <c r="V984" s="6" t="s">
        <v>30</v>
      </c>
      <c r="W984" s="6" t="s">
        <v>30</v>
      </c>
      <c r="X984" s="2" t="s">
        <v>30</v>
      </c>
      <c r="Y984" s="6" t="str">
        <f aca="false">IF(AND(X984="processed",ISNUMBER(S984)),S984*O984,"")</f>
        <v/>
      </c>
      <c r="Z984" s="6" t="n">
        <f aca="false">IF(ISNUMBER(K984),K984*O984,0)</f>
        <v>0</v>
      </c>
      <c r="AA984" s="2" t="s">
        <v>31</v>
      </c>
      <c r="AB984" s="6" t="n">
        <v>5396</v>
      </c>
      <c r="AC984" s="6" t="n">
        <v>4419</v>
      </c>
      <c r="AD984" s="6" t="n">
        <v>2109</v>
      </c>
      <c r="AE984" s="6" t="n">
        <v>1686.38720703125</v>
      </c>
      <c r="AF984" s="8" t="n">
        <v>191.717791411</v>
      </c>
      <c r="AG984" s="11" t="n">
        <v>0.02272215912</v>
      </c>
      <c r="AH984" s="12" t="n">
        <v>0.999999999999998</v>
      </c>
      <c r="AI984" s="2" t="s">
        <v>317</v>
      </c>
      <c r="AJ984" s="2" t="s">
        <v>2224</v>
      </c>
      <c r="AK984" s="2" t="s">
        <v>2224</v>
      </c>
    </row>
    <row r="985" customFormat="false" ht="15" hidden="false" customHeight="false" outlineLevel="0" collapsed="false">
      <c r="A985" s="9"/>
      <c r="B985" s="2" t="s">
        <v>2225</v>
      </c>
      <c r="C985" s="2" t="s">
        <v>2226</v>
      </c>
      <c r="D985" s="2" t="s">
        <v>524</v>
      </c>
      <c r="E985" s="2" t="s">
        <v>456</v>
      </c>
      <c r="F985" s="2"/>
      <c r="G985" s="2" t="s">
        <v>458</v>
      </c>
      <c r="H985" s="8" t="n">
        <v>373.639077771875</v>
      </c>
      <c r="I985" s="2" t="s">
        <v>316</v>
      </c>
      <c r="J985" s="8" t="n">
        <v>463250</v>
      </c>
      <c r="K985" s="6" t="n">
        <v>16</v>
      </c>
      <c r="L985" s="2"/>
      <c r="M985" s="10" t="b">
        <f aca="false">TRUE()</f>
        <v>1</v>
      </c>
      <c r="N985" s="9" t="str">
        <f aca="false">IF(H985="","",IF(H985&gt;=Assumptions!$B$5,1,IF(H985&gt;=Assumptions!$B$6,2,IF(H985&gt;=Assumptions!$B$7,3,""))))</f>
        <v/>
      </c>
      <c r="O985" s="9" t="n">
        <f aca="false">IF(N985=1,Assumptions!$B$8,IF(N985=2,Assumptions!$B$9,IF(N985=3,Assumptions!$B$10,0)))</f>
        <v>0</v>
      </c>
      <c r="P985" s="6" t="s">
        <v>30</v>
      </c>
      <c r="Q985" s="6" t="s">
        <v>30</v>
      </c>
      <c r="R985" s="11" t="s">
        <v>30</v>
      </c>
      <c r="S985" s="6" t="s">
        <v>30</v>
      </c>
      <c r="T985" s="11" t="s">
        <v>30</v>
      </c>
      <c r="U985" s="6" t="s">
        <v>30</v>
      </c>
      <c r="V985" s="6" t="s">
        <v>30</v>
      </c>
      <c r="W985" s="6" t="s">
        <v>30</v>
      </c>
      <c r="X985" s="2" t="s">
        <v>30</v>
      </c>
      <c r="Y985" s="6" t="str">
        <f aca="false">IF(AND(X985="processed",ISNUMBER(S985)),S985*O985,"")</f>
        <v/>
      </c>
      <c r="Z985" s="6" t="n">
        <f aca="false">IF(ISNUMBER(K985),K985*O985,0)</f>
        <v>0</v>
      </c>
      <c r="AA985" s="2" t="s">
        <v>31</v>
      </c>
      <c r="AB985" s="6" t="n">
        <v>559</v>
      </c>
      <c r="AC985" s="6" t="n">
        <v>464</v>
      </c>
      <c r="AD985" s="6" t="n">
        <v>523</v>
      </c>
      <c r="AE985" s="6" t="n">
        <v>1384.1494140625</v>
      </c>
      <c r="AF985" s="8" t="n">
        <v>345</v>
      </c>
      <c r="AG985" s="11" t="n">
        <v>-0.172</v>
      </c>
      <c r="AH985" s="12" t="n">
        <v>0.999999999999999</v>
      </c>
      <c r="AI985" s="2" t="s">
        <v>317</v>
      </c>
      <c r="AJ985" s="2" t="s">
        <v>2226</v>
      </c>
      <c r="AK985" s="2" t="s">
        <v>2226</v>
      </c>
    </row>
    <row r="986" customFormat="false" ht="15" hidden="false" customHeight="false" outlineLevel="0" collapsed="false">
      <c r="A986" s="9"/>
      <c r="B986" s="2" t="s">
        <v>2227</v>
      </c>
      <c r="C986" s="2" t="s">
        <v>2228</v>
      </c>
      <c r="D986" s="2" t="s">
        <v>524</v>
      </c>
      <c r="E986" s="2" t="s">
        <v>456</v>
      </c>
      <c r="F986" s="2" t="s">
        <v>2229</v>
      </c>
      <c r="G986" s="2" t="s">
        <v>458</v>
      </c>
      <c r="H986" s="8" t="n">
        <v>330.73370948981</v>
      </c>
      <c r="I986" s="2" t="s">
        <v>316</v>
      </c>
      <c r="J986" s="8" t="n">
        <v>562523.80952381</v>
      </c>
      <c r="K986" s="6" t="n">
        <v>42</v>
      </c>
      <c r="L986" s="2"/>
      <c r="M986" s="10" t="b">
        <f aca="false">TRUE()</f>
        <v>1</v>
      </c>
      <c r="N986" s="9" t="str">
        <f aca="false">IF(H986="","",IF(H986&gt;=Assumptions!$B$5,1,IF(H986&gt;=Assumptions!$B$6,2,IF(H986&gt;=Assumptions!$B$7,3,""))))</f>
        <v/>
      </c>
      <c r="O986" s="9" t="n">
        <f aca="false">IF(N986=1,Assumptions!$B$8,IF(N986=2,Assumptions!$B$9,IF(N986=3,Assumptions!$B$10,0)))</f>
        <v>0</v>
      </c>
      <c r="P986" s="6" t="s">
        <v>30</v>
      </c>
      <c r="Q986" s="6" t="s">
        <v>30</v>
      </c>
      <c r="R986" s="11" t="s">
        <v>30</v>
      </c>
      <c r="S986" s="6" t="s">
        <v>30</v>
      </c>
      <c r="T986" s="11" t="s">
        <v>30</v>
      </c>
      <c r="U986" s="6" t="s">
        <v>30</v>
      </c>
      <c r="V986" s="6" t="s">
        <v>30</v>
      </c>
      <c r="W986" s="6" t="s">
        <v>30</v>
      </c>
      <c r="X986" s="2" t="s">
        <v>30</v>
      </c>
      <c r="Y986" s="6" t="str">
        <f aca="false">IF(AND(X986="processed",ISNUMBER(S986)),S986*O986,"")</f>
        <v/>
      </c>
      <c r="Z986" s="6" t="n">
        <f aca="false">IF(ISNUMBER(K986),K986*O986,0)</f>
        <v>0</v>
      </c>
      <c r="AA986" s="2" t="s">
        <v>31</v>
      </c>
      <c r="AB986" s="6" t="n">
        <v>4571</v>
      </c>
      <c r="AC986" s="6" t="n">
        <v>3474</v>
      </c>
      <c r="AD986" s="6" t="n">
        <v>228</v>
      </c>
      <c r="AE986" s="6" t="n">
        <v>1895.86547851563</v>
      </c>
      <c r="AF986" s="8" t="n">
        <v>328.196347032</v>
      </c>
      <c r="AG986" s="11" t="n">
        <v>0.05458987375</v>
      </c>
      <c r="AH986" s="12" t="n">
        <v>1</v>
      </c>
      <c r="AI986" s="2" t="s">
        <v>317</v>
      </c>
      <c r="AJ986" s="2" t="s">
        <v>2228</v>
      </c>
      <c r="AK986" s="2" t="s">
        <v>2214</v>
      </c>
    </row>
    <row r="987" customFormat="false" ht="15" hidden="false" customHeight="false" outlineLevel="0" collapsed="false">
      <c r="A987" s="9"/>
      <c r="B987" s="2" t="s">
        <v>2230</v>
      </c>
      <c r="C987" s="2" t="s">
        <v>2231</v>
      </c>
      <c r="D987" s="2" t="s">
        <v>524</v>
      </c>
      <c r="E987" s="2" t="s">
        <v>456</v>
      </c>
      <c r="F987" s="2" t="s">
        <v>2232</v>
      </c>
      <c r="G987" s="2" t="s">
        <v>458</v>
      </c>
      <c r="H987" s="8" t="n">
        <v>114.704999222905</v>
      </c>
      <c r="I987" s="2" t="s">
        <v>316</v>
      </c>
      <c r="J987" s="8" t="n">
        <v>143238.095238095</v>
      </c>
      <c r="K987" s="6" t="n">
        <v>42</v>
      </c>
      <c r="L987" s="2"/>
      <c r="M987" s="10" t="b">
        <f aca="false">TRUE()</f>
        <v>1</v>
      </c>
      <c r="N987" s="9" t="str">
        <f aca="false">IF(H987="","",IF(H987&gt;=Assumptions!$B$5,1,IF(H987&gt;=Assumptions!$B$6,2,IF(H987&gt;=Assumptions!$B$7,3,""))))</f>
        <v/>
      </c>
      <c r="O987" s="9" t="n">
        <f aca="false">IF(N987=1,Assumptions!$B$8,IF(N987=2,Assumptions!$B$9,IF(N987=3,Assumptions!$B$10,0)))</f>
        <v>0</v>
      </c>
      <c r="P987" s="6" t="s">
        <v>30</v>
      </c>
      <c r="Q987" s="6" t="s">
        <v>30</v>
      </c>
      <c r="R987" s="11" t="s">
        <v>30</v>
      </c>
      <c r="S987" s="6" t="s">
        <v>30</v>
      </c>
      <c r="T987" s="11" t="s">
        <v>30</v>
      </c>
      <c r="U987" s="6" t="s">
        <v>30</v>
      </c>
      <c r="V987" s="6" t="s">
        <v>30</v>
      </c>
      <c r="W987" s="6" t="s">
        <v>30</v>
      </c>
      <c r="X987" s="2" t="s">
        <v>30</v>
      </c>
      <c r="Y987" s="6" t="str">
        <f aca="false">IF(AND(X987="processed",ISNUMBER(S987)),S987*O987,"")</f>
        <v/>
      </c>
      <c r="Z987" s="6" t="n">
        <f aca="false">IF(ISNUMBER(K987),K987*O987,0)</f>
        <v>0</v>
      </c>
      <c r="AA987" s="2" t="s">
        <v>31</v>
      </c>
      <c r="AB987" s="6" t="n">
        <v>4824</v>
      </c>
      <c r="AC987" s="6" t="n">
        <v>4136</v>
      </c>
      <c r="AD987" s="6" t="n">
        <v>2609</v>
      </c>
      <c r="AE987" s="6" t="n">
        <v>1993.91821289063</v>
      </c>
      <c r="AF987" s="8" t="n">
        <v>107.745985294</v>
      </c>
      <c r="AG987" s="11" t="n">
        <v>0.07519151641</v>
      </c>
      <c r="AH987" s="12" t="n">
        <v>0.994920680934964</v>
      </c>
      <c r="AI987" s="2" t="s">
        <v>2197</v>
      </c>
      <c r="AJ987" s="2" t="s">
        <v>2233</v>
      </c>
      <c r="AK987" s="2" t="s">
        <v>2231</v>
      </c>
    </row>
    <row r="988" customFormat="false" ht="15" hidden="false" customHeight="false" outlineLevel="0" collapsed="false">
      <c r="A988" s="9"/>
      <c r="B988" s="2" t="s">
        <v>2234</v>
      </c>
      <c r="C988" s="2" t="s">
        <v>2235</v>
      </c>
      <c r="D988" s="2" t="s">
        <v>524</v>
      </c>
      <c r="E988" s="2" t="s">
        <v>456</v>
      </c>
      <c r="F988" s="2"/>
      <c r="G988" s="2"/>
      <c r="H988" s="8"/>
      <c r="I988" s="2"/>
      <c r="J988" s="8"/>
      <c r="K988" s="6"/>
      <c r="L988" s="2"/>
      <c r="M988" s="10" t="b">
        <f aca="false">TRUE()</f>
        <v>1</v>
      </c>
      <c r="N988" s="9" t="str">
        <f aca="false">IF(H988="","",IF(H988&gt;=Assumptions!$B$5,1,IF(H988&gt;=Assumptions!$B$6,2,IF(H988&gt;=Assumptions!$B$7,3,""))))</f>
        <v/>
      </c>
      <c r="O988" s="9" t="n">
        <f aca="false">IF(N988=1,Assumptions!$B$8,IF(N988=2,Assumptions!$B$9,IF(N988=3,Assumptions!$B$10,0)))</f>
        <v>0</v>
      </c>
      <c r="P988" s="6" t="s">
        <v>30</v>
      </c>
      <c r="Q988" s="6" t="s">
        <v>30</v>
      </c>
      <c r="R988" s="11" t="s">
        <v>30</v>
      </c>
      <c r="S988" s="6" t="s">
        <v>30</v>
      </c>
      <c r="T988" s="11" t="s">
        <v>30</v>
      </c>
      <c r="U988" s="6" t="s">
        <v>30</v>
      </c>
      <c r="V988" s="6" t="s">
        <v>30</v>
      </c>
      <c r="W988" s="6" t="s">
        <v>30</v>
      </c>
      <c r="X988" s="2" t="s">
        <v>30</v>
      </c>
      <c r="Y988" s="6" t="str">
        <f aca="false">IF(AND(X988="processed",ISNUMBER(S988)),S988*O988,"")</f>
        <v/>
      </c>
      <c r="Z988" s="6" t="n">
        <f aca="false">IF(ISNUMBER(K988),K988*O988,0)</f>
        <v>0</v>
      </c>
      <c r="AA988" s="2" t="s">
        <v>31</v>
      </c>
      <c r="AB988" s="6" t="n">
        <v>257</v>
      </c>
      <c r="AC988" s="6" t="n">
        <v>137</v>
      </c>
      <c r="AD988" s="6" t="n">
        <v>38</v>
      </c>
      <c r="AE988" s="6" t="n">
        <v>1570.75439453125</v>
      </c>
      <c r="AF988" s="8"/>
      <c r="AG988" s="11"/>
      <c r="AH988" s="12" t="n">
        <v>0.999952984277467</v>
      </c>
      <c r="AI988" s="2" t="s">
        <v>2197</v>
      </c>
      <c r="AJ988" s="2" t="s">
        <v>2235</v>
      </c>
      <c r="AK988" s="2" t="s">
        <v>2235</v>
      </c>
    </row>
    <row r="989" customFormat="false" ht="15" hidden="false" customHeight="false" outlineLevel="0" collapsed="false">
      <c r="A989" s="9"/>
      <c r="B989" s="2" t="s">
        <v>2236</v>
      </c>
      <c r="C989" s="2" t="s">
        <v>2237</v>
      </c>
      <c r="D989" s="2" t="s">
        <v>524</v>
      </c>
      <c r="E989" s="2" t="s">
        <v>456</v>
      </c>
      <c r="F989" s="2"/>
      <c r="G989" s="2" t="s">
        <v>458</v>
      </c>
      <c r="H989" s="8" t="n">
        <v>153.085055277783</v>
      </c>
      <c r="I989" s="2" t="s">
        <v>316</v>
      </c>
      <c r="J989" s="8" t="n">
        <v>220304.347826087</v>
      </c>
      <c r="K989" s="6" t="n">
        <v>23</v>
      </c>
      <c r="L989" s="2"/>
      <c r="M989" s="10" t="b">
        <f aca="false">TRUE()</f>
        <v>1</v>
      </c>
      <c r="N989" s="9" t="str">
        <f aca="false">IF(H989="","",IF(H989&gt;=Assumptions!$B$5,1,IF(H989&gt;=Assumptions!$B$6,2,IF(H989&gt;=Assumptions!$B$7,3,""))))</f>
        <v/>
      </c>
      <c r="O989" s="9" t="n">
        <f aca="false">IF(N989=1,Assumptions!$B$8,IF(N989=2,Assumptions!$B$9,IF(N989=3,Assumptions!$B$10,0)))</f>
        <v>0</v>
      </c>
      <c r="P989" s="6" t="s">
        <v>30</v>
      </c>
      <c r="Q989" s="6" t="s">
        <v>30</v>
      </c>
      <c r="R989" s="11" t="s">
        <v>30</v>
      </c>
      <c r="S989" s="6" t="s">
        <v>30</v>
      </c>
      <c r="T989" s="11" t="s">
        <v>30</v>
      </c>
      <c r="U989" s="6" t="s">
        <v>30</v>
      </c>
      <c r="V989" s="6" t="s">
        <v>30</v>
      </c>
      <c r="W989" s="6" t="s">
        <v>30</v>
      </c>
      <c r="X989" s="2" t="s">
        <v>30</v>
      </c>
      <c r="Y989" s="6" t="str">
        <f aca="false">IF(AND(X989="processed",ISNUMBER(S989)),S989*O989,"")</f>
        <v/>
      </c>
      <c r="Z989" s="6" t="n">
        <f aca="false">IF(ISNUMBER(K989),K989*O989,0)</f>
        <v>0</v>
      </c>
      <c r="AA989" s="2" t="s">
        <v>31</v>
      </c>
      <c r="AB989" s="6" t="n">
        <v>2142</v>
      </c>
      <c r="AC989" s="6" t="n">
        <v>1814</v>
      </c>
      <c r="AD989" s="6" t="n">
        <v>1490</v>
      </c>
      <c r="AE989" s="6" t="n">
        <v>1579.13623046875</v>
      </c>
      <c r="AF989" s="8" t="n">
        <v>133.333333333</v>
      </c>
      <c r="AG989" s="11" t="n">
        <v>-0.09333333333</v>
      </c>
      <c r="AH989" s="12" t="n">
        <v>1</v>
      </c>
      <c r="AI989" s="2" t="s">
        <v>347</v>
      </c>
      <c r="AJ989" s="2" t="s">
        <v>2237</v>
      </c>
      <c r="AK989" s="2" t="s">
        <v>2237</v>
      </c>
    </row>
    <row r="990" customFormat="false" ht="15" hidden="false" customHeight="false" outlineLevel="0" collapsed="false">
      <c r="A990" s="9"/>
      <c r="B990" s="2" t="s">
        <v>2238</v>
      </c>
      <c r="C990" s="2"/>
      <c r="D990" s="2" t="s">
        <v>1190</v>
      </c>
      <c r="E990" s="2" t="s">
        <v>1191</v>
      </c>
      <c r="F990" s="2"/>
      <c r="G990" s="2" t="s">
        <v>458</v>
      </c>
      <c r="H990" s="8" t="n">
        <v>151.216725887625</v>
      </c>
      <c r="I990" s="2" t="s">
        <v>316</v>
      </c>
      <c r="J990" s="8" t="n">
        <v>214583.333333333</v>
      </c>
      <c r="K990" s="6" t="n">
        <v>24</v>
      </c>
      <c r="L990" s="2"/>
      <c r="M990" s="10" t="b">
        <f aca="false">FALSE()</f>
        <v>0</v>
      </c>
      <c r="N990" s="9" t="str">
        <f aca="false">IF(H990="","",IF(H990&gt;=Assumptions!$B$5,1,IF(H990&gt;=Assumptions!$B$6,2,IF(H990&gt;=Assumptions!$B$7,3,""))))</f>
        <v/>
      </c>
      <c r="O990" s="9" t="n">
        <f aca="false">IF(N990=1,Assumptions!$B$8,IF(N990=2,Assumptions!$B$9,IF(N990=3,Assumptions!$B$10,0)))</f>
        <v>0</v>
      </c>
      <c r="P990" s="6" t="s">
        <v>30</v>
      </c>
      <c r="Q990" s="6" t="s">
        <v>30</v>
      </c>
      <c r="R990" s="11" t="s">
        <v>30</v>
      </c>
      <c r="S990" s="6" t="s">
        <v>30</v>
      </c>
      <c r="T990" s="11" t="s">
        <v>30</v>
      </c>
      <c r="U990" s="6" t="s">
        <v>30</v>
      </c>
      <c r="V990" s="6" t="s">
        <v>30</v>
      </c>
      <c r="W990" s="6" t="s">
        <v>30</v>
      </c>
      <c r="X990" s="2" t="s">
        <v>30</v>
      </c>
      <c r="Y990" s="6" t="str">
        <f aca="false">IF(AND(X990="processed",ISNUMBER(S990)),S990*O990,"")</f>
        <v/>
      </c>
      <c r="Z990" s="6" t="n">
        <f aca="false">IF(ISNUMBER(K990),K990*O990,0)</f>
        <v>0</v>
      </c>
      <c r="AA990" s="2" t="s">
        <v>31</v>
      </c>
      <c r="AB990" s="6"/>
      <c r="AC990" s="6"/>
      <c r="AD990" s="6"/>
      <c r="AE990" s="6"/>
      <c r="AF990" s="8" t="n">
        <v>133.333333333</v>
      </c>
      <c r="AG990" s="11" t="n">
        <v>-0.09333333333</v>
      </c>
      <c r="AH990" s="12"/>
      <c r="AI990" s="2"/>
      <c r="AJ990" s="2"/>
      <c r="AK990" s="2"/>
    </row>
    <row r="991" customFormat="false" ht="15" hidden="false" customHeight="false" outlineLevel="0" collapsed="false">
      <c r="A991" s="9"/>
      <c r="B991" s="2" t="s">
        <v>2239</v>
      </c>
      <c r="C991" s="2" t="s">
        <v>2240</v>
      </c>
      <c r="D991" s="2" t="s">
        <v>524</v>
      </c>
      <c r="E991" s="2" t="s">
        <v>456</v>
      </c>
      <c r="F991" s="2" t="s">
        <v>2241</v>
      </c>
      <c r="G991" s="2" t="s">
        <v>458</v>
      </c>
      <c r="H991" s="8" t="n">
        <v>147.547589280444</v>
      </c>
      <c r="I991" s="2" t="s">
        <v>316</v>
      </c>
      <c r="J991" s="8" t="n">
        <v>235111.111111111</v>
      </c>
      <c r="K991" s="6" t="n">
        <v>9</v>
      </c>
      <c r="L991" s="2"/>
      <c r="M991" s="10" t="b">
        <f aca="false">TRUE()</f>
        <v>1</v>
      </c>
      <c r="N991" s="9" t="str">
        <f aca="false">IF(H991="","",IF(H991&gt;=Assumptions!$B$5,1,IF(H991&gt;=Assumptions!$B$6,2,IF(H991&gt;=Assumptions!$B$7,3,""))))</f>
        <v/>
      </c>
      <c r="O991" s="9" t="n">
        <f aca="false">IF(N991=1,Assumptions!$B$8,IF(N991=2,Assumptions!$B$9,IF(N991=3,Assumptions!$B$10,0)))</f>
        <v>0</v>
      </c>
      <c r="P991" s="6" t="s">
        <v>30</v>
      </c>
      <c r="Q991" s="6" t="s">
        <v>30</v>
      </c>
      <c r="R991" s="11" t="s">
        <v>30</v>
      </c>
      <c r="S991" s="6" t="s">
        <v>30</v>
      </c>
      <c r="T991" s="11" t="s">
        <v>30</v>
      </c>
      <c r="U991" s="6" t="s">
        <v>30</v>
      </c>
      <c r="V991" s="6" t="s">
        <v>30</v>
      </c>
      <c r="W991" s="6" t="s">
        <v>30</v>
      </c>
      <c r="X991" s="2" t="s">
        <v>30</v>
      </c>
      <c r="Y991" s="6" t="str">
        <f aca="false">IF(AND(X991="processed",ISNUMBER(S991)),S991*O991,"")</f>
        <v/>
      </c>
      <c r="Z991" s="6" t="n">
        <f aca="false">IF(ISNUMBER(K991),K991*O991,0)</f>
        <v>0</v>
      </c>
      <c r="AA991" s="2" t="s">
        <v>31</v>
      </c>
      <c r="AB991" s="6" t="n">
        <v>744</v>
      </c>
      <c r="AC991" s="6" t="n">
        <v>621</v>
      </c>
      <c r="AD991" s="6" t="n">
        <v>125</v>
      </c>
      <c r="AE991" s="6" t="n">
        <v>1696.90209960938</v>
      </c>
      <c r="AF991" s="8" t="n">
        <v>163.472378805</v>
      </c>
      <c r="AG991" s="11" t="n">
        <v>-0.4990739249</v>
      </c>
      <c r="AH991" s="12" t="n">
        <v>1</v>
      </c>
      <c r="AI991" s="2" t="s">
        <v>321</v>
      </c>
      <c r="AJ991" s="2" t="s">
        <v>2240</v>
      </c>
      <c r="AK991" s="2" t="s">
        <v>2240</v>
      </c>
    </row>
    <row r="992" customFormat="false" ht="15" hidden="false" customHeight="false" outlineLevel="0" collapsed="false">
      <c r="A992" s="9"/>
      <c r="B992" s="2" t="s">
        <v>2242</v>
      </c>
      <c r="C992" s="2" t="s">
        <v>2243</v>
      </c>
      <c r="D992" s="2" t="s">
        <v>524</v>
      </c>
      <c r="E992" s="2" t="s">
        <v>456</v>
      </c>
      <c r="F992" s="2"/>
      <c r="G992" s="2" t="s">
        <v>458</v>
      </c>
      <c r="H992" s="8" t="n">
        <v>248.393325762264</v>
      </c>
      <c r="I992" s="2" t="s">
        <v>316</v>
      </c>
      <c r="J992" s="8" t="n">
        <v>485191.823899371</v>
      </c>
      <c r="K992" s="6" t="n">
        <v>159</v>
      </c>
      <c r="L992" s="2"/>
      <c r="M992" s="10" t="b">
        <f aca="false">TRUE()</f>
        <v>1</v>
      </c>
      <c r="N992" s="9" t="str">
        <f aca="false">IF(H992="","",IF(H992&gt;=Assumptions!$B$5,1,IF(H992&gt;=Assumptions!$B$6,2,IF(H992&gt;=Assumptions!$B$7,3,""))))</f>
        <v/>
      </c>
      <c r="O992" s="9" t="n">
        <f aca="false">IF(N992=1,Assumptions!$B$8,IF(N992=2,Assumptions!$B$9,IF(N992=3,Assumptions!$B$10,0)))</f>
        <v>0</v>
      </c>
      <c r="P992" s="6" t="s">
        <v>30</v>
      </c>
      <c r="Q992" s="6" t="s">
        <v>30</v>
      </c>
      <c r="R992" s="11" t="s">
        <v>30</v>
      </c>
      <c r="S992" s="6" t="s">
        <v>30</v>
      </c>
      <c r="T992" s="11" t="s">
        <v>30</v>
      </c>
      <c r="U992" s="6" t="s">
        <v>30</v>
      </c>
      <c r="V992" s="6" t="s">
        <v>30</v>
      </c>
      <c r="W992" s="6" t="s">
        <v>30</v>
      </c>
      <c r="X992" s="2" t="s">
        <v>30</v>
      </c>
      <c r="Y992" s="6" t="str">
        <f aca="false">IF(AND(X992="processed",ISNUMBER(S992)),S992*O992,"")</f>
        <v/>
      </c>
      <c r="Z992" s="6" t="n">
        <f aca="false">IF(ISNUMBER(K992),K992*O992,0)</f>
        <v>0</v>
      </c>
      <c r="AA992" s="2" t="s">
        <v>31</v>
      </c>
      <c r="AB992" s="6" t="n">
        <v>9828</v>
      </c>
      <c r="AC992" s="6" t="n">
        <v>8550</v>
      </c>
      <c r="AD992" s="6" t="n">
        <v>9165</v>
      </c>
      <c r="AE992" s="6" t="n">
        <v>2032.68139648438</v>
      </c>
      <c r="AF992" s="8" t="n">
        <v>244.30740038</v>
      </c>
      <c r="AG992" s="11" t="n">
        <v>-0.02564460319</v>
      </c>
      <c r="AH992" s="12" t="n">
        <v>0.999965530060051</v>
      </c>
      <c r="AI992" s="2" t="s">
        <v>321</v>
      </c>
      <c r="AJ992" s="2" t="s">
        <v>2243</v>
      </c>
      <c r="AK992" s="2" t="s">
        <v>2243</v>
      </c>
    </row>
    <row r="993" customFormat="false" ht="15" hidden="false" customHeight="false" outlineLevel="0" collapsed="false">
      <c r="A993" s="9"/>
      <c r="B993" s="2" t="s">
        <v>2244</v>
      </c>
      <c r="C993" s="2" t="s">
        <v>2245</v>
      </c>
      <c r="D993" s="2" t="s">
        <v>524</v>
      </c>
      <c r="E993" s="2" t="s">
        <v>456</v>
      </c>
      <c r="F993" s="2"/>
      <c r="G993" s="2" t="s">
        <v>458</v>
      </c>
      <c r="H993" s="8" t="n">
        <v>247.559118520113</v>
      </c>
      <c r="I993" s="2" t="s">
        <v>316</v>
      </c>
      <c r="J993" s="8" t="n">
        <v>470000</v>
      </c>
      <c r="K993" s="6" t="n">
        <v>62</v>
      </c>
      <c r="L993" s="2"/>
      <c r="M993" s="10" t="b">
        <f aca="false">TRUE()</f>
        <v>1</v>
      </c>
      <c r="N993" s="9" t="str">
        <f aca="false">IF(H993="","",IF(H993&gt;=Assumptions!$B$5,1,IF(H993&gt;=Assumptions!$B$6,2,IF(H993&gt;=Assumptions!$B$7,3,""))))</f>
        <v/>
      </c>
      <c r="O993" s="9" t="n">
        <f aca="false">IF(N993=1,Assumptions!$B$8,IF(N993=2,Assumptions!$B$9,IF(N993=3,Assumptions!$B$10,0)))</f>
        <v>0</v>
      </c>
      <c r="P993" s="6" t="s">
        <v>30</v>
      </c>
      <c r="Q993" s="6" t="s">
        <v>30</v>
      </c>
      <c r="R993" s="11" t="s">
        <v>30</v>
      </c>
      <c r="S993" s="6" t="s">
        <v>30</v>
      </c>
      <c r="T993" s="11" t="s">
        <v>30</v>
      </c>
      <c r="U993" s="6" t="s">
        <v>30</v>
      </c>
      <c r="V993" s="6" t="s">
        <v>30</v>
      </c>
      <c r="W993" s="6" t="s">
        <v>30</v>
      </c>
      <c r="X993" s="2" t="s">
        <v>30</v>
      </c>
      <c r="Y993" s="6" t="str">
        <f aca="false">IF(AND(X993="processed",ISNUMBER(S993)),S993*O993,"")</f>
        <v/>
      </c>
      <c r="Z993" s="6" t="n">
        <f aca="false">IF(ISNUMBER(K993),K993*O993,0)</f>
        <v>0</v>
      </c>
      <c r="AA993" s="2" t="s">
        <v>31</v>
      </c>
      <c r="AB993" s="6" t="n">
        <v>4036</v>
      </c>
      <c r="AC993" s="6" t="n">
        <v>3509</v>
      </c>
      <c r="AD993" s="6" t="n">
        <v>3724</v>
      </c>
      <c r="AE993" s="6" t="n">
        <v>2036.51977539063</v>
      </c>
      <c r="AF993" s="8" t="n">
        <v>268.041237113</v>
      </c>
      <c r="AG993" s="11" t="n">
        <v>0.01302924741</v>
      </c>
      <c r="AH993" s="12" t="n">
        <v>0.999994679536722</v>
      </c>
      <c r="AI993" s="2" t="s">
        <v>321</v>
      </c>
      <c r="AJ993" s="2" t="s">
        <v>2245</v>
      </c>
      <c r="AK993" s="2" t="s">
        <v>2246</v>
      </c>
    </row>
    <row r="994" customFormat="false" ht="15" hidden="false" customHeight="false" outlineLevel="0" collapsed="false">
      <c r="A994" s="9"/>
      <c r="B994" s="2" t="s">
        <v>2247</v>
      </c>
      <c r="C994" s="2" t="s">
        <v>2248</v>
      </c>
      <c r="D994" s="2" t="s">
        <v>524</v>
      </c>
      <c r="E994" s="2" t="s">
        <v>456</v>
      </c>
      <c r="F994" s="2" t="s">
        <v>2249</v>
      </c>
      <c r="G994" s="2" t="s">
        <v>458</v>
      </c>
      <c r="H994" s="8" t="n">
        <v>387.391377184651</v>
      </c>
      <c r="I994" s="2" t="s">
        <v>316</v>
      </c>
      <c r="J994" s="8" t="n">
        <v>799873.015873016</v>
      </c>
      <c r="K994" s="6" t="n">
        <v>252</v>
      </c>
      <c r="L994" s="2"/>
      <c r="M994" s="10" t="b">
        <f aca="false">TRUE()</f>
        <v>1</v>
      </c>
      <c r="N994" s="9" t="str">
        <f aca="false">IF(H994="","",IF(H994&gt;=Assumptions!$B$5,1,IF(H994&gt;=Assumptions!$B$6,2,IF(H994&gt;=Assumptions!$B$7,3,""))))</f>
        <v/>
      </c>
      <c r="O994" s="9" t="n">
        <f aca="false">IF(N994=1,Assumptions!$B$8,IF(N994=2,Assumptions!$B$9,IF(N994=3,Assumptions!$B$10,0)))</f>
        <v>0</v>
      </c>
      <c r="P994" s="6" t="s">
        <v>30</v>
      </c>
      <c r="Q994" s="6" t="s">
        <v>30</v>
      </c>
      <c r="R994" s="11" t="s">
        <v>30</v>
      </c>
      <c r="S994" s="6" t="s">
        <v>30</v>
      </c>
      <c r="T994" s="11" t="s">
        <v>30</v>
      </c>
      <c r="U994" s="6" t="s">
        <v>30</v>
      </c>
      <c r="V994" s="6" t="s">
        <v>30</v>
      </c>
      <c r="W994" s="6" t="s">
        <v>30</v>
      </c>
      <c r="X994" s="2" t="s">
        <v>30</v>
      </c>
      <c r="Y994" s="6" t="str">
        <f aca="false">IF(AND(X994="processed",ISNUMBER(S994)),S994*O994,"")</f>
        <v/>
      </c>
      <c r="Z994" s="6" t="n">
        <f aca="false">IF(ISNUMBER(K994),K994*O994,0)</f>
        <v>0</v>
      </c>
      <c r="AA994" s="2" t="s">
        <v>31</v>
      </c>
      <c r="AB994" s="6" t="n">
        <v>15623</v>
      </c>
      <c r="AC994" s="6" t="n">
        <v>12578</v>
      </c>
      <c r="AD994" s="6" t="n">
        <v>1453</v>
      </c>
      <c r="AE994" s="6" t="n">
        <v>2424.09814453125</v>
      </c>
      <c r="AF994" s="8" t="n">
        <v>395.348837209</v>
      </c>
      <c r="AG994" s="11" t="n">
        <v>0.02090577072</v>
      </c>
      <c r="AH994" s="12" t="n">
        <v>0.570722178656388</v>
      </c>
      <c r="AI994" s="2" t="s">
        <v>321</v>
      </c>
      <c r="AJ994" s="2" t="s">
        <v>2248</v>
      </c>
      <c r="AK994" s="2" t="s">
        <v>2248</v>
      </c>
    </row>
    <row r="995" customFormat="false" ht="15" hidden="false" customHeight="false" outlineLevel="0" collapsed="false">
      <c r="A995" s="9"/>
      <c r="B995" s="2" t="s">
        <v>2250</v>
      </c>
      <c r="C995" s="2" t="s">
        <v>2248</v>
      </c>
      <c r="D995" s="2" t="s">
        <v>524</v>
      </c>
      <c r="E995" s="2" t="s">
        <v>456</v>
      </c>
      <c r="F995" s="2"/>
      <c r="G995" s="2" t="s">
        <v>458</v>
      </c>
      <c r="H995" s="8" t="n">
        <v>360.559705733671</v>
      </c>
      <c r="I995" s="2" t="s">
        <v>316</v>
      </c>
      <c r="J995" s="8" t="n">
        <v>609371.601208459</v>
      </c>
      <c r="K995" s="6" t="n">
        <v>331</v>
      </c>
      <c r="L995" s="2"/>
      <c r="M995" s="10" t="b">
        <f aca="false">TRUE()</f>
        <v>1</v>
      </c>
      <c r="N995" s="9" t="str">
        <f aca="false">IF(H995="","",IF(H995&gt;=Assumptions!$B$5,1,IF(H995&gt;=Assumptions!$B$6,2,IF(H995&gt;=Assumptions!$B$7,3,""))))</f>
        <v/>
      </c>
      <c r="O995" s="9" t="n">
        <f aca="false">IF(N995=1,Assumptions!$B$8,IF(N995=2,Assumptions!$B$9,IF(N995=3,Assumptions!$B$10,0)))</f>
        <v>0</v>
      </c>
      <c r="P995" s="6" t="s">
        <v>30</v>
      </c>
      <c r="Q995" s="6" t="s">
        <v>30</v>
      </c>
      <c r="R995" s="11" t="s">
        <v>30</v>
      </c>
      <c r="S995" s="6" t="s">
        <v>30</v>
      </c>
      <c r="T995" s="11" t="s">
        <v>30</v>
      </c>
      <c r="U995" s="6" t="s">
        <v>30</v>
      </c>
      <c r="V995" s="6" t="s">
        <v>30</v>
      </c>
      <c r="W995" s="6" t="s">
        <v>30</v>
      </c>
      <c r="X995" s="2" t="s">
        <v>30</v>
      </c>
      <c r="Y995" s="6" t="str">
        <f aca="false">IF(AND(X995="processed",ISNUMBER(S995)),S995*O995,"")</f>
        <v/>
      </c>
      <c r="Z995" s="6" t="n">
        <f aca="false">IF(ISNUMBER(K995),K995*O995,0)</f>
        <v>0</v>
      </c>
      <c r="AA995" s="2" t="s">
        <v>31</v>
      </c>
      <c r="AB995" s="6" t="n">
        <v>16570</v>
      </c>
      <c r="AC995" s="6" t="n">
        <v>13624</v>
      </c>
      <c r="AD995" s="6" t="n">
        <v>537</v>
      </c>
      <c r="AE995" s="6" t="n">
        <v>2220.27392578125</v>
      </c>
      <c r="AF995" s="8" t="n">
        <v>357.069255639</v>
      </c>
      <c r="AG995" s="11" t="n">
        <v>-0.0320122532</v>
      </c>
      <c r="AH995" s="12" t="n">
        <v>1</v>
      </c>
      <c r="AI995" s="2" t="s">
        <v>317</v>
      </c>
      <c r="AJ995" s="2" t="s">
        <v>2248</v>
      </c>
      <c r="AK995" s="2" t="s">
        <v>2248</v>
      </c>
    </row>
    <row r="996" customFormat="false" ht="15" hidden="false" customHeight="false" outlineLevel="0" collapsed="false">
      <c r="A996" s="9"/>
      <c r="B996" s="2" t="s">
        <v>2251</v>
      </c>
      <c r="C996" s="2" t="s">
        <v>2164</v>
      </c>
      <c r="D996" s="2" t="s">
        <v>524</v>
      </c>
      <c r="E996" s="2" t="s">
        <v>456</v>
      </c>
      <c r="F996" s="2" t="s">
        <v>2252</v>
      </c>
      <c r="G996" s="2" t="s">
        <v>458</v>
      </c>
      <c r="H996" s="8" t="n">
        <v>356.898652316095</v>
      </c>
      <c r="I996" s="2" t="s">
        <v>316</v>
      </c>
      <c r="J996" s="8" t="n">
        <v>572444.989130435</v>
      </c>
      <c r="K996" s="6" t="n">
        <v>368</v>
      </c>
      <c r="L996" s="2"/>
      <c r="M996" s="10" t="b">
        <f aca="false">TRUE()</f>
        <v>1</v>
      </c>
      <c r="N996" s="9" t="str">
        <f aca="false">IF(H996="","",IF(H996&gt;=Assumptions!$B$5,1,IF(H996&gt;=Assumptions!$B$6,2,IF(H996&gt;=Assumptions!$B$7,3,""))))</f>
        <v/>
      </c>
      <c r="O996" s="9" t="n">
        <f aca="false">IF(N996=1,Assumptions!$B$8,IF(N996=2,Assumptions!$B$9,IF(N996=3,Assumptions!$B$10,0)))</f>
        <v>0</v>
      </c>
      <c r="P996" s="6" t="s">
        <v>30</v>
      </c>
      <c r="Q996" s="6" t="s">
        <v>30</v>
      </c>
      <c r="R996" s="11" t="s">
        <v>30</v>
      </c>
      <c r="S996" s="6" t="s">
        <v>30</v>
      </c>
      <c r="T996" s="11" t="s">
        <v>30</v>
      </c>
      <c r="U996" s="6" t="s">
        <v>30</v>
      </c>
      <c r="V996" s="6" t="s">
        <v>30</v>
      </c>
      <c r="W996" s="6" t="s">
        <v>30</v>
      </c>
      <c r="X996" s="2" t="s">
        <v>30</v>
      </c>
      <c r="Y996" s="6" t="str">
        <f aca="false">IF(AND(X996="processed",ISNUMBER(S996)),S996*O996,"")</f>
        <v/>
      </c>
      <c r="Z996" s="6" t="n">
        <f aca="false">IF(ISNUMBER(K996),K996*O996,0)</f>
        <v>0</v>
      </c>
      <c r="AA996" s="2" t="s">
        <v>31</v>
      </c>
      <c r="AB996" s="6" t="n">
        <v>21481</v>
      </c>
      <c r="AC996" s="6" t="n">
        <v>19217</v>
      </c>
      <c r="AD996" s="6" t="n">
        <v>19724</v>
      </c>
      <c r="AE996" s="6" t="n">
        <v>2302.76489257813</v>
      </c>
      <c r="AF996" s="8" t="n">
        <v>372.340425532</v>
      </c>
      <c r="AG996" s="11" t="n">
        <v>-0.04500850376</v>
      </c>
      <c r="AH996" s="12" t="n">
        <v>0.999999999999999</v>
      </c>
      <c r="AI996" s="2" t="s">
        <v>317</v>
      </c>
      <c r="AJ996" s="2" t="s">
        <v>2164</v>
      </c>
      <c r="AK996" s="2" t="s">
        <v>2164</v>
      </c>
    </row>
    <row r="997" customFormat="false" ht="15" hidden="false" customHeight="false" outlineLevel="0" collapsed="false">
      <c r="A997" s="9"/>
      <c r="B997" s="2" t="s">
        <v>2253</v>
      </c>
      <c r="C997" s="2" t="s">
        <v>2164</v>
      </c>
      <c r="D997" s="2" t="s">
        <v>524</v>
      </c>
      <c r="E997" s="2" t="s">
        <v>456</v>
      </c>
      <c r="F997" s="2"/>
      <c r="G997" s="2" t="s">
        <v>458</v>
      </c>
      <c r="H997" s="8" t="n">
        <v>342.96526661758</v>
      </c>
      <c r="I997" s="2" t="s">
        <v>316</v>
      </c>
      <c r="J997" s="8" t="n">
        <v>667012.579710145</v>
      </c>
      <c r="K997" s="6" t="n">
        <v>138</v>
      </c>
      <c r="L997" s="2"/>
      <c r="M997" s="10" t="b">
        <f aca="false">TRUE()</f>
        <v>1</v>
      </c>
      <c r="N997" s="9" t="str">
        <f aca="false">IF(H997="","",IF(H997&gt;=Assumptions!$B$5,1,IF(H997&gt;=Assumptions!$B$6,2,IF(H997&gt;=Assumptions!$B$7,3,""))))</f>
        <v/>
      </c>
      <c r="O997" s="9" t="n">
        <f aca="false">IF(N997=1,Assumptions!$B$8,IF(N997=2,Assumptions!$B$9,IF(N997=3,Assumptions!$B$10,0)))</f>
        <v>0</v>
      </c>
      <c r="P997" s="6" t="s">
        <v>30</v>
      </c>
      <c r="Q997" s="6" t="s">
        <v>30</v>
      </c>
      <c r="R997" s="11" t="s">
        <v>30</v>
      </c>
      <c r="S997" s="6" t="s">
        <v>30</v>
      </c>
      <c r="T997" s="11" t="s">
        <v>30</v>
      </c>
      <c r="U997" s="6" t="s">
        <v>30</v>
      </c>
      <c r="V997" s="6" t="s">
        <v>30</v>
      </c>
      <c r="W997" s="6" t="s">
        <v>30</v>
      </c>
      <c r="X997" s="2" t="s">
        <v>30</v>
      </c>
      <c r="Y997" s="6" t="str">
        <f aca="false">IF(AND(X997="processed",ISNUMBER(S997)),S997*O997,"")</f>
        <v/>
      </c>
      <c r="Z997" s="6" t="n">
        <f aca="false">IF(ISNUMBER(K997),K997*O997,0)</f>
        <v>0</v>
      </c>
      <c r="AA997" s="2" t="s">
        <v>31</v>
      </c>
      <c r="AB997" s="6" t="n">
        <v>6930</v>
      </c>
      <c r="AC997" s="6" t="n">
        <v>6409</v>
      </c>
      <c r="AD997" s="6" t="n">
        <v>5886</v>
      </c>
      <c r="AE997" s="6" t="n">
        <v>2418.14086914063</v>
      </c>
      <c r="AF997" s="8" t="n">
        <v>341.630063446</v>
      </c>
      <c r="AG997" s="11" t="n">
        <v>-0.01769120726</v>
      </c>
      <c r="AH997" s="12" t="n">
        <v>1</v>
      </c>
      <c r="AI997" s="2" t="s">
        <v>317</v>
      </c>
      <c r="AJ997" s="2" t="s">
        <v>2164</v>
      </c>
      <c r="AK997" s="2" t="s">
        <v>2164</v>
      </c>
    </row>
    <row r="998" customFormat="false" ht="15" hidden="false" customHeight="false" outlineLevel="0" collapsed="false">
      <c r="A998" s="9"/>
      <c r="B998" s="2" t="s">
        <v>2254</v>
      </c>
      <c r="C998" s="2" t="s">
        <v>2255</v>
      </c>
      <c r="D998" s="2" t="s">
        <v>524</v>
      </c>
      <c r="E998" s="2" t="s">
        <v>456</v>
      </c>
      <c r="F998" s="2"/>
      <c r="G998" s="2" t="s">
        <v>458</v>
      </c>
      <c r="H998" s="8" t="n">
        <v>287.366238949714</v>
      </c>
      <c r="I998" s="2" t="s">
        <v>316</v>
      </c>
      <c r="J998" s="8" t="n">
        <v>427857.142857143</v>
      </c>
      <c r="K998" s="6" t="n">
        <v>7</v>
      </c>
      <c r="L998" s="2"/>
      <c r="M998" s="10" t="b">
        <f aca="false">TRUE()</f>
        <v>1</v>
      </c>
      <c r="N998" s="9" t="str">
        <f aca="false">IF(H998="","",IF(H998&gt;=Assumptions!$B$5,1,IF(H998&gt;=Assumptions!$B$6,2,IF(H998&gt;=Assumptions!$B$7,3,""))))</f>
        <v/>
      </c>
      <c r="O998" s="9" t="n">
        <f aca="false">IF(N998=1,Assumptions!$B$8,IF(N998=2,Assumptions!$B$9,IF(N998=3,Assumptions!$B$10,0)))</f>
        <v>0</v>
      </c>
      <c r="P998" s="6" t="s">
        <v>30</v>
      </c>
      <c r="Q998" s="6" t="s">
        <v>30</v>
      </c>
      <c r="R998" s="11" t="s">
        <v>30</v>
      </c>
      <c r="S998" s="6" t="s">
        <v>30</v>
      </c>
      <c r="T998" s="11" t="s">
        <v>30</v>
      </c>
      <c r="U998" s="6" t="s">
        <v>30</v>
      </c>
      <c r="V998" s="6" t="s">
        <v>30</v>
      </c>
      <c r="W998" s="6" t="s">
        <v>30</v>
      </c>
      <c r="X998" s="2" t="s">
        <v>30</v>
      </c>
      <c r="Y998" s="6" t="str">
        <f aca="false">IF(AND(X998="processed",ISNUMBER(S998)),S998*O998,"")</f>
        <v/>
      </c>
      <c r="Z998" s="6" t="n">
        <f aca="false">IF(ISNUMBER(K998),K998*O998,0)</f>
        <v>0</v>
      </c>
      <c r="AA998" s="2" t="s">
        <v>31</v>
      </c>
      <c r="AB998" s="6" t="n">
        <v>102</v>
      </c>
      <c r="AC998" s="6" t="n">
        <v>92</v>
      </c>
      <c r="AD998" s="6" t="n">
        <v>98</v>
      </c>
      <c r="AE998" s="6" t="n">
        <v>1611.6455078125</v>
      </c>
      <c r="AF998" s="8" t="n">
        <v>274.650372081</v>
      </c>
      <c r="AG998" s="11" t="n">
        <v>-0.03167090766</v>
      </c>
      <c r="AH998" s="12" t="n">
        <v>1</v>
      </c>
      <c r="AI998" s="2" t="s">
        <v>335</v>
      </c>
      <c r="AJ998" s="2" t="s">
        <v>2255</v>
      </c>
      <c r="AK998" s="2" t="s">
        <v>2255</v>
      </c>
    </row>
    <row r="999" customFormat="false" ht="15" hidden="false" customHeight="false" outlineLevel="0" collapsed="false">
      <c r="A999" s="9"/>
      <c r="B999" s="2" t="s">
        <v>2256</v>
      </c>
      <c r="C999" s="2" t="s">
        <v>2257</v>
      </c>
      <c r="D999" s="2" t="s">
        <v>524</v>
      </c>
      <c r="E999" s="2" t="s">
        <v>456</v>
      </c>
      <c r="F999" s="2"/>
      <c r="G999" s="2" t="s">
        <v>458</v>
      </c>
      <c r="H999" s="8" t="n">
        <v>286.576509278311</v>
      </c>
      <c r="I999" s="2" t="s">
        <v>316</v>
      </c>
      <c r="J999" s="8" t="n">
        <v>349681.12244898</v>
      </c>
      <c r="K999" s="6" t="n">
        <v>196</v>
      </c>
      <c r="L999" s="2"/>
      <c r="M999" s="10" t="b">
        <f aca="false">TRUE()</f>
        <v>1</v>
      </c>
      <c r="N999" s="9" t="str">
        <f aca="false">IF(H999="","",IF(H999&gt;=Assumptions!$B$5,1,IF(H999&gt;=Assumptions!$B$6,2,IF(H999&gt;=Assumptions!$B$7,3,""))))</f>
        <v/>
      </c>
      <c r="O999" s="9" t="n">
        <f aca="false">IF(N999=1,Assumptions!$B$8,IF(N999=2,Assumptions!$B$9,IF(N999=3,Assumptions!$B$10,0)))</f>
        <v>0</v>
      </c>
      <c r="P999" s="6" t="s">
        <v>30</v>
      </c>
      <c r="Q999" s="6" t="s">
        <v>30</v>
      </c>
      <c r="R999" s="11" t="s">
        <v>30</v>
      </c>
      <c r="S999" s="6" t="s">
        <v>30</v>
      </c>
      <c r="T999" s="11" t="s">
        <v>30</v>
      </c>
      <c r="U999" s="6" t="s">
        <v>30</v>
      </c>
      <c r="V999" s="6" t="s">
        <v>30</v>
      </c>
      <c r="W999" s="6" t="s">
        <v>30</v>
      </c>
      <c r="X999" s="2" t="s">
        <v>30</v>
      </c>
      <c r="Y999" s="6" t="str">
        <f aca="false">IF(AND(X999="processed",ISNUMBER(S999)),S999*O999,"")</f>
        <v/>
      </c>
      <c r="Z999" s="6" t="n">
        <f aca="false">IF(ISNUMBER(K999),K999*O999,0)</f>
        <v>0</v>
      </c>
      <c r="AA999" s="2" t="s">
        <v>31</v>
      </c>
      <c r="AB999" s="6" t="n">
        <v>3402</v>
      </c>
      <c r="AC999" s="6" t="n">
        <v>2947</v>
      </c>
      <c r="AD999" s="6" t="n">
        <v>2582</v>
      </c>
      <c r="AE999" s="6" t="n">
        <v>1207.75305175781</v>
      </c>
      <c r="AF999" s="8" t="n">
        <v>292.276847978</v>
      </c>
      <c r="AG999" s="11" t="n">
        <v>-0.003887019303</v>
      </c>
      <c r="AH999" s="12" t="n">
        <v>1</v>
      </c>
      <c r="AI999" s="2" t="s">
        <v>695</v>
      </c>
      <c r="AJ999" s="2" t="s">
        <v>2258</v>
      </c>
      <c r="AK999" s="2" t="s">
        <v>2259</v>
      </c>
    </row>
    <row r="1000" customFormat="false" ht="15" hidden="false" customHeight="false" outlineLevel="0" collapsed="false">
      <c r="A1000" s="9"/>
      <c r="B1000" s="2" t="s">
        <v>2260</v>
      </c>
      <c r="C1000" s="2" t="s">
        <v>2261</v>
      </c>
      <c r="D1000" s="2" t="s">
        <v>2182</v>
      </c>
      <c r="E1000" s="2" t="s">
        <v>51</v>
      </c>
      <c r="F1000" s="2"/>
      <c r="G1000" s="2"/>
      <c r="H1000" s="8"/>
      <c r="I1000" s="2"/>
      <c r="J1000" s="8"/>
      <c r="K1000" s="6"/>
      <c r="L1000" s="2"/>
      <c r="M1000" s="10" t="b">
        <f aca="false">TRUE()</f>
        <v>1</v>
      </c>
      <c r="N1000" s="9" t="str">
        <f aca="false">IF(H1000="","",IF(H1000&gt;=Assumptions!$B$5,1,IF(H1000&gt;=Assumptions!$B$6,2,IF(H1000&gt;=Assumptions!$B$7,3,""))))</f>
        <v/>
      </c>
      <c r="O1000" s="9" t="n">
        <f aca="false">IF(N1000=1,Assumptions!$B$8,IF(N1000=2,Assumptions!$B$9,IF(N1000=3,Assumptions!$B$10,0)))</f>
        <v>0</v>
      </c>
      <c r="P1000" s="6" t="s">
        <v>30</v>
      </c>
      <c r="Q1000" s="6" t="s">
        <v>30</v>
      </c>
      <c r="R1000" s="11" t="s">
        <v>30</v>
      </c>
      <c r="S1000" s="6" t="s">
        <v>30</v>
      </c>
      <c r="T1000" s="11" t="s">
        <v>30</v>
      </c>
      <c r="U1000" s="6" t="s">
        <v>30</v>
      </c>
      <c r="V1000" s="6" t="s">
        <v>30</v>
      </c>
      <c r="W1000" s="6" t="s">
        <v>30</v>
      </c>
      <c r="X1000" s="2" t="s">
        <v>30</v>
      </c>
      <c r="Y1000" s="6" t="str">
        <f aca="false">IF(AND(X1000="processed",ISNUMBER(S1000)),S1000*O1000,"")</f>
        <v/>
      </c>
      <c r="Z1000" s="6" t="n">
        <f aca="false">IF(ISNUMBER(K1000),K1000*O1000,0)</f>
        <v>0</v>
      </c>
      <c r="AA1000" s="2" t="s">
        <v>31</v>
      </c>
      <c r="AB1000" s="6" t="n">
        <v>85</v>
      </c>
      <c r="AC1000" s="6" t="n">
        <v>71</v>
      </c>
      <c r="AD1000" s="6" t="n">
        <v>11</v>
      </c>
      <c r="AE1000" s="6" t="n">
        <v>1723.25048828125</v>
      </c>
      <c r="AF1000" s="8"/>
      <c r="AG1000" s="11"/>
      <c r="AH1000" s="12" t="n">
        <v>1</v>
      </c>
      <c r="AI1000" s="2" t="s">
        <v>1597</v>
      </c>
      <c r="AJ1000" s="2"/>
      <c r="AK1000" s="2" t="s">
        <v>2261</v>
      </c>
    </row>
    <row r="1001" customFormat="false" ht="15" hidden="false" customHeight="false" outlineLevel="0" collapsed="false">
      <c r="A1001" s="9"/>
      <c r="B1001" s="2" t="s">
        <v>2262</v>
      </c>
      <c r="C1001" s="2" t="s">
        <v>2263</v>
      </c>
      <c r="D1001" s="2" t="s">
        <v>524</v>
      </c>
      <c r="E1001" s="2" t="s">
        <v>456</v>
      </c>
      <c r="F1001" s="2"/>
      <c r="G1001" s="2" t="s">
        <v>458</v>
      </c>
      <c r="H1001" s="8" t="n">
        <v>352.623705213576</v>
      </c>
      <c r="I1001" s="2" t="s">
        <v>316</v>
      </c>
      <c r="J1001" s="8" t="n">
        <v>371787.878787879</v>
      </c>
      <c r="K1001" s="6" t="n">
        <v>33</v>
      </c>
      <c r="L1001" s="2"/>
      <c r="M1001" s="10" t="b">
        <f aca="false">TRUE()</f>
        <v>1</v>
      </c>
      <c r="N1001" s="9" t="str">
        <f aca="false">IF(H1001="","",IF(H1001&gt;=Assumptions!$B$5,1,IF(H1001&gt;=Assumptions!$B$6,2,IF(H1001&gt;=Assumptions!$B$7,3,""))))</f>
        <v/>
      </c>
      <c r="O1001" s="9" t="n">
        <f aca="false">IF(N1001=1,Assumptions!$B$8,IF(N1001=2,Assumptions!$B$9,IF(N1001=3,Assumptions!$B$10,0)))</f>
        <v>0</v>
      </c>
      <c r="P1001" s="6" t="s">
        <v>30</v>
      </c>
      <c r="Q1001" s="6" t="s">
        <v>30</v>
      </c>
      <c r="R1001" s="11" t="s">
        <v>30</v>
      </c>
      <c r="S1001" s="6" t="s">
        <v>30</v>
      </c>
      <c r="T1001" s="11" t="s">
        <v>30</v>
      </c>
      <c r="U1001" s="6" t="s">
        <v>30</v>
      </c>
      <c r="V1001" s="6" t="s">
        <v>30</v>
      </c>
      <c r="W1001" s="6" t="s">
        <v>30</v>
      </c>
      <c r="X1001" s="2" t="s">
        <v>30</v>
      </c>
      <c r="Y1001" s="6" t="str">
        <f aca="false">IF(AND(X1001="processed",ISNUMBER(S1001)),S1001*O1001,"")</f>
        <v/>
      </c>
      <c r="Z1001" s="6" t="n">
        <f aca="false">IF(ISNUMBER(K1001),K1001*O1001,0)</f>
        <v>0</v>
      </c>
      <c r="AA1001" s="2" t="s">
        <v>31</v>
      </c>
      <c r="AB1001" s="6" t="n">
        <v>205</v>
      </c>
      <c r="AC1001" s="6" t="n">
        <v>174</v>
      </c>
      <c r="AD1001" s="6" t="n">
        <v>202</v>
      </c>
      <c r="AE1001" s="6" t="n">
        <v>1403.064453125</v>
      </c>
      <c r="AF1001" s="8" t="n">
        <v>341.49284797</v>
      </c>
      <c r="AG1001" s="11" t="n">
        <v>-0.06917410518</v>
      </c>
      <c r="AH1001" s="12" t="n">
        <v>1</v>
      </c>
      <c r="AI1001" s="2" t="s">
        <v>321</v>
      </c>
      <c r="AJ1001" s="2" t="s">
        <v>2263</v>
      </c>
      <c r="AK1001" s="2" t="s">
        <v>2264</v>
      </c>
    </row>
    <row r="1002" customFormat="false" ht="15" hidden="false" customHeight="false" outlineLevel="0" collapsed="false">
      <c r="A1002" s="9"/>
      <c r="B1002" s="2" t="s">
        <v>2265</v>
      </c>
      <c r="C1002" s="2" t="s">
        <v>2266</v>
      </c>
      <c r="D1002" s="2" t="s">
        <v>524</v>
      </c>
      <c r="E1002" s="2" t="s">
        <v>456</v>
      </c>
      <c r="F1002" s="2"/>
      <c r="G1002" s="2" t="s">
        <v>458</v>
      </c>
      <c r="H1002" s="8" t="n">
        <v>340.501226112163</v>
      </c>
      <c r="I1002" s="2" t="s">
        <v>316</v>
      </c>
      <c r="J1002" s="8" t="n">
        <v>308959.183673469</v>
      </c>
      <c r="K1002" s="6" t="n">
        <v>98</v>
      </c>
      <c r="L1002" s="2"/>
      <c r="M1002" s="10" t="b">
        <f aca="false">TRUE()</f>
        <v>1</v>
      </c>
      <c r="N1002" s="9" t="str">
        <f aca="false">IF(H1002="","",IF(H1002&gt;=Assumptions!$B$5,1,IF(H1002&gt;=Assumptions!$B$6,2,IF(H1002&gt;=Assumptions!$B$7,3,""))))</f>
        <v/>
      </c>
      <c r="O1002" s="9" t="n">
        <f aca="false">IF(N1002=1,Assumptions!$B$8,IF(N1002=2,Assumptions!$B$9,IF(N1002=3,Assumptions!$B$10,0)))</f>
        <v>0</v>
      </c>
      <c r="P1002" s="6" t="s">
        <v>30</v>
      </c>
      <c r="Q1002" s="6" t="s">
        <v>30</v>
      </c>
      <c r="R1002" s="11" t="s">
        <v>30</v>
      </c>
      <c r="S1002" s="6" t="s">
        <v>30</v>
      </c>
      <c r="T1002" s="11" t="s">
        <v>30</v>
      </c>
      <c r="U1002" s="6" t="s">
        <v>30</v>
      </c>
      <c r="V1002" s="6" t="s">
        <v>30</v>
      </c>
      <c r="W1002" s="6" t="s">
        <v>30</v>
      </c>
      <c r="X1002" s="2" t="s">
        <v>30</v>
      </c>
      <c r="Y1002" s="6" t="str">
        <f aca="false">IF(AND(X1002="processed",ISNUMBER(S1002)),S1002*O1002,"")</f>
        <v/>
      </c>
      <c r="Z1002" s="6" t="n">
        <f aca="false">IF(ISNUMBER(K1002),K1002*O1002,0)</f>
        <v>0</v>
      </c>
      <c r="AA1002" s="2" t="s">
        <v>31</v>
      </c>
      <c r="AB1002" s="6" t="n">
        <v>3134</v>
      </c>
      <c r="AC1002" s="6" t="n">
        <v>2570</v>
      </c>
      <c r="AD1002" s="6" t="n">
        <v>3127</v>
      </c>
      <c r="AE1002" s="6" t="n">
        <v>981.150634765625</v>
      </c>
      <c r="AF1002" s="8" t="n">
        <v>338.889710231</v>
      </c>
      <c r="AG1002" s="11" t="n">
        <v>-0.04119123581</v>
      </c>
      <c r="AH1002" s="12" t="n">
        <v>0.999999999999999</v>
      </c>
      <c r="AI1002" s="2" t="s">
        <v>317</v>
      </c>
      <c r="AJ1002" s="2" t="s">
        <v>2266</v>
      </c>
      <c r="AK1002" s="2" t="s">
        <v>2159</v>
      </c>
    </row>
    <row r="1003" customFormat="false" ht="15" hidden="false" customHeight="false" outlineLevel="0" collapsed="false">
      <c r="A1003" s="9"/>
      <c r="B1003" s="2" t="s">
        <v>2267</v>
      </c>
      <c r="C1003" s="2" t="s">
        <v>2268</v>
      </c>
      <c r="D1003" s="2" t="s">
        <v>2182</v>
      </c>
      <c r="E1003" s="2" t="s">
        <v>51</v>
      </c>
      <c r="F1003" s="2"/>
      <c r="G1003" s="2"/>
      <c r="H1003" s="8"/>
      <c r="I1003" s="2"/>
      <c r="J1003" s="8"/>
      <c r="K1003" s="6"/>
      <c r="L1003" s="2"/>
      <c r="M1003" s="10" t="b">
        <f aca="false">TRUE()</f>
        <v>1</v>
      </c>
      <c r="N1003" s="9" t="str">
        <f aca="false">IF(H1003="","",IF(H1003&gt;=Assumptions!$B$5,1,IF(H1003&gt;=Assumptions!$B$6,2,IF(H1003&gt;=Assumptions!$B$7,3,""))))</f>
        <v/>
      </c>
      <c r="O1003" s="9" t="n">
        <f aca="false">IF(N1003=1,Assumptions!$B$8,IF(N1003=2,Assumptions!$B$9,IF(N1003=3,Assumptions!$B$10,0)))</f>
        <v>0</v>
      </c>
      <c r="P1003" s="6" t="s">
        <v>30</v>
      </c>
      <c r="Q1003" s="6" t="s">
        <v>30</v>
      </c>
      <c r="R1003" s="11" t="s">
        <v>30</v>
      </c>
      <c r="S1003" s="6" t="s">
        <v>30</v>
      </c>
      <c r="T1003" s="11" t="s">
        <v>30</v>
      </c>
      <c r="U1003" s="6" t="s">
        <v>30</v>
      </c>
      <c r="V1003" s="6" t="s">
        <v>30</v>
      </c>
      <c r="W1003" s="6" t="s">
        <v>30</v>
      </c>
      <c r="X1003" s="2" t="s">
        <v>30</v>
      </c>
      <c r="Y1003" s="6" t="str">
        <f aca="false">IF(AND(X1003="processed",ISNUMBER(S1003)),S1003*O1003,"")</f>
        <v/>
      </c>
      <c r="Z1003" s="6" t="n">
        <f aca="false">IF(ISNUMBER(K1003),K1003*O1003,0)</f>
        <v>0</v>
      </c>
      <c r="AA1003" s="2" t="s">
        <v>31</v>
      </c>
      <c r="AB1003" s="6" t="n">
        <v>311</v>
      </c>
      <c r="AC1003" s="6" t="n">
        <v>222</v>
      </c>
      <c r="AD1003" s="6" t="n">
        <v>42</v>
      </c>
      <c r="AE1003" s="6" t="n">
        <v>1319.51220703125</v>
      </c>
      <c r="AF1003" s="8"/>
      <c r="AG1003" s="11"/>
      <c r="AH1003" s="12" t="n">
        <v>0.999927042874436</v>
      </c>
      <c r="AI1003" s="2" t="s">
        <v>319</v>
      </c>
      <c r="AJ1003" s="2"/>
      <c r="AK1003" s="2" t="s">
        <v>2268</v>
      </c>
    </row>
    <row r="1004" customFormat="false" ht="15" hidden="false" customHeight="false" outlineLevel="0" collapsed="false">
      <c r="A1004" s="9"/>
      <c r="B1004" s="2" t="s">
        <v>2269</v>
      </c>
      <c r="C1004" s="2" t="s">
        <v>2270</v>
      </c>
      <c r="D1004" s="2" t="s">
        <v>524</v>
      </c>
      <c r="E1004" s="2" t="s">
        <v>456</v>
      </c>
      <c r="F1004" s="2"/>
      <c r="G1004" s="2" t="s">
        <v>458</v>
      </c>
      <c r="H1004" s="8" t="n">
        <v>291.989780246695</v>
      </c>
      <c r="I1004" s="2" t="s">
        <v>316</v>
      </c>
      <c r="J1004" s="8" t="n">
        <v>346271.186440678</v>
      </c>
      <c r="K1004" s="6" t="n">
        <v>59</v>
      </c>
      <c r="L1004" s="2"/>
      <c r="M1004" s="10" t="b">
        <f aca="false">TRUE()</f>
        <v>1</v>
      </c>
      <c r="N1004" s="9" t="str">
        <f aca="false">IF(H1004="","",IF(H1004&gt;=Assumptions!$B$5,1,IF(H1004&gt;=Assumptions!$B$6,2,IF(H1004&gt;=Assumptions!$B$7,3,""))))</f>
        <v/>
      </c>
      <c r="O1004" s="9" t="n">
        <f aca="false">IF(N1004=1,Assumptions!$B$8,IF(N1004=2,Assumptions!$B$9,IF(N1004=3,Assumptions!$B$10,0)))</f>
        <v>0</v>
      </c>
      <c r="P1004" s="6" t="s">
        <v>30</v>
      </c>
      <c r="Q1004" s="6" t="s">
        <v>30</v>
      </c>
      <c r="R1004" s="11" t="s">
        <v>30</v>
      </c>
      <c r="S1004" s="6" t="s">
        <v>30</v>
      </c>
      <c r="T1004" s="11" t="s">
        <v>30</v>
      </c>
      <c r="U1004" s="6" t="s">
        <v>30</v>
      </c>
      <c r="V1004" s="6" t="s">
        <v>30</v>
      </c>
      <c r="W1004" s="6" t="s">
        <v>30</v>
      </c>
      <c r="X1004" s="2" t="s">
        <v>30</v>
      </c>
      <c r="Y1004" s="6" t="str">
        <f aca="false">IF(AND(X1004="processed",ISNUMBER(S1004)),S1004*O1004,"")</f>
        <v/>
      </c>
      <c r="Z1004" s="6" t="n">
        <f aca="false">IF(ISNUMBER(K1004),K1004*O1004,0)</f>
        <v>0</v>
      </c>
      <c r="AA1004" s="2" t="s">
        <v>31</v>
      </c>
      <c r="AB1004" s="6" t="n">
        <v>1299</v>
      </c>
      <c r="AC1004" s="6" t="n">
        <v>1120</v>
      </c>
      <c r="AD1004" s="6" t="n">
        <v>1280</v>
      </c>
      <c r="AE1004" s="6" t="n">
        <v>1179.98010253906</v>
      </c>
      <c r="AF1004" s="8" t="n">
        <v>344.705988456</v>
      </c>
      <c r="AG1004" s="11" t="n">
        <v>0.007051677743</v>
      </c>
      <c r="AH1004" s="12" t="n">
        <v>1</v>
      </c>
      <c r="AI1004" s="2" t="s">
        <v>328</v>
      </c>
      <c r="AJ1004" s="2" t="s">
        <v>2270</v>
      </c>
      <c r="AK1004" s="2" t="s">
        <v>2270</v>
      </c>
    </row>
    <row r="1005" customFormat="false" ht="15" hidden="false" customHeight="false" outlineLevel="0" collapsed="false">
      <c r="A1005" s="9"/>
      <c r="B1005" s="2" t="s">
        <v>2271</v>
      </c>
      <c r="C1005" s="2" t="s">
        <v>2272</v>
      </c>
      <c r="D1005" s="2" t="s">
        <v>524</v>
      </c>
      <c r="E1005" s="2" t="s">
        <v>456</v>
      </c>
      <c r="F1005" s="2" t="s">
        <v>2273</v>
      </c>
      <c r="G1005" s="2" t="s">
        <v>458</v>
      </c>
      <c r="H1005" s="8" t="n">
        <v>233.412355737385</v>
      </c>
      <c r="I1005" s="2" t="s">
        <v>316</v>
      </c>
      <c r="J1005" s="8" t="n">
        <v>448178.137651822</v>
      </c>
      <c r="K1005" s="6" t="n">
        <v>494</v>
      </c>
      <c r="L1005" s="2"/>
      <c r="M1005" s="10" t="b">
        <f aca="false">TRUE()</f>
        <v>1</v>
      </c>
      <c r="N1005" s="9" t="str">
        <f aca="false">IF(H1005="","",IF(H1005&gt;=Assumptions!$B$5,1,IF(H1005&gt;=Assumptions!$B$6,2,IF(H1005&gt;=Assumptions!$B$7,3,""))))</f>
        <v/>
      </c>
      <c r="O1005" s="9" t="n">
        <f aca="false">IF(N1005=1,Assumptions!$B$8,IF(N1005=2,Assumptions!$B$9,IF(N1005=3,Assumptions!$B$10,0)))</f>
        <v>0</v>
      </c>
      <c r="P1005" s="6" t="s">
        <v>30</v>
      </c>
      <c r="Q1005" s="6" t="s">
        <v>30</v>
      </c>
      <c r="R1005" s="11" t="s">
        <v>30</v>
      </c>
      <c r="S1005" s="6" t="s">
        <v>30</v>
      </c>
      <c r="T1005" s="11" t="s">
        <v>30</v>
      </c>
      <c r="U1005" s="6" t="s">
        <v>30</v>
      </c>
      <c r="V1005" s="6" t="s">
        <v>30</v>
      </c>
      <c r="W1005" s="6" t="s">
        <v>30</v>
      </c>
      <c r="X1005" s="2" t="s">
        <v>30</v>
      </c>
      <c r="Y1005" s="6" t="str">
        <f aca="false">IF(AND(X1005="processed",ISNUMBER(S1005)),S1005*O1005,"")</f>
        <v/>
      </c>
      <c r="Z1005" s="6" t="n">
        <f aca="false">IF(ISNUMBER(K1005),K1005*O1005,0)</f>
        <v>0</v>
      </c>
      <c r="AA1005" s="2" t="s">
        <v>31</v>
      </c>
      <c r="AB1005" s="6" t="n">
        <v>20025</v>
      </c>
      <c r="AC1005" s="6" t="n">
        <v>18905</v>
      </c>
      <c r="AD1005" s="6" t="n">
        <v>3073</v>
      </c>
      <c r="AE1005" s="6" t="n">
        <v>2537.45336914063</v>
      </c>
      <c r="AF1005" s="8" t="n">
        <v>224.340998317</v>
      </c>
      <c r="AG1005" s="11" t="n">
        <v>-0.08834486272</v>
      </c>
      <c r="AH1005" s="12" t="n">
        <v>0.999999999999999</v>
      </c>
      <c r="AI1005" s="2" t="s">
        <v>317</v>
      </c>
      <c r="AJ1005" s="2" t="s">
        <v>2272</v>
      </c>
      <c r="AK1005" s="2" t="s">
        <v>2272</v>
      </c>
    </row>
    <row r="1006" customFormat="false" ht="15" hidden="false" customHeight="false" outlineLevel="0" collapsed="false">
      <c r="A1006" s="9"/>
      <c r="B1006" s="2" t="s">
        <v>2274</v>
      </c>
      <c r="C1006" s="2"/>
      <c r="D1006" s="2" t="s">
        <v>1190</v>
      </c>
      <c r="E1006" s="2" t="s">
        <v>1191</v>
      </c>
      <c r="F1006" s="2"/>
      <c r="G1006" s="2" t="s">
        <v>458</v>
      </c>
      <c r="H1006" s="8" t="n">
        <v>178.725361779</v>
      </c>
      <c r="I1006" s="2" t="s">
        <v>337</v>
      </c>
      <c r="J1006" s="8" t="n">
        <v>261750</v>
      </c>
      <c r="K1006" s="6" t="n">
        <v>4</v>
      </c>
      <c r="L1006" s="2" t="s">
        <v>1664</v>
      </c>
      <c r="M1006" s="10" t="b">
        <f aca="false">FALSE()</f>
        <v>0</v>
      </c>
      <c r="N1006" s="9" t="str">
        <f aca="false">IF(H1006="","",IF(H1006&gt;=Assumptions!$B$5,1,IF(H1006&gt;=Assumptions!$B$6,2,IF(H1006&gt;=Assumptions!$B$7,3,""))))</f>
        <v/>
      </c>
      <c r="O1006" s="9" t="n">
        <f aca="false">IF(N1006=1,Assumptions!$B$8,IF(N1006=2,Assumptions!$B$9,IF(N1006=3,Assumptions!$B$10,0)))</f>
        <v>0</v>
      </c>
      <c r="P1006" s="6" t="s">
        <v>30</v>
      </c>
      <c r="Q1006" s="6" t="s">
        <v>30</v>
      </c>
      <c r="R1006" s="11" t="s">
        <v>30</v>
      </c>
      <c r="S1006" s="6" t="s">
        <v>30</v>
      </c>
      <c r="T1006" s="11" t="s">
        <v>30</v>
      </c>
      <c r="U1006" s="6" t="s">
        <v>30</v>
      </c>
      <c r="V1006" s="6" t="s">
        <v>30</v>
      </c>
      <c r="W1006" s="6" t="s">
        <v>30</v>
      </c>
      <c r="X1006" s="2" t="s">
        <v>30</v>
      </c>
      <c r="Y1006" s="6" t="str">
        <f aca="false">IF(AND(X1006="processed",ISNUMBER(S1006)),S1006*O1006,"")</f>
        <v/>
      </c>
      <c r="Z1006" s="6" t="n">
        <f aca="false">IF(ISNUMBER(K1006),K1006*O1006,0)</f>
        <v>0</v>
      </c>
      <c r="AA1006" s="2" t="s">
        <v>31</v>
      </c>
      <c r="AB1006" s="6"/>
      <c r="AC1006" s="6"/>
      <c r="AD1006" s="6"/>
      <c r="AE1006" s="6"/>
      <c r="AF1006" s="8"/>
      <c r="AG1006" s="11"/>
      <c r="AH1006" s="12"/>
      <c r="AI1006" s="2"/>
      <c r="AJ1006" s="2"/>
      <c r="AK1006" s="2"/>
    </row>
    <row r="1007" customFormat="false" ht="15" hidden="false" customHeight="false" outlineLevel="0" collapsed="false">
      <c r="A1007" s="9"/>
      <c r="B1007" s="2" t="s">
        <v>2275</v>
      </c>
      <c r="C1007" s="2" t="s">
        <v>2272</v>
      </c>
      <c r="D1007" s="2" t="s">
        <v>524</v>
      </c>
      <c r="E1007" s="2" t="s">
        <v>456</v>
      </c>
      <c r="F1007" s="2" t="s">
        <v>2276</v>
      </c>
      <c r="G1007" s="2" t="s">
        <v>458</v>
      </c>
      <c r="H1007" s="8" t="n">
        <v>236.401716617196</v>
      </c>
      <c r="I1007" s="2" t="s">
        <v>316</v>
      </c>
      <c r="J1007" s="8" t="n">
        <v>433149.411764706</v>
      </c>
      <c r="K1007" s="6" t="n">
        <v>306</v>
      </c>
      <c r="L1007" s="2"/>
      <c r="M1007" s="10" t="b">
        <f aca="false">TRUE()</f>
        <v>1</v>
      </c>
      <c r="N1007" s="9" t="str">
        <f aca="false">IF(H1007="","",IF(H1007&gt;=Assumptions!$B$5,1,IF(H1007&gt;=Assumptions!$B$6,2,IF(H1007&gt;=Assumptions!$B$7,3,""))))</f>
        <v/>
      </c>
      <c r="O1007" s="9" t="n">
        <f aca="false">IF(N1007=1,Assumptions!$B$8,IF(N1007=2,Assumptions!$B$9,IF(N1007=3,Assumptions!$B$10,0)))</f>
        <v>0</v>
      </c>
      <c r="P1007" s="6" t="s">
        <v>30</v>
      </c>
      <c r="Q1007" s="6" t="s">
        <v>30</v>
      </c>
      <c r="R1007" s="11" t="s">
        <v>30</v>
      </c>
      <c r="S1007" s="6" t="s">
        <v>30</v>
      </c>
      <c r="T1007" s="11" t="s">
        <v>30</v>
      </c>
      <c r="U1007" s="6" t="s">
        <v>30</v>
      </c>
      <c r="V1007" s="6" t="s">
        <v>30</v>
      </c>
      <c r="W1007" s="6" t="s">
        <v>30</v>
      </c>
      <c r="X1007" s="2" t="s">
        <v>30</v>
      </c>
      <c r="Y1007" s="6" t="str">
        <f aca="false">IF(AND(X1007="processed",ISNUMBER(S1007)),S1007*O1007,"")</f>
        <v/>
      </c>
      <c r="Z1007" s="6" t="n">
        <f aca="false">IF(ISNUMBER(K1007),K1007*O1007,0)</f>
        <v>0</v>
      </c>
      <c r="AA1007" s="2" t="s">
        <v>31</v>
      </c>
      <c r="AB1007" s="6" t="n">
        <v>10575</v>
      </c>
      <c r="AC1007" s="6" t="n">
        <v>9913</v>
      </c>
      <c r="AD1007" s="6" t="n">
        <v>488</v>
      </c>
      <c r="AE1007" s="6" t="n">
        <v>2296.30786132813</v>
      </c>
      <c r="AF1007" s="8" t="n">
        <v>245.230482467</v>
      </c>
      <c r="AG1007" s="11" t="n">
        <v>0.1007119351</v>
      </c>
      <c r="AH1007" s="12" t="n">
        <v>1</v>
      </c>
      <c r="AI1007" s="2" t="s">
        <v>317</v>
      </c>
      <c r="AJ1007" s="2" t="s">
        <v>2272</v>
      </c>
      <c r="AK1007" s="2" t="s">
        <v>2272</v>
      </c>
    </row>
    <row r="1008" customFormat="false" ht="15" hidden="false" customHeight="false" outlineLevel="0" collapsed="false">
      <c r="A1008" s="9"/>
      <c r="B1008" s="2" t="s">
        <v>2277</v>
      </c>
      <c r="C1008" s="2" t="s">
        <v>2272</v>
      </c>
      <c r="D1008" s="2" t="s">
        <v>524</v>
      </c>
      <c r="E1008" s="2" t="s">
        <v>456</v>
      </c>
      <c r="F1008" s="2" t="s">
        <v>2278</v>
      </c>
      <c r="G1008" s="2" t="s">
        <v>458</v>
      </c>
      <c r="H1008" s="8" t="n">
        <v>250.940572096431</v>
      </c>
      <c r="I1008" s="2" t="s">
        <v>316</v>
      </c>
      <c r="J1008" s="8" t="n">
        <v>418031.764705882</v>
      </c>
      <c r="K1008" s="6" t="n">
        <v>425</v>
      </c>
      <c r="L1008" s="2"/>
      <c r="M1008" s="10" t="b">
        <f aca="false">TRUE()</f>
        <v>1</v>
      </c>
      <c r="N1008" s="9" t="str">
        <f aca="false">IF(H1008="","",IF(H1008&gt;=Assumptions!$B$5,1,IF(H1008&gt;=Assumptions!$B$6,2,IF(H1008&gt;=Assumptions!$B$7,3,""))))</f>
        <v/>
      </c>
      <c r="O1008" s="9" t="n">
        <f aca="false">IF(N1008=1,Assumptions!$B$8,IF(N1008=2,Assumptions!$B$9,IF(N1008=3,Assumptions!$B$10,0)))</f>
        <v>0</v>
      </c>
      <c r="P1008" s="6" t="s">
        <v>30</v>
      </c>
      <c r="Q1008" s="6" t="s">
        <v>30</v>
      </c>
      <c r="R1008" s="11" t="s">
        <v>30</v>
      </c>
      <c r="S1008" s="6" t="s">
        <v>30</v>
      </c>
      <c r="T1008" s="11" t="s">
        <v>30</v>
      </c>
      <c r="U1008" s="6" t="s">
        <v>30</v>
      </c>
      <c r="V1008" s="6" t="s">
        <v>30</v>
      </c>
      <c r="W1008" s="6" t="s">
        <v>30</v>
      </c>
      <c r="X1008" s="2" t="s">
        <v>30</v>
      </c>
      <c r="Y1008" s="6" t="str">
        <f aca="false">IF(AND(X1008="processed",ISNUMBER(S1008)),S1008*O1008,"")</f>
        <v/>
      </c>
      <c r="Z1008" s="6" t="n">
        <f aca="false">IF(ISNUMBER(K1008),K1008*O1008,0)</f>
        <v>0</v>
      </c>
      <c r="AA1008" s="2" t="s">
        <v>31</v>
      </c>
      <c r="AB1008" s="6" t="n">
        <v>15557</v>
      </c>
      <c r="AC1008" s="6" t="n">
        <v>14328</v>
      </c>
      <c r="AD1008" s="6" t="n">
        <v>838</v>
      </c>
      <c r="AE1008" s="6" t="n">
        <v>2544.86987304688</v>
      </c>
      <c r="AF1008" s="8" t="n">
        <v>253.928452214</v>
      </c>
      <c r="AG1008" s="11" t="n">
        <v>-0.03895221422</v>
      </c>
      <c r="AH1008" s="12" t="n">
        <v>1</v>
      </c>
      <c r="AI1008" s="2" t="s">
        <v>317</v>
      </c>
      <c r="AJ1008" s="2" t="s">
        <v>2272</v>
      </c>
      <c r="AK1008" s="2" t="s">
        <v>2272</v>
      </c>
    </row>
    <row r="1009" customFormat="false" ht="15" hidden="false" customHeight="false" outlineLevel="0" collapsed="false">
      <c r="A1009" s="9"/>
      <c r="B1009" s="2" t="s">
        <v>2279</v>
      </c>
      <c r="C1009" s="2" t="s">
        <v>2280</v>
      </c>
      <c r="D1009" s="2" t="s">
        <v>524</v>
      </c>
      <c r="E1009" s="2" t="s">
        <v>456</v>
      </c>
      <c r="F1009" s="2"/>
      <c r="G1009" s="2" t="s">
        <v>458</v>
      </c>
      <c r="H1009" s="8" t="n">
        <v>302.622241186952</v>
      </c>
      <c r="I1009" s="2" t="s">
        <v>316</v>
      </c>
      <c r="J1009" s="8" t="n">
        <v>431495.192307692</v>
      </c>
      <c r="K1009" s="6" t="n">
        <v>104</v>
      </c>
      <c r="L1009" s="2"/>
      <c r="M1009" s="10" t="b">
        <f aca="false">TRUE()</f>
        <v>1</v>
      </c>
      <c r="N1009" s="9" t="str">
        <f aca="false">IF(H1009="","",IF(H1009&gt;=Assumptions!$B$5,1,IF(H1009&gt;=Assumptions!$B$6,2,IF(H1009&gt;=Assumptions!$B$7,3,""))))</f>
        <v/>
      </c>
      <c r="O1009" s="9" t="n">
        <f aca="false">IF(N1009=1,Assumptions!$B$8,IF(N1009=2,Assumptions!$B$9,IF(N1009=3,Assumptions!$B$10,0)))</f>
        <v>0</v>
      </c>
      <c r="P1009" s="6" t="s">
        <v>30</v>
      </c>
      <c r="Q1009" s="6" t="s">
        <v>30</v>
      </c>
      <c r="R1009" s="11" t="s">
        <v>30</v>
      </c>
      <c r="S1009" s="6" t="s">
        <v>30</v>
      </c>
      <c r="T1009" s="11" t="s">
        <v>30</v>
      </c>
      <c r="U1009" s="6" t="s">
        <v>30</v>
      </c>
      <c r="V1009" s="6" t="s">
        <v>30</v>
      </c>
      <c r="W1009" s="6" t="s">
        <v>30</v>
      </c>
      <c r="X1009" s="2" t="s">
        <v>30</v>
      </c>
      <c r="Y1009" s="6" t="str">
        <f aca="false">IF(AND(X1009="processed",ISNUMBER(S1009)),S1009*O1009,"")</f>
        <v/>
      </c>
      <c r="Z1009" s="6" t="n">
        <f aca="false">IF(ISNUMBER(K1009),K1009*O1009,0)</f>
        <v>0</v>
      </c>
      <c r="AA1009" s="2" t="s">
        <v>31</v>
      </c>
      <c r="AB1009" s="6" t="n">
        <v>2927</v>
      </c>
      <c r="AC1009" s="6" t="n">
        <v>2630</v>
      </c>
      <c r="AD1009" s="6" t="n">
        <v>2186</v>
      </c>
      <c r="AE1009" s="6" t="n">
        <v>1506.15942382813</v>
      </c>
      <c r="AF1009" s="8" t="n">
        <v>258.60403397</v>
      </c>
      <c r="AG1009" s="11" t="n">
        <v>-0.1075625494</v>
      </c>
      <c r="AH1009" s="12" t="n">
        <v>0.994761914094577</v>
      </c>
      <c r="AI1009" s="2" t="s">
        <v>317</v>
      </c>
      <c r="AJ1009" s="2" t="s">
        <v>2280</v>
      </c>
      <c r="AK1009" s="2" t="s">
        <v>2246</v>
      </c>
    </row>
    <row r="1010" customFormat="false" ht="15" hidden="false" customHeight="false" outlineLevel="0" collapsed="false">
      <c r="A1010" s="9"/>
      <c r="B1010" s="2" t="s">
        <v>2281</v>
      </c>
      <c r="C1010" s="2" t="s">
        <v>2282</v>
      </c>
      <c r="D1010" s="2" t="s">
        <v>524</v>
      </c>
      <c r="E1010" s="2" t="s">
        <v>456</v>
      </c>
      <c r="F1010" s="2" t="s">
        <v>2283</v>
      </c>
      <c r="G1010" s="2" t="s">
        <v>458</v>
      </c>
      <c r="H1010" s="8" t="n">
        <v>172.073412138333</v>
      </c>
      <c r="I1010" s="2" t="s">
        <v>316</v>
      </c>
      <c r="J1010" s="8" t="n">
        <v>207432.222222222</v>
      </c>
      <c r="K1010" s="6" t="n">
        <v>9</v>
      </c>
      <c r="L1010" s="2"/>
      <c r="M1010" s="10" t="b">
        <f aca="false">TRUE()</f>
        <v>1</v>
      </c>
      <c r="N1010" s="9" t="str">
        <f aca="false">IF(H1010="","",IF(H1010&gt;=Assumptions!$B$5,1,IF(H1010&gt;=Assumptions!$B$6,2,IF(H1010&gt;=Assumptions!$B$7,3,""))))</f>
        <v/>
      </c>
      <c r="O1010" s="9" t="n">
        <f aca="false">IF(N1010=1,Assumptions!$B$8,IF(N1010=2,Assumptions!$B$9,IF(N1010=3,Assumptions!$B$10,0)))</f>
        <v>0</v>
      </c>
      <c r="P1010" s="6" t="s">
        <v>30</v>
      </c>
      <c r="Q1010" s="6" t="s">
        <v>30</v>
      </c>
      <c r="R1010" s="11" t="s">
        <v>30</v>
      </c>
      <c r="S1010" s="6" t="s">
        <v>30</v>
      </c>
      <c r="T1010" s="11" t="s">
        <v>30</v>
      </c>
      <c r="U1010" s="6" t="s">
        <v>30</v>
      </c>
      <c r="V1010" s="6" t="s">
        <v>30</v>
      </c>
      <c r="W1010" s="6" t="s">
        <v>30</v>
      </c>
      <c r="X1010" s="2" t="s">
        <v>30</v>
      </c>
      <c r="Y1010" s="6" t="str">
        <f aca="false">IF(AND(X1010="processed",ISNUMBER(S1010)),S1010*O1010,"")</f>
        <v/>
      </c>
      <c r="Z1010" s="6" t="n">
        <f aca="false">IF(ISNUMBER(K1010),K1010*O1010,0)</f>
        <v>0</v>
      </c>
      <c r="AA1010" s="2" t="s">
        <v>31</v>
      </c>
      <c r="AB1010" s="6" t="n">
        <v>1045</v>
      </c>
      <c r="AC1010" s="6" t="n">
        <v>844</v>
      </c>
      <c r="AD1010" s="6" t="n">
        <v>408</v>
      </c>
      <c r="AE1010" s="6" t="n">
        <v>1737.70861816406</v>
      </c>
      <c r="AF1010" s="8" t="n">
        <v>186.567164179</v>
      </c>
      <c r="AG1010" s="11" t="n">
        <v>0.552192018</v>
      </c>
      <c r="AH1010" s="12" t="n">
        <v>0.999999999999999</v>
      </c>
      <c r="AI1010" s="2" t="s">
        <v>317</v>
      </c>
      <c r="AJ1010" s="2" t="s">
        <v>2282</v>
      </c>
      <c r="AK1010" s="2" t="s">
        <v>2282</v>
      </c>
    </row>
    <row r="1011" customFormat="false" ht="15" hidden="false" customHeight="false" outlineLevel="0" collapsed="false">
      <c r="A1011" s="9"/>
      <c r="B1011" s="2" t="s">
        <v>2284</v>
      </c>
      <c r="C1011" s="2" t="s">
        <v>2285</v>
      </c>
      <c r="D1011" s="2" t="s">
        <v>524</v>
      </c>
      <c r="E1011" s="2" t="s">
        <v>456</v>
      </c>
      <c r="F1011" s="2" t="s">
        <v>2286</v>
      </c>
      <c r="G1011" s="2" t="s">
        <v>458</v>
      </c>
      <c r="H1011" s="8" t="n">
        <v>332.628313818488</v>
      </c>
      <c r="I1011" s="2" t="s">
        <v>316</v>
      </c>
      <c r="J1011" s="8" t="n">
        <v>583773.148148148</v>
      </c>
      <c r="K1011" s="6" t="n">
        <v>432</v>
      </c>
      <c r="L1011" s="2"/>
      <c r="M1011" s="10" t="b">
        <f aca="false">TRUE()</f>
        <v>1</v>
      </c>
      <c r="N1011" s="9" t="str">
        <f aca="false">IF(H1011="","",IF(H1011&gt;=Assumptions!$B$5,1,IF(H1011&gt;=Assumptions!$B$6,2,IF(H1011&gt;=Assumptions!$B$7,3,""))))</f>
        <v/>
      </c>
      <c r="O1011" s="9" t="n">
        <f aca="false">IF(N1011=1,Assumptions!$B$8,IF(N1011=2,Assumptions!$B$9,IF(N1011=3,Assumptions!$B$10,0)))</f>
        <v>0</v>
      </c>
      <c r="P1011" s="6" t="s">
        <v>30</v>
      </c>
      <c r="Q1011" s="6" t="s">
        <v>30</v>
      </c>
      <c r="R1011" s="11" t="s">
        <v>30</v>
      </c>
      <c r="S1011" s="6" t="s">
        <v>30</v>
      </c>
      <c r="T1011" s="11" t="s">
        <v>30</v>
      </c>
      <c r="U1011" s="6" t="s">
        <v>30</v>
      </c>
      <c r="V1011" s="6" t="s">
        <v>30</v>
      </c>
      <c r="W1011" s="6" t="s">
        <v>30</v>
      </c>
      <c r="X1011" s="2" t="s">
        <v>30</v>
      </c>
      <c r="Y1011" s="6" t="str">
        <f aca="false">IF(AND(X1011="processed",ISNUMBER(S1011)),S1011*O1011,"")</f>
        <v/>
      </c>
      <c r="Z1011" s="6" t="n">
        <f aca="false">IF(ISNUMBER(K1011),K1011*O1011,0)</f>
        <v>0</v>
      </c>
      <c r="AA1011" s="2" t="s">
        <v>31</v>
      </c>
      <c r="AB1011" s="6" t="n">
        <v>25831</v>
      </c>
      <c r="AC1011" s="6" t="n">
        <v>23007</v>
      </c>
      <c r="AD1011" s="6" t="n">
        <v>2165</v>
      </c>
      <c r="AE1011" s="6" t="n">
        <v>2157.86499023438</v>
      </c>
      <c r="AF1011" s="8" t="n">
        <v>337.448559671</v>
      </c>
      <c r="AG1011" s="11" t="n">
        <v>0.03671696388</v>
      </c>
      <c r="AH1011" s="12" t="n">
        <v>0.980952778077173</v>
      </c>
      <c r="AI1011" s="2" t="s">
        <v>321</v>
      </c>
      <c r="AJ1011" s="2" t="s">
        <v>2285</v>
      </c>
      <c r="AK1011" s="2" t="s">
        <v>2285</v>
      </c>
    </row>
    <row r="1012" customFormat="false" ht="15" hidden="false" customHeight="false" outlineLevel="0" collapsed="false">
      <c r="A1012" s="9"/>
      <c r="B1012" s="2" t="s">
        <v>2287</v>
      </c>
      <c r="C1012" s="2" t="s">
        <v>524</v>
      </c>
      <c r="D1012" s="2" t="s">
        <v>524</v>
      </c>
      <c r="E1012" s="2" t="s">
        <v>456</v>
      </c>
      <c r="F1012" s="2"/>
      <c r="G1012" s="2" t="s">
        <v>458</v>
      </c>
      <c r="H1012" s="8" t="n">
        <v>313.245119211</v>
      </c>
      <c r="I1012" s="2" t="s">
        <v>316</v>
      </c>
      <c r="J1012" s="8" t="n">
        <v>375000</v>
      </c>
      <c r="K1012" s="6" t="n">
        <v>4</v>
      </c>
      <c r="L1012" s="2" t="s">
        <v>1664</v>
      </c>
      <c r="M1012" s="10" t="b">
        <f aca="false">TRUE()</f>
        <v>1</v>
      </c>
      <c r="N1012" s="9" t="str">
        <f aca="false">IF(H1012="","",IF(H1012&gt;=Assumptions!$B$5,1,IF(H1012&gt;=Assumptions!$B$6,2,IF(H1012&gt;=Assumptions!$B$7,3,""))))</f>
        <v/>
      </c>
      <c r="O1012" s="9" t="n">
        <f aca="false">IF(N1012=1,Assumptions!$B$8,IF(N1012=2,Assumptions!$B$9,IF(N1012=3,Assumptions!$B$10,0)))</f>
        <v>0</v>
      </c>
      <c r="P1012" s="6" t="s">
        <v>30</v>
      </c>
      <c r="Q1012" s="6" t="s">
        <v>30</v>
      </c>
      <c r="R1012" s="11" t="s">
        <v>30</v>
      </c>
      <c r="S1012" s="6" t="s">
        <v>30</v>
      </c>
      <c r="T1012" s="11" t="s">
        <v>30</v>
      </c>
      <c r="U1012" s="6" t="s">
        <v>30</v>
      </c>
      <c r="V1012" s="6" t="s">
        <v>30</v>
      </c>
      <c r="W1012" s="6" t="s">
        <v>30</v>
      </c>
      <c r="X1012" s="2" t="s">
        <v>30</v>
      </c>
      <c r="Y1012" s="6" t="str">
        <f aca="false">IF(AND(X1012="processed",ISNUMBER(S1012)),S1012*O1012,"")</f>
        <v/>
      </c>
      <c r="Z1012" s="6" t="n">
        <f aca="false">IF(ISNUMBER(K1012),K1012*O1012,0)</f>
        <v>0</v>
      </c>
      <c r="AA1012" s="2" t="s">
        <v>31</v>
      </c>
      <c r="AB1012" s="6" t="n">
        <v>693</v>
      </c>
      <c r="AC1012" s="6" t="n">
        <v>415</v>
      </c>
      <c r="AD1012" s="6" t="n">
        <v>407</v>
      </c>
      <c r="AE1012" s="6" t="n">
        <v>1941.19714355469</v>
      </c>
      <c r="AF1012" s="8" t="n">
        <v>242.997685185</v>
      </c>
      <c r="AG1012" s="11"/>
      <c r="AH1012" s="12" t="n">
        <v>1</v>
      </c>
      <c r="AI1012" s="2" t="s">
        <v>317</v>
      </c>
      <c r="AJ1012" s="2" t="s">
        <v>524</v>
      </c>
      <c r="AK1012" s="2" t="s">
        <v>524</v>
      </c>
    </row>
    <row r="1013" customFormat="false" ht="15" hidden="false" customHeight="false" outlineLevel="0" collapsed="false">
      <c r="A1013" s="9"/>
      <c r="B1013" s="2" t="s">
        <v>2288</v>
      </c>
      <c r="C1013" s="2"/>
      <c r="D1013" s="2" t="s">
        <v>1190</v>
      </c>
      <c r="E1013" s="2" t="s">
        <v>1191</v>
      </c>
      <c r="F1013" s="2"/>
      <c r="G1013" s="2" t="s">
        <v>458</v>
      </c>
      <c r="H1013" s="8" t="n">
        <v>401.207737875125</v>
      </c>
      <c r="I1013" s="2" t="s">
        <v>316</v>
      </c>
      <c r="J1013" s="8" t="n">
        <v>475812.5</v>
      </c>
      <c r="K1013" s="6" t="n">
        <v>8</v>
      </c>
      <c r="L1013" s="2"/>
      <c r="M1013" s="10" t="b">
        <f aca="false">FALSE()</f>
        <v>0</v>
      </c>
      <c r="N1013" s="9" t="str">
        <f aca="false">IF(H1013="","",IF(H1013&gt;=Assumptions!$B$5,1,IF(H1013&gt;=Assumptions!$B$6,2,IF(H1013&gt;=Assumptions!$B$7,3,""))))</f>
        <v/>
      </c>
      <c r="O1013" s="9" t="n">
        <f aca="false">IF(N1013=1,Assumptions!$B$8,IF(N1013=2,Assumptions!$B$9,IF(N1013=3,Assumptions!$B$10,0)))</f>
        <v>0</v>
      </c>
      <c r="P1013" s="6" t="s">
        <v>30</v>
      </c>
      <c r="Q1013" s="6" t="s">
        <v>30</v>
      </c>
      <c r="R1013" s="11" t="s">
        <v>30</v>
      </c>
      <c r="S1013" s="6" t="s">
        <v>30</v>
      </c>
      <c r="T1013" s="11" t="s">
        <v>30</v>
      </c>
      <c r="U1013" s="6" t="s">
        <v>30</v>
      </c>
      <c r="V1013" s="6" t="s">
        <v>30</v>
      </c>
      <c r="W1013" s="6" t="s">
        <v>30</v>
      </c>
      <c r="X1013" s="2" t="s">
        <v>30</v>
      </c>
      <c r="Y1013" s="6" t="str">
        <f aca="false">IF(AND(X1013="processed",ISNUMBER(S1013)),S1013*O1013,"")</f>
        <v/>
      </c>
      <c r="Z1013" s="6" t="n">
        <f aca="false">IF(ISNUMBER(K1013),K1013*O1013,0)</f>
        <v>0</v>
      </c>
      <c r="AA1013" s="2" t="s">
        <v>31</v>
      </c>
      <c r="AB1013" s="6"/>
      <c r="AC1013" s="6"/>
      <c r="AD1013" s="6"/>
      <c r="AE1013" s="6"/>
      <c r="AF1013" s="8" t="n">
        <v>341.776544067</v>
      </c>
      <c r="AG1013" s="11" t="n">
        <v>0.1807925912</v>
      </c>
      <c r="AH1013" s="12"/>
      <c r="AI1013" s="2"/>
      <c r="AJ1013" s="2"/>
      <c r="AK1013" s="2"/>
    </row>
    <row r="1014" customFormat="false" ht="15" hidden="false" customHeight="false" outlineLevel="0" collapsed="false">
      <c r="A1014" s="9"/>
      <c r="B1014" s="2" t="s">
        <v>2289</v>
      </c>
      <c r="C1014" s="2" t="s">
        <v>524</v>
      </c>
      <c r="D1014" s="2" t="s">
        <v>524</v>
      </c>
      <c r="E1014" s="2" t="s">
        <v>456</v>
      </c>
      <c r="F1014" s="2" t="s">
        <v>2290</v>
      </c>
      <c r="G1014" s="2" t="s">
        <v>458</v>
      </c>
      <c r="H1014" s="8" t="n">
        <v>364.284777350742</v>
      </c>
      <c r="I1014" s="2" t="s">
        <v>316</v>
      </c>
      <c r="J1014" s="8" t="n">
        <v>510291.411042945</v>
      </c>
      <c r="K1014" s="6" t="n">
        <v>326</v>
      </c>
      <c r="L1014" s="2"/>
      <c r="M1014" s="10" t="b">
        <f aca="false">TRUE()</f>
        <v>1</v>
      </c>
      <c r="N1014" s="9" t="str">
        <f aca="false">IF(H1014="","",IF(H1014&gt;=Assumptions!$B$5,1,IF(H1014&gt;=Assumptions!$B$6,2,IF(H1014&gt;=Assumptions!$B$7,3,""))))</f>
        <v/>
      </c>
      <c r="O1014" s="9" t="n">
        <f aca="false">IF(N1014=1,Assumptions!$B$8,IF(N1014=2,Assumptions!$B$9,IF(N1014=3,Assumptions!$B$10,0)))</f>
        <v>0</v>
      </c>
      <c r="P1014" s="6" t="s">
        <v>30</v>
      </c>
      <c r="Q1014" s="6" t="s">
        <v>30</v>
      </c>
      <c r="R1014" s="11" t="s">
        <v>30</v>
      </c>
      <c r="S1014" s="6" t="s">
        <v>30</v>
      </c>
      <c r="T1014" s="11" t="s">
        <v>30</v>
      </c>
      <c r="U1014" s="6" t="s">
        <v>30</v>
      </c>
      <c r="V1014" s="6" t="s">
        <v>30</v>
      </c>
      <c r="W1014" s="6" t="s">
        <v>30</v>
      </c>
      <c r="X1014" s="2" t="s">
        <v>30</v>
      </c>
      <c r="Y1014" s="6" t="str">
        <f aca="false">IF(AND(X1014="processed",ISNUMBER(S1014)),S1014*O1014,"")</f>
        <v/>
      </c>
      <c r="Z1014" s="6" t="n">
        <f aca="false">IF(ISNUMBER(K1014),K1014*O1014,0)</f>
        <v>0</v>
      </c>
      <c r="AA1014" s="2" t="s">
        <v>31</v>
      </c>
      <c r="AB1014" s="6" t="n">
        <v>17970</v>
      </c>
      <c r="AC1014" s="6" t="n">
        <v>15091</v>
      </c>
      <c r="AD1014" s="6" t="n">
        <v>17398</v>
      </c>
      <c r="AE1014" s="6" t="n">
        <v>2132.73413085938</v>
      </c>
      <c r="AF1014" s="8" t="n">
        <v>363.939393939</v>
      </c>
      <c r="AG1014" s="11" t="n">
        <v>0.09599453552</v>
      </c>
      <c r="AH1014" s="12" t="n">
        <v>1</v>
      </c>
      <c r="AI1014" s="2" t="s">
        <v>317</v>
      </c>
      <c r="AJ1014" s="2" t="s">
        <v>524</v>
      </c>
      <c r="AK1014" s="2" t="s">
        <v>524</v>
      </c>
    </row>
    <row r="1015" customFormat="false" ht="15" hidden="false" customHeight="false" outlineLevel="0" collapsed="false">
      <c r="A1015" s="9"/>
      <c r="B1015" s="2" t="s">
        <v>2291</v>
      </c>
      <c r="C1015" s="2" t="s">
        <v>524</v>
      </c>
      <c r="D1015" s="2" t="s">
        <v>524</v>
      </c>
      <c r="E1015" s="2" t="s">
        <v>456</v>
      </c>
      <c r="F1015" s="2"/>
      <c r="G1015" s="2" t="s">
        <v>458</v>
      </c>
      <c r="H1015" s="8" t="n">
        <v>368.356173241751</v>
      </c>
      <c r="I1015" s="2" t="s">
        <v>316</v>
      </c>
      <c r="J1015" s="8" t="n">
        <v>480466.321243523</v>
      </c>
      <c r="K1015" s="6" t="n">
        <v>193</v>
      </c>
      <c r="L1015" s="2"/>
      <c r="M1015" s="10" t="b">
        <f aca="false">TRUE()</f>
        <v>1</v>
      </c>
      <c r="N1015" s="9" t="str">
        <f aca="false">IF(H1015="","",IF(H1015&gt;=Assumptions!$B$5,1,IF(H1015&gt;=Assumptions!$B$6,2,IF(H1015&gt;=Assumptions!$B$7,3,""))))</f>
        <v/>
      </c>
      <c r="O1015" s="9" t="n">
        <f aca="false">IF(N1015=1,Assumptions!$B$8,IF(N1015=2,Assumptions!$B$9,IF(N1015=3,Assumptions!$B$10,0)))</f>
        <v>0</v>
      </c>
      <c r="P1015" s="6" t="s">
        <v>30</v>
      </c>
      <c r="Q1015" s="6" t="s">
        <v>30</v>
      </c>
      <c r="R1015" s="11" t="s">
        <v>30</v>
      </c>
      <c r="S1015" s="6" t="s">
        <v>30</v>
      </c>
      <c r="T1015" s="11" t="s">
        <v>30</v>
      </c>
      <c r="U1015" s="6" t="s">
        <v>30</v>
      </c>
      <c r="V1015" s="6" t="s">
        <v>30</v>
      </c>
      <c r="W1015" s="6" t="s">
        <v>30</v>
      </c>
      <c r="X1015" s="2" t="s">
        <v>30</v>
      </c>
      <c r="Y1015" s="6" t="str">
        <f aca="false">IF(AND(X1015="processed",ISNUMBER(S1015)),S1015*O1015,"")</f>
        <v/>
      </c>
      <c r="Z1015" s="6" t="n">
        <f aca="false">IF(ISNUMBER(K1015),K1015*O1015,0)</f>
        <v>0</v>
      </c>
      <c r="AA1015" s="2" t="s">
        <v>31</v>
      </c>
      <c r="AB1015" s="6" t="n">
        <v>10459</v>
      </c>
      <c r="AC1015" s="6" t="n">
        <v>8290</v>
      </c>
      <c r="AD1015" s="6" t="n">
        <v>10257</v>
      </c>
      <c r="AE1015" s="6" t="n">
        <v>1690.80639648438</v>
      </c>
      <c r="AF1015" s="8" t="n">
        <v>369.913686806</v>
      </c>
      <c r="AG1015" s="11" t="n">
        <v>-0.02363090173</v>
      </c>
      <c r="AH1015" s="12" t="n">
        <v>1</v>
      </c>
      <c r="AI1015" s="2" t="s">
        <v>317</v>
      </c>
      <c r="AJ1015" s="2" t="s">
        <v>524</v>
      </c>
      <c r="AK1015" s="2" t="s">
        <v>524</v>
      </c>
    </row>
    <row r="1016" customFormat="false" ht="15" hidden="false" customHeight="false" outlineLevel="0" collapsed="false">
      <c r="A1016" s="9"/>
      <c r="B1016" s="2" t="s">
        <v>2292</v>
      </c>
      <c r="C1016" s="2" t="s">
        <v>524</v>
      </c>
      <c r="D1016" s="2" t="s">
        <v>524</v>
      </c>
      <c r="E1016" s="2" t="s">
        <v>456</v>
      </c>
      <c r="F1016" s="2"/>
      <c r="G1016" s="2" t="s">
        <v>458</v>
      </c>
      <c r="H1016" s="8" t="n">
        <v>335.278158612482</v>
      </c>
      <c r="I1016" s="2" t="s">
        <v>316</v>
      </c>
      <c r="J1016" s="8" t="n">
        <v>597162.601626016</v>
      </c>
      <c r="K1016" s="6" t="n">
        <v>369</v>
      </c>
      <c r="L1016" s="2"/>
      <c r="M1016" s="10" t="b">
        <f aca="false">TRUE()</f>
        <v>1</v>
      </c>
      <c r="N1016" s="9" t="str">
        <f aca="false">IF(H1016="","",IF(H1016&gt;=Assumptions!$B$5,1,IF(H1016&gt;=Assumptions!$B$6,2,IF(H1016&gt;=Assumptions!$B$7,3,""))))</f>
        <v/>
      </c>
      <c r="O1016" s="9" t="n">
        <f aca="false">IF(N1016=1,Assumptions!$B$8,IF(N1016=2,Assumptions!$B$9,IF(N1016=3,Assumptions!$B$10,0)))</f>
        <v>0</v>
      </c>
      <c r="P1016" s="6" t="s">
        <v>30</v>
      </c>
      <c r="Q1016" s="6" t="s">
        <v>30</v>
      </c>
      <c r="R1016" s="11" t="s">
        <v>30</v>
      </c>
      <c r="S1016" s="6" t="s">
        <v>30</v>
      </c>
      <c r="T1016" s="11" t="s">
        <v>30</v>
      </c>
      <c r="U1016" s="6" t="s">
        <v>30</v>
      </c>
      <c r="V1016" s="6" t="s">
        <v>30</v>
      </c>
      <c r="W1016" s="6" t="s">
        <v>30</v>
      </c>
      <c r="X1016" s="2" t="s">
        <v>30</v>
      </c>
      <c r="Y1016" s="6" t="str">
        <f aca="false">IF(AND(X1016="processed",ISNUMBER(S1016)),S1016*O1016,"")</f>
        <v/>
      </c>
      <c r="Z1016" s="6" t="n">
        <f aca="false">IF(ISNUMBER(K1016),K1016*O1016,0)</f>
        <v>0</v>
      </c>
      <c r="AA1016" s="2" t="s">
        <v>31</v>
      </c>
      <c r="AB1016" s="6" t="n">
        <v>19983</v>
      </c>
      <c r="AC1016" s="6" t="n">
        <v>17887</v>
      </c>
      <c r="AD1016" s="6" t="n">
        <v>16949</v>
      </c>
      <c r="AE1016" s="6" t="n">
        <v>2180.00952148438</v>
      </c>
      <c r="AF1016" s="8" t="n">
        <v>355.906694112</v>
      </c>
      <c r="AG1016" s="11" t="n">
        <v>0.03053580086</v>
      </c>
      <c r="AH1016" s="12" t="n">
        <v>0.999999999999994</v>
      </c>
      <c r="AI1016" s="2" t="s">
        <v>321</v>
      </c>
      <c r="AJ1016" s="2" t="s">
        <v>524</v>
      </c>
      <c r="AK1016" s="2" t="s">
        <v>524</v>
      </c>
    </row>
    <row r="1017" customFormat="false" ht="15" hidden="false" customHeight="false" outlineLevel="0" collapsed="false">
      <c r="A1017" s="9"/>
      <c r="B1017" s="2" t="s">
        <v>2293</v>
      </c>
      <c r="C1017" s="2" t="s">
        <v>524</v>
      </c>
      <c r="D1017" s="2" t="s">
        <v>524</v>
      </c>
      <c r="E1017" s="2" t="s">
        <v>456</v>
      </c>
      <c r="F1017" s="2" t="s">
        <v>2294</v>
      </c>
      <c r="G1017" s="2" t="s">
        <v>458</v>
      </c>
      <c r="H1017" s="8" t="n">
        <v>376.976639128977</v>
      </c>
      <c r="I1017" s="2" t="s">
        <v>316</v>
      </c>
      <c r="J1017" s="8" t="n">
        <v>502627.906976744</v>
      </c>
      <c r="K1017" s="6" t="n">
        <v>43</v>
      </c>
      <c r="L1017" s="2"/>
      <c r="M1017" s="10" t="b">
        <f aca="false">TRUE()</f>
        <v>1</v>
      </c>
      <c r="N1017" s="9" t="str">
        <f aca="false">IF(H1017="","",IF(H1017&gt;=Assumptions!$B$5,1,IF(H1017&gt;=Assumptions!$B$6,2,IF(H1017&gt;=Assumptions!$B$7,3,""))))</f>
        <v/>
      </c>
      <c r="O1017" s="9" t="n">
        <f aca="false">IF(N1017=1,Assumptions!$B$8,IF(N1017=2,Assumptions!$B$9,IF(N1017=3,Assumptions!$B$10,0)))</f>
        <v>0</v>
      </c>
      <c r="P1017" s="6" t="s">
        <v>30</v>
      </c>
      <c r="Q1017" s="6" t="s">
        <v>30</v>
      </c>
      <c r="R1017" s="11" t="s">
        <v>30</v>
      </c>
      <c r="S1017" s="6" t="s">
        <v>30</v>
      </c>
      <c r="T1017" s="11" t="s">
        <v>30</v>
      </c>
      <c r="U1017" s="6" t="s">
        <v>30</v>
      </c>
      <c r="V1017" s="6" t="s">
        <v>30</v>
      </c>
      <c r="W1017" s="6" t="s">
        <v>30</v>
      </c>
      <c r="X1017" s="2" t="s">
        <v>30</v>
      </c>
      <c r="Y1017" s="6" t="str">
        <f aca="false">IF(AND(X1017="processed",ISNUMBER(S1017)),S1017*O1017,"")</f>
        <v/>
      </c>
      <c r="Z1017" s="6" t="n">
        <f aca="false">IF(ISNUMBER(K1017),K1017*O1017,0)</f>
        <v>0</v>
      </c>
      <c r="AA1017" s="2" t="s">
        <v>31</v>
      </c>
      <c r="AB1017" s="6" t="n">
        <v>5000</v>
      </c>
      <c r="AC1017" s="6" t="n">
        <v>3717</v>
      </c>
      <c r="AD1017" s="6" t="n">
        <v>3673</v>
      </c>
      <c r="AE1017" s="6" t="n">
        <v>1797.54931640625</v>
      </c>
      <c r="AF1017" s="8" t="n">
        <v>381.544502618</v>
      </c>
      <c r="AG1017" s="11" t="n">
        <v>0.2078317533</v>
      </c>
      <c r="AH1017" s="12" t="n">
        <v>1</v>
      </c>
      <c r="AI1017" s="2" t="s">
        <v>317</v>
      </c>
      <c r="AJ1017" s="2" t="s">
        <v>524</v>
      </c>
      <c r="AK1017" s="2" t="s">
        <v>524</v>
      </c>
    </row>
    <row r="1018" customFormat="false" ht="15" hidden="false" customHeight="false" outlineLevel="0" collapsed="false">
      <c r="A1018" s="9"/>
      <c r="B1018" s="2" t="s">
        <v>2295</v>
      </c>
      <c r="C1018" s="2" t="s">
        <v>524</v>
      </c>
      <c r="D1018" s="2" t="s">
        <v>524</v>
      </c>
      <c r="E1018" s="2" t="s">
        <v>456</v>
      </c>
      <c r="F1018" s="2"/>
      <c r="G1018" s="2" t="s">
        <v>458</v>
      </c>
      <c r="H1018" s="8" t="n">
        <v>379.20757167244</v>
      </c>
      <c r="I1018" s="2" t="s">
        <v>316</v>
      </c>
      <c r="J1018" s="8" t="n">
        <v>453504</v>
      </c>
      <c r="K1018" s="6" t="n">
        <v>125</v>
      </c>
      <c r="L1018" s="2"/>
      <c r="M1018" s="10" t="b">
        <f aca="false">TRUE()</f>
        <v>1</v>
      </c>
      <c r="N1018" s="9" t="str">
        <f aca="false">IF(H1018="","",IF(H1018&gt;=Assumptions!$B$5,1,IF(H1018&gt;=Assumptions!$B$6,2,IF(H1018&gt;=Assumptions!$B$7,3,""))))</f>
        <v/>
      </c>
      <c r="O1018" s="9" t="n">
        <f aca="false">IF(N1018=1,Assumptions!$B$8,IF(N1018=2,Assumptions!$B$9,IF(N1018=3,Assumptions!$B$10,0)))</f>
        <v>0</v>
      </c>
      <c r="P1018" s="6" t="s">
        <v>30</v>
      </c>
      <c r="Q1018" s="6" t="s">
        <v>30</v>
      </c>
      <c r="R1018" s="11" t="s">
        <v>30</v>
      </c>
      <c r="S1018" s="6" t="s">
        <v>30</v>
      </c>
      <c r="T1018" s="11" t="s">
        <v>30</v>
      </c>
      <c r="U1018" s="6" t="s">
        <v>30</v>
      </c>
      <c r="V1018" s="6" t="s">
        <v>30</v>
      </c>
      <c r="W1018" s="6" t="s">
        <v>30</v>
      </c>
      <c r="X1018" s="2" t="s">
        <v>30</v>
      </c>
      <c r="Y1018" s="6" t="str">
        <f aca="false">IF(AND(X1018="processed",ISNUMBER(S1018)),S1018*O1018,"")</f>
        <v/>
      </c>
      <c r="Z1018" s="6" t="n">
        <f aca="false">IF(ISNUMBER(K1018),K1018*O1018,0)</f>
        <v>0</v>
      </c>
      <c r="AA1018" s="2" t="s">
        <v>31</v>
      </c>
      <c r="AB1018" s="6" t="n">
        <v>13687</v>
      </c>
      <c r="AC1018" s="6" t="n">
        <v>11721</v>
      </c>
      <c r="AD1018" s="6" t="n">
        <v>13001</v>
      </c>
      <c r="AE1018" s="6" t="n">
        <v>1744.74694824219</v>
      </c>
      <c r="AF1018" s="8" t="n">
        <v>398.171633904</v>
      </c>
      <c r="AG1018" s="11" t="n">
        <v>0.04055318446</v>
      </c>
      <c r="AH1018" s="12" t="n">
        <v>1</v>
      </c>
      <c r="AI1018" s="2" t="s">
        <v>317</v>
      </c>
      <c r="AJ1018" s="2" t="s">
        <v>524</v>
      </c>
      <c r="AK1018" s="2" t="s">
        <v>524</v>
      </c>
    </row>
    <row r="1019" customFormat="false" ht="15" hidden="false" customHeight="false" outlineLevel="0" collapsed="false">
      <c r="A1019" s="9"/>
      <c r="B1019" s="2" t="s">
        <v>2296</v>
      </c>
      <c r="C1019" s="2" t="s">
        <v>524</v>
      </c>
      <c r="D1019" s="2" t="s">
        <v>524</v>
      </c>
      <c r="E1019" s="2" t="s">
        <v>456</v>
      </c>
      <c r="F1019" s="2"/>
      <c r="G1019" s="2" t="s">
        <v>458</v>
      </c>
      <c r="H1019" s="8" t="n">
        <v>394.76527310748</v>
      </c>
      <c r="I1019" s="2" t="s">
        <v>316</v>
      </c>
      <c r="J1019" s="8" t="n">
        <v>437943.88</v>
      </c>
      <c r="K1019" s="6" t="n">
        <v>125</v>
      </c>
      <c r="L1019" s="2"/>
      <c r="M1019" s="10" t="b">
        <f aca="false">TRUE()</f>
        <v>1</v>
      </c>
      <c r="N1019" s="9" t="str">
        <f aca="false">IF(H1019="","",IF(H1019&gt;=Assumptions!$B$5,1,IF(H1019&gt;=Assumptions!$B$6,2,IF(H1019&gt;=Assumptions!$B$7,3,""))))</f>
        <v/>
      </c>
      <c r="O1019" s="9" t="n">
        <f aca="false">IF(N1019=1,Assumptions!$B$8,IF(N1019=2,Assumptions!$B$9,IF(N1019=3,Assumptions!$B$10,0)))</f>
        <v>0</v>
      </c>
      <c r="P1019" s="6" t="s">
        <v>30</v>
      </c>
      <c r="Q1019" s="6" t="s">
        <v>30</v>
      </c>
      <c r="R1019" s="11" t="s">
        <v>30</v>
      </c>
      <c r="S1019" s="6" t="s">
        <v>30</v>
      </c>
      <c r="T1019" s="11" t="s">
        <v>30</v>
      </c>
      <c r="U1019" s="6" t="s">
        <v>30</v>
      </c>
      <c r="V1019" s="6" t="s">
        <v>30</v>
      </c>
      <c r="W1019" s="6" t="s">
        <v>30</v>
      </c>
      <c r="X1019" s="2" t="s">
        <v>30</v>
      </c>
      <c r="Y1019" s="6" t="str">
        <f aca="false">IF(AND(X1019="processed",ISNUMBER(S1019)),S1019*O1019,"")</f>
        <v/>
      </c>
      <c r="Z1019" s="6" t="n">
        <f aca="false">IF(ISNUMBER(K1019),K1019*O1019,0)</f>
        <v>0</v>
      </c>
      <c r="AA1019" s="2" t="s">
        <v>31</v>
      </c>
      <c r="AB1019" s="6" t="n">
        <v>8153</v>
      </c>
      <c r="AC1019" s="6" t="n">
        <v>6879</v>
      </c>
      <c r="AD1019" s="6" t="n">
        <v>7470</v>
      </c>
      <c r="AE1019" s="6" t="n">
        <v>1701.20886230469</v>
      </c>
      <c r="AF1019" s="8" t="n">
        <v>391.640866873</v>
      </c>
      <c r="AG1019" s="11" t="n">
        <v>-0.02108890956</v>
      </c>
      <c r="AH1019" s="12" t="n">
        <v>1</v>
      </c>
      <c r="AI1019" s="2" t="s">
        <v>317</v>
      </c>
      <c r="AJ1019" s="2" t="s">
        <v>524</v>
      </c>
      <c r="AK1019" s="2" t="s">
        <v>524</v>
      </c>
    </row>
    <row r="1020" customFormat="false" ht="15" hidden="false" customHeight="false" outlineLevel="0" collapsed="false">
      <c r="A1020" s="9"/>
      <c r="B1020" s="2" t="s">
        <v>2297</v>
      </c>
      <c r="C1020" s="2" t="s">
        <v>455</v>
      </c>
      <c r="D1020" s="2" t="s">
        <v>455</v>
      </c>
      <c r="E1020" s="2" t="s">
        <v>456</v>
      </c>
      <c r="F1020" s="2" t="s">
        <v>2298</v>
      </c>
      <c r="G1020" s="2" t="s">
        <v>458</v>
      </c>
      <c r="H1020" s="8" t="n">
        <v>408.040051256033</v>
      </c>
      <c r="I1020" s="2" t="s">
        <v>316</v>
      </c>
      <c r="J1020" s="8" t="n">
        <v>590878.048780488</v>
      </c>
      <c r="K1020" s="6" t="n">
        <v>123</v>
      </c>
      <c r="L1020" s="2"/>
      <c r="M1020" s="10" t="b">
        <f aca="false">TRUE()</f>
        <v>1</v>
      </c>
      <c r="N1020" s="9" t="str">
        <f aca="false">IF(H1020="","",IF(H1020&gt;=Assumptions!$B$5,1,IF(H1020&gt;=Assumptions!$B$6,2,IF(H1020&gt;=Assumptions!$B$7,3,""))))</f>
        <v/>
      </c>
      <c r="O1020" s="9" t="n">
        <f aca="false">IF(N1020=1,Assumptions!$B$8,IF(N1020=2,Assumptions!$B$9,IF(N1020=3,Assumptions!$B$10,0)))</f>
        <v>0</v>
      </c>
      <c r="P1020" s="6" t="s">
        <v>30</v>
      </c>
      <c r="Q1020" s="6" t="s">
        <v>30</v>
      </c>
      <c r="R1020" s="11" t="s">
        <v>30</v>
      </c>
      <c r="S1020" s="6" t="s">
        <v>30</v>
      </c>
      <c r="T1020" s="11" t="s">
        <v>30</v>
      </c>
      <c r="U1020" s="6" t="s">
        <v>30</v>
      </c>
      <c r="V1020" s="6" t="s">
        <v>30</v>
      </c>
      <c r="W1020" s="6" t="s">
        <v>30</v>
      </c>
      <c r="X1020" s="2" t="s">
        <v>30</v>
      </c>
      <c r="Y1020" s="6" t="str">
        <f aca="false">IF(AND(X1020="processed",ISNUMBER(S1020)),S1020*O1020,"")</f>
        <v/>
      </c>
      <c r="Z1020" s="6" t="n">
        <f aca="false">IF(ISNUMBER(K1020),K1020*O1020,0)</f>
        <v>0</v>
      </c>
      <c r="AA1020" s="2" t="s">
        <v>31</v>
      </c>
      <c r="AB1020" s="6" t="n">
        <v>8371</v>
      </c>
      <c r="AC1020" s="6" t="n">
        <v>6308</v>
      </c>
      <c r="AD1020" s="6" t="n">
        <v>343</v>
      </c>
      <c r="AE1020" s="6" t="n">
        <v>1799.20349121094</v>
      </c>
      <c r="AF1020" s="8" t="n">
        <v>447.891135621</v>
      </c>
      <c r="AG1020" s="11" t="n">
        <v>0.2140353515</v>
      </c>
      <c r="AH1020" s="12" t="n">
        <v>0.998486209762975</v>
      </c>
      <c r="AI1020" s="2" t="s">
        <v>317</v>
      </c>
      <c r="AJ1020" s="2" t="s">
        <v>455</v>
      </c>
      <c r="AK1020" s="2" t="s">
        <v>455</v>
      </c>
    </row>
    <row r="1021" customFormat="false" ht="15" hidden="false" customHeight="false" outlineLevel="0" collapsed="false">
      <c r="A1021" s="9"/>
      <c r="B1021" s="2" t="s">
        <v>2299</v>
      </c>
      <c r="C1021" s="2" t="s">
        <v>455</v>
      </c>
      <c r="D1021" s="2" t="s">
        <v>455</v>
      </c>
      <c r="E1021" s="2" t="s">
        <v>456</v>
      </c>
      <c r="F1021" s="2" t="s">
        <v>2300</v>
      </c>
      <c r="G1021" s="2" t="s">
        <v>458</v>
      </c>
      <c r="H1021" s="8" t="n">
        <v>387.690284648249</v>
      </c>
      <c r="I1021" s="2" t="s">
        <v>316</v>
      </c>
      <c r="J1021" s="8" t="n">
        <v>660991.561181435</v>
      </c>
      <c r="K1021" s="6" t="n">
        <v>474</v>
      </c>
      <c r="L1021" s="2"/>
      <c r="M1021" s="10" t="b">
        <f aca="false">TRUE()</f>
        <v>1</v>
      </c>
      <c r="N1021" s="9" t="str">
        <f aca="false">IF(H1021="","",IF(H1021&gt;=Assumptions!$B$5,1,IF(H1021&gt;=Assumptions!$B$6,2,IF(H1021&gt;=Assumptions!$B$7,3,""))))</f>
        <v/>
      </c>
      <c r="O1021" s="9" t="n">
        <f aca="false">IF(N1021=1,Assumptions!$B$8,IF(N1021=2,Assumptions!$B$9,IF(N1021=3,Assumptions!$B$10,0)))</f>
        <v>0</v>
      </c>
      <c r="P1021" s="6" t="s">
        <v>30</v>
      </c>
      <c r="Q1021" s="6" t="s">
        <v>30</v>
      </c>
      <c r="R1021" s="11" t="s">
        <v>30</v>
      </c>
      <c r="S1021" s="6" t="s">
        <v>30</v>
      </c>
      <c r="T1021" s="11" t="s">
        <v>30</v>
      </c>
      <c r="U1021" s="6" t="s">
        <v>30</v>
      </c>
      <c r="V1021" s="6" t="s">
        <v>30</v>
      </c>
      <c r="W1021" s="6" t="s">
        <v>30</v>
      </c>
      <c r="X1021" s="2" t="s">
        <v>30</v>
      </c>
      <c r="Y1021" s="6" t="str">
        <f aca="false">IF(AND(X1021="processed",ISNUMBER(S1021)),S1021*O1021,"")</f>
        <v/>
      </c>
      <c r="Z1021" s="6" t="n">
        <f aca="false">IF(ISNUMBER(K1021),K1021*O1021,0)</f>
        <v>0</v>
      </c>
      <c r="AA1021" s="2" t="s">
        <v>31</v>
      </c>
      <c r="AB1021" s="6" t="n">
        <v>27803</v>
      </c>
      <c r="AC1021" s="6" t="n">
        <v>23826</v>
      </c>
      <c r="AD1021" s="6" t="n">
        <v>1327</v>
      </c>
      <c r="AE1021" s="6" t="n">
        <v>2254.3017578125</v>
      </c>
      <c r="AF1021" s="8" t="n">
        <v>397.323295692</v>
      </c>
      <c r="AG1021" s="11" t="n">
        <v>0.01288648858</v>
      </c>
      <c r="AH1021" s="12" t="n">
        <v>1</v>
      </c>
      <c r="AI1021" s="2" t="s">
        <v>317</v>
      </c>
      <c r="AJ1021" s="2" t="s">
        <v>455</v>
      </c>
      <c r="AK1021" s="2" t="s">
        <v>455</v>
      </c>
    </row>
    <row r="1022" customFormat="false" ht="15" hidden="false" customHeight="false" outlineLevel="0" collapsed="false">
      <c r="A1022" s="9"/>
      <c r="B1022" s="2" t="s">
        <v>2301</v>
      </c>
      <c r="C1022" s="2" t="s">
        <v>455</v>
      </c>
      <c r="D1022" s="2" t="s">
        <v>455</v>
      </c>
      <c r="E1022" s="2" t="s">
        <v>456</v>
      </c>
      <c r="F1022" s="2" t="s">
        <v>2302</v>
      </c>
      <c r="G1022" s="2" t="s">
        <v>458</v>
      </c>
      <c r="H1022" s="8" t="n">
        <v>417.407573072021</v>
      </c>
      <c r="I1022" s="2" t="s">
        <v>316</v>
      </c>
      <c r="J1022" s="8" t="n">
        <v>622452.095808383</v>
      </c>
      <c r="K1022" s="6" t="n">
        <v>334</v>
      </c>
      <c r="L1022" s="2"/>
      <c r="M1022" s="10" t="b">
        <f aca="false">TRUE()</f>
        <v>1</v>
      </c>
      <c r="N1022" s="9" t="str">
        <f aca="false">IF(H1022="","",IF(H1022&gt;=Assumptions!$B$5,1,IF(H1022&gt;=Assumptions!$B$6,2,IF(H1022&gt;=Assumptions!$B$7,3,""))))</f>
        <v/>
      </c>
      <c r="O1022" s="9" t="n">
        <f aca="false">IF(N1022=1,Assumptions!$B$8,IF(N1022=2,Assumptions!$B$9,IF(N1022=3,Assumptions!$B$10,0)))</f>
        <v>0</v>
      </c>
      <c r="P1022" s="6" t="s">
        <v>30</v>
      </c>
      <c r="Q1022" s="6" t="s">
        <v>30</v>
      </c>
      <c r="R1022" s="11" t="s">
        <v>30</v>
      </c>
      <c r="S1022" s="6" t="s">
        <v>30</v>
      </c>
      <c r="T1022" s="11" t="s">
        <v>30</v>
      </c>
      <c r="U1022" s="6" t="s">
        <v>30</v>
      </c>
      <c r="V1022" s="6" t="s">
        <v>30</v>
      </c>
      <c r="W1022" s="6" t="s">
        <v>30</v>
      </c>
      <c r="X1022" s="2" t="s">
        <v>30</v>
      </c>
      <c r="Y1022" s="6" t="str">
        <f aca="false">IF(AND(X1022="processed",ISNUMBER(S1022)),S1022*O1022,"")</f>
        <v/>
      </c>
      <c r="Z1022" s="6" t="n">
        <f aca="false">IF(ISNUMBER(K1022),K1022*O1022,0)</f>
        <v>0</v>
      </c>
      <c r="AA1022" s="2" t="s">
        <v>31</v>
      </c>
      <c r="AB1022" s="6" t="n">
        <v>20697</v>
      </c>
      <c r="AC1022" s="6" t="n">
        <v>16659</v>
      </c>
      <c r="AD1022" s="6" t="n">
        <v>1728</v>
      </c>
      <c r="AE1022" s="6" t="n">
        <v>2136.31640625</v>
      </c>
      <c r="AF1022" s="8" t="n">
        <v>424.528301887</v>
      </c>
      <c r="AG1022" s="11" t="n">
        <v>0.02625102543</v>
      </c>
      <c r="AH1022" s="12" t="n">
        <v>1</v>
      </c>
      <c r="AI1022" s="2" t="s">
        <v>317</v>
      </c>
      <c r="AJ1022" s="2" t="s">
        <v>455</v>
      </c>
      <c r="AK1022" s="2" t="s">
        <v>455</v>
      </c>
    </row>
    <row r="1023" customFormat="false" ht="15" hidden="false" customHeight="false" outlineLevel="0" collapsed="false">
      <c r="A1023" s="9"/>
      <c r="B1023" s="2" t="s">
        <v>2303</v>
      </c>
      <c r="C1023" s="2" t="s">
        <v>455</v>
      </c>
      <c r="D1023" s="2" t="s">
        <v>455</v>
      </c>
      <c r="E1023" s="2" t="s">
        <v>456</v>
      </c>
      <c r="F1023" s="2" t="s">
        <v>2304</v>
      </c>
      <c r="G1023" s="2" t="s">
        <v>458</v>
      </c>
      <c r="H1023" s="8" t="n">
        <v>409.435183119924</v>
      </c>
      <c r="I1023" s="2" t="s">
        <v>316</v>
      </c>
      <c r="J1023" s="8" t="n">
        <v>649025.252525253</v>
      </c>
      <c r="K1023" s="6" t="n">
        <v>198</v>
      </c>
      <c r="L1023" s="2"/>
      <c r="M1023" s="10" t="b">
        <f aca="false">TRUE()</f>
        <v>1</v>
      </c>
      <c r="N1023" s="9" t="str">
        <f aca="false">IF(H1023="","",IF(H1023&gt;=Assumptions!$B$5,1,IF(H1023&gt;=Assumptions!$B$6,2,IF(H1023&gt;=Assumptions!$B$7,3,""))))</f>
        <v/>
      </c>
      <c r="O1023" s="9" t="n">
        <f aca="false">IF(N1023=1,Assumptions!$B$8,IF(N1023=2,Assumptions!$B$9,IF(N1023=3,Assumptions!$B$10,0)))</f>
        <v>0</v>
      </c>
      <c r="P1023" s="6" t="s">
        <v>30</v>
      </c>
      <c r="Q1023" s="6" t="s">
        <v>30</v>
      </c>
      <c r="R1023" s="11" t="s">
        <v>30</v>
      </c>
      <c r="S1023" s="6" t="s">
        <v>30</v>
      </c>
      <c r="T1023" s="11" t="s">
        <v>30</v>
      </c>
      <c r="U1023" s="6" t="s">
        <v>30</v>
      </c>
      <c r="V1023" s="6" t="s">
        <v>30</v>
      </c>
      <c r="W1023" s="6" t="s">
        <v>30</v>
      </c>
      <c r="X1023" s="2" t="s">
        <v>30</v>
      </c>
      <c r="Y1023" s="6" t="str">
        <f aca="false">IF(AND(X1023="processed",ISNUMBER(S1023)),S1023*O1023,"")</f>
        <v/>
      </c>
      <c r="Z1023" s="6" t="n">
        <f aca="false">IF(ISNUMBER(K1023),K1023*O1023,0)</f>
        <v>0</v>
      </c>
      <c r="AA1023" s="2" t="s">
        <v>31</v>
      </c>
      <c r="AB1023" s="6" t="n">
        <v>15701</v>
      </c>
      <c r="AC1023" s="6" t="n">
        <v>12310</v>
      </c>
      <c r="AD1023" s="6" t="n">
        <v>757</v>
      </c>
      <c r="AE1023" s="6" t="n">
        <v>2098.19482421875</v>
      </c>
      <c r="AF1023" s="8" t="n">
        <v>414.481673745</v>
      </c>
      <c r="AG1023" s="11" t="n">
        <v>-0.03203690843</v>
      </c>
      <c r="AH1023" s="12" t="n">
        <v>0.999999999999999</v>
      </c>
      <c r="AI1023" s="2" t="s">
        <v>317</v>
      </c>
      <c r="AJ1023" s="2" t="s">
        <v>455</v>
      </c>
      <c r="AK1023" s="2" t="s">
        <v>455</v>
      </c>
    </row>
    <row r="1024" customFormat="false" ht="15" hidden="false" customHeight="false" outlineLevel="0" collapsed="false">
      <c r="A1024" s="9"/>
      <c r="B1024" s="2" t="s">
        <v>2305</v>
      </c>
      <c r="C1024" s="2" t="s">
        <v>455</v>
      </c>
      <c r="D1024" s="2" t="s">
        <v>455</v>
      </c>
      <c r="E1024" s="2" t="s">
        <v>456</v>
      </c>
      <c r="F1024" s="2" t="s">
        <v>2306</v>
      </c>
      <c r="G1024" s="2" t="s">
        <v>458</v>
      </c>
      <c r="H1024" s="8" t="n">
        <v>392.166665328423</v>
      </c>
      <c r="I1024" s="2" t="s">
        <v>316</v>
      </c>
      <c r="J1024" s="8" t="n">
        <v>728581.081081081</v>
      </c>
      <c r="K1024" s="6" t="n">
        <v>407</v>
      </c>
      <c r="L1024" s="2"/>
      <c r="M1024" s="10" t="b">
        <f aca="false">TRUE()</f>
        <v>1</v>
      </c>
      <c r="N1024" s="9" t="str">
        <f aca="false">IF(H1024="","",IF(H1024&gt;=Assumptions!$B$5,1,IF(H1024&gt;=Assumptions!$B$6,2,IF(H1024&gt;=Assumptions!$B$7,3,""))))</f>
        <v/>
      </c>
      <c r="O1024" s="9" t="n">
        <f aca="false">IF(N1024=1,Assumptions!$B$8,IF(N1024=2,Assumptions!$B$9,IF(N1024=3,Assumptions!$B$10,0)))</f>
        <v>0</v>
      </c>
      <c r="P1024" s="6" t="s">
        <v>30</v>
      </c>
      <c r="Q1024" s="6" t="s">
        <v>30</v>
      </c>
      <c r="R1024" s="11" t="s">
        <v>30</v>
      </c>
      <c r="S1024" s="6" t="s">
        <v>30</v>
      </c>
      <c r="T1024" s="11" t="s">
        <v>30</v>
      </c>
      <c r="U1024" s="6" t="s">
        <v>30</v>
      </c>
      <c r="V1024" s="6" t="s">
        <v>30</v>
      </c>
      <c r="W1024" s="6" t="s">
        <v>30</v>
      </c>
      <c r="X1024" s="2" t="s">
        <v>30</v>
      </c>
      <c r="Y1024" s="6" t="str">
        <f aca="false">IF(AND(X1024="processed",ISNUMBER(S1024)),S1024*O1024,"")</f>
        <v/>
      </c>
      <c r="Z1024" s="6" t="n">
        <f aca="false">IF(ISNUMBER(K1024),K1024*O1024,0)</f>
        <v>0</v>
      </c>
      <c r="AA1024" s="2" t="s">
        <v>31</v>
      </c>
      <c r="AB1024" s="6" t="n">
        <v>22371</v>
      </c>
      <c r="AC1024" s="6" t="n">
        <v>16633</v>
      </c>
      <c r="AD1024" s="6" t="n">
        <v>792</v>
      </c>
      <c r="AE1024" s="6" t="n">
        <v>2369.37866210938</v>
      </c>
      <c r="AF1024" s="8" t="n">
        <v>407.523615754</v>
      </c>
      <c r="AG1024" s="11" t="n">
        <v>0.01058828274</v>
      </c>
      <c r="AH1024" s="12" t="n">
        <v>0.999999999999997</v>
      </c>
      <c r="AI1024" s="2" t="s">
        <v>317</v>
      </c>
      <c r="AJ1024" s="2" t="s">
        <v>455</v>
      </c>
      <c r="AK1024" s="2" t="s">
        <v>455</v>
      </c>
    </row>
    <row r="1025" customFormat="false" ht="15" hidden="false" customHeight="false" outlineLevel="0" collapsed="false">
      <c r="A1025" s="9"/>
      <c r="B1025" s="2" t="s">
        <v>2307</v>
      </c>
      <c r="C1025" s="2" t="s">
        <v>455</v>
      </c>
      <c r="D1025" s="2" t="s">
        <v>455</v>
      </c>
      <c r="E1025" s="2" t="s">
        <v>456</v>
      </c>
      <c r="F1025" s="2" t="s">
        <v>2308</v>
      </c>
      <c r="G1025" s="2" t="s">
        <v>458</v>
      </c>
      <c r="H1025" s="8" t="n">
        <v>375.472719991095</v>
      </c>
      <c r="I1025" s="2" t="s">
        <v>316</v>
      </c>
      <c r="J1025" s="8" t="n">
        <v>647098.765432099</v>
      </c>
      <c r="K1025" s="6" t="n">
        <v>243</v>
      </c>
      <c r="L1025" s="2"/>
      <c r="M1025" s="10" t="b">
        <f aca="false">TRUE()</f>
        <v>1</v>
      </c>
      <c r="N1025" s="9" t="str">
        <f aca="false">IF(H1025="","",IF(H1025&gt;=Assumptions!$B$5,1,IF(H1025&gt;=Assumptions!$B$6,2,IF(H1025&gt;=Assumptions!$B$7,3,""))))</f>
        <v/>
      </c>
      <c r="O1025" s="9" t="n">
        <f aca="false">IF(N1025=1,Assumptions!$B$8,IF(N1025=2,Assumptions!$B$9,IF(N1025=3,Assumptions!$B$10,0)))</f>
        <v>0</v>
      </c>
      <c r="P1025" s="6" t="s">
        <v>30</v>
      </c>
      <c r="Q1025" s="6" t="s">
        <v>30</v>
      </c>
      <c r="R1025" s="11" t="s">
        <v>30</v>
      </c>
      <c r="S1025" s="6" t="s">
        <v>30</v>
      </c>
      <c r="T1025" s="11" t="s">
        <v>30</v>
      </c>
      <c r="U1025" s="6" t="s">
        <v>30</v>
      </c>
      <c r="V1025" s="6" t="s">
        <v>30</v>
      </c>
      <c r="W1025" s="6" t="s">
        <v>30</v>
      </c>
      <c r="X1025" s="2" t="s">
        <v>30</v>
      </c>
      <c r="Y1025" s="6" t="str">
        <f aca="false">IF(AND(X1025="processed",ISNUMBER(S1025)),S1025*O1025,"")</f>
        <v/>
      </c>
      <c r="Z1025" s="6" t="n">
        <f aca="false">IF(ISNUMBER(K1025),K1025*O1025,0)</f>
        <v>0</v>
      </c>
      <c r="AA1025" s="2" t="s">
        <v>31</v>
      </c>
      <c r="AB1025" s="6" t="n">
        <v>15762</v>
      </c>
      <c r="AC1025" s="6" t="n">
        <v>12116</v>
      </c>
      <c r="AD1025" s="6" t="n">
        <v>824</v>
      </c>
      <c r="AE1025" s="6" t="n">
        <v>2002.74060058594</v>
      </c>
      <c r="AF1025" s="8" t="n">
        <v>413.844996238</v>
      </c>
      <c r="AG1025" s="11" t="n">
        <v>0.1612760568</v>
      </c>
      <c r="AH1025" s="12" t="n">
        <v>0.999963667934604</v>
      </c>
      <c r="AI1025" s="2" t="s">
        <v>317</v>
      </c>
      <c r="AJ1025" s="2" t="s">
        <v>455</v>
      </c>
      <c r="AK1025" s="2" t="s">
        <v>455</v>
      </c>
    </row>
    <row r="1026" customFormat="false" ht="15" hidden="false" customHeight="false" outlineLevel="0" collapsed="false">
      <c r="A1026" s="9"/>
      <c r="B1026" s="2" t="s">
        <v>2309</v>
      </c>
      <c r="C1026" s="2" t="s">
        <v>455</v>
      </c>
      <c r="D1026" s="2" t="s">
        <v>455</v>
      </c>
      <c r="E1026" s="2" t="s">
        <v>456</v>
      </c>
      <c r="F1026" s="2" t="s">
        <v>2310</v>
      </c>
      <c r="G1026" s="2" t="s">
        <v>458</v>
      </c>
      <c r="H1026" s="8" t="n">
        <v>314.825461878734</v>
      </c>
      <c r="I1026" s="2" t="s">
        <v>316</v>
      </c>
      <c r="J1026" s="8" t="n">
        <v>757144.365448505</v>
      </c>
      <c r="K1026" s="6" t="n">
        <v>301</v>
      </c>
      <c r="L1026" s="2"/>
      <c r="M1026" s="10" t="b">
        <f aca="false">TRUE()</f>
        <v>1</v>
      </c>
      <c r="N1026" s="9" t="str">
        <f aca="false">IF(H1026="","",IF(H1026&gt;=Assumptions!$B$5,1,IF(H1026&gt;=Assumptions!$B$6,2,IF(H1026&gt;=Assumptions!$B$7,3,""))))</f>
        <v/>
      </c>
      <c r="O1026" s="9" t="n">
        <f aca="false">IF(N1026=1,Assumptions!$B$8,IF(N1026=2,Assumptions!$B$9,IF(N1026=3,Assumptions!$B$10,0)))</f>
        <v>0</v>
      </c>
      <c r="P1026" s="6" t="s">
        <v>30</v>
      </c>
      <c r="Q1026" s="6" t="s">
        <v>30</v>
      </c>
      <c r="R1026" s="11" t="s">
        <v>30</v>
      </c>
      <c r="S1026" s="6" t="s">
        <v>30</v>
      </c>
      <c r="T1026" s="11" t="s">
        <v>30</v>
      </c>
      <c r="U1026" s="6" t="s">
        <v>30</v>
      </c>
      <c r="V1026" s="6" t="s">
        <v>30</v>
      </c>
      <c r="W1026" s="6" t="s">
        <v>30</v>
      </c>
      <c r="X1026" s="2" t="s">
        <v>30</v>
      </c>
      <c r="Y1026" s="6" t="str">
        <f aca="false">IF(AND(X1026="processed",ISNUMBER(S1026)),S1026*O1026,"")</f>
        <v/>
      </c>
      <c r="Z1026" s="6" t="n">
        <f aca="false">IF(ISNUMBER(K1026),K1026*O1026,0)</f>
        <v>0</v>
      </c>
      <c r="AA1026" s="2" t="s">
        <v>31</v>
      </c>
      <c r="AB1026" s="6" t="n">
        <v>12333</v>
      </c>
      <c r="AC1026" s="6" t="n">
        <v>10992</v>
      </c>
      <c r="AD1026" s="6" t="n">
        <v>751</v>
      </c>
      <c r="AE1026" s="6" t="n">
        <v>2388.845703125</v>
      </c>
      <c r="AF1026" s="8" t="n">
        <v>332.938803621</v>
      </c>
      <c r="AG1026" s="11" t="n">
        <v>0.03169411772</v>
      </c>
      <c r="AH1026" s="12" t="n">
        <v>1</v>
      </c>
      <c r="AI1026" s="2" t="s">
        <v>317</v>
      </c>
      <c r="AJ1026" s="2" t="s">
        <v>455</v>
      </c>
      <c r="AK1026" s="2" t="s">
        <v>455</v>
      </c>
    </row>
    <row r="1027" customFormat="false" ht="15" hidden="false" customHeight="false" outlineLevel="0" collapsed="false">
      <c r="A1027" s="9"/>
      <c r="B1027" s="2" t="s">
        <v>2311</v>
      </c>
      <c r="C1027" s="2" t="s">
        <v>1914</v>
      </c>
      <c r="D1027" s="2" t="s">
        <v>455</v>
      </c>
      <c r="E1027" s="2" t="s">
        <v>456</v>
      </c>
      <c r="F1027" s="2" t="s">
        <v>2312</v>
      </c>
      <c r="G1027" s="2" t="s">
        <v>458</v>
      </c>
      <c r="H1027" s="8" t="n">
        <v>385.75700706668</v>
      </c>
      <c r="I1027" s="2" t="s">
        <v>316</v>
      </c>
      <c r="J1027" s="8" t="n">
        <v>667788.771084337</v>
      </c>
      <c r="K1027" s="6" t="n">
        <v>415</v>
      </c>
      <c r="L1027" s="2"/>
      <c r="M1027" s="10" t="b">
        <f aca="false">TRUE()</f>
        <v>1</v>
      </c>
      <c r="N1027" s="9" t="str">
        <f aca="false">IF(H1027="","",IF(H1027&gt;=Assumptions!$B$5,1,IF(H1027&gt;=Assumptions!$B$6,2,IF(H1027&gt;=Assumptions!$B$7,3,""))))</f>
        <v/>
      </c>
      <c r="O1027" s="9" t="n">
        <f aca="false">IF(N1027=1,Assumptions!$B$8,IF(N1027=2,Assumptions!$B$9,IF(N1027=3,Assumptions!$B$10,0)))</f>
        <v>0</v>
      </c>
      <c r="P1027" s="6" t="s">
        <v>30</v>
      </c>
      <c r="Q1027" s="6" t="s">
        <v>30</v>
      </c>
      <c r="R1027" s="11" t="s">
        <v>30</v>
      </c>
      <c r="S1027" s="6" t="s">
        <v>30</v>
      </c>
      <c r="T1027" s="11" t="s">
        <v>30</v>
      </c>
      <c r="U1027" s="6" t="s">
        <v>30</v>
      </c>
      <c r="V1027" s="6" t="s">
        <v>30</v>
      </c>
      <c r="W1027" s="6" t="s">
        <v>30</v>
      </c>
      <c r="X1027" s="2" t="s">
        <v>30</v>
      </c>
      <c r="Y1027" s="6" t="str">
        <f aca="false">IF(AND(X1027="processed",ISNUMBER(S1027)),S1027*O1027,"")</f>
        <v/>
      </c>
      <c r="Z1027" s="6" t="n">
        <f aca="false">IF(ISNUMBER(K1027),K1027*O1027,0)</f>
        <v>0</v>
      </c>
      <c r="AA1027" s="2" t="s">
        <v>31</v>
      </c>
      <c r="AB1027" s="6" t="n">
        <v>25952</v>
      </c>
      <c r="AC1027" s="6" t="n">
        <v>23154</v>
      </c>
      <c r="AD1027" s="6" t="n">
        <v>16854</v>
      </c>
      <c r="AE1027" s="6" t="n">
        <v>2160.89501953125</v>
      </c>
      <c r="AF1027" s="8" t="n">
        <v>400</v>
      </c>
      <c r="AG1027" s="11" t="n">
        <v>0.07015843177</v>
      </c>
      <c r="AH1027" s="12" t="n">
        <v>0.980933457643839</v>
      </c>
      <c r="AI1027" s="2" t="s">
        <v>317</v>
      </c>
      <c r="AJ1027" s="2" t="s">
        <v>1914</v>
      </c>
      <c r="AK1027" s="2" t="s">
        <v>1914</v>
      </c>
    </row>
    <row r="1028" customFormat="false" ht="15" hidden="false" customHeight="false" outlineLevel="0" collapsed="false">
      <c r="A1028" s="9"/>
      <c r="B1028" s="2" t="s">
        <v>2313</v>
      </c>
      <c r="C1028" s="2"/>
      <c r="D1028" s="2" t="s">
        <v>1190</v>
      </c>
      <c r="E1028" s="2" t="s">
        <v>1191</v>
      </c>
      <c r="F1028" s="2"/>
      <c r="G1028" s="2" t="s">
        <v>458</v>
      </c>
      <c r="H1028" s="8" t="n">
        <v>342.881944444</v>
      </c>
      <c r="I1028" s="2" t="s">
        <v>337</v>
      </c>
      <c r="J1028" s="8" t="n">
        <v>395000</v>
      </c>
      <c r="K1028" s="6" t="n">
        <v>1</v>
      </c>
      <c r="L1028" s="2" t="s">
        <v>1664</v>
      </c>
      <c r="M1028" s="10" t="b">
        <f aca="false">FALSE()</f>
        <v>0</v>
      </c>
      <c r="N1028" s="9" t="str">
        <f aca="false">IF(H1028="","",IF(H1028&gt;=Assumptions!$B$5,1,IF(H1028&gt;=Assumptions!$B$6,2,IF(H1028&gt;=Assumptions!$B$7,3,""))))</f>
        <v/>
      </c>
      <c r="O1028" s="9" t="n">
        <f aca="false">IF(N1028=1,Assumptions!$B$8,IF(N1028=2,Assumptions!$B$9,IF(N1028=3,Assumptions!$B$10,0)))</f>
        <v>0</v>
      </c>
      <c r="P1028" s="6" t="s">
        <v>30</v>
      </c>
      <c r="Q1028" s="6" t="s">
        <v>30</v>
      </c>
      <c r="R1028" s="11" t="s">
        <v>30</v>
      </c>
      <c r="S1028" s="6" t="s">
        <v>30</v>
      </c>
      <c r="T1028" s="11" t="s">
        <v>30</v>
      </c>
      <c r="U1028" s="6" t="s">
        <v>30</v>
      </c>
      <c r="V1028" s="6" t="s">
        <v>30</v>
      </c>
      <c r="W1028" s="6" t="s">
        <v>30</v>
      </c>
      <c r="X1028" s="2" t="s">
        <v>30</v>
      </c>
      <c r="Y1028" s="6" t="str">
        <f aca="false">IF(AND(X1028="processed",ISNUMBER(S1028)),S1028*O1028,"")</f>
        <v/>
      </c>
      <c r="Z1028" s="6" t="n">
        <f aca="false">IF(ISNUMBER(K1028),K1028*O1028,0)</f>
        <v>0</v>
      </c>
      <c r="AA1028" s="2" t="s">
        <v>31</v>
      </c>
      <c r="AB1028" s="6"/>
      <c r="AC1028" s="6"/>
      <c r="AD1028" s="6"/>
      <c r="AE1028" s="6"/>
      <c r="AF1028" s="8"/>
      <c r="AG1028" s="11"/>
      <c r="AH1028" s="12"/>
      <c r="AI1028" s="2"/>
      <c r="AJ1028" s="2"/>
      <c r="AK1028" s="2"/>
    </row>
    <row r="1029" customFormat="false" ht="15" hidden="false" customHeight="false" outlineLevel="0" collapsed="false">
      <c r="A1029" s="9"/>
      <c r="B1029" s="2" t="s">
        <v>2314</v>
      </c>
      <c r="C1029" s="2" t="s">
        <v>2315</v>
      </c>
      <c r="D1029" s="2" t="s">
        <v>455</v>
      </c>
      <c r="E1029" s="2" t="s">
        <v>456</v>
      </c>
      <c r="F1029" s="2" t="s">
        <v>2316</v>
      </c>
      <c r="G1029" s="2"/>
      <c r="H1029" s="8"/>
      <c r="I1029" s="2"/>
      <c r="J1029" s="8"/>
      <c r="K1029" s="6"/>
      <c r="L1029" s="2"/>
      <c r="M1029" s="10" t="b">
        <f aca="false">TRUE()</f>
        <v>1</v>
      </c>
      <c r="N1029" s="9" t="str">
        <f aca="false">IF(H1029="","",IF(H1029&gt;=Assumptions!$B$5,1,IF(H1029&gt;=Assumptions!$B$6,2,IF(H1029&gt;=Assumptions!$B$7,3,""))))</f>
        <v/>
      </c>
      <c r="O1029" s="9" t="n">
        <f aca="false">IF(N1029=1,Assumptions!$B$8,IF(N1029=2,Assumptions!$B$9,IF(N1029=3,Assumptions!$B$10,0)))</f>
        <v>0</v>
      </c>
      <c r="P1029" s="6" t="s">
        <v>30</v>
      </c>
      <c r="Q1029" s="6" t="s">
        <v>30</v>
      </c>
      <c r="R1029" s="11" t="s">
        <v>30</v>
      </c>
      <c r="S1029" s="6" t="s">
        <v>30</v>
      </c>
      <c r="T1029" s="11" t="s">
        <v>30</v>
      </c>
      <c r="U1029" s="6" t="s">
        <v>30</v>
      </c>
      <c r="V1029" s="6" t="s">
        <v>30</v>
      </c>
      <c r="W1029" s="6" t="s">
        <v>30</v>
      </c>
      <c r="X1029" s="2" t="s">
        <v>30</v>
      </c>
      <c r="Y1029" s="6" t="str">
        <f aca="false">IF(AND(X1029="processed",ISNUMBER(S1029)),S1029*O1029,"")</f>
        <v/>
      </c>
      <c r="Z1029" s="6" t="n">
        <f aca="false">IF(ISNUMBER(K1029),K1029*O1029,0)</f>
        <v>0</v>
      </c>
      <c r="AA1029" s="2" t="s">
        <v>31</v>
      </c>
      <c r="AB1029" s="6" t="n">
        <v>1173</v>
      </c>
      <c r="AC1029" s="6" t="n">
        <v>817</v>
      </c>
      <c r="AD1029" s="6" t="n">
        <v>171</v>
      </c>
      <c r="AE1029" s="6" t="n">
        <v>2255.654296875</v>
      </c>
      <c r="AF1029" s="8"/>
      <c r="AG1029" s="11"/>
      <c r="AH1029" s="12" t="n">
        <v>0.999999999999999</v>
      </c>
      <c r="AI1029" s="2" t="s">
        <v>582</v>
      </c>
      <c r="AJ1029" s="2" t="s">
        <v>2315</v>
      </c>
      <c r="AK1029" s="2" t="s">
        <v>2317</v>
      </c>
    </row>
    <row r="1030" customFormat="false" ht="15" hidden="false" customHeight="false" outlineLevel="0" collapsed="false">
      <c r="A1030" s="9"/>
      <c r="B1030" s="2" t="s">
        <v>2318</v>
      </c>
      <c r="C1030" s="2" t="s">
        <v>2319</v>
      </c>
      <c r="D1030" s="2" t="s">
        <v>455</v>
      </c>
      <c r="E1030" s="2" t="s">
        <v>456</v>
      </c>
      <c r="F1030" s="2" t="s">
        <v>2320</v>
      </c>
      <c r="G1030" s="2" t="s">
        <v>458</v>
      </c>
      <c r="H1030" s="8" t="n">
        <v>317.996268798747</v>
      </c>
      <c r="I1030" s="2" t="s">
        <v>316</v>
      </c>
      <c r="J1030" s="8" t="n">
        <v>585675.855513308</v>
      </c>
      <c r="K1030" s="6" t="n">
        <v>526</v>
      </c>
      <c r="L1030" s="2"/>
      <c r="M1030" s="10" t="b">
        <f aca="false">TRUE()</f>
        <v>1</v>
      </c>
      <c r="N1030" s="9" t="str">
        <f aca="false">IF(H1030="","",IF(H1030&gt;=Assumptions!$B$5,1,IF(H1030&gt;=Assumptions!$B$6,2,IF(H1030&gt;=Assumptions!$B$7,3,""))))</f>
        <v/>
      </c>
      <c r="O1030" s="9" t="n">
        <f aca="false">IF(N1030=1,Assumptions!$B$8,IF(N1030=2,Assumptions!$B$9,IF(N1030=3,Assumptions!$B$10,0)))</f>
        <v>0</v>
      </c>
      <c r="P1030" s="6" t="s">
        <v>30</v>
      </c>
      <c r="Q1030" s="6" t="s">
        <v>30</v>
      </c>
      <c r="R1030" s="11" t="s">
        <v>30</v>
      </c>
      <c r="S1030" s="6" t="s">
        <v>30</v>
      </c>
      <c r="T1030" s="11" t="s">
        <v>30</v>
      </c>
      <c r="U1030" s="6" t="s">
        <v>30</v>
      </c>
      <c r="V1030" s="6" t="s">
        <v>30</v>
      </c>
      <c r="W1030" s="6" t="s">
        <v>30</v>
      </c>
      <c r="X1030" s="2" t="s">
        <v>30</v>
      </c>
      <c r="Y1030" s="6" t="str">
        <f aca="false">IF(AND(X1030="processed",ISNUMBER(S1030)),S1030*O1030,"")</f>
        <v/>
      </c>
      <c r="Z1030" s="6" t="n">
        <f aca="false">IF(ISNUMBER(K1030),K1030*O1030,0)</f>
        <v>0</v>
      </c>
      <c r="AA1030" s="2" t="s">
        <v>31</v>
      </c>
      <c r="AB1030" s="6" t="n">
        <v>19327</v>
      </c>
      <c r="AC1030" s="6" t="n">
        <v>17534</v>
      </c>
      <c r="AD1030" s="6" t="n">
        <v>16351</v>
      </c>
      <c r="AE1030" s="6" t="n">
        <v>2221.8271484375</v>
      </c>
      <c r="AF1030" s="8" t="n">
        <v>311.858608894</v>
      </c>
      <c r="AG1030" s="11" t="n">
        <v>0.01250095021</v>
      </c>
      <c r="AH1030" s="12" t="n">
        <v>0.958409268755781</v>
      </c>
      <c r="AI1030" s="2" t="s">
        <v>328</v>
      </c>
      <c r="AJ1030" s="2" t="s">
        <v>2319</v>
      </c>
      <c r="AK1030" s="2" t="s">
        <v>2319</v>
      </c>
    </row>
    <row r="1031" customFormat="false" ht="15" hidden="false" customHeight="false" outlineLevel="0" collapsed="false">
      <c r="A1031" s="9"/>
      <c r="B1031" s="2" t="s">
        <v>2321</v>
      </c>
      <c r="C1031" s="2" t="s">
        <v>2319</v>
      </c>
      <c r="D1031" s="2" t="s">
        <v>455</v>
      </c>
      <c r="E1031" s="2" t="s">
        <v>456</v>
      </c>
      <c r="F1031" s="2" t="s">
        <v>2322</v>
      </c>
      <c r="G1031" s="2" t="s">
        <v>458</v>
      </c>
      <c r="H1031" s="8" t="n">
        <v>258.477281869867</v>
      </c>
      <c r="I1031" s="2" t="s">
        <v>316</v>
      </c>
      <c r="J1031" s="8" t="n">
        <v>637482.352941177</v>
      </c>
      <c r="K1031" s="6" t="n">
        <v>255</v>
      </c>
      <c r="L1031" s="2"/>
      <c r="M1031" s="10" t="b">
        <f aca="false">TRUE()</f>
        <v>1</v>
      </c>
      <c r="N1031" s="9" t="str">
        <f aca="false">IF(H1031="","",IF(H1031&gt;=Assumptions!$B$5,1,IF(H1031&gt;=Assumptions!$B$6,2,IF(H1031&gt;=Assumptions!$B$7,3,""))))</f>
        <v/>
      </c>
      <c r="O1031" s="9" t="n">
        <f aca="false">IF(N1031=1,Assumptions!$B$8,IF(N1031=2,Assumptions!$B$9,IF(N1031=3,Assumptions!$B$10,0)))</f>
        <v>0</v>
      </c>
      <c r="P1031" s="6" t="s">
        <v>30</v>
      </c>
      <c r="Q1031" s="6" t="s">
        <v>30</v>
      </c>
      <c r="R1031" s="11" t="s">
        <v>30</v>
      </c>
      <c r="S1031" s="6" t="s">
        <v>30</v>
      </c>
      <c r="T1031" s="11" t="s">
        <v>30</v>
      </c>
      <c r="U1031" s="6" t="s">
        <v>30</v>
      </c>
      <c r="V1031" s="6" t="s">
        <v>30</v>
      </c>
      <c r="W1031" s="6" t="s">
        <v>30</v>
      </c>
      <c r="X1031" s="2" t="s">
        <v>30</v>
      </c>
      <c r="Y1031" s="6" t="str">
        <f aca="false">IF(AND(X1031="processed",ISNUMBER(S1031)),S1031*O1031,"")</f>
        <v/>
      </c>
      <c r="Z1031" s="6" t="n">
        <f aca="false">IF(ISNUMBER(K1031),K1031*O1031,0)</f>
        <v>0</v>
      </c>
      <c r="AA1031" s="2" t="s">
        <v>31</v>
      </c>
      <c r="AB1031" s="6" t="n">
        <v>8881</v>
      </c>
      <c r="AC1031" s="6" t="n">
        <v>8289</v>
      </c>
      <c r="AD1031" s="6" t="n">
        <v>8300</v>
      </c>
      <c r="AE1031" s="6" t="n">
        <v>2398.95825195313</v>
      </c>
      <c r="AF1031" s="8" t="n">
        <v>245.660377358</v>
      </c>
      <c r="AG1031" s="11" t="n">
        <v>-0.1017329582</v>
      </c>
      <c r="AH1031" s="12" t="n">
        <v>0.999999999999996</v>
      </c>
      <c r="AI1031" s="2" t="s">
        <v>317</v>
      </c>
      <c r="AJ1031" s="2" t="s">
        <v>2319</v>
      </c>
      <c r="AK1031" s="2" t="s">
        <v>2319</v>
      </c>
    </row>
    <row r="1032" customFormat="false" ht="15" hidden="false" customHeight="false" outlineLevel="0" collapsed="false">
      <c r="A1032" s="9"/>
      <c r="B1032" s="2" t="s">
        <v>2323</v>
      </c>
      <c r="C1032" s="2" t="s">
        <v>2324</v>
      </c>
      <c r="D1032" s="2" t="s">
        <v>455</v>
      </c>
      <c r="E1032" s="2" t="s">
        <v>456</v>
      </c>
      <c r="F1032" s="2"/>
      <c r="G1032" s="2" t="s">
        <v>458</v>
      </c>
      <c r="H1032" s="8" t="n">
        <v>276.968195058875</v>
      </c>
      <c r="I1032" s="2" t="s">
        <v>316</v>
      </c>
      <c r="J1032" s="8" t="n">
        <v>603250</v>
      </c>
      <c r="K1032" s="6" t="n">
        <v>32</v>
      </c>
      <c r="L1032" s="2"/>
      <c r="M1032" s="10" t="b">
        <f aca="false">TRUE()</f>
        <v>1</v>
      </c>
      <c r="N1032" s="9" t="str">
        <f aca="false">IF(H1032="","",IF(H1032&gt;=Assumptions!$B$5,1,IF(H1032&gt;=Assumptions!$B$6,2,IF(H1032&gt;=Assumptions!$B$7,3,""))))</f>
        <v/>
      </c>
      <c r="O1032" s="9" t="n">
        <f aca="false">IF(N1032=1,Assumptions!$B$8,IF(N1032=2,Assumptions!$B$9,IF(N1032=3,Assumptions!$B$10,0)))</f>
        <v>0</v>
      </c>
      <c r="P1032" s="6" t="s">
        <v>30</v>
      </c>
      <c r="Q1032" s="6" t="s">
        <v>30</v>
      </c>
      <c r="R1032" s="11" t="s">
        <v>30</v>
      </c>
      <c r="S1032" s="6" t="s">
        <v>30</v>
      </c>
      <c r="T1032" s="11" t="s">
        <v>30</v>
      </c>
      <c r="U1032" s="6" t="s">
        <v>30</v>
      </c>
      <c r="V1032" s="6" t="s">
        <v>30</v>
      </c>
      <c r="W1032" s="6" t="s">
        <v>30</v>
      </c>
      <c r="X1032" s="2" t="s">
        <v>30</v>
      </c>
      <c r="Y1032" s="6" t="str">
        <f aca="false">IF(AND(X1032="processed",ISNUMBER(S1032)),S1032*O1032,"")</f>
        <v/>
      </c>
      <c r="Z1032" s="6" t="n">
        <f aca="false">IF(ISNUMBER(K1032),K1032*O1032,0)</f>
        <v>0</v>
      </c>
      <c r="AA1032" s="2" t="s">
        <v>31</v>
      </c>
      <c r="AB1032" s="6" t="n">
        <v>3889</v>
      </c>
      <c r="AC1032" s="6" t="n">
        <v>3092</v>
      </c>
      <c r="AD1032" s="6" t="n">
        <v>3872</v>
      </c>
      <c r="AE1032" s="6" t="n">
        <v>1588.12719726563</v>
      </c>
      <c r="AF1032" s="8" t="n">
        <v>287.907869482</v>
      </c>
      <c r="AG1032" s="11" t="n">
        <v>0.02167673317</v>
      </c>
      <c r="AH1032" s="12" t="n">
        <v>0.999239402996673</v>
      </c>
      <c r="AI1032" s="2" t="s">
        <v>317</v>
      </c>
      <c r="AJ1032" s="2" t="s">
        <v>2324</v>
      </c>
      <c r="AK1032" s="2" t="s">
        <v>2325</v>
      </c>
    </row>
    <row r="1033" customFormat="false" ht="15" hidden="false" customHeight="false" outlineLevel="0" collapsed="false">
      <c r="A1033" s="9"/>
      <c r="B1033" s="2" t="s">
        <v>2326</v>
      </c>
      <c r="C1033" s="2" t="s">
        <v>2327</v>
      </c>
      <c r="D1033" s="2" t="s">
        <v>455</v>
      </c>
      <c r="E1033" s="2" t="s">
        <v>456</v>
      </c>
      <c r="F1033" s="2"/>
      <c r="G1033" s="2" t="s">
        <v>458</v>
      </c>
      <c r="H1033" s="8" t="n">
        <v>232.821374889806</v>
      </c>
      <c r="I1033" s="2" t="s">
        <v>316</v>
      </c>
      <c r="J1033" s="8" t="n">
        <v>417580.64516129</v>
      </c>
      <c r="K1033" s="6" t="n">
        <v>31</v>
      </c>
      <c r="L1033" s="2"/>
      <c r="M1033" s="10" t="b">
        <f aca="false">TRUE()</f>
        <v>1</v>
      </c>
      <c r="N1033" s="9" t="str">
        <f aca="false">IF(H1033="","",IF(H1033&gt;=Assumptions!$B$5,1,IF(H1033&gt;=Assumptions!$B$6,2,IF(H1033&gt;=Assumptions!$B$7,3,""))))</f>
        <v/>
      </c>
      <c r="O1033" s="9" t="n">
        <f aca="false">IF(N1033=1,Assumptions!$B$8,IF(N1033=2,Assumptions!$B$9,IF(N1033=3,Assumptions!$B$10,0)))</f>
        <v>0</v>
      </c>
      <c r="P1033" s="6" t="s">
        <v>30</v>
      </c>
      <c r="Q1033" s="6" t="s">
        <v>30</v>
      </c>
      <c r="R1033" s="11" t="s">
        <v>30</v>
      </c>
      <c r="S1033" s="6" t="s">
        <v>30</v>
      </c>
      <c r="T1033" s="11" t="s">
        <v>30</v>
      </c>
      <c r="U1033" s="6" t="s">
        <v>30</v>
      </c>
      <c r="V1033" s="6" t="s">
        <v>30</v>
      </c>
      <c r="W1033" s="6" t="s">
        <v>30</v>
      </c>
      <c r="X1033" s="2" t="s">
        <v>30</v>
      </c>
      <c r="Y1033" s="6" t="str">
        <f aca="false">IF(AND(X1033="processed",ISNUMBER(S1033)),S1033*O1033,"")</f>
        <v/>
      </c>
      <c r="Z1033" s="6" t="n">
        <f aca="false">IF(ISNUMBER(K1033),K1033*O1033,0)</f>
        <v>0</v>
      </c>
      <c r="AA1033" s="2" t="s">
        <v>31</v>
      </c>
      <c r="AB1033" s="6" t="n">
        <v>4889</v>
      </c>
      <c r="AC1033" s="6" t="n">
        <v>3997</v>
      </c>
      <c r="AD1033" s="6" t="n">
        <v>4481</v>
      </c>
      <c r="AE1033" s="6" t="n">
        <v>1586.759765625</v>
      </c>
      <c r="AF1033" s="8" t="n">
        <v>249.933172948</v>
      </c>
      <c r="AG1033" s="11" t="n">
        <v>0.1879176691</v>
      </c>
      <c r="AH1033" s="12" t="n">
        <v>0.999857088144767</v>
      </c>
      <c r="AI1033" s="2" t="s">
        <v>317</v>
      </c>
      <c r="AJ1033" s="2" t="s">
        <v>2327</v>
      </c>
      <c r="AK1033" s="2" t="s">
        <v>2327</v>
      </c>
    </row>
    <row r="1034" customFormat="false" ht="15" hidden="false" customHeight="false" outlineLevel="0" collapsed="false">
      <c r="A1034" s="9"/>
      <c r="B1034" s="2" t="s">
        <v>2328</v>
      </c>
      <c r="C1034" s="2" t="s">
        <v>2329</v>
      </c>
      <c r="D1034" s="2" t="s">
        <v>455</v>
      </c>
      <c r="E1034" s="2" t="s">
        <v>456</v>
      </c>
      <c r="F1034" s="2" t="s">
        <v>2330</v>
      </c>
      <c r="G1034" s="2" t="s">
        <v>458</v>
      </c>
      <c r="H1034" s="8" t="n">
        <v>279.015603803971</v>
      </c>
      <c r="I1034" s="2" t="s">
        <v>316</v>
      </c>
      <c r="J1034" s="8" t="n">
        <v>417218.75</v>
      </c>
      <c r="K1034" s="6" t="n">
        <v>272</v>
      </c>
      <c r="L1034" s="2"/>
      <c r="M1034" s="10" t="b">
        <f aca="false">TRUE()</f>
        <v>1</v>
      </c>
      <c r="N1034" s="9" t="str">
        <f aca="false">IF(H1034="","",IF(H1034&gt;=Assumptions!$B$5,1,IF(H1034&gt;=Assumptions!$B$6,2,IF(H1034&gt;=Assumptions!$B$7,3,""))))</f>
        <v/>
      </c>
      <c r="O1034" s="9" t="n">
        <f aca="false">IF(N1034=1,Assumptions!$B$8,IF(N1034=2,Assumptions!$B$9,IF(N1034=3,Assumptions!$B$10,0)))</f>
        <v>0</v>
      </c>
      <c r="P1034" s="6" t="s">
        <v>30</v>
      </c>
      <c r="Q1034" s="6" t="s">
        <v>30</v>
      </c>
      <c r="R1034" s="11" t="s">
        <v>30</v>
      </c>
      <c r="S1034" s="6" t="s">
        <v>30</v>
      </c>
      <c r="T1034" s="11" t="s">
        <v>30</v>
      </c>
      <c r="U1034" s="6" t="s">
        <v>30</v>
      </c>
      <c r="V1034" s="6" t="s">
        <v>30</v>
      </c>
      <c r="W1034" s="6" t="s">
        <v>30</v>
      </c>
      <c r="X1034" s="2" t="s">
        <v>30</v>
      </c>
      <c r="Y1034" s="6" t="str">
        <f aca="false">IF(AND(X1034="processed",ISNUMBER(S1034)),S1034*O1034,"")</f>
        <v/>
      </c>
      <c r="Z1034" s="6" t="n">
        <f aca="false">IF(ISNUMBER(K1034),K1034*O1034,0)</f>
        <v>0</v>
      </c>
      <c r="AA1034" s="2" t="s">
        <v>31</v>
      </c>
      <c r="AB1034" s="6" t="n">
        <v>14641</v>
      </c>
      <c r="AC1034" s="6" t="n">
        <v>13359</v>
      </c>
      <c r="AD1034" s="6" t="n">
        <v>11764</v>
      </c>
      <c r="AE1034" s="6" t="n">
        <v>2181.36376953125</v>
      </c>
      <c r="AF1034" s="8" t="n">
        <v>268.640350877</v>
      </c>
      <c r="AG1034" s="11" t="n">
        <v>0.04813175134</v>
      </c>
      <c r="AH1034" s="12" t="n">
        <v>0.999999999999999</v>
      </c>
      <c r="AI1034" s="2" t="s">
        <v>317</v>
      </c>
      <c r="AJ1034" s="2" t="s">
        <v>2329</v>
      </c>
      <c r="AK1034" s="2" t="s">
        <v>2329</v>
      </c>
    </row>
    <row r="1035" customFormat="false" ht="15" hidden="false" customHeight="false" outlineLevel="0" collapsed="false">
      <c r="A1035" s="9"/>
      <c r="B1035" s="2" t="s">
        <v>2331</v>
      </c>
      <c r="C1035" s="2" t="s">
        <v>2329</v>
      </c>
      <c r="D1035" s="2" t="s">
        <v>455</v>
      </c>
      <c r="E1035" s="2" t="s">
        <v>456</v>
      </c>
      <c r="F1035" s="2" t="s">
        <v>2332</v>
      </c>
      <c r="G1035" s="2" t="s">
        <v>458</v>
      </c>
      <c r="H1035" s="8" t="n">
        <v>278.294045563206</v>
      </c>
      <c r="I1035" s="2" t="s">
        <v>316</v>
      </c>
      <c r="J1035" s="8" t="n">
        <v>468763.020833333</v>
      </c>
      <c r="K1035" s="6" t="n">
        <v>384</v>
      </c>
      <c r="L1035" s="2"/>
      <c r="M1035" s="10" t="b">
        <f aca="false">TRUE()</f>
        <v>1</v>
      </c>
      <c r="N1035" s="9" t="str">
        <f aca="false">IF(H1035="","",IF(H1035&gt;=Assumptions!$B$5,1,IF(H1035&gt;=Assumptions!$B$6,2,IF(H1035&gt;=Assumptions!$B$7,3,""))))</f>
        <v/>
      </c>
      <c r="O1035" s="9" t="n">
        <f aca="false">IF(N1035=1,Assumptions!$B$8,IF(N1035=2,Assumptions!$B$9,IF(N1035=3,Assumptions!$B$10,0)))</f>
        <v>0</v>
      </c>
      <c r="P1035" s="6" t="s">
        <v>30</v>
      </c>
      <c r="Q1035" s="6" t="s">
        <v>30</v>
      </c>
      <c r="R1035" s="11" t="s">
        <v>30</v>
      </c>
      <c r="S1035" s="6" t="s">
        <v>30</v>
      </c>
      <c r="T1035" s="11" t="s">
        <v>30</v>
      </c>
      <c r="U1035" s="6" t="s">
        <v>30</v>
      </c>
      <c r="V1035" s="6" t="s">
        <v>30</v>
      </c>
      <c r="W1035" s="6" t="s">
        <v>30</v>
      </c>
      <c r="X1035" s="2" t="s">
        <v>30</v>
      </c>
      <c r="Y1035" s="6" t="str">
        <f aca="false">IF(AND(X1035="processed",ISNUMBER(S1035)),S1035*O1035,"")</f>
        <v/>
      </c>
      <c r="Z1035" s="6" t="n">
        <f aca="false">IF(ISNUMBER(K1035),K1035*O1035,0)</f>
        <v>0</v>
      </c>
      <c r="AA1035" s="2" t="s">
        <v>31</v>
      </c>
      <c r="AB1035" s="6" t="n">
        <v>19909</v>
      </c>
      <c r="AC1035" s="6" t="n">
        <v>17868</v>
      </c>
      <c r="AD1035" s="6" t="n">
        <v>18804</v>
      </c>
      <c r="AE1035" s="6" t="n">
        <v>2489.07080078125</v>
      </c>
      <c r="AF1035" s="8" t="n">
        <v>276.555625393</v>
      </c>
      <c r="AG1035" s="11" t="n">
        <v>0.04734291681</v>
      </c>
      <c r="AH1035" s="12" t="n">
        <v>1</v>
      </c>
      <c r="AI1035" s="2" t="s">
        <v>317</v>
      </c>
      <c r="AJ1035" s="2" t="s">
        <v>2329</v>
      </c>
      <c r="AK1035" s="2" t="s">
        <v>2329</v>
      </c>
    </row>
    <row r="1036" customFormat="false" ht="15" hidden="false" customHeight="false" outlineLevel="0" collapsed="false">
      <c r="A1036" s="9"/>
      <c r="B1036" s="2" t="s">
        <v>2333</v>
      </c>
      <c r="C1036" s="2" t="s">
        <v>2329</v>
      </c>
      <c r="D1036" s="2" t="s">
        <v>455</v>
      </c>
      <c r="E1036" s="2" t="s">
        <v>456</v>
      </c>
      <c r="F1036" s="2" t="s">
        <v>2334</v>
      </c>
      <c r="G1036" s="2" t="s">
        <v>458</v>
      </c>
      <c r="H1036" s="8" t="n">
        <v>247.143229297931</v>
      </c>
      <c r="I1036" s="2" t="s">
        <v>316</v>
      </c>
      <c r="J1036" s="8" t="n">
        <v>447316.056910569</v>
      </c>
      <c r="K1036" s="6" t="n">
        <v>492</v>
      </c>
      <c r="L1036" s="2"/>
      <c r="M1036" s="10" t="b">
        <f aca="false">TRUE()</f>
        <v>1</v>
      </c>
      <c r="N1036" s="9" t="str">
        <f aca="false">IF(H1036="","",IF(H1036&gt;=Assumptions!$B$5,1,IF(H1036&gt;=Assumptions!$B$6,2,IF(H1036&gt;=Assumptions!$B$7,3,""))))</f>
        <v/>
      </c>
      <c r="O1036" s="9" t="n">
        <f aca="false">IF(N1036=1,Assumptions!$B$8,IF(N1036=2,Assumptions!$B$9,IF(N1036=3,Assumptions!$B$10,0)))</f>
        <v>0</v>
      </c>
      <c r="P1036" s="6" t="s">
        <v>30</v>
      </c>
      <c r="Q1036" s="6" t="s">
        <v>30</v>
      </c>
      <c r="R1036" s="11" t="s">
        <v>30</v>
      </c>
      <c r="S1036" s="6" t="s">
        <v>30</v>
      </c>
      <c r="T1036" s="11" t="s">
        <v>30</v>
      </c>
      <c r="U1036" s="6" t="s">
        <v>30</v>
      </c>
      <c r="V1036" s="6" t="s">
        <v>30</v>
      </c>
      <c r="W1036" s="6" t="s">
        <v>30</v>
      </c>
      <c r="X1036" s="2" t="s">
        <v>30</v>
      </c>
      <c r="Y1036" s="6" t="str">
        <f aca="false">IF(AND(X1036="processed",ISNUMBER(S1036)),S1036*O1036,"")</f>
        <v/>
      </c>
      <c r="Z1036" s="6" t="n">
        <f aca="false">IF(ISNUMBER(K1036),K1036*O1036,0)</f>
        <v>0</v>
      </c>
      <c r="AA1036" s="2" t="s">
        <v>31</v>
      </c>
      <c r="AB1036" s="6" t="n">
        <v>18128</v>
      </c>
      <c r="AC1036" s="6" t="n">
        <v>16952</v>
      </c>
      <c r="AD1036" s="6" t="n">
        <v>8557</v>
      </c>
      <c r="AE1036" s="6" t="n">
        <v>2513.26245117188</v>
      </c>
      <c r="AF1036" s="8" t="n">
        <v>247.750642674</v>
      </c>
      <c r="AG1036" s="11" t="n">
        <v>-0.01321446152</v>
      </c>
      <c r="AH1036" s="12" t="n">
        <v>1</v>
      </c>
      <c r="AI1036" s="2" t="s">
        <v>317</v>
      </c>
      <c r="AJ1036" s="2" t="s">
        <v>2329</v>
      </c>
      <c r="AK1036" s="2" t="s">
        <v>2329</v>
      </c>
    </row>
    <row r="1037" customFormat="false" ht="15" hidden="false" customHeight="false" outlineLevel="0" collapsed="false">
      <c r="A1037" s="9"/>
      <c r="B1037" s="2" t="s">
        <v>2335</v>
      </c>
      <c r="C1037" s="2" t="s">
        <v>2336</v>
      </c>
      <c r="D1037" s="2" t="s">
        <v>455</v>
      </c>
      <c r="E1037" s="2" t="s">
        <v>456</v>
      </c>
      <c r="F1037" s="2" t="s">
        <v>2337</v>
      </c>
      <c r="G1037" s="2" t="s">
        <v>458</v>
      </c>
      <c r="H1037" s="8" t="n">
        <v>262.649030757374</v>
      </c>
      <c r="I1037" s="2" t="s">
        <v>316</v>
      </c>
      <c r="J1037" s="8" t="n">
        <v>552115.987951807</v>
      </c>
      <c r="K1037" s="6" t="n">
        <v>83</v>
      </c>
      <c r="L1037" s="2"/>
      <c r="M1037" s="10" t="b">
        <f aca="false">TRUE()</f>
        <v>1</v>
      </c>
      <c r="N1037" s="9" t="str">
        <f aca="false">IF(H1037="","",IF(H1037&gt;=Assumptions!$B$5,1,IF(H1037&gt;=Assumptions!$B$6,2,IF(H1037&gt;=Assumptions!$B$7,3,""))))</f>
        <v/>
      </c>
      <c r="O1037" s="9" t="n">
        <f aca="false">IF(N1037=1,Assumptions!$B$8,IF(N1037=2,Assumptions!$B$9,IF(N1037=3,Assumptions!$B$10,0)))</f>
        <v>0</v>
      </c>
      <c r="P1037" s="6" t="s">
        <v>30</v>
      </c>
      <c r="Q1037" s="6" t="s">
        <v>30</v>
      </c>
      <c r="R1037" s="11" t="s">
        <v>30</v>
      </c>
      <c r="S1037" s="6" t="s">
        <v>30</v>
      </c>
      <c r="T1037" s="11" t="s">
        <v>30</v>
      </c>
      <c r="U1037" s="6" t="s">
        <v>30</v>
      </c>
      <c r="V1037" s="6" t="s">
        <v>30</v>
      </c>
      <c r="W1037" s="6" t="s">
        <v>30</v>
      </c>
      <c r="X1037" s="2" t="s">
        <v>30</v>
      </c>
      <c r="Y1037" s="6" t="str">
        <f aca="false">IF(AND(X1037="processed",ISNUMBER(S1037)),S1037*O1037,"")</f>
        <v/>
      </c>
      <c r="Z1037" s="6" t="n">
        <f aca="false">IF(ISNUMBER(K1037),K1037*O1037,0)</f>
        <v>0</v>
      </c>
      <c r="AA1037" s="2" t="s">
        <v>31</v>
      </c>
      <c r="AB1037" s="6" t="n">
        <v>4105</v>
      </c>
      <c r="AC1037" s="6" t="n">
        <v>3759</v>
      </c>
      <c r="AD1037" s="6" t="n">
        <v>2825</v>
      </c>
      <c r="AE1037" s="6" t="n">
        <v>2095.81567382813</v>
      </c>
      <c r="AF1037" s="8" t="n">
        <v>277.0208901</v>
      </c>
      <c r="AG1037" s="11" t="n">
        <v>0.05521693987</v>
      </c>
      <c r="AH1037" s="12" t="n">
        <v>0.999999999999999</v>
      </c>
      <c r="AI1037" s="2" t="s">
        <v>317</v>
      </c>
      <c r="AJ1037" s="2" t="s">
        <v>2336</v>
      </c>
      <c r="AK1037" s="2" t="s">
        <v>2338</v>
      </c>
    </row>
    <row r="1038" customFormat="false" ht="15" hidden="false" customHeight="false" outlineLevel="0" collapsed="false">
      <c r="A1038" s="9"/>
      <c r="B1038" s="2" t="s">
        <v>2339</v>
      </c>
      <c r="C1038" s="2" t="s">
        <v>2340</v>
      </c>
      <c r="D1038" s="2" t="s">
        <v>455</v>
      </c>
      <c r="E1038" s="2" t="s">
        <v>456</v>
      </c>
      <c r="F1038" s="2"/>
      <c r="G1038" s="2" t="s">
        <v>458</v>
      </c>
      <c r="H1038" s="8" t="n">
        <v>357.574767255255</v>
      </c>
      <c r="I1038" s="2" t="s">
        <v>316</v>
      </c>
      <c r="J1038" s="8" t="n">
        <v>476269.607843137</v>
      </c>
      <c r="K1038" s="6" t="n">
        <v>204</v>
      </c>
      <c r="L1038" s="2"/>
      <c r="M1038" s="10" t="b">
        <f aca="false">TRUE()</f>
        <v>1</v>
      </c>
      <c r="N1038" s="9" t="str">
        <f aca="false">IF(H1038="","",IF(H1038&gt;=Assumptions!$B$5,1,IF(H1038&gt;=Assumptions!$B$6,2,IF(H1038&gt;=Assumptions!$B$7,3,""))))</f>
        <v/>
      </c>
      <c r="O1038" s="9" t="n">
        <f aca="false">IF(N1038=1,Assumptions!$B$8,IF(N1038=2,Assumptions!$B$9,IF(N1038=3,Assumptions!$B$10,0)))</f>
        <v>0</v>
      </c>
      <c r="P1038" s="6" t="s">
        <v>30</v>
      </c>
      <c r="Q1038" s="6" t="s">
        <v>30</v>
      </c>
      <c r="R1038" s="11" t="s">
        <v>30</v>
      </c>
      <c r="S1038" s="6" t="s">
        <v>30</v>
      </c>
      <c r="T1038" s="11" t="s">
        <v>30</v>
      </c>
      <c r="U1038" s="6" t="s">
        <v>30</v>
      </c>
      <c r="V1038" s="6" t="s">
        <v>30</v>
      </c>
      <c r="W1038" s="6" t="s">
        <v>30</v>
      </c>
      <c r="X1038" s="2" t="s">
        <v>30</v>
      </c>
      <c r="Y1038" s="6" t="str">
        <f aca="false">IF(AND(X1038="processed",ISNUMBER(S1038)),S1038*O1038,"")</f>
        <v/>
      </c>
      <c r="Z1038" s="6" t="n">
        <f aca="false">IF(ISNUMBER(K1038),K1038*O1038,0)</f>
        <v>0</v>
      </c>
      <c r="AA1038" s="2" t="s">
        <v>31</v>
      </c>
      <c r="AB1038" s="6" t="n">
        <v>5168</v>
      </c>
      <c r="AC1038" s="6" t="n">
        <v>4211</v>
      </c>
      <c r="AD1038" s="6" t="n">
        <v>659</v>
      </c>
      <c r="AE1038" s="6" t="n">
        <v>1326.04602050781</v>
      </c>
      <c r="AF1038" s="8" t="n">
        <v>359.363768608</v>
      </c>
      <c r="AG1038" s="11" t="n">
        <v>-0.1187200908</v>
      </c>
      <c r="AH1038" s="12" t="n">
        <v>1</v>
      </c>
      <c r="AI1038" s="2" t="s">
        <v>317</v>
      </c>
      <c r="AJ1038" s="2" t="s">
        <v>2340</v>
      </c>
      <c r="AK1038" s="2" t="s">
        <v>2341</v>
      </c>
    </row>
    <row r="1039" customFormat="false" ht="15" hidden="false" customHeight="false" outlineLevel="0" collapsed="false">
      <c r="A1039" s="9"/>
      <c r="B1039" s="2" t="s">
        <v>2342</v>
      </c>
      <c r="C1039" s="2" t="s">
        <v>2317</v>
      </c>
      <c r="D1039" s="2" t="s">
        <v>455</v>
      </c>
      <c r="E1039" s="2" t="s">
        <v>456</v>
      </c>
      <c r="F1039" s="2" t="s">
        <v>2343</v>
      </c>
      <c r="G1039" s="2" t="s">
        <v>458</v>
      </c>
      <c r="H1039" s="8" t="n">
        <v>308.860572545805</v>
      </c>
      <c r="I1039" s="2" t="s">
        <v>316</v>
      </c>
      <c r="J1039" s="8" t="n">
        <v>541756.756756757</v>
      </c>
      <c r="K1039" s="6" t="n">
        <v>185</v>
      </c>
      <c r="L1039" s="2"/>
      <c r="M1039" s="10" t="b">
        <f aca="false">TRUE()</f>
        <v>1</v>
      </c>
      <c r="N1039" s="9" t="str">
        <f aca="false">IF(H1039="","",IF(H1039&gt;=Assumptions!$B$5,1,IF(H1039&gt;=Assumptions!$B$6,2,IF(H1039&gt;=Assumptions!$B$7,3,""))))</f>
        <v/>
      </c>
      <c r="O1039" s="9" t="n">
        <f aca="false">IF(N1039=1,Assumptions!$B$8,IF(N1039=2,Assumptions!$B$9,IF(N1039=3,Assumptions!$B$10,0)))</f>
        <v>0</v>
      </c>
      <c r="P1039" s="6" t="s">
        <v>30</v>
      </c>
      <c r="Q1039" s="6" t="s">
        <v>30</v>
      </c>
      <c r="R1039" s="11" t="s">
        <v>30</v>
      </c>
      <c r="S1039" s="6" t="s">
        <v>30</v>
      </c>
      <c r="T1039" s="11" t="s">
        <v>30</v>
      </c>
      <c r="U1039" s="6" t="s">
        <v>30</v>
      </c>
      <c r="V1039" s="6" t="s">
        <v>30</v>
      </c>
      <c r="W1039" s="6" t="s">
        <v>30</v>
      </c>
      <c r="X1039" s="2" t="s">
        <v>30</v>
      </c>
      <c r="Y1039" s="6" t="str">
        <f aca="false">IF(AND(X1039="processed",ISNUMBER(S1039)),S1039*O1039,"")</f>
        <v/>
      </c>
      <c r="Z1039" s="6" t="n">
        <f aca="false">IF(ISNUMBER(K1039),K1039*O1039,0)</f>
        <v>0</v>
      </c>
      <c r="AA1039" s="2" t="s">
        <v>31</v>
      </c>
      <c r="AB1039" s="6" t="n">
        <v>8301</v>
      </c>
      <c r="AC1039" s="6" t="n">
        <v>7879</v>
      </c>
      <c r="AD1039" s="6" t="n">
        <v>7690</v>
      </c>
      <c r="AE1039" s="6" t="n">
        <v>2160.3828125</v>
      </c>
      <c r="AF1039" s="8" t="n">
        <v>324.371712449</v>
      </c>
      <c r="AG1039" s="11" t="n">
        <v>0.1612266137</v>
      </c>
      <c r="AH1039" s="12" t="n">
        <v>1</v>
      </c>
      <c r="AI1039" s="2" t="s">
        <v>317</v>
      </c>
      <c r="AJ1039" s="2" t="s">
        <v>2317</v>
      </c>
      <c r="AK1039" s="2" t="s">
        <v>2317</v>
      </c>
    </row>
    <row r="1040" customFormat="false" ht="15" hidden="false" customHeight="false" outlineLevel="0" collapsed="false">
      <c r="A1040" s="9"/>
      <c r="B1040" s="2" t="s">
        <v>2344</v>
      </c>
      <c r="C1040" s="2" t="s">
        <v>2317</v>
      </c>
      <c r="D1040" s="2" t="s">
        <v>455</v>
      </c>
      <c r="E1040" s="2" t="s">
        <v>456</v>
      </c>
      <c r="F1040" s="2" t="s">
        <v>2345</v>
      </c>
      <c r="G1040" s="2" t="s">
        <v>458</v>
      </c>
      <c r="H1040" s="8" t="n">
        <v>366.455185182761</v>
      </c>
      <c r="I1040" s="2" t="s">
        <v>316</v>
      </c>
      <c r="J1040" s="8" t="n">
        <v>521867.753623188</v>
      </c>
      <c r="K1040" s="6" t="n">
        <v>276</v>
      </c>
      <c r="L1040" s="2"/>
      <c r="M1040" s="10" t="b">
        <f aca="false">TRUE()</f>
        <v>1</v>
      </c>
      <c r="N1040" s="9" t="str">
        <f aca="false">IF(H1040="","",IF(H1040&gt;=Assumptions!$B$5,1,IF(H1040&gt;=Assumptions!$B$6,2,IF(H1040&gt;=Assumptions!$B$7,3,""))))</f>
        <v/>
      </c>
      <c r="O1040" s="9" t="n">
        <f aca="false">IF(N1040=1,Assumptions!$B$8,IF(N1040=2,Assumptions!$B$9,IF(N1040=3,Assumptions!$B$10,0)))</f>
        <v>0</v>
      </c>
      <c r="P1040" s="6" t="s">
        <v>30</v>
      </c>
      <c r="Q1040" s="6" t="s">
        <v>30</v>
      </c>
      <c r="R1040" s="11" t="s">
        <v>30</v>
      </c>
      <c r="S1040" s="6" t="s">
        <v>30</v>
      </c>
      <c r="T1040" s="11" t="s">
        <v>30</v>
      </c>
      <c r="U1040" s="6" t="s">
        <v>30</v>
      </c>
      <c r="V1040" s="6" t="s">
        <v>30</v>
      </c>
      <c r="W1040" s="6" t="s">
        <v>30</v>
      </c>
      <c r="X1040" s="2" t="s">
        <v>30</v>
      </c>
      <c r="Y1040" s="6" t="str">
        <f aca="false">IF(AND(X1040="processed",ISNUMBER(S1040)),S1040*O1040,"")</f>
        <v/>
      </c>
      <c r="Z1040" s="6" t="n">
        <f aca="false">IF(ISNUMBER(K1040),K1040*O1040,0)</f>
        <v>0</v>
      </c>
      <c r="AA1040" s="2" t="s">
        <v>31</v>
      </c>
      <c r="AB1040" s="6" t="n">
        <v>17837</v>
      </c>
      <c r="AC1040" s="6" t="n">
        <v>16471</v>
      </c>
      <c r="AD1040" s="6" t="n">
        <v>14003</v>
      </c>
      <c r="AE1040" s="6" t="n">
        <v>2272.03735351563</v>
      </c>
      <c r="AF1040" s="8" t="n">
        <v>369.237740827</v>
      </c>
      <c r="AG1040" s="11" t="n">
        <v>0.1138107265</v>
      </c>
      <c r="AH1040" s="12" t="n">
        <v>1</v>
      </c>
      <c r="AI1040" s="2" t="s">
        <v>317</v>
      </c>
      <c r="AJ1040" s="2" t="s">
        <v>2317</v>
      </c>
      <c r="AK1040" s="2" t="s">
        <v>2317</v>
      </c>
    </row>
    <row r="1041" customFormat="false" ht="15" hidden="false" customHeight="false" outlineLevel="0" collapsed="false">
      <c r="A1041" s="9"/>
      <c r="B1041" s="2" t="s">
        <v>2346</v>
      </c>
      <c r="C1041" s="2" t="s">
        <v>2317</v>
      </c>
      <c r="D1041" s="2" t="s">
        <v>455</v>
      </c>
      <c r="E1041" s="2" t="s">
        <v>456</v>
      </c>
      <c r="F1041" s="2" t="s">
        <v>2347</v>
      </c>
      <c r="G1041" s="2" t="s">
        <v>458</v>
      </c>
      <c r="H1041" s="8" t="n">
        <v>288.009278760665</v>
      </c>
      <c r="I1041" s="2" t="s">
        <v>316</v>
      </c>
      <c r="J1041" s="8" t="n">
        <v>591324.695121951</v>
      </c>
      <c r="K1041" s="6" t="n">
        <v>328</v>
      </c>
      <c r="L1041" s="2"/>
      <c r="M1041" s="10" t="b">
        <f aca="false">TRUE()</f>
        <v>1</v>
      </c>
      <c r="N1041" s="9" t="str">
        <f aca="false">IF(H1041="","",IF(H1041&gt;=Assumptions!$B$5,1,IF(H1041&gt;=Assumptions!$B$6,2,IF(H1041&gt;=Assumptions!$B$7,3,""))))</f>
        <v/>
      </c>
      <c r="O1041" s="9" t="n">
        <f aca="false">IF(N1041=1,Assumptions!$B$8,IF(N1041=2,Assumptions!$B$9,IF(N1041=3,Assumptions!$B$10,0)))</f>
        <v>0</v>
      </c>
      <c r="P1041" s="6" t="s">
        <v>30</v>
      </c>
      <c r="Q1041" s="6" t="s">
        <v>30</v>
      </c>
      <c r="R1041" s="11" t="s">
        <v>30</v>
      </c>
      <c r="S1041" s="6" t="s">
        <v>30</v>
      </c>
      <c r="T1041" s="11" t="s">
        <v>30</v>
      </c>
      <c r="U1041" s="6" t="s">
        <v>30</v>
      </c>
      <c r="V1041" s="6" t="s">
        <v>30</v>
      </c>
      <c r="W1041" s="6" t="s">
        <v>30</v>
      </c>
      <c r="X1041" s="2" t="s">
        <v>30</v>
      </c>
      <c r="Y1041" s="6" t="str">
        <f aca="false">IF(AND(X1041="processed",ISNUMBER(S1041)),S1041*O1041,"")</f>
        <v/>
      </c>
      <c r="Z1041" s="6" t="n">
        <f aca="false">IF(ISNUMBER(K1041),K1041*O1041,0)</f>
        <v>0</v>
      </c>
      <c r="AA1041" s="2" t="s">
        <v>31</v>
      </c>
      <c r="AB1041" s="6" t="n">
        <v>13492</v>
      </c>
      <c r="AC1041" s="6" t="n">
        <v>12262</v>
      </c>
      <c r="AD1041" s="6" t="n">
        <v>11634</v>
      </c>
      <c r="AE1041" s="6" t="n">
        <v>2551.111328125</v>
      </c>
      <c r="AF1041" s="8" t="n">
        <v>294.726361801</v>
      </c>
      <c r="AG1041" s="11" t="n">
        <v>-0.01147622476</v>
      </c>
      <c r="AH1041" s="12" t="n">
        <v>0.999999999999999</v>
      </c>
      <c r="AI1041" s="2" t="s">
        <v>317</v>
      </c>
      <c r="AJ1041" s="2" t="s">
        <v>2317</v>
      </c>
      <c r="AK1041" s="2" t="s">
        <v>2317</v>
      </c>
    </row>
    <row r="1042" customFormat="false" ht="15" hidden="false" customHeight="false" outlineLevel="0" collapsed="false">
      <c r="A1042" s="9"/>
      <c r="B1042" s="2" t="s">
        <v>2348</v>
      </c>
      <c r="C1042" s="2" t="s">
        <v>2317</v>
      </c>
      <c r="D1042" s="2" t="s">
        <v>455</v>
      </c>
      <c r="E1042" s="2" t="s">
        <v>456</v>
      </c>
      <c r="F1042" s="2"/>
      <c r="G1042" s="2" t="s">
        <v>458</v>
      </c>
      <c r="H1042" s="8" t="n">
        <v>324.876567431357</v>
      </c>
      <c r="I1042" s="2" t="s">
        <v>316</v>
      </c>
      <c r="J1042" s="8" t="n">
        <v>563645.994832041</v>
      </c>
      <c r="K1042" s="6" t="n">
        <v>387</v>
      </c>
      <c r="L1042" s="2"/>
      <c r="M1042" s="10" t="b">
        <f aca="false">TRUE()</f>
        <v>1</v>
      </c>
      <c r="N1042" s="9" t="str">
        <f aca="false">IF(H1042="","",IF(H1042&gt;=Assumptions!$B$5,1,IF(H1042&gt;=Assumptions!$B$6,2,IF(H1042&gt;=Assumptions!$B$7,3,""))))</f>
        <v/>
      </c>
      <c r="O1042" s="9" t="n">
        <f aca="false">IF(N1042=1,Assumptions!$B$8,IF(N1042=2,Assumptions!$B$9,IF(N1042=3,Assumptions!$B$10,0)))</f>
        <v>0</v>
      </c>
      <c r="P1042" s="6" t="s">
        <v>30</v>
      </c>
      <c r="Q1042" s="6" t="s">
        <v>30</v>
      </c>
      <c r="R1042" s="11" t="s">
        <v>30</v>
      </c>
      <c r="S1042" s="6" t="s">
        <v>30</v>
      </c>
      <c r="T1042" s="11" t="s">
        <v>30</v>
      </c>
      <c r="U1042" s="6" t="s">
        <v>30</v>
      </c>
      <c r="V1042" s="6" t="s">
        <v>30</v>
      </c>
      <c r="W1042" s="6" t="s">
        <v>30</v>
      </c>
      <c r="X1042" s="2" t="s">
        <v>30</v>
      </c>
      <c r="Y1042" s="6" t="str">
        <f aca="false">IF(AND(X1042="processed",ISNUMBER(S1042)),S1042*O1042,"")</f>
        <v/>
      </c>
      <c r="Z1042" s="6" t="n">
        <f aca="false">IF(ISNUMBER(K1042),K1042*O1042,0)</f>
        <v>0</v>
      </c>
      <c r="AA1042" s="2" t="s">
        <v>31</v>
      </c>
      <c r="AB1042" s="6" t="n">
        <v>15878</v>
      </c>
      <c r="AC1042" s="6" t="n">
        <v>14957</v>
      </c>
      <c r="AD1042" s="6" t="n">
        <v>12389</v>
      </c>
      <c r="AE1042" s="6" t="n">
        <v>2326.7978515625</v>
      </c>
      <c r="AF1042" s="8" t="n">
        <v>323.719835197</v>
      </c>
      <c r="AG1042" s="11" t="n">
        <v>0.005731526826</v>
      </c>
      <c r="AH1042" s="12" t="n">
        <v>1</v>
      </c>
      <c r="AI1042" s="2" t="s">
        <v>317</v>
      </c>
      <c r="AJ1042" s="2" t="s">
        <v>2317</v>
      </c>
      <c r="AK1042" s="2" t="s">
        <v>2317</v>
      </c>
    </row>
    <row r="1043" customFormat="false" ht="15" hidden="false" customHeight="false" outlineLevel="0" collapsed="false">
      <c r="A1043" s="9"/>
      <c r="B1043" s="2" t="s">
        <v>2349</v>
      </c>
      <c r="C1043" s="2" t="s">
        <v>2350</v>
      </c>
      <c r="D1043" s="2" t="s">
        <v>455</v>
      </c>
      <c r="E1043" s="2" t="s">
        <v>456</v>
      </c>
      <c r="F1043" s="2"/>
      <c r="G1043" s="2" t="s">
        <v>458</v>
      </c>
      <c r="H1043" s="8" t="n">
        <v>310.647792705188</v>
      </c>
      <c r="I1043" s="2" t="s">
        <v>316</v>
      </c>
      <c r="J1043" s="8" t="n">
        <v>643171.875</v>
      </c>
      <c r="K1043" s="6" t="n">
        <v>32</v>
      </c>
      <c r="L1043" s="2"/>
      <c r="M1043" s="10" t="b">
        <f aca="false">TRUE()</f>
        <v>1</v>
      </c>
      <c r="N1043" s="9" t="str">
        <f aca="false">IF(H1043="","",IF(H1043&gt;=Assumptions!$B$5,1,IF(H1043&gt;=Assumptions!$B$6,2,IF(H1043&gt;=Assumptions!$B$7,3,""))))</f>
        <v/>
      </c>
      <c r="O1043" s="9" t="n">
        <f aca="false">IF(N1043=1,Assumptions!$B$8,IF(N1043=2,Assumptions!$B$9,IF(N1043=3,Assumptions!$B$10,0)))</f>
        <v>0</v>
      </c>
      <c r="P1043" s="6" t="s">
        <v>30</v>
      </c>
      <c r="Q1043" s="6" t="s">
        <v>30</v>
      </c>
      <c r="R1043" s="11" t="s">
        <v>30</v>
      </c>
      <c r="S1043" s="6" t="s">
        <v>30</v>
      </c>
      <c r="T1043" s="11" t="s">
        <v>30</v>
      </c>
      <c r="U1043" s="6" t="s">
        <v>30</v>
      </c>
      <c r="V1043" s="6" t="s">
        <v>30</v>
      </c>
      <c r="W1043" s="6" t="s">
        <v>30</v>
      </c>
      <c r="X1043" s="2" t="s">
        <v>30</v>
      </c>
      <c r="Y1043" s="6" t="str">
        <f aca="false">IF(AND(X1043="processed",ISNUMBER(S1043)),S1043*O1043,"")</f>
        <v/>
      </c>
      <c r="Z1043" s="6" t="n">
        <f aca="false">IF(ISNUMBER(K1043),K1043*O1043,0)</f>
        <v>0</v>
      </c>
      <c r="AA1043" s="2" t="s">
        <v>31</v>
      </c>
      <c r="AB1043" s="6" t="n">
        <v>2224</v>
      </c>
      <c r="AC1043" s="6" t="n">
        <v>1779</v>
      </c>
      <c r="AD1043" s="6" t="n">
        <v>1806</v>
      </c>
      <c r="AE1043" s="6" t="n">
        <v>1702.54028320313</v>
      </c>
      <c r="AF1043" s="8" t="n">
        <v>244.015456989</v>
      </c>
      <c r="AG1043" s="11" t="n">
        <v>0.08955738935</v>
      </c>
      <c r="AH1043" s="12" t="n">
        <v>1</v>
      </c>
      <c r="AI1043" s="2" t="s">
        <v>317</v>
      </c>
      <c r="AJ1043" s="2" t="s">
        <v>2350</v>
      </c>
      <c r="AK1043" s="2" t="s">
        <v>454</v>
      </c>
    </row>
    <row r="1044" customFormat="false" ht="15" hidden="false" customHeight="false" outlineLevel="0" collapsed="false">
      <c r="A1044" s="9"/>
      <c r="B1044" s="2" t="s">
        <v>2351</v>
      </c>
      <c r="C1044" s="2" t="s">
        <v>2352</v>
      </c>
      <c r="D1044" s="2" t="s">
        <v>455</v>
      </c>
      <c r="E1044" s="2" t="s">
        <v>456</v>
      </c>
      <c r="F1044" s="2" t="s">
        <v>2353</v>
      </c>
      <c r="G1044" s="2" t="s">
        <v>458</v>
      </c>
      <c r="H1044" s="8" t="n">
        <v>322.387101580655</v>
      </c>
      <c r="I1044" s="2" t="s">
        <v>316</v>
      </c>
      <c r="J1044" s="8" t="n">
        <v>719158.798507463</v>
      </c>
      <c r="K1044" s="6" t="n">
        <v>670</v>
      </c>
      <c r="L1044" s="2"/>
      <c r="M1044" s="10" t="b">
        <f aca="false">TRUE()</f>
        <v>1</v>
      </c>
      <c r="N1044" s="9" t="str">
        <f aca="false">IF(H1044="","",IF(H1044&gt;=Assumptions!$B$5,1,IF(H1044&gt;=Assumptions!$B$6,2,IF(H1044&gt;=Assumptions!$B$7,3,""))))</f>
        <v/>
      </c>
      <c r="O1044" s="9" t="n">
        <f aca="false">IF(N1044=1,Assumptions!$B$8,IF(N1044=2,Assumptions!$B$9,IF(N1044=3,Assumptions!$B$10,0)))</f>
        <v>0</v>
      </c>
      <c r="P1044" s="6" t="s">
        <v>30</v>
      </c>
      <c r="Q1044" s="6" t="s">
        <v>30</v>
      </c>
      <c r="R1044" s="11" t="s">
        <v>30</v>
      </c>
      <c r="S1044" s="6" t="s">
        <v>30</v>
      </c>
      <c r="T1044" s="11" t="s">
        <v>30</v>
      </c>
      <c r="U1044" s="6" t="s">
        <v>30</v>
      </c>
      <c r="V1044" s="6" t="s">
        <v>30</v>
      </c>
      <c r="W1044" s="6" t="s">
        <v>30</v>
      </c>
      <c r="X1044" s="2" t="s">
        <v>30</v>
      </c>
      <c r="Y1044" s="6" t="str">
        <f aca="false">IF(AND(X1044="processed",ISNUMBER(S1044)),S1044*O1044,"")</f>
        <v/>
      </c>
      <c r="Z1044" s="6" t="n">
        <f aca="false">IF(ISNUMBER(K1044),K1044*O1044,0)</f>
        <v>0</v>
      </c>
      <c r="AA1044" s="2" t="s">
        <v>31</v>
      </c>
      <c r="AB1044" s="6" t="n">
        <v>22191</v>
      </c>
      <c r="AC1044" s="6" t="n">
        <v>19327</v>
      </c>
      <c r="AD1044" s="6" t="n">
        <v>17505</v>
      </c>
      <c r="AE1044" s="6" t="n">
        <v>2524.67138671875</v>
      </c>
      <c r="AF1044" s="8" t="n">
        <v>327.272331544</v>
      </c>
      <c r="AG1044" s="11" t="n">
        <v>-0.002448758659</v>
      </c>
      <c r="AH1044" s="12" t="n">
        <v>0.997878226193723</v>
      </c>
      <c r="AI1044" s="2" t="s">
        <v>317</v>
      </c>
      <c r="AJ1044" s="2" t="s">
        <v>2352</v>
      </c>
      <c r="AK1044" s="2" t="s">
        <v>2352</v>
      </c>
    </row>
    <row r="1045" customFormat="false" ht="15" hidden="false" customHeight="false" outlineLevel="0" collapsed="false">
      <c r="A1045" s="9"/>
      <c r="B1045" s="2" t="s">
        <v>2354</v>
      </c>
      <c r="C1045" s="2" t="s">
        <v>2352</v>
      </c>
      <c r="D1045" s="2" t="s">
        <v>455</v>
      </c>
      <c r="E1045" s="2" t="s">
        <v>456</v>
      </c>
      <c r="F1045" s="2" t="s">
        <v>2355</v>
      </c>
      <c r="G1045" s="2" t="s">
        <v>458</v>
      </c>
      <c r="H1045" s="8" t="n">
        <v>283.9756973205</v>
      </c>
      <c r="I1045" s="2" t="s">
        <v>316</v>
      </c>
      <c r="J1045" s="8" t="n">
        <v>706283.216783217</v>
      </c>
      <c r="K1045" s="6" t="n">
        <v>572</v>
      </c>
      <c r="L1045" s="2"/>
      <c r="M1045" s="10" t="b">
        <f aca="false">TRUE()</f>
        <v>1</v>
      </c>
      <c r="N1045" s="9" t="str">
        <f aca="false">IF(H1045="","",IF(H1045&gt;=Assumptions!$B$5,1,IF(H1045&gt;=Assumptions!$B$6,2,IF(H1045&gt;=Assumptions!$B$7,3,""))))</f>
        <v/>
      </c>
      <c r="O1045" s="9" t="n">
        <f aca="false">IF(N1045=1,Assumptions!$B$8,IF(N1045=2,Assumptions!$B$9,IF(N1045=3,Assumptions!$B$10,0)))</f>
        <v>0</v>
      </c>
      <c r="P1045" s="6" t="s">
        <v>30</v>
      </c>
      <c r="Q1045" s="6" t="s">
        <v>30</v>
      </c>
      <c r="R1045" s="11" t="s">
        <v>30</v>
      </c>
      <c r="S1045" s="6" t="s">
        <v>30</v>
      </c>
      <c r="T1045" s="11" t="s">
        <v>30</v>
      </c>
      <c r="U1045" s="6" t="s">
        <v>30</v>
      </c>
      <c r="V1045" s="6" t="s">
        <v>30</v>
      </c>
      <c r="W1045" s="6" t="s">
        <v>30</v>
      </c>
      <c r="X1045" s="2" t="s">
        <v>30</v>
      </c>
      <c r="Y1045" s="6" t="str">
        <f aca="false">IF(AND(X1045="processed",ISNUMBER(S1045)),S1045*O1045,"")</f>
        <v/>
      </c>
      <c r="Z1045" s="6" t="n">
        <f aca="false">IF(ISNUMBER(K1045),K1045*O1045,0)</f>
        <v>0</v>
      </c>
      <c r="AA1045" s="2" t="s">
        <v>31</v>
      </c>
      <c r="AB1045" s="6" t="n">
        <v>19670</v>
      </c>
      <c r="AC1045" s="6" t="n">
        <v>18431</v>
      </c>
      <c r="AD1045" s="6" t="n">
        <v>18157</v>
      </c>
      <c r="AE1045" s="6" t="n">
        <v>2522.92138671875</v>
      </c>
      <c r="AF1045" s="8" t="n">
        <v>283.253037285</v>
      </c>
      <c r="AG1045" s="11" t="n">
        <v>-0.001596103836</v>
      </c>
      <c r="AH1045" s="12" t="n">
        <v>1</v>
      </c>
      <c r="AI1045" s="2" t="s">
        <v>317</v>
      </c>
      <c r="AJ1045" s="2" t="s">
        <v>2352</v>
      </c>
      <c r="AK1045" s="2" t="s">
        <v>2352</v>
      </c>
    </row>
    <row r="1046" customFormat="false" ht="15" hidden="false" customHeight="false" outlineLevel="0" collapsed="false">
      <c r="A1046" s="9"/>
      <c r="B1046" s="2" t="s">
        <v>2356</v>
      </c>
      <c r="C1046" s="2"/>
      <c r="D1046" s="2" t="s">
        <v>1190</v>
      </c>
      <c r="E1046" s="2" t="s">
        <v>1191</v>
      </c>
      <c r="F1046" s="2"/>
      <c r="G1046" s="2" t="s">
        <v>458</v>
      </c>
      <c r="H1046" s="8" t="n">
        <v>254.359279942833</v>
      </c>
      <c r="I1046" s="2" t="s">
        <v>316</v>
      </c>
      <c r="J1046" s="8" t="n">
        <v>837333.333333333</v>
      </c>
      <c r="K1046" s="6" t="n">
        <v>6</v>
      </c>
      <c r="L1046" s="2"/>
      <c r="M1046" s="10" t="b">
        <f aca="false">FALSE()</f>
        <v>0</v>
      </c>
      <c r="N1046" s="9" t="str">
        <f aca="false">IF(H1046="","",IF(H1046&gt;=Assumptions!$B$5,1,IF(H1046&gt;=Assumptions!$B$6,2,IF(H1046&gt;=Assumptions!$B$7,3,""))))</f>
        <v/>
      </c>
      <c r="O1046" s="9" t="n">
        <f aca="false">IF(N1046=1,Assumptions!$B$8,IF(N1046=2,Assumptions!$B$9,IF(N1046=3,Assumptions!$B$10,0)))</f>
        <v>0</v>
      </c>
      <c r="P1046" s="6" t="s">
        <v>30</v>
      </c>
      <c r="Q1046" s="6" t="s">
        <v>30</v>
      </c>
      <c r="R1046" s="11" t="s">
        <v>30</v>
      </c>
      <c r="S1046" s="6" t="s">
        <v>30</v>
      </c>
      <c r="T1046" s="11" t="s">
        <v>30</v>
      </c>
      <c r="U1046" s="6" t="s">
        <v>30</v>
      </c>
      <c r="V1046" s="6" t="s">
        <v>30</v>
      </c>
      <c r="W1046" s="6" t="s">
        <v>30</v>
      </c>
      <c r="X1046" s="2" t="s">
        <v>30</v>
      </c>
      <c r="Y1046" s="6" t="str">
        <f aca="false">IF(AND(X1046="processed",ISNUMBER(S1046)),S1046*O1046,"")</f>
        <v/>
      </c>
      <c r="Z1046" s="6" t="n">
        <f aca="false">IF(ISNUMBER(K1046),K1046*O1046,0)</f>
        <v>0</v>
      </c>
      <c r="AA1046" s="2" t="s">
        <v>31</v>
      </c>
      <c r="AB1046" s="6"/>
      <c r="AC1046" s="6"/>
      <c r="AD1046" s="6"/>
      <c r="AE1046" s="6"/>
      <c r="AF1046" s="8" t="n">
        <v>236.439499305</v>
      </c>
      <c r="AG1046" s="11" t="n">
        <v>-0.01258103837</v>
      </c>
      <c r="AH1046" s="12"/>
      <c r="AI1046" s="2"/>
      <c r="AJ1046" s="2"/>
      <c r="AK1046" s="2"/>
    </row>
    <row r="1047" customFormat="false" ht="15" hidden="false" customHeight="false" outlineLevel="0" collapsed="false">
      <c r="A1047" s="9"/>
      <c r="B1047" s="2" t="s">
        <v>2357</v>
      </c>
      <c r="C1047" s="2" t="s">
        <v>2358</v>
      </c>
      <c r="D1047" s="2" t="s">
        <v>455</v>
      </c>
      <c r="E1047" s="2" t="s">
        <v>456</v>
      </c>
      <c r="F1047" s="2" t="s">
        <v>2359</v>
      </c>
      <c r="G1047" s="2" t="s">
        <v>458</v>
      </c>
      <c r="H1047" s="8" t="n">
        <v>296.429855739562</v>
      </c>
      <c r="I1047" s="2" t="s">
        <v>316</v>
      </c>
      <c r="J1047" s="8" t="n">
        <v>581369.863013699</v>
      </c>
      <c r="K1047" s="6" t="n">
        <v>73</v>
      </c>
      <c r="L1047" s="2"/>
      <c r="M1047" s="10" t="b">
        <f aca="false">TRUE()</f>
        <v>1</v>
      </c>
      <c r="N1047" s="9" t="str">
        <f aca="false">IF(H1047="","",IF(H1047&gt;=Assumptions!$B$5,1,IF(H1047&gt;=Assumptions!$B$6,2,IF(H1047&gt;=Assumptions!$B$7,3,""))))</f>
        <v/>
      </c>
      <c r="O1047" s="9" t="n">
        <f aca="false">IF(N1047=1,Assumptions!$B$8,IF(N1047=2,Assumptions!$B$9,IF(N1047=3,Assumptions!$B$10,0)))</f>
        <v>0</v>
      </c>
      <c r="P1047" s="6" t="s">
        <v>30</v>
      </c>
      <c r="Q1047" s="6" t="s">
        <v>30</v>
      </c>
      <c r="R1047" s="11" t="s">
        <v>30</v>
      </c>
      <c r="S1047" s="6" t="s">
        <v>30</v>
      </c>
      <c r="T1047" s="11" t="s">
        <v>30</v>
      </c>
      <c r="U1047" s="6" t="s">
        <v>30</v>
      </c>
      <c r="V1047" s="6" t="s">
        <v>30</v>
      </c>
      <c r="W1047" s="6" t="s">
        <v>30</v>
      </c>
      <c r="X1047" s="2" t="s">
        <v>30</v>
      </c>
      <c r="Y1047" s="6" t="str">
        <f aca="false">IF(AND(X1047="processed",ISNUMBER(S1047)),S1047*O1047,"")</f>
        <v/>
      </c>
      <c r="Z1047" s="6" t="n">
        <f aca="false">IF(ISNUMBER(K1047),K1047*O1047,0)</f>
        <v>0</v>
      </c>
      <c r="AA1047" s="2" t="s">
        <v>31</v>
      </c>
      <c r="AB1047" s="6" t="n">
        <v>5422</v>
      </c>
      <c r="AC1047" s="6" t="n">
        <v>4815</v>
      </c>
      <c r="AD1047" s="6" t="n">
        <v>4585</v>
      </c>
      <c r="AE1047" s="6" t="n">
        <v>2275.2734375</v>
      </c>
      <c r="AF1047" s="8" t="n">
        <v>295.326142784</v>
      </c>
      <c r="AG1047" s="11" t="n">
        <v>-0.08874550558</v>
      </c>
      <c r="AH1047" s="12" t="n">
        <v>0.999999999999999</v>
      </c>
      <c r="AI1047" s="2" t="s">
        <v>317</v>
      </c>
      <c r="AJ1047" s="2" t="s">
        <v>2358</v>
      </c>
      <c r="AK1047" s="2" t="s">
        <v>2360</v>
      </c>
    </row>
    <row r="1048" customFormat="false" ht="15" hidden="false" customHeight="false" outlineLevel="0" collapsed="false">
      <c r="A1048" s="9"/>
      <c r="B1048" s="2" t="s">
        <v>2361</v>
      </c>
      <c r="C1048" s="2" t="s">
        <v>2362</v>
      </c>
      <c r="D1048" s="2" t="s">
        <v>455</v>
      </c>
      <c r="E1048" s="2" t="s">
        <v>456</v>
      </c>
      <c r="F1048" s="2" t="s">
        <v>2363</v>
      </c>
      <c r="G1048" s="2" t="s">
        <v>458</v>
      </c>
      <c r="H1048" s="8" t="n">
        <v>305.748091643724</v>
      </c>
      <c r="I1048" s="2" t="s">
        <v>316</v>
      </c>
      <c r="J1048" s="8" t="n">
        <v>616770.535433071</v>
      </c>
      <c r="K1048" s="6" t="n">
        <v>254</v>
      </c>
      <c r="L1048" s="2"/>
      <c r="M1048" s="10" t="b">
        <f aca="false">TRUE()</f>
        <v>1</v>
      </c>
      <c r="N1048" s="9" t="str">
        <f aca="false">IF(H1048="","",IF(H1048&gt;=Assumptions!$B$5,1,IF(H1048&gt;=Assumptions!$B$6,2,IF(H1048&gt;=Assumptions!$B$7,3,""))))</f>
        <v/>
      </c>
      <c r="O1048" s="9" t="n">
        <f aca="false">IF(N1048=1,Assumptions!$B$8,IF(N1048=2,Assumptions!$B$9,IF(N1048=3,Assumptions!$B$10,0)))</f>
        <v>0</v>
      </c>
      <c r="P1048" s="6" t="s">
        <v>30</v>
      </c>
      <c r="Q1048" s="6" t="s">
        <v>30</v>
      </c>
      <c r="R1048" s="11" t="s">
        <v>30</v>
      </c>
      <c r="S1048" s="6" t="s">
        <v>30</v>
      </c>
      <c r="T1048" s="11" t="s">
        <v>30</v>
      </c>
      <c r="U1048" s="6" t="s">
        <v>30</v>
      </c>
      <c r="V1048" s="6" t="s">
        <v>30</v>
      </c>
      <c r="W1048" s="6" t="s">
        <v>30</v>
      </c>
      <c r="X1048" s="2" t="s">
        <v>30</v>
      </c>
      <c r="Y1048" s="6" t="str">
        <f aca="false">IF(AND(X1048="processed",ISNUMBER(S1048)),S1048*O1048,"")</f>
        <v/>
      </c>
      <c r="Z1048" s="6" t="n">
        <f aca="false">IF(ISNUMBER(K1048),K1048*O1048,0)</f>
        <v>0</v>
      </c>
      <c r="AA1048" s="2" t="s">
        <v>31</v>
      </c>
      <c r="AB1048" s="6" t="n">
        <v>24586</v>
      </c>
      <c r="AC1048" s="6" t="n">
        <v>21138</v>
      </c>
      <c r="AD1048" s="6" t="n">
        <v>14554</v>
      </c>
      <c r="AE1048" s="6" t="n">
        <v>2028.47998046875</v>
      </c>
      <c r="AF1048" s="8" t="n">
        <v>318.745256767</v>
      </c>
      <c r="AG1048" s="11" t="n">
        <v>0.02488705502</v>
      </c>
      <c r="AH1048" s="12" t="n">
        <v>1</v>
      </c>
      <c r="AI1048" s="2" t="s">
        <v>317</v>
      </c>
      <c r="AJ1048" s="2" t="s">
        <v>2362</v>
      </c>
      <c r="AK1048" s="2" t="s">
        <v>2362</v>
      </c>
    </row>
    <row r="1049" customFormat="false" ht="15" hidden="false" customHeight="false" outlineLevel="0" collapsed="false">
      <c r="A1049" s="9"/>
      <c r="B1049" s="2" t="s">
        <v>2364</v>
      </c>
      <c r="C1049" s="2" t="s">
        <v>2362</v>
      </c>
      <c r="D1049" s="2" t="s">
        <v>455</v>
      </c>
      <c r="E1049" s="2" t="s">
        <v>456</v>
      </c>
      <c r="F1049" s="2" t="s">
        <v>2365</v>
      </c>
      <c r="G1049" s="2" t="s">
        <v>458</v>
      </c>
      <c r="H1049" s="8" t="n">
        <v>276.930731595625</v>
      </c>
      <c r="I1049" s="2" t="s">
        <v>316</v>
      </c>
      <c r="J1049" s="8" t="n">
        <v>559912.10817942</v>
      </c>
      <c r="K1049" s="6" t="n">
        <v>379</v>
      </c>
      <c r="L1049" s="2"/>
      <c r="M1049" s="10" t="b">
        <f aca="false">TRUE()</f>
        <v>1</v>
      </c>
      <c r="N1049" s="9" t="str">
        <f aca="false">IF(H1049="","",IF(H1049&gt;=Assumptions!$B$5,1,IF(H1049&gt;=Assumptions!$B$6,2,IF(H1049&gt;=Assumptions!$B$7,3,""))))</f>
        <v/>
      </c>
      <c r="O1049" s="9" t="n">
        <f aca="false">IF(N1049=1,Assumptions!$B$8,IF(N1049=2,Assumptions!$B$9,IF(N1049=3,Assumptions!$B$10,0)))</f>
        <v>0</v>
      </c>
      <c r="P1049" s="6" t="s">
        <v>30</v>
      </c>
      <c r="Q1049" s="6" t="s">
        <v>30</v>
      </c>
      <c r="R1049" s="11" t="s">
        <v>30</v>
      </c>
      <c r="S1049" s="6" t="s">
        <v>30</v>
      </c>
      <c r="T1049" s="11" t="s">
        <v>30</v>
      </c>
      <c r="U1049" s="6" t="s">
        <v>30</v>
      </c>
      <c r="V1049" s="6" t="s">
        <v>30</v>
      </c>
      <c r="W1049" s="6" t="s">
        <v>30</v>
      </c>
      <c r="X1049" s="2" t="s">
        <v>30</v>
      </c>
      <c r="Y1049" s="6" t="str">
        <f aca="false">IF(AND(X1049="processed",ISNUMBER(S1049)),S1049*O1049,"")</f>
        <v/>
      </c>
      <c r="Z1049" s="6" t="n">
        <f aca="false">IF(ISNUMBER(K1049),K1049*O1049,0)</f>
        <v>0</v>
      </c>
      <c r="AA1049" s="2" t="s">
        <v>31</v>
      </c>
      <c r="AB1049" s="6" t="n">
        <v>15667</v>
      </c>
      <c r="AC1049" s="6" t="n">
        <v>14547</v>
      </c>
      <c r="AD1049" s="6" t="n">
        <v>10129</v>
      </c>
      <c r="AE1049" s="6" t="n">
        <v>2095.91650390625</v>
      </c>
      <c r="AF1049" s="8" t="n">
        <v>276.249808487</v>
      </c>
      <c r="AG1049" s="11" t="n">
        <v>-0.0118708462</v>
      </c>
      <c r="AH1049" s="12" t="n">
        <v>0.999999999999999</v>
      </c>
      <c r="AI1049" s="2" t="s">
        <v>317</v>
      </c>
      <c r="AJ1049" s="2" t="s">
        <v>2362</v>
      </c>
      <c r="AK1049" s="2" t="s">
        <v>2362</v>
      </c>
    </row>
    <row r="1050" customFormat="false" ht="15" hidden="false" customHeight="false" outlineLevel="0" collapsed="false">
      <c r="A1050" s="9"/>
      <c r="B1050" s="2" t="s">
        <v>2366</v>
      </c>
      <c r="C1050" s="2" t="s">
        <v>2360</v>
      </c>
      <c r="D1050" s="2" t="s">
        <v>455</v>
      </c>
      <c r="E1050" s="2" t="s">
        <v>456</v>
      </c>
      <c r="F1050" s="2" t="s">
        <v>2367</v>
      </c>
      <c r="G1050" s="2" t="s">
        <v>458</v>
      </c>
      <c r="H1050" s="8" t="n">
        <v>261.116243554897</v>
      </c>
      <c r="I1050" s="2" t="s">
        <v>316</v>
      </c>
      <c r="J1050" s="8" t="n">
        <v>526017.231034483</v>
      </c>
      <c r="K1050" s="6" t="n">
        <v>290</v>
      </c>
      <c r="L1050" s="2"/>
      <c r="M1050" s="10" t="b">
        <f aca="false">TRUE()</f>
        <v>1</v>
      </c>
      <c r="N1050" s="9" t="str">
        <f aca="false">IF(H1050="","",IF(H1050&gt;=Assumptions!$B$5,1,IF(H1050&gt;=Assumptions!$B$6,2,IF(H1050&gt;=Assumptions!$B$7,3,""))))</f>
        <v/>
      </c>
      <c r="O1050" s="9" t="n">
        <f aca="false">IF(N1050=1,Assumptions!$B$8,IF(N1050=2,Assumptions!$B$9,IF(N1050=3,Assumptions!$B$10,0)))</f>
        <v>0</v>
      </c>
      <c r="P1050" s="6" t="s">
        <v>30</v>
      </c>
      <c r="Q1050" s="6" t="s">
        <v>30</v>
      </c>
      <c r="R1050" s="11" t="s">
        <v>30</v>
      </c>
      <c r="S1050" s="6" t="s">
        <v>30</v>
      </c>
      <c r="T1050" s="11" t="s">
        <v>30</v>
      </c>
      <c r="U1050" s="6" t="s">
        <v>30</v>
      </c>
      <c r="V1050" s="6" t="s">
        <v>30</v>
      </c>
      <c r="W1050" s="6" t="s">
        <v>30</v>
      </c>
      <c r="X1050" s="2" t="s">
        <v>30</v>
      </c>
      <c r="Y1050" s="6" t="str">
        <f aca="false">IF(AND(X1050="processed",ISNUMBER(S1050)),S1050*O1050,"")</f>
        <v/>
      </c>
      <c r="Z1050" s="6" t="n">
        <f aca="false">IF(ISNUMBER(K1050),K1050*O1050,0)</f>
        <v>0</v>
      </c>
      <c r="AA1050" s="2" t="s">
        <v>31</v>
      </c>
      <c r="AB1050" s="6" t="n">
        <v>7420</v>
      </c>
      <c r="AC1050" s="6" t="n">
        <v>6854</v>
      </c>
      <c r="AD1050" s="6" t="n">
        <v>2910</v>
      </c>
      <c r="AE1050" s="6" t="n">
        <v>2556.5947265625</v>
      </c>
      <c r="AF1050" s="8" t="n">
        <v>267.567567568</v>
      </c>
      <c r="AG1050" s="11" t="n">
        <v>0.04083735215</v>
      </c>
      <c r="AH1050" s="12" t="n">
        <v>0.999999999999999</v>
      </c>
      <c r="AI1050" s="2" t="s">
        <v>317</v>
      </c>
      <c r="AJ1050" s="2" t="s">
        <v>2360</v>
      </c>
      <c r="AK1050" s="2" t="s">
        <v>2360</v>
      </c>
    </row>
    <row r="1051" customFormat="false" ht="15" hidden="false" customHeight="false" outlineLevel="0" collapsed="false">
      <c r="A1051" s="9"/>
      <c r="B1051" s="2" t="s">
        <v>2368</v>
      </c>
      <c r="C1051" s="2" t="s">
        <v>2360</v>
      </c>
      <c r="D1051" s="2" t="s">
        <v>455</v>
      </c>
      <c r="E1051" s="2" t="s">
        <v>456</v>
      </c>
      <c r="F1051" s="2" t="s">
        <v>2369</v>
      </c>
      <c r="G1051" s="2" t="s">
        <v>458</v>
      </c>
      <c r="H1051" s="8" t="n">
        <v>272.071008062034</v>
      </c>
      <c r="I1051" s="2" t="s">
        <v>316</v>
      </c>
      <c r="J1051" s="8" t="n">
        <v>469391.260504202</v>
      </c>
      <c r="K1051" s="6" t="n">
        <v>238</v>
      </c>
      <c r="L1051" s="2"/>
      <c r="M1051" s="10" t="b">
        <f aca="false">TRUE()</f>
        <v>1</v>
      </c>
      <c r="N1051" s="9" t="str">
        <f aca="false">IF(H1051="","",IF(H1051&gt;=Assumptions!$B$5,1,IF(H1051&gt;=Assumptions!$B$6,2,IF(H1051&gt;=Assumptions!$B$7,3,""))))</f>
        <v/>
      </c>
      <c r="O1051" s="9" t="n">
        <f aca="false">IF(N1051=1,Assumptions!$B$8,IF(N1051=2,Assumptions!$B$9,IF(N1051=3,Assumptions!$B$10,0)))</f>
        <v>0</v>
      </c>
      <c r="P1051" s="6" t="s">
        <v>30</v>
      </c>
      <c r="Q1051" s="6" t="s">
        <v>30</v>
      </c>
      <c r="R1051" s="11" t="s">
        <v>30</v>
      </c>
      <c r="S1051" s="6" t="s">
        <v>30</v>
      </c>
      <c r="T1051" s="11" t="s">
        <v>30</v>
      </c>
      <c r="U1051" s="6" t="s">
        <v>30</v>
      </c>
      <c r="V1051" s="6" t="s">
        <v>30</v>
      </c>
      <c r="W1051" s="6" t="s">
        <v>30</v>
      </c>
      <c r="X1051" s="2" t="s">
        <v>30</v>
      </c>
      <c r="Y1051" s="6" t="str">
        <f aca="false">IF(AND(X1051="processed",ISNUMBER(S1051)),S1051*O1051,"")</f>
        <v/>
      </c>
      <c r="Z1051" s="6" t="n">
        <f aca="false">IF(ISNUMBER(K1051),K1051*O1051,0)</f>
        <v>0</v>
      </c>
      <c r="AA1051" s="2" t="s">
        <v>31</v>
      </c>
      <c r="AB1051" s="6" t="n">
        <v>11943</v>
      </c>
      <c r="AC1051" s="6" t="n">
        <v>10988</v>
      </c>
      <c r="AD1051" s="6" t="n">
        <v>8872</v>
      </c>
      <c r="AE1051" s="6" t="n">
        <v>2246.8525390625</v>
      </c>
      <c r="AF1051" s="8" t="n">
        <v>280.664633142</v>
      </c>
      <c r="AG1051" s="11" t="n">
        <v>0.0763352436</v>
      </c>
      <c r="AH1051" s="12" t="n">
        <v>1</v>
      </c>
      <c r="AI1051" s="2" t="s">
        <v>317</v>
      </c>
      <c r="AJ1051" s="2" t="s">
        <v>2360</v>
      </c>
      <c r="AK1051" s="2" t="s">
        <v>2360</v>
      </c>
    </row>
    <row r="1052" customFormat="false" ht="15" hidden="false" customHeight="false" outlineLevel="0" collapsed="false">
      <c r="A1052" s="9"/>
      <c r="B1052" s="2" t="s">
        <v>2370</v>
      </c>
      <c r="C1052" s="2" t="s">
        <v>2371</v>
      </c>
      <c r="D1052" s="2" t="s">
        <v>455</v>
      </c>
      <c r="E1052" s="2" t="s">
        <v>456</v>
      </c>
      <c r="F1052" s="2" t="s">
        <v>2372</v>
      </c>
      <c r="G1052" s="2" t="s">
        <v>458</v>
      </c>
      <c r="H1052" s="8" t="n">
        <v>276.704784052061</v>
      </c>
      <c r="I1052" s="2" t="s">
        <v>316</v>
      </c>
      <c r="J1052" s="8" t="n">
        <v>628589.57615894</v>
      </c>
      <c r="K1052" s="6" t="n">
        <v>755</v>
      </c>
      <c r="L1052" s="2"/>
      <c r="M1052" s="10" t="b">
        <f aca="false">TRUE()</f>
        <v>1</v>
      </c>
      <c r="N1052" s="9" t="str">
        <f aca="false">IF(H1052="","",IF(H1052&gt;=Assumptions!$B$5,1,IF(H1052&gt;=Assumptions!$B$6,2,IF(H1052&gt;=Assumptions!$B$7,3,""))))</f>
        <v/>
      </c>
      <c r="O1052" s="9" t="n">
        <f aca="false">IF(N1052=1,Assumptions!$B$8,IF(N1052=2,Assumptions!$B$9,IF(N1052=3,Assumptions!$B$10,0)))</f>
        <v>0</v>
      </c>
      <c r="P1052" s="6" t="s">
        <v>30</v>
      </c>
      <c r="Q1052" s="6" t="s">
        <v>30</v>
      </c>
      <c r="R1052" s="11" t="s">
        <v>30</v>
      </c>
      <c r="S1052" s="6" t="s">
        <v>30</v>
      </c>
      <c r="T1052" s="11" t="s">
        <v>30</v>
      </c>
      <c r="U1052" s="6" t="s">
        <v>30</v>
      </c>
      <c r="V1052" s="6" t="s">
        <v>30</v>
      </c>
      <c r="W1052" s="6" t="s">
        <v>30</v>
      </c>
      <c r="X1052" s="2" t="s">
        <v>30</v>
      </c>
      <c r="Y1052" s="6" t="str">
        <f aca="false">IF(AND(X1052="processed",ISNUMBER(S1052)),S1052*O1052,"")</f>
        <v/>
      </c>
      <c r="Z1052" s="6" t="n">
        <f aca="false">IF(ISNUMBER(K1052),K1052*O1052,0)</f>
        <v>0</v>
      </c>
      <c r="AA1052" s="2" t="s">
        <v>31</v>
      </c>
      <c r="AB1052" s="6" t="n">
        <v>22182</v>
      </c>
      <c r="AC1052" s="6" t="n">
        <v>20604</v>
      </c>
      <c r="AD1052" s="6" t="n">
        <v>9416</v>
      </c>
      <c r="AE1052" s="6" t="n">
        <v>2539.79760742188</v>
      </c>
      <c r="AF1052" s="8" t="n">
        <v>279.619530142</v>
      </c>
      <c r="AG1052" s="11" t="n">
        <v>-0.0327966225</v>
      </c>
      <c r="AH1052" s="12" t="n">
        <v>1</v>
      </c>
      <c r="AI1052" s="2" t="s">
        <v>350</v>
      </c>
      <c r="AJ1052" s="2" t="s">
        <v>2371</v>
      </c>
      <c r="AK1052" s="2" t="s">
        <v>2371</v>
      </c>
    </row>
    <row r="1053" customFormat="false" ht="15" hidden="false" customHeight="false" outlineLevel="0" collapsed="false">
      <c r="A1053" s="9"/>
      <c r="B1053" s="2" t="s">
        <v>2373</v>
      </c>
      <c r="C1053" s="2" t="s">
        <v>2371</v>
      </c>
      <c r="D1053" s="2" t="s">
        <v>455</v>
      </c>
      <c r="E1053" s="2" t="s">
        <v>456</v>
      </c>
      <c r="F1053" s="2" t="s">
        <v>2374</v>
      </c>
      <c r="G1053" s="2" t="s">
        <v>458</v>
      </c>
      <c r="H1053" s="8" t="n">
        <v>273.068723509478</v>
      </c>
      <c r="I1053" s="2" t="s">
        <v>316</v>
      </c>
      <c r="J1053" s="8" t="n">
        <v>589944.444444445</v>
      </c>
      <c r="K1053" s="6" t="n">
        <v>360</v>
      </c>
      <c r="L1053" s="2"/>
      <c r="M1053" s="10" t="b">
        <f aca="false">TRUE()</f>
        <v>1</v>
      </c>
      <c r="N1053" s="9" t="str">
        <f aca="false">IF(H1053="","",IF(H1053&gt;=Assumptions!$B$5,1,IF(H1053&gt;=Assumptions!$B$6,2,IF(H1053&gt;=Assumptions!$B$7,3,""))))</f>
        <v/>
      </c>
      <c r="O1053" s="9" t="n">
        <f aca="false">IF(N1053=1,Assumptions!$B$8,IF(N1053=2,Assumptions!$B$9,IF(N1053=3,Assumptions!$B$10,0)))</f>
        <v>0</v>
      </c>
      <c r="P1053" s="6" t="s">
        <v>30</v>
      </c>
      <c r="Q1053" s="6" t="s">
        <v>30</v>
      </c>
      <c r="R1053" s="11" t="s">
        <v>30</v>
      </c>
      <c r="S1053" s="6" t="s">
        <v>30</v>
      </c>
      <c r="T1053" s="11" t="s">
        <v>30</v>
      </c>
      <c r="U1053" s="6" t="s">
        <v>30</v>
      </c>
      <c r="V1053" s="6" t="s">
        <v>30</v>
      </c>
      <c r="W1053" s="6" t="s">
        <v>30</v>
      </c>
      <c r="X1053" s="2" t="s">
        <v>30</v>
      </c>
      <c r="Y1053" s="6" t="str">
        <f aca="false">IF(AND(X1053="processed",ISNUMBER(S1053)),S1053*O1053,"")</f>
        <v/>
      </c>
      <c r="Z1053" s="6" t="n">
        <f aca="false">IF(ISNUMBER(K1053),K1053*O1053,0)</f>
        <v>0</v>
      </c>
      <c r="AA1053" s="2" t="s">
        <v>31</v>
      </c>
      <c r="AB1053" s="6" t="n">
        <v>11080</v>
      </c>
      <c r="AC1053" s="6" t="n">
        <v>10218</v>
      </c>
      <c r="AD1053" s="6" t="n">
        <v>6710</v>
      </c>
      <c r="AE1053" s="6" t="n">
        <v>2504.38745117188</v>
      </c>
      <c r="AF1053" s="8" t="n">
        <v>280.344835729</v>
      </c>
      <c r="AG1053" s="11" t="n">
        <v>-0.02134101757</v>
      </c>
      <c r="AH1053" s="12" t="n">
        <v>1</v>
      </c>
      <c r="AI1053" s="2" t="s">
        <v>335</v>
      </c>
      <c r="AJ1053" s="2" t="s">
        <v>2371</v>
      </c>
      <c r="AK1053" s="2" t="s">
        <v>2371</v>
      </c>
    </row>
    <row r="1054" customFormat="false" ht="15" hidden="false" customHeight="false" outlineLevel="0" collapsed="false">
      <c r="A1054" s="9"/>
      <c r="B1054" s="2" t="s">
        <v>2375</v>
      </c>
      <c r="C1054" s="2" t="s">
        <v>2371</v>
      </c>
      <c r="D1054" s="2" t="s">
        <v>455</v>
      </c>
      <c r="E1054" s="2" t="s">
        <v>456</v>
      </c>
      <c r="F1054" s="2" t="s">
        <v>2376</v>
      </c>
      <c r="G1054" s="2" t="s">
        <v>458</v>
      </c>
      <c r="H1054" s="8" t="n">
        <v>292.351377694019</v>
      </c>
      <c r="I1054" s="2" t="s">
        <v>316</v>
      </c>
      <c r="J1054" s="8" t="n">
        <v>401739.077669903</v>
      </c>
      <c r="K1054" s="6" t="n">
        <v>412</v>
      </c>
      <c r="L1054" s="2"/>
      <c r="M1054" s="10" t="b">
        <f aca="false">TRUE()</f>
        <v>1</v>
      </c>
      <c r="N1054" s="9" t="str">
        <f aca="false">IF(H1054="","",IF(H1054&gt;=Assumptions!$B$5,1,IF(H1054&gt;=Assumptions!$B$6,2,IF(H1054&gt;=Assumptions!$B$7,3,""))))</f>
        <v/>
      </c>
      <c r="O1054" s="9" t="n">
        <f aca="false">IF(N1054=1,Assumptions!$B$8,IF(N1054=2,Assumptions!$B$9,IF(N1054=3,Assumptions!$B$10,0)))</f>
        <v>0</v>
      </c>
      <c r="P1054" s="6" t="s">
        <v>30</v>
      </c>
      <c r="Q1054" s="6" t="s">
        <v>30</v>
      </c>
      <c r="R1054" s="11" t="s">
        <v>30</v>
      </c>
      <c r="S1054" s="6" t="s">
        <v>30</v>
      </c>
      <c r="T1054" s="11" t="s">
        <v>30</v>
      </c>
      <c r="U1054" s="6" t="s">
        <v>30</v>
      </c>
      <c r="V1054" s="6" t="s">
        <v>30</v>
      </c>
      <c r="W1054" s="6" t="s">
        <v>30</v>
      </c>
      <c r="X1054" s="2" t="s">
        <v>30</v>
      </c>
      <c r="Y1054" s="6" t="str">
        <f aca="false">IF(AND(X1054="processed",ISNUMBER(S1054)),S1054*O1054,"")</f>
        <v/>
      </c>
      <c r="Z1054" s="6" t="n">
        <f aca="false">IF(ISNUMBER(K1054),K1054*O1054,0)</f>
        <v>0</v>
      </c>
      <c r="AA1054" s="2" t="s">
        <v>31</v>
      </c>
      <c r="AB1054" s="6" t="n">
        <v>10334</v>
      </c>
      <c r="AC1054" s="6" t="n">
        <v>9832</v>
      </c>
      <c r="AD1054" s="6" t="n">
        <v>2364</v>
      </c>
      <c r="AE1054" s="6" t="n">
        <v>2565.3173828125</v>
      </c>
      <c r="AF1054" s="8" t="n">
        <v>294.520547945</v>
      </c>
      <c r="AG1054" s="11" t="n">
        <v>0.00532130773</v>
      </c>
      <c r="AH1054" s="12" t="n">
        <v>1</v>
      </c>
      <c r="AI1054" s="2" t="s">
        <v>347</v>
      </c>
      <c r="AJ1054" s="2" t="s">
        <v>2371</v>
      </c>
      <c r="AK1054" s="2" t="s">
        <v>2371</v>
      </c>
    </row>
    <row r="1055" customFormat="false" ht="15" hidden="false" customHeight="false" outlineLevel="0" collapsed="false">
      <c r="A1055" s="9"/>
      <c r="B1055" s="2" t="s">
        <v>2377</v>
      </c>
      <c r="C1055" s="2" t="s">
        <v>2378</v>
      </c>
      <c r="D1055" s="2" t="s">
        <v>455</v>
      </c>
      <c r="E1055" s="2" t="s">
        <v>456</v>
      </c>
      <c r="F1055" s="2" t="s">
        <v>2379</v>
      </c>
      <c r="G1055" s="2" t="s">
        <v>458</v>
      </c>
      <c r="H1055" s="8" t="n">
        <v>350.036757961975</v>
      </c>
      <c r="I1055" s="2" t="s">
        <v>316</v>
      </c>
      <c r="J1055" s="8" t="n">
        <v>682092.050209205</v>
      </c>
      <c r="K1055" s="6" t="n">
        <v>239</v>
      </c>
      <c r="L1055" s="2"/>
      <c r="M1055" s="10" t="b">
        <f aca="false">TRUE()</f>
        <v>1</v>
      </c>
      <c r="N1055" s="9" t="str">
        <f aca="false">IF(H1055="","",IF(H1055&gt;=Assumptions!$B$5,1,IF(H1055&gt;=Assumptions!$B$6,2,IF(H1055&gt;=Assumptions!$B$7,3,""))))</f>
        <v/>
      </c>
      <c r="O1055" s="9" t="n">
        <f aca="false">IF(N1055=1,Assumptions!$B$8,IF(N1055=2,Assumptions!$B$9,IF(N1055=3,Assumptions!$B$10,0)))</f>
        <v>0</v>
      </c>
      <c r="P1055" s="6" t="s">
        <v>30</v>
      </c>
      <c r="Q1055" s="6" t="s">
        <v>30</v>
      </c>
      <c r="R1055" s="11" t="s">
        <v>30</v>
      </c>
      <c r="S1055" s="6" t="s">
        <v>30</v>
      </c>
      <c r="T1055" s="11" t="s">
        <v>30</v>
      </c>
      <c r="U1055" s="6" t="s">
        <v>30</v>
      </c>
      <c r="V1055" s="6" t="s">
        <v>30</v>
      </c>
      <c r="W1055" s="6" t="s">
        <v>30</v>
      </c>
      <c r="X1055" s="2" t="s">
        <v>30</v>
      </c>
      <c r="Y1055" s="6" t="str">
        <f aca="false">IF(AND(X1055="processed",ISNUMBER(S1055)),S1055*O1055,"")</f>
        <v/>
      </c>
      <c r="Z1055" s="6" t="n">
        <f aca="false">IF(ISNUMBER(K1055),K1055*O1055,0)</f>
        <v>0</v>
      </c>
      <c r="AA1055" s="2" t="s">
        <v>31</v>
      </c>
      <c r="AB1055" s="6" t="n">
        <v>7566</v>
      </c>
      <c r="AC1055" s="6" t="n">
        <v>7050</v>
      </c>
      <c r="AD1055" s="6" t="n">
        <v>6226</v>
      </c>
      <c r="AE1055" s="6" t="n">
        <v>2739.37768554688</v>
      </c>
      <c r="AF1055" s="8" t="n">
        <v>368.347338936</v>
      </c>
      <c r="AG1055" s="11" t="n">
        <v>-0.0040119985</v>
      </c>
      <c r="AH1055" s="12" t="n">
        <v>0.999999999999998</v>
      </c>
      <c r="AI1055" s="2" t="s">
        <v>2380</v>
      </c>
      <c r="AJ1055" s="2" t="s">
        <v>2381</v>
      </c>
      <c r="AK1055" s="2" t="s">
        <v>2378</v>
      </c>
    </row>
    <row r="1056" customFormat="false" ht="15" hidden="false" customHeight="false" outlineLevel="0" collapsed="false">
      <c r="A1056" s="9"/>
      <c r="B1056" s="2" t="s">
        <v>2382</v>
      </c>
      <c r="C1056" s="2" t="s">
        <v>1985</v>
      </c>
      <c r="D1056" s="2" t="s">
        <v>455</v>
      </c>
      <c r="E1056" s="2" t="s">
        <v>456</v>
      </c>
      <c r="F1056" s="2" t="s">
        <v>2383</v>
      </c>
      <c r="G1056" s="2" t="s">
        <v>458</v>
      </c>
      <c r="H1056" s="8" t="n">
        <v>400.624117958385</v>
      </c>
      <c r="I1056" s="2" t="s">
        <v>316</v>
      </c>
      <c r="J1056" s="8" t="n">
        <v>1420256.41025641</v>
      </c>
      <c r="K1056" s="6" t="n">
        <v>39</v>
      </c>
      <c r="L1056" s="2"/>
      <c r="M1056" s="10" t="b">
        <f aca="false">TRUE()</f>
        <v>1</v>
      </c>
      <c r="N1056" s="9" t="str">
        <f aca="false">IF(H1056="","",IF(H1056&gt;=Assumptions!$B$5,1,IF(H1056&gt;=Assumptions!$B$6,2,IF(H1056&gt;=Assumptions!$B$7,3,""))))</f>
        <v/>
      </c>
      <c r="O1056" s="9" t="n">
        <f aca="false">IF(N1056=1,Assumptions!$B$8,IF(N1056=2,Assumptions!$B$9,IF(N1056=3,Assumptions!$B$10,0)))</f>
        <v>0</v>
      </c>
      <c r="P1056" s="6" t="s">
        <v>30</v>
      </c>
      <c r="Q1056" s="6" t="s">
        <v>30</v>
      </c>
      <c r="R1056" s="11" t="s">
        <v>30</v>
      </c>
      <c r="S1056" s="6" t="s">
        <v>30</v>
      </c>
      <c r="T1056" s="11" t="s">
        <v>30</v>
      </c>
      <c r="U1056" s="6" t="s">
        <v>30</v>
      </c>
      <c r="V1056" s="6" t="s">
        <v>30</v>
      </c>
      <c r="W1056" s="6" t="s">
        <v>30</v>
      </c>
      <c r="X1056" s="2" t="s">
        <v>30</v>
      </c>
      <c r="Y1056" s="6" t="str">
        <f aca="false">IF(AND(X1056="processed",ISNUMBER(S1056)),S1056*O1056,"")</f>
        <v/>
      </c>
      <c r="Z1056" s="6" t="n">
        <f aca="false">IF(ISNUMBER(K1056),K1056*O1056,0)</f>
        <v>0</v>
      </c>
      <c r="AA1056" s="2" t="s">
        <v>31</v>
      </c>
      <c r="AB1056" s="6" t="n">
        <v>3002</v>
      </c>
      <c r="AC1056" s="6" t="n">
        <v>1725</v>
      </c>
      <c r="AD1056" s="6" t="n">
        <v>2008</v>
      </c>
      <c r="AE1056" s="6" t="n">
        <v>2244.71557617188</v>
      </c>
      <c r="AF1056" s="8" t="n">
        <v>432.514619883</v>
      </c>
      <c r="AG1056" s="11" t="n">
        <v>-0.002440322507</v>
      </c>
      <c r="AH1056" s="12" t="n">
        <v>0.999904031251975</v>
      </c>
      <c r="AI1056" s="2" t="s">
        <v>317</v>
      </c>
      <c r="AJ1056" s="2" t="s">
        <v>1985</v>
      </c>
      <c r="AK1056" s="2" t="s">
        <v>1985</v>
      </c>
    </row>
    <row r="1057" customFormat="false" ht="15" hidden="false" customHeight="false" outlineLevel="0" collapsed="false">
      <c r="A1057" s="9"/>
      <c r="B1057" s="2" t="s">
        <v>2384</v>
      </c>
      <c r="C1057" s="2" t="s">
        <v>1985</v>
      </c>
      <c r="D1057" s="2" t="s">
        <v>455</v>
      </c>
      <c r="E1057" s="2" t="s">
        <v>456</v>
      </c>
      <c r="F1057" s="2" t="s">
        <v>2385</v>
      </c>
      <c r="G1057" s="2" t="s">
        <v>458</v>
      </c>
      <c r="H1057" s="8" t="n">
        <v>374.46687984582</v>
      </c>
      <c r="I1057" s="2" t="s">
        <v>316</v>
      </c>
      <c r="J1057" s="8" t="n">
        <v>749757.505773672</v>
      </c>
      <c r="K1057" s="6" t="n">
        <v>433</v>
      </c>
      <c r="L1057" s="2"/>
      <c r="M1057" s="10" t="b">
        <f aca="false">TRUE()</f>
        <v>1</v>
      </c>
      <c r="N1057" s="9" t="str">
        <f aca="false">IF(H1057="","",IF(H1057&gt;=Assumptions!$B$5,1,IF(H1057&gt;=Assumptions!$B$6,2,IF(H1057&gt;=Assumptions!$B$7,3,""))))</f>
        <v/>
      </c>
      <c r="O1057" s="9" t="n">
        <f aca="false">IF(N1057=1,Assumptions!$B$8,IF(N1057=2,Assumptions!$B$9,IF(N1057=3,Assumptions!$B$10,0)))</f>
        <v>0</v>
      </c>
      <c r="P1057" s="6" t="s">
        <v>30</v>
      </c>
      <c r="Q1057" s="6" t="s">
        <v>30</v>
      </c>
      <c r="R1057" s="11" t="s">
        <v>30</v>
      </c>
      <c r="S1057" s="6" t="s">
        <v>30</v>
      </c>
      <c r="T1057" s="11" t="s">
        <v>30</v>
      </c>
      <c r="U1057" s="6" t="s">
        <v>30</v>
      </c>
      <c r="V1057" s="6" t="s">
        <v>30</v>
      </c>
      <c r="W1057" s="6" t="s">
        <v>30</v>
      </c>
      <c r="X1057" s="2" t="s">
        <v>30</v>
      </c>
      <c r="Y1057" s="6" t="str">
        <f aca="false">IF(AND(X1057="processed",ISNUMBER(S1057)),S1057*O1057,"")</f>
        <v/>
      </c>
      <c r="Z1057" s="6" t="n">
        <f aca="false">IF(ISNUMBER(K1057),K1057*O1057,0)</f>
        <v>0</v>
      </c>
      <c r="AA1057" s="2" t="s">
        <v>31</v>
      </c>
      <c r="AB1057" s="6" t="n">
        <v>13101</v>
      </c>
      <c r="AC1057" s="6" t="n">
        <v>11703</v>
      </c>
      <c r="AD1057" s="6" t="n">
        <v>9622</v>
      </c>
      <c r="AE1057" s="6" t="n">
        <v>2404.25146484375</v>
      </c>
      <c r="AF1057" s="8" t="n">
        <v>381.056069679</v>
      </c>
      <c r="AG1057" s="11" t="n">
        <v>-0.01618251101</v>
      </c>
      <c r="AH1057" s="12" t="n">
        <v>1</v>
      </c>
      <c r="AI1057" s="2" t="s">
        <v>317</v>
      </c>
      <c r="AJ1057" s="2" t="s">
        <v>1985</v>
      </c>
      <c r="AK1057" s="2" t="s">
        <v>1985</v>
      </c>
    </row>
    <row r="1058" customFormat="false" ht="15" hidden="false" customHeight="false" outlineLevel="0" collapsed="false">
      <c r="A1058" s="9"/>
      <c r="B1058" s="2" t="s">
        <v>2386</v>
      </c>
      <c r="C1058" s="2" t="s">
        <v>1985</v>
      </c>
      <c r="D1058" s="2" t="s">
        <v>455</v>
      </c>
      <c r="E1058" s="2" t="s">
        <v>456</v>
      </c>
      <c r="F1058" s="2" t="s">
        <v>2387</v>
      </c>
      <c r="G1058" s="2" t="s">
        <v>458</v>
      </c>
      <c r="H1058" s="8" t="n">
        <v>354.637208502407</v>
      </c>
      <c r="I1058" s="2" t="s">
        <v>316</v>
      </c>
      <c r="J1058" s="8" t="n">
        <v>797509.361702128</v>
      </c>
      <c r="K1058" s="6" t="n">
        <v>705</v>
      </c>
      <c r="L1058" s="2"/>
      <c r="M1058" s="10" t="b">
        <f aca="false">TRUE()</f>
        <v>1</v>
      </c>
      <c r="N1058" s="9" t="str">
        <f aca="false">IF(H1058="","",IF(H1058&gt;=Assumptions!$B$5,1,IF(H1058&gt;=Assumptions!$B$6,2,IF(H1058&gt;=Assumptions!$B$7,3,""))))</f>
        <v/>
      </c>
      <c r="O1058" s="9" t="n">
        <f aca="false">IF(N1058=1,Assumptions!$B$8,IF(N1058=2,Assumptions!$B$9,IF(N1058=3,Assumptions!$B$10,0)))</f>
        <v>0</v>
      </c>
      <c r="P1058" s="6" t="s">
        <v>30</v>
      </c>
      <c r="Q1058" s="6" t="s">
        <v>30</v>
      </c>
      <c r="R1058" s="11" t="s">
        <v>30</v>
      </c>
      <c r="S1058" s="6" t="s">
        <v>30</v>
      </c>
      <c r="T1058" s="11" t="s">
        <v>30</v>
      </c>
      <c r="U1058" s="6" t="s">
        <v>30</v>
      </c>
      <c r="V1058" s="6" t="s">
        <v>30</v>
      </c>
      <c r="W1058" s="6" t="s">
        <v>30</v>
      </c>
      <c r="X1058" s="2" t="s">
        <v>30</v>
      </c>
      <c r="Y1058" s="6" t="str">
        <f aca="false">IF(AND(X1058="processed",ISNUMBER(S1058)),S1058*O1058,"")</f>
        <v/>
      </c>
      <c r="Z1058" s="6" t="n">
        <f aca="false">IF(ISNUMBER(K1058),K1058*O1058,0)</f>
        <v>0</v>
      </c>
      <c r="AA1058" s="2" t="s">
        <v>31</v>
      </c>
      <c r="AB1058" s="6" t="n">
        <v>29677</v>
      </c>
      <c r="AC1058" s="6" t="n">
        <v>26509</v>
      </c>
      <c r="AD1058" s="6" t="n">
        <v>21379</v>
      </c>
      <c r="AE1058" s="6" t="n">
        <v>2441.90673828125</v>
      </c>
      <c r="AF1058" s="8" t="n">
        <v>360.521235521</v>
      </c>
      <c r="AG1058" s="11" t="n">
        <v>-0.0313996139</v>
      </c>
      <c r="AH1058" s="12" t="n">
        <v>0.999934481946043</v>
      </c>
      <c r="AI1058" s="2" t="s">
        <v>317</v>
      </c>
      <c r="AJ1058" s="2" t="s">
        <v>1985</v>
      </c>
      <c r="AK1058" s="2" t="s">
        <v>1985</v>
      </c>
    </row>
    <row r="1059" customFormat="false" ht="15" hidden="false" customHeight="false" outlineLevel="0" collapsed="false">
      <c r="A1059" s="9"/>
      <c r="B1059" s="2" t="s">
        <v>2388</v>
      </c>
      <c r="C1059" s="2" t="s">
        <v>2389</v>
      </c>
      <c r="D1059" s="2" t="s">
        <v>455</v>
      </c>
      <c r="E1059" s="2" t="s">
        <v>456</v>
      </c>
      <c r="F1059" s="2" t="s">
        <v>2390</v>
      </c>
      <c r="G1059" s="2" t="s">
        <v>458</v>
      </c>
      <c r="H1059" s="8" t="n">
        <v>290.691299591444</v>
      </c>
      <c r="I1059" s="2" t="s">
        <v>316</v>
      </c>
      <c r="J1059" s="8" t="n">
        <v>672439.024390244</v>
      </c>
      <c r="K1059" s="6" t="n">
        <v>205</v>
      </c>
      <c r="L1059" s="2"/>
      <c r="M1059" s="10" t="b">
        <f aca="false">TRUE()</f>
        <v>1</v>
      </c>
      <c r="N1059" s="9" t="str">
        <f aca="false">IF(H1059="","",IF(H1059&gt;=Assumptions!$B$5,1,IF(H1059&gt;=Assumptions!$B$6,2,IF(H1059&gt;=Assumptions!$B$7,3,""))))</f>
        <v/>
      </c>
      <c r="O1059" s="9" t="n">
        <f aca="false">IF(N1059=1,Assumptions!$B$8,IF(N1059=2,Assumptions!$B$9,IF(N1059=3,Assumptions!$B$10,0)))</f>
        <v>0</v>
      </c>
      <c r="P1059" s="6" t="s">
        <v>30</v>
      </c>
      <c r="Q1059" s="6" t="s">
        <v>30</v>
      </c>
      <c r="R1059" s="11" t="s">
        <v>30</v>
      </c>
      <c r="S1059" s="6" t="s">
        <v>30</v>
      </c>
      <c r="T1059" s="11" t="s">
        <v>30</v>
      </c>
      <c r="U1059" s="6" t="s">
        <v>30</v>
      </c>
      <c r="V1059" s="6" t="s">
        <v>30</v>
      </c>
      <c r="W1059" s="6" t="s">
        <v>30</v>
      </c>
      <c r="X1059" s="2" t="s">
        <v>30</v>
      </c>
      <c r="Y1059" s="6" t="str">
        <f aca="false">IF(AND(X1059="processed",ISNUMBER(S1059)),S1059*O1059,"")</f>
        <v/>
      </c>
      <c r="Z1059" s="6" t="n">
        <f aca="false">IF(ISNUMBER(K1059),K1059*O1059,0)</f>
        <v>0</v>
      </c>
      <c r="AA1059" s="2" t="s">
        <v>31</v>
      </c>
      <c r="AB1059" s="6" t="n">
        <v>13030</v>
      </c>
      <c r="AC1059" s="6" t="n">
        <v>11873</v>
      </c>
      <c r="AD1059" s="6" t="n">
        <v>12692</v>
      </c>
      <c r="AE1059" s="6" t="n">
        <v>2508.25219726563</v>
      </c>
      <c r="AF1059" s="8" t="n">
        <v>292.878454353</v>
      </c>
      <c r="AG1059" s="11" t="n">
        <v>0.03778444962</v>
      </c>
      <c r="AH1059" s="12" t="n">
        <v>1</v>
      </c>
      <c r="AI1059" s="2" t="s">
        <v>317</v>
      </c>
      <c r="AJ1059" s="2" t="s">
        <v>2389</v>
      </c>
      <c r="AK1059" s="2" t="s">
        <v>2389</v>
      </c>
    </row>
    <row r="1060" customFormat="false" ht="15" hidden="false" customHeight="false" outlineLevel="0" collapsed="false">
      <c r="A1060" s="9"/>
      <c r="B1060" s="2" t="s">
        <v>2391</v>
      </c>
      <c r="C1060" s="2" t="s">
        <v>2392</v>
      </c>
      <c r="D1060" s="2" t="s">
        <v>455</v>
      </c>
      <c r="E1060" s="2" t="s">
        <v>456</v>
      </c>
      <c r="F1060" s="2" t="s">
        <v>2393</v>
      </c>
      <c r="G1060" s="2" t="s">
        <v>458</v>
      </c>
      <c r="H1060" s="8" t="n">
        <v>286.479999243411</v>
      </c>
      <c r="I1060" s="2" t="s">
        <v>316</v>
      </c>
      <c r="J1060" s="8" t="n">
        <v>628218.423287671</v>
      </c>
      <c r="K1060" s="6" t="n">
        <v>730</v>
      </c>
      <c r="L1060" s="2"/>
      <c r="M1060" s="10" t="b">
        <f aca="false">TRUE()</f>
        <v>1</v>
      </c>
      <c r="N1060" s="9" t="str">
        <f aca="false">IF(H1060="","",IF(H1060&gt;=Assumptions!$B$5,1,IF(H1060&gt;=Assumptions!$B$6,2,IF(H1060&gt;=Assumptions!$B$7,3,""))))</f>
        <v/>
      </c>
      <c r="O1060" s="9" t="n">
        <f aca="false">IF(N1060=1,Assumptions!$B$8,IF(N1060=2,Assumptions!$B$9,IF(N1060=3,Assumptions!$B$10,0)))</f>
        <v>0</v>
      </c>
      <c r="P1060" s="6" t="s">
        <v>30</v>
      </c>
      <c r="Q1060" s="6" t="s">
        <v>30</v>
      </c>
      <c r="R1060" s="11" t="s">
        <v>30</v>
      </c>
      <c r="S1060" s="6" t="s">
        <v>30</v>
      </c>
      <c r="T1060" s="11" t="s">
        <v>30</v>
      </c>
      <c r="U1060" s="6" t="s">
        <v>30</v>
      </c>
      <c r="V1060" s="6" t="s">
        <v>30</v>
      </c>
      <c r="W1060" s="6" t="s">
        <v>30</v>
      </c>
      <c r="X1060" s="2" t="s">
        <v>30</v>
      </c>
      <c r="Y1060" s="6" t="str">
        <f aca="false">IF(AND(X1060="processed",ISNUMBER(S1060)),S1060*O1060,"")</f>
        <v/>
      </c>
      <c r="Z1060" s="6" t="n">
        <f aca="false">IF(ISNUMBER(K1060),K1060*O1060,0)</f>
        <v>0</v>
      </c>
      <c r="AA1060" s="2" t="s">
        <v>31</v>
      </c>
      <c r="AB1060" s="6" t="n">
        <v>14081</v>
      </c>
      <c r="AC1060" s="6" t="n">
        <v>13052</v>
      </c>
      <c r="AD1060" s="6" t="n">
        <v>12438</v>
      </c>
      <c r="AE1060" s="6" t="n">
        <v>2753.64892578125</v>
      </c>
      <c r="AF1060" s="8" t="n">
        <v>284.761904762</v>
      </c>
      <c r="AG1060" s="11" t="n">
        <v>-0.03442100686</v>
      </c>
      <c r="AH1060" s="12" t="n">
        <v>0.999999999999998</v>
      </c>
      <c r="AI1060" s="2" t="s">
        <v>317</v>
      </c>
      <c r="AJ1060" s="2" t="s">
        <v>2392</v>
      </c>
      <c r="AK1060" s="2" t="s">
        <v>2392</v>
      </c>
    </row>
    <row r="1061" customFormat="false" ht="15" hidden="false" customHeight="false" outlineLevel="0" collapsed="false">
      <c r="A1061" s="9"/>
      <c r="B1061" s="2" t="s">
        <v>2394</v>
      </c>
      <c r="C1061" s="2" t="s">
        <v>2395</v>
      </c>
      <c r="D1061" s="2" t="s">
        <v>455</v>
      </c>
      <c r="E1061" s="2" t="s">
        <v>456</v>
      </c>
      <c r="F1061" s="2" t="s">
        <v>2396</v>
      </c>
      <c r="G1061" s="2" t="s">
        <v>458</v>
      </c>
      <c r="H1061" s="8" t="n">
        <v>469.76220916441</v>
      </c>
      <c r="I1061" s="2" t="s">
        <v>316</v>
      </c>
      <c r="J1061" s="8" t="n">
        <v>924063.483146067</v>
      </c>
      <c r="K1061" s="6" t="n">
        <v>178</v>
      </c>
      <c r="L1061" s="2"/>
      <c r="M1061" s="10" t="b">
        <f aca="false">TRUE()</f>
        <v>1</v>
      </c>
      <c r="N1061" s="9" t="str">
        <f aca="false">IF(H1061="","",IF(H1061&gt;=Assumptions!$B$5,1,IF(H1061&gt;=Assumptions!$B$6,2,IF(H1061&gt;=Assumptions!$B$7,3,""))))</f>
        <v/>
      </c>
      <c r="O1061" s="9" t="n">
        <f aca="false">IF(N1061=1,Assumptions!$B$8,IF(N1061=2,Assumptions!$B$9,IF(N1061=3,Assumptions!$B$10,0)))</f>
        <v>0</v>
      </c>
      <c r="P1061" s="6" t="s">
        <v>30</v>
      </c>
      <c r="Q1061" s="6" t="s">
        <v>30</v>
      </c>
      <c r="R1061" s="11" t="s">
        <v>30</v>
      </c>
      <c r="S1061" s="6" t="s">
        <v>30</v>
      </c>
      <c r="T1061" s="11" t="s">
        <v>30</v>
      </c>
      <c r="U1061" s="6" t="s">
        <v>30</v>
      </c>
      <c r="V1061" s="6" t="s">
        <v>30</v>
      </c>
      <c r="W1061" s="6" t="s">
        <v>30</v>
      </c>
      <c r="X1061" s="2" t="s">
        <v>30</v>
      </c>
      <c r="Y1061" s="6" t="str">
        <f aca="false">IF(AND(X1061="processed",ISNUMBER(S1061)),S1061*O1061,"")</f>
        <v/>
      </c>
      <c r="Z1061" s="6" t="n">
        <f aca="false">IF(ISNUMBER(K1061),K1061*O1061,0)</f>
        <v>0</v>
      </c>
      <c r="AA1061" s="2" t="s">
        <v>31</v>
      </c>
      <c r="AB1061" s="6" t="n">
        <v>13451</v>
      </c>
      <c r="AC1061" s="6" t="n">
        <v>11497</v>
      </c>
      <c r="AD1061" s="6" t="n">
        <v>2567</v>
      </c>
      <c r="AE1061" s="6" t="n">
        <v>2461.20581054688</v>
      </c>
      <c r="AF1061" s="8" t="n">
        <v>489.875898106</v>
      </c>
      <c r="AG1061" s="11" t="n">
        <v>0.01763553233</v>
      </c>
      <c r="AH1061" s="12" t="n">
        <v>1</v>
      </c>
      <c r="AI1061" s="2" t="s">
        <v>317</v>
      </c>
      <c r="AJ1061" s="2" t="s">
        <v>2395</v>
      </c>
      <c r="AK1061" s="2" t="s">
        <v>2395</v>
      </c>
    </row>
    <row r="1062" customFormat="false" ht="15" hidden="false" customHeight="false" outlineLevel="0" collapsed="false">
      <c r="A1062" s="9"/>
      <c r="B1062" s="2" t="s">
        <v>2397</v>
      </c>
      <c r="C1062" s="2"/>
      <c r="D1062" s="2" t="s">
        <v>1190</v>
      </c>
      <c r="E1062" s="2" t="s">
        <v>1191</v>
      </c>
      <c r="F1062" s="2"/>
      <c r="G1062" s="2" t="s">
        <v>458</v>
      </c>
      <c r="H1062" s="8" t="n">
        <v>454.442885402</v>
      </c>
      <c r="I1062" s="2" t="s">
        <v>316</v>
      </c>
      <c r="J1062" s="8" t="n">
        <v>787083.333333333</v>
      </c>
      <c r="K1062" s="6" t="n">
        <v>84</v>
      </c>
      <c r="L1062" s="2"/>
      <c r="M1062" s="10" t="b">
        <f aca="false">FALSE()</f>
        <v>0</v>
      </c>
      <c r="N1062" s="9" t="str">
        <f aca="false">IF(H1062="","",IF(H1062&gt;=Assumptions!$B$5,1,IF(H1062&gt;=Assumptions!$B$6,2,IF(H1062&gt;=Assumptions!$B$7,3,""))))</f>
        <v/>
      </c>
      <c r="O1062" s="9" t="n">
        <f aca="false">IF(N1062=1,Assumptions!$B$8,IF(N1062=2,Assumptions!$B$9,IF(N1062=3,Assumptions!$B$10,0)))</f>
        <v>0</v>
      </c>
      <c r="P1062" s="6" t="s">
        <v>30</v>
      </c>
      <c r="Q1062" s="6" t="s">
        <v>30</v>
      </c>
      <c r="R1062" s="11" t="s">
        <v>30</v>
      </c>
      <c r="S1062" s="6" t="s">
        <v>30</v>
      </c>
      <c r="T1062" s="11" t="s">
        <v>30</v>
      </c>
      <c r="U1062" s="6" t="s">
        <v>30</v>
      </c>
      <c r="V1062" s="6" t="s">
        <v>30</v>
      </c>
      <c r="W1062" s="6" t="s">
        <v>30</v>
      </c>
      <c r="X1062" s="2" t="s">
        <v>30</v>
      </c>
      <c r="Y1062" s="6" t="str">
        <f aca="false">IF(AND(X1062="processed",ISNUMBER(S1062)),S1062*O1062,"")</f>
        <v/>
      </c>
      <c r="Z1062" s="6" t="n">
        <f aca="false">IF(ISNUMBER(K1062),K1062*O1062,0)</f>
        <v>0</v>
      </c>
      <c r="AA1062" s="2" t="s">
        <v>31</v>
      </c>
      <c r="AB1062" s="6"/>
      <c r="AC1062" s="6"/>
      <c r="AD1062" s="6"/>
      <c r="AE1062" s="6"/>
      <c r="AF1062" s="8" t="n">
        <v>461.679882349</v>
      </c>
      <c r="AG1062" s="11" t="n">
        <v>-0.007982079971</v>
      </c>
      <c r="AH1062" s="12"/>
      <c r="AI1062" s="2"/>
      <c r="AJ1062" s="2"/>
      <c r="AK1062" s="2"/>
    </row>
    <row r="1063" customFormat="false" ht="15" hidden="false" customHeight="false" outlineLevel="0" collapsed="false">
      <c r="A1063" s="9"/>
      <c r="B1063" s="2" t="s">
        <v>2398</v>
      </c>
      <c r="C1063" s="2" t="s">
        <v>2399</v>
      </c>
      <c r="D1063" s="2" t="s">
        <v>455</v>
      </c>
      <c r="E1063" s="2" t="s">
        <v>456</v>
      </c>
      <c r="F1063" s="2" t="s">
        <v>2400</v>
      </c>
      <c r="G1063" s="2" t="s">
        <v>458</v>
      </c>
      <c r="H1063" s="8" t="n">
        <v>411.542240145461</v>
      </c>
      <c r="I1063" s="2" t="s">
        <v>316</v>
      </c>
      <c r="J1063" s="8" t="n">
        <v>745758.426966292</v>
      </c>
      <c r="K1063" s="6" t="n">
        <v>178</v>
      </c>
      <c r="L1063" s="2"/>
      <c r="M1063" s="10" t="b">
        <f aca="false">TRUE()</f>
        <v>1</v>
      </c>
      <c r="N1063" s="9" t="str">
        <f aca="false">IF(H1063="","",IF(H1063&gt;=Assumptions!$B$5,1,IF(H1063&gt;=Assumptions!$B$6,2,IF(H1063&gt;=Assumptions!$B$7,3,""))))</f>
        <v/>
      </c>
      <c r="O1063" s="9" t="n">
        <f aca="false">IF(N1063=1,Assumptions!$B$8,IF(N1063=2,Assumptions!$B$9,IF(N1063=3,Assumptions!$B$10,0)))</f>
        <v>0</v>
      </c>
      <c r="P1063" s="6" t="s">
        <v>30</v>
      </c>
      <c r="Q1063" s="6" t="s">
        <v>30</v>
      </c>
      <c r="R1063" s="11" t="s">
        <v>30</v>
      </c>
      <c r="S1063" s="6" t="s">
        <v>30</v>
      </c>
      <c r="T1063" s="11" t="s">
        <v>30</v>
      </c>
      <c r="U1063" s="6" t="s">
        <v>30</v>
      </c>
      <c r="V1063" s="6" t="s">
        <v>30</v>
      </c>
      <c r="W1063" s="6" t="s">
        <v>30</v>
      </c>
      <c r="X1063" s="2" t="s">
        <v>30</v>
      </c>
      <c r="Y1063" s="6" t="str">
        <f aca="false">IF(AND(X1063="processed",ISNUMBER(S1063)),S1063*O1063,"")</f>
        <v/>
      </c>
      <c r="Z1063" s="6" t="n">
        <f aca="false">IF(ISNUMBER(K1063),K1063*O1063,0)</f>
        <v>0</v>
      </c>
      <c r="AA1063" s="2" t="s">
        <v>31</v>
      </c>
      <c r="AB1063" s="6" t="n">
        <v>12174</v>
      </c>
      <c r="AC1063" s="6" t="n">
        <v>10752</v>
      </c>
      <c r="AD1063" s="6" t="n">
        <v>2405</v>
      </c>
      <c r="AE1063" s="6" t="n">
        <v>2228.58203125</v>
      </c>
      <c r="AF1063" s="8" t="n">
        <v>418.181818182</v>
      </c>
      <c r="AG1063" s="11" t="n">
        <v>0.02530926192</v>
      </c>
      <c r="AH1063" s="12" t="n">
        <v>1</v>
      </c>
      <c r="AI1063" s="2" t="s">
        <v>317</v>
      </c>
      <c r="AJ1063" s="2" t="s">
        <v>2399</v>
      </c>
      <c r="AK1063" s="2" t="s">
        <v>2399</v>
      </c>
    </row>
    <row r="1064" customFormat="false" ht="15" hidden="false" customHeight="false" outlineLevel="0" collapsed="false">
      <c r="A1064" s="9"/>
      <c r="B1064" s="2" t="s">
        <v>2401</v>
      </c>
      <c r="C1064" s="2" t="s">
        <v>2402</v>
      </c>
      <c r="D1064" s="2" t="s">
        <v>455</v>
      </c>
      <c r="E1064" s="2" t="s">
        <v>456</v>
      </c>
      <c r="F1064" s="2"/>
      <c r="G1064" s="2" t="s">
        <v>458</v>
      </c>
      <c r="H1064" s="8" t="n">
        <v>332.075462587574</v>
      </c>
      <c r="I1064" s="2" t="s">
        <v>316</v>
      </c>
      <c r="J1064" s="8" t="n">
        <v>957364.864864865</v>
      </c>
      <c r="K1064" s="6" t="n">
        <v>296</v>
      </c>
      <c r="L1064" s="2"/>
      <c r="M1064" s="10" t="b">
        <f aca="false">TRUE()</f>
        <v>1</v>
      </c>
      <c r="N1064" s="9" t="str">
        <f aca="false">IF(H1064="","",IF(H1064&gt;=Assumptions!$B$5,1,IF(H1064&gt;=Assumptions!$B$6,2,IF(H1064&gt;=Assumptions!$B$7,3,""))))</f>
        <v/>
      </c>
      <c r="O1064" s="9" t="n">
        <f aca="false">IF(N1064=1,Assumptions!$B$8,IF(N1064=2,Assumptions!$B$9,IF(N1064=3,Assumptions!$B$10,0)))</f>
        <v>0</v>
      </c>
      <c r="P1064" s="6" t="s">
        <v>30</v>
      </c>
      <c r="Q1064" s="6" t="s">
        <v>30</v>
      </c>
      <c r="R1064" s="11" t="s">
        <v>30</v>
      </c>
      <c r="S1064" s="6" t="s">
        <v>30</v>
      </c>
      <c r="T1064" s="11" t="s">
        <v>30</v>
      </c>
      <c r="U1064" s="6" t="s">
        <v>30</v>
      </c>
      <c r="V1064" s="6" t="s">
        <v>30</v>
      </c>
      <c r="W1064" s="6" t="s">
        <v>30</v>
      </c>
      <c r="X1064" s="2" t="s">
        <v>30</v>
      </c>
      <c r="Y1064" s="6" t="str">
        <f aca="false">IF(AND(X1064="processed",ISNUMBER(S1064)),S1064*O1064,"")</f>
        <v/>
      </c>
      <c r="Z1064" s="6" t="n">
        <f aca="false">IF(ISNUMBER(K1064),K1064*O1064,0)</f>
        <v>0</v>
      </c>
      <c r="AA1064" s="2" t="s">
        <v>31</v>
      </c>
      <c r="AB1064" s="6" t="n">
        <v>21267</v>
      </c>
      <c r="AC1064" s="6" t="n">
        <v>19333</v>
      </c>
      <c r="AD1064" s="6" t="n">
        <v>11938</v>
      </c>
      <c r="AE1064" s="6" t="n">
        <v>2656.89526367188</v>
      </c>
      <c r="AF1064" s="8" t="n">
        <v>328.688307679</v>
      </c>
      <c r="AG1064" s="11" t="n">
        <v>-0.02327950042</v>
      </c>
      <c r="AH1064" s="12" t="n">
        <v>0.947989460269571</v>
      </c>
      <c r="AI1064" s="2" t="s">
        <v>2403</v>
      </c>
      <c r="AJ1064" s="2" t="s">
        <v>2404</v>
      </c>
      <c r="AK1064" s="2" t="s">
        <v>2402</v>
      </c>
    </row>
    <row r="1065" customFormat="false" ht="15" hidden="false" customHeight="false" outlineLevel="0" collapsed="false">
      <c r="A1065" s="9"/>
      <c r="B1065" s="2" t="s">
        <v>2405</v>
      </c>
      <c r="C1065" s="2" t="s">
        <v>2399</v>
      </c>
      <c r="D1065" s="2" t="s">
        <v>455</v>
      </c>
      <c r="E1065" s="2" t="s">
        <v>456</v>
      </c>
      <c r="F1065" s="2" t="s">
        <v>2406</v>
      </c>
      <c r="G1065" s="2" t="s">
        <v>458</v>
      </c>
      <c r="H1065" s="8" t="n">
        <v>392.304331256911</v>
      </c>
      <c r="I1065" s="2" t="s">
        <v>316</v>
      </c>
      <c r="J1065" s="8" t="n">
        <v>893952.662721894</v>
      </c>
      <c r="K1065" s="6" t="n">
        <v>169</v>
      </c>
      <c r="L1065" s="2"/>
      <c r="M1065" s="10" t="b">
        <f aca="false">TRUE()</f>
        <v>1</v>
      </c>
      <c r="N1065" s="9" t="str">
        <f aca="false">IF(H1065="","",IF(H1065&gt;=Assumptions!$B$5,1,IF(H1065&gt;=Assumptions!$B$6,2,IF(H1065&gt;=Assumptions!$B$7,3,""))))</f>
        <v/>
      </c>
      <c r="O1065" s="9" t="n">
        <f aca="false">IF(N1065=1,Assumptions!$B$8,IF(N1065=2,Assumptions!$B$9,IF(N1065=3,Assumptions!$B$10,0)))</f>
        <v>0</v>
      </c>
      <c r="P1065" s="6" t="s">
        <v>30</v>
      </c>
      <c r="Q1065" s="6" t="s">
        <v>30</v>
      </c>
      <c r="R1065" s="11" t="s">
        <v>30</v>
      </c>
      <c r="S1065" s="6" t="s">
        <v>30</v>
      </c>
      <c r="T1065" s="11" t="s">
        <v>30</v>
      </c>
      <c r="U1065" s="6" t="s">
        <v>30</v>
      </c>
      <c r="V1065" s="6" t="s">
        <v>30</v>
      </c>
      <c r="W1065" s="6" t="s">
        <v>30</v>
      </c>
      <c r="X1065" s="2" t="s">
        <v>30</v>
      </c>
      <c r="Y1065" s="6" t="str">
        <f aca="false">IF(AND(X1065="processed",ISNUMBER(S1065)),S1065*O1065,"")</f>
        <v/>
      </c>
      <c r="Z1065" s="6" t="n">
        <f aca="false">IF(ISNUMBER(K1065),K1065*O1065,0)</f>
        <v>0</v>
      </c>
      <c r="AA1065" s="2" t="s">
        <v>31</v>
      </c>
      <c r="AB1065" s="6" t="n">
        <v>10347</v>
      </c>
      <c r="AC1065" s="6" t="n">
        <v>9099</v>
      </c>
      <c r="AD1065" s="6" t="n">
        <v>5129</v>
      </c>
      <c r="AE1065" s="6" t="n">
        <v>2497.25024414063</v>
      </c>
      <c r="AF1065" s="8" t="n">
        <v>387.549661181</v>
      </c>
      <c r="AG1065" s="11" t="n">
        <v>-0.03419278681</v>
      </c>
      <c r="AH1065" s="12" t="n">
        <v>0.999733689552328</v>
      </c>
      <c r="AI1065" s="2" t="s">
        <v>317</v>
      </c>
      <c r="AJ1065" s="2" t="s">
        <v>2399</v>
      </c>
      <c r="AK1065" s="2" t="s">
        <v>2399</v>
      </c>
    </row>
    <row r="1066" customFormat="false" ht="15" hidden="false" customHeight="false" outlineLevel="0" collapsed="false">
      <c r="A1066" s="9"/>
      <c r="B1066" s="2" t="s">
        <v>2407</v>
      </c>
      <c r="C1066" s="2" t="s">
        <v>2399</v>
      </c>
      <c r="D1066" s="2" t="s">
        <v>455</v>
      </c>
      <c r="E1066" s="2" t="s">
        <v>456</v>
      </c>
      <c r="F1066" s="2" t="s">
        <v>2408</v>
      </c>
      <c r="G1066" s="2" t="s">
        <v>458</v>
      </c>
      <c r="H1066" s="8" t="n">
        <v>428.94895697804</v>
      </c>
      <c r="I1066" s="2" t="s">
        <v>316</v>
      </c>
      <c r="J1066" s="8" t="n">
        <v>814738.505747126</v>
      </c>
      <c r="K1066" s="6" t="n">
        <v>348</v>
      </c>
      <c r="L1066" s="2"/>
      <c r="M1066" s="10" t="b">
        <f aca="false">TRUE()</f>
        <v>1</v>
      </c>
      <c r="N1066" s="9" t="str">
        <f aca="false">IF(H1066="","",IF(H1066&gt;=Assumptions!$B$5,1,IF(H1066&gt;=Assumptions!$B$6,2,IF(H1066&gt;=Assumptions!$B$7,3,""))))</f>
        <v/>
      </c>
      <c r="O1066" s="9" t="n">
        <f aca="false">IF(N1066=1,Assumptions!$B$8,IF(N1066=2,Assumptions!$B$9,IF(N1066=3,Assumptions!$B$10,0)))</f>
        <v>0</v>
      </c>
      <c r="P1066" s="6" t="s">
        <v>30</v>
      </c>
      <c r="Q1066" s="6" t="s">
        <v>30</v>
      </c>
      <c r="R1066" s="11" t="s">
        <v>30</v>
      </c>
      <c r="S1066" s="6" t="s">
        <v>30</v>
      </c>
      <c r="T1066" s="11" t="s">
        <v>30</v>
      </c>
      <c r="U1066" s="6" t="s">
        <v>30</v>
      </c>
      <c r="V1066" s="6" t="s">
        <v>30</v>
      </c>
      <c r="W1066" s="6" t="s">
        <v>30</v>
      </c>
      <c r="X1066" s="2" t="s">
        <v>30</v>
      </c>
      <c r="Y1066" s="6" t="str">
        <f aca="false">IF(AND(X1066="processed",ISNUMBER(S1066)),S1066*O1066,"")</f>
        <v/>
      </c>
      <c r="Z1066" s="6" t="n">
        <f aca="false">IF(ISNUMBER(K1066),K1066*O1066,0)</f>
        <v>0</v>
      </c>
      <c r="AA1066" s="2" t="s">
        <v>31</v>
      </c>
      <c r="AB1066" s="6" t="n">
        <v>18075</v>
      </c>
      <c r="AC1066" s="6" t="n">
        <v>16463</v>
      </c>
      <c r="AD1066" s="6" t="n">
        <v>11980</v>
      </c>
      <c r="AE1066" s="6" t="n">
        <v>2406.69995117188</v>
      </c>
      <c r="AF1066" s="8" t="n">
        <v>441.011235955</v>
      </c>
      <c r="AG1066" s="11" t="n">
        <v>0.05352684145</v>
      </c>
      <c r="AH1066" s="12" t="n">
        <v>0.992807936173657</v>
      </c>
      <c r="AI1066" s="2" t="s">
        <v>317</v>
      </c>
      <c r="AJ1066" s="2" t="s">
        <v>2399</v>
      </c>
      <c r="AK1066" s="2" t="s">
        <v>2399</v>
      </c>
    </row>
    <row r="1067" customFormat="false" ht="15" hidden="false" customHeight="false" outlineLevel="0" collapsed="false">
      <c r="A1067" s="9"/>
      <c r="B1067" s="2" t="s">
        <v>2409</v>
      </c>
      <c r="C1067" s="2" t="s">
        <v>2399</v>
      </c>
      <c r="D1067" s="2" t="s">
        <v>455</v>
      </c>
      <c r="E1067" s="2" t="s">
        <v>456</v>
      </c>
      <c r="F1067" s="2" t="s">
        <v>2410</v>
      </c>
      <c r="G1067" s="2" t="s">
        <v>458</v>
      </c>
      <c r="H1067" s="8" t="n">
        <v>356.824910625033</v>
      </c>
      <c r="I1067" s="2" t="s">
        <v>316</v>
      </c>
      <c r="J1067" s="8" t="n">
        <v>755624.901960784</v>
      </c>
      <c r="K1067" s="6" t="n">
        <v>459</v>
      </c>
      <c r="L1067" s="2"/>
      <c r="M1067" s="10" t="b">
        <f aca="false">TRUE()</f>
        <v>1</v>
      </c>
      <c r="N1067" s="9" t="str">
        <f aca="false">IF(H1067="","",IF(H1067&gt;=Assumptions!$B$5,1,IF(H1067&gt;=Assumptions!$B$6,2,IF(H1067&gt;=Assumptions!$B$7,3,""))))</f>
        <v/>
      </c>
      <c r="O1067" s="9" t="n">
        <f aca="false">IF(N1067=1,Assumptions!$B$8,IF(N1067=2,Assumptions!$B$9,IF(N1067=3,Assumptions!$B$10,0)))</f>
        <v>0</v>
      </c>
      <c r="P1067" s="6" t="s">
        <v>30</v>
      </c>
      <c r="Q1067" s="6" t="s">
        <v>30</v>
      </c>
      <c r="R1067" s="11" t="s">
        <v>30</v>
      </c>
      <c r="S1067" s="6" t="s">
        <v>30</v>
      </c>
      <c r="T1067" s="11" t="s">
        <v>30</v>
      </c>
      <c r="U1067" s="6" t="s">
        <v>30</v>
      </c>
      <c r="V1067" s="6" t="s">
        <v>30</v>
      </c>
      <c r="W1067" s="6" t="s">
        <v>30</v>
      </c>
      <c r="X1067" s="2" t="s">
        <v>30</v>
      </c>
      <c r="Y1067" s="6" t="str">
        <f aca="false">IF(AND(X1067="processed",ISNUMBER(S1067)),S1067*O1067,"")</f>
        <v/>
      </c>
      <c r="Z1067" s="6" t="n">
        <f aca="false">IF(ISNUMBER(K1067),K1067*O1067,0)</f>
        <v>0</v>
      </c>
      <c r="AA1067" s="2" t="s">
        <v>31</v>
      </c>
      <c r="AB1067" s="6" t="n">
        <v>13689</v>
      </c>
      <c r="AC1067" s="6" t="n">
        <v>12740</v>
      </c>
      <c r="AD1067" s="6" t="n">
        <v>6532</v>
      </c>
      <c r="AE1067" s="6" t="n">
        <v>2494.6787109375</v>
      </c>
      <c r="AF1067" s="8" t="n">
        <v>355.160279021</v>
      </c>
      <c r="AG1067" s="11" t="n">
        <v>-0.04527309205</v>
      </c>
      <c r="AH1067" s="12" t="n">
        <v>0.999538835738887</v>
      </c>
      <c r="AI1067" s="2" t="s">
        <v>317</v>
      </c>
      <c r="AJ1067" s="2" t="s">
        <v>2399</v>
      </c>
      <c r="AK1067" s="2" t="s">
        <v>2411</v>
      </c>
    </row>
    <row r="1068" customFormat="false" ht="15" hidden="false" customHeight="false" outlineLevel="0" collapsed="false">
      <c r="A1068" s="9"/>
      <c r="B1068" s="2" t="s">
        <v>2412</v>
      </c>
      <c r="C1068" s="2" t="s">
        <v>2413</v>
      </c>
      <c r="D1068" s="2" t="s">
        <v>273</v>
      </c>
      <c r="E1068" s="2" t="s">
        <v>273</v>
      </c>
      <c r="F1068" s="2"/>
      <c r="G1068" s="2" t="s">
        <v>348</v>
      </c>
      <c r="H1068" s="8" t="n">
        <v>387.627608708243</v>
      </c>
      <c r="I1068" s="2" t="s">
        <v>316</v>
      </c>
      <c r="J1068" s="8" t="n">
        <v>777929.292929293</v>
      </c>
      <c r="K1068" s="6" t="n">
        <v>99</v>
      </c>
      <c r="L1068" s="2"/>
      <c r="M1068" s="10" t="b">
        <f aca="false">TRUE()</f>
        <v>1</v>
      </c>
      <c r="N1068" s="9" t="str">
        <f aca="false">IF(H1068="","",IF(H1068&gt;=Assumptions!$B$5,1,IF(H1068&gt;=Assumptions!$B$6,2,IF(H1068&gt;=Assumptions!$B$7,3,""))))</f>
        <v/>
      </c>
      <c r="O1068" s="9" t="n">
        <f aca="false">IF(N1068=1,Assumptions!$B$8,IF(N1068=2,Assumptions!$B$9,IF(N1068=3,Assumptions!$B$10,0)))</f>
        <v>0</v>
      </c>
      <c r="P1068" s="6" t="s">
        <v>30</v>
      </c>
      <c r="Q1068" s="6" t="s">
        <v>30</v>
      </c>
      <c r="R1068" s="11" t="s">
        <v>30</v>
      </c>
      <c r="S1068" s="6" t="s">
        <v>30</v>
      </c>
      <c r="T1068" s="11" t="s">
        <v>30</v>
      </c>
      <c r="U1068" s="6" t="s">
        <v>30</v>
      </c>
      <c r="V1068" s="6" t="s">
        <v>30</v>
      </c>
      <c r="W1068" s="6" t="s">
        <v>30</v>
      </c>
      <c r="X1068" s="2" t="s">
        <v>30</v>
      </c>
      <c r="Y1068" s="6" t="str">
        <f aca="false">IF(AND(X1068="processed",ISNUMBER(S1068)),S1068*O1068,"")</f>
        <v/>
      </c>
      <c r="Z1068" s="6" t="n">
        <f aca="false">IF(ISNUMBER(K1068),K1068*O1068,0)</f>
        <v>0</v>
      </c>
      <c r="AA1068" s="2" t="s">
        <v>31</v>
      </c>
      <c r="AB1068" s="6" t="n">
        <v>7459</v>
      </c>
      <c r="AC1068" s="6" t="n">
        <v>6462</v>
      </c>
      <c r="AD1068" s="6" t="n">
        <v>6815</v>
      </c>
      <c r="AE1068" s="6" t="n">
        <v>2037.5419921875</v>
      </c>
      <c r="AF1068" s="8" t="n">
        <v>368.581035185</v>
      </c>
      <c r="AG1068" s="11" t="n">
        <v>-0.1123217698</v>
      </c>
      <c r="AH1068" s="12" t="n">
        <v>0.999999999999994</v>
      </c>
      <c r="AI1068" s="2" t="s">
        <v>317</v>
      </c>
      <c r="AJ1068" s="2" t="s">
        <v>2413</v>
      </c>
      <c r="AK1068" s="2" t="s">
        <v>2413</v>
      </c>
    </row>
    <row r="1069" customFormat="false" ht="15" hidden="false" customHeight="false" outlineLevel="0" collapsed="false">
      <c r="A1069" s="9"/>
      <c r="B1069" s="2" t="s">
        <v>2414</v>
      </c>
      <c r="C1069" s="2" t="s">
        <v>2415</v>
      </c>
      <c r="D1069" s="2" t="s">
        <v>273</v>
      </c>
      <c r="E1069" s="2" t="s">
        <v>273</v>
      </c>
      <c r="F1069" s="2"/>
      <c r="G1069" s="2" t="s">
        <v>348</v>
      </c>
      <c r="H1069" s="8" t="n">
        <v>452.071374991751</v>
      </c>
      <c r="I1069" s="2" t="s">
        <v>316</v>
      </c>
      <c r="J1069" s="8" t="n">
        <v>1065224.48979592</v>
      </c>
      <c r="K1069" s="6" t="n">
        <v>245</v>
      </c>
      <c r="L1069" s="2"/>
      <c r="M1069" s="10" t="b">
        <f aca="false">TRUE()</f>
        <v>1</v>
      </c>
      <c r="N1069" s="9" t="str">
        <f aca="false">IF(H1069="","",IF(H1069&gt;=Assumptions!$B$5,1,IF(H1069&gt;=Assumptions!$B$6,2,IF(H1069&gt;=Assumptions!$B$7,3,""))))</f>
        <v/>
      </c>
      <c r="O1069" s="9" t="n">
        <f aca="false">IF(N1069=1,Assumptions!$B$8,IF(N1069=2,Assumptions!$B$9,IF(N1069=3,Assumptions!$B$10,0)))</f>
        <v>0</v>
      </c>
      <c r="P1069" s="6" t="s">
        <v>30</v>
      </c>
      <c r="Q1069" s="6" t="s">
        <v>30</v>
      </c>
      <c r="R1069" s="11" t="s">
        <v>30</v>
      </c>
      <c r="S1069" s="6" t="s">
        <v>30</v>
      </c>
      <c r="T1069" s="11" t="s">
        <v>30</v>
      </c>
      <c r="U1069" s="6" t="s">
        <v>30</v>
      </c>
      <c r="V1069" s="6" t="s">
        <v>30</v>
      </c>
      <c r="W1069" s="6" t="s">
        <v>30</v>
      </c>
      <c r="X1069" s="2" t="s">
        <v>30</v>
      </c>
      <c r="Y1069" s="6" t="str">
        <f aca="false">IF(AND(X1069="processed",ISNUMBER(S1069)),S1069*O1069,"")</f>
        <v/>
      </c>
      <c r="Z1069" s="6" t="n">
        <f aca="false">IF(ISNUMBER(K1069),K1069*O1069,0)</f>
        <v>0</v>
      </c>
      <c r="AA1069" s="2" t="s">
        <v>31</v>
      </c>
      <c r="AB1069" s="6" t="n">
        <v>13127</v>
      </c>
      <c r="AC1069" s="6" t="n">
        <v>11495</v>
      </c>
      <c r="AD1069" s="6" t="n">
        <v>854</v>
      </c>
      <c r="AE1069" s="6" t="n">
        <v>2418.763671875</v>
      </c>
      <c r="AF1069" s="8" t="n">
        <v>468.35512039</v>
      </c>
      <c r="AG1069" s="11" t="n">
        <v>-0.01930154695</v>
      </c>
      <c r="AH1069" s="12" t="n">
        <v>1</v>
      </c>
      <c r="AI1069" s="2" t="s">
        <v>317</v>
      </c>
      <c r="AJ1069" s="2" t="s">
        <v>2415</v>
      </c>
      <c r="AK1069" s="2" t="s">
        <v>2415</v>
      </c>
    </row>
    <row r="1070" customFormat="false" ht="15" hidden="false" customHeight="false" outlineLevel="0" collapsed="false">
      <c r="A1070" s="9"/>
      <c r="B1070" s="2" t="s">
        <v>2416</v>
      </c>
      <c r="C1070" s="2" t="s">
        <v>395</v>
      </c>
      <c r="D1070" s="2" t="s">
        <v>273</v>
      </c>
      <c r="E1070" s="2" t="s">
        <v>273</v>
      </c>
      <c r="F1070" s="2"/>
      <c r="G1070" s="2" t="s">
        <v>348</v>
      </c>
      <c r="H1070" s="8" t="n">
        <v>451.126394652774</v>
      </c>
      <c r="I1070" s="2" t="s">
        <v>316</v>
      </c>
      <c r="J1070" s="8" t="n">
        <v>808075.187969925</v>
      </c>
      <c r="K1070" s="6" t="n">
        <v>133</v>
      </c>
      <c r="L1070" s="2"/>
      <c r="M1070" s="10" t="b">
        <f aca="false">TRUE()</f>
        <v>1</v>
      </c>
      <c r="N1070" s="9" t="str">
        <f aca="false">IF(H1070="","",IF(H1070&gt;=Assumptions!$B$5,1,IF(H1070&gt;=Assumptions!$B$6,2,IF(H1070&gt;=Assumptions!$B$7,3,""))))</f>
        <v/>
      </c>
      <c r="O1070" s="9" t="n">
        <f aca="false">IF(N1070=1,Assumptions!$B$8,IF(N1070=2,Assumptions!$B$9,IF(N1070=3,Assumptions!$B$10,0)))</f>
        <v>0</v>
      </c>
      <c r="P1070" s="6" t="s">
        <v>30</v>
      </c>
      <c r="Q1070" s="6" t="s">
        <v>30</v>
      </c>
      <c r="R1070" s="11" t="s">
        <v>30</v>
      </c>
      <c r="S1070" s="6" t="s">
        <v>30</v>
      </c>
      <c r="T1070" s="11" t="s">
        <v>30</v>
      </c>
      <c r="U1070" s="6" t="s">
        <v>30</v>
      </c>
      <c r="V1070" s="6" t="s">
        <v>30</v>
      </c>
      <c r="W1070" s="6" t="s">
        <v>30</v>
      </c>
      <c r="X1070" s="2" t="s">
        <v>30</v>
      </c>
      <c r="Y1070" s="6" t="str">
        <f aca="false">IF(AND(X1070="processed",ISNUMBER(S1070)),S1070*O1070,"")</f>
        <v/>
      </c>
      <c r="Z1070" s="6" t="n">
        <f aca="false">IF(ISNUMBER(K1070),K1070*O1070,0)</f>
        <v>0</v>
      </c>
      <c r="AA1070" s="2" t="s">
        <v>31</v>
      </c>
      <c r="AB1070" s="6" t="n">
        <v>12935</v>
      </c>
      <c r="AC1070" s="6" t="n">
        <v>11021</v>
      </c>
      <c r="AD1070" s="6" t="n">
        <v>4756</v>
      </c>
      <c r="AE1070" s="6" t="n">
        <v>2094.52221679688</v>
      </c>
      <c r="AF1070" s="8" t="n">
        <v>473.273630418</v>
      </c>
      <c r="AG1070" s="11" t="n">
        <v>0.02417108761</v>
      </c>
      <c r="AH1070" s="12" t="n">
        <v>0.999999999999999</v>
      </c>
      <c r="AI1070" s="2" t="s">
        <v>317</v>
      </c>
      <c r="AJ1070" s="2" t="s">
        <v>395</v>
      </c>
      <c r="AK1070" s="2" t="s">
        <v>395</v>
      </c>
    </row>
    <row r="1071" customFormat="false" ht="15" hidden="false" customHeight="false" outlineLevel="0" collapsed="false">
      <c r="A1071" s="9"/>
      <c r="B1071" s="2" t="s">
        <v>2417</v>
      </c>
      <c r="C1071" s="2" t="s">
        <v>395</v>
      </c>
      <c r="D1071" s="2" t="s">
        <v>273</v>
      </c>
      <c r="E1071" s="2" t="s">
        <v>273</v>
      </c>
      <c r="F1071" s="2"/>
      <c r="G1071" s="2" t="s">
        <v>348</v>
      </c>
      <c r="H1071" s="8" t="n">
        <v>475.554979831957</v>
      </c>
      <c r="I1071" s="2" t="s">
        <v>316</v>
      </c>
      <c r="J1071" s="8" t="n">
        <v>838017.24137931</v>
      </c>
      <c r="K1071" s="6" t="n">
        <v>116</v>
      </c>
      <c r="L1071" s="2"/>
      <c r="M1071" s="10" t="b">
        <f aca="false">TRUE()</f>
        <v>1</v>
      </c>
      <c r="N1071" s="9" t="str">
        <f aca="false">IF(H1071="","",IF(H1071&gt;=Assumptions!$B$5,1,IF(H1071&gt;=Assumptions!$B$6,2,IF(H1071&gt;=Assumptions!$B$7,3,""))))</f>
        <v/>
      </c>
      <c r="O1071" s="9" t="n">
        <f aca="false">IF(N1071=1,Assumptions!$B$8,IF(N1071=2,Assumptions!$B$9,IF(N1071=3,Assumptions!$B$10,0)))</f>
        <v>0</v>
      </c>
      <c r="P1071" s="6" t="s">
        <v>30</v>
      </c>
      <c r="Q1071" s="6" t="s">
        <v>30</v>
      </c>
      <c r="R1071" s="11" t="s">
        <v>30</v>
      </c>
      <c r="S1071" s="6" t="s">
        <v>30</v>
      </c>
      <c r="T1071" s="11" t="s">
        <v>30</v>
      </c>
      <c r="U1071" s="6" t="s">
        <v>30</v>
      </c>
      <c r="V1071" s="6" t="s">
        <v>30</v>
      </c>
      <c r="W1071" s="6" t="s">
        <v>30</v>
      </c>
      <c r="X1071" s="2" t="s">
        <v>30</v>
      </c>
      <c r="Y1071" s="6" t="str">
        <f aca="false">IF(AND(X1071="processed",ISNUMBER(S1071)),S1071*O1071,"")</f>
        <v/>
      </c>
      <c r="Z1071" s="6" t="n">
        <f aca="false">IF(ISNUMBER(K1071),K1071*O1071,0)</f>
        <v>0</v>
      </c>
      <c r="AA1071" s="2" t="s">
        <v>31</v>
      </c>
      <c r="AB1071" s="6" t="n">
        <v>10812</v>
      </c>
      <c r="AC1071" s="6" t="n">
        <v>9584</v>
      </c>
      <c r="AD1071" s="6" t="n">
        <v>7210</v>
      </c>
      <c r="AE1071" s="6" t="n">
        <v>2282.693359375</v>
      </c>
      <c r="AF1071" s="8" t="n">
        <v>501.020702738</v>
      </c>
      <c r="AG1071" s="11" t="n">
        <v>-0.03236604037</v>
      </c>
      <c r="AH1071" s="12" t="n">
        <v>0.988253648320115</v>
      </c>
      <c r="AI1071" s="2" t="s">
        <v>317</v>
      </c>
      <c r="AJ1071" s="2" t="s">
        <v>395</v>
      </c>
      <c r="AK1071" s="2" t="s">
        <v>395</v>
      </c>
    </row>
    <row r="1072" customFormat="false" ht="15" hidden="false" customHeight="false" outlineLevel="0" collapsed="false">
      <c r="A1072" s="9"/>
      <c r="B1072" s="2" t="s">
        <v>2418</v>
      </c>
      <c r="C1072" s="2" t="s">
        <v>2419</v>
      </c>
      <c r="D1072" s="2" t="s">
        <v>273</v>
      </c>
      <c r="E1072" s="2" t="s">
        <v>273</v>
      </c>
      <c r="F1072" s="2"/>
      <c r="G1072" s="2" t="s">
        <v>348</v>
      </c>
      <c r="H1072" s="8" t="n">
        <v>439.944134078</v>
      </c>
      <c r="I1072" s="2" t="s">
        <v>316</v>
      </c>
      <c r="J1072" s="8" t="n">
        <v>315000</v>
      </c>
      <c r="K1072" s="6" t="n">
        <v>1</v>
      </c>
      <c r="L1072" s="2" t="s">
        <v>1664</v>
      </c>
      <c r="M1072" s="10" t="b">
        <f aca="false">TRUE()</f>
        <v>1</v>
      </c>
      <c r="N1072" s="9" t="str">
        <f aca="false">IF(H1072="","",IF(H1072&gt;=Assumptions!$B$5,1,IF(H1072&gt;=Assumptions!$B$6,2,IF(H1072&gt;=Assumptions!$B$7,3,""))))</f>
        <v/>
      </c>
      <c r="O1072" s="9" t="n">
        <f aca="false">IF(N1072=1,Assumptions!$B$8,IF(N1072=2,Assumptions!$B$9,IF(N1072=3,Assumptions!$B$10,0)))</f>
        <v>0</v>
      </c>
      <c r="P1072" s="6" t="s">
        <v>30</v>
      </c>
      <c r="Q1072" s="6" t="s">
        <v>30</v>
      </c>
      <c r="R1072" s="11" t="s">
        <v>30</v>
      </c>
      <c r="S1072" s="6" t="s">
        <v>30</v>
      </c>
      <c r="T1072" s="11" t="s">
        <v>30</v>
      </c>
      <c r="U1072" s="6" t="s">
        <v>30</v>
      </c>
      <c r="V1072" s="6" t="s">
        <v>30</v>
      </c>
      <c r="W1072" s="6" t="s">
        <v>30</v>
      </c>
      <c r="X1072" s="2" t="s">
        <v>30</v>
      </c>
      <c r="Y1072" s="6" t="str">
        <f aca="false">IF(AND(X1072="processed",ISNUMBER(S1072)),S1072*O1072,"")</f>
        <v/>
      </c>
      <c r="Z1072" s="6" t="n">
        <f aca="false">IF(ISNUMBER(K1072),K1072*O1072,0)</f>
        <v>0</v>
      </c>
      <c r="AA1072" s="2" t="s">
        <v>31</v>
      </c>
      <c r="AB1072" s="6" t="n">
        <v>1057</v>
      </c>
      <c r="AC1072" s="6" t="n">
        <v>905</v>
      </c>
      <c r="AD1072" s="6" t="n">
        <v>138</v>
      </c>
      <c r="AE1072" s="6" t="n">
        <v>1900.50061035156</v>
      </c>
      <c r="AF1072" s="8" t="n">
        <v>439.944134078</v>
      </c>
      <c r="AG1072" s="11" t="n">
        <v>0.06325994085</v>
      </c>
      <c r="AH1072" s="12" t="n">
        <v>0.999864660677252</v>
      </c>
      <c r="AI1072" s="2" t="s">
        <v>317</v>
      </c>
      <c r="AJ1072" s="2" t="s">
        <v>2419</v>
      </c>
      <c r="AK1072" s="2" t="s">
        <v>2419</v>
      </c>
    </row>
    <row r="1073" customFormat="false" ht="15" hidden="false" customHeight="false" outlineLevel="0" collapsed="false">
      <c r="A1073" s="9"/>
      <c r="B1073" s="2" t="s">
        <v>2420</v>
      </c>
      <c r="C1073" s="2" t="s">
        <v>2421</v>
      </c>
      <c r="D1073" s="2" t="s">
        <v>273</v>
      </c>
      <c r="E1073" s="2" t="s">
        <v>273</v>
      </c>
      <c r="F1073" s="2"/>
      <c r="G1073" s="2" t="s">
        <v>348</v>
      </c>
      <c r="H1073" s="8" t="n">
        <v>487.540614789066</v>
      </c>
      <c r="I1073" s="2" t="s">
        <v>316</v>
      </c>
      <c r="J1073" s="8" t="n">
        <v>684664.473684211</v>
      </c>
      <c r="K1073" s="6" t="n">
        <v>76</v>
      </c>
      <c r="L1073" s="2"/>
      <c r="M1073" s="10" t="b">
        <f aca="false">TRUE()</f>
        <v>1</v>
      </c>
      <c r="N1073" s="9" t="str">
        <f aca="false">IF(H1073="","",IF(H1073&gt;=Assumptions!$B$5,1,IF(H1073&gt;=Assumptions!$B$6,2,IF(H1073&gt;=Assumptions!$B$7,3,""))))</f>
        <v/>
      </c>
      <c r="O1073" s="9" t="n">
        <f aca="false">IF(N1073=1,Assumptions!$B$8,IF(N1073=2,Assumptions!$B$9,IF(N1073=3,Assumptions!$B$10,0)))</f>
        <v>0</v>
      </c>
      <c r="P1073" s="6" t="s">
        <v>30</v>
      </c>
      <c r="Q1073" s="6" t="s">
        <v>30</v>
      </c>
      <c r="R1073" s="11" t="s">
        <v>30</v>
      </c>
      <c r="S1073" s="6" t="s">
        <v>30</v>
      </c>
      <c r="T1073" s="11" t="s">
        <v>30</v>
      </c>
      <c r="U1073" s="6" t="s">
        <v>30</v>
      </c>
      <c r="V1073" s="6" t="s">
        <v>30</v>
      </c>
      <c r="W1073" s="6" t="s">
        <v>30</v>
      </c>
      <c r="X1073" s="2" t="s">
        <v>30</v>
      </c>
      <c r="Y1073" s="6" t="str">
        <f aca="false">IF(AND(X1073="processed",ISNUMBER(S1073)),S1073*O1073,"")</f>
        <v/>
      </c>
      <c r="Z1073" s="6" t="n">
        <f aca="false">IF(ISNUMBER(K1073),K1073*O1073,0)</f>
        <v>0</v>
      </c>
      <c r="AA1073" s="2" t="s">
        <v>31</v>
      </c>
      <c r="AB1073" s="6" t="n">
        <v>5576</v>
      </c>
      <c r="AC1073" s="6" t="n">
        <v>4532</v>
      </c>
      <c r="AD1073" s="6" t="n">
        <v>4444</v>
      </c>
      <c r="AE1073" s="6" t="n">
        <v>2181.78564453125</v>
      </c>
      <c r="AF1073" s="8" t="n">
        <v>488.897828039</v>
      </c>
      <c r="AG1073" s="11" t="n">
        <v>0.019183832</v>
      </c>
      <c r="AH1073" s="12" t="n">
        <v>0.842125457870151</v>
      </c>
      <c r="AI1073" s="2" t="s">
        <v>317</v>
      </c>
      <c r="AJ1073" s="2" t="s">
        <v>2421</v>
      </c>
      <c r="AK1073" s="2" t="s">
        <v>2421</v>
      </c>
    </row>
    <row r="1074" customFormat="false" ht="15" hidden="false" customHeight="false" outlineLevel="0" collapsed="false">
      <c r="A1074" s="9"/>
      <c r="B1074" s="2" t="s">
        <v>2422</v>
      </c>
      <c r="C1074" s="2" t="s">
        <v>2423</v>
      </c>
      <c r="D1074" s="2" t="s">
        <v>273</v>
      </c>
      <c r="E1074" s="2" t="s">
        <v>273</v>
      </c>
      <c r="F1074" s="2"/>
      <c r="G1074" s="2"/>
      <c r="H1074" s="8"/>
      <c r="I1074" s="2"/>
      <c r="J1074" s="8"/>
      <c r="K1074" s="6"/>
      <c r="L1074" s="2"/>
      <c r="M1074" s="10" t="b">
        <f aca="false">TRUE()</f>
        <v>1</v>
      </c>
      <c r="N1074" s="9" t="str">
        <f aca="false">IF(H1074="","",IF(H1074&gt;=Assumptions!$B$5,1,IF(H1074&gt;=Assumptions!$B$6,2,IF(H1074&gt;=Assumptions!$B$7,3,""))))</f>
        <v/>
      </c>
      <c r="O1074" s="9" t="n">
        <f aca="false">IF(N1074=1,Assumptions!$B$8,IF(N1074=2,Assumptions!$B$9,IF(N1074=3,Assumptions!$B$10,0)))</f>
        <v>0</v>
      </c>
      <c r="P1074" s="6" t="s">
        <v>30</v>
      </c>
      <c r="Q1074" s="6" t="s">
        <v>30</v>
      </c>
      <c r="R1074" s="11" t="s">
        <v>30</v>
      </c>
      <c r="S1074" s="6" t="s">
        <v>30</v>
      </c>
      <c r="T1074" s="11" t="s">
        <v>30</v>
      </c>
      <c r="U1074" s="6" t="s">
        <v>30</v>
      </c>
      <c r="V1074" s="6" t="s">
        <v>30</v>
      </c>
      <c r="W1074" s="6" t="s">
        <v>30</v>
      </c>
      <c r="X1074" s="2" t="s">
        <v>30</v>
      </c>
      <c r="Y1074" s="6" t="str">
        <f aca="false">IF(AND(X1074="processed",ISNUMBER(S1074)),S1074*O1074,"")</f>
        <v/>
      </c>
      <c r="Z1074" s="6" t="n">
        <f aca="false">IF(ISNUMBER(K1074),K1074*O1074,0)</f>
        <v>0</v>
      </c>
      <c r="AA1074" s="2" t="s">
        <v>31</v>
      </c>
      <c r="AB1074" s="6" t="n">
        <v>125</v>
      </c>
      <c r="AC1074" s="6" t="n">
        <v>78</v>
      </c>
      <c r="AD1074" s="6" t="n">
        <v>85</v>
      </c>
      <c r="AE1074" s="6" t="n">
        <v>1584.4765625</v>
      </c>
      <c r="AF1074" s="8"/>
      <c r="AG1074" s="11"/>
      <c r="AH1074" s="12" t="n">
        <v>0.82322326724261</v>
      </c>
      <c r="AI1074" s="2" t="s">
        <v>1597</v>
      </c>
      <c r="AJ1074" s="2"/>
      <c r="AK1074" s="2" t="s">
        <v>2423</v>
      </c>
    </row>
    <row r="1075" customFormat="false" ht="15" hidden="false" customHeight="false" outlineLevel="0" collapsed="false">
      <c r="A1075" s="9"/>
      <c r="B1075" s="2" t="s">
        <v>2424</v>
      </c>
      <c r="C1075" s="2" t="s">
        <v>2425</v>
      </c>
      <c r="D1075" s="2" t="s">
        <v>273</v>
      </c>
      <c r="E1075" s="2" t="s">
        <v>273</v>
      </c>
      <c r="F1075" s="2"/>
      <c r="G1075" s="2"/>
      <c r="H1075" s="8"/>
      <c r="I1075" s="2"/>
      <c r="J1075" s="8"/>
      <c r="K1075" s="6"/>
      <c r="L1075" s="2"/>
      <c r="M1075" s="10" t="b">
        <f aca="false">TRUE()</f>
        <v>1</v>
      </c>
      <c r="N1075" s="9" t="str">
        <f aca="false">IF(H1075="","",IF(H1075&gt;=Assumptions!$B$5,1,IF(H1075&gt;=Assumptions!$B$6,2,IF(H1075&gt;=Assumptions!$B$7,3,""))))</f>
        <v/>
      </c>
      <c r="O1075" s="9" t="n">
        <f aca="false">IF(N1075=1,Assumptions!$B$8,IF(N1075=2,Assumptions!$B$9,IF(N1075=3,Assumptions!$B$10,0)))</f>
        <v>0</v>
      </c>
      <c r="P1075" s="6" t="s">
        <v>30</v>
      </c>
      <c r="Q1075" s="6" t="s">
        <v>30</v>
      </c>
      <c r="R1075" s="11" t="s">
        <v>30</v>
      </c>
      <c r="S1075" s="6" t="s">
        <v>30</v>
      </c>
      <c r="T1075" s="11" t="s">
        <v>30</v>
      </c>
      <c r="U1075" s="6" t="s">
        <v>30</v>
      </c>
      <c r="V1075" s="6" t="s">
        <v>30</v>
      </c>
      <c r="W1075" s="6" t="s">
        <v>30</v>
      </c>
      <c r="X1075" s="2" t="s">
        <v>30</v>
      </c>
      <c r="Y1075" s="6" t="str">
        <f aca="false">IF(AND(X1075="processed",ISNUMBER(S1075)),S1075*O1075,"")</f>
        <v/>
      </c>
      <c r="Z1075" s="6" t="n">
        <f aca="false">IF(ISNUMBER(K1075),K1075*O1075,0)</f>
        <v>0</v>
      </c>
      <c r="AA1075" s="2" t="s">
        <v>31</v>
      </c>
      <c r="AB1075" s="6" t="n">
        <v>131</v>
      </c>
      <c r="AC1075" s="6" t="n">
        <v>80</v>
      </c>
      <c r="AD1075" s="6" t="n">
        <v>92</v>
      </c>
      <c r="AE1075" s="6" t="n">
        <v>2108.296875</v>
      </c>
      <c r="AF1075" s="8"/>
      <c r="AG1075" s="11"/>
      <c r="AH1075" s="12" t="n">
        <v>1</v>
      </c>
      <c r="AI1075" s="2" t="s">
        <v>317</v>
      </c>
      <c r="AJ1075" s="2" t="s">
        <v>2425</v>
      </c>
      <c r="AK1075" s="2" t="s">
        <v>2421</v>
      </c>
    </row>
    <row r="1076" customFormat="false" ht="15" hidden="false" customHeight="false" outlineLevel="0" collapsed="false">
      <c r="A1076" s="9"/>
      <c r="B1076" s="2" t="s">
        <v>2426</v>
      </c>
      <c r="C1076" s="2" t="s">
        <v>2427</v>
      </c>
      <c r="D1076" s="2" t="s">
        <v>273</v>
      </c>
      <c r="E1076" s="2" t="s">
        <v>273</v>
      </c>
      <c r="F1076" s="2"/>
      <c r="G1076" s="2" t="s">
        <v>348</v>
      </c>
      <c r="H1076" s="8" t="n">
        <v>424.672380591535</v>
      </c>
      <c r="I1076" s="2" t="s">
        <v>316</v>
      </c>
      <c r="J1076" s="8" t="n">
        <v>757069.767441861</v>
      </c>
      <c r="K1076" s="6" t="n">
        <v>129</v>
      </c>
      <c r="L1076" s="2"/>
      <c r="M1076" s="10" t="b">
        <f aca="false">TRUE()</f>
        <v>1</v>
      </c>
      <c r="N1076" s="9" t="str">
        <f aca="false">IF(H1076="","",IF(H1076&gt;=Assumptions!$B$5,1,IF(H1076&gt;=Assumptions!$B$6,2,IF(H1076&gt;=Assumptions!$B$7,3,""))))</f>
        <v/>
      </c>
      <c r="O1076" s="9" t="n">
        <f aca="false">IF(N1076=1,Assumptions!$B$8,IF(N1076=2,Assumptions!$B$9,IF(N1076=3,Assumptions!$B$10,0)))</f>
        <v>0</v>
      </c>
      <c r="P1076" s="6" t="s">
        <v>30</v>
      </c>
      <c r="Q1076" s="6" t="s">
        <v>30</v>
      </c>
      <c r="R1076" s="11" t="s">
        <v>30</v>
      </c>
      <c r="S1076" s="6" t="s">
        <v>30</v>
      </c>
      <c r="T1076" s="11" t="s">
        <v>30</v>
      </c>
      <c r="U1076" s="6" t="s">
        <v>30</v>
      </c>
      <c r="V1076" s="6" t="s">
        <v>30</v>
      </c>
      <c r="W1076" s="6" t="s">
        <v>30</v>
      </c>
      <c r="X1076" s="2" t="s">
        <v>30</v>
      </c>
      <c r="Y1076" s="6" t="str">
        <f aca="false">IF(AND(X1076="processed",ISNUMBER(S1076)),S1076*O1076,"")</f>
        <v/>
      </c>
      <c r="Z1076" s="6" t="n">
        <f aca="false">IF(ISNUMBER(K1076),K1076*O1076,0)</f>
        <v>0</v>
      </c>
      <c r="AA1076" s="2" t="s">
        <v>31</v>
      </c>
      <c r="AB1076" s="6" t="n">
        <v>12171</v>
      </c>
      <c r="AC1076" s="6" t="n">
        <v>10519</v>
      </c>
      <c r="AD1076" s="6" t="n">
        <v>9468</v>
      </c>
      <c r="AE1076" s="6" t="n">
        <v>1911.93029785156</v>
      </c>
      <c r="AF1076" s="8" t="n">
        <v>438.278595696</v>
      </c>
      <c r="AG1076" s="11" t="n">
        <v>0.06556879996</v>
      </c>
      <c r="AH1076" s="12" t="n">
        <v>0.999999999999992</v>
      </c>
      <c r="AI1076" s="2" t="s">
        <v>317</v>
      </c>
      <c r="AJ1076" s="2" t="s">
        <v>2427</v>
      </c>
      <c r="AK1076" s="2" t="s">
        <v>2427</v>
      </c>
    </row>
    <row r="1077" customFormat="false" ht="15" hidden="false" customHeight="false" outlineLevel="0" collapsed="false">
      <c r="A1077" s="9"/>
      <c r="B1077" s="2" t="s">
        <v>2428</v>
      </c>
      <c r="C1077" s="2" t="s">
        <v>2429</v>
      </c>
      <c r="D1077" s="2" t="s">
        <v>273</v>
      </c>
      <c r="E1077" s="2" t="s">
        <v>273</v>
      </c>
      <c r="F1077" s="2" t="s">
        <v>2430</v>
      </c>
      <c r="G1077" s="2" t="s">
        <v>348</v>
      </c>
      <c r="H1077" s="8" t="n">
        <v>478.158579383164</v>
      </c>
      <c r="I1077" s="2" t="s">
        <v>316</v>
      </c>
      <c r="J1077" s="8" t="n">
        <v>857540.298507463</v>
      </c>
      <c r="K1077" s="6" t="n">
        <v>335</v>
      </c>
      <c r="L1077" s="2"/>
      <c r="M1077" s="10" t="b">
        <f aca="false">TRUE()</f>
        <v>1</v>
      </c>
      <c r="N1077" s="9" t="str">
        <f aca="false">IF(H1077="","",IF(H1077&gt;=Assumptions!$B$5,1,IF(H1077&gt;=Assumptions!$B$6,2,IF(H1077&gt;=Assumptions!$B$7,3,""))))</f>
        <v/>
      </c>
      <c r="O1077" s="9" t="n">
        <f aca="false">IF(N1077=1,Assumptions!$B$8,IF(N1077=2,Assumptions!$B$9,IF(N1077=3,Assumptions!$B$10,0)))</f>
        <v>0</v>
      </c>
      <c r="P1077" s="6" t="s">
        <v>30</v>
      </c>
      <c r="Q1077" s="6" t="s">
        <v>30</v>
      </c>
      <c r="R1077" s="11" t="s">
        <v>30</v>
      </c>
      <c r="S1077" s="6" t="s">
        <v>30</v>
      </c>
      <c r="T1077" s="11" t="s">
        <v>30</v>
      </c>
      <c r="U1077" s="6" t="s">
        <v>30</v>
      </c>
      <c r="V1077" s="6" t="s">
        <v>30</v>
      </c>
      <c r="W1077" s="6" t="s">
        <v>30</v>
      </c>
      <c r="X1077" s="2" t="s">
        <v>30</v>
      </c>
      <c r="Y1077" s="6" t="str">
        <f aca="false">IF(AND(X1077="processed",ISNUMBER(S1077)),S1077*O1077,"")</f>
        <v/>
      </c>
      <c r="Z1077" s="6" t="n">
        <f aca="false">IF(ISNUMBER(K1077),K1077*O1077,0)</f>
        <v>0</v>
      </c>
      <c r="AA1077" s="2" t="s">
        <v>31</v>
      </c>
      <c r="AB1077" s="6" t="n">
        <v>18085</v>
      </c>
      <c r="AC1077" s="6" t="n">
        <v>16584</v>
      </c>
      <c r="AD1077" s="6" t="n">
        <v>327</v>
      </c>
      <c r="AE1077" s="6" t="n">
        <v>2534.77587890625</v>
      </c>
      <c r="AF1077" s="8" t="n">
        <v>479.302832244</v>
      </c>
      <c r="AG1077" s="11" t="n">
        <v>-0.03885296312</v>
      </c>
      <c r="AH1077" s="12" t="n">
        <v>0.999984654369159</v>
      </c>
      <c r="AI1077" s="2" t="s">
        <v>317</v>
      </c>
      <c r="AJ1077" s="2" t="s">
        <v>2429</v>
      </c>
      <c r="AK1077" s="2" t="s">
        <v>2429</v>
      </c>
    </row>
    <row r="1078" customFormat="false" ht="15" hidden="false" customHeight="false" outlineLevel="0" collapsed="false">
      <c r="A1078" s="9"/>
      <c r="B1078" s="2" t="s">
        <v>2431</v>
      </c>
      <c r="C1078" s="2" t="s">
        <v>2432</v>
      </c>
      <c r="D1078" s="2" t="s">
        <v>273</v>
      </c>
      <c r="E1078" s="2" t="s">
        <v>273</v>
      </c>
      <c r="F1078" s="2"/>
      <c r="G1078" s="2"/>
      <c r="H1078" s="8"/>
      <c r="I1078" s="2"/>
      <c r="J1078" s="8"/>
      <c r="K1078" s="6"/>
      <c r="L1078" s="2"/>
      <c r="M1078" s="10" t="b">
        <f aca="false">TRUE()</f>
        <v>1</v>
      </c>
      <c r="N1078" s="9" t="str">
        <f aca="false">IF(H1078="","",IF(H1078&gt;=Assumptions!$B$5,1,IF(H1078&gt;=Assumptions!$B$6,2,IF(H1078&gt;=Assumptions!$B$7,3,""))))</f>
        <v/>
      </c>
      <c r="O1078" s="9" t="n">
        <f aca="false">IF(N1078=1,Assumptions!$B$8,IF(N1078=2,Assumptions!$B$9,IF(N1078=3,Assumptions!$B$10,0)))</f>
        <v>0</v>
      </c>
      <c r="P1078" s="6" t="s">
        <v>30</v>
      </c>
      <c r="Q1078" s="6" t="s">
        <v>30</v>
      </c>
      <c r="R1078" s="11" t="s">
        <v>30</v>
      </c>
      <c r="S1078" s="6" t="s">
        <v>30</v>
      </c>
      <c r="T1078" s="11" t="s">
        <v>30</v>
      </c>
      <c r="U1078" s="6" t="s">
        <v>30</v>
      </c>
      <c r="V1078" s="6" t="s">
        <v>30</v>
      </c>
      <c r="W1078" s="6" t="s">
        <v>30</v>
      </c>
      <c r="X1078" s="2" t="s">
        <v>30</v>
      </c>
      <c r="Y1078" s="6" t="str">
        <f aca="false">IF(AND(X1078="processed",ISNUMBER(S1078)),S1078*O1078,"")</f>
        <v/>
      </c>
      <c r="Z1078" s="6" t="n">
        <f aca="false">IF(ISNUMBER(K1078),K1078*O1078,0)</f>
        <v>0</v>
      </c>
      <c r="AA1078" s="2" t="s">
        <v>31</v>
      </c>
      <c r="AB1078" s="6" t="n">
        <v>236</v>
      </c>
      <c r="AC1078" s="6" t="n">
        <v>149</v>
      </c>
      <c r="AD1078" s="6" t="n">
        <v>134</v>
      </c>
      <c r="AE1078" s="6" t="n">
        <v>1369.57202148438</v>
      </c>
      <c r="AF1078" s="8"/>
      <c r="AG1078" s="11"/>
      <c r="AH1078" s="12" t="n">
        <v>0.999999999999999</v>
      </c>
      <c r="AI1078" s="2" t="s">
        <v>319</v>
      </c>
      <c r="AJ1078" s="2"/>
      <c r="AK1078" s="2" t="s">
        <v>2432</v>
      </c>
    </row>
    <row r="1079" customFormat="false" ht="15" hidden="false" customHeight="false" outlineLevel="0" collapsed="false">
      <c r="A1079" s="9"/>
      <c r="B1079" s="2" t="s">
        <v>2433</v>
      </c>
      <c r="C1079" s="2" t="s">
        <v>2429</v>
      </c>
      <c r="D1079" s="2" t="s">
        <v>273</v>
      </c>
      <c r="E1079" s="2" t="s">
        <v>273</v>
      </c>
      <c r="F1079" s="2" t="s">
        <v>2434</v>
      </c>
      <c r="G1079" s="2" t="s">
        <v>348</v>
      </c>
      <c r="H1079" s="8" t="n">
        <v>487.56653504921</v>
      </c>
      <c r="I1079" s="2" t="s">
        <v>316</v>
      </c>
      <c r="J1079" s="8" t="n">
        <v>868013.812154696</v>
      </c>
      <c r="K1079" s="6" t="n">
        <v>543</v>
      </c>
      <c r="L1079" s="2"/>
      <c r="M1079" s="10" t="b">
        <f aca="false">TRUE()</f>
        <v>1</v>
      </c>
      <c r="N1079" s="9" t="str">
        <f aca="false">IF(H1079="","",IF(H1079&gt;=Assumptions!$B$5,1,IF(H1079&gt;=Assumptions!$B$6,2,IF(H1079&gt;=Assumptions!$B$7,3,""))))</f>
        <v/>
      </c>
      <c r="O1079" s="9" t="n">
        <f aca="false">IF(N1079=1,Assumptions!$B$8,IF(N1079=2,Assumptions!$B$9,IF(N1079=3,Assumptions!$B$10,0)))</f>
        <v>0</v>
      </c>
      <c r="P1079" s="6" t="s">
        <v>30</v>
      </c>
      <c r="Q1079" s="6" t="s">
        <v>30</v>
      </c>
      <c r="R1079" s="11" t="s">
        <v>30</v>
      </c>
      <c r="S1079" s="6" t="s">
        <v>30</v>
      </c>
      <c r="T1079" s="11" t="s">
        <v>30</v>
      </c>
      <c r="U1079" s="6" t="s">
        <v>30</v>
      </c>
      <c r="V1079" s="6" t="s">
        <v>30</v>
      </c>
      <c r="W1079" s="6" t="s">
        <v>30</v>
      </c>
      <c r="X1079" s="2" t="s">
        <v>30</v>
      </c>
      <c r="Y1079" s="6" t="str">
        <f aca="false">IF(AND(X1079="processed",ISNUMBER(S1079)),S1079*O1079,"")</f>
        <v/>
      </c>
      <c r="Z1079" s="6" t="n">
        <f aca="false">IF(ISNUMBER(K1079),K1079*O1079,0)</f>
        <v>0</v>
      </c>
      <c r="AA1079" s="2" t="s">
        <v>31</v>
      </c>
      <c r="AB1079" s="6" t="n">
        <v>23404</v>
      </c>
      <c r="AC1079" s="6" t="n">
        <v>21189</v>
      </c>
      <c r="AD1079" s="6" t="n">
        <v>211</v>
      </c>
      <c r="AE1079" s="6" t="n">
        <v>2462.4140625</v>
      </c>
      <c r="AF1079" s="8" t="n">
        <v>506.979539011</v>
      </c>
      <c r="AG1079" s="11" t="n">
        <v>0.0228534559</v>
      </c>
      <c r="AH1079" s="12" t="n">
        <v>0.999999999999998</v>
      </c>
      <c r="AI1079" s="2" t="s">
        <v>317</v>
      </c>
      <c r="AJ1079" s="2" t="s">
        <v>2429</v>
      </c>
      <c r="AK1079" s="2" t="s">
        <v>2429</v>
      </c>
    </row>
    <row r="1080" customFormat="false" ht="15" hidden="false" customHeight="false" outlineLevel="0" collapsed="false">
      <c r="A1080" s="9"/>
      <c r="B1080" s="2" t="s">
        <v>2435</v>
      </c>
      <c r="C1080" s="2" t="s">
        <v>2436</v>
      </c>
      <c r="D1080" s="2" t="s">
        <v>2437</v>
      </c>
      <c r="E1080" s="2" t="s">
        <v>51</v>
      </c>
      <c r="F1080" s="2"/>
      <c r="G1080" s="2" t="s">
        <v>2438</v>
      </c>
      <c r="H1080" s="8" t="n">
        <v>165.8329298896</v>
      </c>
      <c r="I1080" s="2" t="s">
        <v>316</v>
      </c>
      <c r="J1080" s="8" t="n">
        <v>183000</v>
      </c>
      <c r="K1080" s="6" t="n">
        <v>5</v>
      </c>
      <c r="L1080" s="2"/>
      <c r="M1080" s="10" t="b">
        <f aca="false">TRUE()</f>
        <v>1</v>
      </c>
      <c r="N1080" s="9" t="str">
        <f aca="false">IF(H1080="","",IF(H1080&gt;=Assumptions!$B$5,1,IF(H1080&gt;=Assumptions!$B$6,2,IF(H1080&gt;=Assumptions!$B$7,3,""))))</f>
        <v/>
      </c>
      <c r="O1080" s="9" t="n">
        <f aca="false">IF(N1080=1,Assumptions!$B$8,IF(N1080=2,Assumptions!$B$9,IF(N1080=3,Assumptions!$B$10,0)))</f>
        <v>0</v>
      </c>
      <c r="P1080" s="6" t="s">
        <v>30</v>
      </c>
      <c r="Q1080" s="6" t="s">
        <v>30</v>
      </c>
      <c r="R1080" s="11" t="s">
        <v>30</v>
      </c>
      <c r="S1080" s="6" t="s">
        <v>30</v>
      </c>
      <c r="T1080" s="11" t="s">
        <v>30</v>
      </c>
      <c r="U1080" s="6" t="s">
        <v>30</v>
      </c>
      <c r="V1080" s="6" t="s">
        <v>30</v>
      </c>
      <c r="W1080" s="6" t="s">
        <v>30</v>
      </c>
      <c r="X1080" s="2" t="s">
        <v>30</v>
      </c>
      <c r="Y1080" s="6" t="str">
        <f aca="false">IF(AND(X1080="processed",ISNUMBER(S1080)),S1080*O1080,"")</f>
        <v/>
      </c>
      <c r="Z1080" s="6" t="n">
        <f aca="false">IF(ISNUMBER(K1080),K1080*O1080,0)</f>
        <v>0</v>
      </c>
      <c r="AA1080" s="2" t="s">
        <v>31</v>
      </c>
      <c r="AB1080" s="6" t="n">
        <v>838</v>
      </c>
      <c r="AC1080" s="6" t="n">
        <v>674</v>
      </c>
      <c r="AD1080" s="6" t="n">
        <v>820</v>
      </c>
      <c r="AE1080" s="6" t="n">
        <v>1583.83532714844</v>
      </c>
      <c r="AF1080" s="8" t="n">
        <v>227.272727273</v>
      </c>
      <c r="AG1080" s="11" t="n">
        <v>-0.2507822604</v>
      </c>
      <c r="AH1080" s="12" t="n">
        <v>0.866706467803471</v>
      </c>
      <c r="AI1080" s="2" t="s">
        <v>317</v>
      </c>
      <c r="AJ1080" s="2" t="s">
        <v>2436</v>
      </c>
      <c r="AK1080" s="2" t="s">
        <v>2436</v>
      </c>
    </row>
    <row r="1081" customFormat="false" ht="15" hidden="false" customHeight="false" outlineLevel="0" collapsed="false">
      <c r="A1081" s="9"/>
      <c r="B1081" s="2" t="s">
        <v>2439</v>
      </c>
      <c r="C1081" s="2" t="s">
        <v>2440</v>
      </c>
      <c r="D1081" s="2" t="s">
        <v>2441</v>
      </c>
      <c r="E1081" s="2" t="s">
        <v>51</v>
      </c>
      <c r="F1081" s="2"/>
      <c r="G1081" s="2" t="s">
        <v>2442</v>
      </c>
      <c r="H1081" s="8" t="n">
        <v>231.634845591926</v>
      </c>
      <c r="I1081" s="2" t="s">
        <v>316</v>
      </c>
      <c r="J1081" s="8" t="n">
        <v>325777.777777778</v>
      </c>
      <c r="K1081" s="6" t="n">
        <v>27</v>
      </c>
      <c r="L1081" s="2"/>
      <c r="M1081" s="10" t="b">
        <f aca="false">TRUE()</f>
        <v>1</v>
      </c>
      <c r="N1081" s="9" t="str">
        <f aca="false">IF(H1081="","",IF(H1081&gt;=Assumptions!$B$5,1,IF(H1081&gt;=Assumptions!$B$6,2,IF(H1081&gt;=Assumptions!$B$7,3,""))))</f>
        <v/>
      </c>
      <c r="O1081" s="9" t="n">
        <f aca="false">IF(N1081=1,Assumptions!$B$8,IF(N1081=2,Assumptions!$B$9,IF(N1081=3,Assumptions!$B$10,0)))</f>
        <v>0</v>
      </c>
      <c r="P1081" s="6" t="s">
        <v>30</v>
      </c>
      <c r="Q1081" s="6" t="s">
        <v>30</v>
      </c>
      <c r="R1081" s="11" t="s">
        <v>30</v>
      </c>
      <c r="S1081" s="6" t="s">
        <v>30</v>
      </c>
      <c r="T1081" s="11" t="s">
        <v>30</v>
      </c>
      <c r="U1081" s="6" t="s">
        <v>30</v>
      </c>
      <c r="V1081" s="6" t="s">
        <v>30</v>
      </c>
      <c r="W1081" s="6" t="s">
        <v>30</v>
      </c>
      <c r="X1081" s="2" t="s">
        <v>30</v>
      </c>
      <c r="Y1081" s="6" t="str">
        <f aca="false">IF(AND(X1081="processed",ISNUMBER(S1081)),S1081*O1081,"")</f>
        <v/>
      </c>
      <c r="Z1081" s="6" t="n">
        <f aca="false">IF(ISNUMBER(K1081),K1081*O1081,0)</f>
        <v>0</v>
      </c>
      <c r="AA1081" s="2" t="s">
        <v>31</v>
      </c>
      <c r="AB1081" s="6" t="n">
        <v>1368</v>
      </c>
      <c r="AC1081" s="6" t="n">
        <v>1288</v>
      </c>
      <c r="AD1081" s="6" t="n">
        <v>778</v>
      </c>
      <c r="AE1081" s="6" t="n">
        <v>2078.48657226563</v>
      </c>
      <c r="AF1081" s="8" t="n">
        <v>258.928571429</v>
      </c>
      <c r="AG1081" s="11" t="n">
        <v>-0.00637378354</v>
      </c>
      <c r="AH1081" s="12" t="n">
        <v>0.999999999999999</v>
      </c>
      <c r="AI1081" s="2" t="s">
        <v>317</v>
      </c>
      <c r="AJ1081" s="2" t="s">
        <v>2440</v>
      </c>
      <c r="AK1081" s="2" t="s">
        <v>2440</v>
      </c>
    </row>
    <row r="1082" customFormat="false" ht="15" hidden="false" customHeight="false" outlineLevel="0" collapsed="false">
      <c r="A1082" s="9"/>
      <c r="B1082" s="2" t="s">
        <v>2443</v>
      </c>
      <c r="C1082" s="2" t="s">
        <v>2444</v>
      </c>
      <c r="D1082" s="2" t="s">
        <v>2445</v>
      </c>
      <c r="E1082" s="2" t="s">
        <v>51</v>
      </c>
      <c r="F1082" s="2"/>
      <c r="G1082" s="2" t="s">
        <v>2446</v>
      </c>
      <c r="H1082" s="8" t="n">
        <v>225.0743733106</v>
      </c>
      <c r="I1082" s="2" t="s">
        <v>316</v>
      </c>
      <c r="J1082" s="8" t="n">
        <v>339360</v>
      </c>
      <c r="K1082" s="6" t="n">
        <v>25</v>
      </c>
      <c r="L1082" s="2"/>
      <c r="M1082" s="10" t="b">
        <f aca="false">TRUE()</f>
        <v>1</v>
      </c>
      <c r="N1082" s="9" t="str">
        <f aca="false">IF(H1082="","",IF(H1082&gt;=Assumptions!$B$5,1,IF(H1082&gt;=Assumptions!$B$6,2,IF(H1082&gt;=Assumptions!$B$7,3,""))))</f>
        <v/>
      </c>
      <c r="O1082" s="9" t="n">
        <f aca="false">IF(N1082=1,Assumptions!$B$8,IF(N1082=2,Assumptions!$B$9,IF(N1082=3,Assumptions!$B$10,0)))</f>
        <v>0</v>
      </c>
      <c r="P1082" s="6" t="s">
        <v>30</v>
      </c>
      <c r="Q1082" s="6" t="s">
        <v>30</v>
      </c>
      <c r="R1082" s="11" t="s">
        <v>30</v>
      </c>
      <c r="S1082" s="6" t="s">
        <v>30</v>
      </c>
      <c r="T1082" s="11" t="s">
        <v>30</v>
      </c>
      <c r="U1082" s="6" t="s">
        <v>30</v>
      </c>
      <c r="V1082" s="6" t="s">
        <v>30</v>
      </c>
      <c r="W1082" s="6" t="s">
        <v>30</v>
      </c>
      <c r="X1082" s="2" t="s">
        <v>30</v>
      </c>
      <c r="Y1082" s="6" t="str">
        <f aca="false">IF(AND(X1082="processed",ISNUMBER(S1082)),S1082*O1082,"")</f>
        <v/>
      </c>
      <c r="Z1082" s="6" t="n">
        <f aca="false">IF(ISNUMBER(K1082),K1082*O1082,0)</f>
        <v>0</v>
      </c>
      <c r="AA1082" s="2" t="s">
        <v>31</v>
      </c>
      <c r="AB1082" s="6" t="n">
        <v>6295</v>
      </c>
      <c r="AC1082" s="6" t="n">
        <v>5421</v>
      </c>
      <c r="AD1082" s="6" t="n">
        <v>3495</v>
      </c>
      <c r="AE1082" s="6" t="n">
        <v>2107.369140625</v>
      </c>
      <c r="AF1082" s="8" t="n">
        <v>229.904361717</v>
      </c>
      <c r="AG1082" s="11" t="n">
        <v>0.034236433</v>
      </c>
      <c r="AH1082" s="12" t="n">
        <v>1</v>
      </c>
      <c r="AI1082" s="2" t="s">
        <v>319</v>
      </c>
      <c r="AJ1082" s="2"/>
      <c r="AK1082" s="2" t="s">
        <v>2444</v>
      </c>
    </row>
    <row r="1083" customFormat="false" ht="15" hidden="false" customHeight="false" outlineLevel="0" collapsed="false">
      <c r="A1083" s="9"/>
      <c r="B1083" s="2" t="s">
        <v>2447</v>
      </c>
      <c r="C1083" s="2" t="s">
        <v>2448</v>
      </c>
      <c r="D1083" s="2" t="s">
        <v>2441</v>
      </c>
      <c r="E1083" s="2" t="s">
        <v>51</v>
      </c>
      <c r="F1083" s="2"/>
      <c r="G1083" s="2" t="s">
        <v>2442</v>
      </c>
      <c r="H1083" s="8" t="n">
        <v>220.237657372083</v>
      </c>
      <c r="I1083" s="2" t="s">
        <v>316</v>
      </c>
      <c r="J1083" s="8" t="n">
        <v>321944.444444444</v>
      </c>
      <c r="K1083" s="6" t="n">
        <v>36</v>
      </c>
      <c r="L1083" s="2"/>
      <c r="M1083" s="10" t="b">
        <f aca="false">TRUE()</f>
        <v>1</v>
      </c>
      <c r="N1083" s="9" t="str">
        <f aca="false">IF(H1083="","",IF(H1083&gt;=Assumptions!$B$5,1,IF(H1083&gt;=Assumptions!$B$6,2,IF(H1083&gt;=Assumptions!$B$7,3,""))))</f>
        <v/>
      </c>
      <c r="O1083" s="9" t="n">
        <f aca="false">IF(N1083=1,Assumptions!$B$8,IF(N1083=2,Assumptions!$B$9,IF(N1083=3,Assumptions!$B$10,0)))</f>
        <v>0</v>
      </c>
      <c r="P1083" s="6" t="s">
        <v>30</v>
      </c>
      <c r="Q1083" s="6" t="s">
        <v>30</v>
      </c>
      <c r="R1083" s="11" t="s">
        <v>30</v>
      </c>
      <c r="S1083" s="6" t="s">
        <v>30</v>
      </c>
      <c r="T1083" s="11" t="s">
        <v>30</v>
      </c>
      <c r="U1083" s="6" t="s">
        <v>30</v>
      </c>
      <c r="V1083" s="6" t="s">
        <v>30</v>
      </c>
      <c r="W1083" s="6" t="s">
        <v>30</v>
      </c>
      <c r="X1083" s="2" t="s">
        <v>30</v>
      </c>
      <c r="Y1083" s="6" t="str">
        <f aca="false">IF(AND(X1083="processed",ISNUMBER(S1083)),S1083*O1083,"")</f>
        <v/>
      </c>
      <c r="Z1083" s="6" t="n">
        <f aca="false">IF(ISNUMBER(K1083),K1083*O1083,0)</f>
        <v>0</v>
      </c>
      <c r="AA1083" s="2" t="s">
        <v>31</v>
      </c>
      <c r="AB1083" s="6" t="n">
        <v>2876</v>
      </c>
      <c r="AC1083" s="6" t="n">
        <v>2459</v>
      </c>
      <c r="AD1083" s="6" t="n">
        <v>2020</v>
      </c>
      <c r="AE1083" s="6" t="n">
        <v>1927.84143066406</v>
      </c>
      <c r="AF1083" s="8" t="n">
        <v>198.675496689</v>
      </c>
      <c r="AG1083" s="11" t="n">
        <v>-0.04729254679</v>
      </c>
      <c r="AH1083" s="12" t="n">
        <v>0.999209686059144</v>
      </c>
      <c r="AI1083" s="2" t="s">
        <v>317</v>
      </c>
      <c r="AJ1083" s="2" t="s">
        <v>2448</v>
      </c>
      <c r="AK1083" s="2" t="s">
        <v>2448</v>
      </c>
    </row>
    <row r="1084" customFormat="false" ht="15" hidden="false" customHeight="false" outlineLevel="0" collapsed="false">
      <c r="A1084" s="9"/>
      <c r="B1084" s="2" t="s">
        <v>2449</v>
      </c>
      <c r="C1084" s="2" t="s">
        <v>2450</v>
      </c>
      <c r="D1084" s="2" t="s">
        <v>2445</v>
      </c>
      <c r="E1084" s="2" t="s">
        <v>51</v>
      </c>
      <c r="F1084" s="2"/>
      <c r="G1084" s="2" t="s">
        <v>2446</v>
      </c>
      <c r="H1084" s="8" t="n">
        <v>172.7711039262</v>
      </c>
      <c r="I1084" s="2" t="s">
        <v>316</v>
      </c>
      <c r="J1084" s="8" t="n">
        <v>232466</v>
      </c>
      <c r="K1084" s="6" t="n">
        <v>15</v>
      </c>
      <c r="L1084" s="2"/>
      <c r="M1084" s="10" t="b">
        <f aca="false">TRUE()</f>
        <v>1</v>
      </c>
      <c r="N1084" s="9" t="str">
        <f aca="false">IF(H1084="","",IF(H1084&gt;=Assumptions!$B$5,1,IF(H1084&gt;=Assumptions!$B$6,2,IF(H1084&gt;=Assumptions!$B$7,3,""))))</f>
        <v/>
      </c>
      <c r="O1084" s="9" t="n">
        <f aca="false">IF(N1084=1,Assumptions!$B$8,IF(N1084=2,Assumptions!$B$9,IF(N1084=3,Assumptions!$B$10,0)))</f>
        <v>0</v>
      </c>
      <c r="P1084" s="6" t="s">
        <v>30</v>
      </c>
      <c r="Q1084" s="6" t="s">
        <v>30</v>
      </c>
      <c r="R1084" s="11" t="s">
        <v>30</v>
      </c>
      <c r="S1084" s="6" t="s">
        <v>30</v>
      </c>
      <c r="T1084" s="11" t="s">
        <v>30</v>
      </c>
      <c r="U1084" s="6" t="s">
        <v>30</v>
      </c>
      <c r="V1084" s="6" t="s">
        <v>30</v>
      </c>
      <c r="W1084" s="6" t="s">
        <v>30</v>
      </c>
      <c r="X1084" s="2" t="s">
        <v>30</v>
      </c>
      <c r="Y1084" s="6" t="str">
        <f aca="false">IF(AND(X1084="processed",ISNUMBER(S1084)),S1084*O1084,"")</f>
        <v/>
      </c>
      <c r="Z1084" s="6" t="n">
        <f aca="false">IF(ISNUMBER(K1084),K1084*O1084,0)</f>
        <v>0</v>
      </c>
      <c r="AA1084" s="2" t="s">
        <v>31</v>
      </c>
      <c r="AB1084" s="6" t="n">
        <v>2154</v>
      </c>
      <c r="AC1084" s="6" t="n">
        <v>1755</v>
      </c>
      <c r="AD1084" s="6" t="n">
        <v>2153</v>
      </c>
      <c r="AE1084" s="6" t="n">
        <v>1497.23657226563</v>
      </c>
      <c r="AF1084" s="8" t="n">
        <v>154.087575758</v>
      </c>
      <c r="AG1084" s="11" t="n">
        <v>0.1871059703</v>
      </c>
      <c r="AH1084" s="12" t="n">
        <v>0.999999999999998</v>
      </c>
      <c r="AI1084" s="2" t="s">
        <v>1597</v>
      </c>
      <c r="AJ1084" s="2"/>
      <c r="AK1084" s="2" t="s">
        <v>2450</v>
      </c>
    </row>
    <row r="1085" customFormat="false" ht="15" hidden="false" customHeight="false" outlineLevel="0" collapsed="false">
      <c r="A1085" s="9"/>
      <c r="B1085" s="2" t="s">
        <v>2451</v>
      </c>
      <c r="C1085" s="2" t="s">
        <v>2452</v>
      </c>
      <c r="D1085" s="2" t="s">
        <v>2445</v>
      </c>
      <c r="E1085" s="2" t="s">
        <v>51</v>
      </c>
      <c r="F1085" s="2"/>
      <c r="G1085" s="2" t="s">
        <v>2446</v>
      </c>
      <c r="H1085" s="8" t="n">
        <v>131.308967588667</v>
      </c>
      <c r="I1085" s="2" t="s">
        <v>316</v>
      </c>
      <c r="J1085" s="8" t="n">
        <v>184833.333333333</v>
      </c>
      <c r="K1085" s="6" t="n">
        <v>6</v>
      </c>
      <c r="L1085" s="2"/>
      <c r="M1085" s="10" t="b">
        <f aca="false">TRUE()</f>
        <v>1</v>
      </c>
      <c r="N1085" s="9" t="str">
        <f aca="false">IF(H1085="","",IF(H1085&gt;=Assumptions!$B$5,1,IF(H1085&gt;=Assumptions!$B$6,2,IF(H1085&gt;=Assumptions!$B$7,3,""))))</f>
        <v/>
      </c>
      <c r="O1085" s="9" t="n">
        <f aca="false">IF(N1085=1,Assumptions!$B$8,IF(N1085=2,Assumptions!$B$9,IF(N1085=3,Assumptions!$B$10,0)))</f>
        <v>0</v>
      </c>
      <c r="P1085" s="6" t="s">
        <v>30</v>
      </c>
      <c r="Q1085" s="6" t="s">
        <v>30</v>
      </c>
      <c r="R1085" s="11" t="s">
        <v>30</v>
      </c>
      <c r="S1085" s="6" t="s">
        <v>30</v>
      </c>
      <c r="T1085" s="11" t="s">
        <v>30</v>
      </c>
      <c r="U1085" s="6" t="s">
        <v>30</v>
      </c>
      <c r="V1085" s="6" t="s">
        <v>30</v>
      </c>
      <c r="W1085" s="6" t="s">
        <v>30</v>
      </c>
      <c r="X1085" s="2" t="s">
        <v>30</v>
      </c>
      <c r="Y1085" s="6" t="str">
        <f aca="false">IF(AND(X1085="processed",ISNUMBER(S1085)),S1085*O1085,"")</f>
        <v/>
      </c>
      <c r="Z1085" s="6" t="n">
        <f aca="false">IF(ISNUMBER(K1085),K1085*O1085,0)</f>
        <v>0</v>
      </c>
      <c r="AA1085" s="2" t="s">
        <v>31</v>
      </c>
      <c r="AB1085" s="6" t="n">
        <v>1786</v>
      </c>
      <c r="AC1085" s="6" t="n">
        <v>1318</v>
      </c>
      <c r="AD1085" s="6" t="n">
        <v>1080</v>
      </c>
      <c r="AE1085" s="6" t="n">
        <v>1880.50634765625</v>
      </c>
      <c r="AF1085" s="8" t="n">
        <v>96.153846154</v>
      </c>
      <c r="AG1085" s="11" t="n">
        <v>-0.6144109056</v>
      </c>
      <c r="AH1085" s="12" t="n">
        <v>0.999999999999999</v>
      </c>
      <c r="AI1085" s="2" t="s">
        <v>319</v>
      </c>
      <c r="AJ1085" s="2"/>
      <c r="AK1085" s="2" t="s">
        <v>2452</v>
      </c>
    </row>
    <row r="1086" customFormat="false" ht="15" hidden="false" customHeight="false" outlineLevel="0" collapsed="false">
      <c r="A1086" s="9"/>
      <c r="B1086" s="2" t="s">
        <v>2453</v>
      </c>
      <c r="C1086" s="2" t="s">
        <v>2454</v>
      </c>
      <c r="D1086" s="2" t="s">
        <v>2437</v>
      </c>
      <c r="E1086" s="2" t="s">
        <v>51</v>
      </c>
      <c r="F1086" s="2"/>
      <c r="G1086" s="2" t="s">
        <v>2438</v>
      </c>
      <c r="H1086" s="8" t="n">
        <v>171.964427453667</v>
      </c>
      <c r="I1086" s="2" t="s">
        <v>316</v>
      </c>
      <c r="J1086" s="8" t="n">
        <v>177566.666666667</v>
      </c>
      <c r="K1086" s="6" t="n">
        <v>9</v>
      </c>
      <c r="L1086" s="2"/>
      <c r="M1086" s="10" t="b">
        <f aca="false">TRUE()</f>
        <v>1</v>
      </c>
      <c r="N1086" s="9" t="str">
        <f aca="false">IF(H1086="","",IF(H1086&gt;=Assumptions!$B$5,1,IF(H1086&gt;=Assumptions!$B$6,2,IF(H1086&gt;=Assumptions!$B$7,3,""))))</f>
        <v/>
      </c>
      <c r="O1086" s="9" t="n">
        <f aca="false">IF(N1086=1,Assumptions!$B$8,IF(N1086=2,Assumptions!$B$9,IF(N1086=3,Assumptions!$B$10,0)))</f>
        <v>0</v>
      </c>
      <c r="P1086" s="6" t="s">
        <v>30</v>
      </c>
      <c r="Q1086" s="6" t="s">
        <v>30</v>
      </c>
      <c r="R1086" s="11" t="s">
        <v>30</v>
      </c>
      <c r="S1086" s="6" t="s">
        <v>30</v>
      </c>
      <c r="T1086" s="11" t="s">
        <v>30</v>
      </c>
      <c r="U1086" s="6" t="s">
        <v>30</v>
      </c>
      <c r="V1086" s="6" t="s">
        <v>30</v>
      </c>
      <c r="W1086" s="6" t="s">
        <v>30</v>
      </c>
      <c r="X1086" s="2" t="s">
        <v>30</v>
      </c>
      <c r="Y1086" s="6" t="str">
        <f aca="false">IF(AND(X1086="processed",ISNUMBER(S1086)),S1086*O1086,"")</f>
        <v/>
      </c>
      <c r="Z1086" s="6" t="n">
        <f aca="false">IF(ISNUMBER(K1086),K1086*O1086,0)</f>
        <v>0</v>
      </c>
      <c r="AA1086" s="2" t="s">
        <v>31</v>
      </c>
      <c r="AB1086" s="6" t="n">
        <v>616</v>
      </c>
      <c r="AC1086" s="6" t="n">
        <v>493</v>
      </c>
      <c r="AD1086" s="6" t="n">
        <v>606</v>
      </c>
      <c r="AE1086" s="6" t="n">
        <v>1377.11706542969</v>
      </c>
      <c r="AF1086" s="8" t="n">
        <v>133.333333333</v>
      </c>
      <c r="AG1086" s="11" t="n">
        <v>-0.2647157355</v>
      </c>
      <c r="AH1086" s="12" t="n">
        <v>1</v>
      </c>
      <c r="AI1086" s="2" t="s">
        <v>317</v>
      </c>
      <c r="AJ1086" s="2" t="s">
        <v>2454</v>
      </c>
      <c r="AK1086" s="2" t="s">
        <v>2455</v>
      </c>
    </row>
    <row r="1087" customFormat="false" ht="15" hidden="false" customHeight="false" outlineLevel="0" collapsed="false">
      <c r="A1087" s="9"/>
      <c r="B1087" s="2" t="s">
        <v>2456</v>
      </c>
      <c r="C1087" s="2" t="s">
        <v>2457</v>
      </c>
      <c r="D1087" s="2" t="s">
        <v>2437</v>
      </c>
      <c r="E1087" s="2" t="s">
        <v>51</v>
      </c>
      <c r="F1087" s="2"/>
      <c r="G1087" s="2"/>
      <c r="H1087" s="8"/>
      <c r="I1087" s="2"/>
      <c r="J1087" s="8"/>
      <c r="K1087" s="6"/>
      <c r="L1087" s="2"/>
      <c r="M1087" s="10" t="b">
        <f aca="false">TRUE()</f>
        <v>1</v>
      </c>
      <c r="N1087" s="9" t="str">
        <f aca="false">IF(H1087="","",IF(H1087&gt;=Assumptions!$B$5,1,IF(H1087&gt;=Assumptions!$B$6,2,IF(H1087&gt;=Assumptions!$B$7,3,""))))</f>
        <v/>
      </c>
      <c r="O1087" s="9" t="n">
        <f aca="false">IF(N1087=1,Assumptions!$B$8,IF(N1087=2,Assumptions!$B$9,IF(N1087=3,Assumptions!$B$10,0)))</f>
        <v>0</v>
      </c>
      <c r="P1087" s="6" t="s">
        <v>30</v>
      </c>
      <c r="Q1087" s="6" t="s">
        <v>30</v>
      </c>
      <c r="R1087" s="11" t="s">
        <v>30</v>
      </c>
      <c r="S1087" s="6" t="s">
        <v>30</v>
      </c>
      <c r="T1087" s="11" t="s">
        <v>30</v>
      </c>
      <c r="U1087" s="6" t="s">
        <v>30</v>
      </c>
      <c r="V1087" s="6" t="s">
        <v>30</v>
      </c>
      <c r="W1087" s="6" t="s">
        <v>30</v>
      </c>
      <c r="X1087" s="2" t="s">
        <v>30</v>
      </c>
      <c r="Y1087" s="6" t="str">
        <f aca="false">IF(AND(X1087="processed",ISNUMBER(S1087)),S1087*O1087,"")</f>
        <v/>
      </c>
      <c r="Z1087" s="6" t="n">
        <f aca="false">IF(ISNUMBER(K1087),K1087*O1087,0)</f>
        <v>0</v>
      </c>
      <c r="AA1087" s="2" t="s">
        <v>31</v>
      </c>
      <c r="AB1087" s="6" t="n">
        <v>685</v>
      </c>
      <c r="AC1087" s="6" t="n">
        <v>550</v>
      </c>
      <c r="AD1087" s="6" t="n">
        <v>304</v>
      </c>
      <c r="AE1087" s="6" t="n">
        <v>1149.1494140625</v>
      </c>
      <c r="AF1087" s="8"/>
      <c r="AG1087" s="11"/>
      <c r="AH1087" s="12" t="n">
        <v>0.999999999999993</v>
      </c>
      <c r="AI1087" s="2" t="s">
        <v>319</v>
      </c>
      <c r="AJ1087" s="2"/>
      <c r="AK1087" s="2" t="s">
        <v>2457</v>
      </c>
    </row>
    <row r="1088" customFormat="false" ht="15" hidden="false" customHeight="false" outlineLevel="0" collapsed="false">
      <c r="A1088" s="9"/>
      <c r="B1088" s="2" t="s">
        <v>2458</v>
      </c>
      <c r="C1088" s="2" t="s">
        <v>2459</v>
      </c>
      <c r="D1088" s="2" t="s">
        <v>2460</v>
      </c>
      <c r="E1088" s="2" t="s">
        <v>51</v>
      </c>
      <c r="F1088" s="2"/>
      <c r="G1088" s="2" t="s">
        <v>2461</v>
      </c>
      <c r="H1088" s="8" t="n">
        <v>205.274674300095</v>
      </c>
      <c r="I1088" s="2" t="s">
        <v>316</v>
      </c>
      <c r="J1088" s="8" t="n">
        <v>297642.857142857</v>
      </c>
      <c r="K1088" s="6" t="n">
        <v>105</v>
      </c>
      <c r="L1088" s="2"/>
      <c r="M1088" s="10" t="b">
        <f aca="false">TRUE()</f>
        <v>1</v>
      </c>
      <c r="N1088" s="9" t="str">
        <f aca="false">IF(H1088="","",IF(H1088&gt;=Assumptions!$B$5,1,IF(H1088&gt;=Assumptions!$B$6,2,IF(H1088&gt;=Assumptions!$B$7,3,""))))</f>
        <v/>
      </c>
      <c r="O1088" s="9" t="n">
        <f aca="false">IF(N1088=1,Assumptions!$B$8,IF(N1088=2,Assumptions!$B$9,IF(N1088=3,Assumptions!$B$10,0)))</f>
        <v>0</v>
      </c>
      <c r="P1088" s="6" t="s">
        <v>30</v>
      </c>
      <c r="Q1088" s="6" t="s">
        <v>30</v>
      </c>
      <c r="R1088" s="11" t="s">
        <v>30</v>
      </c>
      <c r="S1088" s="6" t="s">
        <v>30</v>
      </c>
      <c r="T1088" s="11" t="s">
        <v>30</v>
      </c>
      <c r="U1088" s="6" t="s">
        <v>30</v>
      </c>
      <c r="V1088" s="6" t="s">
        <v>30</v>
      </c>
      <c r="W1088" s="6" t="s">
        <v>30</v>
      </c>
      <c r="X1088" s="2" t="s">
        <v>30</v>
      </c>
      <c r="Y1088" s="6" t="str">
        <f aca="false">IF(AND(X1088="processed",ISNUMBER(S1088)),S1088*O1088,"")</f>
        <v/>
      </c>
      <c r="Z1088" s="6" t="n">
        <f aca="false">IF(ISNUMBER(K1088),K1088*O1088,0)</f>
        <v>0</v>
      </c>
      <c r="AA1088" s="2" t="s">
        <v>31</v>
      </c>
      <c r="AB1088" s="6" t="n">
        <v>7170</v>
      </c>
      <c r="AC1088" s="6" t="n">
        <v>6010</v>
      </c>
      <c r="AD1088" s="6" t="n">
        <v>2483</v>
      </c>
      <c r="AE1088" s="6" t="n">
        <v>2147.95849609375</v>
      </c>
      <c r="AF1088" s="8" t="n">
        <v>222.587719298</v>
      </c>
      <c r="AG1088" s="11" t="n">
        <v>0.07670338637</v>
      </c>
      <c r="AH1088" s="12" t="n">
        <v>0.917172744407657</v>
      </c>
      <c r="AI1088" s="2" t="s">
        <v>317</v>
      </c>
      <c r="AJ1088" s="2" t="s">
        <v>2459</v>
      </c>
      <c r="AK1088" s="2" t="s">
        <v>2459</v>
      </c>
    </row>
    <row r="1089" customFormat="false" ht="15" hidden="false" customHeight="false" outlineLevel="0" collapsed="false">
      <c r="A1089" s="9"/>
      <c r="B1089" s="2" t="s">
        <v>2462</v>
      </c>
      <c r="C1089" s="2" t="s">
        <v>2463</v>
      </c>
      <c r="D1089" s="2" t="s">
        <v>2437</v>
      </c>
      <c r="E1089" s="2" t="s">
        <v>51</v>
      </c>
      <c r="F1089" s="2"/>
      <c r="G1089" s="2" t="s">
        <v>2442</v>
      </c>
      <c r="H1089" s="8" t="n">
        <v>211.394802444561</v>
      </c>
      <c r="I1089" s="2" t="s">
        <v>316</v>
      </c>
      <c r="J1089" s="8" t="n">
        <v>294058.719512195</v>
      </c>
      <c r="K1089" s="6" t="n">
        <v>82</v>
      </c>
      <c r="L1089" s="2"/>
      <c r="M1089" s="10" t="b">
        <f aca="false">TRUE()</f>
        <v>1</v>
      </c>
      <c r="N1089" s="9" t="str">
        <f aca="false">IF(H1089="","",IF(H1089&gt;=Assumptions!$B$5,1,IF(H1089&gt;=Assumptions!$B$6,2,IF(H1089&gt;=Assumptions!$B$7,3,""))))</f>
        <v/>
      </c>
      <c r="O1089" s="9" t="n">
        <f aca="false">IF(N1089=1,Assumptions!$B$8,IF(N1089=2,Assumptions!$B$9,IF(N1089=3,Assumptions!$B$10,0)))</f>
        <v>0</v>
      </c>
      <c r="P1089" s="6" t="s">
        <v>30</v>
      </c>
      <c r="Q1089" s="6" t="s">
        <v>30</v>
      </c>
      <c r="R1089" s="11" t="s">
        <v>30</v>
      </c>
      <c r="S1089" s="6" t="s">
        <v>30</v>
      </c>
      <c r="T1089" s="11" t="s">
        <v>30</v>
      </c>
      <c r="U1089" s="6" t="s">
        <v>30</v>
      </c>
      <c r="V1089" s="6" t="s">
        <v>30</v>
      </c>
      <c r="W1089" s="6" t="s">
        <v>30</v>
      </c>
      <c r="X1089" s="2" t="s">
        <v>30</v>
      </c>
      <c r="Y1089" s="6" t="str">
        <f aca="false">IF(AND(X1089="processed",ISNUMBER(S1089)),S1089*O1089,"")</f>
        <v/>
      </c>
      <c r="Z1089" s="6" t="n">
        <f aca="false">IF(ISNUMBER(K1089),K1089*O1089,0)</f>
        <v>0</v>
      </c>
      <c r="AA1089" s="2" t="s">
        <v>31</v>
      </c>
      <c r="AB1089" s="6" t="n">
        <v>6073</v>
      </c>
      <c r="AC1089" s="6" t="n">
        <v>5003</v>
      </c>
      <c r="AD1089" s="6" t="n">
        <v>4912</v>
      </c>
      <c r="AE1089" s="6" t="n">
        <v>2019.16125488281</v>
      </c>
      <c r="AF1089" s="8" t="n">
        <v>210.727969349</v>
      </c>
      <c r="AG1089" s="11" t="n">
        <v>0.04095525053</v>
      </c>
      <c r="AH1089" s="12" t="n">
        <v>0.539271777044624</v>
      </c>
      <c r="AI1089" s="2" t="s">
        <v>317</v>
      </c>
      <c r="AJ1089" s="2" t="s">
        <v>2463</v>
      </c>
      <c r="AK1089" s="2" t="s">
        <v>2463</v>
      </c>
    </row>
    <row r="1090" customFormat="false" ht="15" hidden="false" customHeight="false" outlineLevel="0" collapsed="false">
      <c r="A1090" s="9"/>
      <c r="B1090" s="2" t="s">
        <v>2464</v>
      </c>
      <c r="C1090" s="2" t="s">
        <v>2465</v>
      </c>
      <c r="D1090" s="2" t="s">
        <v>2445</v>
      </c>
      <c r="E1090" s="2" t="s">
        <v>51</v>
      </c>
      <c r="F1090" s="2"/>
      <c r="G1090" s="2" t="s">
        <v>2438</v>
      </c>
      <c r="H1090" s="8" t="n">
        <v>244.742895710792</v>
      </c>
      <c r="I1090" s="2" t="s">
        <v>316</v>
      </c>
      <c r="J1090" s="8" t="n">
        <v>347076.923076923</v>
      </c>
      <c r="K1090" s="6" t="n">
        <v>130</v>
      </c>
      <c r="L1090" s="2"/>
      <c r="M1090" s="10" t="b">
        <f aca="false">TRUE()</f>
        <v>1</v>
      </c>
      <c r="N1090" s="9" t="str">
        <f aca="false">IF(H1090="","",IF(H1090&gt;=Assumptions!$B$5,1,IF(H1090&gt;=Assumptions!$B$6,2,IF(H1090&gt;=Assumptions!$B$7,3,""))))</f>
        <v/>
      </c>
      <c r="O1090" s="9" t="n">
        <f aca="false">IF(N1090=1,Assumptions!$B$8,IF(N1090=2,Assumptions!$B$9,IF(N1090=3,Assumptions!$B$10,0)))</f>
        <v>0</v>
      </c>
      <c r="P1090" s="6" t="s">
        <v>30</v>
      </c>
      <c r="Q1090" s="6" t="s">
        <v>30</v>
      </c>
      <c r="R1090" s="11" t="s">
        <v>30</v>
      </c>
      <c r="S1090" s="6" t="s">
        <v>30</v>
      </c>
      <c r="T1090" s="11" t="s">
        <v>30</v>
      </c>
      <c r="U1090" s="6" t="s">
        <v>30</v>
      </c>
      <c r="V1090" s="6" t="s">
        <v>30</v>
      </c>
      <c r="W1090" s="6" t="s">
        <v>30</v>
      </c>
      <c r="X1090" s="2" t="s">
        <v>30</v>
      </c>
      <c r="Y1090" s="6" t="str">
        <f aca="false">IF(AND(X1090="processed",ISNUMBER(S1090)),S1090*O1090,"")</f>
        <v/>
      </c>
      <c r="Z1090" s="6" t="n">
        <f aca="false">IF(ISNUMBER(K1090),K1090*O1090,0)</f>
        <v>0</v>
      </c>
      <c r="AA1090" s="2" t="s">
        <v>31</v>
      </c>
      <c r="AB1090" s="6" t="n">
        <v>14515</v>
      </c>
      <c r="AC1090" s="6" t="n">
        <v>12352</v>
      </c>
      <c r="AD1090" s="6" t="n">
        <v>12156</v>
      </c>
      <c r="AE1090" s="6" t="n">
        <v>2277.17138671875</v>
      </c>
      <c r="AF1090" s="8" t="n">
        <v>246</v>
      </c>
      <c r="AG1090" s="11" t="n">
        <v>-0.02664853075</v>
      </c>
      <c r="AH1090" s="12" t="n">
        <v>0.626001798121043</v>
      </c>
      <c r="AI1090" s="2" t="s">
        <v>319</v>
      </c>
      <c r="AJ1090" s="2"/>
      <c r="AK1090" s="2" t="s">
        <v>2465</v>
      </c>
    </row>
    <row r="1091" customFormat="false" ht="15" hidden="false" customHeight="false" outlineLevel="0" collapsed="false">
      <c r="A1091" s="9"/>
      <c r="B1091" s="2" t="s">
        <v>2466</v>
      </c>
      <c r="C1091" s="2" t="s">
        <v>2467</v>
      </c>
      <c r="D1091" s="2" t="s">
        <v>2437</v>
      </c>
      <c r="E1091" s="2" t="s">
        <v>51</v>
      </c>
      <c r="F1091" s="2"/>
      <c r="G1091" s="2" t="s">
        <v>2438</v>
      </c>
      <c r="H1091" s="8" t="n">
        <v>169.457456663</v>
      </c>
      <c r="I1091" s="2" t="s">
        <v>316</v>
      </c>
      <c r="J1091" s="8" t="n">
        <v>255500</v>
      </c>
      <c r="K1091" s="6" t="n">
        <v>2</v>
      </c>
      <c r="L1091" s="2" t="s">
        <v>1664</v>
      </c>
      <c r="M1091" s="10" t="b">
        <f aca="false">TRUE()</f>
        <v>1</v>
      </c>
      <c r="N1091" s="9" t="str">
        <f aca="false">IF(H1091="","",IF(H1091&gt;=Assumptions!$B$5,1,IF(H1091&gt;=Assumptions!$B$6,2,IF(H1091&gt;=Assumptions!$B$7,3,""))))</f>
        <v/>
      </c>
      <c r="O1091" s="9" t="n">
        <f aca="false">IF(N1091=1,Assumptions!$B$8,IF(N1091=2,Assumptions!$B$9,IF(N1091=3,Assumptions!$B$10,0)))</f>
        <v>0</v>
      </c>
      <c r="P1091" s="6" t="s">
        <v>30</v>
      </c>
      <c r="Q1091" s="6" t="s">
        <v>30</v>
      </c>
      <c r="R1091" s="11" t="s">
        <v>30</v>
      </c>
      <c r="S1091" s="6" t="s">
        <v>30</v>
      </c>
      <c r="T1091" s="11" t="s">
        <v>30</v>
      </c>
      <c r="U1091" s="6" t="s">
        <v>30</v>
      </c>
      <c r="V1091" s="6" t="s">
        <v>30</v>
      </c>
      <c r="W1091" s="6" t="s">
        <v>30</v>
      </c>
      <c r="X1091" s="2" t="s">
        <v>30</v>
      </c>
      <c r="Y1091" s="6" t="str">
        <f aca="false">IF(AND(X1091="processed",ISNUMBER(S1091)),S1091*O1091,"")</f>
        <v/>
      </c>
      <c r="Z1091" s="6" t="n">
        <f aca="false">IF(ISNUMBER(K1091),K1091*O1091,0)</f>
        <v>0</v>
      </c>
      <c r="AA1091" s="2" t="s">
        <v>31</v>
      </c>
      <c r="AB1091" s="6" t="n">
        <v>684</v>
      </c>
      <c r="AC1091" s="6" t="n">
        <v>538</v>
      </c>
      <c r="AD1091" s="6" t="n">
        <v>419</v>
      </c>
      <c r="AE1091" s="6" t="n">
        <v>1820.98498535156</v>
      </c>
      <c r="AF1091" s="8" t="n">
        <v>169.457456663</v>
      </c>
      <c r="AG1091" s="11"/>
      <c r="AH1091" s="12" t="n">
        <v>0.999993239667721</v>
      </c>
      <c r="AI1091" s="2" t="s">
        <v>317</v>
      </c>
      <c r="AJ1091" s="2" t="s">
        <v>2467</v>
      </c>
      <c r="AK1091" s="2" t="s">
        <v>2467</v>
      </c>
    </row>
    <row r="1092" customFormat="false" ht="15" hidden="false" customHeight="false" outlineLevel="0" collapsed="false">
      <c r="A1092" s="9"/>
      <c r="B1092" s="2" t="s">
        <v>2468</v>
      </c>
      <c r="C1092" s="2" t="s">
        <v>2469</v>
      </c>
      <c r="D1092" s="2" t="s">
        <v>2437</v>
      </c>
      <c r="E1092" s="2" t="s">
        <v>51</v>
      </c>
      <c r="F1092" s="2"/>
      <c r="G1092" s="2" t="s">
        <v>2438</v>
      </c>
      <c r="H1092" s="8" t="n">
        <v>271.253746254</v>
      </c>
      <c r="I1092" s="2" t="s">
        <v>316</v>
      </c>
      <c r="J1092" s="8" t="n">
        <v>271428.571428571</v>
      </c>
      <c r="K1092" s="6" t="n">
        <v>7</v>
      </c>
      <c r="L1092" s="2"/>
      <c r="M1092" s="10" t="b">
        <f aca="false">TRUE()</f>
        <v>1</v>
      </c>
      <c r="N1092" s="9" t="str">
        <f aca="false">IF(H1092="","",IF(H1092&gt;=Assumptions!$B$5,1,IF(H1092&gt;=Assumptions!$B$6,2,IF(H1092&gt;=Assumptions!$B$7,3,""))))</f>
        <v/>
      </c>
      <c r="O1092" s="9" t="n">
        <f aca="false">IF(N1092=1,Assumptions!$B$8,IF(N1092=2,Assumptions!$B$9,IF(N1092=3,Assumptions!$B$10,0)))</f>
        <v>0</v>
      </c>
      <c r="P1092" s="6" t="s">
        <v>30</v>
      </c>
      <c r="Q1092" s="6" t="s">
        <v>30</v>
      </c>
      <c r="R1092" s="11" t="s">
        <v>30</v>
      </c>
      <c r="S1092" s="6" t="s">
        <v>30</v>
      </c>
      <c r="T1092" s="11" t="s">
        <v>30</v>
      </c>
      <c r="U1092" s="6" t="s">
        <v>30</v>
      </c>
      <c r="V1092" s="6" t="s">
        <v>30</v>
      </c>
      <c r="W1092" s="6" t="s">
        <v>30</v>
      </c>
      <c r="X1092" s="2" t="s">
        <v>30</v>
      </c>
      <c r="Y1092" s="6" t="str">
        <f aca="false">IF(AND(X1092="processed",ISNUMBER(S1092)),S1092*O1092,"")</f>
        <v/>
      </c>
      <c r="Z1092" s="6" t="n">
        <f aca="false">IF(ISNUMBER(K1092),K1092*O1092,0)</f>
        <v>0</v>
      </c>
      <c r="AA1092" s="2" t="s">
        <v>31</v>
      </c>
      <c r="AB1092" s="6" t="n">
        <v>3480</v>
      </c>
      <c r="AC1092" s="6" t="n">
        <v>2931</v>
      </c>
      <c r="AD1092" s="6" t="n">
        <v>1815</v>
      </c>
      <c r="AE1092" s="6" t="n">
        <v>1908.05749511719</v>
      </c>
      <c r="AF1092" s="8" t="n">
        <v>282.932692308</v>
      </c>
      <c r="AG1092" s="11" t="n">
        <v>0.3518968233</v>
      </c>
      <c r="AH1092" s="12" t="n">
        <v>0.999436057212544</v>
      </c>
      <c r="AI1092" s="2" t="s">
        <v>317</v>
      </c>
      <c r="AJ1092" s="2" t="s">
        <v>2469</v>
      </c>
      <c r="AK1092" s="2" t="s">
        <v>2469</v>
      </c>
    </row>
    <row r="1093" customFormat="false" ht="15" hidden="false" customHeight="false" outlineLevel="0" collapsed="false">
      <c r="A1093" s="9"/>
      <c r="B1093" s="2" t="s">
        <v>2470</v>
      </c>
      <c r="C1093" s="2" t="s">
        <v>2471</v>
      </c>
      <c r="D1093" s="2" t="s">
        <v>2445</v>
      </c>
      <c r="E1093" s="2" t="s">
        <v>51</v>
      </c>
      <c r="F1093" s="2"/>
      <c r="G1093" s="2"/>
      <c r="H1093" s="8"/>
      <c r="I1093" s="2"/>
      <c r="J1093" s="8"/>
      <c r="K1093" s="6"/>
      <c r="L1093" s="2"/>
      <c r="M1093" s="10" t="b">
        <f aca="false">TRUE()</f>
        <v>1</v>
      </c>
      <c r="N1093" s="9" t="str">
        <f aca="false">IF(H1093="","",IF(H1093&gt;=Assumptions!$B$5,1,IF(H1093&gt;=Assumptions!$B$6,2,IF(H1093&gt;=Assumptions!$B$7,3,""))))</f>
        <v/>
      </c>
      <c r="O1093" s="9" t="n">
        <f aca="false">IF(N1093=1,Assumptions!$B$8,IF(N1093=2,Assumptions!$B$9,IF(N1093=3,Assumptions!$B$10,0)))</f>
        <v>0</v>
      </c>
      <c r="P1093" s="6" t="s">
        <v>30</v>
      </c>
      <c r="Q1093" s="6" t="s">
        <v>30</v>
      </c>
      <c r="R1093" s="11" t="s">
        <v>30</v>
      </c>
      <c r="S1093" s="6" t="s">
        <v>30</v>
      </c>
      <c r="T1093" s="11" t="s">
        <v>30</v>
      </c>
      <c r="U1093" s="6" t="s">
        <v>30</v>
      </c>
      <c r="V1093" s="6" t="s">
        <v>30</v>
      </c>
      <c r="W1093" s="6" t="s">
        <v>30</v>
      </c>
      <c r="X1093" s="2" t="s">
        <v>30</v>
      </c>
      <c r="Y1093" s="6" t="str">
        <f aca="false">IF(AND(X1093="processed",ISNUMBER(S1093)),S1093*O1093,"")</f>
        <v/>
      </c>
      <c r="Z1093" s="6" t="n">
        <f aca="false">IF(ISNUMBER(K1093),K1093*O1093,0)</f>
        <v>0</v>
      </c>
      <c r="AA1093" s="2" t="s">
        <v>31</v>
      </c>
      <c r="AB1093" s="6" t="n">
        <v>148</v>
      </c>
      <c r="AC1093" s="6" t="n">
        <v>85</v>
      </c>
      <c r="AD1093" s="6" t="n">
        <v>44</v>
      </c>
      <c r="AE1093" s="6" t="n">
        <v>1306.71618652344</v>
      </c>
      <c r="AF1093" s="8"/>
      <c r="AG1093" s="11"/>
      <c r="AH1093" s="12" t="n">
        <v>1</v>
      </c>
      <c r="AI1093" s="2" t="s">
        <v>319</v>
      </c>
      <c r="AJ1093" s="2"/>
      <c r="AK1093" s="2" t="s">
        <v>2471</v>
      </c>
    </row>
    <row r="1094" customFormat="false" ht="15" hidden="false" customHeight="false" outlineLevel="0" collapsed="false">
      <c r="A1094" s="9"/>
      <c r="B1094" s="2" t="s">
        <v>2472</v>
      </c>
      <c r="C1094" s="2" t="s">
        <v>2473</v>
      </c>
      <c r="D1094" s="2" t="s">
        <v>2437</v>
      </c>
      <c r="E1094" s="2" t="s">
        <v>51</v>
      </c>
      <c r="F1094" s="2"/>
      <c r="G1094" s="2" t="s">
        <v>2438</v>
      </c>
      <c r="H1094" s="8" t="n">
        <v>264.784577107976</v>
      </c>
      <c r="I1094" s="2" t="s">
        <v>316</v>
      </c>
      <c r="J1094" s="8" t="n">
        <v>423003.937007874</v>
      </c>
      <c r="K1094" s="6" t="n">
        <v>127</v>
      </c>
      <c r="L1094" s="2"/>
      <c r="M1094" s="10" t="b">
        <f aca="false">TRUE()</f>
        <v>1</v>
      </c>
      <c r="N1094" s="9" t="str">
        <f aca="false">IF(H1094="","",IF(H1094&gt;=Assumptions!$B$5,1,IF(H1094&gt;=Assumptions!$B$6,2,IF(H1094&gt;=Assumptions!$B$7,3,""))))</f>
        <v/>
      </c>
      <c r="O1094" s="9" t="n">
        <f aca="false">IF(N1094=1,Assumptions!$B$8,IF(N1094=2,Assumptions!$B$9,IF(N1094=3,Assumptions!$B$10,0)))</f>
        <v>0</v>
      </c>
      <c r="P1094" s="6" t="s">
        <v>30</v>
      </c>
      <c r="Q1094" s="6" t="s">
        <v>30</v>
      </c>
      <c r="R1094" s="11" t="s">
        <v>30</v>
      </c>
      <c r="S1094" s="6" t="s">
        <v>30</v>
      </c>
      <c r="T1094" s="11" t="s">
        <v>30</v>
      </c>
      <c r="U1094" s="6" t="s">
        <v>30</v>
      </c>
      <c r="V1094" s="6" t="s">
        <v>30</v>
      </c>
      <c r="W1094" s="6" t="s">
        <v>30</v>
      </c>
      <c r="X1094" s="2" t="s">
        <v>30</v>
      </c>
      <c r="Y1094" s="6" t="str">
        <f aca="false">IF(AND(X1094="processed",ISNUMBER(S1094)),S1094*O1094,"")</f>
        <v/>
      </c>
      <c r="Z1094" s="6" t="n">
        <f aca="false">IF(ISNUMBER(K1094),K1094*O1094,0)</f>
        <v>0</v>
      </c>
      <c r="AA1094" s="2" t="s">
        <v>31</v>
      </c>
      <c r="AB1094" s="6" t="n">
        <v>8011</v>
      </c>
      <c r="AC1094" s="6" t="n">
        <v>6839</v>
      </c>
      <c r="AD1094" s="6" t="n">
        <v>7236</v>
      </c>
      <c r="AE1094" s="6" t="n">
        <v>2232.89111328125</v>
      </c>
      <c r="AF1094" s="8" t="n">
        <v>263.371150729</v>
      </c>
      <c r="AG1094" s="11" t="n">
        <v>0.02188006483</v>
      </c>
      <c r="AH1094" s="12" t="n">
        <v>1</v>
      </c>
      <c r="AI1094" s="2" t="s">
        <v>317</v>
      </c>
      <c r="AJ1094" s="2" t="s">
        <v>2473</v>
      </c>
      <c r="AK1094" s="2" t="s">
        <v>2473</v>
      </c>
    </row>
    <row r="1095" customFormat="false" ht="15" hidden="false" customHeight="false" outlineLevel="0" collapsed="false">
      <c r="A1095" s="9"/>
      <c r="B1095" s="2" t="s">
        <v>2474</v>
      </c>
      <c r="C1095" s="2" t="s">
        <v>2475</v>
      </c>
      <c r="D1095" s="2" t="s">
        <v>2445</v>
      </c>
      <c r="E1095" s="2" t="s">
        <v>51</v>
      </c>
      <c r="F1095" s="2" t="s">
        <v>2475</v>
      </c>
      <c r="G1095" s="2" t="s">
        <v>2446</v>
      </c>
      <c r="H1095" s="8" t="n">
        <v>233.155030678538</v>
      </c>
      <c r="I1095" s="2" t="s">
        <v>316</v>
      </c>
      <c r="J1095" s="8" t="n">
        <v>372307.692307692</v>
      </c>
      <c r="K1095" s="6" t="n">
        <v>13</v>
      </c>
      <c r="L1095" s="2"/>
      <c r="M1095" s="10" t="b">
        <f aca="false">TRUE()</f>
        <v>1</v>
      </c>
      <c r="N1095" s="9" t="str">
        <f aca="false">IF(H1095="","",IF(H1095&gt;=Assumptions!$B$5,1,IF(H1095&gt;=Assumptions!$B$6,2,IF(H1095&gt;=Assumptions!$B$7,3,""))))</f>
        <v/>
      </c>
      <c r="O1095" s="9" t="n">
        <f aca="false">IF(N1095=1,Assumptions!$B$8,IF(N1095=2,Assumptions!$B$9,IF(N1095=3,Assumptions!$B$10,0)))</f>
        <v>0</v>
      </c>
      <c r="P1095" s="6" t="s">
        <v>30</v>
      </c>
      <c r="Q1095" s="6" t="s">
        <v>30</v>
      </c>
      <c r="R1095" s="11" t="s">
        <v>30</v>
      </c>
      <c r="S1095" s="6" t="s">
        <v>30</v>
      </c>
      <c r="T1095" s="11" t="s">
        <v>30</v>
      </c>
      <c r="U1095" s="6" t="s">
        <v>30</v>
      </c>
      <c r="V1095" s="6" t="s">
        <v>30</v>
      </c>
      <c r="W1095" s="6" t="s">
        <v>30</v>
      </c>
      <c r="X1095" s="2" t="s">
        <v>30</v>
      </c>
      <c r="Y1095" s="6" t="str">
        <f aca="false">IF(AND(X1095="processed",ISNUMBER(S1095)),S1095*O1095,"")</f>
        <v/>
      </c>
      <c r="Z1095" s="6" t="n">
        <f aca="false">IF(ISNUMBER(K1095),K1095*O1095,0)</f>
        <v>0</v>
      </c>
      <c r="AA1095" s="2" t="s">
        <v>31</v>
      </c>
      <c r="AB1095" s="6" t="n">
        <v>2475</v>
      </c>
      <c r="AC1095" s="6" t="n">
        <v>2151</v>
      </c>
      <c r="AD1095" s="6" t="n">
        <v>52</v>
      </c>
      <c r="AE1095" s="6" t="n">
        <v>1492.12646484375</v>
      </c>
      <c r="AF1095" s="8" t="n">
        <v>205.624420587</v>
      </c>
      <c r="AG1095" s="11" t="n">
        <v>-0.1767901481</v>
      </c>
      <c r="AH1095" s="12" t="n">
        <v>0.997207405798064</v>
      </c>
      <c r="AI1095" s="2" t="s">
        <v>319</v>
      </c>
      <c r="AJ1095" s="2"/>
      <c r="AK1095" s="2" t="s">
        <v>2475</v>
      </c>
    </row>
    <row r="1096" customFormat="false" ht="15" hidden="false" customHeight="false" outlineLevel="0" collapsed="false">
      <c r="A1096" s="9"/>
      <c r="B1096" s="2" t="s">
        <v>2476</v>
      </c>
      <c r="C1096" s="2" t="s">
        <v>2477</v>
      </c>
      <c r="D1096" s="2" t="s">
        <v>2437</v>
      </c>
      <c r="E1096" s="2" t="s">
        <v>51</v>
      </c>
      <c r="F1096" s="2" t="s">
        <v>2478</v>
      </c>
      <c r="G1096" s="2" t="s">
        <v>2438</v>
      </c>
      <c r="H1096" s="8" t="n">
        <v>242.7261236129</v>
      </c>
      <c r="I1096" s="2" t="s">
        <v>316</v>
      </c>
      <c r="J1096" s="8" t="n">
        <v>296387.5</v>
      </c>
      <c r="K1096" s="6" t="n">
        <v>40</v>
      </c>
      <c r="L1096" s="2"/>
      <c r="M1096" s="10" t="b">
        <f aca="false">TRUE()</f>
        <v>1</v>
      </c>
      <c r="N1096" s="9" t="str">
        <f aca="false">IF(H1096="","",IF(H1096&gt;=Assumptions!$B$5,1,IF(H1096&gt;=Assumptions!$B$6,2,IF(H1096&gt;=Assumptions!$B$7,3,""))))</f>
        <v/>
      </c>
      <c r="O1096" s="9" t="n">
        <f aca="false">IF(N1096=1,Assumptions!$B$8,IF(N1096=2,Assumptions!$B$9,IF(N1096=3,Assumptions!$B$10,0)))</f>
        <v>0</v>
      </c>
      <c r="P1096" s="6" t="s">
        <v>30</v>
      </c>
      <c r="Q1096" s="6" t="s">
        <v>30</v>
      </c>
      <c r="R1096" s="11" t="s">
        <v>30</v>
      </c>
      <c r="S1096" s="6" t="s">
        <v>30</v>
      </c>
      <c r="T1096" s="11" t="s">
        <v>30</v>
      </c>
      <c r="U1096" s="6" t="s">
        <v>30</v>
      </c>
      <c r="V1096" s="6" t="s">
        <v>30</v>
      </c>
      <c r="W1096" s="6" t="s">
        <v>30</v>
      </c>
      <c r="X1096" s="2" t="s">
        <v>30</v>
      </c>
      <c r="Y1096" s="6" t="str">
        <f aca="false">IF(AND(X1096="processed",ISNUMBER(S1096)),S1096*O1096,"")</f>
        <v/>
      </c>
      <c r="Z1096" s="6" t="n">
        <f aca="false">IF(ISNUMBER(K1096),K1096*O1096,0)</f>
        <v>0</v>
      </c>
      <c r="AA1096" s="2" t="s">
        <v>31</v>
      </c>
      <c r="AB1096" s="6" t="n">
        <v>3136</v>
      </c>
      <c r="AC1096" s="6" t="n">
        <v>2790</v>
      </c>
      <c r="AD1096" s="6" t="n">
        <v>1961</v>
      </c>
      <c r="AE1096" s="6" t="n">
        <v>2111.94189453125</v>
      </c>
      <c r="AF1096" s="8" t="n">
        <v>266.147859922</v>
      </c>
      <c r="AG1096" s="11" t="n">
        <v>0.04858575978</v>
      </c>
      <c r="AH1096" s="12" t="n">
        <v>0.999999999999999</v>
      </c>
      <c r="AI1096" s="2" t="s">
        <v>317</v>
      </c>
      <c r="AJ1096" s="2" t="s">
        <v>2477</v>
      </c>
      <c r="AK1096" s="2" t="s">
        <v>2477</v>
      </c>
    </row>
    <row r="1097" customFormat="false" ht="15" hidden="false" customHeight="false" outlineLevel="0" collapsed="false">
      <c r="A1097" s="9"/>
      <c r="B1097" s="2" t="s">
        <v>2479</v>
      </c>
      <c r="C1097" s="2" t="s">
        <v>2480</v>
      </c>
      <c r="D1097" s="2" t="s">
        <v>2445</v>
      </c>
      <c r="E1097" s="2" t="s">
        <v>51</v>
      </c>
      <c r="F1097" s="2"/>
      <c r="G1097" s="2" t="s">
        <v>2446</v>
      </c>
      <c r="H1097" s="8" t="n">
        <v>153.137400794</v>
      </c>
      <c r="I1097" s="2" t="s">
        <v>316</v>
      </c>
      <c r="J1097" s="8" t="n">
        <v>157000</v>
      </c>
      <c r="K1097" s="6" t="n">
        <v>2</v>
      </c>
      <c r="L1097" s="2" t="s">
        <v>1664</v>
      </c>
      <c r="M1097" s="10" t="b">
        <f aca="false">TRUE()</f>
        <v>1</v>
      </c>
      <c r="N1097" s="9" t="str">
        <f aca="false">IF(H1097="","",IF(H1097&gt;=Assumptions!$B$5,1,IF(H1097&gt;=Assumptions!$B$6,2,IF(H1097&gt;=Assumptions!$B$7,3,""))))</f>
        <v/>
      </c>
      <c r="O1097" s="9" t="n">
        <f aca="false">IF(N1097=1,Assumptions!$B$8,IF(N1097=2,Assumptions!$B$9,IF(N1097=3,Assumptions!$B$10,0)))</f>
        <v>0</v>
      </c>
      <c r="P1097" s="6" t="s">
        <v>30</v>
      </c>
      <c r="Q1097" s="6" t="s">
        <v>30</v>
      </c>
      <c r="R1097" s="11" t="s">
        <v>30</v>
      </c>
      <c r="S1097" s="6" t="s">
        <v>30</v>
      </c>
      <c r="T1097" s="11" t="s">
        <v>30</v>
      </c>
      <c r="U1097" s="6" t="s">
        <v>30</v>
      </c>
      <c r="V1097" s="6" t="s">
        <v>30</v>
      </c>
      <c r="W1097" s="6" t="s">
        <v>30</v>
      </c>
      <c r="X1097" s="2" t="s">
        <v>30</v>
      </c>
      <c r="Y1097" s="6" t="str">
        <f aca="false">IF(AND(X1097="processed",ISNUMBER(S1097)),S1097*O1097,"")</f>
        <v/>
      </c>
      <c r="Z1097" s="6" t="n">
        <f aca="false">IF(ISNUMBER(K1097),K1097*O1097,0)</f>
        <v>0</v>
      </c>
      <c r="AA1097" s="2" t="s">
        <v>31</v>
      </c>
      <c r="AB1097" s="6" t="n">
        <v>572</v>
      </c>
      <c r="AC1097" s="6" t="n">
        <v>446</v>
      </c>
      <c r="AD1097" s="6" t="n">
        <v>563</v>
      </c>
      <c r="AE1097" s="6" t="n">
        <v>1454.7275390625</v>
      </c>
      <c r="AF1097" s="8" t="n">
        <v>153.137400794</v>
      </c>
      <c r="AG1097" s="11"/>
      <c r="AH1097" s="12" t="n">
        <v>0.999748524027917</v>
      </c>
      <c r="AI1097" s="2" t="s">
        <v>1597</v>
      </c>
      <c r="AJ1097" s="2"/>
      <c r="AK1097" s="2" t="s">
        <v>2480</v>
      </c>
    </row>
    <row r="1098" customFormat="false" ht="15" hidden="false" customHeight="false" outlineLevel="0" collapsed="false">
      <c r="A1098" s="9"/>
      <c r="B1098" s="2" t="s">
        <v>2481</v>
      </c>
      <c r="C1098" s="2" t="s">
        <v>2482</v>
      </c>
      <c r="D1098" s="2" t="s">
        <v>273</v>
      </c>
      <c r="E1098" s="2" t="s">
        <v>273</v>
      </c>
      <c r="F1098" s="2"/>
      <c r="G1098" s="2" t="s">
        <v>2446</v>
      </c>
      <c r="H1098" s="8" t="n">
        <v>236.400134046882</v>
      </c>
      <c r="I1098" s="2" t="s">
        <v>316</v>
      </c>
      <c r="J1098" s="8" t="n">
        <v>318303.921568628</v>
      </c>
      <c r="K1098" s="6" t="n">
        <v>51</v>
      </c>
      <c r="L1098" s="2"/>
      <c r="M1098" s="10" t="b">
        <f aca="false">TRUE()</f>
        <v>1</v>
      </c>
      <c r="N1098" s="9" t="str">
        <f aca="false">IF(H1098="","",IF(H1098&gt;=Assumptions!$B$5,1,IF(H1098&gt;=Assumptions!$B$6,2,IF(H1098&gt;=Assumptions!$B$7,3,""))))</f>
        <v/>
      </c>
      <c r="O1098" s="9" t="n">
        <f aca="false">IF(N1098=1,Assumptions!$B$8,IF(N1098=2,Assumptions!$B$9,IF(N1098=3,Assumptions!$B$10,0)))</f>
        <v>0</v>
      </c>
      <c r="P1098" s="6" t="s">
        <v>30</v>
      </c>
      <c r="Q1098" s="6" t="s">
        <v>30</v>
      </c>
      <c r="R1098" s="11" t="s">
        <v>30</v>
      </c>
      <c r="S1098" s="6" t="s">
        <v>30</v>
      </c>
      <c r="T1098" s="11" t="s">
        <v>30</v>
      </c>
      <c r="U1098" s="6" t="s">
        <v>30</v>
      </c>
      <c r="V1098" s="6" t="s">
        <v>30</v>
      </c>
      <c r="W1098" s="6" t="s">
        <v>30</v>
      </c>
      <c r="X1098" s="2" t="s">
        <v>30</v>
      </c>
      <c r="Y1098" s="6" t="str">
        <f aca="false">IF(AND(X1098="processed",ISNUMBER(S1098)),S1098*O1098,"")</f>
        <v/>
      </c>
      <c r="Z1098" s="6" t="n">
        <f aca="false">IF(ISNUMBER(K1098),K1098*O1098,0)</f>
        <v>0</v>
      </c>
      <c r="AA1098" s="2" t="s">
        <v>31</v>
      </c>
      <c r="AB1098" s="6" t="n">
        <v>3906</v>
      </c>
      <c r="AC1098" s="6" t="n">
        <v>3274</v>
      </c>
      <c r="AD1098" s="6" t="n">
        <v>2571</v>
      </c>
      <c r="AE1098" s="6" t="n">
        <v>1452.07202148438</v>
      </c>
      <c r="AF1098" s="8" t="n">
        <v>229.591836735</v>
      </c>
      <c r="AG1098" s="11" t="n">
        <v>-0.003298672984</v>
      </c>
      <c r="AH1098" s="12" t="n">
        <v>0.693113191999134</v>
      </c>
      <c r="AI1098" s="2" t="s">
        <v>319</v>
      </c>
      <c r="AJ1098" s="2"/>
      <c r="AK1098" s="2" t="s">
        <v>2482</v>
      </c>
    </row>
    <row r="1099" customFormat="false" ht="15" hidden="false" customHeight="false" outlineLevel="0" collapsed="false">
      <c r="A1099" s="9"/>
      <c r="B1099" s="2" t="s">
        <v>2483</v>
      </c>
      <c r="C1099" s="2" t="s">
        <v>2484</v>
      </c>
      <c r="D1099" s="2" t="s">
        <v>2445</v>
      </c>
      <c r="E1099" s="2" t="s">
        <v>51</v>
      </c>
      <c r="F1099" s="2"/>
      <c r="G1099" s="2" t="s">
        <v>2446</v>
      </c>
      <c r="H1099" s="8" t="n">
        <v>227.8180518685</v>
      </c>
      <c r="I1099" s="2" t="s">
        <v>316</v>
      </c>
      <c r="J1099" s="8" t="n">
        <v>277500</v>
      </c>
      <c r="K1099" s="6" t="n">
        <v>2</v>
      </c>
      <c r="L1099" s="2" t="s">
        <v>1664</v>
      </c>
      <c r="M1099" s="10" t="b">
        <f aca="false">TRUE()</f>
        <v>1</v>
      </c>
      <c r="N1099" s="9" t="str">
        <f aca="false">IF(H1099="","",IF(H1099&gt;=Assumptions!$B$5,1,IF(H1099&gt;=Assumptions!$B$6,2,IF(H1099&gt;=Assumptions!$B$7,3,""))))</f>
        <v/>
      </c>
      <c r="O1099" s="9" t="n">
        <f aca="false">IF(N1099=1,Assumptions!$B$8,IF(N1099=2,Assumptions!$B$9,IF(N1099=3,Assumptions!$B$10,0)))</f>
        <v>0</v>
      </c>
      <c r="P1099" s="6" t="s">
        <v>30</v>
      </c>
      <c r="Q1099" s="6" t="s">
        <v>30</v>
      </c>
      <c r="R1099" s="11" t="s">
        <v>30</v>
      </c>
      <c r="S1099" s="6" t="s">
        <v>30</v>
      </c>
      <c r="T1099" s="11" t="s">
        <v>30</v>
      </c>
      <c r="U1099" s="6" t="s">
        <v>30</v>
      </c>
      <c r="V1099" s="6" t="s">
        <v>30</v>
      </c>
      <c r="W1099" s="6" t="s">
        <v>30</v>
      </c>
      <c r="X1099" s="2" t="s">
        <v>30</v>
      </c>
      <c r="Y1099" s="6" t="str">
        <f aca="false">IF(AND(X1099="processed",ISNUMBER(S1099)),S1099*O1099,"")</f>
        <v/>
      </c>
      <c r="Z1099" s="6" t="n">
        <f aca="false">IF(ISNUMBER(K1099),K1099*O1099,0)</f>
        <v>0</v>
      </c>
      <c r="AA1099" s="2" t="s">
        <v>31</v>
      </c>
      <c r="AB1099" s="6" t="n">
        <v>659</v>
      </c>
      <c r="AC1099" s="6" t="n">
        <v>503</v>
      </c>
      <c r="AD1099" s="6" t="n">
        <v>653</v>
      </c>
      <c r="AE1099" s="6" t="n">
        <v>1577.2744140625</v>
      </c>
      <c r="AF1099" s="8" t="n">
        <v>286.144578313</v>
      </c>
      <c r="AG1099" s="11"/>
      <c r="AH1099" s="12" t="n">
        <v>0.999219744222449</v>
      </c>
      <c r="AI1099" s="2" t="s">
        <v>1597</v>
      </c>
      <c r="AJ1099" s="2"/>
      <c r="AK1099" s="2" t="s">
        <v>2484</v>
      </c>
    </row>
    <row r="1100" customFormat="false" ht="15" hidden="false" customHeight="false" outlineLevel="0" collapsed="false">
      <c r="A1100" s="9"/>
      <c r="B1100" s="2" t="s">
        <v>2485</v>
      </c>
      <c r="C1100" s="2"/>
      <c r="D1100" s="2" t="s">
        <v>1190</v>
      </c>
      <c r="E1100" s="2" t="s">
        <v>1191</v>
      </c>
      <c r="F1100" s="2"/>
      <c r="G1100" s="2" t="s">
        <v>2438</v>
      </c>
      <c r="H1100" s="8" t="n">
        <v>214.137905058333</v>
      </c>
      <c r="I1100" s="2" t="s">
        <v>316</v>
      </c>
      <c r="J1100" s="8" t="n">
        <v>392630</v>
      </c>
      <c r="K1100" s="6" t="n">
        <v>3</v>
      </c>
      <c r="L1100" s="2" t="s">
        <v>1664</v>
      </c>
      <c r="M1100" s="10" t="b">
        <f aca="false">FALSE()</f>
        <v>0</v>
      </c>
      <c r="N1100" s="9" t="str">
        <f aca="false">IF(H1100="","",IF(H1100&gt;=Assumptions!$B$5,1,IF(H1100&gt;=Assumptions!$B$6,2,IF(H1100&gt;=Assumptions!$B$7,3,""))))</f>
        <v/>
      </c>
      <c r="O1100" s="9" t="n">
        <f aca="false">IF(N1100=1,Assumptions!$B$8,IF(N1100=2,Assumptions!$B$9,IF(N1100=3,Assumptions!$B$10,0)))</f>
        <v>0</v>
      </c>
      <c r="P1100" s="6" t="s">
        <v>30</v>
      </c>
      <c r="Q1100" s="6" t="s">
        <v>30</v>
      </c>
      <c r="R1100" s="11" t="s">
        <v>30</v>
      </c>
      <c r="S1100" s="6" t="s">
        <v>30</v>
      </c>
      <c r="T1100" s="11" t="s">
        <v>30</v>
      </c>
      <c r="U1100" s="6" t="s">
        <v>30</v>
      </c>
      <c r="V1100" s="6" t="s">
        <v>30</v>
      </c>
      <c r="W1100" s="6" t="s">
        <v>30</v>
      </c>
      <c r="X1100" s="2" t="s">
        <v>30</v>
      </c>
      <c r="Y1100" s="6" t="str">
        <f aca="false">IF(AND(X1100="processed",ISNUMBER(S1100)),S1100*O1100,"")</f>
        <v/>
      </c>
      <c r="Z1100" s="6" t="n">
        <f aca="false">IF(ISNUMBER(K1100),K1100*O1100,0)</f>
        <v>0</v>
      </c>
      <c r="AA1100" s="2" t="s">
        <v>31</v>
      </c>
      <c r="AB1100" s="6"/>
      <c r="AC1100" s="6"/>
      <c r="AD1100" s="6"/>
      <c r="AE1100" s="6"/>
      <c r="AF1100" s="8" t="n">
        <v>205.391061453</v>
      </c>
      <c r="AG1100" s="11"/>
      <c r="AH1100" s="12"/>
      <c r="AI1100" s="2"/>
      <c r="AJ1100" s="2"/>
      <c r="AK1100" s="2"/>
    </row>
    <row r="1101" customFormat="false" ht="15" hidden="false" customHeight="false" outlineLevel="0" collapsed="false">
      <c r="A1101" s="9"/>
      <c r="B1101" s="2" t="s">
        <v>2486</v>
      </c>
      <c r="C1101" s="2" t="s">
        <v>2487</v>
      </c>
      <c r="D1101" s="2" t="s">
        <v>2441</v>
      </c>
      <c r="E1101" s="2" t="s">
        <v>51</v>
      </c>
      <c r="F1101" s="2"/>
      <c r="G1101" s="2" t="s">
        <v>2442</v>
      </c>
      <c r="H1101" s="8" t="n">
        <v>241.224815975466</v>
      </c>
      <c r="I1101" s="2" t="s">
        <v>316</v>
      </c>
      <c r="J1101" s="8" t="n">
        <v>378023.940809969</v>
      </c>
      <c r="K1101" s="6" t="n">
        <v>642</v>
      </c>
      <c r="L1101" s="2"/>
      <c r="M1101" s="10" t="b">
        <f aca="false">TRUE()</f>
        <v>1</v>
      </c>
      <c r="N1101" s="9" t="str">
        <f aca="false">IF(H1101="","",IF(H1101&gt;=Assumptions!$B$5,1,IF(H1101&gt;=Assumptions!$B$6,2,IF(H1101&gt;=Assumptions!$B$7,3,""))))</f>
        <v/>
      </c>
      <c r="O1101" s="9" t="n">
        <f aca="false">IF(N1101=1,Assumptions!$B$8,IF(N1101=2,Assumptions!$B$9,IF(N1101=3,Assumptions!$B$10,0)))</f>
        <v>0</v>
      </c>
      <c r="P1101" s="6" t="s">
        <v>30</v>
      </c>
      <c r="Q1101" s="6" t="s">
        <v>30</v>
      </c>
      <c r="R1101" s="11" t="s">
        <v>30</v>
      </c>
      <c r="S1101" s="6" t="s">
        <v>30</v>
      </c>
      <c r="T1101" s="11" t="s">
        <v>30</v>
      </c>
      <c r="U1101" s="6" t="s">
        <v>30</v>
      </c>
      <c r="V1101" s="6" t="s">
        <v>30</v>
      </c>
      <c r="W1101" s="6" t="s">
        <v>30</v>
      </c>
      <c r="X1101" s="2" t="s">
        <v>30</v>
      </c>
      <c r="Y1101" s="6" t="str">
        <f aca="false">IF(AND(X1101="processed",ISNUMBER(S1101)),S1101*O1101,"")</f>
        <v/>
      </c>
      <c r="Z1101" s="6" t="n">
        <f aca="false">IF(ISNUMBER(K1101),K1101*O1101,0)</f>
        <v>0</v>
      </c>
      <c r="AA1101" s="2" t="s">
        <v>31</v>
      </c>
      <c r="AB1101" s="6" t="n">
        <v>26768</v>
      </c>
      <c r="AC1101" s="6" t="n">
        <v>23139</v>
      </c>
      <c r="AD1101" s="6" t="n">
        <v>21840</v>
      </c>
      <c r="AE1101" s="6" t="n">
        <v>2412.83081054688</v>
      </c>
      <c r="AF1101" s="8" t="n">
        <v>246.37429972</v>
      </c>
      <c r="AG1101" s="11" t="n">
        <v>0.02946768297</v>
      </c>
      <c r="AH1101" s="12" t="n">
        <v>0.999547261600751</v>
      </c>
      <c r="AI1101" s="2" t="s">
        <v>582</v>
      </c>
      <c r="AJ1101" s="2" t="s">
        <v>2487</v>
      </c>
      <c r="AK1101" s="2" t="s">
        <v>2487</v>
      </c>
    </row>
    <row r="1102" customFormat="false" ht="15" hidden="false" customHeight="false" outlineLevel="0" collapsed="false">
      <c r="A1102" s="9"/>
      <c r="B1102" s="2" t="s">
        <v>2488</v>
      </c>
      <c r="C1102" s="2" t="s">
        <v>2489</v>
      </c>
      <c r="D1102" s="2" t="s">
        <v>2460</v>
      </c>
      <c r="E1102" s="2" t="s">
        <v>51</v>
      </c>
      <c r="F1102" s="2"/>
      <c r="G1102" s="2" t="s">
        <v>2461</v>
      </c>
      <c r="H1102" s="8" t="n">
        <v>193.069714477</v>
      </c>
      <c r="I1102" s="2" t="s">
        <v>316</v>
      </c>
      <c r="J1102" s="8" t="n">
        <v>333571.428571429</v>
      </c>
      <c r="K1102" s="6" t="n">
        <v>7</v>
      </c>
      <c r="L1102" s="2"/>
      <c r="M1102" s="10" t="b">
        <f aca="false">TRUE()</f>
        <v>1</v>
      </c>
      <c r="N1102" s="9" t="str">
        <f aca="false">IF(H1102="","",IF(H1102&gt;=Assumptions!$B$5,1,IF(H1102&gt;=Assumptions!$B$6,2,IF(H1102&gt;=Assumptions!$B$7,3,""))))</f>
        <v/>
      </c>
      <c r="O1102" s="9" t="n">
        <f aca="false">IF(N1102=1,Assumptions!$B$8,IF(N1102=2,Assumptions!$B$9,IF(N1102=3,Assumptions!$B$10,0)))</f>
        <v>0</v>
      </c>
      <c r="P1102" s="6" t="s">
        <v>30</v>
      </c>
      <c r="Q1102" s="6" t="s">
        <v>30</v>
      </c>
      <c r="R1102" s="11" t="s">
        <v>30</v>
      </c>
      <c r="S1102" s="6" t="s">
        <v>30</v>
      </c>
      <c r="T1102" s="11" t="s">
        <v>30</v>
      </c>
      <c r="U1102" s="6" t="s">
        <v>30</v>
      </c>
      <c r="V1102" s="6" t="s">
        <v>30</v>
      </c>
      <c r="W1102" s="6" t="s">
        <v>30</v>
      </c>
      <c r="X1102" s="2" t="s">
        <v>30</v>
      </c>
      <c r="Y1102" s="6" t="str">
        <f aca="false">IF(AND(X1102="processed",ISNUMBER(S1102)),S1102*O1102,"")</f>
        <v/>
      </c>
      <c r="Z1102" s="6" t="n">
        <f aca="false">IF(ISNUMBER(K1102),K1102*O1102,0)</f>
        <v>0</v>
      </c>
      <c r="AA1102" s="2" t="s">
        <v>31</v>
      </c>
      <c r="AB1102" s="6" t="n">
        <v>1365</v>
      </c>
      <c r="AC1102" s="6" t="n">
        <v>1151</v>
      </c>
      <c r="AD1102" s="6" t="n">
        <v>866</v>
      </c>
      <c r="AE1102" s="6" t="n">
        <v>2108.00805664063</v>
      </c>
      <c r="AF1102" s="8" t="n">
        <v>171.638741316</v>
      </c>
      <c r="AG1102" s="11" t="n">
        <v>-0.03507295848</v>
      </c>
      <c r="AH1102" s="12" t="n">
        <v>0.999732655194187</v>
      </c>
      <c r="AI1102" s="2" t="s">
        <v>317</v>
      </c>
      <c r="AJ1102" s="2" t="s">
        <v>2489</v>
      </c>
      <c r="AK1102" s="2" t="s">
        <v>2489</v>
      </c>
    </row>
    <row r="1103" customFormat="false" ht="15" hidden="false" customHeight="false" outlineLevel="0" collapsed="false">
      <c r="A1103" s="9"/>
      <c r="B1103" s="2" t="s">
        <v>2490</v>
      </c>
      <c r="C1103" s="2" t="s">
        <v>2491</v>
      </c>
      <c r="D1103" s="2" t="s">
        <v>2437</v>
      </c>
      <c r="E1103" s="2" t="s">
        <v>51</v>
      </c>
      <c r="F1103" s="2"/>
      <c r="G1103" s="2" t="s">
        <v>2438</v>
      </c>
      <c r="H1103" s="8" t="n">
        <v>273.319692110333</v>
      </c>
      <c r="I1103" s="2" t="s">
        <v>316</v>
      </c>
      <c r="J1103" s="8" t="n">
        <v>316888.888888889</v>
      </c>
      <c r="K1103" s="6" t="n">
        <v>9</v>
      </c>
      <c r="L1103" s="2"/>
      <c r="M1103" s="10" t="b">
        <f aca="false">TRUE()</f>
        <v>1</v>
      </c>
      <c r="N1103" s="9" t="str">
        <f aca="false">IF(H1103="","",IF(H1103&gt;=Assumptions!$B$5,1,IF(H1103&gt;=Assumptions!$B$6,2,IF(H1103&gt;=Assumptions!$B$7,3,""))))</f>
        <v/>
      </c>
      <c r="O1103" s="9" t="n">
        <f aca="false">IF(N1103=1,Assumptions!$B$8,IF(N1103=2,Assumptions!$B$9,IF(N1103=3,Assumptions!$B$10,0)))</f>
        <v>0</v>
      </c>
      <c r="P1103" s="6" t="s">
        <v>30</v>
      </c>
      <c r="Q1103" s="6" t="s">
        <v>30</v>
      </c>
      <c r="R1103" s="11" t="s">
        <v>30</v>
      </c>
      <c r="S1103" s="6" t="s">
        <v>30</v>
      </c>
      <c r="T1103" s="11" t="s">
        <v>30</v>
      </c>
      <c r="U1103" s="6" t="s">
        <v>30</v>
      </c>
      <c r="V1103" s="6" t="s">
        <v>30</v>
      </c>
      <c r="W1103" s="6" t="s">
        <v>30</v>
      </c>
      <c r="X1103" s="2" t="s">
        <v>30</v>
      </c>
      <c r="Y1103" s="6" t="str">
        <f aca="false">IF(AND(X1103="processed",ISNUMBER(S1103)),S1103*O1103,"")</f>
        <v/>
      </c>
      <c r="Z1103" s="6" t="n">
        <f aca="false">IF(ISNUMBER(K1103),K1103*O1103,0)</f>
        <v>0</v>
      </c>
      <c r="AA1103" s="2" t="s">
        <v>31</v>
      </c>
      <c r="AB1103" s="6" t="n">
        <v>1675</v>
      </c>
      <c r="AC1103" s="6" t="n">
        <v>1436</v>
      </c>
      <c r="AD1103" s="6" t="n">
        <v>1652</v>
      </c>
      <c r="AE1103" s="6" t="n">
        <v>1868.24377441406</v>
      </c>
      <c r="AF1103" s="8" t="n">
        <v>213.043478261</v>
      </c>
      <c r="AG1103" s="11" t="n">
        <v>-0.3041199924</v>
      </c>
      <c r="AH1103" s="12" t="n">
        <v>0.999999999999999</v>
      </c>
      <c r="AI1103" s="2" t="s">
        <v>317</v>
      </c>
      <c r="AJ1103" s="2" t="s">
        <v>2491</v>
      </c>
      <c r="AK1103" s="2" t="s">
        <v>2491</v>
      </c>
    </row>
    <row r="1104" customFormat="false" ht="15" hidden="false" customHeight="false" outlineLevel="0" collapsed="false">
      <c r="A1104" s="9"/>
      <c r="B1104" s="2" t="s">
        <v>2492</v>
      </c>
      <c r="C1104" s="2" t="s">
        <v>2493</v>
      </c>
      <c r="D1104" s="2" t="s">
        <v>2445</v>
      </c>
      <c r="E1104" s="2" t="s">
        <v>51</v>
      </c>
      <c r="F1104" s="2"/>
      <c r="G1104" s="2" t="s">
        <v>2438</v>
      </c>
      <c r="H1104" s="8" t="n">
        <v>237.02074451745</v>
      </c>
      <c r="I1104" s="2" t="s">
        <v>316</v>
      </c>
      <c r="J1104" s="8" t="n">
        <v>374250</v>
      </c>
      <c r="K1104" s="6" t="n">
        <v>20</v>
      </c>
      <c r="L1104" s="2"/>
      <c r="M1104" s="10" t="b">
        <f aca="false">TRUE()</f>
        <v>1</v>
      </c>
      <c r="N1104" s="9" t="str">
        <f aca="false">IF(H1104="","",IF(H1104&gt;=Assumptions!$B$5,1,IF(H1104&gt;=Assumptions!$B$6,2,IF(H1104&gt;=Assumptions!$B$7,3,""))))</f>
        <v/>
      </c>
      <c r="O1104" s="9" t="n">
        <f aca="false">IF(N1104=1,Assumptions!$B$8,IF(N1104=2,Assumptions!$B$9,IF(N1104=3,Assumptions!$B$10,0)))</f>
        <v>0</v>
      </c>
      <c r="P1104" s="6" t="s">
        <v>30</v>
      </c>
      <c r="Q1104" s="6" t="s">
        <v>30</v>
      </c>
      <c r="R1104" s="11" t="s">
        <v>30</v>
      </c>
      <c r="S1104" s="6" t="s">
        <v>30</v>
      </c>
      <c r="T1104" s="11" t="s">
        <v>30</v>
      </c>
      <c r="U1104" s="6" t="s">
        <v>30</v>
      </c>
      <c r="V1104" s="6" t="s">
        <v>30</v>
      </c>
      <c r="W1104" s="6" t="s">
        <v>30</v>
      </c>
      <c r="X1104" s="2" t="s">
        <v>30</v>
      </c>
      <c r="Y1104" s="6" t="str">
        <f aca="false">IF(AND(X1104="processed",ISNUMBER(S1104)),S1104*O1104,"")</f>
        <v/>
      </c>
      <c r="Z1104" s="6" t="n">
        <f aca="false">IF(ISNUMBER(K1104),K1104*O1104,0)</f>
        <v>0</v>
      </c>
      <c r="AA1104" s="2" t="s">
        <v>31</v>
      </c>
      <c r="AB1104" s="6" t="n">
        <v>1944</v>
      </c>
      <c r="AC1104" s="6" t="n">
        <v>1578</v>
      </c>
      <c r="AD1104" s="6" t="n">
        <v>1449</v>
      </c>
      <c r="AE1104" s="6" t="n">
        <v>1759.67797851563</v>
      </c>
      <c r="AF1104" s="8" t="n">
        <v>264.351241679</v>
      </c>
      <c r="AG1104" s="11" t="n">
        <v>0.2792221267</v>
      </c>
      <c r="AH1104" s="12" t="n">
        <v>0.50426507802386</v>
      </c>
      <c r="AI1104" s="2" t="s">
        <v>1597</v>
      </c>
      <c r="AJ1104" s="2"/>
      <c r="AK1104" s="2" t="s">
        <v>2493</v>
      </c>
    </row>
    <row r="1105" customFormat="false" ht="15" hidden="false" customHeight="false" outlineLevel="0" collapsed="false">
      <c r="A1105" s="9"/>
      <c r="B1105" s="2" t="s">
        <v>2494</v>
      </c>
      <c r="C1105" s="2" t="s">
        <v>2495</v>
      </c>
      <c r="D1105" s="2" t="s">
        <v>2441</v>
      </c>
      <c r="E1105" s="2" t="s">
        <v>51</v>
      </c>
      <c r="F1105" s="2"/>
      <c r="G1105" s="2" t="s">
        <v>2442</v>
      </c>
      <c r="H1105" s="8" t="n">
        <v>147.1150097465</v>
      </c>
      <c r="I1105" s="2" t="s">
        <v>316</v>
      </c>
      <c r="J1105" s="8" t="n">
        <v>176500</v>
      </c>
      <c r="K1105" s="6" t="n">
        <v>2</v>
      </c>
      <c r="L1105" s="2" t="s">
        <v>1664</v>
      </c>
      <c r="M1105" s="10" t="b">
        <f aca="false">TRUE()</f>
        <v>1</v>
      </c>
      <c r="N1105" s="9" t="str">
        <f aca="false">IF(H1105="","",IF(H1105&gt;=Assumptions!$B$5,1,IF(H1105&gt;=Assumptions!$B$6,2,IF(H1105&gt;=Assumptions!$B$7,3,""))))</f>
        <v/>
      </c>
      <c r="O1105" s="9" t="n">
        <f aca="false">IF(N1105=1,Assumptions!$B$8,IF(N1105=2,Assumptions!$B$9,IF(N1105=3,Assumptions!$B$10,0)))</f>
        <v>0</v>
      </c>
      <c r="P1105" s="6" t="s">
        <v>30</v>
      </c>
      <c r="Q1105" s="6" t="s">
        <v>30</v>
      </c>
      <c r="R1105" s="11" t="s">
        <v>30</v>
      </c>
      <c r="S1105" s="6" t="s">
        <v>30</v>
      </c>
      <c r="T1105" s="11" t="s">
        <v>30</v>
      </c>
      <c r="U1105" s="6" t="s">
        <v>30</v>
      </c>
      <c r="V1105" s="6" t="s">
        <v>30</v>
      </c>
      <c r="W1105" s="6" t="s">
        <v>30</v>
      </c>
      <c r="X1105" s="2" t="s">
        <v>30</v>
      </c>
      <c r="Y1105" s="6" t="str">
        <f aca="false">IF(AND(X1105="processed",ISNUMBER(S1105)),S1105*O1105,"")</f>
        <v/>
      </c>
      <c r="Z1105" s="6" t="n">
        <f aca="false">IF(ISNUMBER(K1105),K1105*O1105,0)</f>
        <v>0</v>
      </c>
      <c r="AA1105" s="2" t="s">
        <v>31</v>
      </c>
      <c r="AB1105" s="6" t="n">
        <v>695</v>
      </c>
      <c r="AC1105" s="6" t="n">
        <v>531</v>
      </c>
      <c r="AD1105" s="6" t="n">
        <v>180</v>
      </c>
      <c r="AE1105" s="6" t="n">
        <v>1694.74816894531</v>
      </c>
      <c r="AF1105" s="8" t="n">
        <v>210.526315789</v>
      </c>
      <c r="AG1105" s="11" t="n">
        <v>0.2631578947</v>
      </c>
      <c r="AH1105" s="12" t="n">
        <v>0.999652912918452</v>
      </c>
      <c r="AI1105" s="2" t="s">
        <v>321</v>
      </c>
      <c r="AJ1105" s="2" t="s">
        <v>2495</v>
      </c>
      <c r="AK1105" s="2" t="s">
        <v>2448</v>
      </c>
    </row>
    <row r="1106" customFormat="false" ht="15" hidden="false" customHeight="false" outlineLevel="0" collapsed="false">
      <c r="A1106" s="9"/>
      <c r="B1106" s="2" t="s">
        <v>2496</v>
      </c>
      <c r="C1106" s="2" t="s">
        <v>2497</v>
      </c>
      <c r="D1106" s="2" t="s">
        <v>2445</v>
      </c>
      <c r="E1106" s="2" t="s">
        <v>51</v>
      </c>
      <c r="F1106" s="2" t="s">
        <v>2498</v>
      </c>
      <c r="G1106" s="2" t="s">
        <v>2446</v>
      </c>
      <c r="H1106" s="8" t="n">
        <v>183.273410409594</v>
      </c>
      <c r="I1106" s="2" t="s">
        <v>316</v>
      </c>
      <c r="J1106" s="8" t="n">
        <v>263453.125</v>
      </c>
      <c r="K1106" s="6" t="n">
        <v>64</v>
      </c>
      <c r="L1106" s="2"/>
      <c r="M1106" s="10" t="b">
        <f aca="false">TRUE()</f>
        <v>1</v>
      </c>
      <c r="N1106" s="9" t="str">
        <f aca="false">IF(H1106="","",IF(H1106&gt;=Assumptions!$B$5,1,IF(H1106&gt;=Assumptions!$B$6,2,IF(H1106&gt;=Assumptions!$B$7,3,""))))</f>
        <v/>
      </c>
      <c r="O1106" s="9" t="n">
        <f aca="false">IF(N1106=1,Assumptions!$B$8,IF(N1106=2,Assumptions!$B$9,IF(N1106=3,Assumptions!$B$10,0)))</f>
        <v>0</v>
      </c>
      <c r="P1106" s="6" t="s">
        <v>30</v>
      </c>
      <c r="Q1106" s="6" t="s">
        <v>30</v>
      </c>
      <c r="R1106" s="11" t="s">
        <v>30</v>
      </c>
      <c r="S1106" s="6" t="s">
        <v>30</v>
      </c>
      <c r="T1106" s="11" t="s">
        <v>30</v>
      </c>
      <c r="U1106" s="6" t="s">
        <v>30</v>
      </c>
      <c r="V1106" s="6" t="s">
        <v>30</v>
      </c>
      <c r="W1106" s="6" t="s">
        <v>30</v>
      </c>
      <c r="X1106" s="2" t="s">
        <v>30</v>
      </c>
      <c r="Y1106" s="6" t="str">
        <f aca="false">IF(AND(X1106="processed",ISNUMBER(S1106)),S1106*O1106,"")</f>
        <v/>
      </c>
      <c r="Z1106" s="6" t="n">
        <f aca="false">IF(ISNUMBER(K1106),K1106*O1106,0)</f>
        <v>0</v>
      </c>
      <c r="AA1106" s="2" t="s">
        <v>31</v>
      </c>
      <c r="AB1106" s="6" t="n">
        <v>4822</v>
      </c>
      <c r="AC1106" s="6" t="n">
        <v>4044</v>
      </c>
      <c r="AD1106" s="6" t="n">
        <v>4560</v>
      </c>
      <c r="AE1106" s="6" t="n">
        <v>1809.70068359375</v>
      </c>
      <c r="AF1106" s="8" t="n">
        <v>164.495657439</v>
      </c>
      <c r="AG1106" s="11" t="n">
        <v>0.03017482437</v>
      </c>
      <c r="AH1106" s="12" t="n">
        <v>0.999999999999995</v>
      </c>
      <c r="AI1106" s="2" t="s">
        <v>1597</v>
      </c>
      <c r="AJ1106" s="2"/>
      <c r="AK1106" s="2" t="s">
        <v>2497</v>
      </c>
    </row>
    <row r="1107" customFormat="false" ht="15" hidden="false" customHeight="false" outlineLevel="0" collapsed="false">
      <c r="A1107" s="9"/>
      <c r="B1107" s="2" t="s">
        <v>2499</v>
      </c>
      <c r="C1107" s="2" t="s">
        <v>2500</v>
      </c>
      <c r="D1107" s="2" t="s">
        <v>2445</v>
      </c>
      <c r="E1107" s="2" t="s">
        <v>51</v>
      </c>
      <c r="F1107" s="2"/>
      <c r="G1107" s="2" t="s">
        <v>2446</v>
      </c>
      <c r="H1107" s="8" t="n">
        <v>221.51144130675</v>
      </c>
      <c r="I1107" s="2" t="s">
        <v>316</v>
      </c>
      <c r="J1107" s="8" t="n">
        <v>258035.714285714</v>
      </c>
      <c r="K1107" s="6" t="n">
        <v>28</v>
      </c>
      <c r="L1107" s="2"/>
      <c r="M1107" s="10" t="b">
        <f aca="false">TRUE()</f>
        <v>1</v>
      </c>
      <c r="N1107" s="9" t="str">
        <f aca="false">IF(H1107="","",IF(H1107&gt;=Assumptions!$B$5,1,IF(H1107&gt;=Assumptions!$B$6,2,IF(H1107&gt;=Assumptions!$B$7,3,""))))</f>
        <v/>
      </c>
      <c r="O1107" s="9" t="n">
        <f aca="false">IF(N1107=1,Assumptions!$B$8,IF(N1107=2,Assumptions!$B$9,IF(N1107=3,Assumptions!$B$10,0)))</f>
        <v>0</v>
      </c>
      <c r="P1107" s="6" t="s">
        <v>30</v>
      </c>
      <c r="Q1107" s="6" t="s">
        <v>30</v>
      </c>
      <c r="R1107" s="11" t="s">
        <v>30</v>
      </c>
      <c r="S1107" s="6" t="s">
        <v>30</v>
      </c>
      <c r="T1107" s="11" t="s">
        <v>30</v>
      </c>
      <c r="U1107" s="6" t="s">
        <v>30</v>
      </c>
      <c r="V1107" s="6" t="s">
        <v>30</v>
      </c>
      <c r="W1107" s="6" t="s">
        <v>30</v>
      </c>
      <c r="X1107" s="2" t="s">
        <v>30</v>
      </c>
      <c r="Y1107" s="6" t="str">
        <f aca="false">IF(AND(X1107="processed",ISNUMBER(S1107)),S1107*O1107,"")</f>
        <v/>
      </c>
      <c r="Z1107" s="6" t="n">
        <f aca="false">IF(ISNUMBER(K1107),K1107*O1107,0)</f>
        <v>0</v>
      </c>
      <c r="AA1107" s="2" t="s">
        <v>31</v>
      </c>
      <c r="AB1107" s="6" t="n">
        <v>4599</v>
      </c>
      <c r="AC1107" s="6" t="n">
        <v>3824</v>
      </c>
      <c r="AD1107" s="6" t="n">
        <v>435</v>
      </c>
      <c r="AE1107" s="6" t="n">
        <v>1629.24829101563</v>
      </c>
      <c r="AF1107" s="8" t="n">
        <v>248.219588004</v>
      </c>
      <c r="AG1107" s="11" t="n">
        <v>-0.1080766297</v>
      </c>
      <c r="AH1107" s="12" t="n">
        <v>1</v>
      </c>
      <c r="AI1107" s="2" t="s">
        <v>1597</v>
      </c>
      <c r="AJ1107" s="2"/>
      <c r="AK1107" s="2" t="s">
        <v>2500</v>
      </c>
    </row>
    <row r="1108" customFormat="false" ht="15" hidden="false" customHeight="false" outlineLevel="0" collapsed="false">
      <c r="A1108" s="9"/>
      <c r="B1108" s="2" t="s">
        <v>2501</v>
      </c>
      <c r="C1108" s="2" t="s">
        <v>2502</v>
      </c>
      <c r="D1108" s="2" t="s">
        <v>2460</v>
      </c>
      <c r="E1108" s="2" t="s">
        <v>51</v>
      </c>
      <c r="F1108" s="2"/>
      <c r="G1108" s="2" t="s">
        <v>2461</v>
      </c>
      <c r="H1108" s="8" t="n">
        <v>248.4585853365</v>
      </c>
      <c r="I1108" s="2" t="s">
        <v>316</v>
      </c>
      <c r="J1108" s="8" t="n">
        <v>481583.333333333</v>
      </c>
      <c r="K1108" s="6" t="n">
        <v>6</v>
      </c>
      <c r="L1108" s="2"/>
      <c r="M1108" s="10" t="b">
        <f aca="false">TRUE()</f>
        <v>1</v>
      </c>
      <c r="N1108" s="9" t="str">
        <f aca="false">IF(H1108="","",IF(H1108&gt;=Assumptions!$B$5,1,IF(H1108&gt;=Assumptions!$B$6,2,IF(H1108&gt;=Assumptions!$B$7,3,""))))</f>
        <v/>
      </c>
      <c r="O1108" s="9" t="n">
        <f aca="false">IF(N1108=1,Assumptions!$B$8,IF(N1108=2,Assumptions!$B$9,IF(N1108=3,Assumptions!$B$10,0)))</f>
        <v>0</v>
      </c>
      <c r="P1108" s="6" t="s">
        <v>30</v>
      </c>
      <c r="Q1108" s="6" t="s">
        <v>30</v>
      </c>
      <c r="R1108" s="11" t="s">
        <v>30</v>
      </c>
      <c r="S1108" s="6" t="s">
        <v>30</v>
      </c>
      <c r="T1108" s="11" t="s">
        <v>30</v>
      </c>
      <c r="U1108" s="6" t="s">
        <v>30</v>
      </c>
      <c r="V1108" s="6" t="s">
        <v>30</v>
      </c>
      <c r="W1108" s="6" t="s">
        <v>30</v>
      </c>
      <c r="X1108" s="2" t="s">
        <v>30</v>
      </c>
      <c r="Y1108" s="6" t="str">
        <f aca="false">IF(AND(X1108="processed",ISNUMBER(S1108)),S1108*O1108,"")</f>
        <v/>
      </c>
      <c r="Z1108" s="6" t="n">
        <f aca="false">IF(ISNUMBER(K1108),K1108*O1108,0)</f>
        <v>0</v>
      </c>
      <c r="AA1108" s="2" t="s">
        <v>31</v>
      </c>
      <c r="AB1108" s="6" t="n">
        <v>2138</v>
      </c>
      <c r="AC1108" s="6" t="n">
        <v>1741</v>
      </c>
      <c r="AD1108" s="6" t="n">
        <v>2128</v>
      </c>
      <c r="AE1108" s="6" t="n">
        <v>1903.783203125</v>
      </c>
      <c r="AF1108" s="8" t="n">
        <v>308.035714286</v>
      </c>
      <c r="AG1108" s="11"/>
      <c r="AH1108" s="12" t="n">
        <v>0.823039843175398</v>
      </c>
      <c r="AI1108" s="2" t="s">
        <v>1558</v>
      </c>
      <c r="AJ1108" s="2" t="s">
        <v>2502</v>
      </c>
      <c r="AK1108" s="2" t="s">
        <v>2502</v>
      </c>
    </row>
    <row r="1109" customFormat="false" ht="15" hidden="false" customHeight="false" outlineLevel="0" collapsed="false">
      <c r="A1109" s="9"/>
      <c r="B1109" s="2" t="s">
        <v>2503</v>
      </c>
      <c r="C1109" s="2" t="s">
        <v>2504</v>
      </c>
      <c r="D1109" s="2" t="s">
        <v>70</v>
      </c>
      <c r="E1109" s="2" t="s">
        <v>71</v>
      </c>
      <c r="F1109" s="2"/>
      <c r="G1109" s="2" t="s">
        <v>2446</v>
      </c>
      <c r="H1109" s="8" t="n">
        <v>238.0020014534</v>
      </c>
      <c r="I1109" s="2" t="s">
        <v>316</v>
      </c>
      <c r="J1109" s="8" t="n">
        <v>382400</v>
      </c>
      <c r="K1109" s="6" t="n">
        <v>10</v>
      </c>
      <c r="L1109" s="2"/>
      <c r="M1109" s="10" t="b">
        <f aca="false">TRUE()</f>
        <v>1</v>
      </c>
      <c r="N1109" s="9" t="str">
        <f aca="false">IF(H1109="","",IF(H1109&gt;=Assumptions!$B$5,1,IF(H1109&gt;=Assumptions!$B$6,2,IF(H1109&gt;=Assumptions!$B$7,3,""))))</f>
        <v/>
      </c>
      <c r="O1109" s="9" t="n">
        <f aca="false">IF(N1109=1,Assumptions!$B$8,IF(N1109=2,Assumptions!$B$9,IF(N1109=3,Assumptions!$B$10,0)))</f>
        <v>0</v>
      </c>
      <c r="P1109" s="6" t="s">
        <v>30</v>
      </c>
      <c r="Q1109" s="6" t="s">
        <v>30</v>
      </c>
      <c r="R1109" s="11" t="s">
        <v>30</v>
      </c>
      <c r="S1109" s="6" t="s">
        <v>30</v>
      </c>
      <c r="T1109" s="11" t="s">
        <v>30</v>
      </c>
      <c r="U1109" s="6" t="s">
        <v>30</v>
      </c>
      <c r="V1109" s="6" t="s">
        <v>30</v>
      </c>
      <c r="W1109" s="6" t="s">
        <v>30</v>
      </c>
      <c r="X1109" s="2" t="s">
        <v>30</v>
      </c>
      <c r="Y1109" s="6" t="str">
        <f aca="false">IF(AND(X1109="processed",ISNUMBER(S1109)),S1109*O1109,"")</f>
        <v/>
      </c>
      <c r="Z1109" s="6" t="n">
        <f aca="false">IF(ISNUMBER(K1109),K1109*O1109,0)</f>
        <v>0</v>
      </c>
      <c r="AA1109" s="2" t="s">
        <v>31</v>
      </c>
      <c r="AB1109" s="6" t="n">
        <v>1531</v>
      </c>
      <c r="AC1109" s="6" t="n">
        <v>1193</v>
      </c>
      <c r="AD1109" s="6" t="n">
        <v>970</v>
      </c>
      <c r="AE1109" s="6" t="n">
        <v>1644.91674804688</v>
      </c>
      <c r="AF1109" s="8" t="n">
        <v>195.910812672</v>
      </c>
      <c r="AG1109" s="11" t="n">
        <v>-0.09855704181</v>
      </c>
      <c r="AH1109" s="12" t="n">
        <v>0.717987069575657</v>
      </c>
      <c r="AI1109" s="2" t="s">
        <v>1597</v>
      </c>
      <c r="AJ1109" s="2"/>
      <c r="AK1109" s="2" t="s">
        <v>2504</v>
      </c>
    </row>
    <row r="1110" customFormat="false" ht="15" hidden="false" customHeight="false" outlineLevel="0" collapsed="false">
      <c r="A1110" s="9"/>
      <c r="B1110" s="2" t="s">
        <v>2505</v>
      </c>
      <c r="C1110" s="2" t="s">
        <v>2506</v>
      </c>
      <c r="D1110" s="2" t="s">
        <v>2437</v>
      </c>
      <c r="E1110" s="2" t="s">
        <v>51</v>
      </c>
      <c r="F1110" s="2"/>
      <c r="G1110" s="2" t="s">
        <v>2438</v>
      </c>
      <c r="H1110" s="8" t="n">
        <v>276.455039105</v>
      </c>
      <c r="I1110" s="2" t="s">
        <v>316</v>
      </c>
      <c r="J1110" s="8" t="n">
        <v>515000</v>
      </c>
      <c r="K1110" s="6" t="n">
        <v>2</v>
      </c>
      <c r="L1110" s="2" t="s">
        <v>1664</v>
      </c>
      <c r="M1110" s="10" t="b">
        <f aca="false">TRUE()</f>
        <v>1</v>
      </c>
      <c r="N1110" s="9" t="str">
        <f aca="false">IF(H1110="","",IF(H1110&gt;=Assumptions!$B$5,1,IF(H1110&gt;=Assumptions!$B$6,2,IF(H1110&gt;=Assumptions!$B$7,3,""))))</f>
        <v/>
      </c>
      <c r="O1110" s="9" t="n">
        <f aca="false">IF(N1110=1,Assumptions!$B$8,IF(N1110=2,Assumptions!$B$9,IF(N1110=3,Assumptions!$B$10,0)))</f>
        <v>0</v>
      </c>
      <c r="P1110" s="6" t="s">
        <v>30</v>
      </c>
      <c r="Q1110" s="6" t="s">
        <v>30</v>
      </c>
      <c r="R1110" s="11" t="s">
        <v>30</v>
      </c>
      <c r="S1110" s="6" t="s">
        <v>30</v>
      </c>
      <c r="T1110" s="11" t="s">
        <v>30</v>
      </c>
      <c r="U1110" s="6" t="s">
        <v>30</v>
      </c>
      <c r="V1110" s="6" t="s">
        <v>30</v>
      </c>
      <c r="W1110" s="6" t="s">
        <v>30</v>
      </c>
      <c r="X1110" s="2" t="s">
        <v>30</v>
      </c>
      <c r="Y1110" s="6" t="str">
        <f aca="false">IF(AND(X1110="processed",ISNUMBER(S1110)),S1110*O1110,"")</f>
        <v/>
      </c>
      <c r="Z1110" s="6" t="n">
        <f aca="false">IF(ISNUMBER(K1110),K1110*O1110,0)</f>
        <v>0</v>
      </c>
      <c r="AA1110" s="2" t="s">
        <v>31</v>
      </c>
      <c r="AB1110" s="6" t="n">
        <v>583</v>
      </c>
      <c r="AC1110" s="6" t="n">
        <v>454</v>
      </c>
      <c r="AD1110" s="6" t="n">
        <v>518</v>
      </c>
      <c r="AE1110" s="6" t="n">
        <v>1728.22314453125</v>
      </c>
      <c r="AF1110" s="8" t="n">
        <v>276.455039105</v>
      </c>
      <c r="AG1110" s="11" t="n">
        <v>1.19394719</v>
      </c>
      <c r="AH1110" s="12" t="n">
        <v>1</v>
      </c>
      <c r="AI1110" s="2" t="s">
        <v>1597</v>
      </c>
      <c r="AJ1110" s="2"/>
      <c r="AK1110" s="2" t="s">
        <v>2506</v>
      </c>
    </row>
    <row r="1111" customFormat="false" ht="15" hidden="false" customHeight="false" outlineLevel="0" collapsed="false">
      <c r="A1111" s="9"/>
      <c r="B1111" s="2" t="s">
        <v>2507</v>
      </c>
      <c r="C1111" s="2" t="s">
        <v>2508</v>
      </c>
      <c r="D1111" s="2" t="s">
        <v>2441</v>
      </c>
      <c r="E1111" s="2" t="s">
        <v>51</v>
      </c>
      <c r="F1111" s="2"/>
      <c r="G1111" s="2" t="s">
        <v>2442</v>
      </c>
      <c r="H1111" s="8" t="n">
        <v>231.608208462017</v>
      </c>
      <c r="I1111" s="2" t="s">
        <v>316</v>
      </c>
      <c r="J1111" s="8" t="n">
        <v>380881.355932203</v>
      </c>
      <c r="K1111" s="6" t="n">
        <v>236</v>
      </c>
      <c r="L1111" s="2"/>
      <c r="M1111" s="10" t="b">
        <f aca="false">TRUE()</f>
        <v>1</v>
      </c>
      <c r="N1111" s="9" t="str">
        <f aca="false">IF(H1111="","",IF(H1111&gt;=Assumptions!$B$5,1,IF(H1111&gt;=Assumptions!$B$6,2,IF(H1111&gt;=Assumptions!$B$7,3,""))))</f>
        <v/>
      </c>
      <c r="O1111" s="9" t="n">
        <f aca="false">IF(N1111=1,Assumptions!$B$8,IF(N1111=2,Assumptions!$B$9,IF(N1111=3,Assumptions!$B$10,0)))</f>
        <v>0</v>
      </c>
      <c r="P1111" s="6" t="s">
        <v>30</v>
      </c>
      <c r="Q1111" s="6" t="s">
        <v>30</v>
      </c>
      <c r="R1111" s="11" t="s">
        <v>30</v>
      </c>
      <c r="S1111" s="6" t="s">
        <v>30</v>
      </c>
      <c r="T1111" s="11" t="s">
        <v>30</v>
      </c>
      <c r="U1111" s="6" t="s">
        <v>30</v>
      </c>
      <c r="V1111" s="6" t="s">
        <v>30</v>
      </c>
      <c r="W1111" s="6" t="s">
        <v>30</v>
      </c>
      <c r="X1111" s="2" t="s">
        <v>30</v>
      </c>
      <c r="Y1111" s="6" t="str">
        <f aca="false">IF(AND(X1111="processed",ISNUMBER(S1111)),S1111*O1111,"")</f>
        <v/>
      </c>
      <c r="Z1111" s="6" t="n">
        <f aca="false">IF(ISNUMBER(K1111),K1111*O1111,0)</f>
        <v>0</v>
      </c>
      <c r="AA1111" s="2" t="s">
        <v>31</v>
      </c>
      <c r="AB1111" s="6" t="n">
        <v>14079</v>
      </c>
      <c r="AC1111" s="6" t="n">
        <v>12346</v>
      </c>
      <c r="AD1111" s="6" t="n">
        <v>5085</v>
      </c>
      <c r="AE1111" s="6" t="n">
        <v>2563.62377929688</v>
      </c>
      <c r="AF1111" s="8" t="n">
        <v>240.236686391</v>
      </c>
      <c r="AG1111" s="11" t="n">
        <v>0.07728615088</v>
      </c>
      <c r="AH1111" s="12" t="n">
        <v>0.998910540142035</v>
      </c>
      <c r="AI1111" s="2" t="s">
        <v>317</v>
      </c>
      <c r="AJ1111" s="2" t="s">
        <v>2508</v>
      </c>
      <c r="AK1111" s="2" t="s">
        <v>2508</v>
      </c>
    </row>
    <row r="1112" customFormat="false" ht="15" hidden="false" customHeight="false" outlineLevel="0" collapsed="false">
      <c r="A1112" s="9"/>
      <c r="B1112" s="2" t="s">
        <v>2509</v>
      </c>
      <c r="C1112" s="2" t="s">
        <v>2510</v>
      </c>
      <c r="D1112" s="2" t="s">
        <v>2437</v>
      </c>
      <c r="E1112" s="2" t="s">
        <v>51</v>
      </c>
      <c r="F1112" s="2" t="s">
        <v>2511</v>
      </c>
      <c r="G1112" s="2" t="s">
        <v>2438</v>
      </c>
      <c r="H1112" s="8" t="n">
        <v>234.414427067114</v>
      </c>
      <c r="I1112" s="2" t="s">
        <v>316</v>
      </c>
      <c r="J1112" s="8" t="n">
        <v>325795.454545455</v>
      </c>
      <c r="K1112" s="6" t="n">
        <v>44</v>
      </c>
      <c r="L1112" s="2"/>
      <c r="M1112" s="10" t="b">
        <f aca="false">TRUE()</f>
        <v>1</v>
      </c>
      <c r="N1112" s="9" t="str">
        <f aca="false">IF(H1112="","",IF(H1112&gt;=Assumptions!$B$5,1,IF(H1112&gt;=Assumptions!$B$6,2,IF(H1112&gt;=Assumptions!$B$7,3,""))))</f>
        <v/>
      </c>
      <c r="O1112" s="9" t="n">
        <f aca="false">IF(N1112=1,Assumptions!$B$8,IF(N1112=2,Assumptions!$B$9,IF(N1112=3,Assumptions!$B$10,0)))</f>
        <v>0</v>
      </c>
      <c r="P1112" s="6" t="s">
        <v>30</v>
      </c>
      <c r="Q1112" s="6" t="s">
        <v>30</v>
      </c>
      <c r="R1112" s="11" t="s">
        <v>30</v>
      </c>
      <c r="S1112" s="6" t="s">
        <v>30</v>
      </c>
      <c r="T1112" s="11" t="s">
        <v>30</v>
      </c>
      <c r="U1112" s="6" t="s">
        <v>30</v>
      </c>
      <c r="V1112" s="6" t="s">
        <v>30</v>
      </c>
      <c r="W1112" s="6" t="s">
        <v>30</v>
      </c>
      <c r="X1112" s="2" t="s">
        <v>30</v>
      </c>
      <c r="Y1112" s="6" t="str">
        <f aca="false">IF(AND(X1112="processed",ISNUMBER(S1112)),S1112*O1112,"")</f>
        <v/>
      </c>
      <c r="Z1112" s="6" t="n">
        <f aca="false">IF(ISNUMBER(K1112),K1112*O1112,0)</f>
        <v>0</v>
      </c>
      <c r="AA1112" s="2" t="s">
        <v>31</v>
      </c>
      <c r="AB1112" s="6" t="n">
        <v>7529</v>
      </c>
      <c r="AC1112" s="6" t="n">
        <v>6234</v>
      </c>
      <c r="AD1112" s="6" t="n">
        <v>5066</v>
      </c>
      <c r="AE1112" s="6" t="n">
        <v>2031.78540039063</v>
      </c>
      <c r="AF1112" s="8" t="n">
        <v>230.56768559</v>
      </c>
      <c r="AG1112" s="11" t="n">
        <v>0.1252512466</v>
      </c>
      <c r="AH1112" s="12" t="n">
        <v>1</v>
      </c>
      <c r="AI1112" s="2" t="s">
        <v>317</v>
      </c>
      <c r="AJ1112" s="2" t="s">
        <v>2510</v>
      </c>
      <c r="AK1112" s="2" t="s">
        <v>2510</v>
      </c>
    </row>
    <row r="1113" customFormat="false" ht="15" hidden="false" customHeight="false" outlineLevel="0" collapsed="false">
      <c r="A1113" s="9"/>
      <c r="B1113" s="2" t="s">
        <v>2512</v>
      </c>
      <c r="C1113" s="2" t="s">
        <v>2513</v>
      </c>
      <c r="D1113" s="2" t="s">
        <v>2445</v>
      </c>
      <c r="E1113" s="2" t="s">
        <v>51</v>
      </c>
      <c r="F1113" s="2"/>
      <c r="G1113" s="2" t="s">
        <v>2446</v>
      </c>
      <c r="H1113" s="8" t="n">
        <v>269.387755102</v>
      </c>
      <c r="I1113" s="2" t="s">
        <v>316</v>
      </c>
      <c r="J1113" s="8" t="n">
        <v>330000</v>
      </c>
      <c r="K1113" s="6" t="n">
        <v>1</v>
      </c>
      <c r="L1113" s="2" t="s">
        <v>1664</v>
      </c>
      <c r="M1113" s="10" t="b">
        <f aca="false">TRUE()</f>
        <v>1</v>
      </c>
      <c r="N1113" s="9" t="str">
        <f aca="false">IF(H1113="","",IF(H1113&gt;=Assumptions!$B$5,1,IF(H1113&gt;=Assumptions!$B$6,2,IF(H1113&gt;=Assumptions!$B$7,3,""))))</f>
        <v/>
      </c>
      <c r="O1113" s="9" t="n">
        <f aca="false">IF(N1113=1,Assumptions!$B$8,IF(N1113=2,Assumptions!$B$9,IF(N1113=3,Assumptions!$B$10,0)))</f>
        <v>0</v>
      </c>
      <c r="P1113" s="6" t="s">
        <v>30</v>
      </c>
      <c r="Q1113" s="6" t="s">
        <v>30</v>
      </c>
      <c r="R1113" s="11" t="s">
        <v>30</v>
      </c>
      <c r="S1113" s="6" t="s">
        <v>30</v>
      </c>
      <c r="T1113" s="11" t="s">
        <v>30</v>
      </c>
      <c r="U1113" s="6" t="s">
        <v>30</v>
      </c>
      <c r="V1113" s="6" t="s">
        <v>30</v>
      </c>
      <c r="W1113" s="6" t="s">
        <v>30</v>
      </c>
      <c r="X1113" s="2" t="s">
        <v>30</v>
      </c>
      <c r="Y1113" s="6" t="str">
        <f aca="false">IF(AND(X1113="processed",ISNUMBER(S1113)),S1113*O1113,"")</f>
        <v/>
      </c>
      <c r="Z1113" s="6" t="n">
        <f aca="false">IF(ISNUMBER(K1113),K1113*O1113,0)</f>
        <v>0</v>
      </c>
      <c r="AA1113" s="2" t="s">
        <v>31</v>
      </c>
      <c r="AB1113" s="6" t="n">
        <v>1247</v>
      </c>
      <c r="AC1113" s="6" t="n">
        <v>939</v>
      </c>
      <c r="AD1113" s="6" t="n">
        <v>570</v>
      </c>
      <c r="AE1113" s="6" t="n">
        <v>1743.67761230469</v>
      </c>
      <c r="AF1113" s="8" t="n">
        <v>269.387755102</v>
      </c>
      <c r="AG1113" s="11" t="n">
        <v>0.219575177</v>
      </c>
      <c r="AH1113" s="12" t="n">
        <v>0.999787066054122</v>
      </c>
      <c r="AI1113" s="2" t="s">
        <v>1597</v>
      </c>
      <c r="AJ1113" s="2"/>
      <c r="AK1113" s="2" t="s">
        <v>2513</v>
      </c>
    </row>
    <row r="1114" customFormat="false" ht="15" hidden="false" customHeight="false" outlineLevel="0" collapsed="false">
      <c r="A1114" s="9"/>
      <c r="B1114" s="2" t="s">
        <v>2514</v>
      </c>
      <c r="C1114" s="2" t="s">
        <v>2515</v>
      </c>
      <c r="D1114" s="2" t="s">
        <v>2445</v>
      </c>
      <c r="E1114" s="2" t="s">
        <v>51</v>
      </c>
      <c r="F1114" s="2"/>
      <c r="G1114" s="2" t="s">
        <v>2446</v>
      </c>
      <c r="H1114" s="8" t="n">
        <v>251.734560135407</v>
      </c>
      <c r="I1114" s="2" t="s">
        <v>316</v>
      </c>
      <c r="J1114" s="8" t="n">
        <v>328148.148148148</v>
      </c>
      <c r="K1114" s="6" t="n">
        <v>27</v>
      </c>
      <c r="L1114" s="2"/>
      <c r="M1114" s="10" t="b">
        <f aca="false">TRUE()</f>
        <v>1</v>
      </c>
      <c r="N1114" s="9" t="str">
        <f aca="false">IF(H1114="","",IF(H1114&gt;=Assumptions!$B$5,1,IF(H1114&gt;=Assumptions!$B$6,2,IF(H1114&gt;=Assumptions!$B$7,3,""))))</f>
        <v/>
      </c>
      <c r="O1114" s="9" t="n">
        <f aca="false">IF(N1114=1,Assumptions!$B$8,IF(N1114=2,Assumptions!$B$9,IF(N1114=3,Assumptions!$B$10,0)))</f>
        <v>0</v>
      </c>
      <c r="P1114" s="6" t="s">
        <v>30</v>
      </c>
      <c r="Q1114" s="6" t="s">
        <v>30</v>
      </c>
      <c r="R1114" s="11" t="s">
        <v>30</v>
      </c>
      <c r="S1114" s="6" t="s">
        <v>30</v>
      </c>
      <c r="T1114" s="11" t="s">
        <v>30</v>
      </c>
      <c r="U1114" s="6" t="s">
        <v>30</v>
      </c>
      <c r="V1114" s="6" t="s">
        <v>30</v>
      </c>
      <c r="W1114" s="6" t="s">
        <v>30</v>
      </c>
      <c r="X1114" s="2" t="s">
        <v>30</v>
      </c>
      <c r="Y1114" s="6" t="str">
        <f aca="false">IF(AND(X1114="processed",ISNUMBER(S1114)),S1114*O1114,"")</f>
        <v/>
      </c>
      <c r="Z1114" s="6" t="n">
        <f aca="false">IF(ISNUMBER(K1114),K1114*O1114,0)</f>
        <v>0</v>
      </c>
      <c r="AA1114" s="2" t="s">
        <v>31</v>
      </c>
      <c r="AB1114" s="6" t="n">
        <v>5050</v>
      </c>
      <c r="AC1114" s="6" t="n">
        <v>4021</v>
      </c>
      <c r="AD1114" s="6" t="n">
        <v>3038</v>
      </c>
      <c r="AE1114" s="6" t="n">
        <v>2145.50146484375</v>
      </c>
      <c r="AF1114" s="8" t="n">
        <v>229.826353422</v>
      </c>
      <c r="AG1114" s="11" t="n">
        <v>-0.00766346792</v>
      </c>
      <c r="AH1114" s="12" t="n">
        <v>0.999999999999999</v>
      </c>
      <c r="AI1114" s="2" t="s">
        <v>319</v>
      </c>
      <c r="AJ1114" s="2"/>
      <c r="AK1114" s="2" t="s">
        <v>2515</v>
      </c>
    </row>
    <row r="1115" customFormat="false" ht="15" hidden="false" customHeight="false" outlineLevel="0" collapsed="false">
      <c r="A1115" s="9"/>
      <c r="B1115" s="2" t="s">
        <v>2516</v>
      </c>
      <c r="C1115" s="2" t="s">
        <v>2517</v>
      </c>
      <c r="D1115" s="2" t="s">
        <v>2445</v>
      </c>
      <c r="E1115" s="2" t="s">
        <v>51</v>
      </c>
      <c r="F1115" s="2"/>
      <c r="G1115" s="2"/>
      <c r="H1115" s="8"/>
      <c r="I1115" s="2"/>
      <c r="J1115" s="8"/>
      <c r="K1115" s="6"/>
      <c r="L1115" s="2"/>
      <c r="M1115" s="10" t="b">
        <f aca="false">TRUE()</f>
        <v>1</v>
      </c>
      <c r="N1115" s="9" t="str">
        <f aca="false">IF(H1115="","",IF(H1115&gt;=Assumptions!$B$5,1,IF(H1115&gt;=Assumptions!$B$6,2,IF(H1115&gt;=Assumptions!$B$7,3,""))))</f>
        <v/>
      </c>
      <c r="O1115" s="9" t="n">
        <f aca="false">IF(N1115=1,Assumptions!$B$8,IF(N1115=2,Assumptions!$B$9,IF(N1115=3,Assumptions!$B$10,0)))</f>
        <v>0</v>
      </c>
      <c r="P1115" s="6" t="s">
        <v>30</v>
      </c>
      <c r="Q1115" s="6" t="s">
        <v>30</v>
      </c>
      <c r="R1115" s="11" t="s">
        <v>30</v>
      </c>
      <c r="S1115" s="6" t="s">
        <v>30</v>
      </c>
      <c r="T1115" s="11" t="s">
        <v>30</v>
      </c>
      <c r="U1115" s="6" t="s">
        <v>30</v>
      </c>
      <c r="V1115" s="6" t="s">
        <v>30</v>
      </c>
      <c r="W1115" s="6" t="s">
        <v>30</v>
      </c>
      <c r="X1115" s="2" t="s">
        <v>30</v>
      </c>
      <c r="Y1115" s="6" t="str">
        <f aca="false">IF(AND(X1115="processed",ISNUMBER(S1115)),S1115*O1115,"")</f>
        <v/>
      </c>
      <c r="Z1115" s="6" t="n">
        <f aca="false">IF(ISNUMBER(K1115),K1115*O1115,0)</f>
        <v>0</v>
      </c>
      <c r="AA1115" s="2" t="s">
        <v>31</v>
      </c>
      <c r="AB1115" s="6" t="n">
        <v>514</v>
      </c>
      <c r="AC1115" s="6" t="n">
        <v>378</v>
      </c>
      <c r="AD1115" s="6" t="n">
        <v>491</v>
      </c>
      <c r="AE1115" s="6" t="n">
        <v>1541.67114257813</v>
      </c>
      <c r="AF1115" s="8"/>
      <c r="AG1115" s="11"/>
      <c r="AH1115" s="12" t="n">
        <v>0.999328073635716</v>
      </c>
      <c r="AI1115" s="2" t="s">
        <v>1597</v>
      </c>
      <c r="AJ1115" s="2"/>
      <c r="AK1115" s="2" t="s">
        <v>2517</v>
      </c>
    </row>
    <row r="1116" customFormat="false" ht="15" hidden="false" customHeight="false" outlineLevel="0" collapsed="false">
      <c r="A1116" s="9"/>
      <c r="B1116" s="2" t="s">
        <v>2518</v>
      </c>
      <c r="C1116" s="2" t="s">
        <v>2519</v>
      </c>
      <c r="D1116" s="2" t="s">
        <v>273</v>
      </c>
      <c r="E1116" s="2" t="s">
        <v>273</v>
      </c>
      <c r="F1116" s="2"/>
      <c r="G1116" s="2" t="s">
        <v>348</v>
      </c>
      <c r="H1116" s="8" t="n">
        <v>193.326135875563</v>
      </c>
      <c r="I1116" s="2" t="s">
        <v>316</v>
      </c>
      <c r="J1116" s="8" t="n">
        <v>210925</v>
      </c>
      <c r="K1116" s="6" t="n">
        <v>16</v>
      </c>
      <c r="L1116" s="2"/>
      <c r="M1116" s="10" t="b">
        <f aca="false">TRUE()</f>
        <v>1</v>
      </c>
      <c r="N1116" s="9" t="str">
        <f aca="false">IF(H1116="","",IF(H1116&gt;=Assumptions!$B$5,1,IF(H1116&gt;=Assumptions!$B$6,2,IF(H1116&gt;=Assumptions!$B$7,3,""))))</f>
        <v/>
      </c>
      <c r="O1116" s="9" t="n">
        <f aca="false">IF(N1116=1,Assumptions!$B$8,IF(N1116=2,Assumptions!$B$9,IF(N1116=3,Assumptions!$B$10,0)))</f>
        <v>0</v>
      </c>
      <c r="P1116" s="6" t="s">
        <v>30</v>
      </c>
      <c r="Q1116" s="6" t="s">
        <v>30</v>
      </c>
      <c r="R1116" s="11" t="s">
        <v>30</v>
      </c>
      <c r="S1116" s="6" t="s">
        <v>30</v>
      </c>
      <c r="T1116" s="11" t="s">
        <v>30</v>
      </c>
      <c r="U1116" s="6" t="s">
        <v>30</v>
      </c>
      <c r="V1116" s="6" t="s">
        <v>30</v>
      </c>
      <c r="W1116" s="6" t="s">
        <v>30</v>
      </c>
      <c r="X1116" s="2" t="s">
        <v>30</v>
      </c>
      <c r="Y1116" s="6" t="str">
        <f aca="false">IF(AND(X1116="processed",ISNUMBER(S1116)),S1116*O1116,"")</f>
        <v/>
      </c>
      <c r="Z1116" s="6" t="n">
        <f aca="false">IF(ISNUMBER(K1116),K1116*O1116,0)</f>
        <v>0</v>
      </c>
      <c r="AA1116" s="2" t="s">
        <v>31</v>
      </c>
      <c r="AB1116" s="6" t="n">
        <v>2241</v>
      </c>
      <c r="AC1116" s="6" t="n">
        <v>1682</v>
      </c>
      <c r="AD1116" s="6" t="n">
        <v>1791</v>
      </c>
      <c r="AE1116" s="6" t="n">
        <v>1387.38989257813</v>
      </c>
      <c r="AF1116" s="8" t="n">
        <v>204.149906141</v>
      </c>
      <c r="AG1116" s="11"/>
      <c r="AH1116" s="12" t="n">
        <v>0.76149978061051</v>
      </c>
      <c r="AI1116" s="2" t="s">
        <v>319</v>
      </c>
      <c r="AJ1116" s="2"/>
      <c r="AK1116" s="2" t="s">
        <v>2519</v>
      </c>
    </row>
    <row r="1117" customFormat="false" ht="15" hidden="false" customHeight="false" outlineLevel="0" collapsed="false">
      <c r="A1117" s="9"/>
      <c r="B1117" s="2" t="s">
        <v>2520</v>
      </c>
      <c r="C1117" s="2" t="s">
        <v>2521</v>
      </c>
      <c r="D1117" s="2" t="s">
        <v>423</v>
      </c>
      <c r="E1117" s="2" t="s">
        <v>51</v>
      </c>
      <c r="F1117" s="2"/>
      <c r="G1117" s="2" t="s">
        <v>597</v>
      </c>
      <c r="H1117" s="8" t="n">
        <v>191.600606511333</v>
      </c>
      <c r="I1117" s="2" t="s">
        <v>316</v>
      </c>
      <c r="J1117" s="8" t="n">
        <v>271333.333333333</v>
      </c>
      <c r="K1117" s="6" t="n">
        <v>9</v>
      </c>
      <c r="L1117" s="2"/>
      <c r="M1117" s="10" t="b">
        <f aca="false">TRUE()</f>
        <v>1</v>
      </c>
      <c r="N1117" s="9" t="str">
        <f aca="false">IF(H1117="","",IF(H1117&gt;=Assumptions!$B$5,1,IF(H1117&gt;=Assumptions!$B$6,2,IF(H1117&gt;=Assumptions!$B$7,3,""))))</f>
        <v/>
      </c>
      <c r="O1117" s="9" t="n">
        <f aca="false">IF(N1117=1,Assumptions!$B$8,IF(N1117=2,Assumptions!$B$9,IF(N1117=3,Assumptions!$B$10,0)))</f>
        <v>0</v>
      </c>
      <c r="P1117" s="6" t="s">
        <v>30</v>
      </c>
      <c r="Q1117" s="6" t="s">
        <v>30</v>
      </c>
      <c r="R1117" s="11" t="s">
        <v>30</v>
      </c>
      <c r="S1117" s="6" t="s">
        <v>30</v>
      </c>
      <c r="T1117" s="11" t="s">
        <v>30</v>
      </c>
      <c r="U1117" s="6" t="s">
        <v>30</v>
      </c>
      <c r="V1117" s="6" t="s">
        <v>30</v>
      </c>
      <c r="W1117" s="6" t="s">
        <v>30</v>
      </c>
      <c r="X1117" s="2" t="s">
        <v>30</v>
      </c>
      <c r="Y1117" s="6" t="str">
        <f aca="false">IF(AND(X1117="processed",ISNUMBER(S1117)),S1117*O1117,"")</f>
        <v/>
      </c>
      <c r="Z1117" s="6" t="n">
        <f aca="false">IF(ISNUMBER(K1117),K1117*O1117,0)</f>
        <v>0</v>
      </c>
      <c r="AA1117" s="2" t="s">
        <v>31</v>
      </c>
      <c r="AB1117" s="6" t="n">
        <v>815</v>
      </c>
      <c r="AC1117" s="6" t="n">
        <v>658</v>
      </c>
      <c r="AD1117" s="6" t="n">
        <v>472</v>
      </c>
      <c r="AE1117" s="6" t="n">
        <v>1767.10656738281</v>
      </c>
      <c r="AF1117" s="8" t="n">
        <v>208.656330749</v>
      </c>
      <c r="AG1117" s="11" t="n">
        <v>-0.009484284254</v>
      </c>
      <c r="AH1117" s="12" t="n">
        <v>0.966675914383174</v>
      </c>
      <c r="AI1117" s="2" t="s">
        <v>332</v>
      </c>
      <c r="AJ1117" s="2" t="s">
        <v>2522</v>
      </c>
      <c r="AK1117" s="2" t="s">
        <v>2521</v>
      </c>
    </row>
    <row r="1118" customFormat="false" ht="15" hidden="false" customHeight="false" outlineLevel="0" collapsed="false">
      <c r="A1118" s="9"/>
      <c r="B1118" s="2" t="s">
        <v>2523</v>
      </c>
      <c r="C1118" s="2" t="s">
        <v>2524</v>
      </c>
      <c r="D1118" s="2" t="s">
        <v>2445</v>
      </c>
      <c r="E1118" s="2" t="s">
        <v>51</v>
      </c>
      <c r="F1118" s="2"/>
      <c r="G1118" s="2" t="s">
        <v>2446</v>
      </c>
      <c r="H1118" s="8" t="n">
        <v>481.9061111695</v>
      </c>
      <c r="I1118" s="2" t="s">
        <v>316</v>
      </c>
      <c r="J1118" s="8" t="n">
        <v>1265000</v>
      </c>
      <c r="K1118" s="6" t="n">
        <v>2</v>
      </c>
      <c r="L1118" s="2" t="s">
        <v>1664</v>
      </c>
      <c r="M1118" s="10" t="b">
        <f aca="false">TRUE()</f>
        <v>1</v>
      </c>
      <c r="N1118" s="9" t="str">
        <f aca="false">IF(H1118="","",IF(H1118&gt;=Assumptions!$B$5,1,IF(H1118&gt;=Assumptions!$B$6,2,IF(H1118&gt;=Assumptions!$B$7,3,""))))</f>
        <v/>
      </c>
      <c r="O1118" s="9" t="n">
        <f aca="false">IF(N1118=1,Assumptions!$B$8,IF(N1118=2,Assumptions!$B$9,IF(N1118=3,Assumptions!$B$10,0)))</f>
        <v>0</v>
      </c>
      <c r="P1118" s="6" t="s">
        <v>30</v>
      </c>
      <c r="Q1118" s="6" t="s">
        <v>30</v>
      </c>
      <c r="R1118" s="11" t="s">
        <v>30</v>
      </c>
      <c r="S1118" s="6" t="s">
        <v>30</v>
      </c>
      <c r="T1118" s="11" t="s">
        <v>30</v>
      </c>
      <c r="U1118" s="6" t="s">
        <v>30</v>
      </c>
      <c r="V1118" s="6" t="s">
        <v>30</v>
      </c>
      <c r="W1118" s="6" t="s">
        <v>30</v>
      </c>
      <c r="X1118" s="2" t="s">
        <v>30</v>
      </c>
      <c r="Y1118" s="6" t="str">
        <f aca="false">IF(AND(X1118="processed",ISNUMBER(S1118)),S1118*O1118,"")</f>
        <v/>
      </c>
      <c r="Z1118" s="6" t="n">
        <f aca="false">IF(ISNUMBER(K1118),K1118*O1118,0)</f>
        <v>0</v>
      </c>
      <c r="AA1118" s="2" t="s">
        <v>31</v>
      </c>
      <c r="AB1118" s="6" t="n">
        <v>888</v>
      </c>
      <c r="AC1118" s="6" t="n">
        <v>659</v>
      </c>
      <c r="AD1118" s="6" t="n">
        <v>778</v>
      </c>
      <c r="AE1118" s="6" t="n">
        <v>1464.95703125</v>
      </c>
      <c r="AF1118" s="8" t="n">
        <v>128.205128205</v>
      </c>
      <c r="AG1118" s="11"/>
      <c r="AH1118" s="12" t="n">
        <v>0.987462724342482</v>
      </c>
      <c r="AI1118" s="2" t="s">
        <v>1597</v>
      </c>
      <c r="AJ1118" s="2"/>
      <c r="AK1118" s="2" t="s">
        <v>2524</v>
      </c>
    </row>
    <row r="1119" customFormat="false" ht="15" hidden="false" customHeight="false" outlineLevel="0" collapsed="false">
      <c r="A1119" s="9"/>
      <c r="B1119" s="2" t="s">
        <v>2525</v>
      </c>
      <c r="C1119" s="2" t="s">
        <v>2526</v>
      </c>
      <c r="D1119" s="2" t="s">
        <v>2437</v>
      </c>
      <c r="E1119" s="2" t="s">
        <v>51</v>
      </c>
      <c r="F1119" s="2"/>
      <c r="G1119" s="2" t="s">
        <v>2438</v>
      </c>
      <c r="H1119" s="8" t="n">
        <v>240.51754066675</v>
      </c>
      <c r="I1119" s="2" t="s">
        <v>316</v>
      </c>
      <c r="J1119" s="8" t="n">
        <v>275625</v>
      </c>
      <c r="K1119" s="6" t="n">
        <v>16</v>
      </c>
      <c r="L1119" s="2"/>
      <c r="M1119" s="10" t="b">
        <f aca="false">TRUE()</f>
        <v>1</v>
      </c>
      <c r="N1119" s="9" t="str">
        <f aca="false">IF(H1119="","",IF(H1119&gt;=Assumptions!$B$5,1,IF(H1119&gt;=Assumptions!$B$6,2,IF(H1119&gt;=Assumptions!$B$7,3,""))))</f>
        <v/>
      </c>
      <c r="O1119" s="9" t="n">
        <f aca="false">IF(N1119=1,Assumptions!$B$8,IF(N1119=2,Assumptions!$B$9,IF(N1119=3,Assumptions!$B$10,0)))</f>
        <v>0</v>
      </c>
      <c r="P1119" s="6" t="s">
        <v>30</v>
      </c>
      <c r="Q1119" s="6" t="s">
        <v>30</v>
      </c>
      <c r="R1119" s="11" t="s">
        <v>30</v>
      </c>
      <c r="S1119" s="6" t="s">
        <v>30</v>
      </c>
      <c r="T1119" s="11" t="s">
        <v>30</v>
      </c>
      <c r="U1119" s="6" t="s">
        <v>30</v>
      </c>
      <c r="V1119" s="6" t="s">
        <v>30</v>
      </c>
      <c r="W1119" s="6" t="s">
        <v>30</v>
      </c>
      <c r="X1119" s="2" t="s">
        <v>30</v>
      </c>
      <c r="Y1119" s="6" t="str">
        <f aca="false">IF(AND(X1119="processed",ISNUMBER(S1119)),S1119*O1119,"")</f>
        <v/>
      </c>
      <c r="Z1119" s="6" t="n">
        <f aca="false">IF(ISNUMBER(K1119),K1119*O1119,0)</f>
        <v>0</v>
      </c>
      <c r="AA1119" s="2" t="s">
        <v>31</v>
      </c>
      <c r="AB1119" s="6" t="n">
        <v>3369</v>
      </c>
      <c r="AC1119" s="6" t="n">
        <v>2500</v>
      </c>
      <c r="AD1119" s="6" t="n">
        <v>3253</v>
      </c>
      <c r="AE1119" s="6" t="n">
        <v>1915.71911621094</v>
      </c>
      <c r="AF1119" s="8" t="n">
        <v>263.120629371</v>
      </c>
      <c r="AG1119" s="11" t="n">
        <v>-0.06633903842</v>
      </c>
      <c r="AH1119" s="12" t="n">
        <v>0.999999999999999</v>
      </c>
      <c r="AI1119" s="2" t="s">
        <v>317</v>
      </c>
      <c r="AJ1119" s="2" t="s">
        <v>2526</v>
      </c>
      <c r="AK1119" s="2" t="s">
        <v>2526</v>
      </c>
    </row>
    <row r="1120" customFormat="false" ht="15" hidden="false" customHeight="false" outlineLevel="0" collapsed="false">
      <c r="A1120" s="9"/>
      <c r="B1120" s="2" t="s">
        <v>2527</v>
      </c>
      <c r="C1120" s="2" t="s">
        <v>2528</v>
      </c>
      <c r="D1120" s="2" t="s">
        <v>2437</v>
      </c>
      <c r="E1120" s="2" t="s">
        <v>51</v>
      </c>
      <c r="F1120" s="2" t="s">
        <v>2529</v>
      </c>
      <c r="G1120" s="2" t="s">
        <v>2438</v>
      </c>
      <c r="H1120" s="8" t="n">
        <v>232.052238630027</v>
      </c>
      <c r="I1120" s="2" t="s">
        <v>316</v>
      </c>
      <c r="J1120" s="8" t="n">
        <v>352133.819951338</v>
      </c>
      <c r="K1120" s="6" t="n">
        <v>411</v>
      </c>
      <c r="L1120" s="2"/>
      <c r="M1120" s="10" t="b">
        <f aca="false">TRUE()</f>
        <v>1</v>
      </c>
      <c r="N1120" s="9" t="str">
        <f aca="false">IF(H1120="","",IF(H1120&gt;=Assumptions!$B$5,1,IF(H1120&gt;=Assumptions!$B$6,2,IF(H1120&gt;=Assumptions!$B$7,3,""))))</f>
        <v/>
      </c>
      <c r="O1120" s="9" t="n">
        <f aca="false">IF(N1120=1,Assumptions!$B$8,IF(N1120=2,Assumptions!$B$9,IF(N1120=3,Assumptions!$B$10,0)))</f>
        <v>0</v>
      </c>
      <c r="P1120" s="6" t="s">
        <v>30</v>
      </c>
      <c r="Q1120" s="6" t="s">
        <v>30</v>
      </c>
      <c r="R1120" s="11" t="s">
        <v>30</v>
      </c>
      <c r="S1120" s="6" t="s">
        <v>30</v>
      </c>
      <c r="T1120" s="11" t="s">
        <v>30</v>
      </c>
      <c r="U1120" s="6" t="s">
        <v>30</v>
      </c>
      <c r="V1120" s="6" t="s">
        <v>30</v>
      </c>
      <c r="W1120" s="6" t="s">
        <v>30</v>
      </c>
      <c r="X1120" s="2" t="s">
        <v>30</v>
      </c>
      <c r="Y1120" s="6" t="str">
        <f aca="false">IF(AND(X1120="processed",ISNUMBER(S1120)),S1120*O1120,"")</f>
        <v/>
      </c>
      <c r="Z1120" s="6" t="n">
        <f aca="false">IF(ISNUMBER(K1120),K1120*O1120,0)</f>
        <v>0</v>
      </c>
      <c r="AA1120" s="2" t="s">
        <v>31</v>
      </c>
      <c r="AB1120" s="6" t="n">
        <v>29164</v>
      </c>
      <c r="AC1120" s="6" t="n">
        <v>25503</v>
      </c>
      <c r="AD1120" s="6" t="n">
        <v>11904</v>
      </c>
      <c r="AE1120" s="6" t="n">
        <v>2262.64916992188</v>
      </c>
      <c r="AF1120" s="8" t="n">
        <v>235.016627078</v>
      </c>
      <c r="AG1120" s="11" t="n">
        <v>0.007280701515</v>
      </c>
      <c r="AH1120" s="12" t="n">
        <v>0.999989422282989</v>
      </c>
      <c r="AI1120" s="2" t="s">
        <v>317</v>
      </c>
      <c r="AJ1120" s="2" t="s">
        <v>2528</v>
      </c>
      <c r="AK1120" s="2" t="s">
        <v>2528</v>
      </c>
    </row>
    <row r="1121" customFormat="false" ht="15" hidden="false" customHeight="false" outlineLevel="0" collapsed="false">
      <c r="A1121" s="9"/>
      <c r="B1121" s="2" t="s">
        <v>2530</v>
      </c>
      <c r="C1121" s="2" t="s">
        <v>2531</v>
      </c>
      <c r="D1121" s="2" t="s">
        <v>2437</v>
      </c>
      <c r="E1121" s="2" t="s">
        <v>51</v>
      </c>
      <c r="F1121" s="2"/>
      <c r="G1121" s="2"/>
      <c r="H1121" s="8"/>
      <c r="I1121" s="2"/>
      <c r="J1121" s="8"/>
      <c r="K1121" s="6"/>
      <c r="L1121" s="2"/>
      <c r="M1121" s="10" t="b">
        <f aca="false">TRUE()</f>
        <v>1</v>
      </c>
      <c r="N1121" s="9" t="str">
        <f aca="false">IF(H1121="","",IF(H1121&gt;=Assumptions!$B$5,1,IF(H1121&gt;=Assumptions!$B$6,2,IF(H1121&gt;=Assumptions!$B$7,3,""))))</f>
        <v/>
      </c>
      <c r="O1121" s="9" t="n">
        <f aca="false">IF(N1121=1,Assumptions!$B$8,IF(N1121=2,Assumptions!$B$9,IF(N1121=3,Assumptions!$B$10,0)))</f>
        <v>0</v>
      </c>
      <c r="P1121" s="6" t="s">
        <v>30</v>
      </c>
      <c r="Q1121" s="6" t="s">
        <v>30</v>
      </c>
      <c r="R1121" s="11" t="s">
        <v>30</v>
      </c>
      <c r="S1121" s="6" t="s">
        <v>30</v>
      </c>
      <c r="T1121" s="11" t="s">
        <v>30</v>
      </c>
      <c r="U1121" s="6" t="s">
        <v>30</v>
      </c>
      <c r="V1121" s="6" t="s">
        <v>30</v>
      </c>
      <c r="W1121" s="6" t="s">
        <v>30</v>
      </c>
      <c r="X1121" s="2" t="s">
        <v>30</v>
      </c>
      <c r="Y1121" s="6" t="str">
        <f aca="false">IF(AND(X1121="processed",ISNUMBER(S1121)),S1121*O1121,"")</f>
        <v/>
      </c>
      <c r="Z1121" s="6" t="n">
        <f aca="false">IF(ISNUMBER(K1121),K1121*O1121,0)</f>
        <v>0</v>
      </c>
      <c r="AA1121" s="2" t="s">
        <v>31</v>
      </c>
      <c r="AB1121" s="6" t="n">
        <v>480</v>
      </c>
      <c r="AC1121" s="6" t="n">
        <v>465</v>
      </c>
      <c r="AD1121" s="6" t="n">
        <v>480</v>
      </c>
      <c r="AE1121" s="6" t="n">
        <v>1754.05310058594</v>
      </c>
      <c r="AF1121" s="8"/>
      <c r="AG1121" s="11"/>
      <c r="AH1121" s="12" t="n">
        <v>0.999999999999999</v>
      </c>
      <c r="AI1121" s="2" t="s">
        <v>1597</v>
      </c>
      <c r="AJ1121" s="2"/>
      <c r="AK1121" s="2" t="s">
        <v>2531</v>
      </c>
    </row>
    <row r="1122" customFormat="false" ht="15" hidden="false" customHeight="false" outlineLevel="0" collapsed="false">
      <c r="A1122" s="9"/>
      <c r="B1122" s="2" t="s">
        <v>2532</v>
      </c>
      <c r="C1122" s="2" t="s">
        <v>2533</v>
      </c>
      <c r="D1122" s="2" t="s">
        <v>2437</v>
      </c>
      <c r="E1122" s="2" t="s">
        <v>51</v>
      </c>
      <c r="F1122" s="2"/>
      <c r="G1122" s="2" t="s">
        <v>2438</v>
      </c>
      <c r="H1122" s="8" t="n">
        <v>163.036793099</v>
      </c>
      <c r="I1122" s="2" t="s">
        <v>316</v>
      </c>
      <c r="J1122" s="8" t="n">
        <v>161833.333333333</v>
      </c>
      <c r="K1122" s="6" t="n">
        <v>12</v>
      </c>
      <c r="L1122" s="2"/>
      <c r="M1122" s="10" t="b">
        <f aca="false">TRUE()</f>
        <v>1</v>
      </c>
      <c r="N1122" s="9" t="str">
        <f aca="false">IF(H1122="","",IF(H1122&gt;=Assumptions!$B$5,1,IF(H1122&gt;=Assumptions!$B$6,2,IF(H1122&gt;=Assumptions!$B$7,3,""))))</f>
        <v/>
      </c>
      <c r="O1122" s="9" t="n">
        <f aca="false">IF(N1122=1,Assumptions!$B$8,IF(N1122=2,Assumptions!$B$9,IF(N1122=3,Assumptions!$B$10,0)))</f>
        <v>0</v>
      </c>
      <c r="P1122" s="6" t="s">
        <v>30</v>
      </c>
      <c r="Q1122" s="6" t="s">
        <v>30</v>
      </c>
      <c r="R1122" s="11" t="s">
        <v>30</v>
      </c>
      <c r="S1122" s="6" t="s">
        <v>30</v>
      </c>
      <c r="T1122" s="11" t="s">
        <v>30</v>
      </c>
      <c r="U1122" s="6" t="s">
        <v>30</v>
      </c>
      <c r="V1122" s="6" t="s">
        <v>30</v>
      </c>
      <c r="W1122" s="6" t="s">
        <v>30</v>
      </c>
      <c r="X1122" s="2" t="s">
        <v>30</v>
      </c>
      <c r="Y1122" s="6" t="str">
        <f aca="false">IF(AND(X1122="processed",ISNUMBER(S1122)),S1122*O1122,"")</f>
        <v/>
      </c>
      <c r="Z1122" s="6" t="n">
        <f aca="false">IF(ISNUMBER(K1122),K1122*O1122,0)</f>
        <v>0</v>
      </c>
      <c r="AA1122" s="2" t="s">
        <v>31</v>
      </c>
      <c r="AB1122" s="6" t="n">
        <v>650</v>
      </c>
      <c r="AC1122" s="6" t="n">
        <v>503</v>
      </c>
      <c r="AD1122" s="6" t="n">
        <v>641</v>
      </c>
      <c r="AE1122" s="6" t="n">
        <v>1212.77807617188</v>
      </c>
      <c r="AF1122" s="8" t="n">
        <v>156.25</v>
      </c>
      <c r="AG1122" s="11"/>
      <c r="AH1122" s="12" t="n">
        <v>0.999826029569751</v>
      </c>
      <c r="AI1122" s="2" t="s">
        <v>317</v>
      </c>
      <c r="AJ1122" s="2" t="s">
        <v>2533</v>
      </c>
      <c r="AK1122" s="2" t="s">
        <v>2534</v>
      </c>
    </row>
    <row r="1123" customFormat="false" ht="15" hidden="false" customHeight="false" outlineLevel="0" collapsed="false">
      <c r="A1123" s="9"/>
      <c r="B1123" s="2" t="s">
        <v>2535</v>
      </c>
      <c r="C1123" s="2" t="s">
        <v>2536</v>
      </c>
      <c r="D1123" s="2" t="s">
        <v>2437</v>
      </c>
      <c r="E1123" s="2" t="s">
        <v>51</v>
      </c>
      <c r="F1123" s="2"/>
      <c r="G1123" s="2" t="s">
        <v>2438</v>
      </c>
      <c r="H1123" s="8" t="n">
        <v>217.980778785</v>
      </c>
      <c r="I1123" s="2" t="s">
        <v>316</v>
      </c>
      <c r="J1123" s="8" t="n">
        <v>282500</v>
      </c>
      <c r="K1123" s="6" t="n">
        <v>2</v>
      </c>
      <c r="L1123" s="2" t="s">
        <v>1664</v>
      </c>
      <c r="M1123" s="10" t="b">
        <f aca="false">TRUE()</f>
        <v>1</v>
      </c>
      <c r="N1123" s="9" t="str">
        <f aca="false">IF(H1123="","",IF(H1123&gt;=Assumptions!$B$5,1,IF(H1123&gt;=Assumptions!$B$6,2,IF(H1123&gt;=Assumptions!$B$7,3,""))))</f>
        <v/>
      </c>
      <c r="O1123" s="9" t="n">
        <f aca="false">IF(N1123=1,Assumptions!$B$8,IF(N1123=2,Assumptions!$B$9,IF(N1123=3,Assumptions!$B$10,0)))</f>
        <v>0</v>
      </c>
      <c r="P1123" s="6" t="s">
        <v>30</v>
      </c>
      <c r="Q1123" s="6" t="s">
        <v>30</v>
      </c>
      <c r="R1123" s="11" t="s">
        <v>30</v>
      </c>
      <c r="S1123" s="6" t="s">
        <v>30</v>
      </c>
      <c r="T1123" s="11" t="s">
        <v>30</v>
      </c>
      <c r="U1123" s="6" t="s">
        <v>30</v>
      </c>
      <c r="V1123" s="6" t="s">
        <v>30</v>
      </c>
      <c r="W1123" s="6" t="s">
        <v>30</v>
      </c>
      <c r="X1123" s="2" t="s">
        <v>30</v>
      </c>
      <c r="Y1123" s="6" t="str">
        <f aca="false">IF(AND(X1123="processed",ISNUMBER(S1123)),S1123*O1123,"")</f>
        <v/>
      </c>
      <c r="Z1123" s="6" t="n">
        <f aca="false">IF(ISNUMBER(K1123),K1123*O1123,0)</f>
        <v>0</v>
      </c>
      <c r="AA1123" s="2" t="s">
        <v>31</v>
      </c>
      <c r="AB1123" s="6" t="n">
        <v>1092</v>
      </c>
      <c r="AC1123" s="6" t="n">
        <v>702</v>
      </c>
      <c r="AD1123" s="6" t="n">
        <v>312</v>
      </c>
      <c r="AE1123" s="6" t="n">
        <v>1898.15380859375</v>
      </c>
      <c r="AF1123" s="8" t="n">
        <v>217.980778785</v>
      </c>
      <c r="AG1123" s="11"/>
      <c r="AH1123" s="12" t="n">
        <v>0.999999999999999</v>
      </c>
      <c r="AI1123" s="2" t="s">
        <v>1597</v>
      </c>
      <c r="AJ1123" s="2"/>
      <c r="AK1123" s="2" t="s">
        <v>2536</v>
      </c>
    </row>
    <row r="1124" customFormat="false" ht="15" hidden="false" customHeight="false" outlineLevel="0" collapsed="false">
      <c r="A1124" s="9"/>
      <c r="B1124" s="2" t="s">
        <v>2537</v>
      </c>
      <c r="C1124" s="2" t="s">
        <v>2538</v>
      </c>
      <c r="D1124" s="2" t="s">
        <v>2437</v>
      </c>
      <c r="E1124" s="2" t="s">
        <v>51</v>
      </c>
      <c r="F1124" s="2"/>
      <c r="G1124" s="2"/>
      <c r="H1124" s="8"/>
      <c r="I1124" s="2"/>
      <c r="J1124" s="8"/>
      <c r="K1124" s="6"/>
      <c r="L1124" s="2"/>
      <c r="M1124" s="10" t="b">
        <f aca="false">TRUE()</f>
        <v>1</v>
      </c>
      <c r="N1124" s="9" t="str">
        <f aca="false">IF(H1124="","",IF(H1124&gt;=Assumptions!$B$5,1,IF(H1124&gt;=Assumptions!$B$6,2,IF(H1124&gt;=Assumptions!$B$7,3,""))))</f>
        <v/>
      </c>
      <c r="O1124" s="9" t="n">
        <f aca="false">IF(N1124=1,Assumptions!$B$8,IF(N1124=2,Assumptions!$B$9,IF(N1124=3,Assumptions!$B$10,0)))</f>
        <v>0</v>
      </c>
      <c r="P1124" s="6" t="s">
        <v>30</v>
      </c>
      <c r="Q1124" s="6" t="s">
        <v>30</v>
      </c>
      <c r="R1124" s="11" t="s">
        <v>30</v>
      </c>
      <c r="S1124" s="6" t="s">
        <v>30</v>
      </c>
      <c r="T1124" s="11" t="s">
        <v>30</v>
      </c>
      <c r="U1124" s="6" t="s">
        <v>30</v>
      </c>
      <c r="V1124" s="6" t="s">
        <v>30</v>
      </c>
      <c r="W1124" s="6" t="s">
        <v>30</v>
      </c>
      <c r="X1124" s="2" t="s">
        <v>30</v>
      </c>
      <c r="Y1124" s="6" t="str">
        <f aca="false">IF(AND(X1124="processed",ISNUMBER(S1124)),S1124*O1124,"")</f>
        <v/>
      </c>
      <c r="Z1124" s="6" t="n">
        <f aca="false">IF(ISNUMBER(K1124),K1124*O1124,0)</f>
        <v>0</v>
      </c>
      <c r="AA1124" s="2" t="s">
        <v>31</v>
      </c>
      <c r="AB1124" s="6" t="n">
        <v>154</v>
      </c>
      <c r="AC1124" s="6" t="n">
        <v>80</v>
      </c>
      <c r="AD1124" s="6" t="n">
        <v>59</v>
      </c>
      <c r="AE1124" s="6" t="n">
        <v>1075.14477539063</v>
      </c>
      <c r="AF1124" s="8"/>
      <c r="AG1124" s="11"/>
      <c r="AH1124" s="12" t="n">
        <v>1</v>
      </c>
      <c r="AI1124" s="2" t="s">
        <v>1597</v>
      </c>
      <c r="AJ1124" s="2"/>
      <c r="AK1124" s="2" t="s">
        <v>2538</v>
      </c>
    </row>
    <row r="1125" customFormat="false" ht="15" hidden="false" customHeight="false" outlineLevel="0" collapsed="false">
      <c r="A1125" s="9"/>
      <c r="B1125" s="2" t="s">
        <v>2539</v>
      </c>
      <c r="C1125" s="2" t="s">
        <v>2452</v>
      </c>
      <c r="D1125" s="2" t="s">
        <v>2445</v>
      </c>
      <c r="E1125" s="2" t="s">
        <v>51</v>
      </c>
      <c r="F1125" s="2" t="s">
        <v>2540</v>
      </c>
      <c r="G1125" s="2" t="s">
        <v>2446</v>
      </c>
      <c r="H1125" s="8" t="n">
        <v>232.114818005725</v>
      </c>
      <c r="I1125" s="2" t="s">
        <v>316</v>
      </c>
      <c r="J1125" s="8" t="n">
        <v>415915.958549223</v>
      </c>
      <c r="K1125" s="6" t="n">
        <v>193</v>
      </c>
      <c r="L1125" s="2"/>
      <c r="M1125" s="10" t="b">
        <f aca="false">TRUE()</f>
        <v>1</v>
      </c>
      <c r="N1125" s="9" t="str">
        <f aca="false">IF(H1125="","",IF(H1125&gt;=Assumptions!$B$5,1,IF(H1125&gt;=Assumptions!$B$6,2,IF(H1125&gt;=Assumptions!$B$7,3,""))))</f>
        <v/>
      </c>
      <c r="O1125" s="9" t="n">
        <f aca="false">IF(N1125=1,Assumptions!$B$8,IF(N1125=2,Assumptions!$B$9,IF(N1125=3,Assumptions!$B$10,0)))</f>
        <v>0</v>
      </c>
      <c r="P1125" s="6" t="s">
        <v>30</v>
      </c>
      <c r="Q1125" s="6" t="s">
        <v>30</v>
      </c>
      <c r="R1125" s="11" t="s">
        <v>30</v>
      </c>
      <c r="S1125" s="6" t="s">
        <v>30</v>
      </c>
      <c r="T1125" s="11" t="s">
        <v>30</v>
      </c>
      <c r="U1125" s="6" t="s">
        <v>30</v>
      </c>
      <c r="V1125" s="6" t="s">
        <v>30</v>
      </c>
      <c r="W1125" s="6" t="s">
        <v>30</v>
      </c>
      <c r="X1125" s="2" t="s">
        <v>30</v>
      </c>
      <c r="Y1125" s="6" t="str">
        <f aca="false">IF(AND(X1125="processed",ISNUMBER(S1125)),S1125*O1125,"")</f>
        <v/>
      </c>
      <c r="Z1125" s="6" t="n">
        <f aca="false">IF(ISNUMBER(K1125),K1125*O1125,0)</f>
        <v>0</v>
      </c>
      <c r="AA1125" s="2" t="s">
        <v>31</v>
      </c>
      <c r="AB1125" s="6" t="n">
        <v>7932</v>
      </c>
      <c r="AC1125" s="6" t="n">
        <v>6749</v>
      </c>
      <c r="AD1125" s="6" t="n">
        <v>1213</v>
      </c>
      <c r="AE1125" s="6" t="n">
        <v>2191.69067382813</v>
      </c>
      <c r="AF1125" s="8" t="n">
        <v>235.034233872</v>
      </c>
      <c r="AG1125" s="11" t="n">
        <v>-0.02813344294</v>
      </c>
      <c r="AH1125" s="12" t="n">
        <v>1</v>
      </c>
      <c r="AI1125" s="2" t="s">
        <v>319</v>
      </c>
      <c r="AJ1125" s="2"/>
      <c r="AK1125" s="2" t="s">
        <v>2452</v>
      </c>
    </row>
    <row r="1126" customFormat="false" ht="15" hidden="false" customHeight="false" outlineLevel="0" collapsed="false">
      <c r="A1126" s="9"/>
      <c r="B1126" s="2" t="s">
        <v>2541</v>
      </c>
      <c r="C1126" s="2" t="s">
        <v>2542</v>
      </c>
      <c r="D1126" s="2" t="s">
        <v>2437</v>
      </c>
      <c r="E1126" s="2" t="s">
        <v>51</v>
      </c>
      <c r="F1126" s="2"/>
      <c r="G1126" s="2" t="s">
        <v>2438</v>
      </c>
      <c r="H1126" s="8" t="n">
        <v>208.240022746403</v>
      </c>
      <c r="I1126" s="2" t="s">
        <v>316</v>
      </c>
      <c r="J1126" s="8" t="n">
        <v>340902.777777778</v>
      </c>
      <c r="K1126" s="6" t="n">
        <v>72</v>
      </c>
      <c r="L1126" s="2"/>
      <c r="M1126" s="10" t="b">
        <f aca="false">TRUE()</f>
        <v>1</v>
      </c>
      <c r="N1126" s="9" t="str">
        <f aca="false">IF(H1126="","",IF(H1126&gt;=Assumptions!$B$5,1,IF(H1126&gt;=Assumptions!$B$6,2,IF(H1126&gt;=Assumptions!$B$7,3,""))))</f>
        <v/>
      </c>
      <c r="O1126" s="9" t="n">
        <f aca="false">IF(N1126=1,Assumptions!$B$8,IF(N1126=2,Assumptions!$B$9,IF(N1126=3,Assumptions!$B$10,0)))</f>
        <v>0</v>
      </c>
      <c r="P1126" s="6" t="s">
        <v>30</v>
      </c>
      <c r="Q1126" s="6" t="s">
        <v>30</v>
      </c>
      <c r="R1126" s="11" t="s">
        <v>30</v>
      </c>
      <c r="S1126" s="6" t="s">
        <v>30</v>
      </c>
      <c r="T1126" s="11" t="s">
        <v>30</v>
      </c>
      <c r="U1126" s="6" t="s">
        <v>30</v>
      </c>
      <c r="V1126" s="6" t="s">
        <v>30</v>
      </c>
      <c r="W1126" s="6" t="s">
        <v>30</v>
      </c>
      <c r="X1126" s="2" t="s">
        <v>30</v>
      </c>
      <c r="Y1126" s="6" t="str">
        <f aca="false">IF(AND(X1126="processed",ISNUMBER(S1126)),S1126*O1126,"")</f>
        <v/>
      </c>
      <c r="Z1126" s="6" t="n">
        <f aca="false">IF(ISNUMBER(K1126),K1126*O1126,0)</f>
        <v>0</v>
      </c>
      <c r="AA1126" s="2" t="s">
        <v>31</v>
      </c>
      <c r="AB1126" s="6" t="n">
        <v>4383</v>
      </c>
      <c r="AC1126" s="6" t="n">
        <v>3593</v>
      </c>
      <c r="AD1126" s="6" t="n">
        <v>3884</v>
      </c>
      <c r="AE1126" s="6" t="n">
        <v>1794.158203125</v>
      </c>
      <c r="AF1126" s="8" t="n">
        <v>216.637781629</v>
      </c>
      <c r="AG1126" s="11" t="n">
        <v>0.1265164645</v>
      </c>
      <c r="AH1126" s="12" t="n">
        <v>1</v>
      </c>
      <c r="AI1126" s="2" t="s">
        <v>317</v>
      </c>
      <c r="AJ1126" s="2" t="s">
        <v>2542</v>
      </c>
      <c r="AK1126" s="2" t="s">
        <v>2543</v>
      </c>
    </row>
    <row r="1127" customFormat="false" ht="15" hidden="false" customHeight="false" outlineLevel="0" collapsed="false">
      <c r="A1127" s="9"/>
      <c r="B1127" s="2" t="s">
        <v>2544</v>
      </c>
      <c r="C1127" s="2" t="s">
        <v>2545</v>
      </c>
      <c r="D1127" s="2" t="s">
        <v>2441</v>
      </c>
      <c r="E1127" s="2" t="s">
        <v>51</v>
      </c>
      <c r="F1127" s="2"/>
      <c r="G1127" s="2" t="s">
        <v>2442</v>
      </c>
      <c r="H1127" s="8" t="n">
        <v>259.578903329667</v>
      </c>
      <c r="I1127" s="2" t="s">
        <v>316</v>
      </c>
      <c r="J1127" s="8" t="n">
        <v>228333.333333333</v>
      </c>
      <c r="K1127" s="6" t="n">
        <v>6</v>
      </c>
      <c r="L1127" s="2"/>
      <c r="M1127" s="10" t="b">
        <f aca="false">TRUE()</f>
        <v>1</v>
      </c>
      <c r="N1127" s="9" t="str">
        <f aca="false">IF(H1127="","",IF(H1127&gt;=Assumptions!$B$5,1,IF(H1127&gt;=Assumptions!$B$6,2,IF(H1127&gt;=Assumptions!$B$7,3,""))))</f>
        <v/>
      </c>
      <c r="O1127" s="9" t="n">
        <f aca="false">IF(N1127=1,Assumptions!$B$8,IF(N1127=2,Assumptions!$B$9,IF(N1127=3,Assumptions!$B$10,0)))</f>
        <v>0</v>
      </c>
      <c r="P1127" s="6" t="s">
        <v>30</v>
      </c>
      <c r="Q1127" s="6" t="s">
        <v>30</v>
      </c>
      <c r="R1127" s="11" t="s">
        <v>30</v>
      </c>
      <c r="S1127" s="6" t="s">
        <v>30</v>
      </c>
      <c r="T1127" s="11" t="s">
        <v>30</v>
      </c>
      <c r="U1127" s="6" t="s">
        <v>30</v>
      </c>
      <c r="V1127" s="6" t="s">
        <v>30</v>
      </c>
      <c r="W1127" s="6" t="s">
        <v>30</v>
      </c>
      <c r="X1127" s="2" t="s">
        <v>30</v>
      </c>
      <c r="Y1127" s="6" t="str">
        <f aca="false">IF(AND(X1127="processed",ISNUMBER(S1127)),S1127*O1127,"")</f>
        <v/>
      </c>
      <c r="Z1127" s="6" t="n">
        <f aca="false">IF(ISNUMBER(K1127),K1127*O1127,0)</f>
        <v>0</v>
      </c>
      <c r="AA1127" s="2" t="s">
        <v>31</v>
      </c>
      <c r="AB1127" s="6" t="n">
        <v>1024</v>
      </c>
      <c r="AC1127" s="6" t="n">
        <v>678</v>
      </c>
      <c r="AD1127" s="6" t="n">
        <v>272</v>
      </c>
      <c r="AE1127" s="6" t="n">
        <v>1752.36889648438</v>
      </c>
      <c r="AF1127" s="8" t="n">
        <v>176.451922253</v>
      </c>
      <c r="AG1127" s="11" t="n">
        <v>-0.2723411066</v>
      </c>
      <c r="AH1127" s="12" t="n">
        <v>0.999753705849638</v>
      </c>
      <c r="AI1127" s="2" t="s">
        <v>340</v>
      </c>
      <c r="AJ1127" s="2" t="s">
        <v>2545</v>
      </c>
      <c r="AK1127" s="2" t="s">
        <v>2545</v>
      </c>
    </row>
    <row r="1128" customFormat="false" ht="15" hidden="false" customHeight="false" outlineLevel="0" collapsed="false">
      <c r="A1128" s="9"/>
      <c r="B1128" s="2" t="s">
        <v>2546</v>
      </c>
      <c r="C1128" s="2" t="s">
        <v>2547</v>
      </c>
      <c r="D1128" s="2" t="s">
        <v>2437</v>
      </c>
      <c r="E1128" s="2" t="s">
        <v>51</v>
      </c>
      <c r="F1128" s="2"/>
      <c r="G1128" s="2" t="s">
        <v>2438</v>
      </c>
      <c r="H1128" s="8" t="n">
        <v>250.552791116765</v>
      </c>
      <c r="I1128" s="2" t="s">
        <v>316</v>
      </c>
      <c r="J1128" s="8" t="n">
        <v>365870.588235294</v>
      </c>
      <c r="K1128" s="6" t="n">
        <v>17</v>
      </c>
      <c r="L1128" s="2"/>
      <c r="M1128" s="10" t="b">
        <f aca="false">TRUE()</f>
        <v>1</v>
      </c>
      <c r="N1128" s="9" t="str">
        <f aca="false">IF(H1128="","",IF(H1128&gt;=Assumptions!$B$5,1,IF(H1128&gt;=Assumptions!$B$6,2,IF(H1128&gt;=Assumptions!$B$7,3,""))))</f>
        <v/>
      </c>
      <c r="O1128" s="9" t="n">
        <f aca="false">IF(N1128=1,Assumptions!$B$8,IF(N1128=2,Assumptions!$B$9,IF(N1128=3,Assumptions!$B$10,0)))</f>
        <v>0</v>
      </c>
      <c r="P1128" s="6" t="s">
        <v>30</v>
      </c>
      <c r="Q1128" s="6" t="s">
        <v>30</v>
      </c>
      <c r="R1128" s="11" t="s">
        <v>30</v>
      </c>
      <c r="S1128" s="6" t="s">
        <v>30</v>
      </c>
      <c r="T1128" s="11" t="s">
        <v>30</v>
      </c>
      <c r="U1128" s="6" t="s">
        <v>30</v>
      </c>
      <c r="V1128" s="6" t="s">
        <v>30</v>
      </c>
      <c r="W1128" s="6" t="s">
        <v>30</v>
      </c>
      <c r="X1128" s="2" t="s">
        <v>30</v>
      </c>
      <c r="Y1128" s="6" t="str">
        <f aca="false">IF(AND(X1128="processed",ISNUMBER(S1128)),S1128*O1128,"")</f>
        <v/>
      </c>
      <c r="Z1128" s="6" t="n">
        <f aca="false">IF(ISNUMBER(K1128),K1128*O1128,0)</f>
        <v>0</v>
      </c>
      <c r="AA1128" s="2" t="s">
        <v>31</v>
      </c>
      <c r="AB1128" s="6" t="n">
        <v>2501</v>
      </c>
      <c r="AC1128" s="6" t="n">
        <v>2144</v>
      </c>
      <c r="AD1128" s="6" t="n">
        <v>2489</v>
      </c>
      <c r="AE1128" s="6" t="n">
        <v>1889.19970703125</v>
      </c>
      <c r="AF1128" s="8" t="n">
        <v>275.643922277</v>
      </c>
      <c r="AG1128" s="11" t="n">
        <v>-0.08577194251</v>
      </c>
      <c r="AH1128" s="12" t="n">
        <v>1</v>
      </c>
      <c r="AI1128" s="2" t="s">
        <v>317</v>
      </c>
      <c r="AJ1128" s="2" t="s">
        <v>2547</v>
      </c>
      <c r="AK1128" s="2" t="s">
        <v>2548</v>
      </c>
    </row>
    <row r="1129" customFormat="false" ht="15" hidden="false" customHeight="false" outlineLevel="0" collapsed="false">
      <c r="A1129" s="9"/>
      <c r="B1129" s="2" t="s">
        <v>2549</v>
      </c>
      <c r="C1129" s="2" t="s">
        <v>2519</v>
      </c>
      <c r="D1129" s="2" t="s">
        <v>2445</v>
      </c>
      <c r="E1129" s="2" t="s">
        <v>51</v>
      </c>
      <c r="F1129" s="2" t="s">
        <v>2550</v>
      </c>
      <c r="G1129" s="2" t="s">
        <v>2446</v>
      </c>
      <c r="H1129" s="8" t="n">
        <v>187.669202583142</v>
      </c>
      <c r="I1129" s="2" t="s">
        <v>316</v>
      </c>
      <c r="J1129" s="8" t="n">
        <v>228118.110236221</v>
      </c>
      <c r="K1129" s="6" t="n">
        <v>127</v>
      </c>
      <c r="L1129" s="2"/>
      <c r="M1129" s="10" t="b">
        <f aca="false">TRUE()</f>
        <v>1</v>
      </c>
      <c r="N1129" s="9" t="str">
        <f aca="false">IF(H1129="","",IF(H1129&gt;=Assumptions!$B$5,1,IF(H1129&gt;=Assumptions!$B$6,2,IF(H1129&gt;=Assumptions!$B$7,3,""))))</f>
        <v/>
      </c>
      <c r="O1129" s="9" t="n">
        <f aca="false">IF(N1129=1,Assumptions!$B$8,IF(N1129=2,Assumptions!$B$9,IF(N1129=3,Assumptions!$B$10,0)))</f>
        <v>0</v>
      </c>
      <c r="P1129" s="6" t="s">
        <v>30</v>
      </c>
      <c r="Q1129" s="6" t="s">
        <v>30</v>
      </c>
      <c r="R1129" s="11" t="s">
        <v>30</v>
      </c>
      <c r="S1129" s="6" t="s">
        <v>30</v>
      </c>
      <c r="T1129" s="11" t="s">
        <v>30</v>
      </c>
      <c r="U1129" s="6" t="s">
        <v>30</v>
      </c>
      <c r="V1129" s="6" t="s">
        <v>30</v>
      </c>
      <c r="W1129" s="6" t="s">
        <v>30</v>
      </c>
      <c r="X1129" s="2" t="s">
        <v>30</v>
      </c>
      <c r="Y1129" s="6" t="str">
        <f aca="false">IF(AND(X1129="processed",ISNUMBER(S1129)),S1129*O1129,"")</f>
        <v/>
      </c>
      <c r="Z1129" s="6" t="n">
        <f aca="false">IF(ISNUMBER(K1129),K1129*O1129,0)</f>
        <v>0</v>
      </c>
      <c r="AA1129" s="2" t="s">
        <v>31</v>
      </c>
      <c r="AB1129" s="6" t="n">
        <v>8558</v>
      </c>
      <c r="AC1129" s="6" t="n">
        <v>7241</v>
      </c>
      <c r="AD1129" s="6" t="n">
        <v>8285</v>
      </c>
      <c r="AE1129" s="6" t="n">
        <v>1628.45935058594</v>
      </c>
      <c r="AF1129" s="8" t="n">
        <v>183.974358974</v>
      </c>
      <c r="AG1129" s="11" t="n">
        <v>0.05193259711</v>
      </c>
      <c r="AH1129" s="12" t="n">
        <v>1</v>
      </c>
      <c r="AI1129" s="2" t="s">
        <v>319</v>
      </c>
      <c r="AJ1129" s="2"/>
      <c r="AK1129" s="2" t="s">
        <v>2519</v>
      </c>
    </row>
    <row r="1130" customFormat="false" ht="15" hidden="false" customHeight="false" outlineLevel="0" collapsed="false">
      <c r="A1130" s="9"/>
      <c r="B1130" s="2" t="s">
        <v>2551</v>
      </c>
      <c r="C1130" s="2" t="s">
        <v>2552</v>
      </c>
      <c r="D1130" s="2" t="s">
        <v>2437</v>
      </c>
      <c r="E1130" s="2" t="s">
        <v>51</v>
      </c>
      <c r="F1130" s="2"/>
      <c r="G1130" s="2" t="s">
        <v>2438</v>
      </c>
      <c r="H1130" s="8" t="n">
        <v>238.767276198667</v>
      </c>
      <c r="I1130" s="2" t="s">
        <v>316</v>
      </c>
      <c r="J1130" s="8" t="n">
        <v>425416.666666667</v>
      </c>
      <c r="K1130" s="6" t="n">
        <v>12</v>
      </c>
      <c r="L1130" s="2"/>
      <c r="M1130" s="10" t="b">
        <f aca="false">TRUE()</f>
        <v>1</v>
      </c>
      <c r="N1130" s="9" t="str">
        <f aca="false">IF(H1130="","",IF(H1130&gt;=Assumptions!$B$5,1,IF(H1130&gt;=Assumptions!$B$6,2,IF(H1130&gt;=Assumptions!$B$7,3,""))))</f>
        <v/>
      </c>
      <c r="O1130" s="9" t="n">
        <f aca="false">IF(N1130=1,Assumptions!$B$8,IF(N1130=2,Assumptions!$B$9,IF(N1130=3,Assumptions!$B$10,0)))</f>
        <v>0</v>
      </c>
      <c r="P1130" s="6" t="s">
        <v>30</v>
      </c>
      <c r="Q1130" s="6" t="s">
        <v>30</v>
      </c>
      <c r="R1130" s="11" t="s">
        <v>30</v>
      </c>
      <c r="S1130" s="6" t="s">
        <v>30</v>
      </c>
      <c r="T1130" s="11" t="s">
        <v>30</v>
      </c>
      <c r="U1130" s="6" t="s">
        <v>30</v>
      </c>
      <c r="V1130" s="6" t="s">
        <v>30</v>
      </c>
      <c r="W1130" s="6" t="s">
        <v>30</v>
      </c>
      <c r="X1130" s="2" t="s">
        <v>30</v>
      </c>
      <c r="Y1130" s="6" t="str">
        <f aca="false">IF(AND(X1130="processed",ISNUMBER(S1130)),S1130*O1130,"")</f>
        <v/>
      </c>
      <c r="Z1130" s="6" t="n">
        <f aca="false">IF(ISNUMBER(K1130),K1130*O1130,0)</f>
        <v>0</v>
      </c>
      <c r="AA1130" s="2" t="s">
        <v>31</v>
      </c>
      <c r="AB1130" s="6" t="n">
        <v>3350</v>
      </c>
      <c r="AC1130" s="6" t="n">
        <v>2683</v>
      </c>
      <c r="AD1130" s="6" t="n">
        <v>3324</v>
      </c>
      <c r="AE1130" s="6" t="n">
        <v>1945.08666992188</v>
      </c>
      <c r="AF1130" s="8" t="n">
        <v>215.441860974</v>
      </c>
      <c r="AG1130" s="11" t="n">
        <v>-0.1920930213</v>
      </c>
      <c r="AH1130" s="12" t="n">
        <v>1</v>
      </c>
      <c r="AI1130" s="2" t="s">
        <v>317</v>
      </c>
      <c r="AJ1130" s="2" t="s">
        <v>2552</v>
      </c>
      <c r="AK1130" s="2" t="s">
        <v>2552</v>
      </c>
    </row>
    <row r="1131" customFormat="false" ht="15" hidden="false" customHeight="false" outlineLevel="0" collapsed="false">
      <c r="A1131" s="9"/>
      <c r="B1131" s="2" t="s">
        <v>2553</v>
      </c>
      <c r="C1131" s="2" t="s">
        <v>2554</v>
      </c>
      <c r="D1131" s="2" t="s">
        <v>2437</v>
      </c>
      <c r="E1131" s="2" t="s">
        <v>51</v>
      </c>
      <c r="F1131" s="2"/>
      <c r="G1131" s="2" t="s">
        <v>2438</v>
      </c>
      <c r="H1131" s="8" t="n">
        <v>333.081951627778</v>
      </c>
      <c r="I1131" s="2" t="s">
        <v>316</v>
      </c>
      <c r="J1131" s="8" t="n">
        <v>641944.444444445</v>
      </c>
      <c r="K1131" s="6" t="n">
        <v>36</v>
      </c>
      <c r="L1131" s="2"/>
      <c r="M1131" s="10" t="b">
        <f aca="false">TRUE()</f>
        <v>1</v>
      </c>
      <c r="N1131" s="9" t="str">
        <f aca="false">IF(H1131="","",IF(H1131&gt;=Assumptions!$B$5,1,IF(H1131&gt;=Assumptions!$B$6,2,IF(H1131&gt;=Assumptions!$B$7,3,""))))</f>
        <v/>
      </c>
      <c r="O1131" s="9" t="n">
        <f aca="false">IF(N1131=1,Assumptions!$B$8,IF(N1131=2,Assumptions!$B$9,IF(N1131=3,Assumptions!$B$10,0)))</f>
        <v>0</v>
      </c>
      <c r="P1131" s="6" t="s">
        <v>30</v>
      </c>
      <c r="Q1131" s="6" t="s">
        <v>30</v>
      </c>
      <c r="R1131" s="11" t="s">
        <v>30</v>
      </c>
      <c r="S1131" s="6" t="s">
        <v>30</v>
      </c>
      <c r="T1131" s="11" t="s">
        <v>30</v>
      </c>
      <c r="U1131" s="6" t="s">
        <v>30</v>
      </c>
      <c r="V1131" s="6" t="s">
        <v>30</v>
      </c>
      <c r="W1131" s="6" t="s">
        <v>30</v>
      </c>
      <c r="X1131" s="2" t="s">
        <v>30</v>
      </c>
      <c r="Y1131" s="6" t="str">
        <f aca="false">IF(AND(X1131="processed",ISNUMBER(S1131)),S1131*O1131,"")</f>
        <v/>
      </c>
      <c r="Z1131" s="6" t="n">
        <f aca="false">IF(ISNUMBER(K1131),K1131*O1131,0)</f>
        <v>0</v>
      </c>
      <c r="AA1131" s="2" t="s">
        <v>31</v>
      </c>
      <c r="AB1131" s="6" t="n">
        <v>2908</v>
      </c>
      <c r="AC1131" s="6" t="n">
        <v>2218</v>
      </c>
      <c r="AD1131" s="6" t="n">
        <v>936</v>
      </c>
      <c r="AE1131" s="6" t="n">
        <v>1726.32397460938</v>
      </c>
      <c r="AF1131" s="8" t="n">
        <v>344.53866866</v>
      </c>
      <c r="AG1131" s="11" t="n">
        <v>0.05942245028</v>
      </c>
      <c r="AH1131" s="12" t="n">
        <v>0.999999999999996</v>
      </c>
      <c r="AI1131" s="2" t="s">
        <v>317</v>
      </c>
      <c r="AJ1131" s="2" t="s">
        <v>2554</v>
      </c>
      <c r="AK1131" s="2" t="s">
        <v>2555</v>
      </c>
    </row>
    <row r="1132" customFormat="false" ht="15" hidden="false" customHeight="false" outlineLevel="0" collapsed="false">
      <c r="A1132" s="9"/>
      <c r="B1132" s="2" t="s">
        <v>2556</v>
      </c>
      <c r="C1132" s="2" t="s">
        <v>2557</v>
      </c>
      <c r="D1132" s="2" t="s">
        <v>2437</v>
      </c>
      <c r="E1132" s="2" t="s">
        <v>51</v>
      </c>
      <c r="F1132" s="2"/>
      <c r="G1132" s="2" t="s">
        <v>2438</v>
      </c>
      <c r="H1132" s="8" t="n">
        <v>196.320076982375</v>
      </c>
      <c r="I1132" s="2" t="s">
        <v>316</v>
      </c>
      <c r="J1132" s="8" t="n">
        <v>237237.5</v>
      </c>
      <c r="K1132" s="6" t="n">
        <v>8</v>
      </c>
      <c r="L1132" s="2"/>
      <c r="M1132" s="10" t="b">
        <f aca="false">TRUE()</f>
        <v>1</v>
      </c>
      <c r="N1132" s="9" t="str">
        <f aca="false">IF(H1132="","",IF(H1132&gt;=Assumptions!$B$5,1,IF(H1132&gt;=Assumptions!$B$6,2,IF(H1132&gt;=Assumptions!$B$7,3,""))))</f>
        <v/>
      </c>
      <c r="O1132" s="9" t="n">
        <f aca="false">IF(N1132=1,Assumptions!$B$8,IF(N1132=2,Assumptions!$B$9,IF(N1132=3,Assumptions!$B$10,0)))</f>
        <v>0</v>
      </c>
      <c r="P1132" s="6" t="s">
        <v>30</v>
      </c>
      <c r="Q1132" s="6" t="s">
        <v>30</v>
      </c>
      <c r="R1132" s="11" t="s">
        <v>30</v>
      </c>
      <c r="S1132" s="6" t="s">
        <v>30</v>
      </c>
      <c r="T1132" s="11" t="s">
        <v>30</v>
      </c>
      <c r="U1132" s="6" t="s">
        <v>30</v>
      </c>
      <c r="V1132" s="6" t="s">
        <v>30</v>
      </c>
      <c r="W1132" s="6" t="s">
        <v>30</v>
      </c>
      <c r="X1132" s="2" t="s">
        <v>30</v>
      </c>
      <c r="Y1132" s="6" t="str">
        <f aca="false">IF(AND(X1132="processed",ISNUMBER(S1132)),S1132*O1132,"")</f>
        <v/>
      </c>
      <c r="Z1132" s="6" t="n">
        <f aca="false">IF(ISNUMBER(K1132),K1132*O1132,0)</f>
        <v>0</v>
      </c>
      <c r="AA1132" s="2" t="s">
        <v>31</v>
      </c>
      <c r="AB1132" s="6" t="n">
        <v>2483</v>
      </c>
      <c r="AC1132" s="6" t="n">
        <v>1881</v>
      </c>
      <c r="AD1132" s="6" t="n">
        <v>2362</v>
      </c>
      <c r="AE1132" s="6" t="n">
        <v>2002.13439941406</v>
      </c>
      <c r="AF1132" s="8" t="n">
        <v>290.497237569</v>
      </c>
      <c r="AG1132" s="11"/>
      <c r="AH1132" s="12" t="n">
        <v>1</v>
      </c>
      <c r="AI1132" s="2" t="s">
        <v>317</v>
      </c>
      <c r="AJ1132" s="2" t="s">
        <v>2557</v>
      </c>
      <c r="AK1132" s="2" t="s">
        <v>2557</v>
      </c>
    </row>
    <row r="1133" customFormat="false" ht="15" hidden="false" customHeight="false" outlineLevel="0" collapsed="false">
      <c r="A1133" s="9"/>
      <c r="B1133" s="2" t="s">
        <v>2558</v>
      </c>
      <c r="C1133" s="2" t="s">
        <v>2437</v>
      </c>
      <c r="D1133" s="2" t="s">
        <v>2437</v>
      </c>
      <c r="E1133" s="2" t="s">
        <v>51</v>
      </c>
      <c r="F1133" s="2" t="s">
        <v>2559</v>
      </c>
      <c r="G1133" s="2" t="s">
        <v>2438</v>
      </c>
      <c r="H1133" s="8" t="n">
        <v>233.952310388307</v>
      </c>
      <c r="I1133" s="2" t="s">
        <v>316</v>
      </c>
      <c r="J1133" s="8" t="n">
        <v>373825.660036166</v>
      </c>
      <c r="K1133" s="6" t="n">
        <v>553</v>
      </c>
      <c r="L1133" s="2"/>
      <c r="M1133" s="10" t="b">
        <f aca="false">TRUE()</f>
        <v>1</v>
      </c>
      <c r="N1133" s="9" t="str">
        <f aca="false">IF(H1133="","",IF(H1133&gt;=Assumptions!$B$5,1,IF(H1133&gt;=Assumptions!$B$6,2,IF(H1133&gt;=Assumptions!$B$7,3,""))))</f>
        <v/>
      </c>
      <c r="O1133" s="9" t="n">
        <f aca="false">IF(N1133=1,Assumptions!$B$8,IF(N1133=2,Assumptions!$B$9,IF(N1133=3,Assumptions!$B$10,0)))</f>
        <v>0</v>
      </c>
      <c r="P1133" s="6" t="s">
        <v>30</v>
      </c>
      <c r="Q1133" s="6" t="s">
        <v>30</v>
      </c>
      <c r="R1133" s="11" t="s">
        <v>30</v>
      </c>
      <c r="S1133" s="6" t="s">
        <v>30</v>
      </c>
      <c r="T1133" s="11" t="s">
        <v>30</v>
      </c>
      <c r="U1133" s="6" t="s">
        <v>30</v>
      </c>
      <c r="V1133" s="6" t="s">
        <v>30</v>
      </c>
      <c r="W1133" s="6" t="s">
        <v>30</v>
      </c>
      <c r="X1133" s="2" t="s">
        <v>30</v>
      </c>
      <c r="Y1133" s="6" t="str">
        <f aca="false">IF(AND(X1133="processed",ISNUMBER(S1133)),S1133*O1133,"")</f>
        <v/>
      </c>
      <c r="Z1133" s="6" t="n">
        <f aca="false">IF(ISNUMBER(K1133),K1133*O1133,0)</f>
        <v>0</v>
      </c>
      <c r="AA1133" s="2" t="s">
        <v>31</v>
      </c>
      <c r="AB1133" s="6" t="n">
        <v>31180</v>
      </c>
      <c r="AC1133" s="6" t="n">
        <v>27394</v>
      </c>
      <c r="AD1133" s="6" t="n">
        <v>24770</v>
      </c>
      <c r="AE1133" s="6" t="n">
        <v>2396.79052734375</v>
      </c>
      <c r="AF1133" s="8" t="n">
        <v>235.849056604</v>
      </c>
      <c r="AG1133" s="11" t="n">
        <v>0.05347240949</v>
      </c>
      <c r="AH1133" s="12" t="n">
        <v>0.999857940366186</v>
      </c>
      <c r="AI1133" s="2" t="s">
        <v>317</v>
      </c>
      <c r="AJ1133" s="2" t="s">
        <v>2437</v>
      </c>
      <c r="AK1133" s="2" t="s">
        <v>2437</v>
      </c>
    </row>
    <row r="1134" customFormat="false" ht="15" hidden="false" customHeight="false" outlineLevel="0" collapsed="false">
      <c r="A1134" s="9"/>
      <c r="B1134" s="2" t="s">
        <v>2560</v>
      </c>
      <c r="C1134" s="2" t="s">
        <v>2561</v>
      </c>
      <c r="D1134" s="2" t="s">
        <v>2445</v>
      </c>
      <c r="E1134" s="2" t="s">
        <v>51</v>
      </c>
      <c r="F1134" s="2"/>
      <c r="G1134" s="2"/>
      <c r="H1134" s="8"/>
      <c r="I1134" s="2"/>
      <c r="J1134" s="8"/>
      <c r="K1134" s="6"/>
      <c r="L1134" s="2"/>
      <c r="M1134" s="10" t="b">
        <f aca="false">TRUE()</f>
        <v>1</v>
      </c>
      <c r="N1134" s="9" t="str">
        <f aca="false">IF(H1134="","",IF(H1134&gt;=Assumptions!$B$5,1,IF(H1134&gt;=Assumptions!$B$6,2,IF(H1134&gt;=Assumptions!$B$7,3,""))))</f>
        <v/>
      </c>
      <c r="O1134" s="9" t="n">
        <f aca="false">IF(N1134=1,Assumptions!$B$8,IF(N1134=2,Assumptions!$B$9,IF(N1134=3,Assumptions!$B$10,0)))</f>
        <v>0</v>
      </c>
      <c r="P1134" s="6" t="s">
        <v>30</v>
      </c>
      <c r="Q1134" s="6" t="s">
        <v>30</v>
      </c>
      <c r="R1134" s="11" t="s">
        <v>30</v>
      </c>
      <c r="S1134" s="6" t="s">
        <v>30</v>
      </c>
      <c r="T1134" s="11" t="s">
        <v>30</v>
      </c>
      <c r="U1134" s="6" t="s">
        <v>30</v>
      </c>
      <c r="V1134" s="6" t="s">
        <v>30</v>
      </c>
      <c r="W1134" s="6" t="s">
        <v>30</v>
      </c>
      <c r="X1134" s="2" t="s">
        <v>30</v>
      </c>
      <c r="Y1134" s="6" t="str">
        <f aca="false">IF(AND(X1134="processed",ISNUMBER(S1134)),S1134*O1134,"")</f>
        <v/>
      </c>
      <c r="Z1134" s="6" t="n">
        <f aca="false">IF(ISNUMBER(K1134),K1134*O1134,0)</f>
        <v>0</v>
      </c>
      <c r="AA1134" s="2" t="s">
        <v>31</v>
      </c>
      <c r="AB1134" s="6" t="n">
        <v>109</v>
      </c>
      <c r="AC1134" s="6" t="n">
        <v>90</v>
      </c>
      <c r="AD1134" s="6" t="n">
        <v>109</v>
      </c>
      <c r="AE1134" s="6" t="n">
        <v>1468.52783203125</v>
      </c>
      <c r="AF1134" s="8"/>
      <c r="AG1134" s="11"/>
      <c r="AH1134" s="12" t="n">
        <v>1</v>
      </c>
      <c r="AI1134" s="2" t="s">
        <v>1597</v>
      </c>
      <c r="AJ1134" s="2"/>
      <c r="AK1134" s="2" t="s">
        <v>2561</v>
      </c>
    </row>
    <row r="1135" customFormat="false" ht="15" hidden="false" customHeight="false" outlineLevel="0" collapsed="false">
      <c r="A1135" s="9"/>
      <c r="B1135" s="2" t="s">
        <v>2562</v>
      </c>
      <c r="C1135" s="2" t="s">
        <v>2563</v>
      </c>
      <c r="D1135" s="2" t="s">
        <v>2437</v>
      </c>
      <c r="E1135" s="2" t="s">
        <v>51</v>
      </c>
      <c r="F1135" s="2" t="s">
        <v>2564</v>
      </c>
      <c r="G1135" s="2" t="s">
        <v>2438</v>
      </c>
      <c r="H1135" s="8" t="n">
        <v>239.448633348963</v>
      </c>
      <c r="I1135" s="2" t="s">
        <v>316</v>
      </c>
      <c r="J1135" s="8" t="n">
        <v>376324.825986079</v>
      </c>
      <c r="K1135" s="6" t="n">
        <v>431</v>
      </c>
      <c r="L1135" s="2"/>
      <c r="M1135" s="10" t="b">
        <f aca="false">TRUE()</f>
        <v>1</v>
      </c>
      <c r="N1135" s="9" t="str">
        <f aca="false">IF(H1135="","",IF(H1135&gt;=Assumptions!$B$5,1,IF(H1135&gt;=Assumptions!$B$6,2,IF(H1135&gt;=Assumptions!$B$7,3,""))))</f>
        <v/>
      </c>
      <c r="O1135" s="9" t="n">
        <f aca="false">IF(N1135=1,Assumptions!$B$8,IF(N1135=2,Assumptions!$B$9,IF(N1135=3,Assumptions!$B$10,0)))</f>
        <v>0</v>
      </c>
      <c r="P1135" s="6" t="s">
        <v>30</v>
      </c>
      <c r="Q1135" s="6" t="s">
        <v>30</v>
      </c>
      <c r="R1135" s="11" t="s">
        <v>30</v>
      </c>
      <c r="S1135" s="6" t="s">
        <v>30</v>
      </c>
      <c r="T1135" s="11" t="s">
        <v>30</v>
      </c>
      <c r="U1135" s="6" t="s">
        <v>30</v>
      </c>
      <c r="V1135" s="6" t="s">
        <v>30</v>
      </c>
      <c r="W1135" s="6" t="s">
        <v>30</v>
      </c>
      <c r="X1135" s="2" t="s">
        <v>30</v>
      </c>
      <c r="Y1135" s="6" t="str">
        <f aca="false">IF(AND(X1135="processed",ISNUMBER(S1135)),S1135*O1135,"")</f>
        <v/>
      </c>
      <c r="Z1135" s="6" t="n">
        <f aca="false">IF(ISNUMBER(K1135),K1135*O1135,0)</f>
        <v>0</v>
      </c>
      <c r="AA1135" s="2" t="s">
        <v>31</v>
      </c>
      <c r="AB1135" s="6" t="n">
        <v>20157</v>
      </c>
      <c r="AC1135" s="6" t="n">
        <v>18124</v>
      </c>
      <c r="AD1135" s="6" t="n">
        <v>5887</v>
      </c>
      <c r="AE1135" s="6" t="n">
        <v>2606.55908203125</v>
      </c>
      <c r="AF1135" s="8" t="n">
        <v>245.776866319</v>
      </c>
      <c r="AG1135" s="11" t="n">
        <v>0.03032249486</v>
      </c>
      <c r="AH1135" s="12" t="n">
        <v>0.999869149796299</v>
      </c>
      <c r="AI1135" s="2" t="s">
        <v>317</v>
      </c>
      <c r="AJ1135" s="2" t="s">
        <v>2563</v>
      </c>
      <c r="AK1135" s="2" t="s">
        <v>2563</v>
      </c>
    </row>
    <row r="1136" customFormat="false" ht="15" hidden="false" customHeight="false" outlineLevel="0" collapsed="false">
      <c r="A1136" s="9"/>
      <c r="B1136" s="2" t="s">
        <v>2565</v>
      </c>
      <c r="C1136" s="2" t="s">
        <v>2566</v>
      </c>
      <c r="D1136" s="2" t="s">
        <v>2445</v>
      </c>
      <c r="E1136" s="2" t="s">
        <v>51</v>
      </c>
      <c r="F1136" s="2"/>
      <c r="G1136" s="2" t="s">
        <v>2446</v>
      </c>
      <c r="H1136" s="8" t="n">
        <v>233.453621935585</v>
      </c>
      <c r="I1136" s="2" t="s">
        <v>316</v>
      </c>
      <c r="J1136" s="8" t="n">
        <v>316307.692307692</v>
      </c>
      <c r="K1136" s="6" t="n">
        <v>65</v>
      </c>
      <c r="L1136" s="2"/>
      <c r="M1136" s="10" t="b">
        <f aca="false">TRUE()</f>
        <v>1</v>
      </c>
      <c r="N1136" s="9" t="str">
        <f aca="false">IF(H1136="","",IF(H1136&gt;=Assumptions!$B$5,1,IF(H1136&gt;=Assumptions!$B$6,2,IF(H1136&gt;=Assumptions!$B$7,3,""))))</f>
        <v/>
      </c>
      <c r="O1136" s="9" t="n">
        <f aca="false">IF(N1136=1,Assumptions!$B$8,IF(N1136=2,Assumptions!$B$9,IF(N1136=3,Assumptions!$B$10,0)))</f>
        <v>0</v>
      </c>
      <c r="P1136" s="6" t="s">
        <v>30</v>
      </c>
      <c r="Q1136" s="6" t="s">
        <v>30</v>
      </c>
      <c r="R1136" s="11" t="s">
        <v>30</v>
      </c>
      <c r="S1136" s="6" t="s">
        <v>30</v>
      </c>
      <c r="T1136" s="11" t="s">
        <v>30</v>
      </c>
      <c r="U1136" s="6" t="s">
        <v>30</v>
      </c>
      <c r="V1136" s="6" t="s">
        <v>30</v>
      </c>
      <c r="W1136" s="6" t="s">
        <v>30</v>
      </c>
      <c r="X1136" s="2" t="s">
        <v>30</v>
      </c>
      <c r="Y1136" s="6" t="str">
        <f aca="false">IF(AND(X1136="processed",ISNUMBER(S1136)),S1136*O1136,"")</f>
        <v/>
      </c>
      <c r="Z1136" s="6" t="n">
        <f aca="false">IF(ISNUMBER(K1136),K1136*O1136,0)</f>
        <v>0</v>
      </c>
      <c r="AA1136" s="2" t="s">
        <v>31</v>
      </c>
      <c r="AB1136" s="6" t="n">
        <v>8410</v>
      </c>
      <c r="AC1136" s="6" t="n">
        <v>7272</v>
      </c>
      <c r="AD1136" s="6" t="n">
        <v>2562</v>
      </c>
      <c r="AE1136" s="6" t="n">
        <v>2193.85815429688</v>
      </c>
      <c r="AF1136" s="8" t="n">
        <v>244.210331191</v>
      </c>
      <c r="AG1136" s="11" t="n">
        <v>-0.03601185056</v>
      </c>
      <c r="AH1136" s="12" t="n">
        <v>0.999967651656874</v>
      </c>
      <c r="AI1136" s="2" t="s">
        <v>319</v>
      </c>
      <c r="AJ1136" s="2"/>
      <c r="AK1136" s="2" t="s">
        <v>2566</v>
      </c>
    </row>
    <row r="1137" customFormat="false" ht="15" hidden="false" customHeight="false" outlineLevel="0" collapsed="false">
      <c r="A1137" s="9"/>
      <c r="B1137" s="2" t="s">
        <v>2567</v>
      </c>
      <c r="C1137" s="2" t="s">
        <v>2498</v>
      </c>
      <c r="D1137" s="2" t="s">
        <v>2445</v>
      </c>
      <c r="E1137" s="2" t="s">
        <v>51</v>
      </c>
      <c r="F1137" s="2"/>
      <c r="G1137" s="2" t="s">
        <v>2446</v>
      </c>
      <c r="H1137" s="8" t="n">
        <v>161.3837582345</v>
      </c>
      <c r="I1137" s="2" t="s">
        <v>316</v>
      </c>
      <c r="J1137" s="8" t="n">
        <v>176944.25</v>
      </c>
      <c r="K1137" s="6" t="n">
        <v>4</v>
      </c>
      <c r="L1137" s="2" t="s">
        <v>1664</v>
      </c>
      <c r="M1137" s="10" t="b">
        <f aca="false">TRUE()</f>
        <v>1</v>
      </c>
      <c r="N1137" s="9" t="str">
        <f aca="false">IF(H1137="","",IF(H1137&gt;=Assumptions!$B$5,1,IF(H1137&gt;=Assumptions!$B$6,2,IF(H1137&gt;=Assumptions!$B$7,3,""))))</f>
        <v/>
      </c>
      <c r="O1137" s="9" t="n">
        <f aca="false">IF(N1137=1,Assumptions!$B$8,IF(N1137=2,Assumptions!$B$9,IF(N1137=3,Assumptions!$B$10,0)))</f>
        <v>0</v>
      </c>
      <c r="P1137" s="6" t="s">
        <v>30</v>
      </c>
      <c r="Q1137" s="6" t="s">
        <v>30</v>
      </c>
      <c r="R1137" s="11" t="s">
        <v>30</v>
      </c>
      <c r="S1137" s="6" t="s">
        <v>30</v>
      </c>
      <c r="T1137" s="11" t="s">
        <v>30</v>
      </c>
      <c r="U1137" s="6" t="s">
        <v>30</v>
      </c>
      <c r="V1137" s="6" t="s">
        <v>30</v>
      </c>
      <c r="W1137" s="6" t="s">
        <v>30</v>
      </c>
      <c r="X1137" s="2" t="s">
        <v>30</v>
      </c>
      <c r="Y1137" s="6" t="str">
        <f aca="false">IF(AND(X1137="processed",ISNUMBER(S1137)),S1137*O1137,"")</f>
        <v/>
      </c>
      <c r="Z1137" s="6" t="n">
        <f aca="false">IF(ISNUMBER(K1137),K1137*O1137,0)</f>
        <v>0</v>
      </c>
      <c r="AA1137" s="2" t="s">
        <v>31</v>
      </c>
      <c r="AB1137" s="6" t="n">
        <v>2423</v>
      </c>
      <c r="AC1137" s="6" t="n">
        <v>1969</v>
      </c>
      <c r="AD1137" s="6" t="n">
        <v>2380</v>
      </c>
      <c r="AE1137" s="6" t="n">
        <v>1398.91625976563</v>
      </c>
      <c r="AF1137" s="8" t="n">
        <v>161.166538757</v>
      </c>
      <c r="AG1137" s="11" t="n">
        <v>-0.1950511957</v>
      </c>
      <c r="AH1137" s="12" t="n">
        <v>0.998293367382723</v>
      </c>
      <c r="AI1137" s="2" t="s">
        <v>1597</v>
      </c>
      <c r="AJ1137" s="2"/>
      <c r="AK1137" s="2" t="s">
        <v>2498</v>
      </c>
    </row>
    <row r="1138" customFormat="false" ht="15" hidden="false" customHeight="false" outlineLevel="0" collapsed="false">
      <c r="A1138" s="9"/>
      <c r="B1138" s="2" t="s">
        <v>2568</v>
      </c>
      <c r="C1138" s="2" t="s">
        <v>2569</v>
      </c>
      <c r="D1138" s="2" t="s">
        <v>2445</v>
      </c>
      <c r="E1138" s="2" t="s">
        <v>51</v>
      </c>
      <c r="F1138" s="2"/>
      <c r="G1138" s="2" t="s">
        <v>2446</v>
      </c>
      <c r="H1138" s="8" t="n">
        <v>187.27513607493</v>
      </c>
      <c r="I1138" s="2" t="s">
        <v>316</v>
      </c>
      <c r="J1138" s="8" t="n">
        <v>211767.441860465</v>
      </c>
      <c r="K1138" s="6" t="n">
        <v>43</v>
      </c>
      <c r="L1138" s="2"/>
      <c r="M1138" s="10" t="b">
        <f aca="false">TRUE()</f>
        <v>1</v>
      </c>
      <c r="N1138" s="9" t="str">
        <f aca="false">IF(H1138="","",IF(H1138&gt;=Assumptions!$B$5,1,IF(H1138&gt;=Assumptions!$B$6,2,IF(H1138&gt;=Assumptions!$B$7,3,""))))</f>
        <v/>
      </c>
      <c r="O1138" s="9" t="n">
        <f aca="false">IF(N1138=1,Assumptions!$B$8,IF(N1138=2,Assumptions!$B$9,IF(N1138=3,Assumptions!$B$10,0)))</f>
        <v>0</v>
      </c>
      <c r="P1138" s="6" t="s">
        <v>30</v>
      </c>
      <c r="Q1138" s="6" t="s">
        <v>30</v>
      </c>
      <c r="R1138" s="11" t="s">
        <v>30</v>
      </c>
      <c r="S1138" s="6" t="s">
        <v>30</v>
      </c>
      <c r="T1138" s="11" t="s">
        <v>30</v>
      </c>
      <c r="U1138" s="6" t="s">
        <v>30</v>
      </c>
      <c r="V1138" s="6" t="s">
        <v>30</v>
      </c>
      <c r="W1138" s="6" t="s">
        <v>30</v>
      </c>
      <c r="X1138" s="2" t="s">
        <v>30</v>
      </c>
      <c r="Y1138" s="6" t="str">
        <f aca="false">IF(AND(X1138="processed",ISNUMBER(S1138)),S1138*O1138,"")</f>
        <v/>
      </c>
      <c r="Z1138" s="6" t="n">
        <f aca="false">IF(ISNUMBER(K1138),K1138*O1138,0)</f>
        <v>0</v>
      </c>
      <c r="AA1138" s="2" t="s">
        <v>31</v>
      </c>
      <c r="AB1138" s="6" t="n">
        <v>3162</v>
      </c>
      <c r="AC1138" s="6" t="n">
        <v>2640</v>
      </c>
      <c r="AD1138" s="6" t="n">
        <v>2972</v>
      </c>
      <c r="AE1138" s="6" t="n">
        <v>1571.09265136719</v>
      </c>
      <c r="AF1138" s="8" t="n">
        <v>215.773809524</v>
      </c>
      <c r="AG1138" s="11" t="n">
        <v>0.04496173469</v>
      </c>
      <c r="AH1138" s="12" t="n">
        <v>1</v>
      </c>
      <c r="AI1138" s="2" t="s">
        <v>1597</v>
      </c>
      <c r="AJ1138" s="2"/>
      <c r="AK1138" s="2" t="s">
        <v>2569</v>
      </c>
    </row>
    <row r="1139" customFormat="false" ht="15" hidden="false" customHeight="false" outlineLevel="0" collapsed="false">
      <c r="A1139" s="9"/>
      <c r="B1139" s="2" t="s">
        <v>2570</v>
      </c>
      <c r="C1139" s="2" t="s">
        <v>2571</v>
      </c>
      <c r="D1139" s="2" t="s">
        <v>2437</v>
      </c>
      <c r="E1139" s="2" t="s">
        <v>51</v>
      </c>
      <c r="F1139" s="2"/>
      <c r="G1139" s="2" t="s">
        <v>2438</v>
      </c>
      <c r="H1139" s="8" t="n">
        <v>230.676186644345</v>
      </c>
      <c r="I1139" s="2" t="s">
        <v>316</v>
      </c>
      <c r="J1139" s="8" t="n">
        <v>373180.095238095</v>
      </c>
      <c r="K1139" s="6" t="n">
        <v>84</v>
      </c>
      <c r="L1139" s="2"/>
      <c r="M1139" s="10" t="b">
        <f aca="false">TRUE()</f>
        <v>1</v>
      </c>
      <c r="N1139" s="9" t="str">
        <f aca="false">IF(H1139="","",IF(H1139&gt;=Assumptions!$B$5,1,IF(H1139&gt;=Assumptions!$B$6,2,IF(H1139&gt;=Assumptions!$B$7,3,""))))</f>
        <v/>
      </c>
      <c r="O1139" s="9" t="n">
        <f aca="false">IF(N1139=1,Assumptions!$B$8,IF(N1139=2,Assumptions!$B$9,IF(N1139=3,Assumptions!$B$10,0)))</f>
        <v>0</v>
      </c>
      <c r="P1139" s="6" t="s">
        <v>30</v>
      </c>
      <c r="Q1139" s="6" t="s">
        <v>30</v>
      </c>
      <c r="R1139" s="11" t="s">
        <v>30</v>
      </c>
      <c r="S1139" s="6" t="s">
        <v>30</v>
      </c>
      <c r="T1139" s="11" t="s">
        <v>30</v>
      </c>
      <c r="U1139" s="6" t="s">
        <v>30</v>
      </c>
      <c r="V1139" s="6" t="s">
        <v>30</v>
      </c>
      <c r="W1139" s="6" t="s">
        <v>30</v>
      </c>
      <c r="X1139" s="2" t="s">
        <v>30</v>
      </c>
      <c r="Y1139" s="6" t="str">
        <f aca="false">IF(AND(X1139="processed",ISNUMBER(S1139)),S1139*O1139,"")</f>
        <v/>
      </c>
      <c r="Z1139" s="6" t="n">
        <f aca="false">IF(ISNUMBER(K1139),K1139*O1139,0)</f>
        <v>0</v>
      </c>
      <c r="AA1139" s="2" t="s">
        <v>31</v>
      </c>
      <c r="AB1139" s="6" t="n">
        <v>4584</v>
      </c>
      <c r="AC1139" s="6" t="n">
        <v>3886</v>
      </c>
      <c r="AD1139" s="6" t="n">
        <v>3832</v>
      </c>
      <c r="AE1139" s="6" t="n">
        <v>2085.271484375</v>
      </c>
      <c r="AF1139" s="8" t="n">
        <v>243.53214049</v>
      </c>
      <c r="AG1139" s="11" t="n">
        <v>0.09746243569</v>
      </c>
      <c r="AH1139" s="12" t="n">
        <v>1.00000000000001</v>
      </c>
      <c r="AI1139" s="2" t="s">
        <v>317</v>
      </c>
      <c r="AJ1139" s="2" t="s">
        <v>2571</v>
      </c>
      <c r="AK1139" s="2" t="s">
        <v>2571</v>
      </c>
    </row>
    <row r="1140" customFormat="false" ht="15" hidden="false" customHeight="false" outlineLevel="0" collapsed="false">
      <c r="A1140" s="9"/>
      <c r="B1140" s="2" t="s">
        <v>2572</v>
      </c>
      <c r="C1140" s="2" t="s">
        <v>2573</v>
      </c>
      <c r="D1140" s="2" t="s">
        <v>2445</v>
      </c>
      <c r="E1140" s="2" t="s">
        <v>51</v>
      </c>
      <c r="F1140" s="2"/>
      <c r="G1140" s="2" t="s">
        <v>2446</v>
      </c>
      <c r="H1140" s="8" t="n">
        <v>365.159392889333</v>
      </c>
      <c r="I1140" s="2" t="s">
        <v>316</v>
      </c>
      <c r="J1140" s="8" t="n">
        <v>3336666.66666667</v>
      </c>
      <c r="K1140" s="6" t="n">
        <v>3</v>
      </c>
      <c r="L1140" s="2" t="s">
        <v>1664</v>
      </c>
      <c r="M1140" s="10" t="b">
        <f aca="false">TRUE()</f>
        <v>1</v>
      </c>
      <c r="N1140" s="9" t="str">
        <f aca="false">IF(H1140="","",IF(H1140&gt;=Assumptions!$B$5,1,IF(H1140&gt;=Assumptions!$B$6,2,IF(H1140&gt;=Assumptions!$B$7,3,""))))</f>
        <v/>
      </c>
      <c r="O1140" s="9" t="n">
        <f aca="false">IF(N1140=1,Assumptions!$B$8,IF(N1140=2,Assumptions!$B$9,IF(N1140=3,Assumptions!$B$10,0)))</f>
        <v>0</v>
      </c>
      <c r="P1140" s="6" t="s">
        <v>30</v>
      </c>
      <c r="Q1140" s="6" t="s">
        <v>30</v>
      </c>
      <c r="R1140" s="11" t="s">
        <v>30</v>
      </c>
      <c r="S1140" s="6" t="s">
        <v>30</v>
      </c>
      <c r="T1140" s="11" t="s">
        <v>30</v>
      </c>
      <c r="U1140" s="6" t="s">
        <v>30</v>
      </c>
      <c r="V1140" s="6" t="s">
        <v>30</v>
      </c>
      <c r="W1140" s="6" t="s">
        <v>30</v>
      </c>
      <c r="X1140" s="2" t="s">
        <v>30</v>
      </c>
      <c r="Y1140" s="6" t="str">
        <f aca="false">IF(AND(X1140="processed",ISNUMBER(S1140)),S1140*O1140,"")</f>
        <v/>
      </c>
      <c r="Z1140" s="6" t="n">
        <f aca="false">IF(ISNUMBER(K1140),K1140*O1140,0)</f>
        <v>0</v>
      </c>
      <c r="AA1140" s="2" t="s">
        <v>31</v>
      </c>
      <c r="AB1140" s="6" t="n">
        <v>187</v>
      </c>
      <c r="AC1140" s="6" t="n">
        <v>146</v>
      </c>
      <c r="AD1140" s="6" t="n">
        <v>187</v>
      </c>
      <c r="AE1140" s="6" t="n">
        <v>1813.38696289063</v>
      </c>
      <c r="AF1140" s="8" t="n">
        <v>138.648180243</v>
      </c>
      <c r="AG1140" s="11"/>
      <c r="AH1140" s="12" t="n">
        <v>0.999215595497982</v>
      </c>
      <c r="AI1140" s="2" t="s">
        <v>1597</v>
      </c>
      <c r="AJ1140" s="2"/>
      <c r="AK1140" s="2" t="s">
        <v>2573</v>
      </c>
    </row>
    <row r="1141" customFormat="false" ht="15" hidden="false" customHeight="false" outlineLevel="0" collapsed="false">
      <c r="A1141" s="9"/>
      <c r="B1141" s="2" t="s">
        <v>2574</v>
      </c>
      <c r="C1141" s="2"/>
      <c r="D1141" s="2" t="s">
        <v>1190</v>
      </c>
      <c r="E1141" s="2" t="s">
        <v>1191</v>
      </c>
      <c r="F1141" s="2"/>
      <c r="G1141" s="2" t="s">
        <v>2438</v>
      </c>
      <c r="H1141" s="8" t="n">
        <v>227.1283326375</v>
      </c>
      <c r="I1141" s="2" t="s">
        <v>316</v>
      </c>
      <c r="J1141" s="8" t="n">
        <v>380000</v>
      </c>
      <c r="K1141" s="6" t="n">
        <v>2</v>
      </c>
      <c r="L1141" s="2" t="s">
        <v>1664</v>
      </c>
      <c r="M1141" s="10" t="b">
        <f aca="false">FALSE()</f>
        <v>0</v>
      </c>
      <c r="N1141" s="9" t="str">
        <f aca="false">IF(H1141="","",IF(H1141&gt;=Assumptions!$B$5,1,IF(H1141&gt;=Assumptions!$B$6,2,IF(H1141&gt;=Assumptions!$B$7,3,""))))</f>
        <v/>
      </c>
      <c r="O1141" s="9" t="n">
        <f aca="false">IF(N1141=1,Assumptions!$B$8,IF(N1141=2,Assumptions!$B$9,IF(N1141=3,Assumptions!$B$10,0)))</f>
        <v>0</v>
      </c>
      <c r="P1141" s="6" t="s">
        <v>30</v>
      </c>
      <c r="Q1141" s="6" t="s">
        <v>30</v>
      </c>
      <c r="R1141" s="11" t="s">
        <v>30</v>
      </c>
      <c r="S1141" s="6" t="s">
        <v>30</v>
      </c>
      <c r="T1141" s="11" t="s">
        <v>30</v>
      </c>
      <c r="U1141" s="6" t="s">
        <v>30</v>
      </c>
      <c r="V1141" s="6" t="s">
        <v>30</v>
      </c>
      <c r="W1141" s="6" t="s">
        <v>30</v>
      </c>
      <c r="X1141" s="2" t="s">
        <v>30</v>
      </c>
      <c r="Y1141" s="6" t="str">
        <f aca="false">IF(AND(X1141="processed",ISNUMBER(S1141)),S1141*O1141,"")</f>
        <v/>
      </c>
      <c r="Z1141" s="6" t="n">
        <f aca="false">IF(ISNUMBER(K1141),K1141*O1141,0)</f>
        <v>0</v>
      </c>
      <c r="AA1141" s="2" t="s">
        <v>31</v>
      </c>
      <c r="AB1141" s="6"/>
      <c r="AC1141" s="6"/>
      <c r="AD1141" s="6"/>
      <c r="AE1141" s="6"/>
      <c r="AF1141" s="8" t="n">
        <v>249.487354751</v>
      </c>
      <c r="AG1141" s="11"/>
      <c r="AH1141" s="12"/>
      <c r="AI1141" s="2"/>
      <c r="AJ1141" s="2"/>
      <c r="AK1141" s="2"/>
    </row>
    <row r="1142" customFormat="false" ht="15" hidden="false" customHeight="false" outlineLevel="0" collapsed="false">
      <c r="A1142" s="9"/>
      <c r="B1142" s="2" t="s">
        <v>2575</v>
      </c>
      <c r="C1142" s="2" t="s">
        <v>2563</v>
      </c>
      <c r="D1142" s="2" t="s">
        <v>2437</v>
      </c>
      <c r="E1142" s="2" t="s">
        <v>51</v>
      </c>
      <c r="F1142" s="2" t="s">
        <v>2576</v>
      </c>
      <c r="G1142" s="2" t="s">
        <v>2438</v>
      </c>
      <c r="H1142" s="8" t="n">
        <v>244.489069834547</v>
      </c>
      <c r="I1142" s="2" t="s">
        <v>316</v>
      </c>
      <c r="J1142" s="8" t="n">
        <v>424342.225806452</v>
      </c>
      <c r="K1142" s="6" t="n">
        <v>620</v>
      </c>
      <c r="L1142" s="2"/>
      <c r="M1142" s="10" t="b">
        <f aca="false">TRUE()</f>
        <v>1</v>
      </c>
      <c r="N1142" s="9" t="str">
        <f aca="false">IF(H1142="","",IF(H1142&gt;=Assumptions!$B$5,1,IF(H1142&gt;=Assumptions!$B$6,2,IF(H1142&gt;=Assumptions!$B$7,3,""))))</f>
        <v/>
      </c>
      <c r="O1142" s="9" t="n">
        <f aca="false">IF(N1142=1,Assumptions!$B$8,IF(N1142=2,Assumptions!$B$9,IF(N1142=3,Assumptions!$B$10,0)))</f>
        <v>0</v>
      </c>
      <c r="P1142" s="6" t="s">
        <v>30</v>
      </c>
      <c r="Q1142" s="6" t="s">
        <v>30</v>
      </c>
      <c r="R1142" s="11" t="s">
        <v>30</v>
      </c>
      <c r="S1142" s="6" t="s">
        <v>30</v>
      </c>
      <c r="T1142" s="11" t="s">
        <v>30</v>
      </c>
      <c r="U1142" s="6" t="s">
        <v>30</v>
      </c>
      <c r="V1142" s="6" t="s">
        <v>30</v>
      </c>
      <c r="W1142" s="6" t="s">
        <v>30</v>
      </c>
      <c r="X1142" s="2" t="s">
        <v>30</v>
      </c>
      <c r="Y1142" s="6" t="str">
        <f aca="false">IF(AND(X1142="processed",ISNUMBER(S1142)),S1142*O1142,"")</f>
        <v/>
      </c>
      <c r="Z1142" s="6" t="n">
        <f aca="false">IF(ISNUMBER(K1142),K1142*O1142,0)</f>
        <v>0</v>
      </c>
      <c r="AA1142" s="2" t="s">
        <v>31</v>
      </c>
      <c r="AB1142" s="6" t="n">
        <v>24548</v>
      </c>
      <c r="AC1142" s="6" t="n">
        <v>21508</v>
      </c>
      <c r="AD1142" s="6" t="n">
        <v>9294</v>
      </c>
      <c r="AE1142" s="6" t="n">
        <v>2503.59936523438</v>
      </c>
      <c r="AF1142" s="8" t="n">
        <v>242.277407632</v>
      </c>
      <c r="AG1142" s="11" t="n">
        <v>-0.04176121027</v>
      </c>
      <c r="AH1142" s="12" t="n">
        <v>0.999862410443423</v>
      </c>
      <c r="AI1142" s="2" t="s">
        <v>317</v>
      </c>
      <c r="AJ1142" s="2" t="s">
        <v>2563</v>
      </c>
      <c r="AK1142" s="2" t="s">
        <v>2563</v>
      </c>
    </row>
    <row r="1143" customFormat="false" ht="15" hidden="false" customHeight="false" outlineLevel="0" collapsed="false">
      <c r="A1143" s="9"/>
      <c r="B1143" s="2" t="s">
        <v>2577</v>
      </c>
      <c r="C1143" s="2" t="s">
        <v>2563</v>
      </c>
      <c r="D1143" s="2" t="s">
        <v>2437</v>
      </c>
      <c r="E1143" s="2" t="s">
        <v>51</v>
      </c>
      <c r="F1143" s="2" t="s">
        <v>2578</v>
      </c>
      <c r="G1143" s="2" t="s">
        <v>2438</v>
      </c>
      <c r="H1143" s="8" t="n">
        <v>243.181148221171</v>
      </c>
      <c r="I1143" s="2" t="s">
        <v>316</v>
      </c>
      <c r="J1143" s="8" t="n">
        <v>410393.109243698</v>
      </c>
      <c r="K1143" s="6" t="n">
        <v>357</v>
      </c>
      <c r="L1143" s="2"/>
      <c r="M1143" s="10" t="b">
        <f aca="false">TRUE()</f>
        <v>1</v>
      </c>
      <c r="N1143" s="9" t="str">
        <f aca="false">IF(H1143="","",IF(H1143&gt;=Assumptions!$B$5,1,IF(H1143&gt;=Assumptions!$B$6,2,IF(H1143&gt;=Assumptions!$B$7,3,""))))</f>
        <v/>
      </c>
      <c r="O1143" s="9" t="n">
        <f aca="false">IF(N1143=1,Assumptions!$B$8,IF(N1143=2,Assumptions!$B$9,IF(N1143=3,Assumptions!$B$10,0)))</f>
        <v>0</v>
      </c>
      <c r="P1143" s="6" t="s">
        <v>30</v>
      </c>
      <c r="Q1143" s="6" t="s">
        <v>30</v>
      </c>
      <c r="R1143" s="11" t="s">
        <v>30</v>
      </c>
      <c r="S1143" s="6" t="s">
        <v>30</v>
      </c>
      <c r="T1143" s="11" t="s">
        <v>30</v>
      </c>
      <c r="U1143" s="6" t="s">
        <v>30</v>
      </c>
      <c r="V1143" s="6" t="s">
        <v>30</v>
      </c>
      <c r="W1143" s="6" t="s">
        <v>30</v>
      </c>
      <c r="X1143" s="2" t="s">
        <v>30</v>
      </c>
      <c r="Y1143" s="6" t="str">
        <f aca="false">IF(AND(X1143="processed",ISNUMBER(S1143)),S1143*O1143,"")</f>
        <v/>
      </c>
      <c r="Z1143" s="6" t="n">
        <f aca="false">IF(ISNUMBER(K1143),K1143*O1143,0)</f>
        <v>0</v>
      </c>
      <c r="AA1143" s="2" t="s">
        <v>31</v>
      </c>
      <c r="AB1143" s="6" t="n">
        <v>19338</v>
      </c>
      <c r="AC1143" s="6" t="n">
        <v>16966</v>
      </c>
      <c r="AD1143" s="6" t="n">
        <v>9987</v>
      </c>
      <c r="AE1143" s="6" t="n">
        <v>2489.7822265625</v>
      </c>
      <c r="AF1143" s="8" t="n">
        <v>245.86333207</v>
      </c>
      <c r="AG1143" s="11" t="n">
        <v>0.01762656922</v>
      </c>
      <c r="AH1143" s="12" t="n">
        <v>1</v>
      </c>
      <c r="AI1143" s="2" t="s">
        <v>317</v>
      </c>
      <c r="AJ1143" s="2" t="s">
        <v>2563</v>
      </c>
      <c r="AK1143" s="2" t="s">
        <v>2563</v>
      </c>
    </row>
    <row r="1144" customFormat="false" ht="15" hidden="false" customHeight="false" outlineLevel="0" collapsed="false">
      <c r="A1144" s="9"/>
      <c r="B1144" s="2" t="s">
        <v>2579</v>
      </c>
      <c r="C1144" s="2" t="s">
        <v>2471</v>
      </c>
      <c r="D1144" s="2" t="s">
        <v>2445</v>
      </c>
      <c r="E1144" s="2" t="s">
        <v>51</v>
      </c>
      <c r="F1144" s="2"/>
      <c r="G1144" s="2" t="s">
        <v>2446</v>
      </c>
      <c r="H1144" s="8" t="n">
        <v>244.961539753018</v>
      </c>
      <c r="I1144" s="2" t="s">
        <v>316</v>
      </c>
      <c r="J1144" s="8" t="n">
        <v>385409.090909091</v>
      </c>
      <c r="K1144" s="6" t="n">
        <v>55</v>
      </c>
      <c r="L1144" s="2"/>
      <c r="M1144" s="10" t="b">
        <f aca="false">TRUE()</f>
        <v>1</v>
      </c>
      <c r="N1144" s="9" t="str">
        <f aca="false">IF(H1144="","",IF(H1144&gt;=Assumptions!$B$5,1,IF(H1144&gt;=Assumptions!$B$6,2,IF(H1144&gt;=Assumptions!$B$7,3,""))))</f>
        <v/>
      </c>
      <c r="O1144" s="9" t="n">
        <f aca="false">IF(N1144=1,Assumptions!$B$8,IF(N1144=2,Assumptions!$B$9,IF(N1144=3,Assumptions!$B$10,0)))</f>
        <v>0</v>
      </c>
      <c r="P1144" s="6" t="s">
        <v>30</v>
      </c>
      <c r="Q1144" s="6" t="s">
        <v>30</v>
      </c>
      <c r="R1144" s="11" t="s">
        <v>30</v>
      </c>
      <c r="S1144" s="6" t="s">
        <v>30</v>
      </c>
      <c r="T1144" s="11" t="s">
        <v>30</v>
      </c>
      <c r="U1144" s="6" t="s">
        <v>30</v>
      </c>
      <c r="V1144" s="6" t="s">
        <v>30</v>
      </c>
      <c r="W1144" s="6" t="s">
        <v>30</v>
      </c>
      <c r="X1144" s="2" t="s">
        <v>30</v>
      </c>
      <c r="Y1144" s="6" t="str">
        <f aca="false">IF(AND(X1144="processed",ISNUMBER(S1144)),S1144*O1144,"")</f>
        <v/>
      </c>
      <c r="Z1144" s="6" t="n">
        <f aca="false">IF(ISNUMBER(K1144),K1144*O1144,0)</f>
        <v>0</v>
      </c>
      <c r="AA1144" s="2" t="s">
        <v>31</v>
      </c>
      <c r="AB1144" s="6" t="n">
        <v>6831</v>
      </c>
      <c r="AC1144" s="6" t="n">
        <v>4830</v>
      </c>
      <c r="AD1144" s="6" t="n">
        <v>278</v>
      </c>
      <c r="AE1144" s="6" t="n">
        <v>1830.98791503906</v>
      </c>
      <c r="AF1144" s="8" t="n">
        <v>246.358454718</v>
      </c>
      <c r="AG1144" s="11" t="n">
        <v>0.001325758762</v>
      </c>
      <c r="AH1144" s="12" t="n">
        <v>1</v>
      </c>
      <c r="AI1144" s="2" t="s">
        <v>319</v>
      </c>
      <c r="AJ1144" s="2"/>
      <c r="AK1144" s="2" t="s">
        <v>2471</v>
      </c>
    </row>
    <row r="1145" customFormat="false" ht="15" hidden="false" customHeight="false" outlineLevel="0" collapsed="false">
      <c r="A1145" s="9"/>
      <c r="B1145" s="2" t="s">
        <v>2580</v>
      </c>
      <c r="C1145" s="2" t="s">
        <v>2471</v>
      </c>
      <c r="D1145" s="2" t="s">
        <v>2445</v>
      </c>
      <c r="E1145" s="2" t="s">
        <v>51</v>
      </c>
      <c r="F1145" s="2"/>
      <c r="G1145" s="2" t="s">
        <v>2446</v>
      </c>
      <c r="H1145" s="8" t="n">
        <v>241.417964525166</v>
      </c>
      <c r="I1145" s="2" t="s">
        <v>316</v>
      </c>
      <c r="J1145" s="8" t="n">
        <v>302516.245487365</v>
      </c>
      <c r="K1145" s="6" t="n">
        <v>277</v>
      </c>
      <c r="L1145" s="2"/>
      <c r="M1145" s="10" t="b">
        <f aca="false">TRUE()</f>
        <v>1</v>
      </c>
      <c r="N1145" s="9" t="str">
        <f aca="false">IF(H1145="","",IF(H1145&gt;=Assumptions!$B$5,1,IF(H1145&gt;=Assumptions!$B$6,2,IF(H1145&gt;=Assumptions!$B$7,3,""))))</f>
        <v/>
      </c>
      <c r="O1145" s="9" t="n">
        <f aca="false">IF(N1145=1,Assumptions!$B$8,IF(N1145=2,Assumptions!$B$9,IF(N1145=3,Assumptions!$B$10,0)))</f>
        <v>0</v>
      </c>
      <c r="P1145" s="6" t="s">
        <v>30</v>
      </c>
      <c r="Q1145" s="6" t="s">
        <v>30</v>
      </c>
      <c r="R1145" s="11" t="s">
        <v>30</v>
      </c>
      <c r="S1145" s="6" t="s">
        <v>30</v>
      </c>
      <c r="T1145" s="11" t="s">
        <v>30</v>
      </c>
      <c r="U1145" s="6" t="s">
        <v>30</v>
      </c>
      <c r="V1145" s="6" t="s">
        <v>30</v>
      </c>
      <c r="W1145" s="6" t="s">
        <v>30</v>
      </c>
      <c r="X1145" s="2" t="s">
        <v>30</v>
      </c>
      <c r="Y1145" s="6" t="str">
        <f aca="false">IF(AND(X1145="processed",ISNUMBER(S1145)),S1145*O1145,"")</f>
        <v/>
      </c>
      <c r="Z1145" s="6" t="n">
        <f aca="false">IF(ISNUMBER(K1145),K1145*O1145,0)</f>
        <v>0</v>
      </c>
      <c r="AA1145" s="2" t="s">
        <v>31</v>
      </c>
      <c r="AB1145" s="6" t="n">
        <v>19810</v>
      </c>
      <c r="AC1145" s="6" t="n">
        <v>15341</v>
      </c>
      <c r="AD1145" s="6" t="n">
        <v>633</v>
      </c>
      <c r="AE1145" s="6" t="n">
        <v>1936.77648925781</v>
      </c>
      <c r="AF1145" s="8" t="n">
        <v>236.217041117</v>
      </c>
      <c r="AG1145" s="11" t="n">
        <v>-0.01146747339</v>
      </c>
      <c r="AH1145" s="12" t="n">
        <v>1</v>
      </c>
      <c r="AI1145" s="2" t="s">
        <v>319</v>
      </c>
      <c r="AJ1145" s="2"/>
      <c r="AK1145" s="2" t="s">
        <v>2471</v>
      </c>
    </row>
    <row r="1146" customFormat="false" ht="15" hidden="false" customHeight="false" outlineLevel="0" collapsed="false">
      <c r="A1146" s="9"/>
      <c r="B1146" s="2" t="s">
        <v>2581</v>
      </c>
      <c r="C1146" s="2" t="s">
        <v>2471</v>
      </c>
      <c r="D1146" s="2" t="s">
        <v>2445</v>
      </c>
      <c r="E1146" s="2" t="s">
        <v>51</v>
      </c>
      <c r="F1146" s="2"/>
      <c r="G1146" s="2" t="s">
        <v>2446</v>
      </c>
      <c r="H1146" s="8" t="n">
        <v>229.047025814198</v>
      </c>
      <c r="I1146" s="2" t="s">
        <v>316</v>
      </c>
      <c r="J1146" s="8" t="n">
        <v>287751.269035533</v>
      </c>
      <c r="K1146" s="6" t="n">
        <v>197</v>
      </c>
      <c r="L1146" s="2"/>
      <c r="M1146" s="10" t="b">
        <f aca="false">TRUE()</f>
        <v>1</v>
      </c>
      <c r="N1146" s="9" t="str">
        <f aca="false">IF(H1146="","",IF(H1146&gt;=Assumptions!$B$5,1,IF(H1146&gt;=Assumptions!$B$6,2,IF(H1146&gt;=Assumptions!$B$7,3,""))))</f>
        <v/>
      </c>
      <c r="O1146" s="9" t="n">
        <f aca="false">IF(N1146=1,Assumptions!$B$8,IF(N1146=2,Assumptions!$B$9,IF(N1146=3,Assumptions!$B$10,0)))</f>
        <v>0</v>
      </c>
      <c r="P1146" s="6" t="s">
        <v>30</v>
      </c>
      <c r="Q1146" s="6" t="s">
        <v>30</v>
      </c>
      <c r="R1146" s="11" t="s">
        <v>30</v>
      </c>
      <c r="S1146" s="6" t="s">
        <v>30</v>
      </c>
      <c r="T1146" s="11" t="s">
        <v>30</v>
      </c>
      <c r="U1146" s="6" t="s">
        <v>30</v>
      </c>
      <c r="V1146" s="6" t="s">
        <v>30</v>
      </c>
      <c r="W1146" s="6" t="s">
        <v>30</v>
      </c>
      <c r="X1146" s="2" t="s">
        <v>30</v>
      </c>
      <c r="Y1146" s="6" t="str">
        <f aca="false">IF(AND(X1146="processed",ISNUMBER(S1146)),S1146*O1146,"")</f>
        <v/>
      </c>
      <c r="Z1146" s="6" t="n">
        <f aca="false">IF(ISNUMBER(K1146),K1146*O1146,0)</f>
        <v>0</v>
      </c>
      <c r="AA1146" s="2" t="s">
        <v>31</v>
      </c>
      <c r="AB1146" s="6" t="n">
        <v>15005</v>
      </c>
      <c r="AC1146" s="6" t="n">
        <v>11190</v>
      </c>
      <c r="AD1146" s="6" t="n">
        <v>501</v>
      </c>
      <c r="AE1146" s="6" t="n">
        <v>1648.626953125</v>
      </c>
      <c r="AF1146" s="8" t="n">
        <v>225.153981074</v>
      </c>
      <c r="AG1146" s="11" t="n">
        <v>0.0003764574469</v>
      </c>
      <c r="AH1146" s="12" t="n">
        <v>0.999999999999999</v>
      </c>
      <c r="AI1146" s="2" t="s">
        <v>319</v>
      </c>
      <c r="AJ1146" s="2"/>
      <c r="AK1146" s="2" t="s">
        <v>2471</v>
      </c>
    </row>
    <row r="1147" customFormat="false" ht="15" hidden="false" customHeight="false" outlineLevel="0" collapsed="false">
      <c r="A1147" s="9"/>
      <c r="B1147" s="2" t="s">
        <v>2582</v>
      </c>
      <c r="C1147" s="2" t="s">
        <v>2471</v>
      </c>
      <c r="D1147" s="2" t="s">
        <v>2445</v>
      </c>
      <c r="E1147" s="2" t="s">
        <v>51</v>
      </c>
      <c r="F1147" s="2"/>
      <c r="G1147" s="2" t="s">
        <v>2446</v>
      </c>
      <c r="H1147" s="8" t="n">
        <v>217.251353233684</v>
      </c>
      <c r="I1147" s="2" t="s">
        <v>316</v>
      </c>
      <c r="J1147" s="8" t="n">
        <v>368781.588447654</v>
      </c>
      <c r="K1147" s="6" t="n">
        <v>554</v>
      </c>
      <c r="L1147" s="2"/>
      <c r="M1147" s="10" t="b">
        <f aca="false">TRUE()</f>
        <v>1</v>
      </c>
      <c r="N1147" s="9" t="str">
        <f aca="false">IF(H1147="","",IF(H1147&gt;=Assumptions!$B$5,1,IF(H1147&gt;=Assumptions!$B$6,2,IF(H1147&gt;=Assumptions!$B$7,3,""))))</f>
        <v/>
      </c>
      <c r="O1147" s="9" t="n">
        <f aca="false">IF(N1147=1,Assumptions!$B$8,IF(N1147=2,Assumptions!$B$9,IF(N1147=3,Assumptions!$B$10,0)))</f>
        <v>0</v>
      </c>
      <c r="P1147" s="6" t="s">
        <v>30</v>
      </c>
      <c r="Q1147" s="6" t="s">
        <v>30</v>
      </c>
      <c r="R1147" s="11" t="s">
        <v>30</v>
      </c>
      <c r="S1147" s="6" t="s">
        <v>30</v>
      </c>
      <c r="T1147" s="11" t="s">
        <v>30</v>
      </c>
      <c r="U1147" s="6" t="s">
        <v>30</v>
      </c>
      <c r="V1147" s="6" t="s">
        <v>30</v>
      </c>
      <c r="W1147" s="6" t="s">
        <v>30</v>
      </c>
      <c r="X1147" s="2" t="s">
        <v>30</v>
      </c>
      <c r="Y1147" s="6" t="str">
        <f aca="false">IF(AND(X1147="processed",ISNUMBER(S1147)),S1147*O1147,"")</f>
        <v/>
      </c>
      <c r="Z1147" s="6" t="n">
        <f aca="false">IF(ISNUMBER(K1147),K1147*O1147,0)</f>
        <v>0</v>
      </c>
      <c r="AA1147" s="2" t="s">
        <v>31</v>
      </c>
      <c r="AB1147" s="6" t="n">
        <v>26979</v>
      </c>
      <c r="AC1147" s="6" t="n">
        <v>23016</v>
      </c>
      <c r="AD1147" s="6" t="n">
        <v>1994</v>
      </c>
      <c r="AE1147" s="6" t="n">
        <v>2415.4013671875</v>
      </c>
      <c r="AF1147" s="8" t="n">
        <v>217.803030303</v>
      </c>
      <c r="AG1147" s="11" t="n">
        <v>0.01034599729</v>
      </c>
      <c r="AH1147" s="12" t="n">
        <v>1</v>
      </c>
      <c r="AI1147" s="2" t="s">
        <v>319</v>
      </c>
      <c r="AJ1147" s="2"/>
      <c r="AK1147" s="2" t="s">
        <v>2471</v>
      </c>
    </row>
    <row r="1148" customFormat="false" ht="15" hidden="false" customHeight="false" outlineLevel="0" collapsed="false">
      <c r="A1148" s="9"/>
      <c r="B1148" s="2" t="s">
        <v>2583</v>
      </c>
      <c r="C1148" s="2" t="s">
        <v>2471</v>
      </c>
      <c r="D1148" s="2" t="s">
        <v>2445</v>
      </c>
      <c r="E1148" s="2" t="s">
        <v>51</v>
      </c>
      <c r="F1148" s="2"/>
      <c r="G1148" s="2" t="s">
        <v>2446</v>
      </c>
      <c r="H1148" s="8" t="n">
        <v>246.345335833332</v>
      </c>
      <c r="I1148" s="2" t="s">
        <v>316</v>
      </c>
      <c r="J1148" s="8" t="n">
        <v>342966.139954853</v>
      </c>
      <c r="K1148" s="6" t="n">
        <v>443</v>
      </c>
      <c r="L1148" s="2"/>
      <c r="M1148" s="10" t="b">
        <f aca="false">TRUE()</f>
        <v>1</v>
      </c>
      <c r="N1148" s="9" t="str">
        <f aca="false">IF(H1148="","",IF(H1148&gt;=Assumptions!$B$5,1,IF(H1148&gt;=Assumptions!$B$6,2,IF(H1148&gt;=Assumptions!$B$7,3,""))))</f>
        <v/>
      </c>
      <c r="O1148" s="9" t="n">
        <f aca="false">IF(N1148=1,Assumptions!$B$8,IF(N1148=2,Assumptions!$B$9,IF(N1148=3,Assumptions!$B$10,0)))</f>
        <v>0</v>
      </c>
      <c r="P1148" s="6" t="s">
        <v>30</v>
      </c>
      <c r="Q1148" s="6" t="s">
        <v>30</v>
      </c>
      <c r="R1148" s="11" t="s">
        <v>30</v>
      </c>
      <c r="S1148" s="6" t="s">
        <v>30</v>
      </c>
      <c r="T1148" s="11" t="s">
        <v>30</v>
      </c>
      <c r="U1148" s="6" t="s">
        <v>30</v>
      </c>
      <c r="V1148" s="6" t="s">
        <v>30</v>
      </c>
      <c r="W1148" s="6" t="s">
        <v>30</v>
      </c>
      <c r="X1148" s="2" t="s">
        <v>30</v>
      </c>
      <c r="Y1148" s="6" t="str">
        <f aca="false">IF(AND(X1148="processed",ISNUMBER(S1148)),S1148*O1148,"")</f>
        <v/>
      </c>
      <c r="Z1148" s="6" t="n">
        <f aca="false">IF(ISNUMBER(K1148),K1148*O1148,0)</f>
        <v>0</v>
      </c>
      <c r="AA1148" s="2" t="s">
        <v>31</v>
      </c>
      <c r="AB1148" s="6" t="n">
        <v>36304</v>
      </c>
      <c r="AC1148" s="6" t="n">
        <v>27877</v>
      </c>
      <c r="AD1148" s="6" t="n">
        <v>5194</v>
      </c>
      <c r="AE1148" s="6" t="n">
        <v>1994.21142578125</v>
      </c>
      <c r="AF1148" s="8" t="n">
        <v>252.659574468</v>
      </c>
      <c r="AG1148" s="11" t="n">
        <v>0.01873161837</v>
      </c>
      <c r="AH1148" s="12" t="n">
        <v>1</v>
      </c>
      <c r="AI1148" s="2" t="s">
        <v>319</v>
      </c>
      <c r="AJ1148" s="2"/>
      <c r="AK1148" s="2" t="s">
        <v>2471</v>
      </c>
    </row>
    <row r="1149" customFormat="false" ht="15" hidden="false" customHeight="false" outlineLevel="0" collapsed="false">
      <c r="A1149" s="9"/>
      <c r="B1149" s="2" t="s">
        <v>2584</v>
      </c>
      <c r="C1149" s="2" t="s">
        <v>2471</v>
      </c>
      <c r="D1149" s="2" t="s">
        <v>2445</v>
      </c>
      <c r="E1149" s="2" t="s">
        <v>51</v>
      </c>
      <c r="F1149" s="2"/>
      <c r="G1149" s="2" t="s">
        <v>2446</v>
      </c>
      <c r="H1149" s="8" t="n">
        <v>239.326249317813</v>
      </c>
      <c r="I1149" s="2" t="s">
        <v>316</v>
      </c>
      <c r="J1149" s="8" t="n">
        <v>338055.449330784</v>
      </c>
      <c r="K1149" s="6" t="n">
        <v>523</v>
      </c>
      <c r="L1149" s="2"/>
      <c r="M1149" s="10" t="b">
        <f aca="false">TRUE()</f>
        <v>1</v>
      </c>
      <c r="N1149" s="9" t="str">
        <f aca="false">IF(H1149="","",IF(H1149&gt;=Assumptions!$B$5,1,IF(H1149&gt;=Assumptions!$B$6,2,IF(H1149&gt;=Assumptions!$B$7,3,""))))</f>
        <v/>
      </c>
      <c r="O1149" s="9" t="n">
        <f aca="false">IF(N1149=1,Assumptions!$B$8,IF(N1149=2,Assumptions!$B$9,IF(N1149=3,Assumptions!$B$10,0)))</f>
        <v>0</v>
      </c>
      <c r="P1149" s="6" t="s">
        <v>30</v>
      </c>
      <c r="Q1149" s="6" t="s">
        <v>30</v>
      </c>
      <c r="R1149" s="11" t="s">
        <v>30</v>
      </c>
      <c r="S1149" s="6" t="s">
        <v>30</v>
      </c>
      <c r="T1149" s="11" t="s">
        <v>30</v>
      </c>
      <c r="U1149" s="6" t="s">
        <v>30</v>
      </c>
      <c r="V1149" s="6" t="s">
        <v>30</v>
      </c>
      <c r="W1149" s="6" t="s">
        <v>30</v>
      </c>
      <c r="X1149" s="2" t="s">
        <v>30</v>
      </c>
      <c r="Y1149" s="6" t="str">
        <f aca="false">IF(AND(X1149="processed",ISNUMBER(S1149)),S1149*O1149,"")</f>
        <v/>
      </c>
      <c r="Z1149" s="6" t="n">
        <f aca="false">IF(ISNUMBER(K1149),K1149*O1149,0)</f>
        <v>0</v>
      </c>
      <c r="AA1149" s="2" t="s">
        <v>31</v>
      </c>
      <c r="AB1149" s="6" t="n">
        <v>27869</v>
      </c>
      <c r="AC1149" s="6" t="n">
        <v>21542</v>
      </c>
      <c r="AD1149" s="6" t="n">
        <v>3123</v>
      </c>
      <c r="AE1149" s="6" t="n">
        <v>2108.38500976563</v>
      </c>
      <c r="AF1149" s="8" t="n">
        <v>239.743426572</v>
      </c>
      <c r="AG1149" s="11" t="n">
        <v>-0.01333556359</v>
      </c>
      <c r="AH1149" s="12" t="n">
        <v>0.999999999999999</v>
      </c>
      <c r="AI1149" s="2" t="s">
        <v>319</v>
      </c>
      <c r="AJ1149" s="2"/>
      <c r="AK1149" s="2" t="s">
        <v>2471</v>
      </c>
    </row>
    <row r="1150" customFormat="false" ht="15" hidden="false" customHeight="false" outlineLevel="0" collapsed="false">
      <c r="A1150" s="9"/>
      <c r="B1150" s="2" t="s">
        <v>2585</v>
      </c>
      <c r="C1150" s="2" t="s">
        <v>2471</v>
      </c>
      <c r="D1150" s="2" t="s">
        <v>2445</v>
      </c>
      <c r="E1150" s="2" t="s">
        <v>51</v>
      </c>
      <c r="F1150" s="2"/>
      <c r="G1150" s="2" t="s">
        <v>2446</v>
      </c>
      <c r="H1150" s="8" t="n">
        <v>229.775239705684</v>
      </c>
      <c r="I1150" s="2" t="s">
        <v>316</v>
      </c>
      <c r="J1150" s="8" t="n">
        <v>364924.242424242</v>
      </c>
      <c r="K1150" s="6" t="n">
        <v>396</v>
      </c>
      <c r="L1150" s="2"/>
      <c r="M1150" s="10" t="b">
        <f aca="false">TRUE()</f>
        <v>1</v>
      </c>
      <c r="N1150" s="9" t="str">
        <f aca="false">IF(H1150="","",IF(H1150&gt;=Assumptions!$B$5,1,IF(H1150&gt;=Assumptions!$B$6,2,IF(H1150&gt;=Assumptions!$B$7,3,""))))</f>
        <v/>
      </c>
      <c r="O1150" s="9" t="n">
        <f aca="false">IF(N1150=1,Assumptions!$B$8,IF(N1150=2,Assumptions!$B$9,IF(N1150=3,Assumptions!$B$10,0)))</f>
        <v>0</v>
      </c>
      <c r="P1150" s="6" t="s">
        <v>30</v>
      </c>
      <c r="Q1150" s="6" t="s">
        <v>30</v>
      </c>
      <c r="R1150" s="11" t="s">
        <v>30</v>
      </c>
      <c r="S1150" s="6" t="s">
        <v>30</v>
      </c>
      <c r="T1150" s="11" t="s">
        <v>30</v>
      </c>
      <c r="U1150" s="6" t="s">
        <v>30</v>
      </c>
      <c r="V1150" s="6" t="s">
        <v>30</v>
      </c>
      <c r="W1150" s="6" t="s">
        <v>30</v>
      </c>
      <c r="X1150" s="2" t="s">
        <v>30</v>
      </c>
      <c r="Y1150" s="6" t="str">
        <f aca="false">IF(AND(X1150="processed",ISNUMBER(S1150)),S1150*O1150,"")</f>
        <v/>
      </c>
      <c r="Z1150" s="6" t="n">
        <f aca="false">IF(ISNUMBER(K1150),K1150*O1150,0)</f>
        <v>0</v>
      </c>
      <c r="AA1150" s="2" t="s">
        <v>31</v>
      </c>
      <c r="AB1150" s="6" t="n">
        <v>17858</v>
      </c>
      <c r="AC1150" s="6" t="n">
        <v>15831</v>
      </c>
      <c r="AD1150" s="6" t="n">
        <v>275</v>
      </c>
      <c r="AE1150" s="6" t="n">
        <v>2694.7490234375</v>
      </c>
      <c r="AF1150" s="8" t="n">
        <v>230.193236715</v>
      </c>
      <c r="AG1150" s="11" t="n">
        <v>-0.0162520421</v>
      </c>
      <c r="AH1150" s="12" t="n">
        <v>1</v>
      </c>
      <c r="AI1150" s="2" t="s">
        <v>319</v>
      </c>
      <c r="AJ1150" s="2"/>
      <c r="AK1150" s="2" t="s">
        <v>2471</v>
      </c>
    </row>
    <row r="1151" customFormat="false" ht="15" hidden="false" customHeight="false" outlineLevel="0" collapsed="false">
      <c r="A1151" s="9"/>
      <c r="B1151" s="2" t="s">
        <v>2586</v>
      </c>
      <c r="C1151" s="2" t="s">
        <v>2471</v>
      </c>
      <c r="D1151" s="2" t="s">
        <v>2445</v>
      </c>
      <c r="E1151" s="2" t="s">
        <v>51</v>
      </c>
      <c r="F1151" s="2"/>
      <c r="G1151" s="2" t="s">
        <v>2446</v>
      </c>
      <c r="H1151" s="8" t="n">
        <v>241.83235246795</v>
      </c>
      <c r="I1151" s="2" t="s">
        <v>316</v>
      </c>
      <c r="J1151" s="8" t="n">
        <v>485217.391304348</v>
      </c>
      <c r="K1151" s="6" t="n">
        <v>621</v>
      </c>
      <c r="L1151" s="2"/>
      <c r="M1151" s="10" t="b">
        <f aca="false">TRUE()</f>
        <v>1</v>
      </c>
      <c r="N1151" s="9" t="str">
        <f aca="false">IF(H1151="","",IF(H1151&gt;=Assumptions!$B$5,1,IF(H1151&gt;=Assumptions!$B$6,2,IF(H1151&gt;=Assumptions!$B$7,3,""))))</f>
        <v/>
      </c>
      <c r="O1151" s="9" t="n">
        <f aca="false">IF(N1151=1,Assumptions!$B$8,IF(N1151=2,Assumptions!$B$9,IF(N1151=3,Assumptions!$B$10,0)))</f>
        <v>0</v>
      </c>
      <c r="P1151" s="6" t="s">
        <v>30</v>
      </c>
      <c r="Q1151" s="6" t="s">
        <v>30</v>
      </c>
      <c r="R1151" s="11" t="s">
        <v>30</v>
      </c>
      <c r="S1151" s="6" t="s">
        <v>30</v>
      </c>
      <c r="T1151" s="11" t="s">
        <v>30</v>
      </c>
      <c r="U1151" s="6" t="s">
        <v>30</v>
      </c>
      <c r="V1151" s="6" t="s">
        <v>30</v>
      </c>
      <c r="W1151" s="6" t="s">
        <v>30</v>
      </c>
      <c r="X1151" s="2" t="s">
        <v>30</v>
      </c>
      <c r="Y1151" s="6" t="str">
        <f aca="false">IF(AND(X1151="processed",ISNUMBER(S1151)),S1151*O1151,"")</f>
        <v/>
      </c>
      <c r="Z1151" s="6" t="n">
        <f aca="false">IF(ISNUMBER(K1151),K1151*O1151,0)</f>
        <v>0</v>
      </c>
      <c r="AA1151" s="2" t="s">
        <v>31</v>
      </c>
      <c r="AB1151" s="6" t="n">
        <v>18905</v>
      </c>
      <c r="AC1151" s="6" t="n">
        <v>17133</v>
      </c>
      <c r="AD1151" s="6" t="n">
        <v>1857</v>
      </c>
      <c r="AE1151" s="6" t="n">
        <v>2904.73071289063</v>
      </c>
      <c r="AF1151" s="8" t="n">
        <v>236.743411381</v>
      </c>
      <c r="AG1151" s="11" t="n">
        <v>-0.01524306256</v>
      </c>
      <c r="AH1151" s="12" t="n">
        <v>0.999999999999999</v>
      </c>
      <c r="AI1151" s="2" t="s">
        <v>319</v>
      </c>
      <c r="AJ1151" s="2"/>
      <c r="AK1151" s="2" t="s">
        <v>2471</v>
      </c>
    </row>
    <row r="1152" customFormat="false" ht="15" hidden="false" customHeight="false" outlineLevel="0" collapsed="false">
      <c r="A1152" s="9"/>
      <c r="B1152" s="2" t="s">
        <v>2587</v>
      </c>
      <c r="C1152" s="2" t="s">
        <v>2471</v>
      </c>
      <c r="D1152" s="2" t="s">
        <v>2445</v>
      </c>
      <c r="E1152" s="2" t="s">
        <v>51</v>
      </c>
      <c r="F1152" s="2" t="s">
        <v>2588</v>
      </c>
      <c r="G1152" s="2" t="s">
        <v>2446</v>
      </c>
      <c r="H1152" s="8" t="n">
        <v>245.088419507271</v>
      </c>
      <c r="I1152" s="2" t="s">
        <v>316</v>
      </c>
      <c r="J1152" s="8" t="n">
        <v>451966.071428571</v>
      </c>
      <c r="K1152" s="6" t="n">
        <v>560</v>
      </c>
      <c r="L1152" s="2"/>
      <c r="M1152" s="10" t="b">
        <f aca="false">TRUE()</f>
        <v>1</v>
      </c>
      <c r="N1152" s="9" t="str">
        <f aca="false">IF(H1152="","",IF(H1152&gt;=Assumptions!$B$5,1,IF(H1152&gt;=Assumptions!$B$6,2,IF(H1152&gt;=Assumptions!$B$7,3,""))))</f>
        <v/>
      </c>
      <c r="O1152" s="9" t="n">
        <f aca="false">IF(N1152=1,Assumptions!$B$8,IF(N1152=2,Assumptions!$B$9,IF(N1152=3,Assumptions!$B$10,0)))</f>
        <v>0</v>
      </c>
      <c r="P1152" s="6" t="s">
        <v>30</v>
      </c>
      <c r="Q1152" s="6" t="s">
        <v>30</v>
      </c>
      <c r="R1152" s="11" t="s">
        <v>30</v>
      </c>
      <c r="S1152" s="6" t="s">
        <v>30</v>
      </c>
      <c r="T1152" s="11" t="s">
        <v>30</v>
      </c>
      <c r="U1152" s="6" t="s">
        <v>30</v>
      </c>
      <c r="V1152" s="6" t="s">
        <v>30</v>
      </c>
      <c r="W1152" s="6" t="s">
        <v>30</v>
      </c>
      <c r="X1152" s="2" t="s">
        <v>30</v>
      </c>
      <c r="Y1152" s="6" t="str">
        <f aca="false">IF(AND(X1152="processed",ISNUMBER(S1152)),S1152*O1152,"")</f>
        <v/>
      </c>
      <c r="Z1152" s="6" t="n">
        <f aca="false">IF(ISNUMBER(K1152),K1152*O1152,0)</f>
        <v>0</v>
      </c>
      <c r="AA1152" s="2" t="s">
        <v>31</v>
      </c>
      <c r="AB1152" s="6" t="n">
        <v>23207</v>
      </c>
      <c r="AC1152" s="6" t="n">
        <v>20712</v>
      </c>
      <c r="AD1152" s="6" t="n">
        <v>464</v>
      </c>
      <c r="AE1152" s="6" t="n">
        <v>2860.42724609375</v>
      </c>
      <c r="AF1152" s="8" t="n">
        <v>247.217006757</v>
      </c>
      <c r="AG1152" s="11" t="n">
        <v>-0.006737003962</v>
      </c>
      <c r="AH1152" s="12" t="n">
        <v>0.999999999999998</v>
      </c>
      <c r="AI1152" s="2" t="s">
        <v>319</v>
      </c>
      <c r="AJ1152" s="2"/>
      <c r="AK1152" s="2" t="s">
        <v>2471</v>
      </c>
    </row>
    <row r="1153" customFormat="false" ht="15" hidden="false" customHeight="false" outlineLevel="0" collapsed="false">
      <c r="A1153" s="9"/>
      <c r="B1153" s="2" t="s">
        <v>2589</v>
      </c>
      <c r="C1153" s="2" t="s">
        <v>2471</v>
      </c>
      <c r="D1153" s="2" t="s">
        <v>2445</v>
      </c>
      <c r="E1153" s="2" t="s">
        <v>51</v>
      </c>
      <c r="F1153" s="2"/>
      <c r="G1153" s="2" t="s">
        <v>2446</v>
      </c>
      <c r="H1153" s="8" t="n">
        <v>232.543909339557</v>
      </c>
      <c r="I1153" s="2" t="s">
        <v>316</v>
      </c>
      <c r="J1153" s="8" t="n">
        <v>424679.833679834</v>
      </c>
      <c r="K1153" s="6" t="n">
        <v>481</v>
      </c>
      <c r="L1153" s="2"/>
      <c r="M1153" s="10" t="b">
        <f aca="false">TRUE()</f>
        <v>1</v>
      </c>
      <c r="N1153" s="9" t="str">
        <f aca="false">IF(H1153="","",IF(H1153&gt;=Assumptions!$B$5,1,IF(H1153&gt;=Assumptions!$B$6,2,IF(H1153&gt;=Assumptions!$B$7,3,""))))</f>
        <v/>
      </c>
      <c r="O1153" s="9" t="n">
        <f aca="false">IF(N1153=1,Assumptions!$B$8,IF(N1153=2,Assumptions!$B$9,IF(N1153=3,Assumptions!$B$10,0)))</f>
        <v>0</v>
      </c>
      <c r="P1153" s="6" t="s">
        <v>30</v>
      </c>
      <c r="Q1153" s="6" t="s">
        <v>30</v>
      </c>
      <c r="R1153" s="11" t="s">
        <v>30</v>
      </c>
      <c r="S1153" s="6" t="s">
        <v>30</v>
      </c>
      <c r="T1153" s="11" t="s">
        <v>30</v>
      </c>
      <c r="U1153" s="6" t="s">
        <v>30</v>
      </c>
      <c r="V1153" s="6" t="s">
        <v>30</v>
      </c>
      <c r="W1153" s="6" t="s">
        <v>30</v>
      </c>
      <c r="X1153" s="2" t="s">
        <v>30</v>
      </c>
      <c r="Y1153" s="6" t="str">
        <f aca="false">IF(AND(X1153="processed",ISNUMBER(S1153)),S1153*O1153,"")</f>
        <v/>
      </c>
      <c r="Z1153" s="6" t="n">
        <f aca="false">IF(ISNUMBER(K1153),K1153*O1153,0)</f>
        <v>0</v>
      </c>
      <c r="AA1153" s="2" t="s">
        <v>31</v>
      </c>
      <c r="AB1153" s="6" t="n">
        <v>20097</v>
      </c>
      <c r="AC1153" s="6" t="n">
        <v>18399</v>
      </c>
      <c r="AD1153" s="6" t="n">
        <v>2538</v>
      </c>
      <c r="AE1153" s="6" t="n">
        <v>2548.80419921875</v>
      </c>
      <c r="AF1153" s="8" t="n">
        <v>237.933378654</v>
      </c>
      <c r="AG1153" s="11" t="n">
        <v>0.0002074171653</v>
      </c>
      <c r="AH1153" s="12" t="n">
        <v>1</v>
      </c>
      <c r="AI1153" s="2" t="s">
        <v>319</v>
      </c>
      <c r="AJ1153" s="2"/>
      <c r="AK1153" s="2" t="s">
        <v>2471</v>
      </c>
    </row>
    <row r="1154" customFormat="false" ht="15" hidden="false" customHeight="false" outlineLevel="0" collapsed="false">
      <c r="A1154" s="9"/>
      <c r="B1154" s="2" t="s">
        <v>2590</v>
      </c>
      <c r="C1154" s="2" t="s">
        <v>2471</v>
      </c>
      <c r="D1154" s="2" t="s">
        <v>2445</v>
      </c>
      <c r="E1154" s="2" t="s">
        <v>51</v>
      </c>
      <c r="F1154" s="2"/>
      <c r="G1154" s="2" t="s">
        <v>2446</v>
      </c>
      <c r="H1154" s="8" t="n">
        <v>248.215134373931</v>
      </c>
      <c r="I1154" s="2" t="s">
        <v>316</v>
      </c>
      <c r="J1154" s="8" t="n">
        <v>563914.988814318</v>
      </c>
      <c r="K1154" s="6" t="n">
        <v>447</v>
      </c>
      <c r="L1154" s="2"/>
      <c r="M1154" s="10" t="b">
        <f aca="false">TRUE()</f>
        <v>1</v>
      </c>
      <c r="N1154" s="9" t="str">
        <f aca="false">IF(H1154="","",IF(H1154&gt;=Assumptions!$B$5,1,IF(H1154&gt;=Assumptions!$B$6,2,IF(H1154&gt;=Assumptions!$B$7,3,""))))</f>
        <v/>
      </c>
      <c r="O1154" s="9" t="n">
        <f aca="false">IF(N1154=1,Assumptions!$B$8,IF(N1154=2,Assumptions!$B$9,IF(N1154=3,Assumptions!$B$10,0)))</f>
        <v>0</v>
      </c>
      <c r="P1154" s="6" t="s">
        <v>30</v>
      </c>
      <c r="Q1154" s="6" t="s">
        <v>30</v>
      </c>
      <c r="R1154" s="11" t="s">
        <v>30</v>
      </c>
      <c r="S1154" s="6" t="s">
        <v>30</v>
      </c>
      <c r="T1154" s="11" t="s">
        <v>30</v>
      </c>
      <c r="U1154" s="6" t="s">
        <v>30</v>
      </c>
      <c r="V1154" s="6" t="s">
        <v>30</v>
      </c>
      <c r="W1154" s="6" t="s">
        <v>30</v>
      </c>
      <c r="X1154" s="2" t="s">
        <v>30</v>
      </c>
      <c r="Y1154" s="6" t="str">
        <f aca="false">IF(AND(X1154="processed",ISNUMBER(S1154)),S1154*O1154,"")</f>
        <v/>
      </c>
      <c r="Z1154" s="6" t="n">
        <f aca="false">IF(ISNUMBER(K1154),K1154*O1154,0)</f>
        <v>0</v>
      </c>
      <c r="AA1154" s="2" t="s">
        <v>31</v>
      </c>
      <c r="AB1154" s="6" t="n">
        <v>18545</v>
      </c>
      <c r="AC1154" s="6" t="n">
        <v>15365</v>
      </c>
      <c r="AD1154" s="6" t="n">
        <v>2262</v>
      </c>
      <c r="AE1154" s="6" t="n">
        <v>3059.970703125</v>
      </c>
      <c r="AF1154" s="8" t="n">
        <v>254.867256637</v>
      </c>
      <c r="AG1154" s="11" t="n">
        <v>-0.002379424371</v>
      </c>
      <c r="AH1154" s="12" t="n">
        <v>1</v>
      </c>
      <c r="AI1154" s="2" t="s">
        <v>319</v>
      </c>
      <c r="AJ1154" s="2"/>
      <c r="AK1154" s="2" t="s">
        <v>2471</v>
      </c>
    </row>
    <row r="1155" customFormat="false" ht="15" hidden="false" customHeight="false" outlineLevel="0" collapsed="false">
      <c r="A1155" s="9"/>
      <c r="B1155" s="2" t="s">
        <v>2591</v>
      </c>
      <c r="C1155" s="2"/>
      <c r="D1155" s="2" t="s">
        <v>1190</v>
      </c>
      <c r="E1155" s="2" t="s">
        <v>1191</v>
      </c>
      <c r="F1155" s="2"/>
      <c r="G1155" s="2" t="s">
        <v>2446</v>
      </c>
      <c r="H1155" s="8" t="n">
        <v>247.678018576</v>
      </c>
      <c r="I1155" s="2" t="s">
        <v>316</v>
      </c>
      <c r="J1155" s="8" t="n">
        <v>320000</v>
      </c>
      <c r="K1155" s="6" t="n">
        <v>2</v>
      </c>
      <c r="L1155" s="2" t="s">
        <v>1664</v>
      </c>
      <c r="M1155" s="10" t="b">
        <f aca="false">FALSE()</f>
        <v>0</v>
      </c>
      <c r="N1155" s="9" t="str">
        <f aca="false">IF(H1155="","",IF(H1155&gt;=Assumptions!$B$5,1,IF(H1155&gt;=Assumptions!$B$6,2,IF(H1155&gt;=Assumptions!$B$7,3,""))))</f>
        <v/>
      </c>
      <c r="O1155" s="9" t="n">
        <f aca="false">IF(N1155=1,Assumptions!$B$8,IF(N1155=2,Assumptions!$B$9,IF(N1155=3,Assumptions!$B$10,0)))</f>
        <v>0</v>
      </c>
      <c r="P1155" s="6" t="s">
        <v>30</v>
      </c>
      <c r="Q1155" s="6" t="s">
        <v>30</v>
      </c>
      <c r="R1155" s="11" t="s">
        <v>30</v>
      </c>
      <c r="S1155" s="6" t="s">
        <v>30</v>
      </c>
      <c r="T1155" s="11" t="s">
        <v>30</v>
      </c>
      <c r="U1155" s="6" t="s">
        <v>30</v>
      </c>
      <c r="V1155" s="6" t="s">
        <v>30</v>
      </c>
      <c r="W1155" s="6" t="s">
        <v>30</v>
      </c>
      <c r="X1155" s="2" t="s">
        <v>30</v>
      </c>
      <c r="Y1155" s="6" t="str">
        <f aca="false">IF(AND(X1155="processed",ISNUMBER(S1155)),S1155*O1155,"")</f>
        <v/>
      </c>
      <c r="Z1155" s="6" t="n">
        <f aca="false">IF(ISNUMBER(K1155),K1155*O1155,0)</f>
        <v>0</v>
      </c>
      <c r="AA1155" s="2" t="s">
        <v>31</v>
      </c>
      <c r="AB1155" s="6"/>
      <c r="AC1155" s="6"/>
      <c r="AD1155" s="6"/>
      <c r="AE1155" s="6"/>
      <c r="AF1155" s="8" t="n">
        <v>228.328173375</v>
      </c>
      <c r="AG1155" s="11"/>
      <c r="AH1155" s="12"/>
      <c r="AI1155" s="2"/>
      <c r="AJ1155" s="2"/>
      <c r="AK1155" s="2"/>
    </row>
    <row r="1156" customFormat="false" ht="15" hidden="false" customHeight="false" outlineLevel="0" collapsed="false">
      <c r="A1156" s="9"/>
      <c r="B1156" s="2" t="s">
        <v>2592</v>
      </c>
      <c r="C1156" s="2"/>
      <c r="D1156" s="2" t="s">
        <v>1190</v>
      </c>
      <c r="E1156" s="2" t="s">
        <v>1191</v>
      </c>
      <c r="F1156" s="2"/>
      <c r="G1156" s="2" t="s">
        <v>2446</v>
      </c>
      <c r="H1156" s="8" t="n">
        <v>206.771762988</v>
      </c>
      <c r="I1156" s="2" t="s">
        <v>316</v>
      </c>
      <c r="J1156" s="8" t="n">
        <v>331000</v>
      </c>
      <c r="K1156" s="6" t="n">
        <v>3</v>
      </c>
      <c r="L1156" s="2" t="s">
        <v>1664</v>
      </c>
      <c r="M1156" s="10" t="b">
        <f aca="false">FALSE()</f>
        <v>0</v>
      </c>
      <c r="N1156" s="9" t="str">
        <f aca="false">IF(H1156="","",IF(H1156&gt;=Assumptions!$B$5,1,IF(H1156&gt;=Assumptions!$B$6,2,IF(H1156&gt;=Assumptions!$B$7,3,""))))</f>
        <v/>
      </c>
      <c r="O1156" s="9" t="n">
        <f aca="false">IF(N1156=1,Assumptions!$B$8,IF(N1156=2,Assumptions!$B$9,IF(N1156=3,Assumptions!$B$10,0)))</f>
        <v>0</v>
      </c>
      <c r="P1156" s="6" t="s">
        <v>30</v>
      </c>
      <c r="Q1156" s="6" t="s">
        <v>30</v>
      </c>
      <c r="R1156" s="11" t="s">
        <v>30</v>
      </c>
      <c r="S1156" s="6" t="s">
        <v>30</v>
      </c>
      <c r="T1156" s="11" t="s">
        <v>30</v>
      </c>
      <c r="U1156" s="6" t="s">
        <v>30</v>
      </c>
      <c r="V1156" s="6" t="s">
        <v>30</v>
      </c>
      <c r="W1156" s="6" t="s">
        <v>30</v>
      </c>
      <c r="X1156" s="2" t="s">
        <v>30</v>
      </c>
      <c r="Y1156" s="6" t="str">
        <f aca="false">IF(AND(X1156="processed",ISNUMBER(S1156)),S1156*O1156,"")</f>
        <v/>
      </c>
      <c r="Z1156" s="6" t="n">
        <f aca="false">IF(ISNUMBER(K1156),K1156*O1156,0)</f>
        <v>0</v>
      </c>
      <c r="AA1156" s="2" t="s">
        <v>31</v>
      </c>
      <c r="AB1156" s="6"/>
      <c r="AC1156" s="6"/>
      <c r="AD1156" s="6"/>
      <c r="AE1156" s="6"/>
      <c r="AF1156" s="8" t="n">
        <v>193.511667615</v>
      </c>
      <c r="AG1156" s="11"/>
      <c r="AH1156" s="12"/>
      <c r="AI1156" s="2"/>
      <c r="AJ1156" s="2"/>
      <c r="AK1156" s="2"/>
    </row>
    <row r="1157" customFormat="false" ht="15" hidden="false" customHeight="false" outlineLevel="0" collapsed="false">
      <c r="A1157" s="9"/>
      <c r="B1157" s="2" t="s">
        <v>2593</v>
      </c>
      <c r="C1157" s="2" t="s">
        <v>595</v>
      </c>
      <c r="D1157" s="2" t="s">
        <v>595</v>
      </c>
      <c r="E1157" s="2" t="s">
        <v>51</v>
      </c>
      <c r="F1157" s="2" t="s">
        <v>2594</v>
      </c>
      <c r="G1157" s="2"/>
      <c r="H1157" s="8"/>
      <c r="I1157" s="2"/>
      <c r="J1157" s="8"/>
      <c r="K1157" s="6"/>
      <c r="L1157" s="2"/>
      <c r="M1157" s="10" t="b">
        <f aca="false">TRUE()</f>
        <v>1</v>
      </c>
      <c r="N1157" s="9" t="str">
        <f aca="false">IF(H1157="","",IF(H1157&gt;=Assumptions!$B$5,1,IF(H1157&gt;=Assumptions!$B$6,2,IF(H1157&gt;=Assumptions!$B$7,3,""))))</f>
        <v/>
      </c>
      <c r="O1157" s="9" t="n">
        <f aca="false">IF(N1157=1,Assumptions!$B$8,IF(N1157=2,Assumptions!$B$9,IF(N1157=3,Assumptions!$B$10,0)))</f>
        <v>0</v>
      </c>
      <c r="P1157" s="6" t="s">
        <v>30</v>
      </c>
      <c r="Q1157" s="6" t="s">
        <v>30</v>
      </c>
      <c r="R1157" s="11" t="s">
        <v>30</v>
      </c>
      <c r="S1157" s="6" t="s">
        <v>30</v>
      </c>
      <c r="T1157" s="11" t="s">
        <v>30</v>
      </c>
      <c r="U1157" s="6" t="s">
        <v>30</v>
      </c>
      <c r="V1157" s="6" t="s">
        <v>30</v>
      </c>
      <c r="W1157" s="6" t="s">
        <v>30</v>
      </c>
      <c r="X1157" s="2" t="s">
        <v>30</v>
      </c>
      <c r="Y1157" s="6" t="str">
        <f aca="false">IF(AND(X1157="processed",ISNUMBER(S1157)),S1157*O1157,"")</f>
        <v/>
      </c>
      <c r="Z1157" s="6" t="n">
        <f aca="false">IF(ISNUMBER(K1157),K1157*O1157,0)</f>
        <v>0</v>
      </c>
      <c r="AA1157" s="2" t="s">
        <v>31</v>
      </c>
      <c r="AB1157" s="6" t="n">
        <v>49</v>
      </c>
      <c r="AC1157" s="6" t="n">
        <v>17</v>
      </c>
      <c r="AD1157" s="6" t="n">
        <v>3</v>
      </c>
      <c r="AE1157" s="6" t="n">
        <v>2619.31079101563</v>
      </c>
      <c r="AF1157" s="8"/>
      <c r="AG1157" s="11"/>
      <c r="AH1157" s="12" t="n">
        <v>0.999999999999999</v>
      </c>
      <c r="AI1157" s="2" t="s">
        <v>1597</v>
      </c>
      <c r="AJ1157" s="2"/>
      <c r="AK1157" s="2" t="s">
        <v>595</v>
      </c>
    </row>
    <row r="1158" customFormat="false" ht="15" hidden="false" customHeight="false" outlineLevel="0" collapsed="false">
      <c r="A1158" s="9"/>
      <c r="B1158" s="2" t="s">
        <v>2595</v>
      </c>
      <c r="C1158" s="2" t="s">
        <v>1424</v>
      </c>
      <c r="D1158" s="2" t="s">
        <v>595</v>
      </c>
      <c r="E1158" s="2" t="s">
        <v>51</v>
      </c>
      <c r="F1158" s="2" t="s">
        <v>2596</v>
      </c>
      <c r="G1158" s="2" t="s">
        <v>597</v>
      </c>
      <c r="H1158" s="8" t="n">
        <v>468.784143313661</v>
      </c>
      <c r="I1158" s="2" t="s">
        <v>316</v>
      </c>
      <c r="J1158" s="8" t="n">
        <v>847798.89298893</v>
      </c>
      <c r="K1158" s="6" t="n">
        <v>271</v>
      </c>
      <c r="L1158" s="2"/>
      <c r="M1158" s="10" t="b">
        <f aca="false">TRUE()</f>
        <v>1</v>
      </c>
      <c r="N1158" s="9" t="str">
        <f aca="false">IF(H1158="","",IF(H1158&gt;=Assumptions!$B$5,1,IF(H1158&gt;=Assumptions!$B$6,2,IF(H1158&gt;=Assumptions!$B$7,3,""))))</f>
        <v/>
      </c>
      <c r="O1158" s="9" t="n">
        <f aca="false">IF(N1158=1,Assumptions!$B$8,IF(N1158=2,Assumptions!$B$9,IF(N1158=3,Assumptions!$B$10,0)))</f>
        <v>0</v>
      </c>
      <c r="P1158" s="6" t="s">
        <v>30</v>
      </c>
      <c r="Q1158" s="6" t="s">
        <v>30</v>
      </c>
      <c r="R1158" s="11" t="s">
        <v>30</v>
      </c>
      <c r="S1158" s="6" t="s">
        <v>30</v>
      </c>
      <c r="T1158" s="11" t="s">
        <v>30</v>
      </c>
      <c r="U1158" s="6" t="s">
        <v>30</v>
      </c>
      <c r="V1158" s="6" t="s">
        <v>30</v>
      </c>
      <c r="W1158" s="6" t="s">
        <v>30</v>
      </c>
      <c r="X1158" s="2" t="s">
        <v>30</v>
      </c>
      <c r="Y1158" s="6" t="str">
        <f aca="false">IF(AND(X1158="processed",ISNUMBER(S1158)),S1158*O1158,"")</f>
        <v/>
      </c>
      <c r="Z1158" s="6" t="n">
        <f aca="false">IF(ISNUMBER(K1158),K1158*O1158,0)</f>
        <v>0</v>
      </c>
      <c r="AA1158" s="2" t="s">
        <v>31</v>
      </c>
      <c r="AB1158" s="6" t="n">
        <v>18635</v>
      </c>
      <c r="AC1158" s="6" t="n">
        <v>15630</v>
      </c>
      <c r="AD1158" s="6" t="n">
        <v>1033</v>
      </c>
      <c r="AE1158" s="6" t="n">
        <v>2000.47473144531</v>
      </c>
      <c r="AF1158" s="8" t="n">
        <v>470.939283861</v>
      </c>
      <c r="AG1158" s="11" t="n">
        <v>-0.0343670889</v>
      </c>
      <c r="AH1158" s="12" t="n">
        <v>1</v>
      </c>
      <c r="AI1158" s="2" t="s">
        <v>317</v>
      </c>
      <c r="AJ1158" s="2" t="s">
        <v>1424</v>
      </c>
      <c r="AK1158" s="2" t="s">
        <v>1424</v>
      </c>
    </row>
    <row r="1159" customFormat="false" ht="15" hidden="false" customHeight="false" outlineLevel="0" collapsed="false">
      <c r="A1159" s="9"/>
      <c r="B1159" s="2" t="s">
        <v>2597</v>
      </c>
      <c r="C1159" s="2" t="s">
        <v>2598</v>
      </c>
      <c r="D1159" s="2" t="s">
        <v>380</v>
      </c>
      <c r="E1159" s="2" t="s">
        <v>51</v>
      </c>
      <c r="F1159" s="2"/>
      <c r="G1159" s="2" t="s">
        <v>381</v>
      </c>
      <c r="H1159" s="8" t="n">
        <v>365.679599733944</v>
      </c>
      <c r="I1159" s="2" t="s">
        <v>316</v>
      </c>
      <c r="J1159" s="8" t="n">
        <v>620319.444444445</v>
      </c>
      <c r="K1159" s="6" t="n">
        <v>36</v>
      </c>
      <c r="L1159" s="2"/>
      <c r="M1159" s="10" t="b">
        <f aca="false">TRUE()</f>
        <v>1</v>
      </c>
      <c r="N1159" s="9" t="str">
        <f aca="false">IF(H1159="","",IF(H1159&gt;=Assumptions!$B$5,1,IF(H1159&gt;=Assumptions!$B$6,2,IF(H1159&gt;=Assumptions!$B$7,3,""))))</f>
        <v/>
      </c>
      <c r="O1159" s="9" t="n">
        <f aca="false">IF(N1159=1,Assumptions!$B$8,IF(N1159=2,Assumptions!$B$9,IF(N1159=3,Assumptions!$B$10,0)))</f>
        <v>0</v>
      </c>
      <c r="P1159" s="6" t="s">
        <v>30</v>
      </c>
      <c r="Q1159" s="6" t="s">
        <v>30</v>
      </c>
      <c r="R1159" s="11" t="s">
        <v>30</v>
      </c>
      <c r="S1159" s="6" t="s">
        <v>30</v>
      </c>
      <c r="T1159" s="11" t="s">
        <v>30</v>
      </c>
      <c r="U1159" s="6" t="s">
        <v>30</v>
      </c>
      <c r="V1159" s="6" t="s">
        <v>30</v>
      </c>
      <c r="W1159" s="6" t="s">
        <v>30</v>
      </c>
      <c r="X1159" s="2" t="s">
        <v>30</v>
      </c>
      <c r="Y1159" s="6" t="str">
        <f aca="false">IF(AND(X1159="processed",ISNUMBER(S1159)),S1159*O1159,"")</f>
        <v/>
      </c>
      <c r="Z1159" s="6" t="n">
        <f aca="false">IF(ISNUMBER(K1159),K1159*O1159,0)</f>
        <v>0</v>
      </c>
      <c r="AA1159" s="2" t="s">
        <v>31</v>
      </c>
      <c r="AB1159" s="6" t="n">
        <v>2910</v>
      </c>
      <c r="AC1159" s="6" t="n">
        <v>2303</v>
      </c>
      <c r="AD1159" s="6" t="n">
        <v>1089</v>
      </c>
      <c r="AE1159" s="6" t="n">
        <v>1795.29821777344</v>
      </c>
      <c r="AF1159" s="8" t="n">
        <v>324.470482199</v>
      </c>
      <c r="AG1159" s="11" t="n">
        <v>-0.1125732312</v>
      </c>
      <c r="AH1159" s="12" t="n">
        <v>0.852192971446088</v>
      </c>
      <c r="AI1159" s="2" t="s">
        <v>2599</v>
      </c>
      <c r="AJ1159" s="2" t="s">
        <v>2600</v>
      </c>
      <c r="AK1159" s="2" t="s">
        <v>2601</v>
      </c>
    </row>
    <row r="1160" customFormat="false" ht="15" hidden="false" customHeight="false" outlineLevel="0" collapsed="false">
      <c r="A1160" s="9"/>
      <c r="B1160" s="2" t="s">
        <v>2602</v>
      </c>
      <c r="C1160" s="2" t="s">
        <v>2603</v>
      </c>
      <c r="D1160" s="2" t="s">
        <v>423</v>
      </c>
      <c r="E1160" s="2" t="s">
        <v>51</v>
      </c>
      <c r="F1160" s="2"/>
      <c r="G1160" s="2"/>
      <c r="H1160" s="8"/>
      <c r="I1160" s="2"/>
      <c r="J1160" s="8"/>
      <c r="K1160" s="6"/>
      <c r="L1160" s="2"/>
      <c r="M1160" s="10" t="b">
        <f aca="false">TRUE()</f>
        <v>1</v>
      </c>
      <c r="N1160" s="9" t="str">
        <f aca="false">IF(H1160="","",IF(H1160&gt;=Assumptions!$B$5,1,IF(H1160&gt;=Assumptions!$B$6,2,IF(H1160&gt;=Assumptions!$B$7,3,""))))</f>
        <v/>
      </c>
      <c r="O1160" s="9" t="n">
        <f aca="false">IF(N1160=1,Assumptions!$B$8,IF(N1160=2,Assumptions!$B$9,IF(N1160=3,Assumptions!$B$10,0)))</f>
        <v>0</v>
      </c>
      <c r="P1160" s="6" t="s">
        <v>30</v>
      </c>
      <c r="Q1160" s="6" t="s">
        <v>30</v>
      </c>
      <c r="R1160" s="11" t="s">
        <v>30</v>
      </c>
      <c r="S1160" s="6" t="s">
        <v>30</v>
      </c>
      <c r="T1160" s="11" t="s">
        <v>30</v>
      </c>
      <c r="U1160" s="6" t="s">
        <v>30</v>
      </c>
      <c r="V1160" s="6" t="s">
        <v>30</v>
      </c>
      <c r="W1160" s="6" t="s">
        <v>30</v>
      </c>
      <c r="X1160" s="2" t="s">
        <v>30</v>
      </c>
      <c r="Y1160" s="6" t="str">
        <f aca="false">IF(AND(X1160="processed",ISNUMBER(S1160)),S1160*O1160,"")</f>
        <v/>
      </c>
      <c r="Z1160" s="6" t="n">
        <f aca="false">IF(ISNUMBER(K1160),K1160*O1160,0)</f>
        <v>0</v>
      </c>
      <c r="AA1160" s="2" t="s">
        <v>31</v>
      </c>
      <c r="AB1160" s="6" t="n">
        <v>106</v>
      </c>
      <c r="AC1160" s="6" t="n">
        <v>86</v>
      </c>
      <c r="AD1160" s="6" t="n">
        <v>104</v>
      </c>
      <c r="AE1160" s="6" t="n">
        <v>1378.42321777344</v>
      </c>
      <c r="AF1160" s="8"/>
      <c r="AG1160" s="11"/>
      <c r="AH1160" s="12" t="n">
        <v>1</v>
      </c>
      <c r="AI1160" s="2" t="s">
        <v>1597</v>
      </c>
      <c r="AJ1160" s="2"/>
      <c r="AK1160" s="2" t="s">
        <v>2603</v>
      </c>
    </row>
    <row r="1161" customFormat="false" ht="15" hidden="false" customHeight="false" outlineLevel="0" collapsed="false">
      <c r="A1161" s="9"/>
      <c r="B1161" s="2" t="s">
        <v>2604</v>
      </c>
      <c r="C1161" s="2" t="s">
        <v>248</v>
      </c>
      <c r="D1161" s="2" t="s">
        <v>595</v>
      </c>
      <c r="E1161" s="2" t="s">
        <v>51</v>
      </c>
      <c r="F1161" s="2"/>
      <c r="G1161" s="2" t="s">
        <v>597</v>
      </c>
      <c r="H1161" s="8" t="n">
        <v>394.71519087375</v>
      </c>
      <c r="I1161" s="2" t="s">
        <v>316</v>
      </c>
      <c r="J1161" s="8" t="n">
        <v>799437.5</v>
      </c>
      <c r="K1161" s="6" t="n">
        <v>8</v>
      </c>
      <c r="L1161" s="2"/>
      <c r="M1161" s="10" t="b">
        <f aca="false">TRUE()</f>
        <v>1</v>
      </c>
      <c r="N1161" s="9" t="str">
        <f aca="false">IF(H1161="","",IF(H1161&gt;=Assumptions!$B$5,1,IF(H1161&gt;=Assumptions!$B$6,2,IF(H1161&gt;=Assumptions!$B$7,3,""))))</f>
        <v/>
      </c>
      <c r="O1161" s="9" t="n">
        <f aca="false">IF(N1161=1,Assumptions!$B$8,IF(N1161=2,Assumptions!$B$9,IF(N1161=3,Assumptions!$B$10,0)))</f>
        <v>0</v>
      </c>
      <c r="P1161" s="6" t="s">
        <v>30</v>
      </c>
      <c r="Q1161" s="6" t="s">
        <v>30</v>
      </c>
      <c r="R1161" s="11" t="s">
        <v>30</v>
      </c>
      <c r="S1161" s="6" t="s">
        <v>30</v>
      </c>
      <c r="T1161" s="11" t="s">
        <v>30</v>
      </c>
      <c r="U1161" s="6" t="s">
        <v>30</v>
      </c>
      <c r="V1161" s="6" t="s">
        <v>30</v>
      </c>
      <c r="W1161" s="6" t="s">
        <v>30</v>
      </c>
      <c r="X1161" s="2" t="s">
        <v>30</v>
      </c>
      <c r="Y1161" s="6" t="str">
        <f aca="false">IF(AND(X1161="processed",ISNUMBER(S1161)),S1161*O1161,"")</f>
        <v/>
      </c>
      <c r="Z1161" s="6" t="n">
        <f aca="false">IF(ISNUMBER(K1161),K1161*O1161,0)</f>
        <v>0</v>
      </c>
      <c r="AA1161" s="2" t="s">
        <v>31</v>
      </c>
      <c r="AB1161" s="6" t="n">
        <v>1959</v>
      </c>
      <c r="AC1161" s="6" t="n">
        <v>1494</v>
      </c>
      <c r="AD1161" s="6" t="n">
        <v>212</v>
      </c>
      <c r="AE1161" s="6" t="n">
        <v>1726.42749023438</v>
      </c>
      <c r="AF1161" s="8" t="n">
        <v>343.860569778</v>
      </c>
      <c r="AG1161" s="11" t="n">
        <v>-0.4304874007</v>
      </c>
      <c r="AH1161" s="12" t="n">
        <v>1</v>
      </c>
      <c r="AI1161" s="2" t="s">
        <v>317</v>
      </c>
      <c r="AJ1161" s="2" t="s">
        <v>248</v>
      </c>
      <c r="AK1161" s="2" t="s">
        <v>248</v>
      </c>
    </row>
    <row r="1162" customFormat="false" ht="15" hidden="false" customHeight="false" outlineLevel="0" collapsed="false">
      <c r="A1162" s="9"/>
      <c r="B1162" s="2" t="s">
        <v>2605</v>
      </c>
      <c r="C1162" s="2" t="s">
        <v>2606</v>
      </c>
      <c r="D1162" s="2" t="s">
        <v>423</v>
      </c>
      <c r="E1162" s="2" t="s">
        <v>51</v>
      </c>
      <c r="F1162" s="2"/>
      <c r="G1162" s="2" t="s">
        <v>425</v>
      </c>
      <c r="H1162" s="8" t="n">
        <v>412.926942545541</v>
      </c>
      <c r="I1162" s="2" t="s">
        <v>316</v>
      </c>
      <c r="J1162" s="8" t="n">
        <v>638864.864864865</v>
      </c>
      <c r="K1162" s="6" t="n">
        <v>37</v>
      </c>
      <c r="L1162" s="2"/>
      <c r="M1162" s="10" t="b">
        <f aca="false">TRUE()</f>
        <v>1</v>
      </c>
      <c r="N1162" s="9" t="str">
        <f aca="false">IF(H1162="","",IF(H1162&gt;=Assumptions!$B$5,1,IF(H1162&gt;=Assumptions!$B$6,2,IF(H1162&gt;=Assumptions!$B$7,3,""))))</f>
        <v/>
      </c>
      <c r="O1162" s="9" t="n">
        <f aca="false">IF(N1162=1,Assumptions!$B$8,IF(N1162=2,Assumptions!$B$9,IF(N1162=3,Assumptions!$B$10,0)))</f>
        <v>0</v>
      </c>
      <c r="P1162" s="6" t="s">
        <v>30</v>
      </c>
      <c r="Q1162" s="6" t="s">
        <v>30</v>
      </c>
      <c r="R1162" s="11" t="s">
        <v>30</v>
      </c>
      <c r="S1162" s="6" t="s">
        <v>30</v>
      </c>
      <c r="T1162" s="11" t="s">
        <v>30</v>
      </c>
      <c r="U1162" s="6" t="s">
        <v>30</v>
      </c>
      <c r="V1162" s="6" t="s">
        <v>30</v>
      </c>
      <c r="W1162" s="6" t="s">
        <v>30</v>
      </c>
      <c r="X1162" s="2" t="s">
        <v>30</v>
      </c>
      <c r="Y1162" s="6" t="str">
        <f aca="false">IF(AND(X1162="processed",ISNUMBER(S1162)),S1162*O1162,"")</f>
        <v/>
      </c>
      <c r="Z1162" s="6" t="n">
        <f aca="false">IF(ISNUMBER(K1162),K1162*O1162,0)</f>
        <v>0</v>
      </c>
      <c r="AA1162" s="2" t="s">
        <v>31</v>
      </c>
      <c r="AB1162" s="6" t="n">
        <v>2280</v>
      </c>
      <c r="AC1162" s="6" t="n">
        <v>2103</v>
      </c>
      <c r="AD1162" s="6" t="n">
        <v>177</v>
      </c>
      <c r="AE1162" s="6" t="n">
        <v>1979.72204589844</v>
      </c>
      <c r="AF1162" s="8" t="n">
        <v>454.92042143</v>
      </c>
      <c r="AG1162" s="11" t="n">
        <v>-0.0526374894</v>
      </c>
      <c r="AH1162" s="12" t="n">
        <v>0.993642654056292</v>
      </c>
      <c r="AI1162" s="2" t="s">
        <v>321</v>
      </c>
      <c r="AJ1162" s="2" t="s">
        <v>2606</v>
      </c>
      <c r="AK1162" s="2" t="s">
        <v>2606</v>
      </c>
    </row>
    <row r="1163" customFormat="false" ht="15" hidden="false" customHeight="false" outlineLevel="0" collapsed="false">
      <c r="A1163" s="9"/>
      <c r="B1163" s="2" t="s">
        <v>2607</v>
      </c>
      <c r="C1163" s="2" t="s">
        <v>2608</v>
      </c>
      <c r="D1163" s="2" t="s">
        <v>423</v>
      </c>
      <c r="E1163" s="2" t="s">
        <v>51</v>
      </c>
      <c r="F1163" s="2" t="s">
        <v>2609</v>
      </c>
      <c r="G1163" s="2" t="s">
        <v>425</v>
      </c>
      <c r="H1163" s="8" t="n">
        <v>383.844252412128</v>
      </c>
      <c r="I1163" s="2" t="s">
        <v>316</v>
      </c>
      <c r="J1163" s="8" t="n">
        <v>607152.647975078</v>
      </c>
      <c r="K1163" s="6" t="n">
        <v>321</v>
      </c>
      <c r="L1163" s="2"/>
      <c r="M1163" s="10" t="b">
        <f aca="false">TRUE()</f>
        <v>1</v>
      </c>
      <c r="N1163" s="9" t="str">
        <f aca="false">IF(H1163="","",IF(H1163&gt;=Assumptions!$B$5,1,IF(H1163&gt;=Assumptions!$B$6,2,IF(H1163&gt;=Assumptions!$B$7,3,""))))</f>
        <v/>
      </c>
      <c r="O1163" s="9" t="n">
        <f aca="false">IF(N1163=1,Assumptions!$B$8,IF(N1163=2,Assumptions!$B$9,IF(N1163=3,Assumptions!$B$10,0)))</f>
        <v>0</v>
      </c>
      <c r="P1163" s="6" t="s">
        <v>30</v>
      </c>
      <c r="Q1163" s="6" t="s">
        <v>30</v>
      </c>
      <c r="R1163" s="11" t="s">
        <v>30</v>
      </c>
      <c r="S1163" s="6" t="s">
        <v>30</v>
      </c>
      <c r="T1163" s="11" t="s">
        <v>30</v>
      </c>
      <c r="U1163" s="6" t="s">
        <v>30</v>
      </c>
      <c r="V1163" s="6" t="s">
        <v>30</v>
      </c>
      <c r="W1163" s="6" t="s">
        <v>30</v>
      </c>
      <c r="X1163" s="2" t="s">
        <v>30</v>
      </c>
      <c r="Y1163" s="6" t="str">
        <f aca="false">IF(AND(X1163="processed",ISNUMBER(S1163)),S1163*O1163,"")</f>
        <v/>
      </c>
      <c r="Z1163" s="6" t="n">
        <f aca="false">IF(ISNUMBER(K1163),K1163*O1163,0)</f>
        <v>0</v>
      </c>
      <c r="AA1163" s="2" t="s">
        <v>31</v>
      </c>
      <c r="AB1163" s="6" t="n">
        <v>17542</v>
      </c>
      <c r="AC1163" s="6" t="n">
        <v>15796</v>
      </c>
      <c r="AD1163" s="6" t="n">
        <v>6319</v>
      </c>
      <c r="AE1163" s="6" t="n">
        <v>2424.0556640625</v>
      </c>
      <c r="AF1163" s="8" t="n">
        <v>391.39206456</v>
      </c>
      <c r="AG1163" s="11" t="n">
        <v>0.01903558914</v>
      </c>
      <c r="AH1163" s="12" t="n">
        <v>0.996278145887161</v>
      </c>
      <c r="AI1163" s="2" t="s">
        <v>2132</v>
      </c>
      <c r="AJ1163" s="2" t="s">
        <v>2610</v>
      </c>
      <c r="AK1163" s="2" t="s">
        <v>2608</v>
      </c>
    </row>
    <row r="1164" customFormat="false" ht="15" hidden="false" customHeight="false" outlineLevel="0" collapsed="false">
      <c r="A1164" s="9"/>
      <c r="B1164" s="2" t="s">
        <v>2611</v>
      </c>
      <c r="C1164" s="2" t="s">
        <v>2612</v>
      </c>
      <c r="D1164" s="2" t="s">
        <v>423</v>
      </c>
      <c r="E1164" s="2" t="s">
        <v>51</v>
      </c>
      <c r="F1164" s="2"/>
      <c r="G1164" s="2"/>
      <c r="H1164" s="8"/>
      <c r="I1164" s="2"/>
      <c r="J1164" s="8"/>
      <c r="K1164" s="6"/>
      <c r="L1164" s="2"/>
      <c r="M1164" s="10" t="b">
        <f aca="false">TRUE()</f>
        <v>1</v>
      </c>
      <c r="N1164" s="9" t="str">
        <f aca="false">IF(H1164="","",IF(H1164&gt;=Assumptions!$B$5,1,IF(H1164&gt;=Assumptions!$B$6,2,IF(H1164&gt;=Assumptions!$B$7,3,""))))</f>
        <v/>
      </c>
      <c r="O1164" s="9" t="n">
        <f aca="false">IF(N1164=1,Assumptions!$B$8,IF(N1164=2,Assumptions!$B$9,IF(N1164=3,Assumptions!$B$10,0)))</f>
        <v>0</v>
      </c>
      <c r="P1164" s="6" t="s">
        <v>30</v>
      </c>
      <c r="Q1164" s="6" t="s">
        <v>30</v>
      </c>
      <c r="R1164" s="11" t="s">
        <v>30</v>
      </c>
      <c r="S1164" s="6" t="s">
        <v>30</v>
      </c>
      <c r="T1164" s="11" t="s">
        <v>30</v>
      </c>
      <c r="U1164" s="6" t="s">
        <v>30</v>
      </c>
      <c r="V1164" s="6" t="s">
        <v>30</v>
      </c>
      <c r="W1164" s="6" t="s">
        <v>30</v>
      </c>
      <c r="X1164" s="2" t="s">
        <v>30</v>
      </c>
      <c r="Y1164" s="6" t="str">
        <f aca="false">IF(AND(X1164="processed",ISNUMBER(S1164)),S1164*O1164,"")</f>
        <v/>
      </c>
      <c r="Z1164" s="6" t="n">
        <f aca="false">IF(ISNUMBER(K1164),K1164*O1164,0)</f>
        <v>0</v>
      </c>
      <c r="AA1164" s="2" t="s">
        <v>31</v>
      </c>
      <c r="AB1164" s="6" t="n">
        <v>1407</v>
      </c>
      <c r="AC1164" s="6" t="n">
        <v>1190</v>
      </c>
      <c r="AD1164" s="6" t="n">
        <v>75</v>
      </c>
      <c r="AE1164" s="6" t="n">
        <v>2900.03637695313</v>
      </c>
      <c r="AF1164" s="8"/>
      <c r="AG1164" s="11"/>
      <c r="AH1164" s="12" t="n">
        <v>1</v>
      </c>
      <c r="AI1164" s="2" t="s">
        <v>1597</v>
      </c>
      <c r="AJ1164" s="2"/>
      <c r="AK1164" s="2" t="s">
        <v>2612</v>
      </c>
    </row>
    <row r="1165" customFormat="false" ht="15" hidden="false" customHeight="false" outlineLevel="0" collapsed="false">
      <c r="A1165" s="9"/>
      <c r="B1165" s="2" t="s">
        <v>2613</v>
      </c>
      <c r="C1165" s="2" t="s">
        <v>2614</v>
      </c>
      <c r="D1165" s="2" t="s">
        <v>423</v>
      </c>
      <c r="E1165" s="2" t="s">
        <v>51</v>
      </c>
      <c r="F1165" s="2"/>
      <c r="G1165" s="2" t="s">
        <v>425</v>
      </c>
      <c r="H1165" s="8" t="n">
        <v>495.795816330647</v>
      </c>
      <c r="I1165" s="2" t="s">
        <v>316</v>
      </c>
      <c r="J1165" s="8" t="n">
        <v>876882.352941177</v>
      </c>
      <c r="K1165" s="6" t="n">
        <v>17</v>
      </c>
      <c r="L1165" s="2"/>
      <c r="M1165" s="10" t="b">
        <f aca="false">TRUE()</f>
        <v>1</v>
      </c>
      <c r="N1165" s="9" t="str">
        <f aca="false">IF(H1165="","",IF(H1165&gt;=Assumptions!$B$5,1,IF(H1165&gt;=Assumptions!$B$6,2,IF(H1165&gt;=Assumptions!$B$7,3,""))))</f>
        <v/>
      </c>
      <c r="O1165" s="9" t="n">
        <f aca="false">IF(N1165=1,Assumptions!$B$8,IF(N1165=2,Assumptions!$B$9,IF(N1165=3,Assumptions!$B$10,0)))</f>
        <v>0</v>
      </c>
      <c r="P1165" s="6" t="s">
        <v>30</v>
      </c>
      <c r="Q1165" s="6" t="s">
        <v>30</v>
      </c>
      <c r="R1165" s="11" t="s">
        <v>30</v>
      </c>
      <c r="S1165" s="6" t="s">
        <v>30</v>
      </c>
      <c r="T1165" s="11" t="s">
        <v>30</v>
      </c>
      <c r="U1165" s="6" t="s">
        <v>30</v>
      </c>
      <c r="V1165" s="6" t="s">
        <v>30</v>
      </c>
      <c r="W1165" s="6" t="s">
        <v>30</v>
      </c>
      <c r="X1165" s="2" t="s">
        <v>30</v>
      </c>
      <c r="Y1165" s="6" t="str">
        <f aca="false">IF(AND(X1165="processed",ISNUMBER(S1165)),S1165*O1165,"")</f>
        <v/>
      </c>
      <c r="Z1165" s="6" t="n">
        <f aca="false">IF(ISNUMBER(K1165),K1165*O1165,0)</f>
        <v>0</v>
      </c>
      <c r="AA1165" s="2" t="s">
        <v>31</v>
      </c>
      <c r="AB1165" s="6" t="n">
        <v>1008</v>
      </c>
      <c r="AC1165" s="6" t="n">
        <v>889</v>
      </c>
      <c r="AD1165" s="6" t="n">
        <v>880</v>
      </c>
      <c r="AE1165" s="6" t="n">
        <v>2138.09545898438</v>
      </c>
      <c r="AF1165" s="8" t="n">
        <v>507.031612424</v>
      </c>
      <c r="AG1165" s="11" t="n">
        <v>0.2375980314</v>
      </c>
      <c r="AH1165" s="12" t="n">
        <v>0.999999999999999</v>
      </c>
      <c r="AI1165" s="2" t="s">
        <v>335</v>
      </c>
      <c r="AJ1165" s="2" t="s">
        <v>2614</v>
      </c>
      <c r="AK1165" s="2" t="s">
        <v>2614</v>
      </c>
    </row>
    <row r="1166" customFormat="false" ht="15" hidden="false" customHeight="false" outlineLevel="0" collapsed="false">
      <c r="A1166" s="9"/>
      <c r="B1166" s="2" t="s">
        <v>2615</v>
      </c>
      <c r="C1166" s="2" t="s">
        <v>2616</v>
      </c>
      <c r="D1166" s="2" t="s">
        <v>595</v>
      </c>
      <c r="E1166" s="2" t="s">
        <v>51</v>
      </c>
      <c r="F1166" s="2"/>
      <c r="G1166" s="2" t="s">
        <v>597</v>
      </c>
      <c r="H1166" s="8" t="n">
        <v>442.040213898076</v>
      </c>
      <c r="I1166" s="2" t="s">
        <v>316</v>
      </c>
      <c r="J1166" s="8" t="n">
        <v>787781.758691207</v>
      </c>
      <c r="K1166" s="6" t="n">
        <v>489</v>
      </c>
      <c r="L1166" s="2"/>
      <c r="M1166" s="10" t="b">
        <f aca="false">TRUE()</f>
        <v>1</v>
      </c>
      <c r="N1166" s="9" t="str">
        <f aca="false">IF(H1166="","",IF(H1166&gt;=Assumptions!$B$5,1,IF(H1166&gt;=Assumptions!$B$6,2,IF(H1166&gt;=Assumptions!$B$7,3,""))))</f>
        <v/>
      </c>
      <c r="O1166" s="9" t="n">
        <f aca="false">IF(N1166=1,Assumptions!$B$8,IF(N1166=2,Assumptions!$B$9,IF(N1166=3,Assumptions!$B$10,0)))</f>
        <v>0</v>
      </c>
      <c r="P1166" s="6" t="s">
        <v>30</v>
      </c>
      <c r="Q1166" s="6" t="s">
        <v>30</v>
      </c>
      <c r="R1166" s="11" t="s">
        <v>30</v>
      </c>
      <c r="S1166" s="6" t="s">
        <v>30</v>
      </c>
      <c r="T1166" s="11" t="s">
        <v>30</v>
      </c>
      <c r="U1166" s="6" t="s">
        <v>30</v>
      </c>
      <c r="V1166" s="6" t="s">
        <v>30</v>
      </c>
      <c r="W1166" s="6" t="s">
        <v>30</v>
      </c>
      <c r="X1166" s="2" t="s">
        <v>30</v>
      </c>
      <c r="Y1166" s="6" t="str">
        <f aca="false">IF(AND(X1166="processed",ISNUMBER(S1166)),S1166*O1166,"")</f>
        <v/>
      </c>
      <c r="Z1166" s="6" t="n">
        <f aca="false">IF(ISNUMBER(K1166),K1166*O1166,0)</f>
        <v>0</v>
      </c>
      <c r="AA1166" s="2" t="s">
        <v>31</v>
      </c>
      <c r="AB1166" s="6" t="n">
        <v>31358</v>
      </c>
      <c r="AC1166" s="6" t="n">
        <v>24117</v>
      </c>
      <c r="AD1166" s="6" t="n">
        <v>1792</v>
      </c>
      <c r="AE1166" s="6" t="n">
        <v>2301.6806640625</v>
      </c>
      <c r="AF1166" s="8" t="n">
        <v>455.291403794</v>
      </c>
      <c r="AG1166" s="11" t="n">
        <v>0.02441277405</v>
      </c>
      <c r="AH1166" s="12" t="n">
        <v>0.999737773563118</v>
      </c>
      <c r="AI1166" s="2" t="s">
        <v>317</v>
      </c>
      <c r="AJ1166" s="2" t="s">
        <v>2616</v>
      </c>
      <c r="AK1166" s="2" t="s">
        <v>2616</v>
      </c>
    </row>
    <row r="1167" customFormat="false" ht="15" hidden="false" customHeight="false" outlineLevel="0" collapsed="false">
      <c r="A1167" s="9"/>
      <c r="B1167" s="2" t="s">
        <v>2617</v>
      </c>
      <c r="C1167" s="2" t="s">
        <v>2618</v>
      </c>
      <c r="D1167" s="2" t="s">
        <v>380</v>
      </c>
      <c r="E1167" s="2" t="s">
        <v>51</v>
      </c>
      <c r="F1167" s="2"/>
      <c r="G1167" s="2" t="s">
        <v>381</v>
      </c>
      <c r="H1167" s="8" t="n">
        <v>192.856547023</v>
      </c>
      <c r="I1167" s="2" t="s">
        <v>316</v>
      </c>
      <c r="J1167" s="8" t="n">
        <v>245000</v>
      </c>
      <c r="K1167" s="6" t="n">
        <v>2</v>
      </c>
      <c r="L1167" s="2" t="s">
        <v>1664</v>
      </c>
      <c r="M1167" s="10" t="b">
        <f aca="false">TRUE()</f>
        <v>1</v>
      </c>
      <c r="N1167" s="9" t="str">
        <f aca="false">IF(H1167="","",IF(H1167&gt;=Assumptions!$B$5,1,IF(H1167&gt;=Assumptions!$B$6,2,IF(H1167&gt;=Assumptions!$B$7,3,""))))</f>
        <v/>
      </c>
      <c r="O1167" s="9" t="n">
        <f aca="false">IF(N1167=1,Assumptions!$B$8,IF(N1167=2,Assumptions!$B$9,IF(N1167=3,Assumptions!$B$10,0)))</f>
        <v>0</v>
      </c>
      <c r="P1167" s="6" t="s">
        <v>30</v>
      </c>
      <c r="Q1167" s="6" t="s">
        <v>30</v>
      </c>
      <c r="R1167" s="11" t="s">
        <v>30</v>
      </c>
      <c r="S1167" s="6" t="s">
        <v>30</v>
      </c>
      <c r="T1167" s="11" t="s">
        <v>30</v>
      </c>
      <c r="U1167" s="6" t="s">
        <v>30</v>
      </c>
      <c r="V1167" s="6" t="s">
        <v>30</v>
      </c>
      <c r="W1167" s="6" t="s">
        <v>30</v>
      </c>
      <c r="X1167" s="2" t="s">
        <v>30</v>
      </c>
      <c r="Y1167" s="6" t="str">
        <f aca="false">IF(AND(X1167="processed",ISNUMBER(S1167)),S1167*O1167,"")</f>
        <v/>
      </c>
      <c r="Z1167" s="6" t="n">
        <f aca="false">IF(ISNUMBER(K1167),K1167*O1167,0)</f>
        <v>0</v>
      </c>
      <c r="AA1167" s="2" t="s">
        <v>31</v>
      </c>
      <c r="AB1167" s="6" t="n">
        <v>699</v>
      </c>
      <c r="AC1167" s="6" t="n">
        <v>524</v>
      </c>
      <c r="AD1167" s="6" t="n">
        <v>365</v>
      </c>
      <c r="AE1167" s="6" t="n">
        <v>1527.86315917969</v>
      </c>
      <c r="AF1167" s="8" t="n">
        <v>152.027027027</v>
      </c>
      <c r="AG1167" s="11"/>
      <c r="AH1167" s="12" t="n">
        <v>0.999644707311372</v>
      </c>
      <c r="AI1167" s="2" t="s">
        <v>321</v>
      </c>
      <c r="AJ1167" s="2" t="s">
        <v>2618</v>
      </c>
      <c r="AK1167" s="2" t="s">
        <v>2618</v>
      </c>
    </row>
    <row r="1168" customFormat="false" ht="15" hidden="false" customHeight="false" outlineLevel="0" collapsed="false">
      <c r="A1168" s="9"/>
      <c r="B1168" s="2" t="s">
        <v>2619</v>
      </c>
      <c r="C1168" s="2" t="s">
        <v>2620</v>
      </c>
      <c r="D1168" s="2" t="s">
        <v>380</v>
      </c>
      <c r="E1168" s="2" t="s">
        <v>51</v>
      </c>
      <c r="F1168" s="2"/>
      <c r="G1168" s="2" t="s">
        <v>381</v>
      </c>
      <c r="H1168" s="8" t="n">
        <v>385.002163356308</v>
      </c>
      <c r="I1168" s="2" t="s">
        <v>316</v>
      </c>
      <c r="J1168" s="8" t="n">
        <v>639487.17948718</v>
      </c>
      <c r="K1168" s="6" t="n">
        <v>39</v>
      </c>
      <c r="L1168" s="2"/>
      <c r="M1168" s="10" t="b">
        <f aca="false">TRUE()</f>
        <v>1</v>
      </c>
      <c r="N1168" s="9" t="str">
        <f aca="false">IF(H1168="","",IF(H1168&gt;=Assumptions!$B$5,1,IF(H1168&gt;=Assumptions!$B$6,2,IF(H1168&gt;=Assumptions!$B$7,3,""))))</f>
        <v/>
      </c>
      <c r="O1168" s="9" t="n">
        <f aca="false">IF(N1168=1,Assumptions!$B$8,IF(N1168=2,Assumptions!$B$9,IF(N1168=3,Assumptions!$B$10,0)))</f>
        <v>0</v>
      </c>
      <c r="P1168" s="6" t="s">
        <v>30</v>
      </c>
      <c r="Q1168" s="6" t="s">
        <v>30</v>
      </c>
      <c r="R1168" s="11" t="s">
        <v>30</v>
      </c>
      <c r="S1168" s="6" t="s">
        <v>30</v>
      </c>
      <c r="T1168" s="11" t="s">
        <v>30</v>
      </c>
      <c r="U1168" s="6" t="s">
        <v>30</v>
      </c>
      <c r="V1168" s="6" t="s">
        <v>30</v>
      </c>
      <c r="W1168" s="6" t="s">
        <v>30</v>
      </c>
      <c r="X1168" s="2" t="s">
        <v>30</v>
      </c>
      <c r="Y1168" s="6" t="str">
        <f aca="false">IF(AND(X1168="processed",ISNUMBER(S1168)),S1168*O1168,"")</f>
        <v/>
      </c>
      <c r="Z1168" s="6" t="n">
        <f aca="false">IF(ISNUMBER(K1168),K1168*O1168,0)</f>
        <v>0</v>
      </c>
      <c r="AA1168" s="2" t="s">
        <v>31</v>
      </c>
      <c r="AB1168" s="6" t="n">
        <v>3889</v>
      </c>
      <c r="AC1168" s="6" t="n">
        <v>3098</v>
      </c>
      <c r="AD1168" s="6" t="n">
        <v>1247</v>
      </c>
      <c r="AE1168" s="6" t="n">
        <v>1908.04943847656</v>
      </c>
      <c r="AF1168" s="8" t="n">
        <v>376.168194783</v>
      </c>
      <c r="AG1168" s="11" t="n">
        <v>-0.01699683274</v>
      </c>
      <c r="AH1168" s="12" t="n">
        <v>0.856218192484061</v>
      </c>
      <c r="AI1168" s="2" t="s">
        <v>2197</v>
      </c>
      <c r="AJ1168" s="2" t="s">
        <v>2621</v>
      </c>
      <c r="AK1168" s="2" t="s">
        <v>2622</v>
      </c>
    </row>
    <row r="1169" customFormat="false" ht="15" hidden="false" customHeight="false" outlineLevel="0" collapsed="false">
      <c r="A1169" s="9"/>
      <c r="B1169" s="2" t="s">
        <v>2623</v>
      </c>
      <c r="C1169" s="2" t="s">
        <v>2624</v>
      </c>
      <c r="D1169" s="2" t="s">
        <v>595</v>
      </c>
      <c r="E1169" s="2" t="s">
        <v>51</v>
      </c>
      <c r="F1169" s="2"/>
      <c r="G1169" s="2" t="s">
        <v>597</v>
      </c>
      <c r="H1169" s="8" t="n">
        <v>494.337746282</v>
      </c>
      <c r="I1169" s="2" t="s">
        <v>316</v>
      </c>
      <c r="J1169" s="8" t="n">
        <v>852347.826086957</v>
      </c>
      <c r="K1169" s="6" t="n">
        <v>23</v>
      </c>
      <c r="L1169" s="2"/>
      <c r="M1169" s="10" t="b">
        <f aca="false">TRUE()</f>
        <v>1</v>
      </c>
      <c r="N1169" s="9" t="str">
        <f aca="false">IF(H1169="","",IF(H1169&gt;=Assumptions!$B$5,1,IF(H1169&gt;=Assumptions!$B$6,2,IF(H1169&gt;=Assumptions!$B$7,3,""))))</f>
        <v/>
      </c>
      <c r="O1169" s="9" t="n">
        <f aca="false">IF(N1169=1,Assumptions!$B$8,IF(N1169=2,Assumptions!$B$9,IF(N1169=3,Assumptions!$B$10,0)))</f>
        <v>0</v>
      </c>
      <c r="P1169" s="6" t="s">
        <v>30</v>
      </c>
      <c r="Q1169" s="6" t="s">
        <v>30</v>
      </c>
      <c r="R1169" s="11" t="s">
        <v>30</v>
      </c>
      <c r="S1169" s="6" t="s">
        <v>30</v>
      </c>
      <c r="T1169" s="11" t="s">
        <v>30</v>
      </c>
      <c r="U1169" s="6" t="s">
        <v>30</v>
      </c>
      <c r="V1169" s="6" t="s">
        <v>30</v>
      </c>
      <c r="W1169" s="6" t="s">
        <v>30</v>
      </c>
      <c r="X1169" s="2" t="s">
        <v>30</v>
      </c>
      <c r="Y1169" s="6" t="str">
        <f aca="false">IF(AND(X1169="processed",ISNUMBER(S1169)),S1169*O1169,"")</f>
        <v/>
      </c>
      <c r="Z1169" s="6" t="n">
        <f aca="false">IF(ISNUMBER(K1169),K1169*O1169,0)</f>
        <v>0</v>
      </c>
      <c r="AA1169" s="2" t="s">
        <v>31</v>
      </c>
      <c r="AB1169" s="6" t="n">
        <v>3682</v>
      </c>
      <c r="AC1169" s="6" t="n">
        <v>2695</v>
      </c>
      <c r="AD1169" s="6" t="n">
        <v>536</v>
      </c>
      <c r="AE1169" s="6" t="n">
        <v>1587.68701171875</v>
      </c>
      <c r="AF1169" s="8" t="n">
        <v>492.627985046</v>
      </c>
      <c r="AG1169" s="11" t="n">
        <v>0.1879919089</v>
      </c>
      <c r="AH1169" s="12" t="n">
        <v>0.999882726484639</v>
      </c>
      <c r="AI1169" s="2" t="s">
        <v>317</v>
      </c>
      <c r="AJ1169" s="2" t="s">
        <v>2624</v>
      </c>
      <c r="AK1169" s="2" t="s">
        <v>2625</v>
      </c>
    </row>
    <row r="1170" customFormat="false" ht="15" hidden="false" customHeight="false" outlineLevel="0" collapsed="false">
      <c r="A1170" s="9"/>
      <c r="B1170" s="2" t="s">
        <v>2626</v>
      </c>
      <c r="C1170" s="2" t="s">
        <v>2627</v>
      </c>
      <c r="D1170" s="2" t="s">
        <v>423</v>
      </c>
      <c r="E1170" s="2" t="s">
        <v>51</v>
      </c>
      <c r="F1170" s="2"/>
      <c r="G1170" s="2" t="s">
        <v>425</v>
      </c>
      <c r="H1170" s="8" t="n">
        <v>404.749271568616</v>
      </c>
      <c r="I1170" s="2" t="s">
        <v>316</v>
      </c>
      <c r="J1170" s="8" t="n">
        <v>641104.651162791</v>
      </c>
      <c r="K1170" s="6" t="n">
        <v>172</v>
      </c>
      <c r="L1170" s="2"/>
      <c r="M1170" s="10" t="b">
        <f aca="false">TRUE()</f>
        <v>1</v>
      </c>
      <c r="N1170" s="9" t="str">
        <f aca="false">IF(H1170="","",IF(H1170&gt;=Assumptions!$B$5,1,IF(H1170&gt;=Assumptions!$B$6,2,IF(H1170&gt;=Assumptions!$B$7,3,""))))</f>
        <v/>
      </c>
      <c r="O1170" s="9" t="n">
        <f aca="false">IF(N1170=1,Assumptions!$B$8,IF(N1170=2,Assumptions!$B$9,IF(N1170=3,Assumptions!$B$10,0)))</f>
        <v>0</v>
      </c>
      <c r="P1170" s="6" t="s">
        <v>30</v>
      </c>
      <c r="Q1170" s="6" t="s">
        <v>30</v>
      </c>
      <c r="R1170" s="11" t="s">
        <v>30</v>
      </c>
      <c r="S1170" s="6" t="s">
        <v>30</v>
      </c>
      <c r="T1170" s="11" t="s">
        <v>30</v>
      </c>
      <c r="U1170" s="6" t="s">
        <v>30</v>
      </c>
      <c r="V1170" s="6" t="s">
        <v>30</v>
      </c>
      <c r="W1170" s="6" t="s">
        <v>30</v>
      </c>
      <c r="X1170" s="2" t="s">
        <v>30</v>
      </c>
      <c r="Y1170" s="6" t="str">
        <f aca="false">IF(AND(X1170="processed",ISNUMBER(S1170)),S1170*O1170,"")</f>
        <v/>
      </c>
      <c r="Z1170" s="6" t="n">
        <f aca="false">IF(ISNUMBER(K1170),K1170*O1170,0)</f>
        <v>0</v>
      </c>
      <c r="AA1170" s="2" t="s">
        <v>31</v>
      </c>
      <c r="AB1170" s="6" t="n">
        <v>13322</v>
      </c>
      <c r="AC1170" s="6" t="n">
        <v>11157</v>
      </c>
      <c r="AD1170" s="6" t="n">
        <v>7983</v>
      </c>
      <c r="AE1170" s="6" t="n">
        <v>2211.125</v>
      </c>
      <c r="AF1170" s="8" t="n">
        <v>435.854321195</v>
      </c>
      <c r="AG1170" s="11" t="n">
        <v>0.06143346456</v>
      </c>
      <c r="AH1170" s="12" t="n">
        <v>0.743657345521038</v>
      </c>
      <c r="AI1170" s="2" t="s">
        <v>347</v>
      </c>
      <c r="AJ1170" s="2" t="s">
        <v>2627</v>
      </c>
      <c r="AK1170" s="2" t="s">
        <v>2627</v>
      </c>
    </row>
    <row r="1171" customFormat="false" ht="15" hidden="false" customHeight="false" outlineLevel="0" collapsed="false">
      <c r="A1171" s="9"/>
      <c r="B1171" s="2" t="s">
        <v>2628</v>
      </c>
      <c r="C1171" s="2" t="s">
        <v>2629</v>
      </c>
      <c r="D1171" s="2" t="s">
        <v>423</v>
      </c>
      <c r="E1171" s="2" t="s">
        <v>51</v>
      </c>
      <c r="F1171" s="2"/>
      <c r="G1171" s="2" t="s">
        <v>425</v>
      </c>
      <c r="H1171" s="8" t="n">
        <v>409.733060159832</v>
      </c>
      <c r="I1171" s="2" t="s">
        <v>316</v>
      </c>
      <c r="J1171" s="8" t="n">
        <v>762168.091168091</v>
      </c>
      <c r="K1171" s="6" t="n">
        <v>351</v>
      </c>
      <c r="L1171" s="2"/>
      <c r="M1171" s="10" t="b">
        <f aca="false">TRUE()</f>
        <v>1</v>
      </c>
      <c r="N1171" s="9" t="str">
        <f aca="false">IF(H1171="","",IF(H1171&gt;=Assumptions!$B$5,1,IF(H1171&gt;=Assumptions!$B$6,2,IF(H1171&gt;=Assumptions!$B$7,3,""))))</f>
        <v/>
      </c>
      <c r="O1171" s="9" t="n">
        <f aca="false">IF(N1171=1,Assumptions!$B$8,IF(N1171=2,Assumptions!$B$9,IF(N1171=3,Assumptions!$B$10,0)))</f>
        <v>0</v>
      </c>
      <c r="P1171" s="6" t="s">
        <v>30</v>
      </c>
      <c r="Q1171" s="6" t="s">
        <v>30</v>
      </c>
      <c r="R1171" s="11" t="s">
        <v>30</v>
      </c>
      <c r="S1171" s="6" t="s">
        <v>30</v>
      </c>
      <c r="T1171" s="11" t="s">
        <v>30</v>
      </c>
      <c r="U1171" s="6" t="s">
        <v>30</v>
      </c>
      <c r="V1171" s="6" t="s">
        <v>30</v>
      </c>
      <c r="W1171" s="6" t="s">
        <v>30</v>
      </c>
      <c r="X1171" s="2" t="s">
        <v>30</v>
      </c>
      <c r="Y1171" s="6" t="str">
        <f aca="false">IF(AND(X1171="processed",ISNUMBER(S1171)),S1171*O1171,"")</f>
        <v/>
      </c>
      <c r="Z1171" s="6" t="n">
        <f aca="false">IF(ISNUMBER(K1171),K1171*O1171,0)</f>
        <v>0</v>
      </c>
      <c r="AA1171" s="2" t="s">
        <v>31</v>
      </c>
      <c r="AB1171" s="6" t="n">
        <v>18207</v>
      </c>
      <c r="AC1171" s="6" t="n">
        <v>16250</v>
      </c>
      <c r="AD1171" s="6" t="n">
        <v>10515</v>
      </c>
      <c r="AE1171" s="6" t="n">
        <v>2487.49438476563</v>
      </c>
      <c r="AF1171" s="8" t="n">
        <v>426.805300587</v>
      </c>
      <c r="AG1171" s="11" t="n">
        <v>0.04027929308</v>
      </c>
      <c r="AH1171" s="12" t="n">
        <v>0.999999999999999</v>
      </c>
      <c r="AI1171" s="2" t="s">
        <v>325</v>
      </c>
      <c r="AJ1171" s="2" t="s">
        <v>2630</v>
      </c>
      <c r="AK1171" s="2" t="s">
        <v>2627</v>
      </c>
    </row>
    <row r="1172" customFormat="false" ht="15" hidden="false" customHeight="false" outlineLevel="0" collapsed="false">
      <c r="A1172" s="9"/>
      <c r="B1172" s="2" t="s">
        <v>2631</v>
      </c>
      <c r="C1172" s="2" t="s">
        <v>2627</v>
      </c>
      <c r="D1172" s="2" t="s">
        <v>423</v>
      </c>
      <c r="E1172" s="2" t="s">
        <v>51</v>
      </c>
      <c r="F1172" s="2"/>
      <c r="G1172" s="2" t="s">
        <v>425</v>
      </c>
      <c r="H1172" s="8" t="n">
        <v>425.85340435103</v>
      </c>
      <c r="I1172" s="2" t="s">
        <v>316</v>
      </c>
      <c r="J1172" s="8" t="n">
        <v>622810</v>
      </c>
      <c r="K1172" s="6" t="n">
        <v>100</v>
      </c>
      <c r="L1172" s="2"/>
      <c r="M1172" s="10" t="b">
        <f aca="false">TRUE()</f>
        <v>1</v>
      </c>
      <c r="N1172" s="9" t="str">
        <f aca="false">IF(H1172="","",IF(H1172&gt;=Assumptions!$B$5,1,IF(H1172&gt;=Assumptions!$B$6,2,IF(H1172&gt;=Assumptions!$B$7,3,""))))</f>
        <v/>
      </c>
      <c r="O1172" s="9" t="n">
        <f aca="false">IF(N1172=1,Assumptions!$B$8,IF(N1172=2,Assumptions!$B$9,IF(N1172=3,Assumptions!$B$10,0)))</f>
        <v>0</v>
      </c>
      <c r="P1172" s="6" t="s">
        <v>30</v>
      </c>
      <c r="Q1172" s="6" t="s">
        <v>30</v>
      </c>
      <c r="R1172" s="11" t="s">
        <v>30</v>
      </c>
      <c r="S1172" s="6" t="s">
        <v>30</v>
      </c>
      <c r="T1172" s="11" t="s">
        <v>30</v>
      </c>
      <c r="U1172" s="6" t="s">
        <v>30</v>
      </c>
      <c r="V1172" s="6" t="s">
        <v>30</v>
      </c>
      <c r="W1172" s="6" t="s">
        <v>30</v>
      </c>
      <c r="X1172" s="2" t="s">
        <v>30</v>
      </c>
      <c r="Y1172" s="6" t="str">
        <f aca="false">IF(AND(X1172="processed",ISNUMBER(S1172)),S1172*O1172,"")</f>
        <v/>
      </c>
      <c r="Z1172" s="6" t="n">
        <f aca="false">IF(ISNUMBER(K1172),K1172*O1172,0)</f>
        <v>0</v>
      </c>
      <c r="AA1172" s="2" t="s">
        <v>31</v>
      </c>
      <c r="AB1172" s="6" t="n">
        <v>12977</v>
      </c>
      <c r="AC1172" s="6" t="n">
        <v>11456</v>
      </c>
      <c r="AD1172" s="6" t="n">
        <v>8540</v>
      </c>
      <c r="AE1172" s="6" t="n">
        <v>2111.16772460938</v>
      </c>
      <c r="AF1172" s="8" t="n">
        <v>432.7563249</v>
      </c>
      <c r="AG1172" s="11" t="n">
        <v>0.04550263039</v>
      </c>
      <c r="AH1172" s="12" t="n">
        <v>0.990966481296095</v>
      </c>
      <c r="AI1172" s="2" t="s">
        <v>321</v>
      </c>
      <c r="AJ1172" s="2" t="s">
        <v>2627</v>
      </c>
      <c r="AK1172" s="2" t="s">
        <v>2627</v>
      </c>
    </row>
    <row r="1173" customFormat="false" ht="15" hidden="false" customHeight="false" outlineLevel="0" collapsed="false">
      <c r="A1173" s="9"/>
      <c r="B1173" s="2" t="s">
        <v>2632</v>
      </c>
      <c r="C1173" s="2" t="s">
        <v>2633</v>
      </c>
      <c r="D1173" s="2" t="s">
        <v>595</v>
      </c>
      <c r="E1173" s="2" t="s">
        <v>51</v>
      </c>
      <c r="F1173" s="2"/>
      <c r="G1173" s="2" t="s">
        <v>597</v>
      </c>
      <c r="H1173" s="8" t="n">
        <v>374.517683490429</v>
      </c>
      <c r="I1173" s="2" t="s">
        <v>316</v>
      </c>
      <c r="J1173" s="8" t="n">
        <v>467178.571428571</v>
      </c>
      <c r="K1173" s="6" t="n">
        <v>14</v>
      </c>
      <c r="L1173" s="2"/>
      <c r="M1173" s="10" t="b">
        <f aca="false">TRUE()</f>
        <v>1</v>
      </c>
      <c r="N1173" s="9" t="str">
        <f aca="false">IF(H1173="","",IF(H1173&gt;=Assumptions!$B$5,1,IF(H1173&gt;=Assumptions!$B$6,2,IF(H1173&gt;=Assumptions!$B$7,3,""))))</f>
        <v/>
      </c>
      <c r="O1173" s="9" t="n">
        <f aca="false">IF(N1173=1,Assumptions!$B$8,IF(N1173=2,Assumptions!$B$9,IF(N1173=3,Assumptions!$B$10,0)))</f>
        <v>0</v>
      </c>
      <c r="P1173" s="6" t="s">
        <v>30</v>
      </c>
      <c r="Q1173" s="6" t="s">
        <v>30</v>
      </c>
      <c r="R1173" s="11" t="s">
        <v>30</v>
      </c>
      <c r="S1173" s="6" t="s">
        <v>30</v>
      </c>
      <c r="T1173" s="11" t="s">
        <v>30</v>
      </c>
      <c r="U1173" s="6" t="s">
        <v>30</v>
      </c>
      <c r="V1173" s="6" t="s">
        <v>30</v>
      </c>
      <c r="W1173" s="6" t="s">
        <v>30</v>
      </c>
      <c r="X1173" s="2" t="s">
        <v>30</v>
      </c>
      <c r="Y1173" s="6" t="str">
        <f aca="false">IF(AND(X1173="processed",ISNUMBER(S1173)),S1173*O1173,"")</f>
        <v/>
      </c>
      <c r="Z1173" s="6" t="n">
        <f aca="false">IF(ISNUMBER(K1173),K1173*O1173,0)</f>
        <v>0</v>
      </c>
      <c r="AA1173" s="2" t="s">
        <v>31</v>
      </c>
      <c r="AB1173" s="6" t="n">
        <v>1605</v>
      </c>
      <c r="AC1173" s="6" t="n">
        <v>1118</v>
      </c>
      <c r="AD1173" s="6" t="n">
        <v>186</v>
      </c>
      <c r="AE1173" s="6" t="n">
        <v>2052.84057617188</v>
      </c>
      <c r="AF1173" s="8" t="n">
        <v>399.758825944</v>
      </c>
      <c r="AG1173" s="11" t="n">
        <v>0.1196497198</v>
      </c>
      <c r="AH1173" s="12" t="n">
        <v>0.823151392978198</v>
      </c>
      <c r="AI1173" s="2" t="s">
        <v>317</v>
      </c>
      <c r="AJ1173" s="2" t="s">
        <v>2633</v>
      </c>
      <c r="AK1173" s="2" t="s">
        <v>2633</v>
      </c>
    </row>
    <row r="1174" customFormat="false" ht="15" hidden="false" customHeight="false" outlineLevel="0" collapsed="false">
      <c r="A1174" s="9"/>
      <c r="B1174" s="2" t="s">
        <v>2634</v>
      </c>
      <c r="C1174" s="2" t="s">
        <v>2635</v>
      </c>
      <c r="D1174" s="2" t="s">
        <v>2445</v>
      </c>
      <c r="E1174" s="2" t="s">
        <v>51</v>
      </c>
      <c r="F1174" s="2"/>
      <c r="G1174" s="2" t="s">
        <v>2446</v>
      </c>
      <c r="H1174" s="8" t="n">
        <v>208.9512640675</v>
      </c>
      <c r="I1174" s="2" t="s">
        <v>316</v>
      </c>
      <c r="J1174" s="8" t="n">
        <v>281609.375</v>
      </c>
      <c r="K1174" s="6" t="n">
        <v>32</v>
      </c>
      <c r="L1174" s="2"/>
      <c r="M1174" s="10" t="b">
        <f aca="false">TRUE()</f>
        <v>1</v>
      </c>
      <c r="N1174" s="9" t="str">
        <f aca="false">IF(H1174="","",IF(H1174&gt;=Assumptions!$B$5,1,IF(H1174&gt;=Assumptions!$B$6,2,IF(H1174&gt;=Assumptions!$B$7,3,""))))</f>
        <v/>
      </c>
      <c r="O1174" s="9" t="n">
        <f aca="false">IF(N1174=1,Assumptions!$B$8,IF(N1174=2,Assumptions!$B$9,IF(N1174=3,Assumptions!$B$10,0)))</f>
        <v>0</v>
      </c>
      <c r="P1174" s="6" t="s">
        <v>30</v>
      </c>
      <c r="Q1174" s="6" t="s">
        <v>30</v>
      </c>
      <c r="R1174" s="11" t="s">
        <v>30</v>
      </c>
      <c r="S1174" s="6" t="s">
        <v>30</v>
      </c>
      <c r="T1174" s="11" t="s">
        <v>30</v>
      </c>
      <c r="U1174" s="6" t="s">
        <v>30</v>
      </c>
      <c r="V1174" s="6" t="s">
        <v>30</v>
      </c>
      <c r="W1174" s="6" t="s">
        <v>30</v>
      </c>
      <c r="X1174" s="2" t="s">
        <v>30</v>
      </c>
      <c r="Y1174" s="6" t="str">
        <f aca="false">IF(AND(X1174="processed",ISNUMBER(S1174)),S1174*O1174,"")</f>
        <v/>
      </c>
      <c r="Z1174" s="6" t="n">
        <f aca="false">IF(ISNUMBER(K1174),K1174*O1174,0)</f>
        <v>0</v>
      </c>
      <c r="AA1174" s="2" t="s">
        <v>31</v>
      </c>
      <c r="AB1174" s="6" t="n">
        <v>3732</v>
      </c>
      <c r="AC1174" s="6" t="n">
        <v>2957</v>
      </c>
      <c r="AD1174" s="6" t="n">
        <v>2275</v>
      </c>
      <c r="AE1174" s="6" t="n">
        <v>1644.16455078125</v>
      </c>
      <c r="AF1174" s="8" t="n">
        <v>216.049382716</v>
      </c>
      <c r="AG1174" s="11" t="n">
        <v>0.04826377233</v>
      </c>
      <c r="AH1174" s="12" t="n">
        <v>0.999999999999999</v>
      </c>
      <c r="AI1174" s="2" t="s">
        <v>319</v>
      </c>
      <c r="AJ1174" s="2"/>
      <c r="AK1174" s="2" t="s">
        <v>2635</v>
      </c>
    </row>
    <row r="1175" customFormat="false" ht="15" hidden="false" customHeight="false" outlineLevel="0" collapsed="false">
      <c r="A1175" s="9"/>
      <c r="B1175" s="2" t="s">
        <v>2636</v>
      </c>
      <c r="C1175" s="2" t="s">
        <v>2635</v>
      </c>
      <c r="D1175" s="2" t="s">
        <v>2445</v>
      </c>
      <c r="E1175" s="2" t="s">
        <v>51</v>
      </c>
      <c r="F1175" s="2"/>
      <c r="G1175" s="2" t="s">
        <v>2446</v>
      </c>
      <c r="H1175" s="8" t="n">
        <v>189.692244512867</v>
      </c>
      <c r="I1175" s="2" t="s">
        <v>316</v>
      </c>
      <c r="J1175" s="8" t="n">
        <v>297558.59375</v>
      </c>
      <c r="K1175" s="6" t="n">
        <v>256</v>
      </c>
      <c r="L1175" s="2"/>
      <c r="M1175" s="10" t="b">
        <f aca="false">TRUE()</f>
        <v>1</v>
      </c>
      <c r="N1175" s="9" t="str">
        <f aca="false">IF(H1175="","",IF(H1175&gt;=Assumptions!$B$5,1,IF(H1175&gt;=Assumptions!$B$6,2,IF(H1175&gt;=Assumptions!$B$7,3,""))))</f>
        <v/>
      </c>
      <c r="O1175" s="9" t="n">
        <f aca="false">IF(N1175=1,Assumptions!$B$8,IF(N1175=2,Assumptions!$B$9,IF(N1175=3,Assumptions!$B$10,0)))</f>
        <v>0</v>
      </c>
      <c r="P1175" s="6" t="s">
        <v>30</v>
      </c>
      <c r="Q1175" s="6" t="s">
        <v>30</v>
      </c>
      <c r="R1175" s="11" t="s">
        <v>30</v>
      </c>
      <c r="S1175" s="6" t="s">
        <v>30</v>
      </c>
      <c r="T1175" s="11" t="s">
        <v>30</v>
      </c>
      <c r="U1175" s="6" t="s">
        <v>30</v>
      </c>
      <c r="V1175" s="6" t="s">
        <v>30</v>
      </c>
      <c r="W1175" s="6" t="s">
        <v>30</v>
      </c>
      <c r="X1175" s="2" t="s">
        <v>30</v>
      </c>
      <c r="Y1175" s="6" t="str">
        <f aca="false">IF(AND(X1175="processed",ISNUMBER(S1175)),S1175*O1175,"")</f>
        <v/>
      </c>
      <c r="Z1175" s="6" t="n">
        <f aca="false">IF(ISNUMBER(K1175),K1175*O1175,0)</f>
        <v>0</v>
      </c>
      <c r="AA1175" s="2" t="s">
        <v>31</v>
      </c>
      <c r="AB1175" s="6" t="n">
        <v>5366</v>
      </c>
      <c r="AC1175" s="6" t="n">
        <v>5004</v>
      </c>
      <c r="AD1175" s="6" t="n">
        <v>1634</v>
      </c>
      <c r="AE1175" s="6" t="n">
        <v>2560.53173828125</v>
      </c>
      <c r="AF1175" s="8" t="n">
        <v>192.894758201</v>
      </c>
      <c r="AG1175" s="11" t="n">
        <v>0.006374291325</v>
      </c>
      <c r="AH1175" s="12" t="n">
        <v>1</v>
      </c>
      <c r="AI1175" s="2" t="s">
        <v>319</v>
      </c>
      <c r="AJ1175" s="2"/>
      <c r="AK1175" s="2" t="s">
        <v>2635</v>
      </c>
    </row>
    <row r="1176" customFormat="false" ht="15" hidden="false" customHeight="false" outlineLevel="0" collapsed="false">
      <c r="A1176" s="9"/>
      <c r="B1176" s="2" t="s">
        <v>2637</v>
      </c>
      <c r="C1176" s="2" t="s">
        <v>2638</v>
      </c>
      <c r="D1176" s="2" t="s">
        <v>70</v>
      </c>
      <c r="E1176" s="2" t="s">
        <v>71</v>
      </c>
      <c r="F1176" s="2"/>
      <c r="G1176" s="2" t="s">
        <v>329</v>
      </c>
      <c r="H1176" s="8" t="n">
        <v>394.623850129176</v>
      </c>
      <c r="I1176" s="2" t="s">
        <v>316</v>
      </c>
      <c r="J1176" s="8" t="n">
        <v>819926.470588235</v>
      </c>
      <c r="K1176" s="6" t="n">
        <v>68</v>
      </c>
      <c r="L1176" s="2"/>
      <c r="M1176" s="10" t="b">
        <f aca="false">TRUE()</f>
        <v>1</v>
      </c>
      <c r="N1176" s="9" t="str">
        <f aca="false">IF(H1176="","",IF(H1176&gt;=Assumptions!$B$5,1,IF(H1176&gt;=Assumptions!$B$6,2,IF(H1176&gt;=Assumptions!$B$7,3,""))))</f>
        <v/>
      </c>
      <c r="O1176" s="9" t="n">
        <f aca="false">IF(N1176=1,Assumptions!$B$8,IF(N1176=2,Assumptions!$B$9,IF(N1176=3,Assumptions!$B$10,0)))</f>
        <v>0</v>
      </c>
      <c r="P1176" s="6" t="s">
        <v>30</v>
      </c>
      <c r="Q1176" s="6" t="s">
        <v>30</v>
      </c>
      <c r="R1176" s="11" t="s">
        <v>30</v>
      </c>
      <c r="S1176" s="6" t="s">
        <v>30</v>
      </c>
      <c r="T1176" s="11" t="s">
        <v>30</v>
      </c>
      <c r="U1176" s="6" t="s">
        <v>30</v>
      </c>
      <c r="V1176" s="6" t="s">
        <v>30</v>
      </c>
      <c r="W1176" s="6" t="s">
        <v>30</v>
      </c>
      <c r="X1176" s="2" t="s">
        <v>30</v>
      </c>
      <c r="Y1176" s="6" t="str">
        <f aca="false">IF(AND(X1176="processed",ISNUMBER(S1176)),S1176*O1176,"")</f>
        <v/>
      </c>
      <c r="Z1176" s="6" t="n">
        <f aca="false">IF(ISNUMBER(K1176),K1176*O1176,0)</f>
        <v>0</v>
      </c>
      <c r="AA1176" s="2" t="s">
        <v>31</v>
      </c>
      <c r="AB1176" s="6" t="n">
        <v>6573</v>
      </c>
      <c r="AC1176" s="6" t="n">
        <v>4809</v>
      </c>
      <c r="AD1176" s="6" t="n">
        <v>528</v>
      </c>
      <c r="AE1176" s="6" t="n">
        <v>2130.89794921875</v>
      </c>
      <c r="AF1176" s="8" t="n">
        <v>406.710726995</v>
      </c>
      <c r="AG1176" s="11" t="n">
        <v>-0.01582459793</v>
      </c>
      <c r="AH1176" s="12" t="n">
        <v>0.999999999999999</v>
      </c>
      <c r="AI1176" s="2" t="s">
        <v>317</v>
      </c>
      <c r="AJ1176" s="2" t="s">
        <v>2638</v>
      </c>
      <c r="AK1176" s="2" t="s">
        <v>2639</v>
      </c>
    </row>
    <row r="1177" customFormat="false" ht="15" hidden="false" customHeight="false" outlineLevel="0" collapsed="false">
      <c r="A1177" s="9"/>
      <c r="B1177" s="2" t="s">
        <v>2640</v>
      </c>
      <c r="C1177" s="2" t="s">
        <v>2641</v>
      </c>
      <c r="D1177" s="2" t="s">
        <v>2642</v>
      </c>
      <c r="E1177" s="2" t="s">
        <v>51</v>
      </c>
      <c r="F1177" s="2"/>
      <c r="G1177" s="2"/>
      <c r="H1177" s="8"/>
      <c r="I1177" s="2"/>
      <c r="J1177" s="8"/>
      <c r="K1177" s="6"/>
      <c r="L1177" s="2"/>
      <c r="M1177" s="10" t="b">
        <f aca="false">TRUE()</f>
        <v>1</v>
      </c>
      <c r="N1177" s="9" t="str">
        <f aca="false">IF(H1177="","",IF(H1177&gt;=Assumptions!$B$5,1,IF(H1177&gt;=Assumptions!$B$6,2,IF(H1177&gt;=Assumptions!$B$7,3,""))))</f>
        <v/>
      </c>
      <c r="O1177" s="9" t="n">
        <f aca="false">IF(N1177=1,Assumptions!$B$8,IF(N1177=2,Assumptions!$B$9,IF(N1177=3,Assumptions!$B$10,0)))</f>
        <v>0</v>
      </c>
      <c r="P1177" s="6" t="s">
        <v>30</v>
      </c>
      <c r="Q1177" s="6" t="s">
        <v>30</v>
      </c>
      <c r="R1177" s="11" t="s">
        <v>30</v>
      </c>
      <c r="S1177" s="6" t="s">
        <v>30</v>
      </c>
      <c r="T1177" s="11" t="s">
        <v>30</v>
      </c>
      <c r="U1177" s="6" t="s">
        <v>30</v>
      </c>
      <c r="V1177" s="6" t="s">
        <v>30</v>
      </c>
      <c r="W1177" s="6" t="s">
        <v>30</v>
      </c>
      <c r="X1177" s="2" t="s">
        <v>30</v>
      </c>
      <c r="Y1177" s="6" t="str">
        <f aca="false">IF(AND(X1177="processed",ISNUMBER(S1177)),S1177*O1177,"")</f>
        <v/>
      </c>
      <c r="Z1177" s="6" t="n">
        <f aca="false">IF(ISNUMBER(K1177),K1177*O1177,0)</f>
        <v>0</v>
      </c>
      <c r="AA1177" s="2" t="s">
        <v>31</v>
      </c>
      <c r="AB1177" s="6" t="n">
        <v>314</v>
      </c>
      <c r="AC1177" s="6" t="n">
        <v>231</v>
      </c>
      <c r="AD1177" s="6" t="n">
        <v>29</v>
      </c>
      <c r="AE1177" s="6" t="n">
        <v>1487.75561523438</v>
      </c>
      <c r="AF1177" s="8"/>
      <c r="AG1177" s="11"/>
      <c r="AH1177" s="12" t="n">
        <v>0.99999283898382</v>
      </c>
      <c r="AI1177" s="2" t="s">
        <v>1597</v>
      </c>
      <c r="AJ1177" s="2"/>
      <c r="AK1177" s="2" t="s">
        <v>2641</v>
      </c>
    </row>
    <row r="1178" customFormat="false" ht="15" hidden="false" customHeight="false" outlineLevel="0" collapsed="false">
      <c r="A1178" s="9"/>
      <c r="B1178" s="2" t="s">
        <v>2643</v>
      </c>
      <c r="C1178" s="2" t="s">
        <v>2644</v>
      </c>
      <c r="D1178" s="2" t="s">
        <v>2182</v>
      </c>
      <c r="E1178" s="2" t="s">
        <v>51</v>
      </c>
      <c r="F1178" s="2"/>
      <c r="G1178" s="2"/>
      <c r="H1178" s="8"/>
      <c r="I1178" s="2"/>
      <c r="J1178" s="8"/>
      <c r="K1178" s="6"/>
      <c r="L1178" s="2"/>
      <c r="M1178" s="10" t="b">
        <f aca="false">TRUE()</f>
        <v>1</v>
      </c>
      <c r="N1178" s="9" t="str">
        <f aca="false">IF(H1178="","",IF(H1178&gt;=Assumptions!$B$5,1,IF(H1178&gt;=Assumptions!$B$6,2,IF(H1178&gt;=Assumptions!$B$7,3,""))))</f>
        <v/>
      </c>
      <c r="O1178" s="9" t="n">
        <f aca="false">IF(N1178=1,Assumptions!$B$8,IF(N1178=2,Assumptions!$B$9,IF(N1178=3,Assumptions!$B$10,0)))</f>
        <v>0</v>
      </c>
      <c r="P1178" s="6" t="s">
        <v>30</v>
      </c>
      <c r="Q1178" s="6" t="s">
        <v>30</v>
      </c>
      <c r="R1178" s="11" t="s">
        <v>30</v>
      </c>
      <c r="S1178" s="6" t="s">
        <v>30</v>
      </c>
      <c r="T1178" s="11" t="s">
        <v>30</v>
      </c>
      <c r="U1178" s="6" t="s">
        <v>30</v>
      </c>
      <c r="V1178" s="6" t="s">
        <v>30</v>
      </c>
      <c r="W1178" s="6" t="s">
        <v>30</v>
      </c>
      <c r="X1178" s="2" t="s">
        <v>30</v>
      </c>
      <c r="Y1178" s="6" t="str">
        <f aca="false">IF(AND(X1178="processed",ISNUMBER(S1178)),S1178*O1178,"")</f>
        <v/>
      </c>
      <c r="Z1178" s="6" t="n">
        <f aca="false">IF(ISNUMBER(K1178),K1178*O1178,0)</f>
        <v>0</v>
      </c>
      <c r="AA1178" s="2" t="s">
        <v>31</v>
      </c>
      <c r="AB1178" s="6" t="n">
        <v>1275</v>
      </c>
      <c r="AC1178" s="6" t="n">
        <v>1105</v>
      </c>
      <c r="AD1178" s="6" t="n">
        <v>96</v>
      </c>
      <c r="AE1178" s="6" t="n">
        <v>1820.93627929688</v>
      </c>
      <c r="AF1178" s="8"/>
      <c r="AG1178" s="11"/>
      <c r="AH1178" s="12" t="n">
        <v>0.999032744301463</v>
      </c>
      <c r="AI1178" s="2" t="s">
        <v>1597</v>
      </c>
      <c r="AJ1178" s="2"/>
      <c r="AK1178" s="2" t="s">
        <v>2644</v>
      </c>
    </row>
    <row r="1179" customFormat="false" ht="15" hidden="false" customHeight="false" outlineLevel="0" collapsed="false">
      <c r="A1179" s="9"/>
      <c r="B1179" s="2" t="s">
        <v>2645</v>
      </c>
      <c r="C1179" s="2" t="s">
        <v>2646</v>
      </c>
      <c r="D1179" s="2" t="s">
        <v>2642</v>
      </c>
      <c r="E1179" s="2" t="s">
        <v>51</v>
      </c>
      <c r="F1179" s="2" t="s">
        <v>2647</v>
      </c>
      <c r="G1179" s="2"/>
      <c r="H1179" s="8"/>
      <c r="I1179" s="2"/>
      <c r="J1179" s="8"/>
      <c r="K1179" s="6"/>
      <c r="L1179" s="2"/>
      <c r="M1179" s="10" t="b">
        <f aca="false">TRUE()</f>
        <v>1</v>
      </c>
      <c r="N1179" s="9" t="str">
        <f aca="false">IF(H1179="","",IF(H1179&gt;=Assumptions!$B$5,1,IF(H1179&gt;=Assumptions!$B$6,2,IF(H1179&gt;=Assumptions!$B$7,3,""))))</f>
        <v/>
      </c>
      <c r="O1179" s="9" t="n">
        <f aca="false">IF(N1179=1,Assumptions!$B$8,IF(N1179=2,Assumptions!$B$9,IF(N1179=3,Assumptions!$B$10,0)))</f>
        <v>0</v>
      </c>
      <c r="P1179" s="6" t="s">
        <v>30</v>
      </c>
      <c r="Q1179" s="6" t="s">
        <v>30</v>
      </c>
      <c r="R1179" s="11" t="s">
        <v>30</v>
      </c>
      <c r="S1179" s="6" t="s">
        <v>30</v>
      </c>
      <c r="T1179" s="11" t="s">
        <v>30</v>
      </c>
      <c r="U1179" s="6" t="s">
        <v>30</v>
      </c>
      <c r="V1179" s="6" t="s">
        <v>30</v>
      </c>
      <c r="W1179" s="6" t="s">
        <v>30</v>
      </c>
      <c r="X1179" s="2" t="s">
        <v>30</v>
      </c>
      <c r="Y1179" s="6" t="str">
        <f aca="false">IF(AND(X1179="processed",ISNUMBER(S1179)),S1179*O1179,"")</f>
        <v/>
      </c>
      <c r="Z1179" s="6" t="n">
        <f aca="false">IF(ISNUMBER(K1179),K1179*O1179,0)</f>
        <v>0</v>
      </c>
      <c r="AA1179" s="2" t="s">
        <v>31</v>
      </c>
      <c r="AB1179" s="6" t="n">
        <v>9086</v>
      </c>
      <c r="AC1179" s="6" t="n">
        <v>7761</v>
      </c>
      <c r="AD1179" s="6" t="n">
        <v>1092</v>
      </c>
      <c r="AE1179" s="6" t="n">
        <v>1884.88793945313</v>
      </c>
      <c r="AF1179" s="8"/>
      <c r="AG1179" s="11"/>
      <c r="AH1179" s="12" t="n">
        <v>0.595820810762005</v>
      </c>
      <c r="AI1179" s="2" t="s">
        <v>319</v>
      </c>
      <c r="AJ1179" s="2"/>
      <c r="AK1179" s="2" t="s">
        <v>2646</v>
      </c>
    </row>
    <row r="1180" customFormat="false" ht="15" hidden="false" customHeight="false" outlineLevel="0" collapsed="false">
      <c r="A1180" s="9"/>
      <c r="B1180" s="2" t="s">
        <v>2648</v>
      </c>
      <c r="C1180" s="2" t="s">
        <v>2649</v>
      </c>
      <c r="D1180" s="2" t="s">
        <v>524</v>
      </c>
      <c r="E1180" s="2" t="s">
        <v>456</v>
      </c>
      <c r="F1180" s="2"/>
      <c r="G1180" s="2" t="s">
        <v>458</v>
      </c>
      <c r="H1180" s="8" t="n">
        <v>173.863354591067</v>
      </c>
      <c r="I1180" s="2" t="s">
        <v>316</v>
      </c>
      <c r="J1180" s="8" t="n">
        <v>204000</v>
      </c>
      <c r="K1180" s="6" t="n">
        <v>15</v>
      </c>
      <c r="L1180" s="2"/>
      <c r="M1180" s="10" t="b">
        <f aca="false">TRUE()</f>
        <v>1</v>
      </c>
      <c r="N1180" s="9" t="str">
        <f aca="false">IF(H1180="","",IF(H1180&gt;=Assumptions!$B$5,1,IF(H1180&gt;=Assumptions!$B$6,2,IF(H1180&gt;=Assumptions!$B$7,3,""))))</f>
        <v/>
      </c>
      <c r="O1180" s="9" t="n">
        <f aca="false">IF(N1180=1,Assumptions!$B$8,IF(N1180=2,Assumptions!$B$9,IF(N1180=3,Assumptions!$B$10,0)))</f>
        <v>0</v>
      </c>
      <c r="P1180" s="6" t="s">
        <v>30</v>
      </c>
      <c r="Q1180" s="6" t="s">
        <v>30</v>
      </c>
      <c r="R1180" s="11" t="s">
        <v>30</v>
      </c>
      <c r="S1180" s="6" t="s">
        <v>30</v>
      </c>
      <c r="T1180" s="11" t="s">
        <v>30</v>
      </c>
      <c r="U1180" s="6" t="s">
        <v>30</v>
      </c>
      <c r="V1180" s="6" t="s">
        <v>30</v>
      </c>
      <c r="W1180" s="6" t="s">
        <v>30</v>
      </c>
      <c r="X1180" s="2" t="s">
        <v>30</v>
      </c>
      <c r="Y1180" s="6" t="str">
        <f aca="false">IF(AND(X1180="processed",ISNUMBER(S1180)),S1180*O1180,"")</f>
        <v/>
      </c>
      <c r="Z1180" s="6" t="n">
        <f aca="false">IF(ISNUMBER(K1180),K1180*O1180,0)</f>
        <v>0</v>
      </c>
      <c r="AA1180" s="2" t="s">
        <v>31</v>
      </c>
      <c r="AB1180" s="6" t="n">
        <v>1385</v>
      </c>
      <c r="AC1180" s="6" t="n">
        <v>1235</v>
      </c>
      <c r="AD1180" s="6" t="n">
        <v>118</v>
      </c>
      <c r="AE1180" s="6" t="n">
        <v>1738.26000976563</v>
      </c>
      <c r="AF1180" s="8" t="n">
        <v>164.028776978</v>
      </c>
      <c r="AG1180" s="11" t="n">
        <v>0.1887261955</v>
      </c>
      <c r="AH1180" s="12" t="n">
        <v>0.516562558499769</v>
      </c>
      <c r="AI1180" s="2" t="s">
        <v>1597</v>
      </c>
      <c r="AJ1180" s="2"/>
      <c r="AK1180" s="2" t="s">
        <v>2649</v>
      </c>
    </row>
    <row r="1181" customFormat="false" ht="15" hidden="false" customHeight="false" outlineLevel="0" collapsed="false">
      <c r="A1181" s="9"/>
      <c r="B1181" s="2" t="s">
        <v>2650</v>
      </c>
      <c r="C1181" s="2" t="s">
        <v>2651</v>
      </c>
      <c r="D1181" s="2" t="s">
        <v>2642</v>
      </c>
      <c r="E1181" s="2" t="s">
        <v>51</v>
      </c>
      <c r="F1181" s="2"/>
      <c r="G1181" s="2"/>
      <c r="H1181" s="8"/>
      <c r="I1181" s="2"/>
      <c r="J1181" s="8"/>
      <c r="K1181" s="6"/>
      <c r="L1181" s="2"/>
      <c r="M1181" s="10" t="b">
        <f aca="false">TRUE()</f>
        <v>1</v>
      </c>
      <c r="N1181" s="9" t="str">
        <f aca="false">IF(H1181="","",IF(H1181&gt;=Assumptions!$B$5,1,IF(H1181&gt;=Assumptions!$B$6,2,IF(H1181&gt;=Assumptions!$B$7,3,""))))</f>
        <v/>
      </c>
      <c r="O1181" s="9" t="n">
        <f aca="false">IF(N1181=1,Assumptions!$B$8,IF(N1181=2,Assumptions!$B$9,IF(N1181=3,Assumptions!$B$10,0)))</f>
        <v>0</v>
      </c>
      <c r="P1181" s="6" t="s">
        <v>30</v>
      </c>
      <c r="Q1181" s="6" t="s">
        <v>30</v>
      </c>
      <c r="R1181" s="11" t="s">
        <v>30</v>
      </c>
      <c r="S1181" s="6" t="s">
        <v>30</v>
      </c>
      <c r="T1181" s="11" t="s">
        <v>30</v>
      </c>
      <c r="U1181" s="6" t="s">
        <v>30</v>
      </c>
      <c r="V1181" s="6" t="s">
        <v>30</v>
      </c>
      <c r="W1181" s="6" t="s">
        <v>30</v>
      </c>
      <c r="X1181" s="2" t="s">
        <v>30</v>
      </c>
      <c r="Y1181" s="6" t="str">
        <f aca="false">IF(AND(X1181="processed",ISNUMBER(S1181)),S1181*O1181,"")</f>
        <v/>
      </c>
      <c r="Z1181" s="6" t="n">
        <f aca="false">IF(ISNUMBER(K1181),K1181*O1181,0)</f>
        <v>0</v>
      </c>
      <c r="AA1181" s="2" t="s">
        <v>31</v>
      </c>
      <c r="AB1181" s="6" t="n">
        <v>1454</v>
      </c>
      <c r="AC1181" s="6" t="n">
        <v>926</v>
      </c>
      <c r="AD1181" s="6" t="n">
        <v>94</v>
      </c>
      <c r="AE1181" s="6" t="n">
        <v>1446.8017578125</v>
      </c>
      <c r="AF1181" s="8"/>
      <c r="AG1181" s="11"/>
      <c r="AH1181" s="12" t="n">
        <v>0.998753708846888</v>
      </c>
      <c r="AI1181" s="2" t="s">
        <v>2380</v>
      </c>
      <c r="AJ1181" s="2" t="s">
        <v>2652</v>
      </c>
      <c r="AK1181" s="2" t="s">
        <v>2651</v>
      </c>
    </row>
    <row r="1182" customFormat="false" ht="15" hidden="false" customHeight="false" outlineLevel="0" collapsed="false">
      <c r="A1182" s="9"/>
      <c r="B1182" s="2" t="s">
        <v>2653</v>
      </c>
      <c r="C1182" s="2" t="s">
        <v>2450</v>
      </c>
      <c r="D1182" s="2" t="s">
        <v>2445</v>
      </c>
      <c r="E1182" s="2" t="s">
        <v>51</v>
      </c>
      <c r="F1182" s="2"/>
      <c r="G1182" s="2" t="s">
        <v>2446</v>
      </c>
      <c r="H1182" s="8" t="n">
        <v>235.750043627778</v>
      </c>
      <c r="I1182" s="2" t="s">
        <v>316</v>
      </c>
      <c r="J1182" s="8" t="n">
        <v>293533.333333333</v>
      </c>
      <c r="K1182" s="6" t="n">
        <v>9</v>
      </c>
      <c r="L1182" s="2"/>
      <c r="M1182" s="10" t="b">
        <f aca="false">TRUE()</f>
        <v>1</v>
      </c>
      <c r="N1182" s="9" t="str">
        <f aca="false">IF(H1182="","",IF(H1182&gt;=Assumptions!$B$5,1,IF(H1182&gt;=Assumptions!$B$6,2,IF(H1182&gt;=Assumptions!$B$7,3,""))))</f>
        <v/>
      </c>
      <c r="O1182" s="9" t="n">
        <f aca="false">IF(N1182=1,Assumptions!$B$8,IF(N1182=2,Assumptions!$B$9,IF(N1182=3,Assumptions!$B$10,0)))</f>
        <v>0</v>
      </c>
      <c r="P1182" s="6" t="s">
        <v>30</v>
      </c>
      <c r="Q1182" s="6" t="s">
        <v>30</v>
      </c>
      <c r="R1182" s="11" t="s">
        <v>30</v>
      </c>
      <c r="S1182" s="6" t="s">
        <v>30</v>
      </c>
      <c r="T1182" s="11" t="s">
        <v>30</v>
      </c>
      <c r="U1182" s="6" t="s">
        <v>30</v>
      </c>
      <c r="V1182" s="6" t="s">
        <v>30</v>
      </c>
      <c r="W1182" s="6" t="s">
        <v>30</v>
      </c>
      <c r="X1182" s="2" t="s">
        <v>30</v>
      </c>
      <c r="Y1182" s="6" t="str">
        <f aca="false">IF(AND(X1182="processed",ISNUMBER(S1182)),S1182*O1182,"")</f>
        <v/>
      </c>
      <c r="Z1182" s="6" t="n">
        <f aca="false">IF(ISNUMBER(K1182),K1182*O1182,0)</f>
        <v>0</v>
      </c>
      <c r="AA1182" s="2" t="s">
        <v>31</v>
      </c>
      <c r="AB1182" s="6" t="n">
        <v>1968</v>
      </c>
      <c r="AC1182" s="6" t="n">
        <v>1527</v>
      </c>
      <c r="AD1182" s="6" t="n">
        <v>1916</v>
      </c>
      <c r="AE1182" s="6" t="n">
        <v>1464.98620605469</v>
      </c>
      <c r="AF1182" s="8" t="n">
        <v>259.259259259</v>
      </c>
      <c r="AG1182" s="11" t="n">
        <v>0.09254042775</v>
      </c>
      <c r="AH1182" s="12" t="n">
        <v>1</v>
      </c>
      <c r="AI1182" s="2" t="s">
        <v>1597</v>
      </c>
      <c r="AJ1182" s="2"/>
      <c r="AK1182" s="2" t="s">
        <v>2450</v>
      </c>
    </row>
    <row r="1183" customFormat="false" ht="15" hidden="false" customHeight="false" outlineLevel="0" collapsed="false">
      <c r="A1183" s="9"/>
      <c r="B1183" s="2" t="s">
        <v>2654</v>
      </c>
      <c r="C1183" s="2" t="s">
        <v>2655</v>
      </c>
      <c r="D1183" s="2" t="s">
        <v>2445</v>
      </c>
      <c r="E1183" s="2" t="s">
        <v>51</v>
      </c>
      <c r="F1183" s="2"/>
      <c r="G1183" s="2"/>
      <c r="H1183" s="8"/>
      <c r="I1183" s="2"/>
      <c r="J1183" s="8"/>
      <c r="K1183" s="6"/>
      <c r="L1183" s="2"/>
      <c r="M1183" s="10" t="b">
        <f aca="false">TRUE()</f>
        <v>1</v>
      </c>
      <c r="N1183" s="9" t="str">
        <f aca="false">IF(H1183="","",IF(H1183&gt;=Assumptions!$B$5,1,IF(H1183&gt;=Assumptions!$B$6,2,IF(H1183&gt;=Assumptions!$B$7,3,""))))</f>
        <v/>
      </c>
      <c r="O1183" s="9" t="n">
        <f aca="false">IF(N1183=1,Assumptions!$B$8,IF(N1183=2,Assumptions!$B$9,IF(N1183=3,Assumptions!$B$10,0)))</f>
        <v>0</v>
      </c>
      <c r="P1183" s="6" t="s">
        <v>30</v>
      </c>
      <c r="Q1183" s="6" t="s">
        <v>30</v>
      </c>
      <c r="R1183" s="11" t="s">
        <v>30</v>
      </c>
      <c r="S1183" s="6" t="s">
        <v>30</v>
      </c>
      <c r="T1183" s="11" t="s">
        <v>30</v>
      </c>
      <c r="U1183" s="6" t="s">
        <v>30</v>
      </c>
      <c r="V1183" s="6" t="s">
        <v>30</v>
      </c>
      <c r="W1183" s="6" t="s">
        <v>30</v>
      </c>
      <c r="X1183" s="2" t="s">
        <v>30</v>
      </c>
      <c r="Y1183" s="6" t="str">
        <f aca="false">IF(AND(X1183="processed",ISNUMBER(S1183)),S1183*O1183,"")</f>
        <v/>
      </c>
      <c r="Z1183" s="6" t="n">
        <f aca="false">IF(ISNUMBER(K1183),K1183*O1183,0)</f>
        <v>0</v>
      </c>
      <c r="AA1183" s="2" t="s">
        <v>31</v>
      </c>
      <c r="AB1183" s="6" t="n">
        <v>154</v>
      </c>
      <c r="AC1183" s="6" t="n">
        <v>118</v>
      </c>
      <c r="AD1183" s="6" t="n">
        <v>92</v>
      </c>
      <c r="AE1183" s="6" t="n">
        <v>1270.3505859375</v>
      </c>
      <c r="AF1183" s="8"/>
      <c r="AG1183" s="11"/>
      <c r="AH1183" s="12" t="n">
        <v>0.999999999999999</v>
      </c>
      <c r="AI1183" s="2" t="s">
        <v>1597</v>
      </c>
      <c r="AJ1183" s="2"/>
      <c r="AK1183" s="2" t="s">
        <v>2655</v>
      </c>
    </row>
    <row r="1184" customFormat="false" ht="15" hidden="false" customHeight="false" outlineLevel="0" collapsed="false">
      <c r="A1184" s="9"/>
      <c r="B1184" s="2" t="s">
        <v>2656</v>
      </c>
      <c r="C1184" s="2" t="s">
        <v>2657</v>
      </c>
      <c r="D1184" s="2" t="s">
        <v>2182</v>
      </c>
      <c r="E1184" s="2" t="s">
        <v>51</v>
      </c>
      <c r="F1184" s="2"/>
      <c r="G1184" s="2"/>
      <c r="H1184" s="8"/>
      <c r="I1184" s="2"/>
      <c r="J1184" s="8"/>
      <c r="K1184" s="6"/>
      <c r="L1184" s="2"/>
      <c r="M1184" s="10" t="b">
        <f aca="false">TRUE()</f>
        <v>1</v>
      </c>
      <c r="N1184" s="9" t="str">
        <f aca="false">IF(H1184="","",IF(H1184&gt;=Assumptions!$B$5,1,IF(H1184&gt;=Assumptions!$B$6,2,IF(H1184&gt;=Assumptions!$B$7,3,""))))</f>
        <v/>
      </c>
      <c r="O1184" s="9" t="n">
        <f aca="false">IF(N1184=1,Assumptions!$B$8,IF(N1184=2,Assumptions!$B$9,IF(N1184=3,Assumptions!$B$10,0)))</f>
        <v>0</v>
      </c>
      <c r="P1184" s="6" t="s">
        <v>30</v>
      </c>
      <c r="Q1184" s="6" t="s">
        <v>30</v>
      </c>
      <c r="R1184" s="11" t="s">
        <v>30</v>
      </c>
      <c r="S1184" s="6" t="s">
        <v>30</v>
      </c>
      <c r="T1184" s="11" t="s">
        <v>30</v>
      </c>
      <c r="U1184" s="6" t="s">
        <v>30</v>
      </c>
      <c r="V1184" s="6" t="s">
        <v>30</v>
      </c>
      <c r="W1184" s="6" t="s">
        <v>30</v>
      </c>
      <c r="X1184" s="2" t="s">
        <v>30</v>
      </c>
      <c r="Y1184" s="6" t="str">
        <f aca="false">IF(AND(X1184="processed",ISNUMBER(S1184)),S1184*O1184,"")</f>
        <v/>
      </c>
      <c r="Z1184" s="6" t="n">
        <f aca="false">IF(ISNUMBER(K1184),K1184*O1184,0)</f>
        <v>0</v>
      </c>
      <c r="AA1184" s="2" t="s">
        <v>31</v>
      </c>
      <c r="AB1184" s="6" t="n">
        <v>372</v>
      </c>
      <c r="AC1184" s="6" t="n">
        <v>124</v>
      </c>
      <c r="AD1184" s="6" t="n">
        <v>3</v>
      </c>
      <c r="AE1184" s="6" t="n">
        <v>1103.70776367188</v>
      </c>
      <c r="AF1184" s="8"/>
      <c r="AG1184" s="11"/>
      <c r="AH1184" s="12" t="n">
        <v>1</v>
      </c>
      <c r="AI1184" s="2" t="s">
        <v>1597</v>
      </c>
      <c r="AJ1184" s="2"/>
      <c r="AK1184" s="2" t="s">
        <v>2657</v>
      </c>
    </row>
    <row r="1185" customFormat="false" ht="15" hidden="false" customHeight="false" outlineLevel="0" collapsed="false">
      <c r="A1185" s="9"/>
      <c r="B1185" s="2" t="s">
        <v>2658</v>
      </c>
      <c r="C1185" s="2" t="s">
        <v>2659</v>
      </c>
      <c r="D1185" s="2" t="s">
        <v>2445</v>
      </c>
      <c r="E1185" s="2" t="s">
        <v>51</v>
      </c>
      <c r="F1185" s="2"/>
      <c r="G1185" s="2" t="s">
        <v>2446</v>
      </c>
      <c r="H1185" s="8" t="n">
        <v>126.754647915273</v>
      </c>
      <c r="I1185" s="2" t="s">
        <v>316</v>
      </c>
      <c r="J1185" s="8" t="n">
        <v>157727.272727273</v>
      </c>
      <c r="K1185" s="6" t="n">
        <v>11</v>
      </c>
      <c r="L1185" s="2"/>
      <c r="M1185" s="10" t="b">
        <f aca="false">TRUE()</f>
        <v>1</v>
      </c>
      <c r="N1185" s="9" t="str">
        <f aca="false">IF(H1185="","",IF(H1185&gt;=Assumptions!$B$5,1,IF(H1185&gt;=Assumptions!$B$6,2,IF(H1185&gt;=Assumptions!$B$7,3,""))))</f>
        <v/>
      </c>
      <c r="O1185" s="9" t="n">
        <f aca="false">IF(N1185=1,Assumptions!$B$8,IF(N1185=2,Assumptions!$B$9,IF(N1185=3,Assumptions!$B$10,0)))</f>
        <v>0</v>
      </c>
      <c r="P1185" s="6" t="s">
        <v>30</v>
      </c>
      <c r="Q1185" s="6" t="s">
        <v>30</v>
      </c>
      <c r="R1185" s="11" t="s">
        <v>30</v>
      </c>
      <c r="S1185" s="6" t="s">
        <v>30</v>
      </c>
      <c r="T1185" s="11" t="s">
        <v>30</v>
      </c>
      <c r="U1185" s="6" t="s">
        <v>30</v>
      </c>
      <c r="V1185" s="6" t="s">
        <v>30</v>
      </c>
      <c r="W1185" s="6" t="s">
        <v>30</v>
      </c>
      <c r="X1185" s="2" t="s">
        <v>30</v>
      </c>
      <c r="Y1185" s="6" t="str">
        <f aca="false">IF(AND(X1185="processed",ISNUMBER(S1185)),S1185*O1185,"")</f>
        <v/>
      </c>
      <c r="Z1185" s="6" t="n">
        <f aca="false">IF(ISNUMBER(K1185),K1185*O1185,0)</f>
        <v>0</v>
      </c>
      <c r="AA1185" s="2" t="s">
        <v>31</v>
      </c>
      <c r="AB1185" s="6" t="n">
        <v>1785</v>
      </c>
      <c r="AC1185" s="6" t="n">
        <v>1478</v>
      </c>
      <c r="AD1185" s="6" t="n">
        <v>778</v>
      </c>
      <c r="AE1185" s="6" t="n">
        <v>2587.63916015625</v>
      </c>
      <c r="AF1185" s="8" t="n">
        <v>86.057814987</v>
      </c>
      <c r="AG1185" s="11" t="n">
        <v>-0.5714633483</v>
      </c>
      <c r="AH1185" s="12" t="n">
        <v>0.999936332531945</v>
      </c>
      <c r="AI1185" s="2" t="s">
        <v>1597</v>
      </c>
      <c r="AJ1185" s="2"/>
      <c r="AK1185" s="2" t="s">
        <v>2659</v>
      </c>
    </row>
    <row r="1186" customFormat="false" ht="15" hidden="false" customHeight="false" outlineLevel="0" collapsed="false">
      <c r="A1186" s="9"/>
      <c r="B1186" s="2" t="s">
        <v>2660</v>
      </c>
      <c r="C1186" s="2" t="s">
        <v>2661</v>
      </c>
      <c r="D1186" s="2" t="s">
        <v>2445</v>
      </c>
      <c r="E1186" s="2" t="s">
        <v>51</v>
      </c>
      <c r="F1186" s="2"/>
      <c r="G1186" s="2"/>
      <c r="H1186" s="8"/>
      <c r="I1186" s="2"/>
      <c r="J1186" s="8"/>
      <c r="K1186" s="6"/>
      <c r="L1186" s="2"/>
      <c r="M1186" s="10" t="b">
        <f aca="false">TRUE()</f>
        <v>1</v>
      </c>
      <c r="N1186" s="9" t="str">
        <f aca="false">IF(H1186="","",IF(H1186&gt;=Assumptions!$B$5,1,IF(H1186&gt;=Assumptions!$B$6,2,IF(H1186&gt;=Assumptions!$B$7,3,""))))</f>
        <v/>
      </c>
      <c r="O1186" s="9" t="n">
        <f aca="false">IF(N1186=1,Assumptions!$B$8,IF(N1186=2,Assumptions!$B$9,IF(N1186=3,Assumptions!$B$10,0)))</f>
        <v>0</v>
      </c>
      <c r="P1186" s="6" t="s">
        <v>30</v>
      </c>
      <c r="Q1186" s="6" t="s">
        <v>30</v>
      </c>
      <c r="R1186" s="11" t="s">
        <v>30</v>
      </c>
      <c r="S1186" s="6" t="s">
        <v>30</v>
      </c>
      <c r="T1186" s="11" t="s">
        <v>30</v>
      </c>
      <c r="U1186" s="6" t="s">
        <v>30</v>
      </c>
      <c r="V1186" s="6" t="s">
        <v>30</v>
      </c>
      <c r="W1186" s="6" t="s">
        <v>30</v>
      </c>
      <c r="X1186" s="2" t="s">
        <v>30</v>
      </c>
      <c r="Y1186" s="6" t="str">
        <f aca="false">IF(AND(X1186="processed",ISNUMBER(S1186)),S1186*O1186,"")</f>
        <v/>
      </c>
      <c r="Z1186" s="6" t="n">
        <f aca="false">IF(ISNUMBER(K1186),K1186*O1186,0)</f>
        <v>0</v>
      </c>
      <c r="AA1186" s="2" t="s">
        <v>31</v>
      </c>
      <c r="AB1186" s="6" t="n">
        <v>90</v>
      </c>
      <c r="AC1186" s="6" t="n">
        <v>54</v>
      </c>
      <c r="AD1186" s="6" t="n">
        <v>15</v>
      </c>
      <c r="AE1186" s="6" t="n">
        <v>2535.8251953125</v>
      </c>
      <c r="AF1186" s="8"/>
      <c r="AG1186" s="11"/>
      <c r="AH1186" s="12" t="n">
        <v>1</v>
      </c>
      <c r="AI1186" s="2" t="s">
        <v>1597</v>
      </c>
      <c r="AJ1186" s="2"/>
      <c r="AK1186" s="2" t="s">
        <v>2661</v>
      </c>
    </row>
    <row r="1187" customFormat="false" ht="15" hidden="false" customHeight="false" outlineLevel="0" collapsed="false">
      <c r="A1187" s="9"/>
      <c r="B1187" s="2" t="s">
        <v>2662</v>
      </c>
      <c r="C1187" s="2" t="s">
        <v>2663</v>
      </c>
      <c r="D1187" s="2" t="s">
        <v>2182</v>
      </c>
      <c r="E1187" s="2" t="s">
        <v>51</v>
      </c>
      <c r="F1187" s="2"/>
      <c r="G1187" s="2"/>
      <c r="H1187" s="8"/>
      <c r="I1187" s="2"/>
      <c r="J1187" s="8"/>
      <c r="K1187" s="6"/>
      <c r="L1187" s="2"/>
      <c r="M1187" s="10" t="b">
        <f aca="false">TRUE()</f>
        <v>1</v>
      </c>
      <c r="N1187" s="9" t="str">
        <f aca="false">IF(H1187="","",IF(H1187&gt;=Assumptions!$B$5,1,IF(H1187&gt;=Assumptions!$B$6,2,IF(H1187&gt;=Assumptions!$B$7,3,""))))</f>
        <v/>
      </c>
      <c r="O1187" s="9" t="n">
        <f aca="false">IF(N1187=1,Assumptions!$B$8,IF(N1187=2,Assumptions!$B$9,IF(N1187=3,Assumptions!$B$10,0)))</f>
        <v>0</v>
      </c>
      <c r="P1187" s="6" t="s">
        <v>30</v>
      </c>
      <c r="Q1187" s="6" t="s">
        <v>30</v>
      </c>
      <c r="R1187" s="11" t="s">
        <v>30</v>
      </c>
      <c r="S1187" s="6" t="s">
        <v>30</v>
      </c>
      <c r="T1187" s="11" t="s">
        <v>30</v>
      </c>
      <c r="U1187" s="6" t="s">
        <v>30</v>
      </c>
      <c r="V1187" s="6" t="s">
        <v>30</v>
      </c>
      <c r="W1187" s="6" t="s">
        <v>30</v>
      </c>
      <c r="X1187" s="2" t="s">
        <v>30</v>
      </c>
      <c r="Y1187" s="6" t="str">
        <f aca="false">IF(AND(X1187="processed",ISNUMBER(S1187)),S1187*O1187,"")</f>
        <v/>
      </c>
      <c r="Z1187" s="6" t="n">
        <f aca="false">IF(ISNUMBER(K1187),K1187*O1187,0)</f>
        <v>0</v>
      </c>
      <c r="AA1187" s="2" t="s">
        <v>31</v>
      </c>
      <c r="AB1187" s="6" t="n">
        <v>821</v>
      </c>
      <c r="AC1187" s="6" t="n">
        <v>621</v>
      </c>
      <c r="AD1187" s="6" t="n">
        <v>100</v>
      </c>
      <c r="AE1187" s="6" t="n">
        <v>1513.97802734375</v>
      </c>
      <c r="AF1187" s="8"/>
      <c r="AG1187" s="11"/>
      <c r="AH1187" s="12" t="n">
        <v>0.997860335495992</v>
      </c>
      <c r="AI1187" s="2" t="s">
        <v>1597</v>
      </c>
      <c r="AJ1187" s="2"/>
      <c r="AK1187" s="2" t="s">
        <v>2663</v>
      </c>
    </row>
    <row r="1188" customFormat="false" ht="15" hidden="false" customHeight="false" outlineLevel="0" collapsed="false">
      <c r="A1188" s="9"/>
      <c r="B1188" s="2" t="s">
        <v>2664</v>
      </c>
      <c r="C1188" s="2" t="s">
        <v>2665</v>
      </c>
      <c r="D1188" s="2" t="s">
        <v>2437</v>
      </c>
      <c r="E1188" s="2" t="s">
        <v>51</v>
      </c>
      <c r="F1188" s="2"/>
      <c r="G1188" s="2" t="s">
        <v>2438</v>
      </c>
      <c r="H1188" s="8" t="n">
        <v>174.33231019415</v>
      </c>
      <c r="I1188" s="2" t="s">
        <v>316</v>
      </c>
      <c r="J1188" s="8" t="n">
        <v>299500</v>
      </c>
      <c r="K1188" s="6" t="n">
        <v>20</v>
      </c>
      <c r="L1188" s="2"/>
      <c r="M1188" s="10" t="b">
        <f aca="false">TRUE()</f>
        <v>1</v>
      </c>
      <c r="N1188" s="9" t="str">
        <f aca="false">IF(H1188="","",IF(H1188&gt;=Assumptions!$B$5,1,IF(H1188&gt;=Assumptions!$B$6,2,IF(H1188&gt;=Assumptions!$B$7,3,""))))</f>
        <v/>
      </c>
      <c r="O1188" s="9" t="n">
        <f aca="false">IF(N1188=1,Assumptions!$B$8,IF(N1188=2,Assumptions!$B$9,IF(N1188=3,Assumptions!$B$10,0)))</f>
        <v>0</v>
      </c>
      <c r="P1188" s="6" t="s">
        <v>30</v>
      </c>
      <c r="Q1188" s="6" t="s">
        <v>30</v>
      </c>
      <c r="R1188" s="11" t="s">
        <v>30</v>
      </c>
      <c r="S1188" s="6" t="s">
        <v>30</v>
      </c>
      <c r="T1188" s="11" t="s">
        <v>30</v>
      </c>
      <c r="U1188" s="6" t="s">
        <v>30</v>
      </c>
      <c r="V1188" s="6" t="s">
        <v>30</v>
      </c>
      <c r="W1188" s="6" t="s">
        <v>30</v>
      </c>
      <c r="X1188" s="2" t="s">
        <v>30</v>
      </c>
      <c r="Y1188" s="6" t="str">
        <f aca="false">IF(AND(X1188="processed",ISNUMBER(S1188)),S1188*O1188,"")</f>
        <v/>
      </c>
      <c r="Z1188" s="6" t="n">
        <f aca="false">IF(ISNUMBER(K1188),K1188*O1188,0)</f>
        <v>0</v>
      </c>
      <c r="AA1188" s="2" t="s">
        <v>31</v>
      </c>
      <c r="AB1188" s="6" t="n">
        <v>2678</v>
      </c>
      <c r="AC1188" s="6" t="n">
        <v>2093</v>
      </c>
      <c r="AD1188" s="6" t="n">
        <v>1988</v>
      </c>
      <c r="AE1188" s="6" t="n">
        <v>1529.87109375</v>
      </c>
      <c r="AF1188" s="8" t="n">
        <v>195.30075188</v>
      </c>
      <c r="AG1188" s="11" t="n">
        <v>-0.04408396463</v>
      </c>
      <c r="AH1188" s="12" t="n">
        <v>0.865693065919414</v>
      </c>
      <c r="AI1188" s="2" t="s">
        <v>1597</v>
      </c>
      <c r="AJ1188" s="2"/>
      <c r="AK1188" s="2" t="s">
        <v>2665</v>
      </c>
    </row>
    <row r="1189" customFormat="false" ht="15" hidden="false" customHeight="false" outlineLevel="0" collapsed="false">
      <c r="A1189" s="9"/>
      <c r="B1189" s="2" t="s">
        <v>2666</v>
      </c>
      <c r="C1189" s="2" t="s">
        <v>2667</v>
      </c>
      <c r="D1189" s="2" t="s">
        <v>2445</v>
      </c>
      <c r="E1189" s="2" t="s">
        <v>51</v>
      </c>
      <c r="F1189" s="2"/>
      <c r="G1189" s="2" t="s">
        <v>458</v>
      </c>
      <c r="H1189" s="8" t="n">
        <v>112.522203431</v>
      </c>
      <c r="I1189" s="2" t="s">
        <v>316</v>
      </c>
      <c r="J1189" s="8" t="n">
        <v>38000</v>
      </c>
      <c r="K1189" s="6" t="n">
        <v>3</v>
      </c>
      <c r="L1189" s="2" t="s">
        <v>1664</v>
      </c>
      <c r="M1189" s="10" t="b">
        <f aca="false">TRUE()</f>
        <v>1</v>
      </c>
      <c r="N1189" s="9" t="str">
        <f aca="false">IF(H1189="","",IF(H1189&gt;=Assumptions!$B$5,1,IF(H1189&gt;=Assumptions!$B$6,2,IF(H1189&gt;=Assumptions!$B$7,3,""))))</f>
        <v/>
      </c>
      <c r="O1189" s="9" t="n">
        <f aca="false">IF(N1189=1,Assumptions!$B$8,IF(N1189=2,Assumptions!$B$9,IF(N1189=3,Assumptions!$B$10,0)))</f>
        <v>0</v>
      </c>
      <c r="P1189" s="6" t="s">
        <v>30</v>
      </c>
      <c r="Q1189" s="6" t="s">
        <v>30</v>
      </c>
      <c r="R1189" s="11" t="s">
        <v>30</v>
      </c>
      <c r="S1189" s="6" t="s">
        <v>30</v>
      </c>
      <c r="T1189" s="11" t="s">
        <v>30</v>
      </c>
      <c r="U1189" s="6" t="s">
        <v>30</v>
      </c>
      <c r="V1189" s="6" t="s">
        <v>30</v>
      </c>
      <c r="W1189" s="6" t="s">
        <v>30</v>
      </c>
      <c r="X1189" s="2" t="s">
        <v>30</v>
      </c>
      <c r="Y1189" s="6" t="str">
        <f aca="false">IF(AND(X1189="processed",ISNUMBER(S1189)),S1189*O1189,"")</f>
        <v/>
      </c>
      <c r="Z1189" s="6" t="n">
        <f aca="false">IF(ISNUMBER(K1189),K1189*O1189,0)</f>
        <v>0</v>
      </c>
      <c r="AA1189" s="2" t="s">
        <v>31</v>
      </c>
      <c r="AB1189" s="6" t="n">
        <v>246</v>
      </c>
      <c r="AC1189" s="6" t="n">
        <v>202</v>
      </c>
      <c r="AD1189" s="6" t="n">
        <v>238</v>
      </c>
      <c r="AE1189" s="6" t="n">
        <v>1168.2109375</v>
      </c>
      <c r="AF1189" s="8" t="n">
        <v>112.522203431</v>
      </c>
      <c r="AG1189" s="11" t="n">
        <v>-0.2603435579</v>
      </c>
      <c r="AH1189" s="12" t="n">
        <v>0.999998602024463</v>
      </c>
      <c r="AI1189" s="2" t="s">
        <v>1597</v>
      </c>
      <c r="AJ1189" s="2"/>
      <c r="AK1189" s="2" t="s">
        <v>2667</v>
      </c>
    </row>
    <row r="1190" customFormat="false" ht="15" hidden="false" customHeight="false" outlineLevel="0" collapsed="false">
      <c r="A1190" s="9"/>
      <c r="B1190" s="2" t="s">
        <v>2668</v>
      </c>
      <c r="C1190" s="2" t="s">
        <v>2669</v>
      </c>
      <c r="D1190" s="2" t="s">
        <v>2642</v>
      </c>
      <c r="E1190" s="2" t="s">
        <v>51</v>
      </c>
      <c r="F1190" s="2"/>
      <c r="G1190" s="2"/>
      <c r="H1190" s="8"/>
      <c r="I1190" s="2"/>
      <c r="J1190" s="8"/>
      <c r="K1190" s="6"/>
      <c r="L1190" s="2"/>
      <c r="M1190" s="10" t="b">
        <f aca="false">TRUE()</f>
        <v>1</v>
      </c>
      <c r="N1190" s="9" t="str">
        <f aca="false">IF(H1190="","",IF(H1190&gt;=Assumptions!$B$5,1,IF(H1190&gt;=Assumptions!$B$6,2,IF(H1190&gt;=Assumptions!$B$7,3,""))))</f>
        <v/>
      </c>
      <c r="O1190" s="9" t="n">
        <f aca="false">IF(N1190=1,Assumptions!$B$8,IF(N1190=2,Assumptions!$B$9,IF(N1190=3,Assumptions!$B$10,0)))</f>
        <v>0</v>
      </c>
      <c r="P1190" s="6" t="s">
        <v>30</v>
      </c>
      <c r="Q1190" s="6" t="s">
        <v>30</v>
      </c>
      <c r="R1190" s="11" t="s">
        <v>30</v>
      </c>
      <c r="S1190" s="6" t="s">
        <v>30</v>
      </c>
      <c r="T1190" s="11" t="s">
        <v>30</v>
      </c>
      <c r="U1190" s="6" t="s">
        <v>30</v>
      </c>
      <c r="V1190" s="6" t="s">
        <v>30</v>
      </c>
      <c r="W1190" s="6" t="s">
        <v>30</v>
      </c>
      <c r="X1190" s="2" t="s">
        <v>30</v>
      </c>
      <c r="Y1190" s="6" t="str">
        <f aca="false">IF(AND(X1190="processed",ISNUMBER(S1190)),S1190*O1190,"")</f>
        <v/>
      </c>
      <c r="Z1190" s="6" t="n">
        <f aca="false">IF(ISNUMBER(K1190),K1190*O1190,0)</f>
        <v>0</v>
      </c>
      <c r="AA1190" s="2" t="s">
        <v>31</v>
      </c>
      <c r="AB1190" s="6" t="n">
        <v>884</v>
      </c>
      <c r="AC1190" s="6" t="n">
        <v>764</v>
      </c>
      <c r="AD1190" s="6" t="n">
        <v>85</v>
      </c>
      <c r="AE1190" s="6" t="n">
        <v>1355.80810546875</v>
      </c>
      <c r="AF1190" s="8"/>
      <c r="AG1190" s="11"/>
      <c r="AH1190" s="12" t="n">
        <v>0.999999999999998</v>
      </c>
      <c r="AI1190" s="2" t="s">
        <v>350</v>
      </c>
      <c r="AJ1190" s="2" t="s">
        <v>2669</v>
      </c>
      <c r="AK1190" s="2" t="s">
        <v>2669</v>
      </c>
    </row>
    <row r="1191" customFormat="false" ht="15" hidden="false" customHeight="false" outlineLevel="0" collapsed="false">
      <c r="A1191" s="9"/>
      <c r="B1191" s="2" t="s">
        <v>2670</v>
      </c>
      <c r="C1191" s="2" t="s">
        <v>2671</v>
      </c>
      <c r="D1191" s="2" t="s">
        <v>2182</v>
      </c>
      <c r="E1191" s="2" t="s">
        <v>51</v>
      </c>
      <c r="F1191" s="2"/>
      <c r="G1191" s="2"/>
      <c r="H1191" s="8"/>
      <c r="I1191" s="2"/>
      <c r="J1191" s="8"/>
      <c r="K1191" s="6"/>
      <c r="L1191" s="2"/>
      <c r="M1191" s="10" t="b">
        <f aca="false">TRUE()</f>
        <v>1</v>
      </c>
      <c r="N1191" s="9" t="str">
        <f aca="false">IF(H1191="","",IF(H1191&gt;=Assumptions!$B$5,1,IF(H1191&gt;=Assumptions!$B$6,2,IF(H1191&gt;=Assumptions!$B$7,3,""))))</f>
        <v/>
      </c>
      <c r="O1191" s="9" t="n">
        <f aca="false">IF(N1191=1,Assumptions!$B$8,IF(N1191=2,Assumptions!$B$9,IF(N1191=3,Assumptions!$B$10,0)))</f>
        <v>0</v>
      </c>
      <c r="P1191" s="6" t="s">
        <v>30</v>
      </c>
      <c r="Q1191" s="6" t="s">
        <v>30</v>
      </c>
      <c r="R1191" s="11" t="s">
        <v>30</v>
      </c>
      <c r="S1191" s="6" t="s">
        <v>30</v>
      </c>
      <c r="T1191" s="11" t="s">
        <v>30</v>
      </c>
      <c r="U1191" s="6" t="s">
        <v>30</v>
      </c>
      <c r="V1191" s="6" t="s">
        <v>30</v>
      </c>
      <c r="W1191" s="6" t="s">
        <v>30</v>
      </c>
      <c r="X1191" s="2" t="s">
        <v>30</v>
      </c>
      <c r="Y1191" s="6" t="str">
        <f aca="false">IF(AND(X1191="processed",ISNUMBER(S1191)),S1191*O1191,"")</f>
        <v/>
      </c>
      <c r="Z1191" s="6" t="n">
        <f aca="false">IF(ISNUMBER(K1191),K1191*O1191,0)</f>
        <v>0</v>
      </c>
      <c r="AA1191" s="2" t="s">
        <v>31</v>
      </c>
      <c r="AB1191" s="6" t="n">
        <v>70</v>
      </c>
      <c r="AC1191" s="6" t="n">
        <v>54</v>
      </c>
      <c r="AD1191" s="6" t="n">
        <v>9</v>
      </c>
      <c r="AE1191" s="6" t="n">
        <v>1204.65356445313</v>
      </c>
      <c r="AF1191" s="8"/>
      <c r="AG1191" s="11"/>
      <c r="AH1191" s="12" t="n">
        <v>1</v>
      </c>
      <c r="AI1191" s="2" t="s">
        <v>1597</v>
      </c>
      <c r="AJ1191" s="2"/>
      <c r="AK1191" s="2" t="s">
        <v>2671</v>
      </c>
    </row>
    <row r="1192" customFormat="false" ht="15" hidden="false" customHeight="false" outlineLevel="0" collapsed="false">
      <c r="A1192" s="9"/>
      <c r="B1192" s="2" t="s">
        <v>2672</v>
      </c>
      <c r="C1192" s="2" t="s">
        <v>2673</v>
      </c>
      <c r="D1192" s="2" t="s">
        <v>2445</v>
      </c>
      <c r="E1192" s="2" t="s">
        <v>51</v>
      </c>
      <c r="F1192" s="2" t="s">
        <v>2674</v>
      </c>
      <c r="G1192" s="2" t="s">
        <v>2446</v>
      </c>
      <c r="H1192" s="8" t="n">
        <v>268.4485855929</v>
      </c>
      <c r="I1192" s="2" t="s">
        <v>316</v>
      </c>
      <c r="J1192" s="8" t="n">
        <v>568600</v>
      </c>
      <c r="K1192" s="6" t="n">
        <v>10</v>
      </c>
      <c r="L1192" s="2"/>
      <c r="M1192" s="10" t="b">
        <f aca="false">TRUE()</f>
        <v>1</v>
      </c>
      <c r="N1192" s="9" t="str">
        <f aca="false">IF(H1192="","",IF(H1192&gt;=Assumptions!$B$5,1,IF(H1192&gt;=Assumptions!$B$6,2,IF(H1192&gt;=Assumptions!$B$7,3,""))))</f>
        <v/>
      </c>
      <c r="O1192" s="9" t="n">
        <f aca="false">IF(N1192=1,Assumptions!$B$8,IF(N1192=2,Assumptions!$B$9,IF(N1192=3,Assumptions!$B$10,0)))</f>
        <v>0</v>
      </c>
      <c r="P1192" s="6" t="s">
        <v>30</v>
      </c>
      <c r="Q1192" s="6" t="s">
        <v>30</v>
      </c>
      <c r="R1192" s="11" t="s">
        <v>30</v>
      </c>
      <c r="S1192" s="6" t="s">
        <v>30</v>
      </c>
      <c r="T1192" s="11" t="s">
        <v>30</v>
      </c>
      <c r="U1192" s="6" t="s">
        <v>30</v>
      </c>
      <c r="V1192" s="6" t="s">
        <v>30</v>
      </c>
      <c r="W1192" s="6" t="s">
        <v>30</v>
      </c>
      <c r="X1192" s="2" t="s">
        <v>30</v>
      </c>
      <c r="Y1192" s="6" t="str">
        <f aca="false">IF(AND(X1192="processed",ISNUMBER(S1192)),S1192*O1192,"")</f>
        <v/>
      </c>
      <c r="Z1192" s="6" t="n">
        <f aca="false">IF(ISNUMBER(K1192),K1192*O1192,0)</f>
        <v>0</v>
      </c>
      <c r="AA1192" s="2" t="s">
        <v>31</v>
      </c>
      <c r="AB1192" s="6" t="n">
        <v>556</v>
      </c>
      <c r="AC1192" s="6" t="n">
        <v>448</v>
      </c>
      <c r="AD1192" s="6" t="n">
        <v>532</v>
      </c>
      <c r="AE1192" s="6" t="n">
        <v>1945.50048828125</v>
      </c>
      <c r="AF1192" s="8" t="n">
        <v>258.107056985</v>
      </c>
      <c r="AG1192" s="11" t="n">
        <v>-0.07022820314</v>
      </c>
      <c r="AH1192" s="12" t="n">
        <v>1</v>
      </c>
      <c r="AI1192" s="2" t="s">
        <v>1597</v>
      </c>
      <c r="AJ1192" s="2"/>
      <c r="AK1192" s="2" t="s">
        <v>2673</v>
      </c>
    </row>
    <row r="1193" customFormat="false" ht="15" hidden="false" customHeight="false" outlineLevel="0" collapsed="false">
      <c r="A1193" s="9"/>
      <c r="B1193" s="2" t="s">
        <v>2675</v>
      </c>
      <c r="C1193" s="2" t="s">
        <v>2676</v>
      </c>
      <c r="D1193" s="2" t="s">
        <v>70</v>
      </c>
      <c r="E1193" s="2" t="s">
        <v>71</v>
      </c>
      <c r="F1193" s="2"/>
      <c r="G1193" s="2" t="s">
        <v>329</v>
      </c>
      <c r="H1193" s="8" t="n">
        <v>322.455427985705</v>
      </c>
      <c r="I1193" s="2" t="s">
        <v>316</v>
      </c>
      <c r="J1193" s="8" t="n">
        <v>451818.181818182</v>
      </c>
      <c r="K1193" s="6" t="n">
        <v>44</v>
      </c>
      <c r="L1193" s="2"/>
      <c r="M1193" s="10" t="b">
        <f aca="false">TRUE()</f>
        <v>1</v>
      </c>
      <c r="N1193" s="9" t="str">
        <f aca="false">IF(H1193="","",IF(H1193&gt;=Assumptions!$B$5,1,IF(H1193&gt;=Assumptions!$B$6,2,IF(H1193&gt;=Assumptions!$B$7,3,""))))</f>
        <v/>
      </c>
      <c r="O1193" s="9" t="n">
        <f aca="false">IF(N1193=1,Assumptions!$B$8,IF(N1193=2,Assumptions!$B$9,IF(N1193=3,Assumptions!$B$10,0)))</f>
        <v>0</v>
      </c>
      <c r="P1193" s="6" t="s">
        <v>30</v>
      </c>
      <c r="Q1193" s="6" t="s">
        <v>30</v>
      </c>
      <c r="R1193" s="11" t="s">
        <v>30</v>
      </c>
      <c r="S1193" s="6" t="s">
        <v>30</v>
      </c>
      <c r="T1193" s="11" t="s">
        <v>30</v>
      </c>
      <c r="U1193" s="6" t="s">
        <v>30</v>
      </c>
      <c r="V1193" s="6" t="s">
        <v>30</v>
      </c>
      <c r="W1193" s="6" t="s">
        <v>30</v>
      </c>
      <c r="X1193" s="2" t="s">
        <v>30</v>
      </c>
      <c r="Y1193" s="6" t="str">
        <f aca="false">IF(AND(X1193="processed",ISNUMBER(S1193)),S1193*O1193,"")</f>
        <v/>
      </c>
      <c r="Z1193" s="6" t="n">
        <f aca="false">IF(ISNUMBER(K1193),K1193*O1193,0)</f>
        <v>0</v>
      </c>
      <c r="AA1193" s="2" t="s">
        <v>31</v>
      </c>
      <c r="AB1193" s="6" t="n">
        <v>2433</v>
      </c>
      <c r="AC1193" s="6" t="n">
        <v>1738</v>
      </c>
      <c r="AD1193" s="6" t="n">
        <v>85</v>
      </c>
      <c r="AE1193" s="6" t="n">
        <v>1741.22985839844</v>
      </c>
      <c r="AF1193" s="8" t="n">
        <v>342.146189736</v>
      </c>
      <c r="AG1193" s="11" t="n">
        <v>0.02643856921</v>
      </c>
      <c r="AH1193" s="12" t="n">
        <v>0.999999999999999</v>
      </c>
      <c r="AI1193" s="2" t="s">
        <v>317</v>
      </c>
      <c r="AJ1193" s="2" t="s">
        <v>2676</v>
      </c>
      <c r="AK1193" s="2" t="s">
        <v>2676</v>
      </c>
    </row>
    <row r="1194" customFormat="false" ht="15" hidden="false" customHeight="false" outlineLevel="0" collapsed="false">
      <c r="A1194" s="9"/>
      <c r="B1194" s="2" t="s">
        <v>2677</v>
      </c>
      <c r="C1194" s="2" t="s">
        <v>2678</v>
      </c>
      <c r="D1194" s="2" t="s">
        <v>70</v>
      </c>
      <c r="E1194" s="2" t="s">
        <v>71</v>
      </c>
      <c r="F1194" s="2"/>
      <c r="G1194" s="2" t="s">
        <v>329</v>
      </c>
      <c r="H1194" s="8" t="n">
        <v>292.665510913454</v>
      </c>
      <c r="I1194" s="2" t="s">
        <v>316</v>
      </c>
      <c r="J1194" s="8" t="n">
        <v>419552.469135803</v>
      </c>
      <c r="K1194" s="6" t="n">
        <v>324</v>
      </c>
      <c r="L1194" s="2"/>
      <c r="M1194" s="10" t="b">
        <f aca="false">TRUE()</f>
        <v>1</v>
      </c>
      <c r="N1194" s="9" t="str">
        <f aca="false">IF(H1194="","",IF(H1194&gt;=Assumptions!$B$5,1,IF(H1194&gt;=Assumptions!$B$6,2,IF(H1194&gt;=Assumptions!$B$7,3,""))))</f>
        <v/>
      </c>
      <c r="O1194" s="9" t="n">
        <f aca="false">IF(N1194=1,Assumptions!$B$8,IF(N1194=2,Assumptions!$B$9,IF(N1194=3,Assumptions!$B$10,0)))</f>
        <v>0</v>
      </c>
      <c r="P1194" s="6" t="s">
        <v>30</v>
      </c>
      <c r="Q1194" s="6" t="s">
        <v>30</v>
      </c>
      <c r="R1194" s="11" t="s">
        <v>30</v>
      </c>
      <c r="S1194" s="6" t="s">
        <v>30</v>
      </c>
      <c r="T1194" s="11" t="s">
        <v>30</v>
      </c>
      <c r="U1194" s="6" t="s">
        <v>30</v>
      </c>
      <c r="V1194" s="6" t="s">
        <v>30</v>
      </c>
      <c r="W1194" s="6" t="s">
        <v>30</v>
      </c>
      <c r="X1194" s="2" t="s">
        <v>30</v>
      </c>
      <c r="Y1194" s="6" t="str">
        <f aca="false">IF(AND(X1194="processed",ISNUMBER(S1194)),S1194*O1194,"")</f>
        <v/>
      </c>
      <c r="Z1194" s="6" t="n">
        <f aca="false">IF(ISNUMBER(K1194),K1194*O1194,0)</f>
        <v>0</v>
      </c>
      <c r="AA1194" s="2" t="s">
        <v>31</v>
      </c>
      <c r="AB1194" s="6" t="n">
        <v>15078</v>
      </c>
      <c r="AC1194" s="6" t="n">
        <v>12018</v>
      </c>
      <c r="AD1194" s="6" t="n">
        <v>265</v>
      </c>
      <c r="AE1194" s="6" t="n">
        <v>2202.6474609375</v>
      </c>
      <c r="AF1194" s="8" t="n">
        <v>283.176100629</v>
      </c>
      <c r="AG1194" s="11" t="n">
        <v>-0.09383647799</v>
      </c>
      <c r="AH1194" s="12" t="n">
        <v>1</v>
      </c>
      <c r="AI1194" s="2" t="s">
        <v>317</v>
      </c>
      <c r="AJ1194" s="2" t="s">
        <v>2678</v>
      </c>
      <c r="AK1194" s="2" t="s">
        <v>2678</v>
      </c>
    </row>
    <row r="1195" customFormat="false" ht="15" hidden="false" customHeight="false" outlineLevel="0" collapsed="false">
      <c r="A1195" s="9"/>
      <c r="B1195" s="2" t="s">
        <v>2679</v>
      </c>
      <c r="C1195" s="2" t="s">
        <v>2678</v>
      </c>
      <c r="D1195" s="2" t="s">
        <v>70</v>
      </c>
      <c r="E1195" s="2" t="s">
        <v>71</v>
      </c>
      <c r="F1195" s="2"/>
      <c r="G1195" s="2" t="s">
        <v>329</v>
      </c>
      <c r="H1195" s="8" t="n">
        <v>268.015322864211</v>
      </c>
      <c r="I1195" s="2" t="s">
        <v>316</v>
      </c>
      <c r="J1195" s="8" t="n">
        <v>435221.105527638</v>
      </c>
      <c r="K1195" s="6" t="n">
        <v>597</v>
      </c>
      <c r="L1195" s="2"/>
      <c r="M1195" s="10" t="b">
        <f aca="false">TRUE()</f>
        <v>1</v>
      </c>
      <c r="N1195" s="9" t="str">
        <f aca="false">IF(H1195="","",IF(H1195&gt;=Assumptions!$B$5,1,IF(H1195&gt;=Assumptions!$B$6,2,IF(H1195&gt;=Assumptions!$B$7,3,""))))</f>
        <v/>
      </c>
      <c r="O1195" s="9" t="n">
        <f aca="false">IF(N1195=1,Assumptions!$B$8,IF(N1195=2,Assumptions!$B$9,IF(N1195=3,Assumptions!$B$10,0)))</f>
        <v>0</v>
      </c>
      <c r="P1195" s="6" t="s">
        <v>30</v>
      </c>
      <c r="Q1195" s="6" t="s">
        <v>30</v>
      </c>
      <c r="R1195" s="11" t="s">
        <v>30</v>
      </c>
      <c r="S1195" s="6" t="s">
        <v>30</v>
      </c>
      <c r="T1195" s="11" t="s">
        <v>30</v>
      </c>
      <c r="U1195" s="6" t="s">
        <v>30</v>
      </c>
      <c r="V1195" s="6" t="s">
        <v>30</v>
      </c>
      <c r="W1195" s="6" t="s">
        <v>30</v>
      </c>
      <c r="X1195" s="2" t="s">
        <v>30</v>
      </c>
      <c r="Y1195" s="6" t="str">
        <f aca="false">IF(AND(X1195="processed",ISNUMBER(S1195)),S1195*O1195,"")</f>
        <v/>
      </c>
      <c r="Z1195" s="6" t="n">
        <f aca="false">IF(ISNUMBER(K1195),K1195*O1195,0)</f>
        <v>0</v>
      </c>
      <c r="AA1195" s="2" t="s">
        <v>31</v>
      </c>
      <c r="AB1195" s="6" t="n">
        <v>28112</v>
      </c>
      <c r="AC1195" s="6" t="n">
        <v>24861</v>
      </c>
      <c r="AD1195" s="6" t="n">
        <v>939</v>
      </c>
      <c r="AE1195" s="6" t="n">
        <v>2242.3330078125</v>
      </c>
      <c r="AF1195" s="8" t="n">
        <v>268.569674647</v>
      </c>
      <c r="AG1195" s="11" t="n">
        <v>0.004766547503</v>
      </c>
      <c r="AH1195" s="12" t="n">
        <v>0.999781059969431</v>
      </c>
      <c r="AI1195" s="2" t="s">
        <v>317</v>
      </c>
      <c r="AJ1195" s="2" t="s">
        <v>2678</v>
      </c>
      <c r="AK1195" s="2" t="s">
        <v>2678</v>
      </c>
    </row>
    <row r="1196" customFormat="false" ht="15" hidden="false" customHeight="false" outlineLevel="0" collapsed="false">
      <c r="A1196" s="9"/>
      <c r="B1196" s="2" t="s">
        <v>2680</v>
      </c>
      <c r="C1196" s="2" t="s">
        <v>2678</v>
      </c>
      <c r="D1196" s="2" t="s">
        <v>70</v>
      </c>
      <c r="E1196" s="2" t="s">
        <v>71</v>
      </c>
      <c r="F1196" s="2"/>
      <c r="G1196" s="2" t="s">
        <v>329</v>
      </c>
      <c r="H1196" s="8" t="n">
        <v>263.825681964702</v>
      </c>
      <c r="I1196" s="2" t="s">
        <v>316</v>
      </c>
      <c r="J1196" s="8" t="n">
        <v>543628.495339547</v>
      </c>
      <c r="K1196" s="6" t="n">
        <v>751</v>
      </c>
      <c r="L1196" s="2"/>
      <c r="M1196" s="10" t="b">
        <f aca="false">TRUE()</f>
        <v>1</v>
      </c>
      <c r="N1196" s="9" t="str">
        <f aca="false">IF(H1196="","",IF(H1196&gt;=Assumptions!$B$5,1,IF(H1196&gt;=Assumptions!$B$6,2,IF(H1196&gt;=Assumptions!$B$7,3,""))))</f>
        <v/>
      </c>
      <c r="O1196" s="9" t="n">
        <f aca="false">IF(N1196=1,Assumptions!$B$8,IF(N1196=2,Assumptions!$B$9,IF(N1196=3,Assumptions!$B$10,0)))</f>
        <v>0</v>
      </c>
      <c r="P1196" s="6" t="s">
        <v>30</v>
      </c>
      <c r="Q1196" s="6" t="s">
        <v>30</v>
      </c>
      <c r="R1196" s="11" t="s">
        <v>30</v>
      </c>
      <c r="S1196" s="6" t="s">
        <v>30</v>
      </c>
      <c r="T1196" s="11" t="s">
        <v>30</v>
      </c>
      <c r="U1196" s="6" t="s">
        <v>30</v>
      </c>
      <c r="V1196" s="6" t="s">
        <v>30</v>
      </c>
      <c r="W1196" s="6" t="s">
        <v>30</v>
      </c>
      <c r="X1196" s="2" t="s">
        <v>30</v>
      </c>
      <c r="Y1196" s="6" t="str">
        <f aca="false">IF(AND(X1196="processed",ISNUMBER(S1196)),S1196*O1196,"")</f>
        <v/>
      </c>
      <c r="Z1196" s="6" t="n">
        <f aca="false">IF(ISNUMBER(K1196),K1196*O1196,0)</f>
        <v>0</v>
      </c>
      <c r="AA1196" s="2" t="s">
        <v>31</v>
      </c>
      <c r="AB1196" s="6" t="n">
        <v>29583</v>
      </c>
      <c r="AC1196" s="6" t="n">
        <v>25794</v>
      </c>
      <c r="AD1196" s="6" t="n">
        <v>1402</v>
      </c>
      <c r="AE1196" s="6" t="n">
        <v>2552.9697265625</v>
      </c>
      <c r="AF1196" s="8" t="n">
        <v>262.557077626</v>
      </c>
      <c r="AG1196" s="11" t="n">
        <v>0.01864249665</v>
      </c>
      <c r="AH1196" s="12" t="n">
        <v>0.999700632250992</v>
      </c>
      <c r="AI1196" s="2" t="s">
        <v>317</v>
      </c>
      <c r="AJ1196" s="2" t="s">
        <v>2678</v>
      </c>
      <c r="AK1196" s="2" t="s">
        <v>2678</v>
      </c>
    </row>
    <row r="1197" customFormat="false" ht="15" hidden="false" customHeight="false" outlineLevel="0" collapsed="false">
      <c r="A1197" s="9"/>
      <c r="B1197" s="2" t="s">
        <v>2681</v>
      </c>
      <c r="C1197" s="2" t="s">
        <v>2682</v>
      </c>
      <c r="D1197" s="2" t="s">
        <v>2642</v>
      </c>
      <c r="E1197" s="2" t="s">
        <v>51</v>
      </c>
      <c r="F1197" s="2"/>
      <c r="G1197" s="2"/>
      <c r="H1197" s="8"/>
      <c r="I1197" s="2"/>
      <c r="J1197" s="8"/>
      <c r="K1197" s="6"/>
      <c r="L1197" s="2"/>
      <c r="M1197" s="10" t="b">
        <f aca="false">TRUE()</f>
        <v>1</v>
      </c>
      <c r="N1197" s="9" t="str">
        <f aca="false">IF(H1197="","",IF(H1197&gt;=Assumptions!$B$5,1,IF(H1197&gt;=Assumptions!$B$6,2,IF(H1197&gt;=Assumptions!$B$7,3,""))))</f>
        <v/>
      </c>
      <c r="O1197" s="9" t="n">
        <f aca="false">IF(N1197=1,Assumptions!$B$8,IF(N1197=2,Assumptions!$B$9,IF(N1197=3,Assumptions!$B$10,0)))</f>
        <v>0</v>
      </c>
      <c r="P1197" s="6" t="s">
        <v>30</v>
      </c>
      <c r="Q1197" s="6" t="s">
        <v>30</v>
      </c>
      <c r="R1197" s="11" t="s">
        <v>30</v>
      </c>
      <c r="S1197" s="6" t="s">
        <v>30</v>
      </c>
      <c r="T1197" s="11" t="s">
        <v>30</v>
      </c>
      <c r="U1197" s="6" t="s">
        <v>30</v>
      </c>
      <c r="V1197" s="6" t="s">
        <v>30</v>
      </c>
      <c r="W1197" s="6" t="s">
        <v>30</v>
      </c>
      <c r="X1197" s="2" t="s">
        <v>30</v>
      </c>
      <c r="Y1197" s="6" t="str">
        <f aca="false">IF(AND(X1197="processed",ISNUMBER(S1197)),S1197*O1197,"")</f>
        <v/>
      </c>
      <c r="Z1197" s="6" t="n">
        <f aca="false">IF(ISNUMBER(K1197),K1197*O1197,0)</f>
        <v>0</v>
      </c>
      <c r="AA1197" s="2" t="s">
        <v>31</v>
      </c>
      <c r="AB1197" s="6" t="n">
        <v>799</v>
      </c>
      <c r="AC1197" s="6" t="n">
        <v>511</v>
      </c>
      <c r="AD1197" s="6" t="n">
        <v>51</v>
      </c>
      <c r="AE1197" s="6" t="n">
        <v>1394.56286621094</v>
      </c>
      <c r="AF1197" s="8"/>
      <c r="AG1197" s="11"/>
      <c r="AH1197" s="12" t="n">
        <v>0.998893703086849</v>
      </c>
      <c r="AI1197" s="2" t="s">
        <v>2683</v>
      </c>
      <c r="AJ1197" s="2" t="s">
        <v>2684</v>
      </c>
      <c r="AK1197" s="2" t="s">
        <v>2685</v>
      </c>
    </row>
    <row r="1198" customFormat="false" ht="15" hidden="false" customHeight="false" outlineLevel="0" collapsed="false">
      <c r="A1198" s="9"/>
      <c r="B1198" s="2" t="s">
        <v>2686</v>
      </c>
      <c r="C1198" s="2" t="s">
        <v>2687</v>
      </c>
      <c r="D1198" s="2" t="s">
        <v>70</v>
      </c>
      <c r="E1198" s="2" t="s">
        <v>71</v>
      </c>
      <c r="F1198" s="2"/>
      <c r="G1198" s="2" t="s">
        <v>329</v>
      </c>
      <c r="H1198" s="8" t="n">
        <v>323.947662461989</v>
      </c>
      <c r="I1198" s="2" t="s">
        <v>316</v>
      </c>
      <c r="J1198" s="8" t="n">
        <v>500747.311827957</v>
      </c>
      <c r="K1198" s="6" t="n">
        <v>93</v>
      </c>
      <c r="L1198" s="2"/>
      <c r="M1198" s="10" t="b">
        <f aca="false">TRUE()</f>
        <v>1</v>
      </c>
      <c r="N1198" s="9" t="str">
        <f aca="false">IF(H1198="","",IF(H1198&gt;=Assumptions!$B$5,1,IF(H1198&gt;=Assumptions!$B$6,2,IF(H1198&gt;=Assumptions!$B$7,3,""))))</f>
        <v/>
      </c>
      <c r="O1198" s="9" t="n">
        <f aca="false">IF(N1198=1,Assumptions!$B$8,IF(N1198=2,Assumptions!$B$9,IF(N1198=3,Assumptions!$B$10,0)))</f>
        <v>0</v>
      </c>
      <c r="P1198" s="6" t="s">
        <v>30</v>
      </c>
      <c r="Q1198" s="6" t="s">
        <v>30</v>
      </c>
      <c r="R1198" s="11" t="s">
        <v>30</v>
      </c>
      <c r="S1198" s="6" t="s">
        <v>30</v>
      </c>
      <c r="T1198" s="11" t="s">
        <v>30</v>
      </c>
      <c r="U1198" s="6" t="s">
        <v>30</v>
      </c>
      <c r="V1198" s="6" t="s">
        <v>30</v>
      </c>
      <c r="W1198" s="6" t="s">
        <v>30</v>
      </c>
      <c r="X1198" s="2" t="s">
        <v>30</v>
      </c>
      <c r="Y1198" s="6" t="str">
        <f aca="false">IF(AND(X1198="processed",ISNUMBER(S1198)),S1198*O1198,"")</f>
        <v/>
      </c>
      <c r="Z1198" s="6" t="n">
        <f aca="false">IF(ISNUMBER(K1198),K1198*O1198,0)</f>
        <v>0</v>
      </c>
      <c r="AA1198" s="2" t="s">
        <v>31</v>
      </c>
      <c r="AB1198" s="6" t="n">
        <v>7862</v>
      </c>
      <c r="AC1198" s="6" t="n">
        <v>6037</v>
      </c>
      <c r="AD1198" s="6" t="n">
        <v>725</v>
      </c>
      <c r="AE1198" s="6" t="n">
        <v>2138.81030273438</v>
      </c>
      <c r="AF1198" s="8" t="n">
        <v>305.738476011</v>
      </c>
      <c r="AG1198" s="11" t="n">
        <v>0.007663060521</v>
      </c>
      <c r="AH1198" s="12" t="n">
        <v>0.999999999999998</v>
      </c>
      <c r="AI1198" s="2" t="s">
        <v>317</v>
      </c>
      <c r="AJ1198" s="2" t="s">
        <v>2687</v>
      </c>
      <c r="AK1198" s="2" t="s">
        <v>2639</v>
      </c>
    </row>
    <row r="1199" customFormat="false" ht="15" hidden="false" customHeight="false" outlineLevel="0" collapsed="false">
      <c r="A1199" s="9"/>
      <c r="B1199" s="2" t="s">
        <v>2688</v>
      </c>
      <c r="C1199" s="2" t="s">
        <v>2689</v>
      </c>
      <c r="D1199" s="2" t="s">
        <v>70</v>
      </c>
      <c r="E1199" s="2" t="s">
        <v>71</v>
      </c>
      <c r="F1199" s="2"/>
      <c r="G1199" s="2" t="s">
        <v>329</v>
      </c>
      <c r="H1199" s="8" t="n">
        <v>207.136143984072</v>
      </c>
      <c r="I1199" s="2" t="s">
        <v>316</v>
      </c>
      <c r="J1199" s="8" t="n">
        <v>348357.142857143</v>
      </c>
      <c r="K1199" s="6" t="n">
        <v>14</v>
      </c>
      <c r="L1199" s="2"/>
      <c r="M1199" s="10" t="b">
        <f aca="false">TRUE()</f>
        <v>1</v>
      </c>
      <c r="N1199" s="9" t="str">
        <f aca="false">IF(H1199="","",IF(H1199&gt;=Assumptions!$B$5,1,IF(H1199&gt;=Assumptions!$B$6,2,IF(H1199&gt;=Assumptions!$B$7,3,""))))</f>
        <v/>
      </c>
      <c r="O1199" s="9" t="n">
        <f aca="false">IF(N1199=1,Assumptions!$B$8,IF(N1199=2,Assumptions!$B$9,IF(N1199=3,Assumptions!$B$10,0)))</f>
        <v>0</v>
      </c>
      <c r="P1199" s="6" t="s">
        <v>30</v>
      </c>
      <c r="Q1199" s="6" t="s">
        <v>30</v>
      </c>
      <c r="R1199" s="11" t="s">
        <v>30</v>
      </c>
      <c r="S1199" s="6" t="s">
        <v>30</v>
      </c>
      <c r="T1199" s="11" t="s">
        <v>30</v>
      </c>
      <c r="U1199" s="6" t="s">
        <v>30</v>
      </c>
      <c r="V1199" s="6" t="s">
        <v>30</v>
      </c>
      <c r="W1199" s="6" t="s">
        <v>30</v>
      </c>
      <c r="X1199" s="2" t="s">
        <v>30</v>
      </c>
      <c r="Y1199" s="6" t="str">
        <f aca="false">IF(AND(X1199="processed",ISNUMBER(S1199)),S1199*O1199,"")</f>
        <v/>
      </c>
      <c r="Z1199" s="6" t="n">
        <f aca="false">IF(ISNUMBER(K1199),K1199*O1199,0)</f>
        <v>0</v>
      </c>
      <c r="AA1199" s="2" t="s">
        <v>31</v>
      </c>
      <c r="AB1199" s="6" t="n">
        <v>1684</v>
      </c>
      <c r="AC1199" s="6" t="n">
        <v>1177</v>
      </c>
      <c r="AD1199" s="6" t="n">
        <v>167</v>
      </c>
      <c r="AE1199" s="6" t="n">
        <v>1737.06652832031</v>
      </c>
      <c r="AF1199" s="8" t="n">
        <v>175.286595239</v>
      </c>
      <c r="AG1199" s="11" t="n">
        <v>-0.3530364216</v>
      </c>
      <c r="AH1199" s="12" t="n">
        <v>0.999500279437553</v>
      </c>
      <c r="AI1199" s="2" t="s">
        <v>317</v>
      </c>
      <c r="AJ1199" s="2" t="s">
        <v>2689</v>
      </c>
      <c r="AK1199" s="2" t="s">
        <v>2246</v>
      </c>
    </row>
    <row r="1200" customFormat="false" ht="15" hidden="false" customHeight="false" outlineLevel="0" collapsed="false">
      <c r="A1200" s="9"/>
      <c r="B1200" s="2" t="s">
        <v>2690</v>
      </c>
      <c r="C1200" s="2" t="s">
        <v>2691</v>
      </c>
      <c r="D1200" s="2" t="s">
        <v>2182</v>
      </c>
      <c r="E1200" s="2" t="s">
        <v>51</v>
      </c>
      <c r="F1200" s="2"/>
      <c r="G1200" s="2"/>
      <c r="H1200" s="8"/>
      <c r="I1200" s="2"/>
      <c r="J1200" s="8"/>
      <c r="K1200" s="6"/>
      <c r="L1200" s="2"/>
      <c r="M1200" s="10" t="b">
        <f aca="false">TRUE()</f>
        <v>1</v>
      </c>
      <c r="N1200" s="9" t="str">
        <f aca="false">IF(H1200="","",IF(H1200&gt;=Assumptions!$B$5,1,IF(H1200&gt;=Assumptions!$B$6,2,IF(H1200&gt;=Assumptions!$B$7,3,""))))</f>
        <v/>
      </c>
      <c r="O1200" s="9" t="n">
        <f aca="false">IF(N1200=1,Assumptions!$B$8,IF(N1200=2,Assumptions!$B$9,IF(N1200=3,Assumptions!$B$10,0)))</f>
        <v>0</v>
      </c>
      <c r="P1200" s="6" t="s">
        <v>30</v>
      </c>
      <c r="Q1200" s="6" t="s">
        <v>30</v>
      </c>
      <c r="R1200" s="11" t="s">
        <v>30</v>
      </c>
      <c r="S1200" s="6" t="s">
        <v>30</v>
      </c>
      <c r="T1200" s="11" t="s">
        <v>30</v>
      </c>
      <c r="U1200" s="6" t="s">
        <v>30</v>
      </c>
      <c r="V1200" s="6" t="s">
        <v>30</v>
      </c>
      <c r="W1200" s="6" t="s">
        <v>30</v>
      </c>
      <c r="X1200" s="2" t="s">
        <v>30</v>
      </c>
      <c r="Y1200" s="6" t="str">
        <f aca="false">IF(AND(X1200="processed",ISNUMBER(S1200)),S1200*O1200,"")</f>
        <v/>
      </c>
      <c r="Z1200" s="6" t="n">
        <f aca="false">IF(ISNUMBER(K1200),K1200*O1200,0)</f>
        <v>0</v>
      </c>
      <c r="AA1200" s="2" t="s">
        <v>31</v>
      </c>
      <c r="AB1200" s="6" t="n">
        <v>1647</v>
      </c>
      <c r="AC1200" s="6" t="n">
        <v>1316</v>
      </c>
      <c r="AD1200" s="6" t="n">
        <v>137</v>
      </c>
      <c r="AE1200" s="6" t="n">
        <v>1549.61669921875</v>
      </c>
      <c r="AF1200" s="8"/>
      <c r="AG1200" s="11"/>
      <c r="AH1200" s="12" t="n">
        <v>1</v>
      </c>
      <c r="AI1200" s="2" t="s">
        <v>1597</v>
      </c>
      <c r="AJ1200" s="2"/>
      <c r="AK1200" s="2" t="s">
        <v>2691</v>
      </c>
    </row>
    <row r="1201" customFormat="false" ht="15" hidden="false" customHeight="false" outlineLevel="0" collapsed="false">
      <c r="A1201" s="9"/>
      <c r="B1201" s="2" t="s">
        <v>2692</v>
      </c>
      <c r="C1201" s="2" t="s">
        <v>2693</v>
      </c>
      <c r="D1201" s="2" t="s">
        <v>2642</v>
      </c>
      <c r="E1201" s="2" t="s">
        <v>51</v>
      </c>
      <c r="F1201" s="2" t="s">
        <v>2694</v>
      </c>
      <c r="G1201" s="2"/>
      <c r="H1201" s="8"/>
      <c r="I1201" s="2"/>
      <c r="J1201" s="8"/>
      <c r="K1201" s="6"/>
      <c r="L1201" s="2"/>
      <c r="M1201" s="10" t="b">
        <f aca="false">TRUE()</f>
        <v>1</v>
      </c>
      <c r="N1201" s="9" t="str">
        <f aca="false">IF(H1201="","",IF(H1201&gt;=Assumptions!$B$5,1,IF(H1201&gt;=Assumptions!$B$6,2,IF(H1201&gt;=Assumptions!$B$7,3,""))))</f>
        <v/>
      </c>
      <c r="O1201" s="9" t="n">
        <f aca="false">IF(N1201=1,Assumptions!$B$8,IF(N1201=2,Assumptions!$B$9,IF(N1201=3,Assumptions!$B$10,0)))</f>
        <v>0</v>
      </c>
      <c r="P1201" s="6" t="s">
        <v>30</v>
      </c>
      <c r="Q1201" s="6" t="s">
        <v>30</v>
      </c>
      <c r="R1201" s="11" t="s">
        <v>30</v>
      </c>
      <c r="S1201" s="6" t="s">
        <v>30</v>
      </c>
      <c r="T1201" s="11" t="s">
        <v>30</v>
      </c>
      <c r="U1201" s="6" t="s">
        <v>30</v>
      </c>
      <c r="V1201" s="6" t="s">
        <v>30</v>
      </c>
      <c r="W1201" s="6" t="s">
        <v>30</v>
      </c>
      <c r="X1201" s="2" t="s">
        <v>30</v>
      </c>
      <c r="Y1201" s="6" t="str">
        <f aca="false">IF(AND(X1201="processed",ISNUMBER(S1201)),S1201*O1201,"")</f>
        <v/>
      </c>
      <c r="Z1201" s="6" t="n">
        <f aca="false">IF(ISNUMBER(K1201),K1201*O1201,0)</f>
        <v>0</v>
      </c>
      <c r="AA1201" s="2" t="s">
        <v>31</v>
      </c>
      <c r="AB1201" s="6" t="n">
        <v>6127</v>
      </c>
      <c r="AC1201" s="6" t="n">
        <v>5080</v>
      </c>
      <c r="AD1201" s="6" t="n">
        <v>181</v>
      </c>
      <c r="AE1201" s="6" t="n">
        <v>1833.86010742188</v>
      </c>
      <c r="AF1201" s="8"/>
      <c r="AG1201" s="11"/>
      <c r="AH1201" s="12" t="n">
        <v>0.997657108814611</v>
      </c>
      <c r="AI1201" s="2" t="s">
        <v>435</v>
      </c>
      <c r="AJ1201" s="2" t="s">
        <v>2693</v>
      </c>
      <c r="AK1201" s="2" t="s">
        <v>2693</v>
      </c>
    </row>
    <row r="1202" customFormat="false" ht="15" hidden="false" customHeight="false" outlineLevel="0" collapsed="false">
      <c r="A1202" s="9"/>
      <c r="B1202" s="2" t="s">
        <v>2695</v>
      </c>
      <c r="C1202" s="2" t="s">
        <v>2696</v>
      </c>
      <c r="D1202" s="2" t="s">
        <v>2182</v>
      </c>
      <c r="E1202" s="2" t="s">
        <v>51</v>
      </c>
      <c r="F1202" s="2"/>
      <c r="G1202" s="2"/>
      <c r="H1202" s="8"/>
      <c r="I1202" s="2"/>
      <c r="J1202" s="8"/>
      <c r="K1202" s="6"/>
      <c r="L1202" s="2"/>
      <c r="M1202" s="10" t="b">
        <f aca="false">TRUE()</f>
        <v>1</v>
      </c>
      <c r="N1202" s="9" t="str">
        <f aca="false">IF(H1202="","",IF(H1202&gt;=Assumptions!$B$5,1,IF(H1202&gt;=Assumptions!$B$6,2,IF(H1202&gt;=Assumptions!$B$7,3,""))))</f>
        <v/>
      </c>
      <c r="O1202" s="9" t="n">
        <f aca="false">IF(N1202=1,Assumptions!$B$8,IF(N1202=2,Assumptions!$B$9,IF(N1202=3,Assumptions!$B$10,0)))</f>
        <v>0</v>
      </c>
      <c r="P1202" s="6" t="s">
        <v>30</v>
      </c>
      <c r="Q1202" s="6" t="s">
        <v>30</v>
      </c>
      <c r="R1202" s="11" t="s">
        <v>30</v>
      </c>
      <c r="S1202" s="6" t="s">
        <v>30</v>
      </c>
      <c r="T1202" s="11" t="s">
        <v>30</v>
      </c>
      <c r="U1202" s="6" t="s">
        <v>30</v>
      </c>
      <c r="V1202" s="6" t="s">
        <v>30</v>
      </c>
      <c r="W1202" s="6" t="s">
        <v>30</v>
      </c>
      <c r="X1202" s="2" t="s">
        <v>30</v>
      </c>
      <c r="Y1202" s="6" t="str">
        <f aca="false">IF(AND(X1202="processed",ISNUMBER(S1202)),S1202*O1202,"")</f>
        <v/>
      </c>
      <c r="Z1202" s="6" t="n">
        <f aca="false">IF(ISNUMBER(K1202),K1202*O1202,0)</f>
        <v>0</v>
      </c>
      <c r="AA1202" s="2" t="s">
        <v>31</v>
      </c>
      <c r="AB1202" s="6" t="n">
        <v>518</v>
      </c>
      <c r="AC1202" s="6" t="n">
        <v>371</v>
      </c>
      <c r="AD1202" s="6" t="n">
        <v>183</v>
      </c>
      <c r="AE1202" s="6" t="n">
        <v>1346.23425292969</v>
      </c>
      <c r="AF1202" s="8"/>
      <c r="AG1202" s="11"/>
      <c r="AH1202" s="12" t="n">
        <v>0.999479307591456</v>
      </c>
      <c r="AI1202" s="2" t="s">
        <v>1597</v>
      </c>
      <c r="AJ1202" s="2"/>
      <c r="AK1202" s="2" t="s">
        <v>2696</v>
      </c>
    </row>
    <row r="1203" customFormat="false" ht="15" hidden="false" customHeight="false" outlineLevel="0" collapsed="false">
      <c r="A1203" s="9"/>
      <c r="B1203" s="2" t="s">
        <v>2697</v>
      </c>
      <c r="C1203" s="2" t="s">
        <v>2639</v>
      </c>
      <c r="D1203" s="2" t="s">
        <v>70</v>
      </c>
      <c r="E1203" s="2" t="s">
        <v>71</v>
      </c>
      <c r="F1203" s="2"/>
      <c r="G1203" s="2" t="s">
        <v>329</v>
      </c>
      <c r="H1203" s="8" t="n">
        <v>308.996330204969</v>
      </c>
      <c r="I1203" s="2" t="s">
        <v>316</v>
      </c>
      <c r="J1203" s="8" t="n">
        <v>456554.404145078</v>
      </c>
      <c r="K1203" s="6" t="n">
        <v>386</v>
      </c>
      <c r="L1203" s="2"/>
      <c r="M1203" s="10" t="b">
        <f aca="false">TRUE()</f>
        <v>1</v>
      </c>
      <c r="N1203" s="9" t="str">
        <f aca="false">IF(H1203="","",IF(H1203&gt;=Assumptions!$B$5,1,IF(H1203&gt;=Assumptions!$B$6,2,IF(H1203&gt;=Assumptions!$B$7,3,""))))</f>
        <v/>
      </c>
      <c r="O1203" s="9" t="n">
        <f aca="false">IF(N1203=1,Assumptions!$B$8,IF(N1203=2,Assumptions!$B$9,IF(N1203=3,Assumptions!$B$10,0)))</f>
        <v>0</v>
      </c>
      <c r="P1203" s="6" t="s">
        <v>30</v>
      </c>
      <c r="Q1203" s="6" t="s">
        <v>30</v>
      </c>
      <c r="R1203" s="11" t="s">
        <v>30</v>
      </c>
      <c r="S1203" s="6" t="s">
        <v>30</v>
      </c>
      <c r="T1203" s="11" t="s">
        <v>30</v>
      </c>
      <c r="U1203" s="6" t="s">
        <v>30</v>
      </c>
      <c r="V1203" s="6" t="s">
        <v>30</v>
      </c>
      <c r="W1203" s="6" t="s">
        <v>30</v>
      </c>
      <c r="X1203" s="2" t="s">
        <v>30</v>
      </c>
      <c r="Y1203" s="6" t="str">
        <f aca="false">IF(AND(X1203="processed",ISNUMBER(S1203)),S1203*O1203,"")</f>
        <v/>
      </c>
      <c r="Z1203" s="6" t="n">
        <f aca="false">IF(ISNUMBER(K1203),K1203*O1203,0)</f>
        <v>0</v>
      </c>
      <c r="AA1203" s="2" t="s">
        <v>31</v>
      </c>
      <c r="AB1203" s="6" t="n">
        <v>23490</v>
      </c>
      <c r="AC1203" s="6" t="n">
        <v>20389</v>
      </c>
      <c r="AD1203" s="6" t="n">
        <v>664</v>
      </c>
      <c r="AE1203" s="6" t="n">
        <v>2184.50024414063</v>
      </c>
      <c r="AF1203" s="8" t="n">
        <v>311.685654567</v>
      </c>
      <c r="AG1203" s="11" t="n">
        <v>0.03918830739</v>
      </c>
      <c r="AH1203" s="12" t="n">
        <v>0.999999999999998</v>
      </c>
      <c r="AI1203" s="2" t="s">
        <v>317</v>
      </c>
      <c r="AJ1203" s="2" t="s">
        <v>2639</v>
      </c>
      <c r="AK1203" s="2" t="s">
        <v>2639</v>
      </c>
    </row>
    <row r="1204" customFormat="false" ht="15" hidden="false" customHeight="false" outlineLevel="0" collapsed="false">
      <c r="A1204" s="9"/>
      <c r="B1204" s="2" t="s">
        <v>2698</v>
      </c>
      <c r="C1204" s="2" t="s">
        <v>2639</v>
      </c>
      <c r="D1204" s="2" t="s">
        <v>70</v>
      </c>
      <c r="E1204" s="2" t="s">
        <v>71</v>
      </c>
      <c r="F1204" s="2"/>
      <c r="G1204" s="2" t="s">
        <v>329</v>
      </c>
      <c r="H1204" s="8" t="n">
        <v>271.731710785672</v>
      </c>
      <c r="I1204" s="2" t="s">
        <v>316</v>
      </c>
      <c r="J1204" s="8" t="n">
        <v>611560.137457045</v>
      </c>
      <c r="K1204" s="6" t="n">
        <v>582</v>
      </c>
      <c r="L1204" s="2"/>
      <c r="M1204" s="10" t="b">
        <f aca="false">TRUE()</f>
        <v>1</v>
      </c>
      <c r="N1204" s="9" t="str">
        <f aca="false">IF(H1204="","",IF(H1204&gt;=Assumptions!$B$5,1,IF(H1204&gt;=Assumptions!$B$6,2,IF(H1204&gt;=Assumptions!$B$7,3,""))))</f>
        <v/>
      </c>
      <c r="O1204" s="9" t="n">
        <f aca="false">IF(N1204=1,Assumptions!$B$8,IF(N1204=2,Assumptions!$B$9,IF(N1204=3,Assumptions!$B$10,0)))</f>
        <v>0</v>
      </c>
      <c r="P1204" s="6" t="s">
        <v>30</v>
      </c>
      <c r="Q1204" s="6" t="s">
        <v>30</v>
      </c>
      <c r="R1204" s="11" t="s">
        <v>30</v>
      </c>
      <c r="S1204" s="6" t="s">
        <v>30</v>
      </c>
      <c r="T1204" s="11" t="s">
        <v>30</v>
      </c>
      <c r="U1204" s="6" t="s">
        <v>30</v>
      </c>
      <c r="V1204" s="6" t="s">
        <v>30</v>
      </c>
      <c r="W1204" s="6" t="s">
        <v>30</v>
      </c>
      <c r="X1204" s="2" t="s">
        <v>30</v>
      </c>
      <c r="Y1204" s="6" t="str">
        <f aca="false">IF(AND(X1204="processed",ISNUMBER(S1204)),S1204*O1204,"")</f>
        <v/>
      </c>
      <c r="Z1204" s="6" t="n">
        <f aca="false">IF(ISNUMBER(K1204),K1204*O1204,0)</f>
        <v>0</v>
      </c>
      <c r="AA1204" s="2" t="s">
        <v>31</v>
      </c>
      <c r="AB1204" s="6" t="n">
        <v>23522</v>
      </c>
      <c r="AC1204" s="6" t="n">
        <v>19437</v>
      </c>
      <c r="AD1204" s="6" t="n">
        <v>1133</v>
      </c>
      <c r="AE1204" s="6" t="n">
        <v>2568.02197265625</v>
      </c>
      <c r="AF1204" s="8" t="n">
        <v>272.662616001</v>
      </c>
      <c r="AG1204" s="11" t="n">
        <v>-0.007521123816</v>
      </c>
      <c r="AH1204" s="12" t="n">
        <v>1</v>
      </c>
      <c r="AI1204" s="2" t="s">
        <v>317</v>
      </c>
      <c r="AJ1204" s="2" t="s">
        <v>2639</v>
      </c>
      <c r="AK1204" s="2" t="s">
        <v>2639</v>
      </c>
    </row>
    <row r="1205" customFormat="false" ht="15" hidden="false" customHeight="false" outlineLevel="0" collapsed="false">
      <c r="A1205" s="9"/>
      <c r="B1205" s="2" t="s">
        <v>2699</v>
      </c>
      <c r="C1205" s="2" t="s">
        <v>2639</v>
      </c>
      <c r="D1205" s="2" t="s">
        <v>70</v>
      </c>
      <c r="E1205" s="2" t="s">
        <v>71</v>
      </c>
      <c r="F1205" s="2"/>
      <c r="G1205" s="2" t="s">
        <v>329</v>
      </c>
      <c r="H1205" s="8" t="n">
        <v>276.274394277481</v>
      </c>
      <c r="I1205" s="2" t="s">
        <v>316</v>
      </c>
      <c r="J1205" s="8" t="n">
        <v>496451.476793249</v>
      </c>
      <c r="K1205" s="6" t="n">
        <v>237</v>
      </c>
      <c r="L1205" s="2"/>
      <c r="M1205" s="10" t="b">
        <f aca="false">TRUE()</f>
        <v>1</v>
      </c>
      <c r="N1205" s="9" t="str">
        <f aca="false">IF(H1205="","",IF(H1205&gt;=Assumptions!$B$5,1,IF(H1205&gt;=Assumptions!$B$6,2,IF(H1205&gt;=Assumptions!$B$7,3,""))))</f>
        <v/>
      </c>
      <c r="O1205" s="9" t="n">
        <f aca="false">IF(N1205=1,Assumptions!$B$8,IF(N1205=2,Assumptions!$B$9,IF(N1205=3,Assumptions!$B$10,0)))</f>
        <v>0</v>
      </c>
      <c r="P1205" s="6" t="s">
        <v>30</v>
      </c>
      <c r="Q1205" s="6" t="s">
        <v>30</v>
      </c>
      <c r="R1205" s="11" t="s">
        <v>30</v>
      </c>
      <c r="S1205" s="6" t="s">
        <v>30</v>
      </c>
      <c r="T1205" s="11" t="s">
        <v>30</v>
      </c>
      <c r="U1205" s="6" t="s">
        <v>30</v>
      </c>
      <c r="V1205" s="6" t="s">
        <v>30</v>
      </c>
      <c r="W1205" s="6" t="s">
        <v>30</v>
      </c>
      <c r="X1205" s="2" t="s">
        <v>30</v>
      </c>
      <c r="Y1205" s="6" t="str">
        <f aca="false">IF(AND(X1205="processed",ISNUMBER(S1205)),S1205*O1205,"")</f>
        <v/>
      </c>
      <c r="Z1205" s="6" t="n">
        <f aca="false">IF(ISNUMBER(K1205),K1205*O1205,0)</f>
        <v>0</v>
      </c>
      <c r="AA1205" s="2" t="s">
        <v>31</v>
      </c>
      <c r="AB1205" s="6" t="n">
        <v>12239</v>
      </c>
      <c r="AC1205" s="6" t="n">
        <v>11206</v>
      </c>
      <c r="AD1205" s="6" t="n">
        <v>495</v>
      </c>
      <c r="AE1205" s="6" t="n">
        <v>2357.865234375</v>
      </c>
      <c r="AF1205" s="8" t="n">
        <v>270.479134467</v>
      </c>
      <c r="AG1205" s="11" t="n">
        <v>0.01793550084</v>
      </c>
      <c r="AH1205" s="12" t="n">
        <v>0.999999999999999</v>
      </c>
      <c r="AI1205" s="2" t="s">
        <v>317</v>
      </c>
      <c r="AJ1205" s="2" t="s">
        <v>2639</v>
      </c>
      <c r="AK1205" s="2" t="s">
        <v>2639</v>
      </c>
    </row>
    <row r="1206" customFormat="false" ht="15" hidden="false" customHeight="false" outlineLevel="0" collapsed="false">
      <c r="A1206" s="9"/>
      <c r="B1206" s="2" t="s">
        <v>2700</v>
      </c>
      <c r="C1206" s="2" t="s">
        <v>2701</v>
      </c>
      <c r="D1206" s="2" t="s">
        <v>70</v>
      </c>
      <c r="E1206" s="2" t="s">
        <v>71</v>
      </c>
      <c r="F1206" s="2"/>
      <c r="G1206" s="2" t="s">
        <v>329</v>
      </c>
      <c r="H1206" s="8" t="n">
        <v>267.144758130333</v>
      </c>
      <c r="I1206" s="2" t="s">
        <v>316</v>
      </c>
      <c r="J1206" s="8" t="n">
        <v>452055.555555556</v>
      </c>
      <c r="K1206" s="6" t="n">
        <v>18</v>
      </c>
      <c r="L1206" s="2"/>
      <c r="M1206" s="10" t="b">
        <f aca="false">TRUE()</f>
        <v>1</v>
      </c>
      <c r="N1206" s="9" t="str">
        <f aca="false">IF(H1206="","",IF(H1206&gt;=Assumptions!$B$5,1,IF(H1206&gt;=Assumptions!$B$6,2,IF(H1206&gt;=Assumptions!$B$7,3,""))))</f>
        <v/>
      </c>
      <c r="O1206" s="9" t="n">
        <f aca="false">IF(N1206=1,Assumptions!$B$8,IF(N1206=2,Assumptions!$B$9,IF(N1206=3,Assumptions!$B$10,0)))</f>
        <v>0</v>
      </c>
      <c r="P1206" s="6" t="s">
        <v>30</v>
      </c>
      <c r="Q1206" s="6" t="s">
        <v>30</v>
      </c>
      <c r="R1206" s="11" t="s">
        <v>30</v>
      </c>
      <c r="S1206" s="6" t="s">
        <v>30</v>
      </c>
      <c r="T1206" s="11" t="s">
        <v>30</v>
      </c>
      <c r="U1206" s="6" t="s">
        <v>30</v>
      </c>
      <c r="V1206" s="6" t="s">
        <v>30</v>
      </c>
      <c r="W1206" s="6" t="s">
        <v>30</v>
      </c>
      <c r="X1206" s="2" t="s">
        <v>30</v>
      </c>
      <c r="Y1206" s="6" t="str">
        <f aca="false">IF(AND(X1206="processed",ISNUMBER(S1206)),S1206*O1206,"")</f>
        <v/>
      </c>
      <c r="Z1206" s="6" t="n">
        <f aca="false">IF(ISNUMBER(K1206),K1206*O1206,0)</f>
        <v>0</v>
      </c>
      <c r="AA1206" s="2" t="s">
        <v>31</v>
      </c>
      <c r="AB1206" s="6" t="n">
        <v>1979</v>
      </c>
      <c r="AC1206" s="6" t="n">
        <v>1410</v>
      </c>
      <c r="AD1206" s="6" t="n">
        <v>100</v>
      </c>
      <c r="AE1206" s="6" t="n">
        <v>1761.69152832031</v>
      </c>
      <c r="AF1206" s="8" t="n">
        <v>237.546125461</v>
      </c>
      <c r="AG1206" s="11" t="n">
        <v>-0.1197863953</v>
      </c>
      <c r="AH1206" s="12" t="n">
        <v>1</v>
      </c>
      <c r="AI1206" s="2" t="s">
        <v>317</v>
      </c>
      <c r="AJ1206" s="2" t="s">
        <v>2701</v>
      </c>
      <c r="AK1206" s="2" t="s">
        <v>2702</v>
      </c>
    </row>
    <row r="1207" customFormat="false" ht="15" hidden="false" customHeight="false" outlineLevel="0" collapsed="false">
      <c r="A1207" s="9"/>
      <c r="B1207" s="2" t="s">
        <v>2703</v>
      </c>
      <c r="C1207" s="2" t="s">
        <v>2704</v>
      </c>
      <c r="D1207" s="2" t="s">
        <v>2445</v>
      </c>
      <c r="E1207" s="2" t="s">
        <v>51</v>
      </c>
      <c r="F1207" s="2"/>
      <c r="G1207" s="2" t="s">
        <v>2446</v>
      </c>
      <c r="H1207" s="8" t="n">
        <v>117.728531856</v>
      </c>
      <c r="I1207" s="2" t="s">
        <v>316</v>
      </c>
      <c r="J1207" s="8" t="n">
        <v>170000</v>
      </c>
      <c r="K1207" s="6" t="n">
        <v>1</v>
      </c>
      <c r="L1207" s="2" t="s">
        <v>1664</v>
      </c>
      <c r="M1207" s="10" t="b">
        <f aca="false">TRUE()</f>
        <v>1</v>
      </c>
      <c r="N1207" s="9" t="str">
        <f aca="false">IF(H1207="","",IF(H1207&gt;=Assumptions!$B$5,1,IF(H1207&gt;=Assumptions!$B$6,2,IF(H1207&gt;=Assumptions!$B$7,3,""))))</f>
        <v/>
      </c>
      <c r="O1207" s="9" t="n">
        <f aca="false">IF(N1207=1,Assumptions!$B$8,IF(N1207=2,Assumptions!$B$9,IF(N1207=3,Assumptions!$B$10,0)))</f>
        <v>0</v>
      </c>
      <c r="P1207" s="6" t="s">
        <v>30</v>
      </c>
      <c r="Q1207" s="6" t="s">
        <v>30</v>
      </c>
      <c r="R1207" s="11" t="s">
        <v>30</v>
      </c>
      <c r="S1207" s="6" t="s">
        <v>30</v>
      </c>
      <c r="T1207" s="11" t="s">
        <v>30</v>
      </c>
      <c r="U1207" s="6" t="s">
        <v>30</v>
      </c>
      <c r="V1207" s="6" t="s">
        <v>30</v>
      </c>
      <c r="W1207" s="6" t="s">
        <v>30</v>
      </c>
      <c r="X1207" s="2" t="s">
        <v>30</v>
      </c>
      <c r="Y1207" s="6" t="str">
        <f aca="false">IF(AND(X1207="processed",ISNUMBER(S1207)),S1207*O1207,"")</f>
        <v/>
      </c>
      <c r="Z1207" s="6" t="n">
        <f aca="false">IF(ISNUMBER(K1207),K1207*O1207,0)</f>
        <v>0</v>
      </c>
      <c r="AA1207" s="2" t="s">
        <v>31</v>
      </c>
      <c r="AB1207" s="6" t="n">
        <v>202</v>
      </c>
      <c r="AC1207" s="6" t="n">
        <v>160</v>
      </c>
      <c r="AD1207" s="6" t="n">
        <v>182</v>
      </c>
      <c r="AE1207" s="6" t="n">
        <v>1145.48583984375</v>
      </c>
      <c r="AF1207" s="8" t="n">
        <v>117.728531856</v>
      </c>
      <c r="AG1207" s="11"/>
      <c r="AH1207" s="12" t="n">
        <v>1</v>
      </c>
      <c r="AI1207" s="2" t="s">
        <v>1597</v>
      </c>
      <c r="AJ1207" s="2"/>
      <c r="AK1207" s="2" t="s">
        <v>2704</v>
      </c>
    </row>
    <row r="1208" customFormat="false" ht="15" hidden="false" customHeight="false" outlineLevel="0" collapsed="false">
      <c r="A1208" s="9"/>
      <c r="B1208" s="2" t="s">
        <v>2705</v>
      </c>
      <c r="C1208" s="2" t="s">
        <v>2706</v>
      </c>
      <c r="D1208" s="2" t="s">
        <v>2445</v>
      </c>
      <c r="E1208" s="2" t="s">
        <v>51</v>
      </c>
      <c r="F1208" s="2" t="s">
        <v>2707</v>
      </c>
      <c r="G1208" s="2" t="s">
        <v>2446</v>
      </c>
      <c r="H1208" s="8" t="n">
        <v>179.849284768419</v>
      </c>
      <c r="I1208" s="2" t="s">
        <v>316</v>
      </c>
      <c r="J1208" s="8" t="n">
        <v>277776.485788114</v>
      </c>
      <c r="K1208" s="6" t="n">
        <v>387</v>
      </c>
      <c r="L1208" s="2"/>
      <c r="M1208" s="10" t="b">
        <f aca="false">TRUE()</f>
        <v>1</v>
      </c>
      <c r="N1208" s="9" t="str">
        <f aca="false">IF(H1208="","",IF(H1208&gt;=Assumptions!$B$5,1,IF(H1208&gt;=Assumptions!$B$6,2,IF(H1208&gt;=Assumptions!$B$7,3,""))))</f>
        <v/>
      </c>
      <c r="O1208" s="9" t="n">
        <f aca="false">IF(N1208=1,Assumptions!$B$8,IF(N1208=2,Assumptions!$B$9,IF(N1208=3,Assumptions!$B$10,0)))</f>
        <v>0</v>
      </c>
      <c r="P1208" s="6" t="s">
        <v>30</v>
      </c>
      <c r="Q1208" s="6" t="s">
        <v>30</v>
      </c>
      <c r="R1208" s="11" t="s">
        <v>30</v>
      </c>
      <c r="S1208" s="6" t="s">
        <v>30</v>
      </c>
      <c r="T1208" s="11" t="s">
        <v>30</v>
      </c>
      <c r="U1208" s="6" t="s">
        <v>30</v>
      </c>
      <c r="V1208" s="6" t="s">
        <v>30</v>
      </c>
      <c r="W1208" s="6" t="s">
        <v>30</v>
      </c>
      <c r="X1208" s="2" t="s">
        <v>30</v>
      </c>
      <c r="Y1208" s="6" t="str">
        <f aca="false">IF(AND(X1208="processed",ISNUMBER(S1208)),S1208*O1208,"")</f>
        <v/>
      </c>
      <c r="Z1208" s="6" t="n">
        <f aca="false">IF(ISNUMBER(K1208),K1208*O1208,0)</f>
        <v>0</v>
      </c>
      <c r="AA1208" s="2" t="s">
        <v>31</v>
      </c>
      <c r="AB1208" s="6" t="n">
        <v>17757</v>
      </c>
      <c r="AC1208" s="6" t="n">
        <v>15607</v>
      </c>
      <c r="AD1208" s="6" t="n">
        <v>3124</v>
      </c>
      <c r="AE1208" s="6" t="n">
        <v>2419.8125</v>
      </c>
      <c r="AF1208" s="8" t="n">
        <v>177.339901478</v>
      </c>
      <c r="AG1208" s="11" t="n">
        <v>-0.0296877634</v>
      </c>
      <c r="AH1208" s="12" t="n">
        <v>0.96395014645745</v>
      </c>
      <c r="AI1208" s="2" t="s">
        <v>319</v>
      </c>
      <c r="AJ1208" s="2"/>
      <c r="AK1208" s="2" t="s">
        <v>2706</v>
      </c>
    </row>
    <row r="1209" customFormat="false" ht="15" hidden="false" customHeight="false" outlineLevel="0" collapsed="false">
      <c r="A1209" s="9"/>
      <c r="B1209" s="2" t="s">
        <v>2708</v>
      </c>
      <c r="C1209" s="2" t="s">
        <v>2709</v>
      </c>
      <c r="D1209" s="2" t="s">
        <v>524</v>
      </c>
      <c r="E1209" s="2" t="s">
        <v>456</v>
      </c>
      <c r="F1209" s="2"/>
      <c r="G1209" s="2"/>
      <c r="H1209" s="8"/>
      <c r="I1209" s="2"/>
      <c r="J1209" s="8"/>
      <c r="K1209" s="6"/>
      <c r="L1209" s="2"/>
      <c r="M1209" s="10" t="b">
        <f aca="false">TRUE()</f>
        <v>1</v>
      </c>
      <c r="N1209" s="9" t="str">
        <f aca="false">IF(H1209="","",IF(H1209&gt;=Assumptions!$B$5,1,IF(H1209&gt;=Assumptions!$B$6,2,IF(H1209&gt;=Assumptions!$B$7,3,""))))</f>
        <v/>
      </c>
      <c r="O1209" s="9" t="n">
        <f aca="false">IF(N1209=1,Assumptions!$B$8,IF(N1209=2,Assumptions!$B$9,IF(N1209=3,Assumptions!$B$10,0)))</f>
        <v>0</v>
      </c>
      <c r="P1209" s="6" t="s">
        <v>30</v>
      </c>
      <c r="Q1209" s="6" t="s">
        <v>30</v>
      </c>
      <c r="R1209" s="11" t="s">
        <v>30</v>
      </c>
      <c r="S1209" s="6" t="s">
        <v>30</v>
      </c>
      <c r="T1209" s="11" t="s">
        <v>30</v>
      </c>
      <c r="U1209" s="6" t="s">
        <v>30</v>
      </c>
      <c r="V1209" s="6" t="s">
        <v>30</v>
      </c>
      <c r="W1209" s="6" t="s">
        <v>30</v>
      </c>
      <c r="X1209" s="2" t="s">
        <v>30</v>
      </c>
      <c r="Y1209" s="6" t="str">
        <f aca="false">IF(AND(X1209="processed",ISNUMBER(S1209)),S1209*O1209,"")</f>
        <v/>
      </c>
      <c r="Z1209" s="6" t="n">
        <f aca="false">IF(ISNUMBER(K1209),K1209*O1209,0)</f>
        <v>0</v>
      </c>
      <c r="AA1209" s="2" t="s">
        <v>31</v>
      </c>
      <c r="AB1209" s="6" t="n">
        <v>148</v>
      </c>
      <c r="AC1209" s="6" t="n">
        <v>90</v>
      </c>
      <c r="AD1209" s="6" t="n">
        <v>101</v>
      </c>
      <c r="AE1209" s="6" t="n">
        <v>1012.31677246094</v>
      </c>
      <c r="AF1209" s="8"/>
      <c r="AG1209" s="11"/>
      <c r="AH1209" s="12" t="n">
        <v>0.997452582494917</v>
      </c>
      <c r="AI1209" s="2" t="s">
        <v>317</v>
      </c>
      <c r="AJ1209" s="2" t="s">
        <v>2709</v>
      </c>
      <c r="AK1209" s="2" t="s">
        <v>2710</v>
      </c>
    </row>
    <row r="1210" customFormat="false" ht="15" hidden="false" customHeight="false" outlineLevel="0" collapsed="false">
      <c r="A1210" s="9"/>
      <c r="B1210" s="2" t="s">
        <v>2711</v>
      </c>
      <c r="C1210" s="2" t="s">
        <v>2678</v>
      </c>
      <c r="D1210" s="2" t="s">
        <v>2445</v>
      </c>
      <c r="E1210" s="2" t="s">
        <v>51</v>
      </c>
      <c r="F1210" s="2"/>
      <c r="G1210" s="2" t="s">
        <v>2446</v>
      </c>
      <c r="H1210" s="8" t="n">
        <v>261.457532876294</v>
      </c>
      <c r="I1210" s="2" t="s">
        <v>316</v>
      </c>
      <c r="J1210" s="8" t="n">
        <v>435411.764705882</v>
      </c>
      <c r="K1210" s="6" t="n">
        <v>255</v>
      </c>
      <c r="L1210" s="2"/>
      <c r="M1210" s="10" t="b">
        <f aca="false">TRUE()</f>
        <v>1</v>
      </c>
      <c r="N1210" s="9" t="str">
        <f aca="false">IF(H1210="","",IF(H1210&gt;=Assumptions!$B$5,1,IF(H1210&gt;=Assumptions!$B$6,2,IF(H1210&gt;=Assumptions!$B$7,3,""))))</f>
        <v/>
      </c>
      <c r="O1210" s="9" t="n">
        <f aca="false">IF(N1210=1,Assumptions!$B$8,IF(N1210=2,Assumptions!$B$9,IF(N1210=3,Assumptions!$B$10,0)))</f>
        <v>0</v>
      </c>
      <c r="P1210" s="6" t="s">
        <v>30</v>
      </c>
      <c r="Q1210" s="6" t="s">
        <v>30</v>
      </c>
      <c r="R1210" s="11" t="s">
        <v>30</v>
      </c>
      <c r="S1210" s="6" t="s">
        <v>30</v>
      </c>
      <c r="T1210" s="11" t="s">
        <v>30</v>
      </c>
      <c r="U1210" s="6" t="s">
        <v>30</v>
      </c>
      <c r="V1210" s="6" t="s">
        <v>30</v>
      </c>
      <c r="W1210" s="6" t="s">
        <v>30</v>
      </c>
      <c r="X1210" s="2" t="s">
        <v>30</v>
      </c>
      <c r="Y1210" s="6" t="str">
        <f aca="false">IF(AND(X1210="processed",ISNUMBER(S1210)),S1210*O1210,"")</f>
        <v/>
      </c>
      <c r="Z1210" s="6" t="n">
        <f aca="false">IF(ISNUMBER(K1210),K1210*O1210,0)</f>
        <v>0</v>
      </c>
      <c r="AA1210" s="2" t="s">
        <v>31</v>
      </c>
      <c r="AB1210" s="6" t="n">
        <v>9425</v>
      </c>
      <c r="AC1210" s="6" t="n">
        <v>8600</v>
      </c>
      <c r="AD1210" s="6" t="n">
        <v>4402</v>
      </c>
      <c r="AE1210" s="6" t="n">
        <v>2112.08471679688</v>
      </c>
      <c r="AF1210" s="8" t="n">
        <v>257.685426444</v>
      </c>
      <c r="AG1210" s="11" t="n">
        <v>-0.0191007385</v>
      </c>
      <c r="AH1210" s="12" t="n">
        <v>0.961938963493231</v>
      </c>
      <c r="AI1210" s="2" t="s">
        <v>319</v>
      </c>
      <c r="AJ1210" s="2"/>
      <c r="AK1210" s="2" t="s">
        <v>2678</v>
      </c>
    </row>
    <row r="1211" customFormat="false" ht="15" hidden="false" customHeight="false" outlineLevel="0" collapsed="false">
      <c r="A1211" s="9"/>
      <c r="B1211" s="2" t="s">
        <v>2712</v>
      </c>
      <c r="C1211" s="2" t="s">
        <v>2713</v>
      </c>
      <c r="D1211" s="2" t="s">
        <v>2445</v>
      </c>
      <c r="E1211" s="2" t="s">
        <v>51</v>
      </c>
      <c r="F1211" s="2"/>
      <c r="G1211" s="2" t="s">
        <v>2446</v>
      </c>
      <c r="H1211" s="8" t="n">
        <v>255.986514136653</v>
      </c>
      <c r="I1211" s="2" t="s">
        <v>316</v>
      </c>
      <c r="J1211" s="8" t="n">
        <v>436267.43697479</v>
      </c>
      <c r="K1211" s="6" t="n">
        <v>476</v>
      </c>
      <c r="L1211" s="2"/>
      <c r="M1211" s="10" t="b">
        <f aca="false">TRUE()</f>
        <v>1</v>
      </c>
      <c r="N1211" s="9" t="str">
        <f aca="false">IF(H1211="","",IF(H1211&gt;=Assumptions!$B$5,1,IF(H1211&gt;=Assumptions!$B$6,2,IF(H1211&gt;=Assumptions!$B$7,3,""))))</f>
        <v/>
      </c>
      <c r="O1211" s="9" t="n">
        <f aca="false">IF(N1211=1,Assumptions!$B$8,IF(N1211=2,Assumptions!$B$9,IF(N1211=3,Assumptions!$B$10,0)))</f>
        <v>0</v>
      </c>
      <c r="P1211" s="6" t="s">
        <v>30</v>
      </c>
      <c r="Q1211" s="6" t="s">
        <v>30</v>
      </c>
      <c r="R1211" s="11" t="s">
        <v>30</v>
      </c>
      <c r="S1211" s="6" t="s">
        <v>30</v>
      </c>
      <c r="T1211" s="11" t="s">
        <v>30</v>
      </c>
      <c r="U1211" s="6" t="s">
        <v>30</v>
      </c>
      <c r="V1211" s="6" t="s">
        <v>30</v>
      </c>
      <c r="W1211" s="6" t="s">
        <v>30</v>
      </c>
      <c r="X1211" s="2" t="s">
        <v>30</v>
      </c>
      <c r="Y1211" s="6" t="str">
        <f aca="false">IF(AND(X1211="processed",ISNUMBER(S1211)),S1211*O1211,"")</f>
        <v/>
      </c>
      <c r="Z1211" s="6" t="n">
        <f aca="false">IF(ISNUMBER(K1211),K1211*O1211,0)</f>
        <v>0</v>
      </c>
      <c r="AA1211" s="2" t="s">
        <v>31</v>
      </c>
      <c r="AB1211" s="6" t="n">
        <v>18636</v>
      </c>
      <c r="AC1211" s="6" t="n">
        <v>16427</v>
      </c>
      <c r="AD1211" s="6" t="n">
        <v>12203</v>
      </c>
      <c r="AE1211" s="6" t="n">
        <v>2354.04809570313</v>
      </c>
      <c r="AF1211" s="8" t="n">
        <v>259.279150257</v>
      </c>
      <c r="AG1211" s="11" t="n">
        <v>0.02054411926</v>
      </c>
      <c r="AH1211" s="12" t="n">
        <v>0.999999999999997</v>
      </c>
      <c r="AI1211" s="2" t="s">
        <v>319</v>
      </c>
      <c r="AJ1211" s="2"/>
      <c r="AK1211" s="2" t="s">
        <v>2713</v>
      </c>
    </row>
    <row r="1212" customFormat="false" ht="15" hidden="false" customHeight="false" outlineLevel="0" collapsed="false">
      <c r="A1212" s="9"/>
      <c r="B1212" s="2" t="s">
        <v>2714</v>
      </c>
      <c r="C1212" s="2" t="s">
        <v>2715</v>
      </c>
      <c r="D1212" s="2" t="s">
        <v>524</v>
      </c>
      <c r="E1212" s="2" t="s">
        <v>456</v>
      </c>
      <c r="F1212" s="2" t="s">
        <v>2716</v>
      </c>
      <c r="G1212" s="2" t="s">
        <v>458</v>
      </c>
      <c r="H1212" s="8" t="n">
        <v>64.0273672257931</v>
      </c>
      <c r="I1212" s="2" t="s">
        <v>316</v>
      </c>
      <c r="J1212" s="8" t="n">
        <v>76534.4827586207</v>
      </c>
      <c r="K1212" s="6" t="n">
        <v>29</v>
      </c>
      <c r="L1212" s="2"/>
      <c r="M1212" s="10" t="b">
        <f aca="false">TRUE()</f>
        <v>1</v>
      </c>
      <c r="N1212" s="9" t="str">
        <f aca="false">IF(H1212="","",IF(H1212&gt;=Assumptions!$B$5,1,IF(H1212&gt;=Assumptions!$B$6,2,IF(H1212&gt;=Assumptions!$B$7,3,""))))</f>
        <v/>
      </c>
      <c r="O1212" s="9" t="n">
        <f aca="false">IF(N1212=1,Assumptions!$B$8,IF(N1212=2,Assumptions!$B$9,IF(N1212=3,Assumptions!$B$10,0)))</f>
        <v>0</v>
      </c>
      <c r="P1212" s="6" t="s">
        <v>30</v>
      </c>
      <c r="Q1212" s="6" t="s">
        <v>30</v>
      </c>
      <c r="R1212" s="11" t="s">
        <v>30</v>
      </c>
      <c r="S1212" s="6" t="s">
        <v>30</v>
      </c>
      <c r="T1212" s="11" t="s">
        <v>30</v>
      </c>
      <c r="U1212" s="6" t="s">
        <v>30</v>
      </c>
      <c r="V1212" s="6" t="s">
        <v>30</v>
      </c>
      <c r="W1212" s="6" t="s">
        <v>30</v>
      </c>
      <c r="X1212" s="2" t="s">
        <v>30</v>
      </c>
      <c r="Y1212" s="6" t="str">
        <f aca="false">IF(AND(X1212="processed",ISNUMBER(S1212)),S1212*O1212,"")</f>
        <v/>
      </c>
      <c r="Z1212" s="6" t="n">
        <f aca="false">IF(ISNUMBER(K1212),K1212*O1212,0)</f>
        <v>0</v>
      </c>
      <c r="AA1212" s="2" t="s">
        <v>31</v>
      </c>
      <c r="AB1212" s="6" t="n">
        <v>1513</v>
      </c>
      <c r="AC1212" s="6" t="n">
        <v>1221</v>
      </c>
      <c r="AD1212" s="6" t="n">
        <v>915</v>
      </c>
      <c r="AE1212" s="6" t="n">
        <v>1778.34765625</v>
      </c>
      <c r="AF1212" s="8" t="n">
        <v>55.147058824</v>
      </c>
      <c r="AG1212" s="11" t="n">
        <v>-0.4375</v>
      </c>
      <c r="AH1212" s="12" t="n">
        <v>0.999999999999999</v>
      </c>
      <c r="AI1212" s="2" t="s">
        <v>317</v>
      </c>
      <c r="AJ1212" s="2" t="s">
        <v>2715</v>
      </c>
      <c r="AK1212" s="2" t="s">
        <v>2717</v>
      </c>
    </row>
    <row r="1213" customFormat="false" ht="15" hidden="false" customHeight="false" outlineLevel="0" collapsed="false">
      <c r="A1213" s="9"/>
      <c r="B1213" s="2" t="s">
        <v>2718</v>
      </c>
      <c r="C1213" s="2" t="s">
        <v>2246</v>
      </c>
      <c r="D1213" s="2" t="s">
        <v>70</v>
      </c>
      <c r="E1213" s="2" t="s">
        <v>71</v>
      </c>
      <c r="F1213" s="2"/>
      <c r="G1213" s="2"/>
      <c r="H1213" s="8"/>
      <c r="I1213" s="2"/>
      <c r="J1213" s="8"/>
      <c r="K1213" s="6"/>
      <c r="L1213" s="2"/>
      <c r="M1213" s="10" t="b">
        <f aca="false">TRUE()</f>
        <v>1</v>
      </c>
      <c r="N1213" s="9" t="str">
        <f aca="false">IF(H1213="","",IF(H1213&gt;=Assumptions!$B$5,1,IF(H1213&gt;=Assumptions!$B$6,2,IF(H1213&gt;=Assumptions!$B$7,3,""))))</f>
        <v/>
      </c>
      <c r="O1213" s="9" t="n">
        <f aca="false">IF(N1213=1,Assumptions!$B$8,IF(N1213=2,Assumptions!$B$9,IF(N1213=3,Assumptions!$B$10,0)))</f>
        <v>0</v>
      </c>
      <c r="P1213" s="6" t="s">
        <v>30</v>
      </c>
      <c r="Q1213" s="6" t="s">
        <v>30</v>
      </c>
      <c r="R1213" s="11" t="s">
        <v>30</v>
      </c>
      <c r="S1213" s="6" t="s">
        <v>30</v>
      </c>
      <c r="T1213" s="11" t="s">
        <v>30</v>
      </c>
      <c r="U1213" s="6" t="s">
        <v>30</v>
      </c>
      <c r="V1213" s="6" t="s">
        <v>30</v>
      </c>
      <c r="W1213" s="6" t="s">
        <v>30</v>
      </c>
      <c r="X1213" s="2" t="s">
        <v>30</v>
      </c>
      <c r="Y1213" s="6" t="str">
        <f aca="false">IF(AND(X1213="processed",ISNUMBER(S1213)),S1213*O1213,"")</f>
        <v/>
      </c>
      <c r="Z1213" s="6" t="n">
        <f aca="false">IF(ISNUMBER(K1213),K1213*O1213,0)</f>
        <v>0</v>
      </c>
      <c r="AA1213" s="2" t="s">
        <v>31</v>
      </c>
      <c r="AB1213" s="6" t="n">
        <v>542</v>
      </c>
      <c r="AC1213" s="6" t="n">
        <v>374</v>
      </c>
      <c r="AD1213" s="6" t="n">
        <v>23</v>
      </c>
      <c r="AE1213" s="6" t="n">
        <v>1445.11865234375</v>
      </c>
      <c r="AF1213" s="8"/>
      <c r="AG1213" s="11"/>
      <c r="AH1213" s="12" t="n">
        <v>0.999936845852648</v>
      </c>
      <c r="AI1213" s="2" t="s">
        <v>319</v>
      </c>
      <c r="AJ1213" s="2"/>
      <c r="AK1213" s="2" t="s">
        <v>2246</v>
      </c>
    </row>
    <row r="1214" customFormat="false" ht="15" hidden="false" customHeight="false" outlineLevel="0" collapsed="false">
      <c r="A1214" s="9"/>
      <c r="B1214" s="2" t="s">
        <v>2719</v>
      </c>
      <c r="C1214" s="2" t="s">
        <v>2639</v>
      </c>
      <c r="D1214" s="2" t="s">
        <v>70</v>
      </c>
      <c r="E1214" s="2" t="s">
        <v>71</v>
      </c>
      <c r="F1214" s="2"/>
      <c r="G1214" s="2" t="s">
        <v>329</v>
      </c>
      <c r="H1214" s="8" t="n">
        <v>288.723987425689</v>
      </c>
      <c r="I1214" s="2" t="s">
        <v>316</v>
      </c>
      <c r="J1214" s="8" t="n">
        <v>397295.081967213</v>
      </c>
      <c r="K1214" s="6" t="n">
        <v>61</v>
      </c>
      <c r="L1214" s="2"/>
      <c r="M1214" s="10" t="b">
        <f aca="false">TRUE()</f>
        <v>1</v>
      </c>
      <c r="N1214" s="9" t="str">
        <f aca="false">IF(H1214="","",IF(H1214&gt;=Assumptions!$B$5,1,IF(H1214&gt;=Assumptions!$B$6,2,IF(H1214&gt;=Assumptions!$B$7,3,""))))</f>
        <v/>
      </c>
      <c r="O1214" s="9" t="n">
        <f aca="false">IF(N1214=1,Assumptions!$B$8,IF(N1214=2,Assumptions!$B$9,IF(N1214=3,Assumptions!$B$10,0)))</f>
        <v>0</v>
      </c>
      <c r="P1214" s="6" t="s">
        <v>30</v>
      </c>
      <c r="Q1214" s="6" t="s">
        <v>30</v>
      </c>
      <c r="R1214" s="11" t="s">
        <v>30</v>
      </c>
      <c r="S1214" s="6" t="s">
        <v>30</v>
      </c>
      <c r="T1214" s="11" t="s">
        <v>30</v>
      </c>
      <c r="U1214" s="6" t="s">
        <v>30</v>
      </c>
      <c r="V1214" s="6" t="s">
        <v>30</v>
      </c>
      <c r="W1214" s="6" t="s">
        <v>30</v>
      </c>
      <c r="X1214" s="2" t="s">
        <v>30</v>
      </c>
      <c r="Y1214" s="6" t="str">
        <f aca="false">IF(AND(X1214="processed",ISNUMBER(S1214)),S1214*O1214,"")</f>
        <v/>
      </c>
      <c r="Z1214" s="6" t="n">
        <f aca="false">IF(ISNUMBER(K1214),K1214*O1214,0)</f>
        <v>0</v>
      </c>
      <c r="AA1214" s="2" t="s">
        <v>31</v>
      </c>
      <c r="AB1214" s="6" t="n">
        <v>3696</v>
      </c>
      <c r="AC1214" s="6" t="n">
        <v>2944</v>
      </c>
      <c r="AD1214" s="6" t="n">
        <v>315</v>
      </c>
      <c r="AE1214" s="6" t="n">
        <v>2361.91845703125</v>
      </c>
      <c r="AF1214" s="8" t="n">
        <v>270.833333333</v>
      </c>
      <c r="AG1214" s="11" t="n">
        <v>-0.001702508961</v>
      </c>
      <c r="AH1214" s="12" t="n">
        <v>0.99953677821187</v>
      </c>
      <c r="AI1214" s="2" t="s">
        <v>317</v>
      </c>
      <c r="AJ1214" s="2" t="s">
        <v>2639</v>
      </c>
      <c r="AK1214" s="2" t="s">
        <v>2639</v>
      </c>
    </row>
    <row r="1215" customFormat="false" ht="15" hidden="false" customHeight="false" outlineLevel="0" collapsed="false">
      <c r="A1215" s="9"/>
      <c r="B1215" s="2" t="s">
        <v>2720</v>
      </c>
      <c r="C1215" s="2" t="s">
        <v>2721</v>
      </c>
      <c r="D1215" s="2" t="s">
        <v>2182</v>
      </c>
      <c r="E1215" s="2" t="s">
        <v>51</v>
      </c>
      <c r="F1215" s="2"/>
      <c r="G1215" s="2"/>
      <c r="H1215" s="8"/>
      <c r="I1215" s="2"/>
      <c r="J1215" s="8"/>
      <c r="K1215" s="6"/>
      <c r="L1215" s="2"/>
      <c r="M1215" s="10" t="b">
        <f aca="false">TRUE()</f>
        <v>1</v>
      </c>
      <c r="N1215" s="9" t="str">
        <f aca="false">IF(H1215="","",IF(H1215&gt;=Assumptions!$B$5,1,IF(H1215&gt;=Assumptions!$B$6,2,IF(H1215&gt;=Assumptions!$B$7,3,""))))</f>
        <v/>
      </c>
      <c r="O1215" s="9" t="n">
        <f aca="false">IF(N1215=1,Assumptions!$B$8,IF(N1215=2,Assumptions!$B$9,IF(N1215=3,Assumptions!$B$10,0)))</f>
        <v>0</v>
      </c>
      <c r="P1215" s="6" t="s">
        <v>30</v>
      </c>
      <c r="Q1215" s="6" t="s">
        <v>30</v>
      </c>
      <c r="R1215" s="11" t="s">
        <v>30</v>
      </c>
      <c r="S1215" s="6" t="s">
        <v>30</v>
      </c>
      <c r="T1215" s="11" t="s">
        <v>30</v>
      </c>
      <c r="U1215" s="6" t="s">
        <v>30</v>
      </c>
      <c r="V1215" s="6" t="s">
        <v>30</v>
      </c>
      <c r="W1215" s="6" t="s">
        <v>30</v>
      </c>
      <c r="X1215" s="2" t="s">
        <v>30</v>
      </c>
      <c r="Y1215" s="6" t="str">
        <f aca="false">IF(AND(X1215="processed",ISNUMBER(S1215)),S1215*O1215,"")</f>
        <v/>
      </c>
      <c r="Z1215" s="6" t="n">
        <f aca="false">IF(ISNUMBER(K1215),K1215*O1215,0)</f>
        <v>0</v>
      </c>
      <c r="AA1215" s="2" t="s">
        <v>31</v>
      </c>
      <c r="AB1215" s="6" t="n">
        <v>193</v>
      </c>
      <c r="AC1215" s="6" t="n">
        <v>120</v>
      </c>
      <c r="AD1215" s="6" t="n">
        <v>40</v>
      </c>
      <c r="AE1215" s="6" t="n">
        <v>1301.88464355469</v>
      </c>
      <c r="AF1215" s="8"/>
      <c r="AG1215" s="11"/>
      <c r="AH1215" s="12" t="n">
        <v>0.99912665475185</v>
      </c>
      <c r="AI1215" s="2" t="s">
        <v>1597</v>
      </c>
      <c r="AJ1215" s="2"/>
      <c r="AK1215" s="2" t="s">
        <v>2721</v>
      </c>
    </row>
    <row r="1216" customFormat="false" ht="15" hidden="false" customHeight="false" outlineLevel="0" collapsed="false">
      <c r="A1216" s="9"/>
      <c r="B1216" s="2" t="s">
        <v>2722</v>
      </c>
      <c r="C1216" s="2" t="s">
        <v>2723</v>
      </c>
      <c r="D1216" s="2" t="s">
        <v>2724</v>
      </c>
      <c r="E1216" s="2" t="s">
        <v>51</v>
      </c>
      <c r="F1216" s="2"/>
      <c r="G1216" s="2" t="s">
        <v>2725</v>
      </c>
      <c r="H1216" s="8" t="n">
        <v>237.135913774286</v>
      </c>
      <c r="I1216" s="2" t="s">
        <v>316</v>
      </c>
      <c r="J1216" s="8" t="n">
        <v>541714.285714286</v>
      </c>
      <c r="K1216" s="6" t="n">
        <v>21</v>
      </c>
      <c r="L1216" s="2"/>
      <c r="M1216" s="10" t="b">
        <f aca="false">TRUE()</f>
        <v>1</v>
      </c>
      <c r="N1216" s="9" t="str">
        <f aca="false">IF(H1216="","",IF(H1216&gt;=Assumptions!$B$5,1,IF(H1216&gt;=Assumptions!$B$6,2,IF(H1216&gt;=Assumptions!$B$7,3,""))))</f>
        <v/>
      </c>
      <c r="O1216" s="9" t="n">
        <f aca="false">IF(N1216=1,Assumptions!$B$8,IF(N1216=2,Assumptions!$B$9,IF(N1216=3,Assumptions!$B$10,0)))</f>
        <v>0</v>
      </c>
      <c r="P1216" s="6" t="s">
        <v>30</v>
      </c>
      <c r="Q1216" s="6" t="s">
        <v>30</v>
      </c>
      <c r="R1216" s="11" t="s">
        <v>30</v>
      </c>
      <c r="S1216" s="6" t="s">
        <v>30</v>
      </c>
      <c r="T1216" s="11" t="s">
        <v>30</v>
      </c>
      <c r="U1216" s="6" t="s">
        <v>30</v>
      </c>
      <c r="V1216" s="6" t="s">
        <v>30</v>
      </c>
      <c r="W1216" s="6" t="s">
        <v>30</v>
      </c>
      <c r="X1216" s="2" t="s">
        <v>30</v>
      </c>
      <c r="Y1216" s="6" t="str">
        <f aca="false">IF(AND(X1216="processed",ISNUMBER(S1216)),S1216*O1216,"")</f>
        <v/>
      </c>
      <c r="Z1216" s="6" t="n">
        <f aca="false">IF(ISNUMBER(K1216),K1216*O1216,0)</f>
        <v>0</v>
      </c>
      <c r="AA1216" s="2" t="s">
        <v>31</v>
      </c>
      <c r="AB1216" s="6" t="n">
        <v>1721</v>
      </c>
      <c r="AC1216" s="6" t="n">
        <v>1453</v>
      </c>
      <c r="AD1216" s="6" t="n">
        <v>1631</v>
      </c>
      <c r="AE1216" s="6" t="n">
        <v>2065.05078125</v>
      </c>
      <c r="AF1216" s="8" t="n">
        <v>217.065868263</v>
      </c>
      <c r="AG1216" s="11" t="n">
        <v>0.001274047649</v>
      </c>
      <c r="AH1216" s="12" t="n">
        <v>0.657353125088559</v>
      </c>
      <c r="AI1216" s="2" t="s">
        <v>317</v>
      </c>
      <c r="AJ1216" s="2" t="s">
        <v>2723</v>
      </c>
      <c r="AK1216" s="2" t="s">
        <v>2726</v>
      </c>
    </row>
    <row r="1217" customFormat="false" ht="15" hidden="false" customHeight="false" outlineLevel="0" collapsed="false">
      <c r="A1217" s="9"/>
      <c r="B1217" s="2" t="s">
        <v>2727</v>
      </c>
      <c r="C1217" s="2" t="s">
        <v>2728</v>
      </c>
      <c r="D1217" s="2" t="s">
        <v>2460</v>
      </c>
      <c r="E1217" s="2" t="s">
        <v>51</v>
      </c>
      <c r="F1217" s="2"/>
      <c r="G1217" s="2" t="s">
        <v>2461</v>
      </c>
      <c r="H1217" s="8" t="n">
        <v>237.749054330625</v>
      </c>
      <c r="I1217" s="2" t="s">
        <v>316</v>
      </c>
      <c r="J1217" s="8" t="n">
        <v>370175</v>
      </c>
      <c r="K1217" s="6" t="n">
        <v>40</v>
      </c>
      <c r="L1217" s="2"/>
      <c r="M1217" s="10" t="b">
        <f aca="false">TRUE()</f>
        <v>1</v>
      </c>
      <c r="N1217" s="9" t="str">
        <f aca="false">IF(H1217="","",IF(H1217&gt;=Assumptions!$B$5,1,IF(H1217&gt;=Assumptions!$B$6,2,IF(H1217&gt;=Assumptions!$B$7,3,""))))</f>
        <v/>
      </c>
      <c r="O1217" s="9" t="n">
        <f aca="false">IF(N1217=1,Assumptions!$B$8,IF(N1217=2,Assumptions!$B$9,IF(N1217=3,Assumptions!$B$10,0)))</f>
        <v>0</v>
      </c>
      <c r="P1217" s="6" t="s">
        <v>30</v>
      </c>
      <c r="Q1217" s="6" t="s">
        <v>30</v>
      </c>
      <c r="R1217" s="11" t="s">
        <v>30</v>
      </c>
      <c r="S1217" s="6" t="s">
        <v>30</v>
      </c>
      <c r="T1217" s="11" t="s">
        <v>30</v>
      </c>
      <c r="U1217" s="6" t="s">
        <v>30</v>
      </c>
      <c r="V1217" s="6" t="s">
        <v>30</v>
      </c>
      <c r="W1217" s="6" t="s">
        <v>30</v>
      </c>
      <c r="X1217" s="2" t="s">
        <v>30</v>
      </c>
      <c r="Y1217" s="6" t="str">
        <f aca="false">IF(AND(X1217="processed",ISNUMBER(S1217)),S1217*O1217,"")</f>
        <v/>
      </c>
      <c r="Z1217" s="6" t="n">
        <f aca="false">IF(ISNUMBER(K1217),K1217*O1217,0)</f>
        <v>0</v>
      </c>
      <c r="AA1217" s="2" t="s">
        <v>31</v>
      </c>
      <c r="AB1217" s="6" t="n">
        <v>2884</v>
      </c>
      <c r="AC1217" s="6" t="n">
        <v>2372</v>
      </c>
      <c r="AD1217" s="6" t="n">
        <v>2736</v>
      </c>
      <c r="AE1217" s="6" t="n">
        <v>1744.130859375</v>
      </c>
      <c r="AF1217" s="8" t="n">
        <v>240.388349515</v>
      </c>
      <c r="AG1217" s="11" t="n">
        <v>-0.04194315975</v>
      </c>
      <c r="AH1217" s="12" t="n">
        <v>0.999404540675367</v>
      </c>
      <c r="AI1217" s="2" t="s">
        <v>317</v>
      </c>
      <c r="AJ1217" s="2" t="s">
        <v>2728</v>
      </c>
      <c r="AK1217" s="2" t="s">
        <v>2729</v>
      </c>
    </row>
    <row r="1218" customFormat="false" ht="15" hidden="false" customHeight="false" outlineLevel="0" collapsed="false">
      <c r="A1218" s="9"/>
      <c r="B1218" s="2" t="s">
        <v>2730</v>
      </c>
      <c r="C1218" s="2" t="s">
        <v>2731</v>
      </c>
      <c r="D1218" s="2" t="s">
        <v>2437</v>
      </c>
      <c r="E1218" s="2" t="s">
        <v>51</v>
      </c>
      <c r="F1218" s="2"/>
      <c r="G1218" s="2" t="s">
        <v>2438</v>
      </c>
      <c r="H1218" s="8" t="n">
        <v>195.86354116625</v>
      </c>
      <c r="I1218" s="2" t="s">
        <v>316</v>
      </c>
      <c r="J1218" s="8" t="n">
        <v>333750</v>
      </c>
      <c r="K1218" s="6" t="n">
        <v>4</v>
      </c>
      <c r="L1218" s="2" t="s">
        <v>1664</v>
      </c>
      <c r="M1218" s="10" t="b">
        <f aca="false">TRUE()</f>
        <v>1</v>
      </c>
      <c r="N1218" s="9" t="str">
        <f aca="false">IF(H1218="","",IF(H1218&gt;=Assumptions!$B$5,1,IF(H1218&gt;=Assumptions!$B$6,2,IF(H1218&gt;=Assumptions!$B$7,3,""))))</f>
        <v/>
      </c>
      <c r="O1218" s="9" t="n">
        <f aca="false">IF(N1218=1,Assumptions!$B$8,IF(N1218=2,Assumptions!$B$9,IF(N1218=3,Assumptions!$B$10,0)))</f>
        <v>0</v>
      </c>
      <c r="P1218" s="6" t="s">
        <v>30</v>
      </c>
      <c r="Q1218" s="6" t="s">
        <v>30</v>
      </c>
      <c r="R1218" s="11" t="s">
        <v>30</v>
      </c>
      <c r="S1218" s="6" t="s">
        <v>30</v>
      </c>
      <c r="T1218" s="11" t="s">
        <v>30</v>
      </c>
      <c r="U1218" s="6" t="s">
        <v>30</v>
      </c>
      <c r="V1218" s="6" t="s">
        <v>30</v>
      </c>
      <c r="W1218" s="6" t="s">
        <v>30</v>
      </c>
      <c r="X1218" s="2" t="s">
        <v>30</v>
      </c>
      <c r="Y1218" s="6" t="str">
        <f aca="false">IF(AND(X1218="processed",ISNUMBER(S1218)),S1218*O1218,"")</f>
        <v/>
      </c>
      <c r="Z1218" s="6" t="n">
        <f aca="false">IF(ISNUMBER(K1218),K1218*O1218,0)</f>
        <v>0</v>
      </c>
      <c r="AA1218" s="2" t="s">
        <v>31</v>
      </c>
      <c r="AB1218" s="6" t="n">
        <v>321</v>
      </c>
      <c r="AC1218" s="6" t="n">
        <v>250</v>
      </c>
      <c r="AD1218" s="6" t="n">
        <v>106</v>
      </c>
      <c r="AE1218" s="6" t="n">
        <v>1582.08837890625</v>
      </c>
      <c r="AF1218" s="8" t="n">
        <v>219.576193523</v>
      </c>
      <c r="AG1218" s="11"/>
      <c r="AH1218" s="12" t="n">
        <v>1</v>
      </c>
      <c r="AI1218" s="2" t="s">
        <v>317</v>
      </c>
      <c r="AJ1218" s="2" t="s">
        <v>2731</v>
      </c>
      <c r="AK1218" s="2" t="s">
        <v>2732</v>
      </c>
    </row>
    <row r="1219" customFormat="false" ht="15" hidden="false" customHeight="false" outlineLevel="0" collapsed="false">
      <c r="A1219" s="9"/>
      <c r="B1219" s="2" t="s">
        <v>2733</v>
      </c>
      <c r="C1219" s="2" t="s">
        <v>2734</v>
      </c>
      <c r="D1219" s="2" t="s">
        <v>2724</v>
      </c>
      <c r="E1219" s="2" t="s">
        <v>51</v>
      </c>
      <c r="F1219" s="2"/>
      <c r="G1219" s="2" t="s">
        <v>2725</v>
      </c>
      <c r="H1219" s="8" t="n">
        <v>472.740683211769</v>
      </c>
      <c r="I1219" s="2" t="s">
        <v>316</v>
      </c>
      <c r="J1219" s="8" t="n">
        <v>715807.692307692</v>
      </c>
      <c r="K1219" s="6" t="n">
        <v>26</v>
      </c>
      <c r="L1219" s="2"/>
      <c r="M1219" s="10" t="b">
        <f aca="false">TRUE()</f>
        <v>1</v>
      </c>
      <c r="N1219" s="9" t="str">
        <f aca="false">IF(H1219="","",IF(H1219&gt;=Assumptions!$B$5,1,IF(H1219&gt;=Assumptions!$B$6,2,IF(H1219&gt;=Assumptions!$B$7,3,""))))</f>
        <v/>
      </c>
      <c r="O1219" s="9" t="n">
        <f aca="false">IF(N1219=1,Assumptions!$B$8,IF(N1219=2,Assumptions!$B$9,IF(N1219=3,Assumptions!$B$10,0)))</f>
        <v>0</v>
      </c>
      <c r="P1219" s="6" t="s">
        <v>30</v>
      </c>
      <c r="Q1219" s="6" t="s">
        <v>30</v>
      </c>
      <c r="R1219" s="11" t="s">
        <v>30</v>
      </c>
      <c r="S1219" s="6" t="s">
        <v>30</v>
      </c>
      <c r="T1219" s="11" t="s">
        <v>30</v>
      </c>
      <c r="U1219" s="6" t="s">
        <v>30</v>
      </c>
      <c r="V1219" s="6" t="s">
        <v>30</v>
      </c>
      <c r="W1219" s="6" t="s">
        <v>30</v>
      </c>
      <c r="X1219" s="2" t="s">
        <v>30</v>
      </c>
      <c r="Y1219" s="6" t="str">
        <f aca="false">IF(AND(X1219="processed",ISNUMBER(S1219)),S1219*O1219,"")</f>
        <v/>
      </c>
      <c r="Z1219" s="6" t="n">
        <f aca="false">IF(ISNUMBER(K1219),K1219*O1219,0)</f>
        <v>0</v>
      </c>
      <c r="AA1219" s="2" t="s">
        <v>31</v>
      </c>
      <c r="AB1219" s="6" t="n">
        <v>1424</v>
      </c>
      <c r="AC1219" s="6" t="n">
        <v>1265</v>
      </c>
      <c r="AD1219" s="6" t="n">
        <v>1293</v>
      </c>
      <c r="AE1219" s="6" t="n">
        <v>1846.60974121094</v>
      </c>
      <c r="AF1219" s="8" t="n">
        <v>499.001996008</v>
      </c>
      <c r="AG1219" s="11" t="n">
        <v>0.1361891601</v>
      </c>
      <c r="AH1219" s="12" t="n">
        <v>0.999981080090053</v>
      </c>
      <c r="AI1219" s="2" t="s">
        <v>317</v>
      </c>
      <c r="AJ1219" s="2" t="s">
        <v>2734</v>
      </c>
      <c r="AK1219" s="2" t="s">
        <v>2735</v>
      </c>
    </row>
    <row r="1220" customFormat="false" ht="15" hidden="false" customHeight="false" outlineLevel="0" collapsed="false">
      <c r="A1220" s="9"/>
      <c r="B1220" s="2" t="s">
        <v>2736</v>
      </c>
      <c r="C1220" s="2" t="s">
        <v>2737</v>
      </c>
      <c r="D1220" s="2" t="s">
        <v>2460</v>
      </c>
      <c r="E1220" s="2" t="s">
        <v>51</v>
      </c>
      <c r="F1220" s="2"/>
      <c r="G1220" s="2" t="s">
        <v>2461</v>
      </c>
      <c r="H1220" s="8" t="n">
        <v>193.105413105</v>
      </c>
      <c r="I1220" s="2" t="s">
        <v>316</v>
      </c>
      <c r="J1220" s="8" t="n">
        <v>254966.666666667</v>
      </c>
      <c r="K1220" s="6" t="n">
        <v>3</v>
      </c>
      <c r="L1220" s="2" t="s">
        <v>1664</v>
      </c>
      <c r="M1220" s="10" t="b">
        <f aca="false">TRUE()</f>
        <v>1</v>
      </c>
      <c r="N1220" s="9" t="str">
        <f aca="false">IF(H1220="","",IF(H1220&gt;=Assumptions!$B$5,1,IF(H1220&gt;=Assumptions!$B$6,2,IF(H1220&gt;=Assumptions!$B$7,3,""))))</f>
        <v/>
      </c>
      <c r="O1220" s="9" t="n">
        <f aca="false">IF(N1220=1,Assumptions!$B$8,IF(N1220=2,Assumptions!$B$9,IF(N1220=3,Assumptions!$B$10,0)))</f>
        <v>0</v>
      </c>
      <c r="P1220" s="6" t="s">
        <v>30</v>
      </c>
      <c r="Q1220" s="6" t="s">
        <v>30</v>
      </c>
      <c r="R1220" s="11" t="s">
        <v>30</v>
      </c>
      <c r="S1220" s="6" t="s">
        <v>30</v>
      </c>
      <c r="T1220" s="11" t="s">
        <v>30</v>
      </c>
      <c r="U1220" s="6" t="s">
        <v>30</v>
      </c>
      <c r="V1220" s="6" t="s">
        <v>30</v>
      </c>
      <c r="W1220" s="6" t="s">
        <v>30</v>
      </c>
      <c r="X1220" s="2" t="s">
        <v>30</v>
      </c>
      <c r="Y1220" s="6" t="str">
        <f aca="false">IF(AND(X1220="processed",ISNUMBER(S1220)),S1220*O1220,"")</f>
        <v/>
      </c>
      <c r="Z1220" s="6" t="n">
        <f aca="false">IF(ISNUMBER(K1220),K1220*O1220,0)</f>
        <v>0</v>
      </c>
      <c r="AA1220" s="2" t="s">
        <v>31</v>
      </c>
      <c r="AB1220" s="6" t="n">
        <v>106</v>
      </c>
      <c r="AC1220" s="6" t="n">
        <v>90</v>
      </c>
      <c r="AD1220" s="6" t="n">
        <v>98</v>
      </c>
      <c r="AE1220" s="6" t="n">
        <v>1826.20739746094</v>
      </c>
      <c r="AF1220" s="8" t="n">
        <v>203.571428571</v>
      </c>
      <c r="AG1220" s="11" t="n">
        <v>-0.06188902007</v>
      </c>
      <c r="AH1220" s="12" t="n">
        <v>1</v>
      </c>
      <c r="AI1220" s="2" t="s">
        <v>317</v>
      </c>
      <c r="AJ1220" s="2" t="s">
        <v>2737</v>
      </c>
      <c r="AK1220" s="2" t="s">
        <v>2737</v>
      </c>
    </row>
    <row r="1221" customFormat="false" ht="15" hidden="false" customHeight="false" outlineLevel="0" collapsed="false">
      <c r="A1221" s="9"/>
      <c r="B1221" s="2" t="s">
        <v>2738</v>
      </c>
      <c r="C1221" s="2" t="s">
        <v>2739</v>
      </c>
      <c r="D1221" s="2" t="s">
        <v>2460</v>
      </c>
      <c r="E1221" s="2" t="s">
        <v>51</v>
      </c>
      <c r="F1221" s="2"/>
      <c r="G1221" s="2" t="s">
        <v>2461</v>
      </c>
      <c r="H1221" s="8" t="n">
        <v>284.0993265995</v>
      </c>
      <c r="I1221" s="2" t="s">
        <v>316</v>
      </c>
      <c r="J1221" s="8" t="n">
        <v>277000</v>
      </c>
      <c r="K1221" s="6" t="n">
        <v>2</v>
      </c>
      <c r="L1221" s="2" t="s">
        <v>1664</v>
      </c>
      <c r="M1221" s="10" t="b">
        <f aca="false">TRUE()</f>
        <v>1</v>
      </c>
      <c r="N1221" s="9" t="str">
        <f aca="false">IF(H1221="","",IF(H1221&gt;=Assumptions!$B$5,1,IF(H1221&gt;=Assumptions!$B$6,2,IF(H1221&gt;=Assumptions!$B$7,3,""))))</f>
        <v/>
      </c>
      <c r="O1221" s="9" t="n">
        <f aca="false">IF(N1221=1,Assumptions!$B$8,IF(N1221=2,Assumptions!$B$9,IF(N1221=3,Assumptions!$B$10,0)))</f>
        <v>0</v>
      </c>
      <c r="P1221" s="6" t="s">
        <v>30</v>
      </c>
      <c r="Q1221" s="6" t="s">
        <v>30</v>
      </c>
      <c r="R1221" s="11" t="s">
        <v>30</v>
      </c>
      <c r="S1221" s="6" t="s">
        <v>30</v>
      </c>
      <c r="T1221" s="11" t="s">
        <v>30</v>
      </c>
      <c r="U1221" s="6" t="s">
        <v>30</v>
      </c>
      <c r="V1221" s="6" t="s">
        <v>30</v>
      </c>
      <c r="W1221" s="6" t="s">
        <v>30</v>
      </c>
      <c r="X1221" s="2" t="s">
        <v>30</v>
      </c>
      <c r="Y1221" s="6" t="str">
        <f aca="false">IF(AND(X1221="processed",ISNUMBER(S1221)),S1221*O1221,"")</f>
        <v/>
      </c>
      <c r="Z1221" s="6" t="n">
        <f aca="false">IF(ISNUMBER(K1221),K1221*O1221,0)</f>
        <v>0</v>
      </c>
      <c r="AA1221" s="2" t="s">
        <v>31</v>
      </c>
      <c r="AB1221" s="6" t="n">
        <v>297</v>
      </c>
      <c r="AC1221" s="6" t="n">
        <v>265</v>
      </c>
      <c r="AD1221" s="6" t="n">
        <v>191</v>
      </c>
      <c r="AE1221" s="6" t="n">
        <v>1951.4736328125</v>
      </c>
      <c r="AF1221" s="8" t="n">
        <v>267.272727273</v>
      </c>
      <c r="AG1221" s="11"/>
      <c r="AH1221" s="12" t="n">
        <v>1</v>
      </c>
      <c r="AI1221" s="2" t="s">
        <v>317</v>
      </c>
      <c r="AJ1221" s="2" t="s">
        <v>2739</v>
      </c>
      <c r="AK1221" s="2" t="s">
        <v>2739</v>
      </c>
    </row>
    <row r="1222" customFormat="false" ht="15" hidden="false" customHeight="false" outlineLevel="0" collapsed="false">
      <c r="A1222" s="9"/>
      <c r="B1222" s="2" t="s">
        <v>2740</v>
      </c>
      <c r="C1222" s="2" t="s">
        <v>2741</v>
      </c>
      <c r="D1222" s="2" t="s">
        <v>2460</v>
      </c>
      <c r="E1222" s="2" t="s">
        <v>51</v>
      </c>
      <c r="F1222" s="2"/>
      <c r="G1222" s="2" t="s">
        <v>2461</v>
      </c>
      <c r="H1222" s="8" t="n">
        <v>151.2042731</v>
      </c>
      <c r="I1222" s="2" t="s">
        <v>316</v>
      </c>
      <c r="J1222" s="8" t="n">
        <v>147500</v>
      </c>
      <c r="K1222" s="6" t="n">
        <v>2</v>
      </c>
      <c r="L1222" s="2" t="s">
        <v>1664</v>
      </c>
      <c r="M1222" s="10" t="b">
        <f aca="false">TRUE()</f>
        <v>1</v>
      </c>
      <c r="N1222" s="9" t="str">
        <f aca="false">IF(H1222="","",IF(H1222&gt;=Assumptions!$B$5,1,IF(H1222&gt;=Assumptions!$B$6,2,IF(H1222&gt;=Assumptions!$B$7,3,""))))</f>
        <v/>
      </c>
      <c r="O1222" s="9" t="n">
        <f aca="false">IF(N1222=1,Assumptions!$B$8,IF(N1222=2,Assumptions!$B$9,IF(N1222=3,Assumptions!$B$10,0)))</f>
        <v>0</v>
      </c>
      <c r="P1222" s="6" t="s">
        <v>30</v>
      </c>
      <c r="Q1222" s="6" t="s">
        <v>30</v>
      </c>
      <c r="R1222" s="11" t="s">
        <v>30</v>
      </c>
      <c r="S1222" s="6" t="s">
        <v>30</v>
      </c>
      <c r="T1222" s="11" t="s">
        <v>30</v>
      </c>
      <c r="U1222" s="6" t="s">
        <v>30</v>
      </c>
      <c r="V1222" s="6" t="s">
        <v>30</v>
      </c>
      <c r="W1222" s="6" t="s">
        <v>30</v>
      </c>
      <c r="X1222" s="2" t="s">
        <v>30</v>
      </c>
      <c r="Y1222" s="6" t="str">
        <f aca="false">IF(AND(X1222="processed",ISNUMBER(S1222)),S1222*O1222,"")</f>
        <v/>
      </c>
      <c r="Z1222" s="6" t="n">
        <f aca="false">IF(ISNUMBER(K1222),K1222*O1222,0)</f>
        <v>0</v>
      </c>
      <c r="AA1222" s="2" t="s">
        <v>31</v>
      </c>
      <c r="AB1222" s="6" t="n">
        <v>423</v>
      </c>
      <c r="AC1222" s="6" t="n">
        <v>365</v>
      </c>
      <c r="AD1222" s="6" t="n">
        <v>423</v>
      </c>
      <c r="AE1222" s="6" t="n">
        <v>1621.61779785156</v>
      </c>
      <c r="AF1222" s="8" t="n">
        <v>151.2042731</v>
      </c>
      <c r="AG1222" s="11" t="n">
        <v>-0.3072095123</v>
      </c>
      <c r="AH1222" s="12" t="n">
        <v>0.999999999999998</v>
      </c>
      <c r="AI1222" s="2" t="s">
        <v>317</v>
      </c>
      <c r="AJ1222" s="2" t="s">
        <v>2741</v>
      </c>
      <c r="AK1222" s="2" t="s">
        <v>2741</v>
      </c>
    </row>
    <row r="1223" customFormat="false" ht="15" hidden="false" customHeight="false" outlineLevel="0" collapsed="false">
      <c r="A1223" s="9"/>
      <c r="B1223" s="2" t="s">
        <v>2742</v>
      </c>
      <c r="C1223" s="2" t="s">
        <v>2743</v>
      </c>
      <c r="D1223" s="2" t="s">
        <v>2460</v>
      </c>
      <c r="E1223" s="2" t="s">
        <v>51</v>
      </c>
      <c r="F1223" s="2"/>
      <c r="G1223" s="2" t="s">
        <v>2461</v>
      </c>
      <c r="H1223" s="8" t="n">
        <v>224.480569788632</v>
      </c>
      <c r="I1223" s="2" t="s">
        <v>316</v>
      </c>
      <c r="J1223" s="8" t="n">
        <v>335789.473684211</v>
      </c>
      <c r="K1223" s="6" t="n">
        <v>19</v>
      </c>
      <c r="L1223" s="2"/>
      <c r="M1223" s="10" t="b">
        <f aca="false">TRUE()</f>
        <v>1</v>
      </c>
      <c r="N1223" s="9" t="str">
        <f aca="false">IF(H1223="","",IF(H1223&gt;=Assumptions!$B$5,1,IF(H1223&gt;=Assumptions!$B$6,2,IF(H1223&gt;=Assumptions!$B$7,3,""))))</f>
        <v/>
      </c>
      <c r="O1223" s="9" t="n">
        <f aca="false">IF(N1223=1,Assumptions!$B$8,IF(N1223=2,Assumptions!$B$9,IF(N1223=3,Assumptions!$B$10,0)))</f>
        <v>0</v>
      </c>
      <c r="P1223" s="6" t="s">
        <v>30</v>
      </c>
      <c r="Q1223" s="6" t="s">
        <v>30</v>
      </c>
      <c r="R1223" s="11" t="s">
        <v>30</v>
      </c>
      <c r="S1223" s="6" t="s">
        <v>30</v>
      </c>
      <c r="T1223" s="11" t="s">
        <v>30</v>
      </c>
      <c r="U1223" s="6" t="s">
        <v>30</v>
      </c>
      <c r="V1223" s="6" t="s">
        <v>30</v>
      </c>
      <c r="W1223" s="6" t="s">
        <v>30</v>
      </c>
      <c r="X1223" s="2" t="s">
        <v>30</v>
      </c>
      <c r="Y1223" s="6" t="str">
        <f aca="false">IF(AND(X1223="processed",ISNUMBER(S1223)),S1223*O1223,"")</f>
        <v/>
      </c>
      <c r="Z1223" s="6" t="n">
        <f aca="false">IF(ISNUMBER(K1223),K1223*O1223,0)</f>
        <v>0</v>
      </c>
      <c r="AA1223" s="2" t="s">
        <v>31</v>
      </c>
      <c r="AB1223" s="6" t="n">
        <v>2858</v>
      </c>
      <c r="AC1223" s="6" t="n">
        <v>2397</v>
      </c>
      <c r="AD1223" s="6" t="n">
        <v>2844</v>
      </c>
      <c r="AE1223" s="6" t="n">
        <v>2041.37683105469</v>
      </c>
      <c r="AF1223" s="8" t="n">
        <v>281.022617026</v>
      </c>
      <c r="AG1223" s="11" t="n">
        <v>-0.06796842204</v>
      </c>
      <c r="AH1223" s="12" t="n">
        <v>1</v>
      </c>
      <c r="AI1223" s="2" t="s">
        <v>317</v>
      </c>
      <c r="AJ1223" s="2" t="s">
        <v>2743</v>
      </c>
      <c r="AK1223" s="2" t="s">
        <v>2743</v>
      </c>
    </row>
    <row r="1224" customFormat="false" ht="15" hidden="false" customHeight="false" outlineLevel="0" collapsed="false">
      <c r="A1224" s="9"/>
      <c r="B1224" s="2" t="s">
        <v>2744</v>
      </c>
      <c r="C1224" s="2" t="s">
        <v>2745</v>
      </c>
      <c r="D1224" s="2" t="s">
        <v>2724</v>
      </c>
      <c r="E1224" s="2" t="s">
        <v>51</v>
      </c>
      <c r="F1224" s="2"/>
      <c r="G1224" s="2" t="s">
        <v>2725</v>
      </c>
      <c r="H1224" s="8" t="n">
        <v>234.911673155315</v>
      </c>
      <c r="I1224" s="2" t="s">
        <v>316</v>
      </c>
      <c r="J1224" s="8" t="n">
        <v>372917.322834646</v>
      </c>
      <c r="K1224" s="6" t="n">
        <v>127</v>
      </c>
      <c r="L1224" s="2"/>
      <c r="M1224" s="10" t="b">
        <f aca="false">TRUE()</f>
        <v>1</v>
      </c>
      <c r="N1224" s="9" t="str">
        <f aca="false">IF(H1224="","",IF(H1224&gt;=Assumptions!$B$5,1,IF(H1224&gt;=Assumptions!$B$6,2,IF(H1224&gt;=Assumptions!$B$7,3,""))))</f>
        <v/>
      </c>
      <c r="O1224" s="9" t="n">
        <f aca="false">IF(N1224=1,Assumptions!$B$8,IF(N1224=2,Assumptions!$B$9,IF(N1224=3,Assumptions!$B$10,0)))</f>
        <v>0</v>
      </c>
      <c r="P1224" s="6" t="s">
        <v>30</v>
      </c>
      <c r="Q1224" s="6" t="s">
        <v>30</v>
      </c>
      <c r="R1224" s="11" t="s">
        <v>30</v>
      </c>
      <c r="S1224" s="6" t="s">
        <v>30</v>
      </c>
      <c r="T1224" s="11" t="s">
        <v>30</v>
      </c>
      <c r="U1224" s="6" t="s">
        <v>30</v>
      </c>
      <c r="V1224" s="6" t="s">
        <v>30</v>
      </c>
      <c r="W1224" s="6" t="s">
        <v>30</v>
      </c>
      <c r="X1224" s="2" t="s">
        <v>30</v>
      </c>
      <c r="Y1224" s="6" t="str">
        <f aca="false">IF(AND(X1224="processed",ISNUMBER(S1224)),S1224*O1224,"")</f>
        <v/>
      </c>
      <c r="Z1224" s="6" t="n">
        <f aca="false">IF(ISNUMBER(K1224),K1224*O1224,0)</f>
        <v>0</v>
      </c>
      <c r="AA1224" s="2" t="s">
        <v>31</v>
      </c>
      <c r="AB1224" s="6" t="n">
        <v>9571</v>
      </c>
      <c r="AC1224" s="6" t="n">
        <v>7914</v>
      </c>
      <c r="AD1224" s="6" t="n">
        <v>6518</v>
      </c>
      <c r="AE1224" s="6" t="n">
        <v>2201.21801757813</v>
      </c>
      <c r="AF1224" s="8" t="n">
        <v>247.932199211</v>
      </c>
      <c r="AG1224" s="11" t="n">
        <v>0.07568100186</v>
      </c>
      <c r="AH1224" s="12" t="n">
        <v>0.842395602560369</v>
      </c>
      <c r="AI1224" s="2" t="s">
        <v>317</v>
      </c>
      <c r="AJ1224" s="2" t="s">
        <v>2745</v>
      </c>
      <c r="AK1224" s="2" t="s">
        <v>2745</v>
      </c>
    </row>
    <row r="1225" customFormat="false" ht="15" hidden="false" customHeight="false" outlineLevel="0" collapsed="false">
      <c r="A1225" s="9"/>
      <c r="B1225" s="2" t="s">
        <v>2746</v>
      </c>
      <c r="C1225" s="2" t="s">
        <v>2747</v>
      </c>
      <c r="D1225" s="2" t="s">
        <v>2460</v>
      </c>
      <c r="E1225" s="2" t="s">
        <v>51</v>
      </c>
      <c r="F1225" s="2"/>
      <c r="G1225" s="2" t="s">
        <v>2461</v>
      </c>
      <c r="H1225" s="8" t="n">
        <v>273.281699926091</v>
      </c>
      <c r="I1225" s="2" t="s">
        <v>316</v>
      </c>
      <c r="J1225" s="8" t="n">
        <v>482780.748663102</v>
      </c>
      <c r="K1225" s="6" t="n">
        <v>374</v>
      </c>
      <c r="L1225" s="2"/>
      <c r="M1225" s="10" t="b">
        <f aca="false">TRUE()</f>
        <v>1</v>
      </c>
      <c r="N1225" s="9" t="str">
        <f aca="false">IF(H1225="","",IF(H1225&gt;=Assumptions!$B$5,1,IF(H1225&gt;=Assumptions!$B$6,2,IF(H1225&gt;=Assumptions!$B$7,3,""))))</f>
        <v/>
      </c>
      <c r="O1225" s="9" t="n">
        <f aca="false">IF(N1225=1,Assumptions!$B$8,IF(N1225=2,Assumptions!$B$9,IF(N1225=3,Assumptions!$B$10,0)))</f>
        <v>0</v>
      </c>
      <c r="P1225" s="6" t="s">
        <v>30</v>
      </c>
      <c r="Q1225" s="6" t="s">
        <v>30</v>
      </c>
      <c r="R1225" s="11" t="s">
        <v>30</v>
      </c>
      <c r="S1225" s="6" t="s">
        <v>30</v>
      </c>
      <c r="T1225" s="11" t="s">
        <v>30</v>
      </c>
      <c r="U1225" s="6" t="s">
        <v>30</v>
      </c>
      <c r="V1225" s="6" t="s">
        <v>30</v>
      </c>
      <c r="W1225" s="6" t="s">
        <v>30</v>
      </c>
      <c r="X1225" s="2" t="s">
        <v>30</v>
      </c>
      <c r="Y1225" s="6" t="str">
        <f aca="false">IF(AND(X1225="processed",ISNUMBER(S1225)),S1225*O1225,"")</f>
        <v/>
      </c>
      <c r="Z1225" s="6" t="n">
        <f aca="false">IF(ISNUMBER(K1225),K1225*O1225,0)</f>
        <v>0</v>
      </c>
      <c r="AA1225" s="2" t="s">
        <v>31</v>
      </c>
      <c r="AB1225" s="6" t="n">
        <v>17517</v>
      </c>
      <c r="AC1225" s="6" t="n">
        <v>16291</v>
      </c>
      <c r="AD1225" s="6" t="n">
        <v>12052</v>
      </c>
      <c r="AE1225" s="6" t="n">
        <v>2891.91845703125</v>
      </c>
      <c r="AF1225" s="8" t="n">
        <v>278.804684405</v>
      </c>
      <c r="AG1225" s="11" t="n">
        <v>0.04748710925</v>
      </c>
      <c r="AH1225" s="12" t="n">
        <v>1</v>
      </c>
      <c r="AI1225" s="2" t="s">
        <v>319</v>
      </c>
      <c r="AJ1225" s="2"/>
      <c r="AK1225" s="2" t="s">
        <v>2747</v>
      </c>
    </row>
    <row r="1226" customFormat="false" ht="15" hidden="false" customHeight="false" outlineLevel="0" collapsed="false">
      <c r="A1226" s="9"/>
      <c r="B1226" s="2" t="s">
        <v>2748</v>
      </c>
      <c r="C1226" s="2" t="s">
        <v>2747</v>
      </c>
      <c r="D1226" s="2" t="s">
        <v>2460</v>
      </c>
      <c r="E1226" s="2" t="s">
        <v>51</v>
      </c>
      <c r="F1226" s="2"/>
      <c r="G1226" s="2" t="s">
        <v>2461</v>
      </c>
      <c r="H1226" s="8" t="n">
        <v>276.537091139859</v>
      </c>
      <c r="I1226" s="2" t="s">
        <v>316</v>
      </c>
      <c r="J1226" s="8" t="n">
        <v>389604.026845638</v>
      </c>
      <c r="K1226" s="6" t="n">
        <v>149</v>
      </c>
      <c r="L1226" s="2"/>
      <c r="M1226" s="10" t="b">
        <f aca="false">TRUE()</f>
        <v>1</v>
      </c>
      <c r="N1226" s="9" t="str">
        <f aca="false">IF(H1226="","",IF(H1226&gt;=Assumptions!$B$5,1,IF(H1226&gt;=Assumptions!$B$6,2,IF(H1226&gt;=Assumptions!$B$7,3,""))))</f>
        <v/>
      </c>
      <c r="O1226" s="9" t="n">
        <f aca="false">IF(N1226=1,Assumptions!$B$8,IF(N1226=2,Assumptions!$B$9,IF(N1226=3,Assumptions!$B$10,0)))</f>
        <v>0</v>
      </c>
      <c r="P1226" s="6" t="s">
        <v>30</v>
      </c>
      <c r="Q1226" s="6" t="s">
        <v>30</v>
      </c>
      <c r="R1226" s="11" t="s">
        <v>30</v>
      </c>
      <c r="S1226" s="6" t="s">
        <v>30</v>
      </c>
      <c r="T1226" s="11" t="s">
        <v>30</v>
      </c>
      <c r="U1226" s="6" t="s">
        <v>30</v>
      </c>
      <c r="V1226" s="6" t="s">
        <v>30</v>
      </c>
      <c r="W1226" s="6" t="s">
        <v>30</v>
      </c>
      <c r="X1226" s="2" t="s">
        <v>30</v>
      </c>
      <c r="Y1226" s="6" t="str">
        <f aca="false">IF(AND(X1226="processed",ISNUMBER(S1226)),S1226*O1226,"")</f>
        <v/>
      </c>
      <c r="Z1226" s="6" t="n">
        <f aca="false">IF(ISNUMBER(K1226),K1226*O1226,0)</f>
        <v>0</v>
      </c>
      <c r="AA1226" s="2" t="s">
        <v>31</v>
      </c>
      <c r="AB1226" s="6" t="n">
        <v>11244</v>
      </c>
      <c r="AC1226" s="6" t="n">
        <v>10006</v>
      </c>
      <c r="AD1226" s="6" t="n">
        <v>10231</v>
      </c>
      <c r="AE1226" s="6" t="n">
        <v>2377.0556640625</v>
      </c>
      <c r="AF1226" s="8" t="n">
        <v>278.733654508</v>
      </c>
      <c r="AG1226" s="11" t="n">
        <v>0.008023079316</v>
      </c>
      <c r="AH1226" s="12" t="n">
        <v>1</v>
      </c>
      <c r="AI1226" s="2" t="s">
        <v>319</v>
      </c>
      <c r="AJ1226" s="2"/>
      <c r="AK1226" s="2" t="s">
        <v>2747</v>
      </c>
    </row>
    <row r="1227" customFormat="false" ht="15" hidden="false" customHeight="false" outlineLevel="0" collapsed="false">
      <c r="A1227" s="9"/>
      <c r="B1227" s="2" t="s">
        <v>2749</v>
      </c>
      <c r="C1227" s="2"/>
      <c r="D1227" s="2" t="s">
        <v>1190</v>
      </c>
      <c r="E1227" s="2" t="s">
        <v>1191</v>
      </c>
      <c r="F1227" s="2"/>
      <c r="G1227" s="2" t="s">
        <v>2461</v>
      </c>
      <c r="H1227" s="8" t="n">
        <v>244.14893617</v>
      </c>
      <c r="I1227" s="2" t="s">
        <v>316</v>
      </c>
      <c r="J1227" s="8" t="n">
        <v>459000</v>
      </c>
      <c r="K1227" s="6" t="n">
        <v>1</v>
      </c>
      <c r="L1227" s="2" t="s">
        <v>1664</v>
      </c>
      <c r="M1227" s="10" t="b">
        <f aca="false">FALSE()</f>
        <v>0</v>
      </c>
      <c r="N1227" s="9" t="str">
        <f aca="false">IF(H1227="","",IF(H1227&gt;=Assumptions!$B$5,1,IF(H1227&gt;=Assumptions!$B$6,2,IF(H1227&gt;=Assumptions!$B$7,3,""))))</f>
        <v/>
      </c>
      <c r="O1227" s="9" t="n">
        <f aca="false">IF(N1227=1,Assumptions!$B$8,IF(N1227=2,Assumptions!$B$9,IF(N1227=3,Assumptions!$B$10,0)))</f>
        <v>0</v>
      </c>
      <c r="P1227" s="6" t="s">
        <v>30</v>
      </c>
      <c r="Q1227" s="6" t="s">
        <v>30</v>
      </c>
      <c r="R1227" s="11" t="s">
        <v>30</v>
      </c>
      <c r="S1227" s="6" t="s">
        <v>30</v>
      </c>
      <c r="T1227" s="11" t="s">
        <v>30</v>
      </c>
      <c r="U1227" s="6" t="s">
        <v>30</v>
      </c>
      <c r="V1227" s="6" t="s">
        <v>30</v>
      </c>
      <c r="W1227" s="6" t="s">
        <v>30</v>
      </c>
      <c r="X1227" s="2" t="s">
        <v>30</v>
      </c>
      <c r="Y1227" s="6" t="str">
        <f aca="false">IF(AND(X1227="processed",ISNUMBER(S1227)),S1227*O1227,"")</f>
        <v/>
      </c>
      <c r="Z1227" s="6" t="n">
        <f aca="false">IF(ISNUMBER(K1227),K1227*O1227,0)</f>
        <v>0</v>
      </c>
      <c r="AA1227" s="2" t="s">
        <v>31</v>
      </c>
      <c r="AB1227" s="6"/>
      <c r="AC1227" s="6"/>
      <c r="AD1227" s="6"/>
      <c r="AE1227" s="6"/>
      <c r="AF1227" s="8" t="n">
        <v>244.14893617</v>
      </c>
      <c r="AG1227" s="11"/>
      <c r="AH1227" s="12"/>
      <c r="AI1227" s="2"/>
      <c r="AJ1227" s="2"/>
      <c r="AK1227" s="2"/>
    </row>
    <row r="1228" customFormat="false" ht="15" hidden="false" customHeight="false" outlineLevel="0" collapsed="false">
      <c r="A1228" s="9"/>
      <c r="B1228" s="2" t="s">
        <v>2750</v>
      </c>
      <c r="C1228" s="2" t="s">
        <v>2751</v>
      </c>
      <c r="D1228" s="2" t="s">
        <v>2724</v>
      </c>
      <c r="E1228" s="2" t="s">
        <v>51</v>
      </c>
      <c r="F1228" s="2"/>
      <c r="G1228" s="2" t="s">
        <v>2725</v>
      </c>
      <c r="H1228" s="8" t="n">
        <v>224.285955917363</v>
      </c>
      <c r="I1228" s="2" t="s">
        <v>316</v>
      </c>
      <c r="J1228" s="8" t="n">
        <v>392719.298245614</v>
      </c>
      <c r="K1228" s="6" t="n">
        <v>171</v>
      </c>
      <c r="L1228" s="2"/>
      <c r="M1228" s="10" t="b">
        <f aca="false">TRUE()</f>
        <v>1</v>
      </c>
      <c r="N1228" s="9" t="str">
        <f aca="false">IF(H1228="","",IF(H1228&gt;=Assumptions!$B$5,1,IF(H1228&gt;=Assumptions!$B$6,2,IF(H1228&gt;=Assumptions!$B$7,3,""))))</f>
        <v/>
      </c>
      <c r="O1228" s="9" t="n">
        <f aca="false">IF(N1228=1,Assumptions!$B$8,IF(N1228=2,Assumptions!$B$9,IF(N1228=3,Assumptions!$B$10,0)))</f>
        <v>0</v>
      </c>
      <c r="P1228" s="6" t="s">
        <v>30</v>
      </c>
      <c r="Q1228" s="6" t="s">
        <v>30</v>
      </c>
      <c r="R1228" s="11" t="s">
        <v>30</v>
      </c>
      <c r="S1228" s="6" t="s">
        <v>30</v>
      </c>
      <c r="T1228" s="11" t="s">
        <v>30</v>
      </c>
      <c r="U1228" s="6" t="s">
        <v>30</v>
      </c>
      <c r="V1228" s="6" t="s">
        <v>30</v>
      </c>
      <c r="W1228" s="6" t="s">
        <v>30</v>
      </c>
      <c r="X1228" s="2" t="s">
        <v>30</v>
      </c>
      <c r="Y1228" s="6" t="str">
        <f aca="false">IF(AND(X1228="processed",ISNUMBER(S1228)),S1228*O1228,"")</f>
        <v/>
      </c>
      <c r="Z1228" s="6" t="n">
        <f aca="false">IF(ISNUMBER(K1228),K1228*O1228,0)</f>
        <v>0</v>
      </c>
      <c r="AA1228" s="2" t="s">
        <v>31</v>
      </c>
      <c r="AB1228" s="6" t="n">
        <v>7890</v>
      </c>
      <c r="AC1228" s="6" t="n">
        <v>6731</v>
      </c>
      <c r="AD1228" s="6" t="n">
        <v>7641</v>
      </c>
      <c r="AE1228" s="6" t="n">
        <v>2525.02758789063</v>
      </c>
      <c r="AF1228" s="8" t="n">
        <v>218.495013599</v>
      </c>
      <c r="AG1228" s="11" t="n">
        <v>-0.01798629999</v>
      </c>
      <c r="AH1228" s="12" t="n">
        <v>1</v>
      </c>
      <c r="AI1228" s="2" t="s">
        <v>317</v>
      </c>
      <c r="AJ1228" s="2" t="s">
        <v>2751</v>
      </c>
      <c r="AK1228" s="2" t="s">
        <v>2752</v>
      </c>
    </row>
    <row r="1229" customFormat="false" ht="15" hidden="false" customHeight="false" outlineLevel="0" collapsed="false">
      <c r="A1229" s="9"/>
      <c r="B1229" s="2" t="s">
        <v>2753</v>
      </c>
      <c r="C1229" s="2" t="s">
        <v>2754</v>
      </c>
      <c r="D1229" s="2" t="s">
        <v>2437</v>
      </c>
      <c r="E1229" s="2" t="s">
        <v>51</v>
      </c>
      <c r="F1229" s="2"/>
      <c r="G1229" s="2" t="s">
        <v>2438</v>
      </c>
      <c r="H1229" s="8" t="n">
        <v>258.646702582923</v>
      </c>
      <c r="I1229" s="2" t="s">
        <v>316</v>
      </c>
      <c r="J1229" s="8" t="n">
        <v>236384.615384615</v>
      </c>
      <c r="K1229" s="6" t="n">
        <v>13</v>
      </c>
      <c r="L1229" s="2"/>
      <c r="M1229" s="10" t="b">
        <f aca="false">TRUE()</f>
        <v>1</v>
      </c>
      <c r="N1229" s="9" t="str">
        <f aca="false">IF(H1229="","",IF(H1229&gt;=Assumptions!$B$5,1,IF(H1229&gt;=Assumptions!$B$6,2,IF(H1229&gt;=Assumptions!$B$7,3,""))))</f>
        <v/>
      </c>
      <c r="O1229" s="9" t="n">
        <f aca="false">IF(N1229=1,Assumptions!$B$8,IF(N1229=2,Assumptions!$B$9,IF(N1229=3,Assumptions!$B$10,0)))</f>
        <v>0</v>
      </c>
      <c r="P1229" s="6" t="s">
        <v>30</v>
      </c>
      <c r="Q1229" s="6" t="s">
        <v>30</v>
      </c>
      <c r="R1229" s="11" t="s">
        <v>30</v>
      </c>
      <c r="S1229" s="6" t="s">
        <v>30</v>
      </c>
      <c r="T1229" s="11" t="s">
        <v>30</v>
      </c>
      <c r="U1229" s="6" t="s">
        <v>30</v>
      </c>
      <c r="V1229" s="6" t="s">
        <v>30</v>
      </c>
      <c r="W1229" s="6" t="s">
        <v>30</v>
      </c>
      <c r="X1229" s="2" t="s">
        <v>30</v>
      </c>
      <c r="Y1229" s="6" t="str">
        <f aca="false">IF(AND(X1229="processed",ISNUMBER(S1229)),S1229*O1229,"")</f>
        <v/>
      </c>
      <c r="Z1229" s="6" t="n">
        <f aca="false">IF(ISNUMBER(K1229),K1229*O1229,0)</f>
        <v>0</v>
      </c>
      <c r="AA1229" s="2" t="s">
        <v>31</v>
      </c>
      <c r="AB1229" s="6" t="n">
        <v>1919</v>
      </c>
      <c r="AC1229" s="6" t="n">
        <v>1650</v>
      </c>
      <c r="AD1229" s="6" t="n">
        <v>1799</v>
      </c>
      <c r="AE1229" s="6" t="n">
        <v>1939.30712890625</v>
      </c>
      <c r="AF1229" s="8" t="n">
        <v>265.193370166</v>
      </c>
      <c r="AG1229" s="11" t="n">
        <v>-0.02214613649</v>
      </c>
      <c r="AH1229" s="12" t="n">
        <v>1</v>
      </c>
      <c r="AI1229" s="2" t="s">
        <v>317</v>
      </c>
      <c r="AJ1229" s="2" t="s">
        <v>2754</v>
      </c>
      <c r="AK1229" s="2" t="s">
        <v>2755</v>
      </c>
    </row>
    <row r="1230" customFormat="false" ht="15" hidden="false" customHeight="false" outlineLevel="0" collapsed="false">
      <c r="A1230" s="9"/>
      <c r="B1230" s="2" t="s">
        <v>2756</v>
      </c>
      <c r="C1230" s="2" t="s">
        <v>2757</v>
      </c>
      <c r="D1230" s="2" t="s">
        <v>2460</v>
      </c>
      <c r="E1230" s="2" t="s">
        <v>51</v>
      </c>
      <c r="F1230" s="2"/>
      <c r="G1230" s="2" t="s">
        <v>2461</v>
      </c>
      <c r="H1230" s="8" t="n">
        <v>313.8118430836</v>
      </c>
      <c r="I1230" s="2" t="s">
        <v>316</v>
      </c>
      <c r="J1230" s="8" t="n">
        <v>636000</v>
      </c>
      <c r="K1230" s="6" t="n">
        <v>10</v>
      </c>
      <c r="L1230" s="2"/>
      <c r="M1230" s="10" t="b">
        <f aca="false">TRUE()</f>
        <v>1</v>
      </c>
      <c r="N1230" s="9" t="str">
        <f aca="false">IF(H1230="","",IF(H1230&gt;=Assumptions!$B$5,1,IF(H1230&gt;=Assumptions!$B$6,2,IF(H1230&gt;=Assumptions!$B$7,3,""))))</f>
        <v/>
      </c>
      <c r="O1230" s="9" t="n">
        <f aca="false">IF(N1230=1,Assumptions!$B$8,IF(N1230=2,Assumptions!$B$9,IF(N1230=3,Assumptions!$B$10,0)))</f>
        <v>0</v>
      </c>
      <c r="P1230" s="6" t="s">
        <v>30</v>
      </c>
      <c r="Q1230" s="6" t="s">
        <v>30</v>
      </c>
      <c r="R1230" s="11" t="s">
        <v>30</v>
      </c>
      <c r="S1230" s="6" t="s">
        <v>30</v>
      </c>
      <c r="T1230" s="11" t="s">
        <v>30</v>
      </c>
      <c r="U1230" s="6" t="s">
        <v>30</v>
      </c>
      <c r="V1230" s="6" t="s">
        <v>30</v>
      </c>
      <c r="W1230" s="6" t="s">
        <v>30</v>
      </c>
      <c r="X1230" s="2" t="s">
        <v>30</v>
      </c>
      <c r="Y1230" s="6" t="str">
        <f aca="false">IF(AND(X1230="processed",ISNUMBER(S1230)),S1230*O1230,"")</f>
        <v/>
      </c>
      <c r="Z1230" s="6" t="n">
        <f aca="false">IF(ISNUMBER(K1230),K1230*O1230,0)</f>
        <v>0</v>
      </c>
      <c r="AA1230" s="2" t="s">
        <v>31</v>
      </c>
      <c r="AB1230" s="6" t="n">
        <v>1396</v>
      </c>
      <c r="AC1230" s="6" t="n">
        <v>1041</v>
      </c>
      <c r="AD1230" s="6" t="n">
        <v>428</v>
      </c>
      <c r="AE1230" s="6" t="n">
        <v>1893.78515625</v>
      </c>
      <c r="AF1230" s="8" t="n">
        <v>315.064907873</v>
      </c>
      <c r="AG1230" s="11" t="n">
        <v>0.2732075044</v>
      </c>
      <c r="AH1230" s="12" t="n">
        <v>1</v>
      </c>
      <c r="AI1230" s="2" t="s">
        <v>317</v>
      </c>
      <c r="AJ1230" s="2" t="s">
        <v>2757</v>
      </c>
      <c r="AK1230" s="2" t="s">
        <v>2757</v>
      </c>
    </row>
    <row r="1231" customFormat="false" ht="15" hidden="false" customHeight="false" outlineLevel="0" collapsed="false">
      <c r="A1231" s="9"/>
      <c r="B1231" s="2" t="s">
        <v>2758</v>
      </c>
      <c r="C1231" s="2" t="s">
        <v>2759</v>
      </c>
      <c r="D1231" s="2" t="s">
        <v>2437</v>
      </c>
      <c r="E1231" s="2" t="s">
        <v>51</v>
      </c>
      <c r="F1231" s="2" t="s">
        <v>2760</v>
      </c>
      <c r="G1231" s="2" t="s">
        <v>2438</v>
      </c>
      <c r="H1231" s="8" t="n">
        <v>251.167337303171</v>
      </c>
      <c r="I1231" s="2" t="s">
        <v>316</v>
      </c>
      <c r="J1231" s="8" t="n">
        <v>391544.594594595</v>
      </c>
      <c r="K1231" s="6" t="n">
        <v>111</v>
      </c>
      <c r="L1231" s="2"/>
      <c r="M1231" s="10" t="b">
        <f aca="false">TRUE()</f>
        <v>1</v>
      </c>
      <c r="N1231" s="9" t="str">
        <f aca="false">IF(H1231="","",IF(H1231&gt;=Assumptions!$B$5,1,IF(H1231&gt;=Assumptions!$B$6,2,IF(H1231&gt;=Assumptions!$B$7,3,""))))</f>
        <v/>
      </c>
      <c r="O1231" s="9" t="n">
        <f aca="false">IF(N1231=1,Assumptions!$B$8,IF(N1231=2,Assumptions!$B$9,IF(N1231=3,Assumptions!$B$10,0)))</f>
        <v>0</v>
      </c>
      <c r="P1231" s="6" t="s">
        <v>30</v>
      </c>
      <c r="Q1231" s="6" t="s">
        <v>30</v>
      </c>
      <c r="R1231" s="11" t="s">
        <v>30</v>
      </c>
      <c r="S1231" s="6" t="s">
        <v>30</v>
      </c>
      <c r="T1231" s="11" t="s">
        <v>30</v>
      </c>
      <c r="U1231" s="6" t="s">
        <v>30</v>
      </c>
      <c r="V1231" s="6" t="s">
        <v>30</v>
      </c>
      <c r="W1231" s="6" t="s">
        <v>30</v>
      </c>
      <c r="X1231" s="2" t="s">
        <v>30</v>
      </c>
      <c r="Y1231" s="6" t="str">
        <f aca="false">IF(AND(X1231="processed",ISNUMBER(S1231)),S1231*O1231,"")</f>
        <v/>
      </c>
      <c r="Z1231" s="6" t="n">
        <f aca="false">IF(ISNUMBER(K1231),K1231*O1231,0)</f>
        <v>0</v>
      </c>
      <c r="AA1231" s="2" t="s">
        <v>31</v>
      </c>
      <c r="AB1231" s="6" t="n">
        <v>10597</v>
      </c>
      <c r="AC1231" s="6" t="n">
        <v>9468</v>
      </c>
      <c r="AD1231" s="6" t="n">
        <v>9203</v>
      </c>
      <c r="AE1231" s="6" t="n">
        <v>2256.91796875</v>
      </c>
      <c r="AF1231" s="8" t="n">
        <v>251.479574022</v>
      </c>
      <c r="AG1231" s="11" t="n">
        <v>0.1506547416</v>
      </c>
      <c r="AH1231" s="12" t="n">
        <v>0.898612443498545</v>
      </c>
      <c r="AI1231" s="2" t="s">
        <v>317</v>
      </c>
      <c r="AJ1231" s="2" t="s">
        <v>2759</v>
      </c>
      <c r="AK1231" s="2" t="s">
        <v>2759</v>
      </c>
    </row>
    <row r="1232" customFormat="false" ht="15" hidden="false" customHeight="false" outlineLevel="0" collapsed="false">
      <c r="A1232" s="9"/>
      <c r="B1232" s="2" t="s">
        <v>2761</v>
      </c>
      <c r="C1232" s="2" t="s">
        <v>2747</v>
      </c>
      <c r="D1232" s="2" t="s">
        <v>2460</v>
      </c>
      <c r="E1232" s="2" t="s">
        <v>51</v>
      </c>
      <c r="F1232" s="2" t="s">
        <v>2762</v>
      </c>
      <c r="G1232" s="2" t="s">
        <v>2461</v>
      </c>
      <c r="H1232" s="8" t="n">
        <v>289.690073015665</v>
      </c>
      <c r="I1232" s="2" t="s">
        <v>316</v>
      </c>
      <c r="J1232" s="8" t="n">
        <v>541320.463320463</v>
      </c>
      <c r="K1232" s="6" t="n">
        <v>777</v>
      </c>
      <c r="L1232" s="2"/>
      <c r="M1232" s="10" t="b">
        <f aca="false">TRUE()</f>
        <v>1</v>
      </c>
      <c r="N1232" s="9" t="str">
        <f aca="false">IF(H1232="","",IF(H1232&gt;=Assumptions!$B$5,1,IF(H1232&gt;=Assumptions!$B$6,2,IF(H1232&gt;=Assumptions!$B$7,3,""))))</f>
        <v/>
      </c>
      <c r="O1232" s="9" t="n">
        <f aca="false">IF(N1232=1,Assumptions!$B$8,IF(N1232=2,Assumptions!$B$9,IF(N1232=3,Assumptions!$B$10,0)))</f>
        <v>0</v>
      </c>
      <c r="P1232" s="6" t="s">
        <v>30</v>
      </c>
      <c r="Q1232" s="6" t="s">
        <v>30</v>
      </c>
      <c r="R1232" s="11" t="s">
        <v>30</v>
      </c>
      <c r="S1232" s="6" t="s">
        <v>30</v>
      </c>
      <c r="T1232" s="11" t="s">
        <v>30</v>
      </c>
      <c r="U1232" s="6" t="s">
        <v>30</v>
      </c>
      <c r="V1232" s="6" t="s">
        <v>30</v>
      </c>
      <c r="W1232" s="6" t="s">
        <v>30</v>
      </c>
      <c r="X1232" s="2" t="s">
        <v>30</v>
      </c>
      <c r="Y1232" s="6" t="str">
        <f aca="false">IF(AND(X1232="processed",ISNUMBER(S1232)),S1232*O1232,"")</f>
        <v/>
      </c>
      <c r="Z1232" s="6" t="n">
        <f aca="false">IF(ISNUMBER(K1232),K1232*O1232,0)</f>
        <v>0</v>
      </c>
      <c r="AA1232" s="2" t="s">
        <v>31</v>
      </c>
      <c r="AB1232" s="6" t="n">
        <v>23952</v>
      </c>
      <c r="AC1232" s="6" t="n">
        <v>21065</v>
      </c>
      <c r="AD1232" s="6" t="n">
        <v>15808</v>
      </c>
      <c r="AE1232" s="6" t="n">
        <v>2757.41772460938</v>
      </c>
      <c r="AF1232" s="8" t="n">
        <v>291.096163428</v>
      </c>
      <c r="AG1232" s="11" t="n">
        <v>0.04088128234</v>
      </c>
      <c r="AH1232" s="12" t="n">
        <v>0.999242811892732</v>
      </c>
      <c r="AI1232" s="2" t="s">
        <v>319</v>
      </c>
      <c r="AJ1232" s="2"/>
      <c r="AK1232" s="2" t="s">
        <v>2747</v>
      </c>
    </row>
    <row r="1233" customFormat="false" ht="15" hidden="false" customHeight="false" outlineLevel="0" collapsed="false">
      <c r="A1233" s="9"/>
      <c r="B1233" s="2" t="s">
        <v>2763</v>
      </c>
      <c r="C1233" s="2" t="s">
        <v>2764</v>
      </c>
      <c r="D1233" s="2" t="s">
        <v>2765</v>
      </c>
      <c r="E1233" s="2" t="s">
        <v>51</v>
      </c>
      <c r="F1233" s="2"/>
      <c r="G1233" s="2" t="s">
        <v>2766</v>
      </c>
      <c r="H1233" s="8" t="n">
        <v>250.314059690727</v>
      </c>
      <c r="I1233" s="2" t="s">
        <v>316</v>
      </c>
      <c r="J1233" s="8" t="n">
        <v>346931.818181818</v>
      </c>
      <c r="K1233" s="6" t="n">
        <v>44</v>
      </c>
      <c r="L1233" s="2"/>
      <c r="M1233" s="10" t="b">
        <f aca="false">TRUE()</f>
        <v>1</v>
      </c>
      <c r="N1233" s="9" t="str">
        <f aca="false">IF(H1233="","",IF(H1233&gt;=Assumptions!$B$5,1,IF(H1233&gt;=Assumptions!$B$6,2,IF(H1233&gt;=Assumptions!$B$7,3,""))))</f>
        <v/>
      </c>
      <c r="O1233" s="9" t="n">
        <f aca="false">IF(N1233=1,Assumptions!$B$8,IF(N1233=2,Assumptions!$B$9,IF(N1233=3,Assumptions!$B$10,0)))</f>
        <v>0</v>
      </c>
      <c r="P1233" s="6" t="s">
        <v>30</v>
      </c>
      <c r="Q1233" s="6" t="s">
        <v>30</v>
      </c>
      <c r="R1233" s="11" t="s">
        <v>30</v>
      </c>
      <c r="S1233" s="6" t="s">
        <v>30</v>
      </c>
      <c r="T1233" s="11" t="s">
        <v>30</v>
      </c>
      <c r="U1233" s="6" t="s">
        <v>30</v>
      </c>
      <c r="V1233" s="6" t="s">
        <v>30</v>
      </c>
      <c r="W1233" s="6" t="s">
        <v>30</v>
      </c>
      <c r="X1233" s="2" t="s">
        <v>30</v>
      </c>
      <c r="Y1233" s="6" t="str">
        <f aca="false">IF(AND(X1233="processed",ISNUMBER(S1233)),S1233*O1233,"")</f>
        <v/>
      </c>
      <c r="Z1233" s="6" t="n">
        <f aca="false">IF(ISNUMBER(K1233),K1233*O1233,0)</f>
        <v>0</v>
      </c>
      <c r="AA1233" s="2" t="s">
        <v>31</v>
      </c>
      <c r="AB1233" s="6" t="n">
        <v>5190</v>
      </c>
      <c r="AC1233" s="6" t="n">
        <v>4511</v>
      </c>
      <c r="AD1233" s="6" t="n">
        <v>4776</v>
      </c>
      <c r="AE1233" s="6" t="n">
        <v>2008.55505371094</v>
      </c>
      <c r="AF1233" s="8" t="n">
        <v>246.869739057</v>
      </c>
      <c r="AG1233" s="11" t="n">
        <v>-0.1042474158</v>
      </c>
      <c r="AH1233" s="12" t="n">
        <v>0.718315475837792</v>
      </c>
      <c r="AI1233" s="2" t="s">
        <v>317</v>
      </c>
      <c r="AJ1233" s="2" t="s">
        <v>2764</v>
      </c>
      <c r="AK1233" s="2" t="s">
        <v>2764</v>
      </c>
    </row>
    <row r="1234" customFormat="false" ht="15" hidden="false" customHeight="false" outlineLevel="0" collapsed="false">
      <c r="A1234" s="9"/>
      <c r="B1234" s="2" t="s">
        <v>2767</v>
      </c>
      <c r="C1234" s="2" t="s">
        <v>2768</v>
      </c>
      <c r="D1234" s="2" t="s">
        <v>2460</v>
      </c>
      <c r="E1234" s="2" t="s">
        <v>51</v>
      </c>
      <c r="F1234" s="2"/>
      <c r="G1234" s="2" t="s">
        <v>2461</v>
      </c>
      <c r="H1234" s="8" t="n">
        <v>238.745980707</v>
      </c>
      <c r="I1234" s="2" t="s">
        <v>316</v>
      </c>
      <c r="J1234" s="8" t="n">
        <v>297000</v>
      </c>
      <c r="K1234" s="6" t="n">
        <v>1</v>
      </c>
      <c r="L1234" s="2" t="s">
        <v>1664</v>
      </c>
      <c r="M1234" s="10" t="b">
        <f aca="false">TRUE()</f>
        <v>1</v>
      </c>
      <c r="N1234" s="9" t="str">
        <f aca="false">IF(H1234="","",IF(H1234&gt;=Assumptions!$B$5,1,IF(H1234&gt;=Assumptions!$B$6,2,IF(H1234&gt;=Assumptions!$B$7,3,""))))</f>
        <v/>
      </c>
      <c r="O1234" s="9" t="n">
        <f aca="false">IF(N1234=1,Assumptions!$B$8,IF(N1234=2,Assumptions!$B$9,IF(N1234=3,Assumptions!$B$10,0)))</f>
        <v>0</v>
      </c>
      <c r="P1234" s="6" t="s">
        <v>30</v>
      </c>
      <c r="Q1234" s="6" t="s">
        <v>30</v>
      </c>
      <c r="R1234" s="11" t="s">
        <v>30</v>
      </c>
      <c r="S1234" s="6" t="s">
        <v>30</v>
      </c>
      <c r="T1234" s="11" t="s">
        <v>30</v>
      </c>
      <c r="U1234" s="6" t="s">
        <v>30</v>
      </c>
      <c r="V1234" s="6" t="s">
        <v>30</v>
      </c>
      <c r="W1234" s="6" t="s">
        <v>30</v>
      </c>
      <c r="X1234" s="2" t="s">
        <v>30</v>
      </c>
      <c r="Y1234" s="6" t="str">
        <f aca="false">IF(AND(X1234="processed",ISNUMBER(S1234)),S1234*O1234,"")</f>
        <v/>
      </c>
      <c r="Z1234" s="6" t="n">
        <f aca="false">IF(ISNUMBER(K1234),K1234*O1234,0)</f>
        <v>0</v>
      </c>
      <c r="AA1234" s="2" t="s">
        <v>31</v>
      </c>
      <c r="AB1234" s="6" t="n">
        <v>677</v>
      </c>
      <c r="AC1234" s="6" t="n">
        <v>512</v>
      </c>
      <c r="AD1234" s="6" t="n">
        <v>550</v>
      </c>
      <c r="AE1234" s="6" t="n">
        <v>1442.580078125</v>
      </c>
      <c r="AF1234" s="8" t="n">
        <v>238.745980707</v>
      </c>
      <c r="AG1234" s="11" t="n">
        <v>0.0279340836</v>
      </c>
      <c r="AH1234" s="12" t="n">
        <v>0.999999999999999</v>
      </c>
      <c r="AI1234" s="2" t="s">
        <v>1597</v>
      </c>
      <c r="AJ1234" s="2"/>
      <c r="AK1234" s="2" t="s">
        <v>2768</v>
      </c>
    </row>
    <row r="1235" customFormat="false" ht="15" hidden="false" customHeight="false" outlineLevel="0" collapsed="false">
      <c r="A1235" s="9"/>
      <c r="B1235" s="2" t="s">
        <v>2769</v>
      </c>
      <c r="C1235" s="2" t="s">
        <v>2770</v>
      </c>
      <c r="D1235" s="2" t="s">
        <v>2460</v>
      </c>
      <c r="E1235" s="2" t="s">
        <v>51</v>
      </c>
      <c r="F1235" s="2"/>
      <c r="G1235" s="2" t="s">
        <v>2461</v>
      </c>
      <c r="H1235" s="8" t="n">
        <v>269.570979840727</v>
      </c>
      <c r="I1235" s="2" t="s">
        <v>316</v>
      </c>
      <c r="J1235" s="8" t="n">
        <v>325727.272727273</v>
      </c>
      <c r="K1235" s="6" t="n">
        <v>11</v>
      </c>
      <c r="L1235" s="2"/>
      <c r="M1235" s="10" t="b">
        <f aca="false">TRUE()</f>
        <v>1</v>
      </c>
      <c r="N1235" s="9" t="str">
        <f aca="false">IF(H1235="","",IF(H1235&gt;=Assumptions!$B$5,1,IF(H1235&gt;=Assumptions!$B$6,2,IF(H1235&gt;=Assumptions!$B$7,3,""))))</f>
        <v/>
      </c>
      <c r="O1235" s="9" t="n">
        <f aca="false">IF(N1235=1,Assumptions!$B$8,IF(N1235=2,Assumptions!$B$9,IF(N1235=3,Assumptions!$B$10,0)))</f>
        <v>0</v>
      </c>
      <c r="P1235" s="6" t="s">
        <v>30</v>
      </c>
      <c r="Q1235" s="6" t="s">
        <v>30</v>
      </c>
      <c r="R1235" s="11" t="s">
        <v>30</v>
      </c>
      <c r="S1235" s="6" t="s">
        <v>30</v>
      </c>
      <c r="T1235" s="11" t="s">
        <v>30</v>
      </c>
      <c r="U1235" s="6" t="s">
        <v>30</v>
      </c>
      <c r="V1235" s="6" t="s">
        <v>30</v>
      </c>
      <c r="W1235" s="6" t="s">
        <v>30</v>
      </c>
      <c r="X1235" s="2" t="s">
        <v>30</v>
      </c>
      <c r="Y1235" s="6" t="str">
        <f aca="false">IF(AND(X1235="processed",ISNUMBER(S1235)),S1235*O1235,"")</f>
        <v/>
      </c>
      <c r="Z1235" s="6" t="n">
        <f aca="false">IF(ISNUMBER(K1235),K1235*O1235,0)</f>
        <v>0</v>
      </c>
      <c r="AA1235" s="2" t="s">
        <v>31</v>
      </c>
      <c r="AB1235" s="6" t="n">
        <v>3931</v>
      </c>
      <c r="AC1235" s="6" t="n">
        <v>3284</v>
      </c>
      <c r="AD1235" s="6" t="n">
        <v>3717</v>
      </c>
      <c r="AE1235" s="6" t="n">
        <v>2110.70263671875</v>
      </c>
      <c r="AF1235" s="8" t="n">
        <v>297.619047619</v>
      </c>
      <c r="AG1235" s="11" t="n">
        <v>0.1968148894</v>
      </c>
      <c r="AH1235" s="12" t="n">
        <v>0.821678607845506</v>
      </c>
      <c r="AI1235" s="2" t="s">
        <v>317</v>
      </c>
      <c r="AJ1235" s="2" t="s">
        <v>2770</v>
      </c>
      <c r="AK1235" s="2" t="s">
        <v>2770</v>
      </c>
    </row>
    <row r="1236" customFormat="false" ht="15" hidden="false" customHeight="false" outlineLevel="0" collapsed="false">
      <c r="A1236" s="9"/>
      <c r="B1236" s="2" t="s">
        <v>2771</v>
      </c>
      <c r="C1236" s="2" t="s">
        <v>2772</v>
      </c>
      <c r="D1236" s="2" t="s">
        <v>2773</v>
      </c>
      <c r="E1236" s="2" t="s">
        <v>51</v>
      </c>
      <c r="F1236" s="2"/>
      <c r="G1236" s="2"/>
      <c r="H1236" s="8"/>
      <c r="I1236" s="2"/>
      <c r="J1236" s="8"/>
      <c r="K1236" s="6"/>
      <c r="L1236" s="2"/>
      <c r="M1236" s="10" t="b">
        <f aca="false">TRUE()</f>
        <v>1</v>
      </c>
      <c r="N1236" s="9" t="str">
        <f aca="false">IF(H1236="","",IF(H1236&gt;=Assumptions!$B$5,1,IF(H1236&gt;=Assumptions!$B$6,2,IF(H1236&gt;=Assumptions!$B$7,3,""))))</f>
        <v/>
      </c>
      <c r="O1236" s="9" t="n">
        <f aca="false">IF(N1236=1,Assumptions!$B$8,IF(N1236=2,Assumptions!$B$9,IF(N1236=3,Assumptions!$B$10,0)))</f>
        <v>0</v>
      </c>
      <c r="P1236" s="6" t="s">
        <v>30</v>
      </c>
      <c r="Q1236" s="6" t="s">
        <v>30</v>
      </c>
      <c r="R1236" s="11" t="s">
        <v>30</v>
      </c>
      <c r="S1236" s="6" t="s">
        <v>30</v>
      </c>
      <c r="T1236" s="11" t="s">
        <v>30</v>
      </c>
      <c r="U1236" s="6" t="s">
        <v>30</v>
      </c>
      <c r="V1236" s="6" t="s">
        <v>30</v>
      </c>
      <c r="W1236" s="6" t="s">
        <v>30</v>
      </c>
      <c r="X1236" s="2" t="s">
        <v>30</v>
      </c>
      <c r="Y1236" s="6" t="str">
        <f aca="false">IF(AND(X1236="processed",ISNUMBER(S1236)),S1236*O1236,"")</f>
        <v/>
      </c>
      <c r="Z1236" s="6" t="n">
        <f aca="false">IF(ISNUMBER(K1236),K1236*O1236,0)</f>
        <v>0</v>
      </c>
      <c r="AA1236" s="2" t="s">
        <v>31</v>
      </c>
      <c r="AB1236" s="6" t="n">
        <v>261</v>
      </c>
      <c r="AC1236" s="6" t="n">
        <v>227</v>
      </c>
      <c r="AD1236" s="6" t="n">
        <v>150</v>
      </c>
      <c r="AE1236" s="6" t="n">
        <v>1064.451171875</v>
      </c>
      <c r="AF1236" s="8"/>
      <c r="AG1236" s="11"/>
      <c r="AH1236" s="12" t="n">
        <v>0.989273508899418</v>
      </c>
      <c r="AI1236" s="2" t="s">
        <v>321</v>
      </c>
      <c r="AJ1236" s="2" t="s">
        <v>2772</v>
      </c>
      <c r="AK1236" s="2" t="s">
        <v>2772</v>
      </c>
    </row>
    <row r="1237" customFormat="false" ht="15" hidden="false" customHeight="false" outlineLevel="0" collapsed="false">
      <c r="A1237" s="9"/>
      <c r="B1237" s="2" t="s">
        <v>2774</v>
      </c>
      <c r="C1237" s="2" t="s">
        <v>2775</v>
      </c>
      <c r="D1237" s="2" t="s">
        <v>2460</v>
      </c>
      <c r="E1237" s="2" t="s">
        <v>51</v>
      </c>
      <c r="F1237" s="2"/>
      <c r="G1237" s="2"/>
      <c r="H1237" s="8"/>
      <c r="I1237" s="2"/>
      <c r="J1237" s="8"/>
      <c r="K1237" s="6"/>
      <c r="L1237" s="2"/>
      <c r="M1237" s="10" t="b">
        <f aca="false">TRUE()</f>
        <v>1</v>
      </c>
      <c r="N1237" s="9" t="str">
        <f aca="false">IF(H1237="","",IF(H1237&gt;=Assumptions!$B$5,1,IF(H1237&gt;=Assumptions!$B$6,2,IF(H1237&gt;=Assumptions!$B$7,3,""))))</f>
        <v/>
      </c>
      <c r="O1237" s="9" t="n">
        <f aca="false">IF(N1237=1,Assumptions!$B$8,IF(N1237=2,Assumptions!$B$9,IF(N1237=3,Assumptions!$B$10,0)))</f>
        <v>0</v>
      </c>
      <c r="P1237" s="6" t="s">
        <v>30</v>
      </c>
      <c r="Q1237" s="6" t="s">
        <v>30</v>
      </c>
      <c r="R1237" s="11" t="s">
        <v>30</v>
      </c>
      <c r="S1237" s="6" t="s">
        <v>30</v>
      </c>
      <c r="T1237" s="11" t="s">
        <v>30</v>
      </c>
      <c r="U1237" s="6" t="s">
        <v>30</v>
      </c>
      <c r="V1237" s="6" t="s">
        <v>30</v>
      </c>
      <c r="W1237" s="6" t="s">
        <v>30</v>
      </c>
      <c r="X1237" s="2" t="s">
        <v>30</v>
      </c>
      <c r="Y1237" s="6" t="str">
        <f aca="false">IF(AND(X1237="processed",ISNUMBER(S1237)),S1237*O1237,"")</f>
        <v/>
      </c>
      <c r="Z1237" s="6" t="n">
        <f aca="false">IF(ISNUMBER(K1237),K1237*O1237,0)</f>
        <v>0</v>
      </c>
      <c r="AA1237" s="2" t="s">
        <v>31</v>
      </c>
      <c r="AB1237" s="6" t="n">
        <v>408</v>
      </c>
      <c r="AC1237" s="6" t="n">
        <v>300</v>
      </c>
      <c r="AD1237" s="6" t="n">
        <v>400</v>
      </c>
      <c r="AE1237" s="6" t="n">
        <v>1777.74499511719</v>
      </c>
      <c r="AF1237" s="8"/>
      <c r="AG1237" s="11"/>
      <c r="AH1237" s="12" t="n">
        <v>0.999999554249575</v>
      </c>
      <c r="AI1237" s="2" t="s">
        <v>317</v>
      </c>
      <c r="AJ1237" s="2" t="s">
        <v>2775</v>
      </c>
      <c r="AK1237" s="2" t="s">
        <v>2776</v>
      </c>
    </row>
    <row r="1238" customFormat="false" ht="15" hidden="false" customHeight="false" outlineLevel="0" collapsed="false">
      <c r="A1238" s="9"/>
      <c r="B1238" s="2" t="s">
        <v>2777</v>
      </c>
      <c r="C1238" s="2" t="s">
        <v>2778</v>
      </c>
      <c r="D1238" s="2" t="s">
        <v>2460</v>
      </c>
      <c r="E1238" s="2" t="s">
        <v>51</v>
      </c>
      <c r="F1238" s="2"/>
      <c r="G1238" s="2" t="s">
        <v>2461</v>
      </c>
      <c r="H1238" s="8" t="n">
        <v>241.653477034019</v>
      </c>
      <c r="I1238" s="2" t="s">
        <v>316</v>
      </c>
      <c r="J1238" s="8" t="n">
        <v>495643.773584906</v>
      </c>
      <c r="K1238" s="6" t="n">
        <v>53</v>
      </c>
      <c r="L1238" s="2"/>
      <c r="M1238" s="10" t="b">
        <f aca="false">TRUE()</f>
        <v>1</v>
      </c>
      <c r="N1238" s="9" t="str">
        <f aca="false">IF(H1238="","",IF(H1238&gt;=Assumptions!$B$5,1,IF(H1238&gt;=Assumptions!$B$6,2,IF(H1238&gt;=Assumptions!$B$7,3,""))))</f>
        <v/>
      </c>
      <c r="O1238" s="9" t="n">
        <f aca="false">IF(N1238=1,Assumptions!$B$8,IF(N1238=2,Assumptions!$B$9,IF(N1238=3,Assumptions!$B$10,0)))</f>
        <v>0</v>
      </c>
      <c r="P1238" s="6" t="s">
        <v>30</v>
      </c>
      <c r="Q1238" s="6" t="s">
        <v>30</v>
      </c>
      <c r="R1238" s="11" t="s">
        <v>30</v>
      </c>
      <c r="S1238" s="6" t="s">
        <v>30</v>
      </c>
      <c r="T1238" s="11" t="s">
        <v>30</v>
      </c>
      <c r="U1238" s="6" t="s">
        <v>30</v>
      </c>
      <c r="V1238" s="6" t="s">
        <v>30</v>
      </c>
      <c r="W1238" s="6" t="s">
        <v>30</v>
      </c>
      <c r="X1238" s="2" t="s">
        <v>30</v>
      </c>
      <c r="Y1238" s="6" t="str">
        <f aca="false">IF(AND(X1238="processed",ISNUMBER(S1238)),S1238*O1238,"")</f>
        <v/>
      </c>
      <c r="Z1238" s="6" t="n">
        <f aca="false">IF(ISNUMBER(K1238),K1238*O1238,0)</f>
        <v>0</v>
      </c>
      <c r="AA1238" s="2" t="s">
        <v>31</v>
      </c>
      <c r="AB1238" s="6" t="n">
        <v>3709</v>
      </c>
      <c r="AC1238" s="6" t="n">
        <v>3188</v>
      </c>
      <c r="AD1238" s="6" t="n">
        <v>3465</v>
      </c>
      <c r="AE1238" s="6" t="n">
        <v>2531.28955078125</v>
      </c>
      <c r="AF1238" s="8" t="n">
        <v>228.202735075</v>
      </c>
      <c r="AG1238" s="11" t="n">
        <v>-0.05067662209</v>
      </c>
      <c r="AH1238" s="12" t="n">
        <v>1</v>
      </c>
      <c r="AI1238" s="2" t="s">
        <v>317</v>
      </c>
      <c r="AJ1238" s="2" t="s">
        <v>2778</v>
      </c>
      <c r="AK1238" s="2" t="s">
        <v>2778</v>
      </c>
    </row>
    <row r="1239" customFormat="false" ht="15" hidden="false" customHeight="false" outlineLevel="0" collapsed="false">
      <c r="A1239" s="9"/>
      <c r="B1239" s="2" t="s">
        <v>2779</v>
      </c>
      <c r="C1239" s="2" t="s">
        <v>2780</v>
      </c>
      <c r="D1239" s="2" t="s">
        <v>2724</v>
      </c>
      <c r="E1239" s="2" t="s">
        <v>51</v>
      </c>
      <c r="F1239" s="2" t="s">
        <v>2781</v>
      </c>
      <c r="G1239" s="2" t="s">
        <v>2725</v>
      </c>
      <c r="H1239" s="8" t="n">
        <v>240.987686521682</v>
      </c>
      <c r="I1239" s="2" t="s">
        <v>316</v>
      </c>
      <c r="J1239" s="8" t="n">
        <v>612132.878787879</v>
      </c>
      <c r="K1239" s="6" t="n">
        <v>66</v>
      </c>
      <c r="L1239" s="2"/>
      <c r="M1239" s="10" t="b">
        <f aca="false">TRUE()</f>
        <v>1</v>
      </c>
      <c r="N1239" s="9" t="str">
        <f aca="false">IF(H1239="","",IF(H1239&gt;=Assumptions!$B$5,1,IF(H1239&gt;=Assumptions!$B$6,2,IF(H1239&gt;=Assumptions!$B$7,3,""))))</f>
        <v/>
      </c>
      <c r="O1239" s="9" t="n">
        <f aca="false">IF(N1239=1,Assumptions!$B$8,IF(N1239=2,Assumptions!$B$9,IF(N1239=3,Assumptions!$B$10,0)))</f>
        <v>0</v>
      </c>
      <c r="P1239" s="6" t="s">
        <v>30</v>
      </c>
      <c r="Q1239" s="6" t="s">
        <v>30</v>
      </c>
      <c r="R1239" s="11" t="s">
        <v>30</v>
      </c>
      <c r="S1239" s="6" t="s">
        <v>30</v>
      </c>
      <c r="T1239" s="11" t="s">
        <v>30</v>
      </c>
      <c r="U1239" s="6" t="s">
        <v>30</v>
      </c>
      <c r="V1239" s="6" t="s">
        <v>30</v>
      </c>
      <c r="W1239" s="6" t="s">
        <v>30</v>
      </c>
      <c r="X1239" s="2" t="s">
        <v>30</v>
      </c>
      <c r="Y1239" s="6" t="str">
        <f aca="false">IF(AND(X1239="processed",ISNUMBER(S1239)),S1239*O1239,"")</f>
        <v/>
      </c>
      <c r="Z1239" s="6" t="n">
        <f aca="false">IF(ISNUMBER(K1239),K1239*O1239,0)</f>
        <v>0</v>
      </c>
      <c r="AA1239" s="2" t="s">
        <v>31</v>
      </c>
      <c r="AB1239" s="6" t="n">
        <v>2211</v>
      </c>
      <c r="AC1239" s="6" t="n">
        <v>1899</v>
      </c>
      <c r="AD1239" s="6" t="n">
        <v>1192</v>
      </c>
      <c r="AE1239" s="6" t="n">
        <v>2558.5634765625</v>
      </c>
      <c r="AF1239" s="8" t="n">
        <v>233.463035019</v>
      </c>
      <c r="AG1239" s="11" t="n">
        <v>0.01981890251</v>
      </c>
      <c r="AH1239" s="12" t="n">
        <v>0.780036758127982</v>
      </c>
      <c r="AI1239" s="2" t="s">
        <v>317</v>
      </c>
      <c r="AJ1239" s="2" t="s">
        <v>2780</v>
      </c>
      <c r="AK1239" s="2" t="s">
        <v>2747</v>
      </c>
    </row>
    <row r="1240" customFormat="false" ht="15" hidden="false" customHeight="false" outlineLevel="0" collapsed="false">
      <c r="A1240" s="9"/>
      <c r="B1240" s="2" t="s">
        <v>2782</v>
      </c>
      <c r="C1240" s="2" t="s">
        <v>2783</v>
      </c>
      <c r="D1240" s="2" t="s">
        <v>2460</v>
      </c>
      <c r="E1240" s="2" t="s">
        <v>51</v>
      </c>
      <c r="F1240" s="2"/>
      <c r="G1240" s="2"/>
      <c r="H1240" s="8"/>
      <c r="I1240" s="2"/>
      <c r="J1240" s="8"/>
      <c r="K1240" s="6"/>
      <c r="L1240" s="2"/>
      <c r="M1240" s="10" t="b">
        <f aca="false">TRUE()</f>
        <v>1</v>
      </c>
      <c r="N1240" s="9" t="str">
        <f aca="false">IF(H1240="","",IF(H1240&gt;=Assumptions!$B$5,1,IF(H1240&gt;=Assumptions!$B$6,2,IF(H1240&gt;=Assumptions!$B$7,3,""))))</f>
        <v/>
      </c>
      <c r="O1240" s="9" t="n">
        <f aca="false">IF(N1240=1,Assumptions!$B$8,IF(N1240=2,Assumptions!$B$9,IF(N1240=3,Assumptions!$B$10,0)))</f>
        <v>0</v>
      </c>
      <c r="P1240" s="6" t="s">
        <v>30</v>
      </c>
      <c r="Q1240" s="6" t="s">
        <v>30</v>
      </c>
      <c r="R1240" s="11" t="s">
        <v>30</v>
      </c>
      <c r="S1240" s="6" t="s">
        <v>30</v>
      </c>
      <c r="T1240" s="11" t="s">
        <v>30</v>
      </c>
      <c r="U1240" s="6" t="s">
        <v>30</v>
      </c>
      <c r="V1240" s="6" t="s">
        <v>30</v>
      </c>
      <c r="W1240" s="6" t="s">
        <v>30</v>
      </c>
      <c r="X1240" s="2" t="s">
        <v>30</v>
      </c>
      <c r="Y1240" s="6" t="str">
        <f aca="false">IF(AND(X1240="processed",ISNUMBER(S1240)),S1240*O1240,"")</f>
        <v/>
      </c>
      <c r="Z1240" s="6" t="n">
        <f aca="false">IF(ISNUMBER(K1240),K1240*O1240,0)</f>
        <v>0</v>
      </c>
      <c r="AA1240" s="2" t="s">
        <v>31</v>
      </c>
      <c r="AB1240" s="6" t="n">
        <v>234</v>
      </c>
      <c r="AC1240" s="6" t="n">
        <v>101</v>
      </c>
      <c r="AD1240" s="6" t="n">
        <v>232</v>
      </c>
      <c r="AE1240" s="6" t="n">
        <v>1600.72668457031</v>
      </c>
      <c r="AF1240" s="8"/>
      <c r="AG1240" s="11"/>
      <c r="AH1240" s="12" t="n">
        <v>1</v>
      </c>
      <c r="AI1240" s="2" t="s">
        <v>317</v>
      </c>
      <c r="AJ1240" s="2" t="s">
        <v>2783</v>
      </c>
      <c r="AK1240" s="2" t="s">
        <v>2783</v>
      </c>
    </row>
    <row r="1241" customFormat="false" ht="15" hidden="false" customHeight="false" outlineLevel="0" collapsed="false">
      <c r="A1241" s="9"/>
      <c r="B1241" s="2" t="s">
        <v>2784</v>
      </c>
      <c r="C1241" s="2" t="s">
        <v>2785</v>
      </c>
      <c r="D1241" s="2" t="s">
        <v>2460</v>
      </c>
      <c r="E1241" s="2" t="s">
        <v>51</v>
      </c>
      <c r="F1241" s="2"/>
      <c r="G1241" s="2"/>
      <c r="H1241" s="8"/>
      <c r="I1241" s="2"/>
      <c r="J1241" s="8"/>
      <c r="K1241" s="6"/>
      <c r="L1241" s="2"/>
      <c r="M1241" s="10" t="b">
        <f aca="false">TRUE()</f>
        <v>1</v>
      </c>
      <c r="N1241" s="9" t="str">
        <f aca="false">IF(H1241="","",IF(H1241&gt;=Assumptions!$B$5,1,IF(H1241&gt;=Assumptions!$B$6,2,IF(H1241&gt;=Assumptions!$B$7,3,""))))</f>
        <v/>
      </c>
      <c r="O1241" s="9" t="n">
        <f aca="false">IF(N1241=1,Assumptions!$B$8,IF(N1241=2,Assumptions!$B$9,IF(N1241=3,Assumptions!$B$10,0)))</f>
        <v>0</v>
      </c>
      <c r="P1241" s="6" t="s">
        <v>30</v>
      </c>
      <c r="Q1241" s="6" t="s">
        <v>30</v>
      </c>
      <c r="R1241" s="11" t="s">
        <v>30</v>
      </c>
      <c r="S1241" s="6" t="s">
        <v>30</v>
      </c>
      <c r="T1241" s="11" t="s">
        <v>30</v>
      </c>
      <c r="U1241" s="6" t="s">
        <v>30</v>
      </c>
      <c r="V1241" s="6" t="s">
        <v>30</v>
      </c>
      <c r="W1241" s="6" t="s">
        <v>30</v>
      </c>
      <c r="X1241" s="2" t="s">
        <v>30</v>
      </c>
      <c r="Y1241" s="6" t="str">
        <f aca="false">IF(AND(X1241="processed",ISNUMBER(S1241)),S1241*O1241,"")</f>
        <v/>
      </c>
      <c r="Z1241" s="6" t="n">
        <f aca="false">IF(ISNUMBER(K1241),K1241*O1241,0)</f>
        <v>0</v>
      </c>
      <c r="AA1241" s="2" t="s">
        <v>31</v>
      </c>
      <c r="AB1241" s="6" t="n">
        <v>314</v>
      </c>
      <c r="AC1241" s="6" t="n">
        <v>254</v>
      </c>
      <c r="AD1241" s="6" t="n">
        <v>232</v>
      </c>
      <c r="AE1241" s="6" t="n">
        <v>1299.90319824219</v>
      </c>
      <c r="AF1241" s="8"/>
      <c r="AG1241" s="11"/>
      <c r="AH1241" s="12" t="n">
        <v>0.999999911748823</v>
      </c>
      <c r="AI1241" s="2" t="s">
        <v>317</v>
      </c>
      <c r="AJ1241" s="2" t="s">
        <v>2785</v>
      </c>
      <c r="AK1241" s="2" t="s">
        <v>2785</v>
      </c>
    </row>
    <row r="1242" customFormat="false" ht="15" hidden="false" customHeight="false" outlineLevel="0" collapsed="false">
      <c r="A1242" s="9"/>
      <c r="B1242" s="2" t="s">
        <v>2786</v>
      </c>
      <c r="C1242" s="2" t="s">
        <v>2787</v>
      </c>
      <c r="D1242" s="2" t="s">
        <v>2460</v>
      </c>
      <c r="E1242" s="2" t="s">
        <v>51</v>
      </c>
      <c r="F1242" s="2"/>
      <c r="G1242" s="2" t="s">
        <v>2461</v>
      </c>
      <c r="H1242" s="8" t="n">
        <v>259.913947592226</v>
      </c>
      <c r="I1242" s="2" t="s">
        <v>316</v>
      </c>
      <c r="J1242" s="8" t="n">
        <v>430962.903225806</v>
      </c>
      <c r="K1242" s="6" t="n">
        <v>62</v>
      </c>
      <c r="L1242" s="2"/>
      <c r="M1242" s="10" t="b">
        <f aca="false">TRUE()</f>
        <v>1</v>
      </c>
      <c r="N1242" s="9" t="str">
        <f aca="false">IF(H1242="","",IF(H1242&gt;=Assumptions!$B$5,1,IF(H1242&gt;=Assumptions!$B$6,2,IF(H1242&gt;=Assumptions!$B$7,3,""))))</f>
        <v/>
      </c>
      <c r="O1242" s="9" t="n">
        <f aca="false">IF(N1242=1,Assumptions!$B$8,IF(N1242=2,Assumptions!$B$9,IF(N1242=3,Assumptions!$B$10,0)))</f>
        <v>0</v>
      </c>
      <c r="P1242" s="6" t="s">
        <v>30</v>
      </c>
      <c r="Q1242" s="6" t="s">
        <v>30</v>
      </c>
      <c r="R1242" s="11" t="s">
        <v>30</v>
      </c>
      <c r="S1242" s="6" t="s">
        <v>30</v>
      </c>
      <c r="T1242" s="11" t="s">
        <v>30</v>
      </c>
      <c r="U1242" s="6" t="s">
        <v>30</v>
      </c>
      <c r="V1242" s="6" t="s">
        <v>30</v>
      </c>
      <c r="W1242" s="6" t="s">
        <v>30</v>
      </c>
      <c r="X1242" s="2" t="s">
        <v>30</v>
      </c>
      <c r="Y1242" s="6" t="str">
        <f aca="false">IF(AND(X1242="processed",ISNUMBER(S1242)),S1242*O1242,"")</f>
        <v/>
      </c>
      <c r="Z1242" s="6" t="n">
        <f aca="false">IF(ISNUMBER(K1242),K1242*O1242,0)</f>
        <v>0</v>
      </c>
      <c r="AA1242" s="2" t="s">
        <v>31</v>
      </c>
      <c r="AB1242" s="6" t="n">
        <v>8248</v>
      </c>
      <c r="AC1242" s="6" t="n">
        <v>7063</v>
      </c>
      <c r="AD1242" s="6" t="n">
        <v>5643</v>
      </c>
      <c r="AE1242" s="6" t="n">
        <v>2410.92944335938</v>
      </c>
      <c r="AF1242" s="8" t="n">
        <v>253.63917071</v>
      </c>
      <c r="AG1242" s="11" t="n">
        <v>-0.05336442002</v>
      </c>
      <c r="AH1242" s="12" t="n">
        <v>0.99917939713323</v>
      </c>
      <c r="AI1242" s="2" t="s">
        <v>317</v>
      </c>
      <c r="AJ1242" s="2" t="s">
        <v>2787</v>
      </c>
      <c r="AK1242" s="2" t="s">
        <v>2787</v>
      </c>
    </row>
    <row r="1243" customFormat="false" ht="15" hidden="false" customHeight="false" outlineLevel="0" collapsed="false">
      <c r="A1243" s="9"/>
      <c r="B1243" s="2" t="s">
        <v>2788</v>
      </c>
      <c r="C1243" s="2" t="s">
        <v>2789</v>
      </c>
      <c r="D1243" s="2" t="s">
        <v>2437</v>
      </c>
      <c r="E1243" s="2" t="s">
        <v>51</v>
      </c>
      <c r="F1243" s="2"/>
      <c r="G1243" s="2" t="s">
        <v>2438</v>
      </c>
      <c r="H1243" s="8" t="n">
        <v>285.661299041693</v>
      </c>
      <c r="I1243" s="2" t="s">
        <v>316</v>
      </c>
      <c r="J1243" s="8" t="n">
        <v>520732.283464567</v>
      </c>
      <c r="K1243" s="6" t="n">
        <v>127</v>
      </c>
      <c r="L1243" s="2"/>
      <c r="M1243" s="10" t="b">
        <f aca="false">TRUE()</f>
        <v>1</v>
      </c>
      <c r="N1243" s="9" t="str">
        <f aca="false">IF(H1243="","",IF(H1243&gt;=Assumptions!$B$5,1,IF(H1243&gt;=Assumptions!$B$6,2,IF(H1243&gt;=Assumptions!$B$7,3,""))))</f>
        <v/>
      </c>
      <c r="O1243" s="9" t="n">
        <f aca="false">IF(N1243=1,Assumptions!$B$8,IF(N1243=2,Assumptions!$B$9,IF(N1243=3,Assumptions!$B$10,0)))</f>
        <v>0</v>
      </c>
      <c r="P1243" s="6" t="s">
        <v>30</v>
      </c>
      <c r="Q1243" s="6" t="s">
        <v>30</v>
      </c>
      <c r="R1243" s="11" t="s">
        <v>30</v>
      </c>
      <c r="S1243" s="6" t="s">
        <v>30</v>
      </c>
      <c r="T1243" s="11" t="s">
        <v>30</v>
      </c>
      <c r="U1243" s="6" t="s">
        <v>30</v>
      </c>
      <c r="V1243" s="6" t="s">
        <v>30</v>
      </c>
      <c r="W1243" s="6" t="s">
        <v>30</v>
      </c>
      <c r="X1243" s="2" t="s">
        <v>30</v>
      </c>
      <c r="Y1243" s="6" t="str">
        <f aca="false">IF(AND(X1243="processed",ISNUMBER(S1243)),S1243*O1243,"")</f>
        <v/>
      </c>
      <c r="Z1243" s="6" t="n">
        <f aca="false">IF(ISNUMBER(K1243),K1243*O1243,0)</f>
        <v>0</v>
      </c>
      <c r="AA1243" s="2" t="s">
        <v>31</v>
      </c>
      <c r="AB1243" s="6" t="n">
        <v>7274</v>
      </c>
      <c r="AC1243" s="6" t="n">
        <v>6499</v>
      </c>
      <c r="AD1243" s="6" t="n">
        <v>6477</v>
      </c>
      <c r="AE1243" s="6" t="n">
        <v>2466.8330078125</v>
      </c>
      <c r="AF1243" s="8" t="n">
        <v>282.343955523</v>
      </c>
      <c r="AG1243" s="11" t="n">
        <v>0.02396741203</v>
      </c>
      <c r="AH1243" s="12" t="n">
        <v>0.541597941102969</v>
      </c>
      <c r="AI1243" s="2" t="s">
        <v>317</v>
      </c>
      <c r="AJ1243" s="2" t="s">
        <v>2789</v>
      </c>
      <c r="AK1243" s="2" t="s">
        <v>2789</v>
      </c>
    </row>
    <row r="1244" customFormat="false" ht="15" hidden="false" customHeight="false" outlineLevel="0" collapsed="false">
      <c r="A1244" s="9"/>
      <c r="B1244" s="2" t="s">
        <v>2790</v>
      </c>
      <c r="C1244" s="2" t="s">
        <v>2791</v>
      </c>
      <c r="D1244" s="2" t="s">
        <v>2460</v>
      </c>
      <c r="E1244" s="2" t="s">
        <v>51</v>
      </c>
      <c r="F1244" s="2"/>
      <c r="G1244" s="2" t="s">
        <v>2461</v>
      </c>
      <c r="H1244" s="8" t="n">
        <v>350.484107729667</v>
      </c>
      <c r="I1244" s="2" t="s">
        <v>316</v>
      </c>
      <c r="J1244" s="8" t="n">
        <v>331250</v>
      </c>
      <c r="K1244" s="6" t="n">
        <v>3</v>
      </c>
      <c r="L1244" s="2" t="s">
        <v>1664</v>
      </c>
      <c r="M1244" s="10" t="b">
        <f aca="false">TRUE()</f>
        <v>1</v>
      </c>
      <c r="N1244" s="9" t="str">
        <f aca="false">IF(H1244="","",IF(H1244&gt;=Assumptions!$B$5,1,IF(H1244&gt;=Assumptions!$B$6,2,IF(H1244&gt;=Assumptions!$B$7,3,""))))</f>
        <v/>
      </c>
      <c r="O1244" s="9" t="n">
        <f aca="false">IF(N1244=1,Assumptions!$B$8,IF(N1244=2,Assumptions!$B$9,IF(N1244=3,Assumptions!$B$10,0)))</f>
        <v>0</v>
      </c>
      <c r="P1244" s="6" t="s">
        <v>30</v>
      </c>
      <c r="Q1244" s="6" t="s">
        <v>30</v>
      </c>
      <c r="R1244" s="11" t="s">
        <v>30</v>
      </c>
      <c r="S1244" s="6" t="s">
        <v>30</v>
      </c>
      <c r="T1244" s="11" t="s">
        <v>30</v>
      </c>
      <c r="U1244" s="6" t="s">
        <v>30</v>
      </c>
      <c r="V1244" s="6" t="s">
        <v>30</v>
      </c>
      <c r="W1244" s="6" t="s">
        <v>30</v>
      </c>
      <c r="X1244" s="2" t="s">
        <v>30</v>
      </c>
      <c r="Y1244" s="6" t="str">
        <f aca="false">IF(AND(X1244="processed",ISNUMBER(S1244)),S1244*O1244,"")</f>
        <v/>
      </c>
      <c r="Z1244" s="6" t="n">
        <f aca="false">IF(ISNUMBER(K1244),K1244*O1244,0)</f>
        <v>0</v>
      </c>
      <c r="AA1244" s="2" t="s">
        <v>31</v>
      </c>
      <c r="AB1244" s="6" t="n">
        <v>179</v>
      </c>
      <c r="AC1244" s="6" t="n">
        <v>115</v>
      </c>
      <c r="AD1244" s="6" t="n">
        <v>78</v>
      </c>
      <c r="AE1244" s="6" t="n">
        <v>1085.69152832031</v>
      </c>
      <c r="AF1244" s="8" t="n">
        <v>375</v>
      </c>
      <c r="AG1244" s="11" t="n">
        <v>-0.08363636364</v>
      </c>
      <c r="AH1244" s="12" t="n">
        <v>0.767483603624321</v>
      </c>
      <c r="AI1244" s="2" t="s">
        <v>317</v>
      </c>
      <c r="AJ1244" s="2" t="s">
        <v>2791</v>
      </c>
      <c r="AK1244" s="2" t="s">
        <v>2792</v>
      </c>
    </row>
    <row r="1245" customFormat="false" ht="15" hidden="false" customHeight="false" outlineLevel="0" collapsed="false">
      <c r="A1245" s="9"/>
      <c r="B1245" s="2" t="s">
        <v>2793</v>
      </c>
      <c r="C1245" s="2" t="s">
        <v>2794</v>
      </c>
      <c r="D1245" s="2" t="s">
        <v>2460</v>
      </c>
      <c r="E1245" s="2" t="s">
        <v>51</v>
      </c>
      <c r="F1245" s="2"/>
      <c r="G1245" s="2"/>
      <c r="H1245" s="8"/>
      <c r="I1245" s="2"/>
      <c r="J1245" s="8"/>
      <c r="K1245" s="6"/>
      <c r="L1245" s="2"/>
      <c r="M1245" s="10" t="b">
        <f aca="false">TRUE()</f>
        <v>1</v>
      </c>
      <c r="N1245" s="9" t="str">
        <f aca="false">IF(H1245="","",IF(H1245&gt;=Assumptions!$B$5,1,IF(H1245&gt;=Assumptions!$B$6,2,IF(H1245&gt;=Assumptions!$B$7,3,""))))</f>
        <v/>
      </c>
      <c r="O1245" s="9" t="n">
        <f aca="false">IF(N1245=1,Assumptions!$B$8,IF(N1245=2,Assumptions!$B$9,IF(N1245=3,Assumptions!$B$10,0)))</f>
        <v>0</v>
      </c>
      <c r="P1245" s="6" t="s">
        <v>30</v>
      </c>
      <c r="Q1245" s="6" t="s">
        <v>30</v>
      </c>
      <c r="R1245" s="11" t="s">
        <v>30</v>
      </c>
      <c r="S1245" s="6" t="s">
        <v>30</v>
      </c>
      <c r="T1245" s="11" t="s">
        <v>30</v>
      </c>
      <c r="U1245" s="6" t="s">
        <v>30</v>
      </c>
      <c r="V1245" s="6" t="s">
        <v>30</v>
      </c>
      <c r="W1245" s="6" t="s">
        <v>30</v>
      </c>
      <c r="X1245" s="2" t="s">
        <v>30</v>
      </c>
      <c r="Y1245" s="6" t="str">
        <f aca="false">IF(AND(X1245="processed",ISNUMBER(S1245)),S1245*O1245,"")</f>
        <v/>
      </c>
      <c r="Z1245" s="6" t="n">
        <f aca="false">IF(ISNUMBER(K1245),K1245*O1245,0)</f>
        <v>0</v>
      </c>
      <c r="AA1245" s="2" t="s">
        <v>31</v>
      </c>
      <c r="AB1245" s="6" t="n">
        <v>1420</v>
      </c>
      <c r="AC1245" s="6" t="n">
        <v>972</v>
      </c>
      <c r="AD1245" s="6" t="n">
        <v>495</v>
      </c>
      <c r="AE1245" s="6" t="n">
        <v>960.830688476563</v>
      </c>
      <c r="AF1245" s="8"/>
      <c r="AG1245" s="11"/>
      <c r="AH1245" s="12" t="n">
        <v>0.999570632990665</v>
      </c>
      <c r="AI1245" s="2" t="s">
        <v>321</v>
      </c>
      <c r="AJ1245" s="2" t="s">
        <v>2794</v>
      </c>
      <c r="AK1245" s="2" t="s">
        <v>2795</v>
      </c>
    </row>
    <row r="1246" customFormat="false" ht="15" hidden="false" customHeight="false" outlineLevel="0" collapsed="false">
      <c r="A1246" s="9"/>
      <c r="B1246" s="2" t="s">
        <v>2796</v>
      </c>
      <c r="C1246" s="2" t="s">
        <v>2797</v>
      </c>
      <c r="D1246" s="2" t="s">
        <v>2765</v>
      </c>
      <c r="E1246" s="2" t="s">
        <v>51</v>
      </c>
      <c r="F1246" s="2"/>
      <c r="G1246" s="2" t="s">
        <v>2766</v>
      </c>
      <c r="H1246" s="8" t="n">
        <v>269.222011727664</v>
      </c>
      <c r="I1246" s="2" t="s">
        <v>316</v>
      </c>
      <c r="J1246" s="8" t="n">
        <v>466816.173913044</v>
      </c>
      <c r="K1246" s="6" t="n">
        <v>345</v>
      </c>
      <c r="L1246" s="2"/>
      <c r="M1246" s="10" t="b">
        <f aca="false">TRUE()</f>
        <v>1</v>
      </c>
      <c r="N1246" s="9" t="str">
        <f aca="false">IF(H1246="","",IF(H1246&gt;=Assumptions!$B$5,1,IF(H1246&gt;=Assumptions!$B$6,2,IF(H1246&gt;=Assumptions!$B$7,3,""))))</f>
        <v/>
      </c>
      <c r="O1246" s="9" t="n">
        <f aca="false">IF(N1246=1,Assumptions!$B$8,IF(N1246=2,Assumptions!$B$9,IF(N1246=3,Assumptions!$B$10,0)))</f>
        <v>0</v>
      </c>
      <c r="P1246" s="6" t="s">
        <v>30</v>
      </c>
      <c r="Q1246" s="6" t="s">
        <v>30</v>
      </c>
      <c r="R1246" s="11" t="s">
        <v>30</v>
      </c>
      <c r="S1246" s="6" t="s">
        <v>30</v>
      </c>
      <c r="T1246" s="11" t="s">
        <v>30</v>
      </c>
      <c r="U1246" s="6" t="s">
        <v>30</v>
      </c>
      <c r="V1246" s="6" t="s">
        <v>30</v>
      </c>
      <c r="W1246" s="6" t="s">
        <v>30</v>
      </c>
      <c r="X1246" s="2" t="s">
        <v>30</v>
      </c>
      <c r="Y1246" s="6" t="str">
        <f aca="false">IF(AND(X1246="processed",ISNUMBER(S1246)),S1246*O1246,"")</f>
        <v/>
      </c>
      <c r="Z1246" s="6" t="n">
        <f aca="false">IF(ISNUMBER(K1246),K1246*O1246,0)</f>
        <v>0</v>
      </c>
      <c r="AA1246" s="2" t="s">
        <v>31</v>
      </c>
      <c r="AB1246" s="6" t="n">
        <v>17630</v>
      </c>
      <c r="AC1246" s="6" t="n">
        <v>16164</v>
      </c>
      <c r="AD1246" s="6" t="n">
        <v>4465</v>
      </c>
      <c r="AE1246" s="6" t="n">
        <v>2381.38745117188</v>
      </c>
      <c r="AF1246" s="8" t="n">
        <v>275.574019476</v>
      </c>
      <c r="AG1246" s="11" t="n">
        <v>-0.0005848893654</v>
      </c>
      <c r="AH1246" s="12" t="n">
        <v>0.999992223011585</v>
      </c>
      <c r="AI1246" s="2" t="s">
        <v>317</v>
      </c>
      <c r="AJ1246" s="2" t="s">
        <v>2797</v>
      </c>
      <c r="AK1246" s="2" t="s">
        <v>2797</v>
      </c>
    </row>
    <row r="1247" customFormat="false" ht="15" hidden="false" customHeight="false" outlineLevel="0" collapsed="false">
      <c r="A1247" s="9"/>
      <c r="B1247" s="2" t="s">
        <v>2798</v>
      </c>
      <c r="C1247" s="2" t="s">
        <v>2724</v>
      </c>
      <c r="D1247" s="2" t="s">
        <v>2724</v>
      </c>
      <c r="E1247" s="2" t="s">
        <v>51</v>
      </c>
      <c r="F1247" s="2" t="s">
        <v>2799</v>
      </c>
      <c r="G1247" s="2" t="s">
        <v>2725</v>
      </c>
      <c r="H1247" s="8" t="n">
        <v>261.525890329841</v>
      </c>
      <c r="I1247" s="2" t="s">
        <v>316</v>
      </c>
      <c r="J1247" s="8" t="n">
        <v>513295.468468469</v>
      </c>
      <c r="K1247" s="6" t="n">
        <v>333</v>
      </c>
      <c r="L1247" s="2"/>
      <c r="M1247" s="10" t="b">
        <f aca="false">TRUE()</f>
        <v>1</v>
      </c>
      <c r="N1247" s="9" t="str">
        <f aca="false">IF(H1247="","",IF(H1247&gt;=Assumptions!$B$5,1,IF(H1247&gt;=Assumptions!$B$6,2,IF(H1247&gt;=Assumptions!$B$7,3,""))))</f>
        <v/>
      </c>
      <c r="O1247" s="9" t="n">
        <f aca="false">IF(N1247=1,Assumptions!$B$8,IF(N1247=2,Assumptions!$B$9,IF(N1247=3,Assumptions!$B$10,0)))</f>
        <v>0</v>
      </c>
      <c r="P1247" s="6" t="s">
        <v>30</v>
      </c>
      <c r="Q1247" s="6" t="s">
        <v>30</v>
      </c>
      <c r="R1247" s="11" t="s">
        <v>30</v>
      </c>
      <c r="S1247" s="6" t="s">
        <v>30</v>
      </c>
      <c r="T1247" s="11" t="s">
        <v>30</v>
      </c>
      <c r="U1247" s="6" t="s">
        <v>30</v>
      </c>
      <c r="V1247" s="6" t="s">
        <v>30</v>
      </c>
      <c r="W1247" s="6" t="s">
        <v>30</v>
      </c>
      <c r="X1247" s="2" t="s">
        <v>30</v>
      </c>
      <c r="Y1247" s="6" t="str">
        <f aca="false">IF(AND(X1247="processed",ISNUMBER(S1247)),S1247*O1247,"")</f>
        <v/>
      </c>
      <c r="Z1247" s="6" t="n">
        <f aca="false">IF(ISNUMBER(K1247),K1247*O1247,0)</f>
        <v>0</v>
      </c>
      <c r="AA1247" s="2" t="s">
        <v>31</v>
      </c>
      <c r="AB1247" s="6" t="n">
        <v>9490</v>
      </c>
      <c r="AC1247" s="6" t="n">
        <v>8237</v>
      </c>
      <c r="AD1247" s="6" t="n">
        <v>8247</v>
      </c>
      <c r="AE1247" s="6" t="n">
        <v>2851.34594726563</v>
      </c>
      <c r="AF1247" s="8" t="n">
        <v>257.722592368</v>
      </c>
      <c r="AG1247" s="11" t="n">
        <v>-0.03381748669</v>
      </c>
      <c r="AH1247" s="12" t="n">
        <v>0.99776864105133</v>
      </c>
      <c r="AI1247" s="2" t="s">
        <v>317</v>
      </c>
      <c r="AJ1247" s="2" t="s">
        <v>2724</v>
      </c>
      <c r="AK1247" s="2" t="s">
        <v>2460</v>
      </c>
    </row>
    <row r="1248" customFormat="false" ht="15" hidden="false" customHeight="false" outlineLevel="0" collapsed="false">
      <c r="A1248" s="9"/>
      <c r="B1248" s="2" t="s">
        <v>2800</v>
      </c>
      <c r="C1248" s="2" t="s">
        <v>2724</v>
      </c>
      <c r="D1248" s="2" t="s">
        <v>2724</v>
      </c>
      <c r="E1248" s="2" t="s">
        <v>51</v>
      </c>
      <c r="F1248" s="2"/>
      <c r="G1248" s="2" t="s">
        <v>2725</v>
      </c>
      <c r="H1248" s="8" t="n">
        <v>238.466770246068</v>
      </c>
      <c r="I1248" s="2" t="s">
        <v>316</v>
      </c>
      <c r="J1248" s="8" t="n">
        <v>414298.804780877</v>
      </c>
      <c r="K1248" s="6" t="n">
        <v>251</v>
      </c>
      <c r="L1248" s="2"/>
      <c r="M1248" s="10" t="b">
        <f aca="false">TRUE()</f>
        <v>1</v>
      </c>
      <c r="N1248" s="9" t="str">
        <f aca="false">IF(H1248="","",IF(H1248&gt;=Assumptions!$B$5,1,IF(H1248&gt;=Assumptions!$B$6,2,IF(H1248&gt;=Assumptions!$B$7,3,""))))</f>
        <v/>
      </c>
      <c r="O1248" s="9" t="n">
        <f aca="false">IF(N1248=1,Assumptions!$B$8,IF(N1248=2,Assumptions!$B$9,IF(N1248=3,Assumptions!$B$10,0)))</f>
        <v>0</v>
      </c>
      <c r="P1248" s="6" t="s">
        <v>30</v>
      </c>
      <c r="Q1248" s="6" t="s">
        <v>30</v>
      </c>
      <c r="R1248" s="11" t="s">
        <v>30</v>
      </c>
      <c r="S1248" s="6" t="s">
        <v>30</v>
      </c>
      <c r="T1248" s="11" t="s">
        <v>30</v>
      </c>
      <c r="U1248" s="6" t="s">
        <v>30</v>
      </c>
      <c r="V1248" s="6" t="s">
        <v>30</v>
      </c>
      <c r="W1248" s="6" t="s">
        <v>30</v>
      </c>
      <c r="X1248" s="2" t="s">
        <v>30</v>
      </c>
      <c r="Y1248" s="6" t="str">
        <f aca="false">IF(AND(X1248="processed",ISNUMBER(S1248)),S1248*O1248,"")</f>
        <v/>
      </c>
      <c r="Z1248" s="6" t="n">
        <f aca="false">IF(ISNUMBER(K1248),K1248*O1248,0)</f>
        <v>0</v>
      </c>
      <c r="AA1248" s="2" t="s">
        <v>31</v>
      </c>
      <c r="AB1248" s="6" t="n">
        <v>15437</v>
      </c>
      <c r="AC1248" s="6" t="n">
        <v>13515</v>
      </c>
      <c r="AD1248" s="6" t="n">
        <v>7598</v>
      </c>
      <c r="AE1248" s="6" t="n">
        <v>2560.1640625</v>
      </c>
      <c r="AF1248" s="8" t="n">
        <v>240.973372456</v>
      </c>
      <c r="AG1248" s="11" t="n">
        <v>-0.02923151273</v>
      </c>
      <c r="AH1248" s="12" t="n">
        <v>0.999118945391674</v>
      </c>
      <c r="AI1248" s="2" t="s">
        <v>317</v>
      </c>
      <c r="AJ1248" s="2" t="s">
        <v>2724</v>
      </c>
      <c r="AK1248" s="2" t="s">
        <v>2724</v>
      </c>
    </row>
    <row r="1249" customFormat="false" ht="15" hidden="false" customHeight="false" outlineLevel="0" collapsed="false">
      <c r="A1249" s="9"/>
      <c r="B1249" s="2" t="s">
        <v>2801</v>
      </c>
      <c r="C1249" s="2" t="s">
        <v>2724</v>
      </c>
      <c r="D1249" s="2" t="s">
        <v>2724</v>
      </c>
      <c r="E1249" s="2" t="s">
        <v>51</v>
      </c>
      <c r="F1249" s="2"/>
      <c r="G1249" s="2" t="s">
        <v>2725</v>
      </c>
      <c r="H1249" s="8" t="n">
        <v>270.227207151843</v>
      </c>
      <c r="I1249" s="2" t="s">
        <v>316</v>
      </c>
      <c r="J1249" s="8" t="n">
        <v>392790.476190476</v>
      </c>
      <c r="K1249" s="6" t="n">
        <v>210</v>
      </c>
      <c r="L1249" s="2"/>
      <c r="M1249" s="10" t="b">
        <f aca="false">TRUE()</f>
        <v>1</v>
      </c>
      <c r="N1249" s="9" t="str">
        <f aca="false">IF(H1249="","",IF(H1249&gt;=Assumptions!$B$5,1,IF(H1249&gt;=Assumptions!$B$6,2,IF(H1249&gt;=Assumptions!$B$7,3,""))))</f>
        <v/>
      </c>
      <c r="O1249" s="9" t="n">
        <f aca="false">IF(N1249=1,Assumptions!$B$8,IF(N1249=2,Assumptions!$B$9,IF(N1249=3,Assumptions!$B$10,0)))</f>
        <v>0</v>
      </c>
      <c r="P1249" s="6" t="s">
        <v>30</v>
      </c>
      <c r="Q1249" s="6" t="s">
        <v>30</v>
      </c>
      <c r="R1249" s="11" t="s">
        <v>30</v>
      </c>
      <c r="S1249" s="6" t="s">
        <v>30</v>
      </c>
      <c r="T1249" s="11" t="s">
        <v>30</v>
      </c>
      <c r="U1249" s="6" t="s">
        <v>30</v>
      </c>
      <c r="V1249" s="6" t="s">
        <v>30</v>
      </c>
      <c r="W1249" s="6" t="s">
        <v>30</v>
      </c>
      <c r="X1249" s="2" t="s">
        <v>30</v>
      </c>
      <c r="Y1249" s="6" t="str">
        <f aca="false">IF(AND(X1249="processed",ISNUMBER(S1249)),S1249*O1249,"")</f>
        <v/>
      </c>
      <c r="Z1249" s="6" t="n">
        <f aca="false">IF(ISNUMBER(K1249),K1249*O1249,0)</f>
        <v>0</v>
      </c>
      <c r="AA1249" s="2" t="s">
        <v>31</v>
      </c>
      <c r="AB1249" s="6" t="n">
        <v>15029</v>
      </c>
      <c r="AC1249" s="6" t="n">
        <v>13369</v>
      </c>
      <c r="AD1249" s="6" t="n">
        <v>11155</v>
      </c>
      <c r="AE1249" s="6" t="n">
        <v>2227.8154296875</v>
      </c>
      <c r="AF1249" s="8" t="n">
        <v>260.347129506</v>
      </c>
      <c r="AG1249" s="11" t="n">
        <v>-0.07905120477</v>
      </c>
      <c r="AH1249" s="12" t="n">
        <v>1</v>
      </c>
      <c r="AI1249" s="2" t="s">
        <v>317</v>
      </c>
      <c r="AJ1249" s="2" t="s">
        <v>2724</v>
      </c>
      <c r="AK1249" s="2" t="s">
        <v>2724</v>
      </c>
    </row>
    <row r="1250" customFormat="false" ht="15" hidden="false" customHeight="false" outlineLevel="0" collapsed="false">
      <c r="A1250" s="9"/>
      <c r="B1250" s="2" t="s">
        <v>2802</v>
      </c>
      <c r="C1250" s="2" t="s">
        <v>2803</v>
      </c>
      <c r="D1250" s="2" t="s">
        <v>2460</v>
      </c>
      <c r="E1250" s="2" t="s">
        <v>51</v>
      </c>
      <c r="F1250" s="2"/>
      <c r="G1250" s="2" t="s">
        <v>2461</v>
      </c>
      <c r="H1250" s="8" t="n">
        <v>289.64576500175</v>
      </c>
      <c r="I1250" s="2" t="s">
        <v>316</v>
      </c>
      <c r="J1250" s="8" t="n">
        <v>366375</v>
      </c>
      <c r="K1250" s="6" t="n">
        <v>4</v>
      </c>
      <c r="L1250" s="2" t="s">
        <v>1664</v>
      </c>
      <c r="M1250" s="10" t="b">
        <f aca="false">TRUE()</f>
        <v>1</v>
      </c>
      <c r="N1250" s="9" t="str">
        <f aca="false">IF(H1250="","",IF(H1250&gt;=Assumptions!$B$5,1,IF(H1250&gt;=Assumptions!$B$6,2,IF(H1250&gt;=Assumptions!$B$7,3,""))))</f>
        <v/>
      </c>
      <c r="O1250" s="9" t="n">
        <f aca="false">IF(N1250=1,Assumptions!$B$8,IF(N1250=2,Assumptions!$B$9,IF(N1250=3,Assumptions!$B$10,0)))</f>
        <v>0</v>
      </c>
      <c r="P1250" s="6" t="s">
        <v>30</v>
      </c>
      <c r="Q1250" s="6" t="s">
        <v>30</v>
      </c>
      <c r="R1250" s="11" t="s">
        <v>30</v>
      </c>
      <c r="S1250" s="6" t="s">
        <v>30</v>
      </c>
      <c r="T1250" s="11" t="s">
        <v>30</v>
      </c>
      <c r="U1250" s="6" t="s">
        <v>30</v>
      </c>
      <c r="V1250" s="6" t="s">
        <v>30</v>
      </c>
      <c r="W1250" s="6" t="s">
        <v>30</v>
      </c>
      <c r="X1250" s="2" t="s">
        <v>30</v>
      </c>
      <c r="Y1250" s="6" t="str">
        <f aca="false">IF(AND(X1250="processed",ISNUMBER(S1250)),S1250*O1250,"")</f>
        <v/>
      </c>
      <c r="Z1250" s="6" t="n">
        <f aca="false">IF(ISNUMBER(K1250),K1250*O1250,0)</f>
        <v>0</v>
      </c>
      <c r="AA1250" s="2" t="s">
        <v>31</v>
      </c>
      <c r="AB1250" s="6" t="n">
        <v>3064</v>
      </c>
      <c r="AC1250" s="6" t="n">
        <v>2674</v>
      </c>
      <c r="AD1250" s="6" t="n">
        <v>2136</v>
      </c>
      <c r="AE1250" s="6" t="n">
        <v>2190.75634765625</v>
      </c>
      <c r="AF1250" s="8" t="n">
        <v>305.882352941</v>
      </c>
      <c r="AG1250" s="11" t="n">
        <v>0.2291340618</v>
      </c>
      <c r="AH1250" s="12" t="n">
        <v>0.999414667908368</v>
      </c>
      <c r="AI1250" s="2" t="s">
        <v>317</v>
      </c>
      <c r="AJ1250" s="2" t="s">
        <v>2803</v>
      </c>
      <c r="AK1250" s="2" t="s">
        <v>2803</v>
      </c>
    </row>
    <row r="1251" customFormat="false" ht="15" hidden="false" customHeight="false" outlineLevel="0" collapsed="false">
      <c r="A1251" s="9"/>
      <c r="B1251" s="2" t="s">
        <v>2804</v>
      </c>
      <c r="C1251" s="2" t="s">
        <v>2805</v>
      </c>
      <c r="D1251" s="2" t="s">
        <v>2460</v>
      </c>
      <c r="E1251" s="2" t="s">
        <v>51</v>
      </c>
      <c r="F1251" s="2"/>
      <c r="G1251" s="2" t="s">
        <v>2461</v>
      </c>
      <c r="H1251" s="8" t="n">
        <v>289.387981054667</v>
      </c>
      <c r="I1251" s="2" t="s">
        <v>316</v>
      </c>
      <c r="J1251" s="8" t="n">
        <v>233000</v>
      </c>
      <c r="K1251" s="6" t="n">
        <v>3</v>
      </c>
      <c r="L1251" s="2" t="s">
        <v>1664</v>
      </c>
      <c r="M1251" s="10" t="b">
        <f aca="false">TRUE()</f>
        <v>1</v>
      </c>
      <c r="N1251" s="9" t="str">
        <f aca="false">IF(H1251="","",IF(H1251&gt;=Assumptions!$B$5,1,IF(H1251&gt;=Assumptions!$B$6,2,IF(H1251&gt;=Assumptions!$B$7,3,""))))</f>
        <v/>
      </c>
      <c r="O1251" s="9" t="n">
        <f aca="false">IF(N1251=1,Assumptions!$B$8,IF(N1251=2,Assumptions!$B$9,IF(N1251=3,Assumptions!$B$10,0)))</f>
        <v>0</v>
      </c>
      <c r="P1251" s="6" t="s">
        <v>30</v>
      </c>
      <c r="Q1251" s="6" t="s">
        <v>30</v>
      </c>
      <c r="R1251" s="11" t="s">
        <v>30</v>
      </c>
      <c r="S1251" s="6" t="s">
        <v>30</v>
      </c>
      <c r="T1251" s="11" t="s">
        <v>30</v>
      </c>
      <c r="U1251" s="6" t="s">
        <v>30</v>
      </c>
      <c r="V1251" s="6" t="s">
        <v>30</v>
      </c>
      <c r="W1251" s="6" t="s">
        <v>30</v>
      </c>
      <c r="X1251" s="2" t="s">
        <v>30</v>
      </c>
      <c r="Y1251" s="6" t="str">
        <f aca="false">IF(AND(X1251="processed",ISNUMBER(S1251)),S1251*O1251,"")</f>
        <v/>
      </c>
      <c r="Z1251" s="6" t="n">
        <f aca="false">IF(ISNUMBER(K1251),K1251*O1251,0)</f>
        <v>0</v>
      </c>
      <c r="AA1251" s="2" t="s">
        <v>31</v>
      </c>
      <c r="AB1251" s="6" t="n">
        <v>683</v>
      </c>
      <c r="AC1251" s="6" t="n">
        <v>555</v>
      </c>
      <c r="AD1251" s="6" t="n">
        <v>518</v>
      </c>
      <c r="AE1251" s="6" t="n">
        <v>1516.64135742188</v>
      </c>
      <c r="AF1251" s="8" t="n">
        <v>276.515151515</v>
      </c>
      <c r="AG1251" s="11" t="n">
        <v>0.01860465116</v>
      </c>
      <c r="AH1251" s="12" t="n">
        <v>0.999650077548008</v>
      </c>
      <c r="AI1251" s="2" t="s">
        <v>317</v>
      </c>
      <c r="AJ1251" s="2" t="s">
        <v>2805</v>
      </c>
      <c r="AK1251" s="2" t="s">
        <v>2805</v>
      </c>
    </row>
    <row r="1252" customFormat="false" ht="15" hidden="false" customHeight="false" outlineLevel="0" collapsed="false">
      <c r="A1252" s="9"/>
      <c r="B1252" s="2" t="s">
        <v>2806</v>
      </c>
      <c r="C1252" s="2"/>
      <c r="D1252" s="2" t="s">
        <v>1190</v>
      </c>
      <c r="E1252" s="2" t="s">
        <v>1191</v>
      </c>
      <c r="F1252" s="2"/>
      <c r="G1252" s="2" t="s">
        <v>2461</v>
      </c>
      <c r="H1252" s="8" t="n">
        <v>347.693459417</v>
      </c>
      <c r="I1252" s="2" t="s">
        <v>316</v>
      </c>
      <c r="J1252" s="8" t="n">
        <v>376052.222222222</v>
      </c>
      <c r="K1252" s="6" t="n">
        <v>9</v>
      </c>
      <c r="L1252" s="2"/>
      <c r="M1252" s="10" t="b">
        <f aca="false">FALSE()</f>
        <v>0</v>
      </c>
      <c r="N1252" s="9" t="str">
        <f aca="false">IF(H1252="","",IF(H1252&gt;=Assumptions!$B$5,1,IF(H1252&gt;=Assumptions!$B$6,2,IF(H1252&gt;=Assumptions!$B$7,3,""))))</f>
        <v/>
      </c>
      <c r="O1252" s="9" t="n">
        <f aca="false">IF(N1252=1,Assumptions!$B$8,IF(N1252=2,Assumptions!$B$9,IF(N1252=3,Assumptions!$B$10,0)))</f>
        <v>0</v>
      </c>
      <c r="P1252" s="6" t="s">
        <v>30</v>
      </c>
      <c r="Q1252" s="6" t="s">
        <v>30</v>
      </c>
      <c r="R1252" s="11" t="s">
        <v>30</v>
      </c>
      <c r="S1252" s="6" t="s">
        <v>30</v>
      </c>
      <c r="T1252" s="11" t="s">
        <v>30</v>
      </c>
      <c r="U1252" s="6" t="s">
        <v>30</v>
      </c>
      <c r="V1252" s="6" t="s">
        <v>30</v>
      </c>
      <c r="W1252" s="6" t="s">
        <v>30</v>
      </c>
      <c r="X1252" s="2" t="s">
        <v>30</v>
      </c>
      <c r="Y1252" s="6" t="str">
        <f aca="false">IF(AND(X1252="processed",ISNUMBER(S1252)),S1252*O1252,"")</f>
        <v/>
      </c>
      <c r="Z1252" s="6" t="n">
        <f aca="false">IF(ISNUMBER(K1252),K1252*O1252,0)</f>
        <v>0</v>
      </c>
      <c r="AA1252" s="2" t="s">
        <v>31</v>
      </c>
      <c r="AB1252" s="6"/>
      <c r="AC1252" s="6"/>
      <c r="AD1252" s="6"/>
      <c r="AE1252" s="6"/>
      <c r="AF1252" s="8" t="n">
        <v>331.914893617</v>
      </c>
      <c r="AG1252" s="11" t="n">
        <v>-0.2009456265</v>
      </c>
      <c r="AH1252" s="12"/>
      <c r="AI1252" s="2"/>
      <c r="AJ1252" s="2"/>
      <c r="AK1252" s="2"/>
    </row>
    <row r="1253" customFormat="false" ht="15" hidden="false" customHeight="false" outlineLevel="0" collapsed="false">
      <c r="A1253" s="9"/>
      <c r="B1253" s="2" t="s">
        <v>2807</v>
      </c>
      <c r="C1253" s="2" t="s">
        <v>2808</v>
      </c>
      <c r="D1253" s="2" t="s">
        <v>2724</v>
      </c>
      <c r="E1253" s="2" t="s">
        <v>51</v>
      </c>
      <c r="F1253" s="2"/>
      <c r="G1253" s="2" t="s">
        <v>2725</v>
      </c>
      <c r="H1253" s="8" t="n">
        <v>262.789174697378</v>
      </c>
      <c r="I1253" s="2" t="s">
        <v>316</v>
      </c>
      <c r="J1253" s="8" t="n">
        <v>434729.72972973</v>
      </c>
      <c r="K1253" s="6" t="n">
        <v>37</v>
      </c>
      <c r="L1253" s="2"/>
      <c r="M1253" s="10" t="b">
        <f aca="false">TRUE()</f>
        <v>1</v>
      </c>
      <c r="N1253" s="9" t="str">
        <f aca="false">IF(H1253="","",IF(H1253&gt;=Assumptions!$B$5,1,IF(H1253&gt;=Assumptions!$B$6,2,IF(H1253&gt;=Assumptions!$B$7,3,""))))</f>
        <v/>
      </c>
      <c r="O1253" s="9" t="n">
        <f aca="false">IF(N1253=1,Assumptions!$B$8,IF(N1253=2,Assumptions!$B$9,IF(N1253=3,Assumptions!$B$10,0)))</f>
        <v>0</v>
      </c>
      <c r="P1253" s="6" t="s">
        <v>30</v>
      </c>
      <c r="Q1253" s="6" t="s">
        <v>30</v>
      </c>
      <c r="R1253" s="11" t="s">
        <v>30</v>
      </c>
      <c r="S1253" s="6" t="s">
        <v>30</v>
      </c>
      <c r="T1253" s="11" t="s">
        <v>30</v>
      </c>
      <c r="U1253" s="6" t="s">
        <v>30</v>
      </c>
      <c r="V1253" s="6" t="s">
        <v>30</v>
      </c>
      <c r="W1253" s="6" t="s">
        <v>30</v>
      </c>
      <c r="X1253" s="2" t="s">
        <v>30</v>
      </c>
      <c r="Y1253" s="6" t="str">
        <f aca="false">IF(AND(X1253="processed",ISNUMBER(S1253)),S1253*O1253,"")</f>
        <v/>
      </c>
      <c r="Z1253" s="6" t="n">
        <f aca="false">IF(ISNUMBER(K1253),K1253*O1253,0)</f>
        <v>0</v>
      </c>
      <c r="AA1253" s="2" t="s">
        <v>31</v>
      </c>
      <c r="AB1253" s="6" t="n">
        <v>2944</v>
      </c>
      <c r="AC1253" s="6" t="n">
        <v>2460</v>
      </c>
      <c r="AD1253" s="6" t="n">
        <v>2828</v>
      </c>
      <c r="AE1253" s="6" t="n">
        <v>1689.03198242188</v>
      </c>
      <c r="AF1253" s="8" t="n">
        <v>388.888888889</v>
      </c>
      <c r="AG1253" s="11" t="n">
        <v>0.5743055556</v>
      </c>
      <c r="AH1253" s="12" t="n">
        <v>0.999360283022224</v>
      </c>
      <c r="AI1253" s="2" t="s">
        <v>317</v>
      </c>
      <c r="AJ1253" s="2" t="s">
        <v>2808</v>
      </c>
      <c r="AK1253" s="2" t="s">
        <v>2809</v>
      </c>
    </row>
    <row r="1254" customFormat="false" ht="15" hidden="false" customHeight="false" outlineLevel="0" collapsed="false">
      <c r="A1254" s="9"/>
      <c r="B1254" s="2" t="s">
        <v>2810</v>
      </c>
      <c r="C1254" s="2" t="s">
        <v>2811</v>
      </c>
      <c r="D1254" s="2" t="s">
        <v>2724</v>
      </c>
      <c r="E1254" s="2" t="s">
        <v>51</v>
      </c>
      <c r="F1254" s="2"/>
      <c r="G1254" s="2" t="s">
        <v>2725</v>
      </c>
      <c r="H1254" s="8" t="n">
        <v>249.005316703244</v>
      </c>
      <c r="I1254" s="2" t="s">
        <v>316</v>
      </c>
      <c r="J1254" s="8" t="n">
        <v>457941.176470588</v>
      </c>
      <c r="K1254" s="6" t="n">
        <v>119</v>
      </c>
      <c r="L1254" s="2"/>
      <c r="M1254" s="10" t="b">
        <f aca="false">TRUE()</f>
        <v>1</v>
      </c>
      <c r="N1254" s="9" t="str">
        <f aca="false">IF(H1254="","",IF(H1254&gt;=Assumptions!$B$5,1,IF(H1254&gt;=Assumptions!$B$6,2,IF(H1254&gt;=Assumptions!$B$7,3,""))))</f>
        <v/>
      </c>
      <c r="O1254" s="9" t="n">
        <f aca="false">IF(N1254=1,Assumptions!$B$8,IF(N1254=2,Assumptions!$B$9,IF(N1254=3,Assumptions!$B$10,0)))</f>
        <v>0</v>
      </c>
      <c r="P1254" s="6" t="s">
        <v>30</v>
      </c>
      <c r="Q1254" s="6" t="s">
        <v>30</v>
      </c>
      <c r="R1254" s="11" t="s">
        <v>30</v>
      </c>
      <c r="S1254" s="6" t="s">
        <v>30</v>
      </c>
      <c r="T1254" s="11" t="s">
        <v>30</v>
      </c>
      <c r="U1254" s="6" t="s">
        <v>30</v>
      </c>
      <c r="V1254" s="6" t="s">
        <v>30</v>
      </c>
      <c r="W1254" s="6" t="s">
        <v>30</v>
      </c>
      <c r="X1254" s="2" t="s">
        <v>30</v>
      </c>
      <c r="Y1254" s="6" t="str">
        <f aca="false">IF(AND(X1254="processed",ISNUMBER(S1254)),S1254*O1254,"")</f>
        <v/>
      </c>
      <c r="Z1254" s="6" t="n">
        <f aca="false">IF(ISNUMBER(K1254),K1254*O1254,0)</f>
        <v>0</v>
      </c>
      <c r="AA1254" s="2" t="s">
        <v>31</v>
      </c>
      <c r="AB1254" s="6" t="n">
        <v>6167</v>
      </c>
      <c r="AC1254" s="6" t="n">
        <v>5338</v>
      </c>
      <c r="AD1254" s="6" t="n">
        <v>5728</v>
      </c>
      <c r="AE1254" s="6" t="n">
        <v>2237.90600585938</v>
      </c>
      <c r="AF1254" s="8" t="n">
        <v>242.454267904</v>
      </c>
      <c r="AG1254" s="11" t="n">
        <v>-0.05878605351</v>
      </c>
      <c r="AH1254" s="12" t="n">
        <v>0.997968391668737</v>
      </c>
      <c r="AI1254" s="2" t="s">
        <v>317</v>
      </c>
      <c r="AJ1254" s="2" t="s">
        <v>2811</v>
      </c>
      <c r="AK1254" s="2" t="s">
        <v>2812</v>
      </c>
    </row>
    <row r="1255" customFormat="false" ht="15" hidden="false" customHeight="false" outlineLevel="0" collapsed="false">
      <c r="A1255" s="9"/>
      <c r="B1255" s="2" t="s">
        <v>2813</v>
      </c>
      <c r="C1255" s="2" t="s">
        <v>2814</v>
      </c>
      <c r="D1255" s="2" t="s">
        <v>2724</v>
      </c>
      <c r="E1255" s="2" t="s">
        <v>51</v>
      </c>
      <c r="F1255" s="2"/>
      <c r="G1255" s="2" t="s">
        <v>2725</v>
      </c>
      <c r="H1255" s="8" t="n">
        <v>276.62037037</v>
      </c>
      <c r="I1255" s="2" t="s">
        <v>316</v>
      </c>
      <c r="J1255" s="8" t="n">
        <v>478000</v>
      </c>
      <c r="K1255" s="6" t="n">
        <v>1</v>
      </c>
      <c r="L1255" s="2" t="s">
        <v>1664</v>
      </c>
      <c r="M1255" s="10" t="b">
        <f aca="false">TRUE()</f>
        <v>1</v>
      </c>
      <c r="N1255" s="9" t="str">
        <f aca="false">IF(H1255="","",IF(H1255&gt;=Assumptions!$B$5,1,IF(H1255&gt;=Assumptions!$B$6,2,IF(H1255&gt;=Assumptions!$B$7,3,""))))</f>
        <v/>
      </c>
      <c r="O1255" s="9" t="n">
        <f aca="false">IF(N1255=1,Assumptions!$B$8,IF(N1255=2,Assumptions!$B$9,IF(N1255=3,Assumptions!$B$10,0)))</f>
        <v>0</v>
      </c>
      <c r="P1255" s="6" t="s">
        <v>30</v>
      </c>
      <c r="Q1255" s="6" t="s">
        <v>30</v>
      </c>
      <c r="R1255" s="11" t="s">
        <v>30</v>
      </c>
      <c r="S1255" s="6" t="s">
        <v>30</v>
      </c>
      <c r="T1255" s="11" t="s">
        <v>30</v>
      </c>
      <c r="U1255" s="6" t="s">
        <v>30</v>
      </c>
      <c r="V1255" s="6" t="s">
        <v>30</v>
      </c>
      <c r="W1255" s="6" t="s">
        <v>30</v>
      </c>
      <c r="X1255" s="2" t="s">
        <v>30</v>
      </c>
      <c r="Y1255" s="6" t="str">
        <f aca="false">IF(AND(X1255="processed",ISNUMBER(S1255)),S1255*O1255,"")</f>
        <v/>
      </c>
      <c r="Z1255" s="6" t="n">
        <f aca="false">IF(ISNUMBER(K1255),K1255*O1255,0)</f>
        <v>0</v>
      </c>
      <c r="AA1255" s="2" t="s">
        <v>31</v>
      </c>
      <c r="AB1255" s="6" t="n">
        <v>380</v>
      </c>
      <c r="AC1255" s="6" t="n">
        <v>303</v>
      </c>
      <c r="AD1255" s="6" t="n">
        <v>360</v>
      </c>
      <c r="AE1255" s="6" t="n">
        <v>1755.81750488281</v>
      </c>
      <c r="AF1255" s="8" t="n">
        <v>276.62037037</v>
      </c>
      <c r="AG1255" s="11" t="n">
        <v>0.07574588477</v>
      </c>
      <c r="AH1255" s="12" t="n">
        <v>1</v>
      </c>
      <c r="AI1255" s="2" t="s">
        <v>340</v>
      </c>
      <c r="AJ1255" s="2" t="s">
        <v>2814</v>
      </c>
      <c r="AK1255" s="2" t="s">
        <v>2815</v>
      </c>
    </row>
    <row r="1256" customFormat="false" ht="15" hidden="false" customHeight="false" outlineLevel="0" collapsed="false">
      <c r="A1256" s="9"/>
      <c r="B1256" s="2" t="s">
        <v>2816</v>
      </c>
      <c r="C1256" s="2" t="s">
        <v>2817</v>
      </c>
      <c r="D1256" s="2" t="s">
        <v>2460</v>
      </c>
      <c r="E1256" s="2" t="s">
        <v>51</v>
      </c>
      <c r="F1256" s="2"/>
      <c r="G1256" s="2" t="s">
        <v>2438</v>
      </c>
      <c r="H1256" s="8" t="n">
        <v>269.1279862722</v>
      </c>
      <c r="I1256" s="2" t="s">
        <v>316</v>
      </c>
      <c r="J1256" s="8" t="n">
        <v>328693</v>
      </c>
      <c r="K1256" s="6" t="n">
        <v>10</v>
      </c>
      <c r="L1256" s="2"/>
      <c r="M1256" s="10" t="b">
        <f aca="false">TRUE()</f>
        <v>1</v>
      </c>
      <c r="N1256" s="9" t="str">
        <f aca="false">IF(H1256="","",IF(H1256&gt;=Assumptions!$B$5,1,IF(H1256&gt;=Assumptions!$B$6,2,IF(H1256&gt;=Assumptions!$B$7,3,""))))</f>
        <v/>
      </c>
      <c r="O1256" s="9" t="n">
        <f aca="false">IF(N1256=1,Assumptions!$B$8,IF(N1256=2,Assumptions!$B$9,IF(N1256=3,Assumptions!$B$10,0)))</f>
        <v>0</v>
      </c>
      <c r="P1256" s="6" t="s">
        <v>30</v>
      </c>
      <c r="Q1256" s="6" t="s">
        <v>30</v>
      </c>
      <c r="R1256" s="11" t="s">
        <v>30</v>
      </c>
      <c r="S1256" s="6" t="s">
        <v>30</v>
      </c>
      <c r="T1256" s="11" t="s">
        <v>30</v>
      </c>
      <c r="U1256" s="6" t="s">
        <v>30</v>
      </c>
      <c r="V1256" s="6" t="s">
        <v>30</v>
      </c>
      <c r="W1256" s="6" t="s">
        <v>30</v>
      </c>
      <c r="X1256" s="2" t="s">
        <v>30</v>
      </c>
      <c r="Y1256" s="6" t="str">
        <f aca="false">IF(AND(X1256="processed",ISNUMBER(S1256)),S1256*O1256,"")</f>
        <v/>
      </c>
      <c r="Z1256" s="6" t="n">
        <f aca="false">IF(ISNUMBER(K1256),K1256*O1256,0)</f>
        <v>0</v>
      </c>
      <c r="AA1256" s="2" t="s">
        <v>31</v>
      </c>
      <c r="AB1256" s="6" t="n">
        <v>2807</v>
      </c>
      <c r="AC1256" s="6" t="n">
        <v>2449</v>
      </c>
      <c r="AD1256" s="6" t="n">
        <v>2758</v>
      </c>
      <c r="AE1256" s="6" t="n">
        <v>2224.68139648438</v>
      </c>
      <c r="AF1256" s="8" t="n">
        <v>272.349593496</v>
      </c>
      <c r="AG1256" s="11" t="n">
        <v>0.4010169786</v>
      </c>
      <c r="AH1256" s="12" t="n">
        <v>0.54325764501129</v>
      </c>
      <c r="AI1256" s="2" t="s">
        <v>317</v>
      </c>
      <c r="AJ1256" s="2" t="s">
        <v>2817</v>
      </c>
      <c r="AK1256" s="2" t="s">
        <v>2817</v>
      </c>
    </row>
    <row r="1257" customFormat="false" ht="15" hidden="false" customHeight="false" outlineLevel="0" collapsed="false">
      <c r="A1257" s="9"/>
      <c r="B1257" s="2" t="s">
        <v>2818</v>
      </c>
      <c r="C1257" s="2" t="s">
        <v>2819</v>
      </c>
      <c r="D1257" s="2" t="s">
        <v>2437</v>
      </c>
      <c r="E1257" s="2" t="s">
        <v>51</v>
      </c>
      <c r="F1257" s="2"/>
      <c r="G1257" s="2" t="s">
        <v>2438</v>
      </c>
      <c r="H1257" s="8" t="n">
        <v>236.855425063667</v>
      </c>
      <c r="I1257" s="2" t="s">
        <v>316</v>
      </c>
      <c r="J1257" s="8" t="n">
        <v>423333.333333333</v>
      </c>
      <c r="K1257" s="6" t="n">
        <v>6</v>
      </c>
      <c r="L1257" s="2"/>
      <c r="M1257" s="10" t="b">
        <f aca="false">TRUE()</f>
        <v>1</v>
      </c>
      <c r="N1257" s="9" t="str">
        <f aca="false">IF(H1257="","",IF(H1257&gt;=Assumptions!$B$5,1,IF(H1257&gt;=Assumptions!$B$6,2,IF(H1257&gt;=Assumptions!$B$7,3,""))))</f>
        <v/>
      </c>
      <c r="O1257" s="9" t="n">
        <f aca="false">IF(N1257=1,Assumptions!$B$8,IF(N1257=2,Assumptions!$B$9,IF(N1257=3,Assumptions!$B$10,0)))</f>
        <v>0</v>
      </c>
      <c r="P1257" s="6" t="s">
        <v>30</v>
      </c>
      <c r="Q1257" s="6" t="s">
        <v>30</v>
      </c>
      <c r="R1257" s="11" t="s">
        <v>30</v>
      </c>
      <c r="S1257" s="6" t="s">
        <v>30</v>
      </c>
      <c r="T1257" s="11" t="s">
        <v>30</v>
      </c>
      <c r="U1257" s="6" t="s">
        <v>30</v>
      </c>
      <c r="V1257" s="6" t="s">
        <v>30</v>
      </c>
      <c r="W1257" s="6" t="s">
        <v>30</v>
      </c>
      <c r="X1257" s="2" t="s">
        <v>30</v>
      </c>
      <c r="Y1257" s="6" t="str">
        <f aca="false">IF(AND(X1257="processed",ISNUMBER(S1257)),S1257*O1257,"")</f>
        <v/>
      </c>
      <c r="Z1257" s="6" t="n">
        <f aca="false">IF(ISNUMBER(K1257),K1257*O1257,0)</f>
        <v>0</v>
      </c>
      <c r="AA1257" s="2" t="s">
        <v>31</v>
      </c>
      <c r="AB1257" s="6" t="n">
        <v>3963</v>
      </c>
      <c r="AC1257" s="6" t="n">
        <v>3394</v>
      </c>
      <c r="AD1257" s="6" t="n">
        <v>2212</v>
      </c>
      <c r="AE1257" s="6" t="n">
        <v>2099.43310546875</v>
      </c>
      <c r="AF1257" s="8" t="n">
        <v>222.18157748</v>
      </c>
      <c r="AG1257" s="11" t="n">
        <v>-0.102064091</v>
      </c>
      <c r="AH1257" s="12" t="n">
        <v>0.99994731455678</v>
      </c>
      <c r="AI1257" s="2" t="s">
        <v>317</v>
      </c>
      <c r="AJ1257" s="2" t="s">
        <v>2819</v>
      </c>
      <c r="AK1257" s="2" t="s">
        <v>2819</v>
      </c>
    </row>
    <row r="1258" customFormat="false" ht="15" hidden="false" customHeight="false" outlineLevel="0" collapsed="false">
      <c r="A1258" s="9"/>
      <c r="B1258" s="2" t="s">
        <v>2820</v>
      </c>
      <c r="C1258" s="2" t="s">
        <v>2821</v>
      </c>
      <c r="D1258" s="2" t="s">
        <v>2460</v>
      </c>
      <c r="E1258" s="2" t="s">
        <v>51</v>
      </c>
      <c r="F1258" s="2"/>
      <c r="G1258" s="2" t="s">
        <v>2461</v>
      </c>
      <c r="H1258" s="8" t="n">
        <v>252.712359963778</v>
      </c>
      <c r="I1258" s="2" t="s">
        <v>316</v>
      </c>
      <c r="J1258" s="8" t="n">
        <v>362483.333333333</v>
      </c>
      <c r="K1258" s="6" t="n">
        <v>36</v>
      </c>
      <c r="L1258" s="2"/>
      <c r="M1258" s="10" t="b">
        <f aca="false">TRUE()</f>
        <v>1</v>
      </c>
      <c r="N1258" s="9" t="str">
        <f aca="false">IF(H1258="","",IF(H1258&gt;=Assumptions!$B$5,1,IF(H1258&gt;=Assumptions!$B$6,2,IF(H1258&gt;=Assumptions!$B$7,3,""))))</f>
        <v/>
      </c>
      <c r="O1258" s="9" t="n">
        <f aca="false">IF(N1258=1,Assumptions!$B$8,IF(N1258=2,Assumptions!$B$9,IF(N1258=3,Assumptions!$B$10,0)))</f>
        <v>0</v>
      </c>
      <c r="P1258" s="6" t="s">
        <v>30</v>
      </c>
      <c r="Q1258" s="6" t="s">
        <v>30</v>
      </c>
      <c r="R1258" s="11" t="s">
        <v>30</v>
      </c>
      <c r="S1258" s="6" t="s">
        <v>30</v>
      </c>
      <c r="T1258" s="11" t="s">
        <v>30</v>
      </c>
      <c r="U1258" s="6" t="s">
        <v>30</v>
      </c>
      <c r="V1258" s="6" t="s">
        <v>30</v>
      </c>
      <c r="W1258" s="6" t="s">
        <v>30</v>
      </c>
      <c r="X1258" s="2" t="s">
        <v>30</v>
      </c>
      <c r="Y1258" s="6" t="str">
        <f aca="false">IF(AND(X1258="processed",ISNUMBER(S1258)),S1258*O1258,"")</f>
        <v/>
      </c>
      <c r="Z1258" s="6" t="n">
        <f aca="false">IF(ISNUMBER(K1258),K1258*O1258,0)</f>
        <v>0</v>
      </c>
      <c r="AA1258" s="2" t="s">
        <v>31</v>
      </c>
      <c r="AB1258" s="6" t="n">
        <v>5073</v>
      </c>
      <c r="AC1258" s="6" t="n">
        <v>4076</v>
      </c>
      <c r="AD1258" s="6" t="n">
        <v>2834</v>
      </c>
      <c r="AE1258" s="6" t="n">
        <v>2135.9892578125</v>
      </c>
      <c r="AF1258" s="8" t="n">
        <v>262.806889712</v>
      </c>
      <c r="AG1258" s="11" t="n">
        <v>0.007990613595</v>
      </c>
      <c r="AH1258" s="12" t="n">
        <v>0.999999999999999</v>
      </c>
      <c r="AI1258" s="2" t="s">
        <v>317</v>
      </c>
      <c r="AJ1258" s="2" t="s">
        <v>2821</v>
      </c>
      <c r="AK1258" s="2" t="s">
        <v>2821</v>
      </c>
    </row>
    <row r="1259" customFormat="false" ht="15" hidden="false" customHeight="false" outlineLevel="0" collapsed="false">
      <c r="A1259" s="9"/>
      <c r="B1259" s="2" t="s">
        <v>2822</v>
      </c>
      <c r="C1259" s="2" t="s">
        <v>2460</v>
      </c>
      <c r="D1259" s="2" t="s">
        <v>2460</v>
      </c>
      <c r="E1259" s="2" t="s">
        <v>51</v>
      </c>
      <c r="F1259" s="2"/>
      <c r="G1259" s="2" t="s">
        <v>2461</v>
      </c>
      <c r="H1259" s="8" t="n">
        <v>254.205836920318</v>
      </c>
      <c r="I1259" s="2" t="s">
        <v>316</v>
      </c>
      <c r="J1259" s="8" t="n">
        <v>307850</v>
      </c>
      <c r="K1259" s="6" t="n">
        <v>22</v>
      </c>
      <c r="L1259" s="2"/>
      <c r="M1259" s="10" t="b">
        <f aca="false">TRUE()</f>
        <v>1</v>
      </c>
      <c r="N1259" s="9" t="str">
        <f aca="false">IF(H1259="","",IF(H1259&gt;=Assumptions!$B$5,1,IF(H1259&gt;=Assumptions!$B$6,2,IF(H1259&gt;=Assumptions!$B$7,3,""))))</f>
        <v/>
      </c>
      <c r="O1259" s="9" t="n">
        <f aca="false">IF(N1259=1,Assumptions!$B$8,IF(N1259=2,Assumptions!$B$9,IF(N1259=3,Assumptions!$B$10,0)))</f>
        <v>0</v>
      </c>
      <c r="P1259" s="6" t="s">
        <v>30</v>
      </c>
      <c r="Q1259" s="6" t="s">
        <v>30</v>
      </c>
      <c r="R1259" s="11" t="s">
        <v>30</v>
      </c>
      <c r="S1259" s="6" t="s">
        <v>30</v>
      </c>
      <c r="T1259" s="11" t="s">
        <v>30</v>
      </c>
      <c r="U1259" s="6" t="s">
        <v>30</v>
      </c>
      <c r="V1259" s="6" t="s">
        <v>30</v>
      </c>
      <c r="W1259" s="6" t="s">
        <v>30</v>
      </c>
      <c r="X1259" s="2" t="s">
        <v>30</v>
      </c>
      <c r="Y1259" s="6" t="str">
        <f aca="false">IF(AND(X1259="processed",ISNUMBER(S1259)),S1259*O1259,"")</f>
        <v/>
      </c>
      <c r="Z1259" s="6" t="n">
        <f aca="false">IF(ISNUMBER(K1259),K1259*O1259,0)</f>
        <v>0</v>
      </c>
      <c r="AA1259" s="2" t="s">
        <v>31</v>
      </c>
      <c r="AB1259" s="6" t="n">
        <v>1458</v>
      </c>
      <c r="AC1259" s="6" t="n">
        <v>1271</v>
      </c>
      <c r="AD1259" s="6" t="n">
        <v>1323</v>
      </c>
      <c r="AE1259" s="6" t="n">
        <v>1936.3369140625</v>
      </c>
      <c r="AF1259" s="8" t="n">
        <v>222.938635497</v>
      </c>
      <c r="AG1259" s="11" t="n">
        <v>-0.2220210375</v>
      </c>
      <c r="AH1259" s="12" t="n">
        <v>1</v>
      </c>
      <c r="AI1259" s="2" t="s">
        <v>317</v>
      </c>
      <c r="AJ1259" s="2" t="s">
        <v>2460</v>
      </c>
      <c r="AK1259" s="2" t="s">
        <v>2460</v>
      </c>
    </row>
    <row r="1260" customFormat="false" ht="15" hidden="false" customHeight="false" outlineLevel="0" collapsed="false">
      <c r="A1260" s="9"/>
      <c r="B1260" s="2" t="s">
        <v>2823</v>
      </c>
      <c r="C1260" s="2" t="s">
        <v>2824</v>
      </c>
      <c r="D1260" s="2" t="s">
        <v>2460</v>
      </c>
      <c r="E1260" s="2" t="s">
        <v>51</v>
      </c>
      <c r="F1260" s="2"/>
      <c r="G1260" s="2" t="s">
        <v>2461</v>
      </c>
      <c r="H1260" s="8" t="n">
        <v>271.448260942333</v>
      </c>
      <c r="I1260" s="2" t="s">
        <v>316</v>
      </c>
      <c r="J1260" s="8" t="n">
        <v>672333.333333333</v>
      </c>
      <c r="K1260" s="6" t="n">
        <v>15</v>
      </c>
      <c r="L1260" s="2"/>
      <c r="M1260" s="10" t="b">
        <f aca="false">TRUE()</f>
        <v>1</v>
      </c>
      <c r="N1260" s="9" t="str">
        <f aca="false">IF(H1260="","",IF(H1260&gt;=Assumptions!$B$5,1,IF(H1260&gt;=Assumptions!$B$6,2,IF(H1260&gt;=Assumptions!$B$7,3,""))))</f>
        <v/>
      </c>
      <c r="O1260" s="9" t="n">
        <f aca="false">IF(N1260=1,Assumptions!$B$8,IF(N1260=2,Assumptions!$B$9,IF(N1260=3,Assumptions!$B$10,0)))</f>
        <v>0</v>
      </c>
      <c r="P1260" s="6" t="s">
        <v>30</v>
      </c>
      <c r="Q1260" s="6" t="s">
        <v>30</v>
      </c>
      <c r="R1260" s="11" t="s">
        <v>30</v>
      </c>
      <c r="S1260" s="6" t="s">
        <v>30</v>
      </c>
      <c r="T1260" s="11" t="s">
        <v>30</v>
      </c>
      <c r="U1260" s="6" t="s">
        <v>30</v>
      </c>
      <c r="V1260" s="6" t="s">
        <v>30</v>
      </c>
      <c r="W1260" s="6" t="s">
        <v>30</v>
      </c>
      <c r="X1260" s="2" t="s">
        <v>30</v>
      </c>
      <c r="Y1260" s="6" t="str">
        <f aca="false">IF(AND(X1260="processed",ISNUMBER(S1260)),S1260*O1260,"")</f>
        <v/>
      </c>
      <c r="Z1260" s="6" t="n">
        <f aca="false">IF(ISNUMBER(K1260),K1260*O1260,0)</f>
        <v>0</v>
      </c>
      <c r="AA1260" s="2" t="s">
        <v>31</v>
      </c>
      <c r="AB1260" s="6" t="n">
        <v>1375</v>
      </c>
      <c r="AC1260" s="6" t="n">
        <v>1127</v>
      </c>
      <c r="AD1260" s="6" t="n">
        <v>1336</v>
      </c>
      <c r="AE1260" s="6" t="n">
        <v>2140.69018554688</v>
      </c>
      <c r="AF1260" s="8" t="n">
        <v>294.119458128</v>
      </c>
      <c r="AG1260" s="11" t="n">
        <v>0.1754974343</v>
      </c>
      <c r="AH1260" s="12" t="n">
        <v>0.999999999999998</v>
      </c>
      <c r="AI1260" s="2" t="s">
        <v>317</v>
      </c>
      <c r="AJ1260" s="2" t="s">
        <v>2824</v>
      </c>
      <c r="AK1260" s="2" t="s">
        <v>2824</v>
      </c>
    </row>
    <row r="1261" customFormat="false" ht="15" hidden="false" customHeight="false" outlineLevel="0" collapsed="false">
      <c r="A1261" s="9"/>
      <c r="B1261" s="2" t="s">
        <v>2825</v>
      </c>
      <c r="C1261" s="2" t="s">
        <v>2826</v>
      </c>
      <c r="D1261" s="2" t="s">
        <v>2460</v>
      </c>
      <c r="E1261" s="2" t="s">
        <v>51</v>
      </c>
      <c r="F1261" s="2"/>
      <c r="G1261" s="2" t="s">
        <v>2461</v>
      </c>
      <c r="H1261" s="8" t="n">
        <v>189.352360044</v>
      </c>
      <c r="I1261" s="2" t="s">
        <v>316</v>
      </c>
      <c r="J1261" s="8" t="n">
        <v>345000</v>
      </c>
      <c r="K1261" s="6" t="n">
        <v>1</v>
      </c>
      <c r="L1261" s="2" t="s">
        <v>1664</v>
      </c>
      <c r="M1261" s="10" t="b">
        <f aca="false">TRUE()</f>
        <v>1</v>
      </c>
      <c r="N1261" s="9" t="str">
        <f aca="false">IF(H1261="","",IF(H1261&gt;=Assumptions!$B$5,1,IF(H1261&gt;=Assumptions!$B$6,2,IF(H1261&gt;=Assumptions!$B$7,3,""))))</f>
        <v/>
      </c>
      <c r="O1261" s="9" t="n">
        <f aca="false">IF(N1261=1,Assumptions!$B$8,IF(N1261=2,Assumptions!$B$9,IF(N1261=3,Assumptions!$B$10,0)))</f>
        <v>0</v>
      </c>
      <c r="P1261" s="6" t="s">
        <v>30</v>
      </c>
      <c r="Q1261" s="6" t="s">
        <v>30</v>
      </c>
      <c r="R1261" s="11" t="s">
        <v>30</v>
      </c>
      <c r="S1261" s="6" t="s">
        <v>30</v>
      </c>
      <c r="T1261" s="11" t="s">
        <v>30</v>
      </c>
      <c r="U1261" s="6" t="s">
        <v>30</v>
      </c>
      <c r="V1261" s="6" t="s">
        <v>30</v>
      </c>
      <c r="W1261" s="6" t="s">
        <v>30</v>
      </c>
      <c r="X1261" s="2" t="s">
        <v>30</v>
      </c>
      <c r="Y1261" s="6" t="str">
        <f aca="false">IF(AND(X1261="processed",ISNUMBER(S1261)),S1261*O1261,"")</f>
        <v/>
      </c>
      <c r="Z1261" s="6" t="n">
        <f aca="false">IF(ISNUMBER(K1261),K1261*O1261,0)</f>
        <v>0</v>
      </c>
      <c r="AA1261" s="2" t="s">
        <v>31</v>
      </c>
      <c r="AB1261" s="6" t="n">
        <v>208</v>
      </c>
      <c r="AC1261" s="6" t="n">
        <v>176</v>
      </c>
      <c r="AD1261" s="6" t="n">
        <v>203</v>
      </c>
      <c r="AE1261" s="6" t="n">
        <v>1741.83044433594</v>
      </c>
      <c r="AF1261" s="8" t="n">
        <v>189.352360044</v>
      </c>
      <c r="AG1261" s="11"/>
      <c r="AH1261" s="12" t="n">
        <v>1</v>
      </c>
      <c r="AI1261" s="2" t="s">
        <v>317</v>
      </c>
      <c r="AJ1261" s="2" t="s">
        <v>2826</v>
      </c>
      <c r="AK1261" s="2" t="s">
        <v>2826</v>
      </c>
    </row>
    <row r="1262" customFormat="false" ht="15" hidden="false" customHeight="false" outlineLevel="0" collapsed="false">
      <c r="A1262" s="9"/>
      <c r="B1262" s="2" t="s">
        <v>2827</v>
      </c>
      <c r="C1262" s="2" t="s">
        <v>2828</v>
      </c>
      <c r="D1262" s="2" t="s">
        <v>2724</v>
      </c>
      <c r="E1262" s="2" t="s">
        <v>51</v>
      </c>
      <c r="F1262" s="2"/>
      <c r="G1262" s="2" t="s">
        <v>2725</v>
      </c>
      <c r="H1262" s="8" t="n">
        <v>244.575964436143</v>
      </c>
      <c r="I1262" s="2" t="s">
        <v>316</v>
      </c>
      <c r="J1262" s="8" t="n">
        <v>490285.714285714</v>
      </c>
      <c r="K1262" s="6" t="n">
        <v>7</v>
      </c>
      <c r="L1262" s="2"/>
      <c r="M1262" s="10" t="b">
        <f aca="false">TRUE()</f>
        <v>1</v>
      </c>
      <c r="N1262" s="9" t="str">
        <f aca="false">IF(H1262="","",IF(H1262&gt;=Assumptions!$B$5,1,IF(H1262&gt;=Assumptions!$B$6,2,IF(H1262&gt;=Assumptions!$B$7,3,""))))</f>
        <v/>
      </c>
      <c r="O1262" s="9" t="n">
        <f aca="false">IF(N1262=1,Assumptions!$B$8,IF(N1262=2,Assumptions!$B$9,IF(N1262=3,Assumptions!$B$10,0)))</f>
        <v>0</v>
      </c>
      <c r="P1262" s="6" t="s">
        <v>30</v>
      </c>
      <c r="Q1262" s="6" t="s">
        <v>30</v>
      </c>
      <c r="R1262" s="11" t="s">
        <v>30</v>
      </c>
      <c r="S1262" s="6" t="s">
        <v>30</v>
      </c>
      <c r="T1262" s="11" t="s">
        <v>30</v>
      </c>
      <c r="U1262" s="6" t="s">
        <v>30</v>
      </c>
      <c r="V1262" s="6" t="s">
        <v>30</v>
      </c>
      <c r="W1262" s="6" t="s">
        <v>30</v>
      </c>
      <c r="X1262" s="2" t="s">
        <v>30</v>
      </c>
      <c r="Y1262" s="6" t="str">
        <f aca="false">IF(AND(X1262="processed",ISNUMBER(S1262)),S1262*O1262,"")</f>
        <v/>
      </c>
      <c r="Z1262" s="6" t="n">
        <f aca="false">IF(ISNUMBER(K1262),K1262*O1262,0)</f>
        <v>0</v>
      </c>
      <c r="AA1262" s="2" t="s">
        <v>31</v>
      </c>
      <c r="AB1262" s="6" t="n">
        <v>1411</v>
      </c>
      <c r="AC1262" s="6" t="n">
        <v>1142</v>
      </c>
      <c r="AD1262" s="6" t="n">
        <v>1404</v>
      </c>
      <c r="AE1262" s="6" t="n">
        <v>1784.56811523438</v>
      </c>
      <c r="AF1262" s="8" t="n">
        <v>228.922091782</v>
      </c>
      <c r="AG1262" s="11" t="n">
        <v>-0.136832412</v>
      </c>
      <c r="AH1262" s="12" t="n">
        <v>0.583074669737215</v>
      </c>
      <c r="AI1262" s="2" t="s">
        <v>317</v>
      </c>
      <c r="AJ1262" s="2" t="s">
        <v>2828</v>
      </c>
      <c r="AK1262" s="2" t="s">
        <v>2828</v>
      </c>
    </row>
    <row r="1263" customFormat="false" ht="15" hidden="false" customHeight="false" outlineLevel="0" collapsed="false">
      <c r="A1263" s="9"/>
      <c r="B1263" s="2" t="s">
        <v>2829</v>
      </c>
      <c r="C1263" s="2" t="s">
        <v>2830</v>
      </c>
      <c r="D1263" s="2" t="s">
        <v>2460</v>
      </c>
      <c r="E1263" s="2" t="s">
        <v>51</v>
      </c>
      <c r="F1263" s="2"/>
      <c r="G1263" s="2" t="s">
        <v>2461</v>
      </c>
      <c r="H1263" s="8" t="n">
        <v>240.99787111301</v>
      </c>
      <c r="I1263" s="2" t="s">
        <v>316</v>
      </c>
      <c r="J1263" s="8" t="n">
        <v>407539.603960396</v>
      </c>
      <c r="K1263" s="6" t="n">
        <v>101</v>
      </c>
      <c r="L1263" s="2"/>
      <c r="M1263" s="10" t="b">
        <f aca="false">TRUE()</f>
        <v>1</v>
      </c>
      <c r="N1263" s="9" t="str">
        <f aca="false">IF(H1263="","",IF(H1263&gt;=Assumptions!$B$5,1,IF(H1263&gt;=Assumptions!$B$6,2,IF(H1263&gt;=Assumptions!$B$7,3,""))))</f>
        <v/>
      </c>
      <c r="O1263" s="9" t="n">
        <f aca="false">IF(N1263=1,Assumptions!$B$8,IF(N1263=2,Assumptions!$B$9,IF(N1263=3,Assumptions!$B$10,0)))</f>
        <v>0</v>
      </c>
      <c r="P1263" s="6" t="s">
        <v>30</v>
      </c>
      <c r="Q1263" s="6" t="s">
        <v>30</v>
      </c>
      <c r="R1263" s="11" t="s">
        <v>30</v>
      </c>
      <c r="S1263" s="6" t="s">
        <v>30</v>
      </c>
      <c r="T1263" s="11" t="s">
        <v>30</v>
      </c>
      <c r="U1263" s="6" t="s">
        <v>30</v>
      </c>
      <c r="V1263" s="6" t="s">
        <v>30</v>
      </c>
      <c r="W1263" s="6" t="s">
        <v>30</v>
      </c>
      <c r="X1263" s="2" t="s">
        <v>30</v>
      </c>
      <c r="Y1263" s="6" t="str">
        <f aca="false">IF(AND(X1263="processed",ISNUMBER(S1263)),S1263*O1263,"")</f>
        <v/>
      </c>
      <c r="Z1263" s="6" t="n">
        <f aca="false">IF(ISNUMBER(K1263),K1263*O1263,0)</f>
        <v>0</v>
      </c>
      <c r="AA1263" s="2" t="s">
        <v>31</v>
      </c>
      <c r="AB1263" s="6" t="n">
        <v>12036</v>
      </c>
      <c r="AC1263" s="6" t="n">
        <v>10398</v>
      </c>
      <c r="AD1263" s="6" t="n">
        <v>9462</v>
      </c>
      <c r="AE1263" s="6" t="n">
        <v>2360.8046875</v>
      </c>
      <c r="AF1263" s="8" t="n">
        <v>259.891821816</v>
      </c>
      <c r="AG1263" s="11" t="n">
        <v>0.07351614606</v>
      </c>
      <c r="AH1263" s="12" t="n">
        <v>0.910187936455307</v>
      </c>
      <c r="AI1263" s="2" t="s">
        <v>317</v>
      </c>
      <c r="AJ1263" s="2" t="s">
        <v>2830</v>
      </c>
      <c r="AK1263" s="2" t="s">
        <v>2830</v>
      </c>
    </row>
    <row r="1264" customFormat="false" ht="15" hidden="false" customHeight="false" outlineLevel="0" collapsed="false">
      <c r="A1264" s="9"/>
      <c r="B1264" s="2" t="s">
        <v>2831</v>
      </c>
      <c r="C1264" s="2" t="s">
        <v>2832</v>
      </c>
      <c r="D1264" s="2" t="s">
        <v>2460</v>
      </c>
      <c r="E1264" s="2" t="s">
        <v>51</v>
      </c>
      <c r="F1264" s="2"/>
      <c r="G1264" s="2" t="s">
        <v>2461</v>
      </c>
      <c r="H1264" s="8" t="n">
        <v>259.717760197409</v>
      </c>
      <c r="I1264" s="2" t="s">
        <v>316</v>
      </c>
      <c r="J1264" s="8" t="n">
        <v>328818.181818182</v>
      </c>
      <c r="K1264" s="6" t="n">
        <v>22</v>
      </c>
      <c r="L1264" s="2"/>
      <c r="M1264" s="10" t="b">
        <f aca="false">TRUE()</f>
        <v>1</v>
      </c>
      <c r="N1264" s="9" t="str">
        <f aca="false">IF(H1264="","",IF(H1264&gt;=Assumptions!$B$5,1,IF(H1264&gt;=Assumptions!$B$6,2,IF(H1264&gt;=Assumptions!$B$7,3,""))))</f>
        <v/>
      </c>
      <c r="O1264" s="9" t="n">
        <f aca="false">IF(N1264=1,Assumptions!$B$8,IF(N1264=2,Assumptions!$B$9,IF(N1264=3,Assumptions!$B$10,0)))</f>
        <v>0</v>
      </c>
      <c r="P1264" s="6" t="s">
        <v>30</v>
      </c>
      <c r="Q1264" s="6" t="s">
        <v>30</v>
      </c>
      <c r="R1264" s="11" t="s">
        <v>30</v>
      </c>
      <c r="S1264" s="6" t="s">
        <v>30</v>
      </c>
      <c r="T1264" s="11" t="s">
        <v>30</v>
      </c>
      <c r="U1264" s="6" t="s">
        <v>30</v>
      </c>
      <c r="V1264" s="6" t="s">
        <v>30</v>
      </c>
      <c r="W1264" s="6" t="s">
        <v>30</v>
      </c>
      <c r="X1264" s="2" t="s">
        <v>30</v>
      </c>
      <c r="Y1264" s="6" t="str">
        <f aca="false">IF(AND(X1264="processed",ISNUMBER(S1264)),S1264*O1264,"")</f>
        <v/>
      </c>
      <c r="Z1264" s="6" t="n">
        <f aca="false">IF(ISNUMBER(K1264),K1264*O1264,0)</f>
        <v>0</v>
      </c>
      <c r="AA1264" s="2" t="s">
        <v>31</v>
      </c>
      <c r="AB1264" s="6" t="n">
        <v>3786</v>
      </c>
      <c r="AC1264" s="6" t="n">
        <v>2944</v>
      </c>
      <c r="AD1264" s="6" t="n">
        <v>3741</v>
      </c>
      <c r="AE1264" s="6" t="n">
        <v>2047.92993164063</v>
      </c>
      <c r="AF1264" s="8" t="n">
        <v>271.739130435</v>
      </c>
      <c r="AG1264" s="11" t="n">
        <v>0.6091263895</v>
      </c>
      <c r="AH1264" s="12" t="n">
        <v>0.919877007929425</v>
      </c>
      <c r="AI1264" s="2" t="s">
        <v>321</v>
      </c>
      <c r="AJ1264" s="2" t="s">
        <v>2832</v>
      </c>
      <c r="AK1264" s="2" t="s">
        <v>2833</v>
      </c>
    </row>
    <row r="1265" customFormat="false" ht="15" hidden="false" customHeight="false" outlineLevel="0" collapsed="false">
      <c r="A1265" s="9"/>
      <c r="B1265" s="2" t="s">
        <v>2834</v>
      </c>
      <c r="C1265" s="2" t="s">
        <v>2835</v>
      </c>
      <c r="D1265" s="2" t="s">
        <v>2460</v>
      </c>
      <c r="E1265" s="2" t="s">
        <v>51</v>
      </c>
      <c r="F1265" s="2"/>
      <c r="G1265" s="2" t="s">
        <v>2461</v>
      </c>
      <c r="H1265" s="8" t="n">
        <v>255.035815440846</v>
      </c>
      <c r="I1265" s="2" t="s">
        <v>316</v>
      </c>
      <c r="J1265" s="8" t="n">
        <v>433142.553191489</v>
      </c>
      <c r="K1265" s="6" t="n">
        <v>188</v>
      </c>
      <c r="L1265" s="2"/>
      <c r="M1265" s="10" t="b">
        <f aca="false">TRUE()</f>
        <v>1</v>
      </c>
      <c r="N1265" s="9" t="str">
        <f aca="false">IF(H1265="","",IF(H1265&gt;=Assumptions!$B$5,1,IF(H1265&gt;=Assumptions!$B$6,2,IF(H1265&gt;=Assumptions!$B$7,3,""))))</f>
        <v/>
      </c>
      <c r="O1265" s="9" t="n">
        <f aca="false">IF(N1265=1,Assumptions!$B$8,IF(N1265=2,Assumptions!$B$9,IF(N1265=3,Assumptions!$B$10,0)))</f>
        <v>0</v>
      </c>
      <c r="P1265" s="6" t="s">
        <v>30</v>
      </c>
      <c r="Q1265" s="6" t="s">
        <v>30</v>
      </c>
      <c r="R1265" s="11" t="s">
        <v>30</v>
      </c>
      <c r="S1265" s="6" t="s">
        <v>30</v>
      </c>
      <c r="T1265" s="11" t="s">
        <v>30</v>
      </c>
      <c r="U1265" s="6" t="s">
        <v>30</v>
      </c>
      <c r="V1265" s="6" t="s">
        <v>30</v>
      </c>
      <c r="W1265" s="6" t="s">
        <v>30</v>
      </c>
      <c r="X1265" s="2" t="s">
        <v>30</v>
      </c>
      <c r="Y1265" s="6" t="str">
        <f aca="false">IF(AND(X1265="processed",ISNUMBER(S1265)),S1265*O1265,"")</f>
        <v/>
      </c>
      <c r="Z1265" s="6" t="n">
        <f aca="false">IF(ISNUMBER(K1265),K1265*O1265,0)</f>
        <v>0</v>
      </c>
      <c r="AA1265" s="2" t="s">
        <v>31</v>
      </c>
      <c r="AB1265" s="6" t="n">
        <v>17251</v>
      </c>
      <c r="AC1265" s="6" t="n">
        <v>14942</v>
      </c>
      <c r="AD1265" s="6" t="n">
        <v>16789</v>
      </c>
      <c r="AE1265" s="6" t="n">
        <v>2307.8017578125</v>
      </c>
      <c r="AF1265" s="8" t="n">
        <v>250.788033757</v>
      </c>
      <c r="AG1265" s="11" t="n">
        <v>-0.07015124957</v>
      </c>
      <c r="AH1265" s="12" t="n">
        <v>0.999999999999999</v>
      </c>
      <c r="AI1265" s="2" t="s">
        <v>317</v>
      </c>
      <c r="AJ1265" s="2" t="s">
        <v>2835</v>
      </c>
      <c r="AK1265" s="2" t="s">
        <v>2835</v>
      </c>
    </row>
    <row r="1266" customFormat="false" ht="15" hidden="false" customHeight="false" outlineLevel="0" collapsed="false">
      <c r="A1266" s="9"/>
      <c r="B1266" s="2" t="s">
        <v>2836</v>
      </c>
      <c r="C1266" s="2" t="s">
        <v>2837</v>
      </c>
      <c r="D1266" s="2" t="s">
        <v>2460</v>
      </c>
      <c r="E1266" s="2" t="s">
        <v>51</v>
      </c>
      <c r="F1266" s="2"/>
      <c r="G1266" s="2" t="s">
        <v>2461</v>
      </c>
      <c r="H1266" s="8" t="n">
        <v>254.43334865025</v>
      </c>
      <c r="I1266" s="2" t="s">
        <v>316</v>
      </c>
      <c r="J1266" s="8" t="n">
        <v>314375</v>
      </c>
      <c r="K1266" s="6" t="n">
        <v>4</v>
      </c>
      <c r="L1266" s="2" t="s">
        <v>1664</v>
      </c>
      <c r="M1266" s="10" t="b">
        <f aca="false">TRUE()</f>
        <v>1</v>
      </c>
      <c r="N1266" s="9" t="str">
        <f aca="false">IF(H1266="","",IF(H1266&gt;=Assumptions!$B$5,1,IF(H1266&gt;=Assumptions!$B$6,2,IF(H1266&gt;=Assumptions!$B$7,3,""))))</f>
        <v/>
      </c>
      <c r="O1266" s="9" t="n">
        <f aca="false">IF(N1266=1,Assumptions!$B$8,IF(N1266=2,Assumptions!$B$9,IF(N1266=3,Assumptions!$B$10,0)))</f>
        <v>0</v>
      </c>
      <c r="P1266" s="6" t="s">
        <v>30</v>
      </c>
      <c r="Q1266" s="6" t="s">
        <v>30</v>
      </c>
      <c r="R1266" s="11" t="s">
        <v>30</v>
      </c>
      <c r="S1266" s="6" t="s">
        <v>30</v>
      </c>
      <c r="T1266" s="11" t="s">
        <v>30</v>
      </c>
      <c r="U1266" s="6" t="s">
        <v>30</v>
      </c>
      <c r="V1266" s="6" t="s">
        <v>30</v>
      </c>
      <c r="W1266" s="6" t="s">
        <v>30</v>
      </c>
      <c r="X1266" s="2" t="s">
        <v>30</v>
      </c>
      <c r="Y1266" s="6" t="str">
        <f aca="false">IF(AND(X1266="processed",ISNUMBER(S1266)),S1266*O1266,"")</f>
        <v/>
      </c>
      <c r="Z1266" s="6" t="n">
        <f aca="false">IF(ISNUMBER(K1266),K1266*O1266,0)</f>
        <v>0</v>
      </c>
      <c r="AA1266" s="2" t="s">
        <v>31</v>
      </c>
      <c r="AB1266" s="6" t="n">
        <v>1461</v>
      </c>
      <c r="AC1266" s="6" t="n">
        <v>1216</v>
      </c>
      <c r="AD1266" s="6" t="n">
        <v>1427</v>
      </c>
      <c r="AE1266" s="6" t="n">
        <v>2089.34619140625</v>
      </c>
      <c r="AF1266" s="8" t="n">
        <v>208.89387145</v>
      </c>
      <c r="AG1266" s="11" t="n">
        <v>-0.218514994</v>
      </c>
      <c r="AH1266" s="12" t="n">
        <v>0.999999999999996</v>
      </c>
      <c r="AI1266" s="2" t="s">
        <v>317</v>
      </c>
      <c r="AJ1266" s="2" t="s">
        <v>2837</v>
      </c>
      <c r="AK1266" s="2" t="s">
        <v>2837</v>
      </c>
    </row>
    <row r="1267" customFormat="false" ht="15" hidden="false" customHeight="false" outlineLevel="0" collapsed="false">
      <c r="A1267" s="9"/>
      <c r="B1267" s="2" t="s">
        <v>2838</v>
      </c>
      <c r="C1267" s="2" t="s">
        <v>2839</v>
      </c>
      <c r="D1267" s="2" t="s">
        <v>2460</v>
      </c>
      <c r="E1267" s="2" t="s">
        <v>51</v>
      </c>
      <c r="F1267" s="2"/>
      <c r="G1267" s="2" t="s">
        <v>2461</v>
      </c>
      <c r="H1267" s="8" t="n">
        <v>254.15007205399</v>
      </c>
      <c r="I1267" s="2" t="s">
        <v>316</v>
      </c>
      <c r="J1267" s="8" t="n">
        <v>372565.656565657</v>
      </c>
      <c r="K1267" s="6" t="n">
        <v>99</v>
      </c>
      <c r="L1267" s="2"/>
      <c r="M1267" s="10" t="b">
        <f aca="false">TRUE()</f>
        <v>1</v>
      </c>
      <c r="N1267" s="9" t="str">
        <f aca="false">IF(H1267="","",IF(H1267&gt;=Assumptions!$B$5,1,IF(H1267&gt;=Assumptions!$B$6,2,IF(H1267&gt;=Assumptions!$B$7,3,""))))</f>
        <v/>
      </c>
      <c r="O1267" s="9" t="n">
        <f aca="false">IF(N1267=1,Assumptions!$B$8,IF(N1267=2,Assumptions!$B$9,IF(N1267=3,Assumptions!$B$10,0)))</f>
        <v>0</v>
      </c>
      <c r="P1267" s="6" t="s">
        <v>30</v>
      </c>
      <c r="Q1267" s="6" t="s">
        <v>30</v>
      </c>
      <c r="R1267" s="11" t="s">
        <v>30</v>
      </c>
      <c r="S1267" s="6" t="s">
        <v>30</v>
      </c>
      <c r="T1267" s="11" t="s">
        <v>30</v>
      </c>
      <c r="U1267" s="6" t="s">
        <v>30</v>
      </c>
      <c r="V1267" s="6" t="s">
        <v>30</v>
      </c>
      <c r="W1267" s="6" t="s">
        <v>30</v>
      </c>
      <c r="X1267" s="2" t="s">
        <v>30</v>
      </c>
      <c r="Y1267" s="6" t="str">
        <f aca="false">IF(AND(X1267="processed",ISNUMBER(S1267)),S1267*O1267,"")</f>
        <v/>
      </c>
      <c r="Z1267" s="6" t="n">
        <f aca="false">IF(ISNUMBER(K1267),K1267*O1267,0)</f>
        <v>0</v>
      </c>
      <c r="AA1267" s="2" t="s">
        <v>31</v>
      </c>
      <c r="AB1267" s="6" t="n">
        <v>11437</v>
      </c>
      <c r="AC1267" s="6" t="n">
        <v>10000</v>
      </c>
      <c r="AD1267" s="6" t="n">
        <v>8091</v>
      </c>
      <c r="AE1267" s="6" t="n">
        <v>2222.21826171875</v>
      </c>
      <c r="AF1267" s="8" t="n">
        <v>247.647058824</v>
      </c>
      <c r="AG1267" s="11" t="n">
        <v>-0.01522166638</v>
      </c>
      <c r="AH1267" s="12" t="n">
        <v>0.999852896936806</v>
      </c>
      <c r="AI1267" s="2" t="s">
        <v>317</v>
      </c>
      <c r="AJ1267" s="2" t="s">
        <v>2839</v>
      </c>
      <c r="AK1267" s="2" t="s">
        <v>2839</v>
      </c>
    </row>
    <row r="1268" customFormat="false" ht="15" hidden="false" customHeight="false" outlineLevel="0" collapsed="false">
      <c r="A1268" s="9"/>
      <c r="B1268" s="2" t="s">
        <v>2840</v>
      </c>
      <c r="C1268" s="2" t="s">
        <v>2841</v>
      </c>
      <c r="D1268" s="2" t="s">
        <v>2460</v>
      </c>
      <c r="E1268" s="2" t="s">
        <v>51</v>
      </c>
      <c r="F1268" s="2"/>
      <c r="G1268" s="2" t="s">
        <v>2461</v>
      </c>
      <c r="H1268" s="8" t="n">
        <v>364.545177974263</v>
      </c>
      <c r="I1268" s="2" t="s">
        <v>316</v>
      </c>
      <c r="J1268" s="8" t="n">
        <v>676444.444444445</v>
      </c>
      <c r="K1268" s="6" t="n">
        <v>99</v>
      </c>
      <c r="L1268" s="2"/>
      <c r="M1268" s="10" t="b">
        <f aca="false">TRUE()</f>
        <v>1</v>
      </c>
      <c r="N1268" s="9" t="str">
        <f aca="false">IF(H1268="","",IF(H1268&gt;=Assumptions!$B$5,1,IF(H1268&gt;=Assumptions!$B$6,2,IF(H1268&gt;=Assumptions!$B$7,3,""))))</f>
        <v/>
      </c>
      <c r="O1268" s="9" t="n">
        <f aca="false">IF(N1268=1,Assumptions!$B$8,IF(N1268=2,Assumptions!$B$9,IF(N1268=3,Assumptions!$B$10,0)))</f>
        <v>0</v>
      </c>
      <c r="P1268" s="6" t="s">
        <v>30</v>
      </c>
      <c r="Q1268" s="6" t="s">
        <v>30</v>
      </c>
      <c r="R1268" s="11" t="s">
        <v>30</v>
      </c>
      <c r="S1268" s="6" t="s">
        <v>30</v>
      </c>
      <c r="T1268" s="11" t="s">
        <v>30</v>
      </c>
      <c r="U1268" s="6" t="s">
        <v>30</v>
      </c>
      <c r="V1268" s="6" t="s">
        <v>30</v>
      </c>
      <c r="W1268" s="6" t="s">
        <v>30</v>
      </c>
      <c r="X1268" s="2" t="s">
        <v>30</v>
      </c>
      <c r="Y1268" s="6" t="str">
        <f aca="false">IF(AND(X1268="processed",ISNUMBER(S1268)),S1268*O1268,"")</f>
        <v/>
      </c>
      <c r="Z1268" s="6" t="n">
        <f aca="false">IF(ISNUMBER(K1268),K1268*O1268,0)</f>
        <v>0</v>
      </c>
      <c r="AA1268" s="2" t="s">
        <v>31</v>
      </c>
      <c r="AB1268" s="6" t="n">
        <v>2150</v>
      </c>
      <c r="AC1268" s="6" t="n">
        <v>1840</v>
      </c>
      <c r="AD1268" s="6" t="n">
        <v>1549</v>
      </c>
      <c r="AE1268" s="6" t="n">
        <v>1732.88854980469</v>
      </c>
      <c r="AF1268" s="8" t="n">
        <v>337.311968118</v>
      </c>
      <c r="AG1268" s="11" t="n">
        <v>-0.1485535794</v>
      </c>
      <c r="AH1268" s="12" t="n">
        <v>0.999989870302549</v>
      </c>
      <c r="AI1268" s="2" t="s">
        <v>317</v>
      </c>
      <c r="AJ1268" s="2" t="s">
        <v>2841</v>
      </c>
      <c r="AK1268" s="2" t="s">
        <v>2842</v>
      </c>
    </row>
    <row r="1269" customFormat="false" ht="15" hidden="false" customHeight="false" outlineLevel="0" collapsed="false">
      <c r="A1269" s="9"/>
      <c r="B1269" s="2" t="s">
        <v>2843</v>
      </c>
      <c r="C1269" s="2" t="s">
        <v>2844</v>
      </c>
      <c r="D1269" s="2" t="s">
        <v>2765</v>
      </c>
      <c r="E1269" s="2" t="s">
        <v>51</v>
      </c>
      <c r="F1269" s="2"/>
      <c r="G1269" s="2"/>
      <c r="H1269" s="8"/>
      <c r="I1269" s="2"/>
      <c r="J1269" s="8"/>
      <c r="K1269" s="6"/>
      <c r="L1269" s="2"/>
      <c r="M1269" s="10" t="b">
        <f aca="false">TRUE()</f>
        <v>1</v>
      </c>
      <c r="N1269" s="9" t="str">
        <f aca="false">IF(H1269="","",IF(H1269&gt;=Assumptions!$B$5,1,IF(H1269&gt;=Assumptions!$B$6,2,IF(H1269&gt;=Assumptions!$B$7,3,""))))</f>
        <v/>
      </c>
      <c r="O1269" s="9" t="n">
        <f aca="false">IF(N1269=1,Assumptions!$B$8,IF(N1269=2,Assumptions!$B$9,IF(N1269=3,Assumptions!$B$10,0)))</f>
        <v>0</v>
      </c>
      <c r="P1269" s="6" t="s">
        <v>30</v>
      </c>
      <c r="Q1269" s="6" t="s">
        <v>30</v>
      </c>
      <c r="R1269" s="11" t="s">
        <v>30</v>
      </c>
      <c r="S1269" s="6" t="s">
        <v>30</v>
      </c>
      <c r="T1269" s="11" t="s">
        <v>30</v>
      </c>
      <c r="U1269" s="6" t="s">
        <v>30</v>
      </c>
      <c r="V1269" s="6" t="s">
        <v>30</v>
      </c>
      <c r="W1269" s="6" t="s">
        <v>30</v>
      </c>
      <c r="X1269" s="2" t="s">
        <v>30</v>
      </c>
      <c r="Y1269" s="6" t="str">
        <f aca="false">IF(AND(X1269="processed",ISNUMBER(S1269)),S1269*O1269,"")</f>
        <v/>
      </c>
      <c r="Z1269" s="6" t="n">
        <f aca="false">IF(ISNUMBER(K1269),K1269*O1269,0)</f>
        <v>0</v>
      </c>
      <c r="AA1269" s="2" t="s">
        <v>31</v>
      </c>
      <c r="AB1269" s="6" t="n">
        <v>245</v>
      </c>
      <c r="AC1269" s="6" t="n">
        <v>193</v>
      </c>
      <c r="AD1269" s="6" t="n">
        <v>210</v>
      </c>
      <c r="AE1269" s="6" t="n">
        <v>1696.70068359375</v>
      </c>
      <c r="AF1269" s="8"/>
      <c r="AG1269" s="11"/>
      <c r="AH1269" s="12" t="n">
        <v>0.992089842699494</v>
      </c>
      <c r="AI1269" s="2" t="s">
        <v>317</v>
      </c>
      <c r="AJ1269" s="2" t="s">
        <v>2844</v>
      </c>
      <c r="AK1269" s="2" t="s">
        <v>2844</v>
      </c>
    </row>
    <row r="1270" customFormat="false" ht="15" hidden="false" customHeight="false" outlineLevel="0" collapsed="false">
      <c r="A1270" s="9"/>
      <c r="B1270" s="2" t="s">
        <v>2845</v>
      </c>
      <c r="C1270" s="2" t="s">
        <v>2846</v>
      </c>
      <c r="D1270" s="2" t="s">
        <v>2437</v>
      </c>
      <c r="E1270" s="2" t="s">
        <v>51</v>
      </c>
      <c r="F1270" s="2"/>
      <c r="G1270" s="2"/>
      <c r="H1270" s="8"/>
      <c r="I1270" s="2"/>
      <c r="J1270" s="8"/>
      <c r="K1270" s="6"/>
      <c r="L1270" s="2"/>
      <c r="M1270" s="10" t="b">
        <f aca="false">TRUE()</f>
        <v>1</v>
      </c>
      <c r="N1270" s="9" t="str">
        <f aca="false">IF(H1270="","",IF(H1270&gt;=Assumptions!$B$5,1,IF(H1270&gt;=Assumptions!$B$6,2,IF(H1270&gt;=Assumptions!$B$7,3,""))))</f>
        <v/>
      </c>
      <c r="O1270" s="9" t="n">
        <f aca="false">IF(N1270=1,Assumptions!$B$8,IF(N1270=2,Assumptions!$B$9,IF(N1270=3,Assumptions!$B$10,0)))</f>
        <v>0</v>
      </c>
      <c r="P1270" s="6" t="s">
        <v>30</v>
      </c>
      <c r="Q1270" s="6" t="s">
        <v>30</v>
      </c>
      <c r="R1270" s="11" t="s">
        <v>30</v>
      </c>
      <c r="S1270" s="6" t="s">
        <v>30</v>
      </c>
      <c r="T1270" s="11" t="s">
        <v>30</v>
      </c>
      <c r="U1270" s="6" t="s">
        <v>30</v>
      </c>
      <c r="V1270" s="6" t="s">
        <v>30</v>
      </c>
      <c r="W1270" s="6" t="s">
        <v>30</v>
      </c>
      <c r="X1270" s="2" t="s">
        <v>30</v>
      </c>
      <c r="Y1270" s="6" t="str">
        <f aca="false">IF(AND(X1270="processed",ISNUMBER(S1270)),S1270*O1270,"")</f>
        <v/>
      </c>
      <c r="Z1270" s="6" t="n">
        <f aca="false">IF(ISNUMBER(K1270),K1270*O1270,0)</f>
        <v>0</v>
      </c>
      <c r="AA1270" s="2" t="s">
        <v>31</v>
      </c>
      <c r="AB1270" s="6" t="n">
        <v>197</v>
      </c>
      <c r="AC1270" s="6" t="n">
        <v>169</v>
      </c>
      <c r="AD1270" s="6" t="n">
        <v>197</v>
      </c>
      <c r="AE1270" s="6" t="n">
        <v>1770.65600585938</v>
      </c>
      <c r="AF1270" s="8"/>
      <c r="AG1270" s="11"/>
      <c r="AH1270" s="12" t="n">
        <v>0.999999999999999</v>
      </c>
      <c r="AI1270" s="2" t="s">
        <v>317</v>
      </c>
      <c r="AJ1270" s="2" t="s">
        <v>2846</v>
      </c>
      <c r="AK1270" s="2" t="s">
        <v>2819</v>
      </c>
    </row>
    <row r="1271" customFormat="false" ht="15" hidden="false" customHeight="false" outlineLevel="0" collapsed="false">
      <c r="A1271" s="9"/>
      <c r="B1271" s="2" t="s">
        <v>2847</v>
      </c>
      <c r="C1271" s="2" t="s">
        <v>2848</v>
      </c>
      <c r="D1271" s="2" t="s">
        <v>2460</v>
      </c>
      <c r="E1271" s="2" t="s">
        <v>51</v>
      </c>
      <c r="F1271" s="2"/>
      <c r="G1271" s="2" t="s">
        <v>2461</v>
      </c>
      <c r="H1271" s="8" t="n">
        <v>237.150026638105</v>
      </c>
      <c r="I1271" s="2" t="s">
        <v>316</v>
      </c>
      <c r="J1271" s="8" t="n">
        <v>432315.789473684</v>
      </c>
      <c r="K1271" s="6" t="n">
        <v>19</v>
      </c>
      <c r="L1271" s="2"/>
      <c r="M1271" s="10" t="b">
        <f aca="false">TRUE()</f>
        <v>1</v>
      </c>
      <c r="N1271" s="9" t="str">
        <f aca="false">IF(H1271="","",IF(H1271&gt;=Assumptions!$B$5,1,IF(H1271&gt;=Assumptions!$B$6,2,IF(H1271&gt;=Assumptions!$B$7,3,""))))</f>
        <v/>
      </c>
      <c r="O1271" s="9" t="n">
        <f aca="false">IF(N1271=1,Assumptions!$B$8,IF(N1271=2,Assumptions!$B$9,IF(N1271=3,Assumptions!$B$10,0)))</f>
        <v>0</v>
      </c>
      <c r="P1271" s="6" t="s">
        <v>30</v>
      </c>
      <c r="Q1271" s="6" t="s">
        <v>30</v>
      </c>
      <c r="R1271" s="11" t="s">
        <v>30</v>
      </c>
      <c r="S1271" s="6" t="s">
        <v>30</v>
      </c>
      <c r="T1271" s="11" t="s">
        <v>30</v>
      </c>
      <c r="U1271" s="6" t="s">
        <v>30</v>
      </c>
      <c r="V1271" s="6" t="s">
        <v>30</v>
      </c>
      <c r="W1271" s="6" t="s">
        <v>30</v>
      </c>
      <c r="X1271" s="2" t="s">
        <v>30</v>
      </c>
      <c r="Y1271" s="6" t="str">
        <f aca="false">IF(AND(X1271="processed",ISNUMBER(S1271)),S1271*O1271,"")</f>
        <v/>
      </c>
      <c r="Z1271" s="6" t="n">
        <f aca="false">IF(ISNUMBER(K1271),K1271*O1271,0)</f>
        <v>0</v>
      </c>
      <c r="AA1271" s="2" t="s">
        <v>31</v>
      </c>
      <c r="AB1271" s="6" t="n">
        <v>1853</v>
      </c>
      <c r="AC1271" s="6" t="n">
        <v>1526</v>
      </c>
      <c r="AD1271" s="6" t="n">
        <v>1788</v>
      </c>
      <c r="AE1271" s="6" t="n">
        <v>1798.83447265625</v>
      </c>
      <c r="AF1271" s="8" t="n">
        <v>235.387608311</v>
      </c>
      <c r="AG1271" s="11" t="n">
        <v>-0.07312750713</v>
      </c>
      <c r="AH1271" s="12" t="n">
        <v>0.999999999999998</v>
      </c>
      <c r="AI1271" s="2" t="s">
        <v>321</v>
      </c>
      <c r="AJ1271" s="2" t="s">
        <v>2848</v>
      </c>
      <c r="AK1271" s="2" t="s">
        <v>2849</v>
      </c>
    </row>
    <row r="1272" customFormat="false" ht="15" hidden="false" customHeight="false" outlineLevel="0" collapsed="false">
      <c r="A1272" s="9"/>
      <c r="B1272" s="2" t="s">
        <v>2850</v>
      </c>
      <c r="C1272" s="2" t="s">
        <v>2851</v>
      </c>
      <c r="D1272" s="2" t="s">
        <v>2460</v>
      </c>
      <c r="E1272" s="2" t="s">
        <v>51</v>
      </c>
      <c r="F1272" s="2"/>
      <c r="G1272" s="2" t="s">
        <v>2461</v>
      </c>
      <c r="H1272" s="8" t="n">
        <v>204.547249409333</v>
      </c>
      <c r="I1272" s="2" t="s">
        <v>316</v>
      </c>
      <c r="J1272" s="8" t="n">
        <v>319666.666666667</v>
      </c>
      <c r="K1272" s="6" t="n">
        <v>3</v>
      </c>
      <c r="L1272" s="2" t="s">
        <v>1664</v>
      </c>
      <c r="M1272" s="10" t="b">
        <f aca="false">TRUE()</f>
        <v>1</v>
      </c>
      <c r="N1272" s="9" t="str">
        <f aca="false">IF(H1272="","",IF(H1272&gt;=Assumptions!$B$5,1,IF(H1272&gt;=Assumptions!$B$6,2,IF(H1272&gt;=Assumptions!$B$7,3,""))))</f>
        <v/>
      </c>
      <c r="O1272" s="9" t="n">
        <f aca="false">IF(N1272=1,Assumptions!$B$8,IF(N1272=2,Assumptions!$B$9,IF(N1272=3,Assumptions!$B$10,0)))</f>
        <v>0</v>
      </c>
      <c r="P1272" s="6" t="s">
        <v>30</v>
      </c>
      <c r="Q1272" s="6" t="s">
        <v>30</v>
      </c>
      <c r="R1272" s="11" t="s">
        <v>30</v>
      </c>
      <c r="S1272" s="6" t="s">
        <v>30</v>
      </c>
      <c r="T1272" s="11" t="s">
        <v>30</v>
      </c>
      <c r="U1272" s="6" t="s">
        <v>30</v>
      </c>
      <c r="V1272" s="6" t="s">
        <v>30</v>
      </c>
      <c r="W1272" s="6" t="s">
        <v>30</v>
      </c>
      <c r="X1272" s="2" t="s">
        <v>30</v>
      </c>
      <c r="Y1272" s="6" t="str">
        <f aca="false">IF(AND(X1272="processed",ISNUMBER(S1272)),S1272*O1272,"")</f>
        <v/>
      </c>
      <c r="Z1272" s="6" t="n">
        <f aca="false">IF(ISNUMBER(K1272),K1272*O1272,0)</f>
        <v>0</v>
      </c>
      <c r="AA1272" s="2" t="s">
        <v>31</v>
      </c>
      <c r="AB1272" s="6" t="n">
        <v>583</v>
      </c>
      <c r="AC1272" s="6" t="n">
        <v>490</v>
      </c>
      <c r="AD1272" s="6" t="n">
        <v>566</v>
      </c>
      <c r="AE1272" s="6" t="n">
        <v>1994.62060546875</v>
      </c>
      <c r="AF1272" s="8" t="n">
        <v>217.307692308</v>
      </c>
      <c r="AG1272" s="11" t="n">
        <v>0.1774047944</v>
      </c>
      <c r="AH1272" s="12" t="n">
        <v>1</v>
      </c>
      <c r="AI1272" s="2" t="s">
        <v>317</v>
      </c>
      <c r="AJ1272" s="2" t="s">
        <v>2851</v>
      </c>
      <c r="AK1272" s="2" t="s">
        <v>2851</v>
      </c>
    </row>
    <row r="1273" customFormat="false" ht="15" hidden="false" customHeight="false" outlineLevel="0" collapsed="false">
      <c r="A1273" s="9"/>
      <c r="B1273" s="2" t="s">
        <v>2852</v>
      </c>
      <c r="C1273" s="2" t="s">
        <v>2853</v>
      </c>
      <c r="D1273" s="2" t="s">
        <v>2724</v>
      </c>
      <c r="E1273" s="2" t="s">
        <v>51</v>
      </c>
      <c r="F1273" s="2"/>
      <c r="G1273" s="2" t="s">
        <v>2725</v>
      </c>
      <c r="H1273" s="8" t="n">
        <v>394.758274371</v>
      </c>
      <c r="I1273" s="2" t="s">
        <v>316</v>
      </c>
      <c r="J1273" s="8" t="n">
        <v>488333.333333333</v>
      </c>
      <c r="K1273" s="6" t="n">
        <v>3</v>
      </c>
      <c r="L1273" s="2" t="s">
        <v>1664</v>
      </c>
      <c r="M1273" s="10" t="b">
        <f aca="false">TRUE()</f>
        <v>1</v>
      </c>
      <c r="N1273" s="9" t="str">
        <f aca="false">IF(H1273="","",IF(H1273&gt;=Assumptions!$B$5,1,IF(H1273&gt;=Assumptions!$B$6,2,IF(H1273&gt;=Assumptions!$B$7,3,""))))</f>
        <v/>
      </c>
      <c r="O1273" s="9" t="n">
        <f aca="false">IF(N1273=1,Assumptions!$B$8,IF(N1273=2,Assumptions!$B$9,IF(N1273=3,Assumptions!$B$10,0)))</f>
        <v>0</v>
      </c>
      <c r="P1273" s="6" t="s">
        <v>30</v>
      </c>
      <c r="Q1273" s="6" t="s">
        <v>30</v>
      </c>
      <c r="R1273" s="11" t="s">
        <v>30</v>
      </c>
      <c r="S1273" s="6" t="s">
        <v>30</v>
      </c>
      <c r="T1273" s="11" t="s">
        <v>30</v>
      </c>
      <c r="U1273" s="6" t="s">
        <v>30</v>
      </c>
      <c r="V1273" s="6" t="s">
        <v>30</v>
      </c>
      <c r="W1273" s="6" t="s">
        <v>30</v>
      </c>
      <c r="X1273" s="2" t="s">
        <v>30</v>
      </c>
      <c r="Y1273" s="6" t="str">
        <f aca="false">IF(AND(X1273="processed",ISNUMBER(S1273)),S1273*O1273,"")</f>
        <v/>
      </c>
      <c r="Z1273" s="6" t="n">
        <f aca="false">IF(ISNUMBER(K1273),K1273*O1273,0)</f>
        <v>0</v>
      </c>
      <c r="AA1273" s="2" t="s">
        <v>31</v>
      </c>
      <c r="AB1273" s="6" t="n">
        <v>371</v>
      </c>
      <c r="AC1273" s="6" t="n">
        <v>298</v>
      </c>
      <c r="AD1273" s="6" t="n">
        <v>357</v>
      </c>
      <c r="AE1273" s="6" t="n">
        <v>1554.66137695313</v>
      </c>
      <c r="AF1273" s="8" t="n">
        <v>229.37905468</v>
      </c>
      <c r="AG1273" s="11" t="n">
        <v>-0.1863478974</v>
      </c>
      <c r="AH1273" s="12" t="n">
        <v>1</v>
      </c>
      <c r="AI1273" s="2" t="s">
        <v>317</v>
      </c>
      <c r="AJ1273" s="2" t="s">
        <v>2853</v>
      </c>
      <c r="AK1273" s="2" t="s">
        <v>2854</v>
      </c>
    </row>
    <row r="1274" customFormat="false" ht="15" hidden="false" customHeight="false" outlineLevel="0" collapsed="false">
      <c r="A1274" s="9"/>
      <c r="B1274" s="2" t="s">
        <v>2855</v>
      </c>
      <c r="C1274" s="2" t="s">
        <v>2856</v>
      </c>
      <c r="D1274" s="2" t="s">
        <v>2437</v>
      </c>
      <c r="E1274" s="2" t="s">
        <v>51</v>
      </c>
      <c r="F1274" s="2"/>
      <c r="G1274" s="2"/>
      <c r="H1274" s="8"/>
      <c r="I1274" s="2"/>
      <c r="J1274" s="8"/>
      <c r="K1274" s="6"/>
      <c r="L1274" s="2"/>
      <c r="M1274" s="10" t="b">
        <f aca="false">TRUE()</f>
        <v>1</v>
      </c>
      <c r="N1274" s="9" t="str">
        <f aca="false">IF(H1274="","",IF(H1274&gt;=Assumptions!$B$5,1,IF(H1274&gt;=Assumptions!$B$6,2,IF(H1274&gt;=Assumptions!$B$7,3,""))))</f>
        <v/>
      </c>
      <c r="O1274" s="9" t="n">
        <f aca="false">IF(N1274=1,Assumptions!$B$8,IF(N1274=2,Assumptions!$B$9,IF(N1274=3,Assumptions!$B$10,0)))</f>
        <v>0</v>
      </c>
      <c r="P1274" s="6" t="s">
        <v>30</v>
      </c>
      <c r="Q1274" s="6" t="s">
        <v>30</v>
      </c>
      <c r="R1274" s="11" t="s">
        <v>30</v>
      </c>
      <c r="S1274" s="6" t="s">
        <v>30</v>
      </c>
      <c r="T1274" s="11" t="s">
        <v>30</v>
      </c>
      <c r="U1274" s="6" t="s">
        <v>30</v>
      </c>
      <c r="V1274" s="6" t="s">
        <v>30</v>
      </c>
      <c r="W1274" s="6" t="s">
        <v>30</v>
      </c>
      <c r="X1274" s="2" t="s">
        <v>30</v>
      </c>
      <c r="Y1274" s="6" t="str">
        <f aca="false">IF(AND(X1274="processed",ISNUMBER(S1274)),S1274*O1274,"")</f>
        <v/>
      </c>
      <c r="Z1274" s="6" t="n">
        <f aca="false">IF(ISNUMBER(K1274),K1274*O1274,0)</f>
        <v>0</v>
      </c>
      <c r="AA1274" s="2" t="s">
        <v>31</v>
      </c>
      <c r="AB1274" s="6" t="n">
        <v>331</v>
      </c>
      <c r="AC1274" s="6" t="n">
        <v>248</v>
      </c>
      <c r="AD1274" s="6" t="n">
        <v>234</v>
      </c>
      <c r="AE1274" s="6" t="n">
        <v>1758.9482421875</v>
      </c>
      <c r="AF1274" s="8"/>
      <c r="AG1274" s="11"/>
      <c r="AH1274" s="12" t="n">
        <v>1</v>
      </c>
      <c r="AI1274" s="2" t="s">
        <v>350</v>
      </c>
      <c r="AJ1274" s="2" t="s">
        <v>2856</v>
      </c>
      <c r="AK1274" s="2" t="s">
        <v>2856</v>
      </c>
    </row>
    <row r="1275" customFormat="false" ht="15" hidden="false" customHeight="false" outlineLevel="0" collapsed="false">
      <c r="A1275" s="9"/>
      <c r="B1275" s="2" t="s">
        <v>2857</v>
      </c>
      <c r="C1275" s="2" t="s">
        <v>2858</v>
      </c>
      <c r="D1275" s="2" t="s">
        <v>2460</v>
      </c>
      <c r="E1275" s="2" t="s">
        <v>51</v>
      </c>
      <c r="F1275" s="2"/>
      <c r="G1275" s="2" t="s">
        <v>2461</v>
      </c>
      <c r="H1275" s="8" t="n">
        <v>191.322516404286</v>
      </c>
      <c r="I1275" s="2" t="s">
        <v>316</v>
      </c>
      <c r="J1275" s="8" t="n">
        <v>346485.714285714</v>
      </c>
      <c r="K1275" s="6" t="n">
        <v>35</v>
      </c>
      <c r="L1275" s="2"/>
      <c r="M1275" s="10" t="b">
        <f aca="false">TRUE()</f>
        <v>1</v>
      </c>
      <c r="N1275" s="9" t="str">
        <f aca="false">IF(H1275="","",IF(H1275&gt;=Assumptions!$B$5,1,IF(H1275&gt;=Assumptions!$B$6,2,IF(H1275&gt;=Assumptions!$B$7,3,""))))</f>
        <v/>
      </c>
      <c r="O1275" s="9" t="n">
        <f aca="false">IF(N1275=1,Assumptions!$B$8,IF(N1275=2,Assumptions!$B$9,IF(N1275=3,Assumptions!$B$10,0)))</f>
        <v>0</v>
      </c>
      <c r="P1275" s="6" t="s">
        <v>30</v>
      </c>
      <c r="Q1275" s="6" t="s">
        <v>30</v>
      </c>
      <c r="R1275" s="11" t="s">
        <v>30</v>
      </c>
      <c r="S1275" s="6" t="s">
        <v>30</v>
      </c>
      <c r="T1275" s="11" t="s">
        <v>30</v>
      </c>
      <c r="U1275" s="6" t="s">
        <v>30</v>
      </c>
      <c r="V1275" s="6" t="s">
        <v>30</v>
      </c>
      <c r="W1275" s="6" t="s">
        <v>30</v>
      </c>
      <c r="X1275" s="2" t="s">
        <v>30</v>
      </c>
      <c r="Y1275" s="6" t="str">
        <f aca="false">IF(AND(X1275="processed",ISNUMBER(S1275)),S1275*O1275,"")</f>
        <v/>
      </c>
      <c r="Z1275" s="6" t="n">
        <f aca="false">IF(ISNUMBER(K1275),K1275*O1275,0)</f>
        <v>0</v>
      </c>
      <c r="AA1275" s="2" t="s">
        <v>31</v>
      </c>
      <c r="AB1275" s="6" t="n">
        <v>3584</v>
      </c>
      <c r="AC1275" s="6" t="n">
        <v>2860</v>
      </c>
      <c r="AD1275" s="6" t="n">
        <v>3545</v>
      </c>
      <c r="AE1275" s="6" t="n">
        <v>1747.26733398438</v>
      </c>
      <c r="AF1275" s="8" t="n">
        <v>225.974025974</v>
      </c>
      <c r="AG1275" s="11" t="n">
        <v>0.0971038961</v>
      </c>
      <c r="AH1275" s="12" t="n">
        <v>0.99956355804606</v>
      </c>
      <c r="AI1275" s="2" t="s">
        <v>317</v>
      </c>
      <c r="AJ1275" s="2" t="s">
        <v>2858</v>
      </c>
      <c r="AK1275" s="2" t="s">
        <v>2859</v>
      </c>
    </row>
    <row r="1276" customFormat="false" ht="15" hidden="false" customHeight="false" outlineLevel="0" collapsed="false">
      <c r="A1276" s="9"/>
      <c r="B1276" s="2" t="s">
        <v>2860</v>
      </c>
      <c r="C1276" s="2" t="s">
        <v>2460</v>
      </c>
      <c r="D1276" s="2" t="s">
        <v>2460</v>
      </c>
      <c r="E1276" s="2" t="s">
        <v>51</v>
      </c>
      <c r="F1276" s="2"/>
      <c r="G1276" s="2" t="s">
        <v>2461</v>
      </c>
      <c r="H1276" s="8" t="n">
        <v>207.991127707111</v>
      </c>
      <c r="I1276" s="2" t="s">
        <v>316</v>
      </c>
      <c r="J1276" s="8" t="n">
        <v>259166.666666667</v>
      </c>
      <c r="K1276" s="6" t="n">
        <v>36</v>
      </c>
      <c r="L1276" s="2"/>
      <c r="M1276" s="10" t="b">
        <f aca="false">TRUE()</f>
        <v>1</v>
      </c>
      <c r="N1276" s="9" t="str">
        <f aca="false">IF(H1276="","",IF(H1276&gt;=Assumptions!$B$5,1,IF(H1276&gt;=Assumptions!$B$6,2,IF(H1276&gt;=Assumptions!$B$7,3,""))))</f>
        <v/>
      </c>
      <c r="O1276" s="9" t="n">
        <f aca="false">IF(N1276=1,Assumptions!$B$8,IF(N1276=2,Assumptions!$B$9,IF(N1276=3,Assumptions!$B$10,0)))</f>
        <v>0</v>
      </c>
      <c r="P1276" s="6" t="s">
        <v>30</v>
      </c>
      <c r="Q1276" s="6" t="s">
        <v>30</v>
      </c>
      <c r="R1276" s="11" t="s">
        <v>30</v>
      </c>
      <c r="S1276" s="6" t="s">
        <v>30</v>
      </c>
      <c r="T1276" s="11" t="s">
        <v>30</v>
      </c>
      <c r="U1276" s="6" t="s">
        <v>30</v>
      </c>
      <c r="V1276" s="6" t="s">
        <v>30</v>
      </c>
      <c r="W1276" s="6" t="s">
        <v>30</v>
      </c>
      <c r="X1276" s="2" t="s">
        <v>30</v>
      </c>
      <c r="Y1276" s="6" t="str">
        <f aca="false">IF(AND(X1276="processed",ISNUMBER(S1276)),S1276*O1276,"")</f>
        <v/>
      </c>
      <c r="Z1276" s="6" t="n">
        <f aca="false">IF(ISNUMBER(K1276),K1276*O1276,0)</f>
        <v>0</v>
      </c>
      <c r="AA1276" s="2" t="s">
        <v>31</v>
      </c>
      <c r="AB1276" s="6" t="n">
        <v>3267</v>
      </c>
      <c r="AC1276" s="6" t="n">
        <v>2775</v>
      </c>
      <c r="AD1276" s="6" t="n">
        <v>2610</v>
      </c>
      <c r="AE1276" s="6" t="n">
        <v>1694.82531738281</v>
      </c>
      <c r="AF1276" s="8" t="n">
        <v>208.326953411</v>
      </c>
      <c r="AG1276" s="11" t="n">
        <v>0.04616065942</v>
      </c>
      <c r="AH1276" s="12" t="n">
        <v>1</v>
      </c>
      <c r="AI1276" s="2" t="s">
        <v>317</v>
      </c>
      <c r="AJ1276" s="2" t="s">
        <v>2460</v>
      </c>
      <c r="AK1276" s="2" t="s">
        <v>2460</v>
      </c>
    </row>
    <row r="1277" customFormat="false" ht="15" hidden="false" customHeight="false" outlineLevel="0" collapsed="false">
      <c r="A1277" s="9"/>
      <c r="B1277" s="2" t="s">
        <v>2861</v>
      </c>
      <c r="C1277" s="2" t="s">
        <v>2460</v>
      </c>
      <c r="D1277" s="2" t="s">
        <v>2460</v>
      </c>
      <c r="E1277" s="2" t="s">
        <v>51</v>
      </c>
      <c r="F1277" s="2"/>
      <c r="G1277" s="2" t="s">
        <v>2461</v>
      </c>
      <c r="H1277" s="8" t="n">
        <v>251.267235491671</v>
      </c>
      <c r="I1277" s="2" t="s">
        <v>316</v>
      </c>
      <c r="J1277" s="8" t="n">
        <v>289451.612903226</v>
      </c>
      <c r="K1277" s="6" t="n">
        <v>155</v>
      </c>
      <c r="L1277" s="2"/>
      <c r="M1277" s="10" t="b">
        <f aca="false">TRUE()</f>
        <v>1</v>
      </c>
      <c r="N1277" s="9" t="str">
        <f aca="false">IF(H1277="","",IF(H1277&gt;=Assumptions!$B$5,1,IF(H1277&gt;=Assumptions!$B$6,2,IF(H1277&gt;=Assumptions!$B$7,3,""))))</f>
        <v/>
      </c>
      <c r="O1277" s="9" t="n">
        <f aca="false">IF(N1277=1,Assumptions!$B$8,IF(N1277=2,Assumptions!$B$9,IF(N1277=3,Assumptions!$B$10,0)))</f>
        <v>0</v>
      </c>
      <c r="P1277" s="6" t="s">
        <v>30</v>
      </c>
      <c r="Q1277" s="6" t="s">
        <v>30</v>
      </c>
      <c r="R1277" s="11" t="s">
        <v>30</v>
      </c>
      <c r="S1277" s="6" t="s">
        <v>30</v>
      </c>
      <c r="T1277" s="11" t="s">
        <v>30</v>
      </c>
      <c r="U1277" s="6" t="s">
        <v>30</v>
      </c>
      <c r="V1277" s="6" t="s">
        <v>30</v>
      </c>
      <c r="W1277" s="6" t="s">
        <v>30</v>
      </c>
      <c r="X1277" s="2" t="s">
        <v>30</v>
      </c>
      <c r="Y1277" s="6" t="str">
        <f aca="false">IF(AND(X1277="processed",ISNUMBER(S1277)),S1277*O1277,"")</f>
        <v/>
      </c>
      <c r="Z1277" s="6" t="n">
        <f aca="false">IF(ISNUMBER(K1277),K1277*O1277,0)</f>
        <v>0</v>
      </c>
      <c r="AA1277" s="2" t="s">
        <v>31</v>
      </c>
      <c r="AB1277" s="6" t="n">
        <v>13211</v>
      </c>
      <c r="AC1277" s="6" t="n">
        <v>11031</v>
      </c>
      <c r="AD1277" s="6" t="n">
        <v>12028</v>
      </c>
      <c r="AE1277" s="6" t="n">
        <v>1671.18981933594</v>
      </c>
      <c r="AF1277" s="8" t="n">
        <v>250</v>
      </c>
      <c r="AG1277" s="11" t="n">
        <v>0.03503184713</v>
      </c>
      <c r="AH1277" s="12" t="n">
        <v>1</v>
      </c>
      <c r="AI1277" s="2" t="s">
        <v>317</v>
      </c>
      <c r="AJ1277" s="2" t="s">
        <v>2460</v>
      </c>
      <c r="AK1277" s="2" t="s">
        <v>2460</v>
      </c>
    </row>
    <row r="1278" customFormat="false" ht="15" hidden="false" customHeight="false" outlineLevel="0" collapsed="false">
      <c r="A1278" s="9"/>
      <c r="B1278" s="2" t="s">
        <v>2862</v>
      </c>
      <c r="C1278" s="2" t="s">
        <v>2460</v>
      </c>
      <c r="D1278" s="2" t="s">
        <v>2460</v>
      </c>
      <c r="E1278" s="2" t="s">
        <v>51</v>
      </c>
      <c r="F1278" s="2"/>
      <c r="G1278" s="2" t="s">
        <v>2461</v>
      </c>
      <c r="H1278" s="8" t="n">
        <v>250.447315701044</v>
      </c>
      <c r="I1278" s="2" t="s">
        <v>316</v>
      </c>
      <c r="J1278" s="8" t="n">
        <v>318137.68115942</v>
      </c>
      <c r="K1278" s="6" t="n">
        <v>138</v>
      </c>
      <c r="L1278" s="2"/>
      <c r="M1278" s="10" t="b">
        <f aca="false">TRUE()</f>
        <v>1</v>
      </c>
      <c r="N1278" s="9" t="str">
        <f aca="false">IF(H1278="","",IF(H1278&gt;=Assumptions!$B$5,1,IF(H1278&gt;=Assumptions!$B$6,2,IF(H1278&gt;=Assumptions!$B$7,3,""))))</f>
        <v/>
      </c>
      <c r="O1278" s="9" t="n">
        <f aca="false">IF(N1278=1,Assumptions!$B$8,IF(N1278=2,Assumptions!$B$9,IF(N1278=3,Assumptions!$B$10,0)))</f>
        <v>0</v>
      </c>
      <c r="P1278" s="6" t="s">
        <v>30</v>
      </c>
      <c r="Q1278" s="6" t="s">
        <v>30</v>
      </c>
      <c r="R1278" s="11" t="s">
        <v>30</v>
      </c>
      <c r="S1278" s="6" t="s">
        <v>30</v>
      </c>
      <c r="T1278" s="11" t="s">
        <v>30</v>
      </c>
      <c r="U1278" s="6" t="s">
        <v>30</v>
      </c>
      <c r="V1278" s="6" t="s">
        <v>30</v>
      </c>
      <c r="W1278" s="6" t="s">
        <v>30</v>
      </c>
      <c r="X1278" s="2" t="s">
        <v>30</v>
      </c>
      <c r="Y1278" s="6" t="str">
        <f aca="false">IF(AND(X1278="processed",ISNUMBER(S1278)),S1278*O1278,"")</f>
        <v/>
      </c>
      <c r="Z1278" s="6" t="n">
        <f aca="false">IF(ISNUMBER(K1278),K1278*O1278,0)</f>
        <v>0</v>
      </c>
      <c r="AA1278" s="2" t="s">
        <v>31</v>
      </c>
      <c r="AB1278" s="6" t="n">
        <v>10303</v>
      </c>
      <c r="AC1278" s="6" t="n">
        <v>8843</v>
      </c>
      <c r="AD1278" s="6" t="n">
        <v>7755</v>
      </c>
      <c r="AE1278" s="6" t="n">
        <v>2112.87963867188</v>
      </c>
      <c r="AF1278" s="8" t="n">
        <v>238.29305136</v>
      </c>
      <c r="AG1278" s="11" t="n">
        <v>-0.0433249159</v>
      </c>
      <c r="AH1278" s="12" t="n">
        <v>1</v>
      </c>
      <c r="AI1278" s="2" t="s">
        <v>317</v>
      </c>
      <c r="AJ1278" s="2" t="s">
        <v>2460</v>
      </c>
      <c r="AK1278" s="2" t="s">
        <v>2460</v>
      </c>
    </row>
    <row r="1279" customFormat="false" ht="15" hidden="false" customHeight="false" outlineLevel="0" collapsed="false">
      <c r="A1279" s="9"/>
      <c r="B1279" s="2" t="s">
        <v>2863</v>
      </c>
      <c r="C1279" s="2" t="s">
        <v>2460</v>
      </c>
      <c r="D1279" s="2" t="s">
        <v>2460</v>
      </c>
      <c r="E1279" s="2" t="s">
        <v>51</v>
      </c>
      <c r="F1279" s="2"/>
      <c r="G1279" s="2" t="s">
        <v>2461</v>
      </c>
      <c r="H1279" s="8" t="n">
        <v>256.531108759074</v>
      </c>
      <c r="I1279" s="2" t="s">
        <v>316</v>
      </c>
      <c r="J1279" s="8" t="n">
        <v>394952.173913044</v>
      </c>
      <c r="K1279" s="6" t="n">
        <v>230</v>
      </c>
      <c r="L1279" s="2"/>
      <c r="M1279" s="10" t="b">
        <f aca="false">TRUE()</f>
        <v>1</v>
      </c>
      <c r="N1279" s="9" t="str">
        <f aca="false">IF(H1279="","",IF(H1279&gt;=Assumptions!$B$5,1,IF(H1279&gt;=Assumptions!$B$6,2,IF(H1279&gt;=Assumptions!$B$7,3,""))))</f>
        <v/>
      </c>
      <c r="O1279" s="9" t="n">
        <f aca="false">IF(N1279=1,Assumptions!$B$8,IF(N1279=2,Assumptions!$B$9,IF(N1279=3,Assumptions!$B$10,0)))</f>
        <v>0</v>
      </c>
      <c r="P1279" s="6" t="s">
        <v>30</v>
      </c>
      <c r="Q1279" s="6" t="s">
        <v>30</v>
      </c>
      <c r="R1279" s="11" t="s">
        <v>30</v>
      </c>
      <c r="S1279" s="6" t="s">
        <v>30</v>
      </c>
      <c r="T1279" s="11" t="s">
        <v>30</v>
      </c>
      <c r="U1279" s="6" t="s">
        <v>30</v>
      </c>
      <c r="V1279" s="6" t="s">
        <v>30</v>
      </c>
      <c r="W1279" s="6" t="s">
        <v>30</v>
      </c>
      <c r="X1279" s="2" t="s">
        <v>30</v>
      </c>
      <c r="Y1279" s="6" t="str">
        <f aca="false">IF(AND(X1279="processed",ISNUMBER(S1279)),S1279*O1279,"")</f>
        <v/>
      </c>
      <c r="Z1279" s="6" t="n">
        <f aca="false">IF(ISNUMBER(K1279),K1279*O1279,0)</f>
        <v>0</v>
      </c>
      <c r="AA1279" s="2" t="s">
        <v>31</v>
      </c>
      <c r="AB1279" s="6" t="n">
        <v>11487</v>
      </c>
      <c r="AC1279" s="6" t="n">
        <v>9729</v>
      </c>
      <c r="AD1279" s="6" t="n">
        <v>10555</v>
      </c>
      <c r="AE1279" s="6" t="n">
        <v>2222.03735351563</v>
      </c>
      <c r="AF1279" s="8" t="n">
        <v>243.096913914</v>
      </c>
      <c r="AG1279" s="11" t="n">
        <v>-0.02719016207</v>
      </c>
      <c r="AH1279" s="12" t="n">
        <v>0.999999999999998</v>
      </c>
      <c r="AI1279" s="2" t="s">
        <v>317</v>
      </c>
      <c r="AJ1279" s="2" t="s">
        <v>2460</v>
      </c>
      <c r="AK1279" s="2" t="s">
        <v>2460</v>
      </c>
    </row>
    <row r="1280" customFormat="false" ht="15" hidden="false" customHeight="false" outlineLevel="0" collapsed="false">
      <c r="A1280" s="9"/>
      <c r="B1280" s="2" t="s">
        <v>2864</v>
      </c>
      <c r="C1280" s="2" t="s">
        <v>2460</v>
      </c>
      <c r="D1280" s="2" t="s">
        <v>2460</v>
      </c>
      <c r="E1280" s="2" t="s">
        <v>51</v>
      </c>
      <c r="F1280" s="2"/>
      <c r="G1280" s="2" t="s">
        <v>2461</v>
      </c>
      <c r="H1280" s="8" t="n">
        <v>250.419004744235</v>
      </c>
      <c r="I1280" s="2" t="s">
        <v>316</v>
      </c>
      <c r="J1280" s="8" t="n">
        <v>333506.787330317</v>
      </c>
      <c r="K1280" s="6" t="n">
        <v>221</v>
      </c>
      <c r="L1280" s="2"/>
      <c r="M1280" s="10" t="b">
        <f aca="false">TRUE()</f>
        <v>1</v>
      </c>
      <c r="N1280" s="9" t="str">
        <f aca="false">IF(H1280="","",IF(H1280&gt;=Assumptions!$B$5,1,IF(H1280&gt;=Assumptions!$B$6,2,IF(H1280&gt;=Assumptions!$B$7,3,""))))</f>
        <v/>
      </c>
      <c r="O1280" s="9" t="n">
        <f aca="false">IF(N1280=1,Assumptions!$B$8,IF(N1280=2,Assumptions!$B$9,IF(N1280=3,Assumptions!$B$10,0)))</f>
        <v>0</v>
      </c>
      <c r="P1280" s="6" t="s">
        <v>30</v>
      </c>
      <c r="Q1280" s="6" t="s">
        <v>30</v>
      </c>
      <c r="R1280" s="11" t="s">
        <v>30</v>
      </c>
      <c r="S1280" s="6" t="s">
        <v>30</v>
      </c>
      <c r="T1280" s="11" t="s">
        <v>30</v>
      </c>
      <c r="U1280" s="6" t="s">
        <v>30</v>
      </c>
      <c r="V1280" s="6" t="s">
        <v>30</v>
      </c>
      <c r="W1280" s="6" t="s">
        <v>30</v>
      </c>
      <c r="X1280" s="2" t="s">
        <v>30</v>
      </c>
      <c r="Y1280" s="6" t="str">
        <f aca="false">IF(AND(X1280="processed",ISNUMBER(S1280)),S1280*O1280,"")</f>
        <v/>
      </c>
      <c r="Z1280" s="6" t="n">
        <f aca="false">IF(ISNUMBER(K1280),K1280*O1280,0)</f>
        <v>0</v>
      </c>
      <c r="AA1280" s="2" t="s">
        <v>31</v>
      </c>
      <c r="AB1280" s="6" t="n">
        <v>11229</v>
      </c>
      <c r="AC1280" s="6" t="n">
        <v>10089</v>
      </c>
      <c r="AD1280" s="6" t="n">
        <v>5569</v>
      </c>
      <c r="AE1280" s="6" t="n">
        <v>2262.85888671875</v>
      </c>
      <c r="AF1280" s="8" t="n">
        <v>251.159196291</v>
      </c>
      <c r="AG1280" s="11" t="n">
        <v>0.0334608261</v>
      </c>
      <c r="AH1280" s="12" t="n">
        <v>1</v>
      </c>
      <c r="AI1280" s="2" t="s">
        <v>317</v>
      </c>
      <c r="AJ1280" s="2" t="s">
        <v>2460</v>
      </c>
      <c r="AK1280" s="2" t="s">
        <v>2460</v>
      </c>
    </row>
    <row r="1281" customFormat="false" ht="15" hidden="false" customHeight="false" outlineLevel="0" collapsed="false">
      <c r="A1281" s="9"/>
      <c r="B1281" s="2" t="s">
        <v>2865</v>
      </c>
      <c r="C1281" s="2" t="s">
        <v>2460</v>
      </c>
      <c r="D1281" s="2" t="s">
        <v>2460</v>
      </c>
      <c r="E1281" s="2" t="s">
        <v>51</v>
      </c>
      <c r="F1281" s="2"/>
      <c r="G1281" s="2" t="s">
        <v>2461</v>
      </c>
      <c r="H1281" s="8" t="n">
        <v>258.668829425694</v>
      </c>
      <c r="I1281" s="2" t="s">
        <v>316</v>
      </c>
      <c r="J1281" s="8" t="n">
        <v>313511.194029851</v>
      </c>
      <c r="K1281" s="6" t="n">
        <v>134</v>
      </c>
      <c r="L1281" s="2"/>
      <c r="M1281" s="10" t="b">
        <f aca="false">TRUE()</f>
        <v>1</v>
      </c>
      <c r="N1281" s="9" t="str">
        <f aca="false">IF(H1281="","",IF(H1281&gt;=Assumptions!$B$5,1,IF(H1281&gt;=Assumptions!$B$6,2,IF(H1281&gt;=Assumptions!$B$7,3,""))))</f>
        <v/>
      </c>
      <c r="O1281" s="9" t="n">
        <f aca="false">IF(N1281=1,Assumptions!$B$8,IF(N1281=2,Assumptions!$B$9,IF(N1281=3,Assumptions!$B$10,0)))</f>
        <v>0</v>
      </c>
      <c r="P1281" s="6" t="s">
        <v>30</v>
      </c>
      <c r="Q1281" s="6" t="s">
        <v>30</v>
      </c>
      <c r="R1281" s="11" t="s">
        <v>30</v>
      </c>
      <c r="S1281" s="6" t="s">
        <v>30</v>
      </c>
      <c r="T1281" s="11" t="s">
        <v>30</v>
      </c>
      <c r="U1281" s="6" t="s">
        <v>30</v>
      </c>
      <c r="V1281" s="6" t="s">
        <v>30</v>
      </c>
      <c r="W1281" s="6" t="s">
        <v>30</v>
      </c>
      <c r="X1281" s="2" t="s">
        <v>30</v>
      </c>
      <c r="Y1281" s="6" t="str">
        <f aca="false">IF(AND(X1281="processed",ISNUMBER(S1281)),S1281*O1281,"")</f>
        <v/>
      </c>
      <c r="Z1281" s="6" t="n">
        <f aca="false">IF(ISNUMBER(K1281),K1281*O1281,0)</f>
        <v>0</v>
      </c>
      <c r="AA1281" s="2" t="s">
        <v>31</v>
      </c>
      <c r="AB1281" s="6" t="n">
        <v>17142</v>
      </c>
      <c r="AC1281" s="6" t="n">
        <v>13752</v>
      </c>
      <c r="AD1281" s="6" t="n">
        <v>9269</v>
      </c>
      <c r="AE1281" s="6" t="n">
        <v>1849.32641601563</v>
      </c>
      <c r="AF1281" s="8" t="n">
        <v>273.150554401</v>
      </c>
      <c r="AG1281" s="11" t="n">
        <v>0.1523247311</v>
      </c>
      <c r="AH1281" s="12" t="n">
        <v>1</v>
      </c>
      <c r="AI1281" s="2" t="s">
        <v>317</v>
      </c>
      <c r="AJ1281" s="2" t="s">
        <v>2460</v>
      </c>
      <c r="AK1281" s="2" t="s">
        <v>2460</v>
      </c>
    </row>
    <row r="1282" customFormat="false" ht="15" hidden="false" customHeight="false" outlineLevel="0" collapsed="false">
      <c r="A1282" s="9"/>
      <c r="B1282" s="2" t="s">
        <v>2866</v>
      </c>
      <c r="C1282" s="2" t="s">
        <v>2460</v>
      </c>
      <c r="D1282" s="2" t="s">
        <v>2460</v>
      </c>
      <c r="E1282" s="2" t="s">
        <v>51</v>
      </c>
      <c r="F1282" s="2"/>
      <c r="G1282" s="2" t="s">
        <v>2461</v>
      </c>
      <c r="H1282" s="8" t="n">
        <v>246.836542557225</v>
      </c>
      <c r="I1282" s="2" t="s">
        <v>316</v>
      </c>
      <c r="J1282" s="8" t="n">
        <v>417756.25</v>
      </c>
      <c r="K1282" s="6" t="n">
        <v>160</v>
      </c>
      <c r="L1282" s="2"/>
      <c r="M1282" s="10" t="b">
        <f aca="false">TRUE()</f>
        <v>1</v>
      </c>
      <c r="N1282" s="9" t="str">
        <f aca="false">IF(H1282="","",IF(H1282&gt;=Assumptions!$B$5,1,IF(H1282&gt;=Assumptions!$B$6,2,IF(H1282&gt;=Assumptions!$B$7,3,""))))</f>
        <v/>
      </c>
      <c r="O1282" s="9" t="n">
        <f aca="false">IF(N1282=1,Assumptions!$B$8,IF(N1282=2,Assumptions!$B$9,IF(N1282=3,Assumptions!$B$10,0)))</f>
        <v>0</v>
      </c>
      <c r="P1282" s="6" t="s">
        <v>30</v>
      </c>
      <c r="Q1282" s="6" t="s">
        <v>30</v>
      </c>
      <c r="R1282" s="11" t="s">
        <v>30</v>
      </c>
      <c r="S1282" s="6" t="s">
        <v>30</v>
      </c>
      <c r="T1282" s="11" t="s">
        <v>30</v>
      </c>
      <c r="U1282" s="6" t="s">
        <v>30</v>
      </c>
      <c r="V1282" s="6" t="s">
        <v>30</v>
      </c>
      <c r="W1282" s="6" t="s">
        <v>30</v>
      </c>
      <c r="X1282" s="2" t="s">
        <v>30</v>
      </c>
      <c r="Y1282" s="6" t="str">
        <f aca="false">IF(AND(X1282="processed",ISNUMBER(S1282)),S1282*O1282,"")</f>
        <v/>
      </c>
      <c r="Z1282" s="6" t="n">
        <f aca="false">IF(ISNUMBER(K1282),K1282*O1282,0)</f>
        <v>0</v>
      </c>
      <c r="AA1282" s="2" t="s">
        <v>31</v>
      </c>
      <c r="AB1282" s="6" t="n">
        <v>8733</v>
      </c>
      <c r="AC1282" s="6" t="n">
        <v>7697</v>
      </c>
      <c r="AD1282" s="6" t="n">
        <v>7633</v>
      </c>
      <c r="AE1282" s="6" t="n">
        <v>2911.6982421875</v>
      </c>
      <c r="AF1282" s="8" t="n">
        <v>239.912758997</v>
      </c>
      <c r="AG1282" s="11" t="n">
        <v>-0.05671948169</v>
      </c>
      <c r="AH1282" s="12" t="n">
        <v>0.999999999999999</v>
      </c>
      <c r="AI1282" s="2" t="s">
        <v>317</v>
      </c>
      <c r="AJ1282" s="2" t="s">
        <v>2460</v>
      </c>
      <c r="AK1282" s="2" t="s">
        <v>2460</v>
      </c>
    </row>
    <row r="1283" customFormat="false" ht="15" hidden="false" customHeight="false" outlineLevel="0" collapsed="false">
      <c r="A1283" s="9"/>
      <c r="B1283" s="2" t="s">
        <v>2867</v>
      </c>
      <c r="C1283" s="2" t="s">
        <v>2460</v>
      </c>
      <c r="D1283" s="2" t="s">
        <v>2460</v>
      </c>
      <c r="E1283" s="2" t="s">
        <v>51</v>
      </c>
      <c r="F1283" s="2" t="s">
        <v>2868</v>
      </c>
      <c r="G1283" s="2" t="s">
        <v>2461</v>
      </c>
      <c r="H1283" s="8" t="n">
        <v>258.75655972366</v>
      </c>
      <c r="I1283" s="2" t="s">
        <v>316</v>
      </c>
      <c r="J1283" s="8" t="n">
        <v>525290.055248619</v>
      </c>
      <c r="K1283" s="6" t="n">
        <v>362</v>
      </c>
      <c r="L1283" s="2"/>
      <c r="M1283" s="10" t="b">
        <f aca="false">TRUE()</f>
        <v>1</v>
      </c>
      <c r="N1283" s="9" t="str">
        <f aca="false">IF(H1283="","",IF(H1283&gt;=Assumptions!$B$5,1,IF(H1283&gt;=Assumptions!$B$6,2,IF(H1283&gt;=Assumptions!$B$7,3,""))))</f>
        <v/>
      </c>
      <c r="O1283" s="9" t="n">
        <f aca="false">IF(N1283=1,Assumptions!$B$8,IF(N1283=2,Assumptions!$B$9,IF(N1283=3,Assumptions!$B$10,0)))</f>
        <v>0</v>
      </c>
      <c r="P1283" s="6" t="s">
        <v>30</v>
      </c>
      <c r="Q1283" s="6" t="s">
        <v>30</v>
      </c>
      <c r="R1283" s="11" t="s">
        <v>30</v>
      </c>
      <c r="S1283" s="6" t="s">
        <v>30</v>
      </c>
      <c r="T1283" s="11" t="s">
        <v>30</v>
      </c>
      <c r="U1283" s="6" t="s">
        <v>30</v>
      </c>
      <c r="V1283" s="6" t="s">
        <v>30</v>
      </c>
      <c r="W1283" s="6" t="s">
        <v>30</v>
      </c>
      <c r="X1283" s="2" t="s">
        <v>30</v>
      </c>
      <c r="Y1283" s="6" t="str">
        <f aca="false">IF(AND(X1283="processed",ISNUMBER(S1283)),S1283*O1283,"")</f>
        <v/>
      </c>
      <c r="Z1283" s="6" t="n">
        <f aca="false">IF(ISNUMBER(K1283),K1283*O1283,0)</f>
        <v>0</v>
      </c>
      <c r="AA1283" s="2" t="s">
        <v>31</v>
      </c>
      <c r="AB1283" s="6" t="n">
        <v>13788</v>
      </c>
      <c r="AC1283" s="6" t="n">
        <v>11934</v>
      </c>
      <c r="AD1283" s="6" t="n">
        <v>12131</v>
      </c>
      <c r="AE1283" s="6" t="n">
        <v>3521.61083984375</v>
      </c>
      <c r="AF1283" s="8" t="n">
        <v>253.965214038</v>
      </c>
      <c r="AG1283" s="11" t="n">
        <v>-0.04017162687</v>
      </c>
      <c r="AH1283" s="12" t="n">
        <v>0.998119898738468</v>
      </c>
      <c r="AI1283" s="2" t="s">
        <v>317</v>
      </c>
      <c r="AJ1283" s="2" t="s">
        <v>2460</v>
      </c>
      <c r="AK1283" s="2" t="s">
        <v>2460</v>
      </c>
    </row>
    <row r="1284" customFormat="false" ht="15" hidden="false" customHeight="false" outlineLevel="0" collapsed="false">
      <c r="A1284" s="9"/>
      <c r="B1284" s="2" t="s">
        <v>2869</v>
      </c>
      <c r="C1284" s="2" t="s">
        <v>2460</v>
      </c>
      <c r="D1284" s="2" t="s">
        <v>2460</v>
      </c>
      <c r="E1284" s="2" t="s">
        <v>51</v>
      </c>
      <c r="F1284" s="2"/>
      <c r="G1284" s="2" t="s">
        <v>2461</v>
      </c>
      <c r="H1284" s="8" t="n">
        <v>273.69386479734</v>
      </c>
      <c r="I1284" s="2" t="s">
        <v>316</v>
      </c>
      <c r="J1284" s="8" t="n">
        <v>510199.029126214</v>
      </c>
      <c r="K1284" s="6" t="n">
        <v>412</v>
      </c>
      <c r="L1284" s="2"/>
      <c r="M1284" s="10" t="b">
        <f aca="false">TRUE()</f>
        <v>1</v>
      </c>
      <c r="N1284" s="9" t="str">
        <f aca="false">IF(H1284="","",IF(H1284&gt;=Assumptions!$B$5,1,IF(H1284&gt;=Assumptions!$B$6,2,IF(H1284&gt;=Assumptions!$B$7,3,""))))</f>
        <v/>
      </c>
      <c r="O1284" s="9" t="n">
        <f aca="false">IF(N1284=1,Assumptions!$B$8,IF(N1284=2,Assumptions!$B$9,IF(N1284=3,Assumptions!$B$10,0)))</f>
        <v>0</v>
      </c>
      <c r="P1284" s="6" t="s">
        <v>30</v>
      </c>
      <c r="Q1284" s="6" t="s">
        <v>30</v>
      </c>
      <c r="R1284" s="11" t="s">
        <v>30</v>
      </c>
      <c r="S1284" s="6" t="s">
        <v>30</v>
      </c>
      <c r="T1284" s="11" t="s">
        <v>30</v>
      </c>
      <c r="U1284" s="6" t="s">
        <v>30</v>
      </c>
      <c r="V1284" s="6" t="s">
        <v>30</v>
      </c>
      <c r="W1284" s="6" t="s">
        <v>30</v>
      </c>
      <c r="X1284" s="2" t="s">
        <v>30</v>
      </c>
      <c r="Y1284" s="6" t="str">
        <f aca="false">IF(AND(X1284="processed",ISNUMBER(S1284)),S1284*O1284,"")</f>
        <v/>
      </c>
      <c r="Z1284" s="6" t="n">
        <f aca="false">IF(ISNUMBER(K1284),K1284*O1284,0)</f>
        <v>0</v>
      </c>
      <c r="AA1284" s="2" t="s">
        <v>31</v>
      </c>
      <c r="AB1284" s="6" t="n">
        <v>15403</v>
      </c>
      <c r="AC1284" s="6" t="n">
        <v>14190</v>
      </c>
      <c r="AD1284" s="6" t="n">
        <v>5016</v>
      </c>
      <c r="AE1284" s="6" t="n">
        <v>2818.17846679688</v>
      </c>
      <c r="AF1284" s="8" t="n">
        <v>274.924471299</v>
      </c>
      <c r="AG1284" s="11" t="n">
        <v>-0.03119006962</v>
      </c>
      <c r="AH1284" s="12" t="n">
        <v>0.999714813515036</v>
      </c>
      <c r="AI1284" s="2" t="s">
        <v>317</v>
      </c>
      <c r="AJ1284" s="2" t="s">
        <v>2460</v>
      </c>
      <c r="AK1284" s="2" t="s">
        <v>2460</v>
      </c>
    </row>
    <row r="1285" customFormat="false" ht="15" hidden="false" customHeight="false" outlineLevel="0" collapsed="false">
      <c r="A1285" s="9"/>
      <c r="B1285" s="2" t="s">
        <v>2870</v>
      </c>
      <c r="C1285" s="2" t="s">
        <v>2460</v>
      </c>
      <c r="D1285" s="2" t="s">
        <v>2460</v>
      </c>
      <c r="E1285" s="2" t="s">
        <v>51</v>
      </c>
      <c r="F1285" s="2"/>
      <c r="G1285" s="2" t="s">
        <v>2461</v>
      </c>
      <c r="H1285" s="8" t="n">
        <v>174.31745819875</v>
      </c>
      <c r="I1285" s="2" t="s">
        <v>316</v>
      </c>
      <c r="J1285" s="8" t="n">
        <v>338975</v>
      </c>
      <c r="K1285" s="6" t="n">
        <v>4</v>
      </c>
      <c r="L1285" s="2" t="s">
        <v>1664</v>
      </c>
      <c r="M1285" s="10" t="b">
        <f aca="false">TRUE()</f>
        <v>1</v>
      </c>
      <c r="N1285" s="9" t="str">
        <f aca="false">IF(H1285="","",IF(H1285&gt;=Assumptions!$B$5,1,IF(H1285&gt;=Assumptions!$B$6,2,IF(H1285&gt;=Assumptions!$B$7,3,""))))</f>
        <v/>
      </c>
      <c r="O1285" s="9" t="n">
        <f aca="false">IF(N1285=1,Assumptions!$B$8,IF(N1285=2,Assumptions!$B$9,IF(N1285=3,Assumptions!$B$10,0)))</f>
        <v>0</v>
      </c>
      <c r="P1285" s="6" t="s">
        <v>30</v>
      </c>
      <c r="Q1285" s="6" t="s">
        <v>30</v>
      </c>
      <c r="R1285" s="11" t="s">
        <v>30</v>
      </c>
      <c r="S1285" s="6" t="s">
        <v>30</v>
      </c>
      <c r="T1285" s="11" t="s">
        <v>30</v>
      </c>
      <c r="U1285" s="6" t="s">
        <v>30</v>
      </c>
      <c r="V1285" s="6" t="s">
        <v>30</v>
      </c>
      <c r="W1285" s="6" t="s">
        <v>30</v>
      </c>
      <c r="X1285" s="2" t="s">
        <v>30</v>
      </c>
      <c r="Y1285" s="6" t="str">
        <f aca="false">IF(AND(X1285="processed",ISNUMBER(S1285)),S1285*O1285,"")</f>
        <v/>
      </c>
      <c r="Z1285" s="6" t="n">
        <f aca="false">IF(ISNUMBER(K1285),K1285*O1285,0)</f>
        <v>0</v>
      </c>
      <c r="AA1285" s="2" t="s">
        <v>31</v>
      </c>
      <c r="AB1285" s="6" t="n">
        <v>1731</v>
      </c>
      <c r="AC1285" s="6" t="n">
        <v>1001</v>
      </c>
      <c r="AD1285" s="6" t="n">
        <v>453</v>
      </c>
      <c r="AE1285" s="6" t="n">
        <v>2131.79809570313</v>
      </c>
      <c r="AF1285" s="8" t="n">
        <v>197.740112994</v>
      </c>
      <c r="AG1285" s="11" t="n">
        <v>0.09129615983</v>
      </c>
      <c r="AH1285" s="12" t="n">
        <v>1</v>
      </c>
      <c r="AI1285" s="2" t="s">
        <v>317</v>
      </c>
      <c r="AJ1285" s="2" t="s">
        <v>2460</v>
      </c>
      <c r="AK1285" s="2" t="s">
        <v>2460</v>
      </c>
    </row>
    <row r="1286" customFormat="false" ht="15" hidden="false" customHeight="false" outlineLevel="0" collapsed="false">
      <c r="A1286" s="9"/>
      <c r="B1286" s="2" t="s">
        <v>2871</v>
      </c>
      <c r="C1286" s="2" t="s">
        <v>2460</v>
      </c>
      <c r="D1286" s="2" t="s">
        <v>2460</v>
      </c>
      <c r="E1286" s="2" t="s">
        <v>51</v>
      </c>
      <c r="F1286" s="2" t="s">
        <v>2872</v>
      </c>
      <c r="G1286" s="2" t="s">
        <v>2461</v>
      </c>
      <c r="H1286" s="8" t="n">
        <v>246.850686697612</v>
      </c>
      <c r="I1286" s="2" t="s">
        <v>316</v>
      </c>
      <c r="J1286" s="8" t="n">
        <v>407034.482758621</v>
      </c>
      <c r="K1286" s="6" t="n">
        <v>464</v>
      </c>
      <c r="L1286" s="2"/>
      <c r="M1286" s="10" t="b">
        <f aca="false">TRUE()</f>
        <v>1</v>
      </c>
      <c r="N1286" s="9" t="str">
        <f aca="false">IF(H1286="","",IF(H1286&gt;=Assumptions!$B$5,1,IF(H1286&gt;=Assumptions!$B$6,2,IF(H1286&gt;=Assumptions!$B$7,3,""))))</f>
        <v/>
      </c>
      <c r="O1286" s="9" t="n">
        <f aca="false">IF(N1286=1,Assumptions!$B$8,IF(N1286=2,Assumptions!$B$9,IF(N1286=3,Assumptions!$B$10,0)))</f>
        <v>0</v>
      </c>
      <c r="P1286" s="6" t="s">
        <v>30</v>
      </c>
      <c r="Q1286" s="6" t="s">
        <v>30</v>
      </c>
      <c r="R1286" s="11" t="s">
        <v>30</v>
      </c>
      <c r="S1286" s="6" t="s">
        <v>30</v>
      </c>
      <c r="T1286" s="11" t="s">
        <v>30</v>
      </c>
      <c r="U1286" s="6" t="s">
        <v>30</v>
      </c>
      <c r="V1286" s="6" t="s">
        <v>30</v>
      </c>
      <c r="W1286" s="6" t="s">
        <v>30</v>
      </c>
      <c r="X1286" s="2" t="s">
        <v>30</v>
      </c>
      <c r="Y1286" s="6" t="str">
        <f aca="false">IF(AND(X1286="processed",ISNUMBER(S1286)),S1286*O1286,"")</f>
        <v/>
      </c>
      <c r="Z1286" s="6" t="n">
        <f aca="false">IF(ISNUMBER(K1286),K1286*O1286,0)</f>
        <v>0</v>
      </c>
      <c r="AA1286" s="2" t="s">
        <v>31</v>
      </c>
      <c r="AB1286" s="6" t="n">
        <v>26496</v>
      </c>
      <c r="AC1286" s="6" t="n">
        <v>24415</v>
      </c>
      <c r="AD1286" s="6" t="n">
        <v>16442</v>
      </c>
      <c r="AE1286" s="6" t="n">
        <v>2471.70776367188</v>
      </c>
      <c r="AF1286" s="8" t="n">
        <v>247.026778528</v>
      </c>
      <c r="AG1286" s="11" t="n">
        <v>-0.02106296917</v>
      </c>
      <c r="AH1286" s="12" t="n">
        <v>0.999873496626795</v>
      </c>
      <c r="AI1286" s="2" t="s">
        <v>317</v>
      </c>
      <c r="AJ1286" s="2" t="s">
        <v>2460</v>
      </c>
      <c r="AK1286" s="2" t="s">
        <v>2460</v>
      </c>
    </row>
    <row r="1287" customFormat="false" ht="15" hidden="false" customHeight="false" outlineLevel="0" collapsed="false">
      <c r="A1287" s="9"/>
      <c r="B1287" s="2" t="s">
        <v>2873</v>
      </c>
      <c r="C1287" s="2" t="s">
        <v>2460</v>
      </c>
      <c r="D1287" s="2" t="s">
        <v>2460</v>
      </c>
      <c r="E1287" s="2" t="s">
        <v>51</v>
      </c>
      <c r="F1287" s="2"/>
      <c r="G1287" s="2" t="s">
        <v>2461</v>
      </c>
      <c r="H1287" s="8" t="n">
        <v>249.425451089595</v>
      </c>
      <c r="I1287" s="2" t="s">
        <v>316</v>
      </c>
      <c r="J1287" s="8" t="n">
        <v>498975.20661157</v>
      </c>
      <c r="K1287" s="6" t="n">
        <v>121</v>
      </c>
      <c r="L1287" s="2"/>
      <c r="M1287" s="10" t="b">
        <f aca="false">TRUE()</f>
        <v>1</v>
      </c>
      <c r="N1287" s="9" t="str">
        <f aca="false">IF(H1287="","",IF(H1287&gt;=Assumptions!$B$5,1,IF(H1287&gt;=Assumptions!$B$6,2,IF(H1287&gt;=Assumptions!$B$7,3,""))))</f>
        <v/>
      </c>
      <c r="O1287" s="9" t="n">
        <f aca="false">IF(N1287=1,Assumptions!$B$8,IF(N1287=2,Assumptions!$B$9,IF(N1287=3,Assumptions!$B$10,0)))</f>
        <v>0</v>
      </c>
      <c r="P1287" s="6" t="s">
        <v>30</v>
      </c>
      <c r="Q1287" s="6" t="s">
        <v>30</v>
      </c>
      <c r="R1287" s="11" t="s">
        <v>30</v>
      </c>
      <c r="S1287" s="6" t="s">
        <v>30</v>
      </c>
      <c r="T1287" s="11" t="s">
        <v>30</v>
      </c>
      <c r="U1287" s="6" t="s">
        <v>30</v>
      </c>
      <c r="V1287" s="6" t="s">
        <v>30</v>
      </c>
      <c r="W1287" s="6" t="s">
        <v>30</v>
      </c>
      <c r="X1287" s="2" t="s">
        <v>30</v>
      </c>
      <c r="Y1287" s="6" t="str">
        <f aca="false">IF(AND(X1287="processed",ISNUMBER(S1287)),S1287*O1287,"")</f>
        <v/>
      </c>
      <c r="Z1287" s="6" t="n">
        <f aca="false">IF(ISNUMBER(K1287),K1287*O1287,0)</f>
        <v>0</v>
      </c>
      <c r="AA1287" s="2" t="s">
        <v>31</v>
      </c>
      <c r="AB1287" s="6" t="n">
        <v>6713</v>
      </c>
      <c r="AC1287" s="6" t="n">
        <v>6048</v>
      </c>
      <c r="AD1287" s="6" t="n">
        <v>5386</v>
      </c>
      <c r="AE1287" s="6" t="n">
        <v>2598.73583984375</v>
      </c>
      <c r="AF1287" s="8" t="n">
        <v>247.324159021</v>
      </c>
      <c r="AG1287" s="11" t="n">
        <v>-0.02823831215</v>
      </c>
      <c r="AH1287" s="12" t="n">
        <v>0.999247005753536</v>
      </c>
      <c r="AI1287" s="2" t="s">
        <v>317</v>
      </c>
      <c r="AJ1287" s="2" t="s">
        <v>2460</v>
      </c>
      <c r="AK1287" s="2" t="s">
        <v>2460</v>
      </c>
    </row>
    <row r="1288" customFormat="false" ht="15" hidden="false" customHeight="false" outlineLevel="0" collapsed="false">
      <c r="A1288" s="9"/>
      <c r="B1288" s="2" t="s">
        <v>2874</v>
      </c>
      <c r="C1288" s="2" t="s">
        <v>2460</v>
      </c>
      <c r="D1288" s="2" t="s">
        <v>2460</v>
      </c>
      <c r="E1288" s="2" t="s">
        <v>51</v>
      </c>
      <c r="F1288" s="2" t="s">
        <v>2875</v>
      </c>
      <c r="G1288" s="2" t="s">
        <v>2461</v>
      </c>
      <c r="H1288" s="8" t="n">
        <v>250.919888315464</v>
      </c>
      <c r="I1288" s="2" t="s">
        <v>316</v>
      </c>
      <c r="J1288" s="8" t="n">
        <v>374350.454545455</v>
      </c>
      <c r="K1288" s="6" t="n">
        <v>110</v>
      </c>
      <c r="L1288" s="2"/>
      <c r="M1288" s="10" t="b">
        <f aca="false">TRUE()</f>
        <v>1</v>
      </c>
      <c r="N1288" s="9" t="str">
        <f aca="false">IF(H1288="","",IF(H1288&gt;=Assumptions!$B$5,1,IF(H1288&gt;=Assumptions!$B$6,2,IF(H1288&gt;=Assumptions!$B$7,3,""))))</f>
        <v/>
      </c>
      <c r="O1288" s="9" t="n">
        <f aca="false">IF(N1288=1,Assumptions!$B$8,IF(N1288=2,Assumptions!$B$9,IF(N1288=3,Assumptions!$B$10,0)))</f>
        <v>0</v>
      </c>
      <c r="P1288" s="6" t="s">
        <v>30</v>
      </c>
      <c r="Q1288" s="6" t="s">
        <v>30</v>
      </c>
      <c r="R1288" s="11" t="s">
        <v>30</v>
      </c>
      <c r="S1288" s="6" t="s">
        <v>30</v>
      </c>
      <c r="T1288" s="11" t="s">
        <v>30</v>
      </c>
      <c r="U1288" s="6" t="s">
        <v>30</v>
      </c>
      <c r="V1288" s="6" t="s">
        <v>30</v>
      </c>
      <c r="W1288" s="6" t="s">
        <v>30</v>
      </c>
      <c r="X1288" s="2" t="s">
        <v>30</v>
      </c>
      <c r="Y1288" s="6" t="str">
        <f aca="false">IF(AND(X1288="processed",ISNUMBER(S1288)),S1288*O1288,"")</f>
        <v/>
      </c>
      <c r="Z1288" s="6" t="n">
        <f aca="false">IF(ISNUMBER(K1288),K1288*O1288,0)</f>
        <v>0</v>
      </c>
      <c r="AA1288" s="2" t="s">
        <v>31</v>
      </c>
      <c r="AB1288" s="6" t="n">
        <v>10891</v>
      </c>
      <c r="AC1288" s="6" t="n">
        <v>8962</v>
      </c>
      <c r="AD1288" s="6" t="n">
        <v>6452</v>
      </c>
      <c r="AE1288" s="6" t="n">
        <v>2063.77612304688</v>
      </c>
      <c r="AF1288" s="8" t="n">
        <v>244.76217122</v>
      </c>
      <c r="AG1288" s="11" t="n">
        <v>0.1294145239</v>
      </c>
      <c r="AH1288" s="12" t="n">
        <v>1</v>
      </c>
      <c r="AI1288" s="2" t="s">
        <v>317</v>
      </c>
      <c r="AJ1288" s="2" t="s">
        <v>2460</v>
      </c>
      <c r="AK1288" s="2" t="s">
        <v>2460</v>
      </c>
    </row>
    <row r="1289" customFormat="false" ht="15" hidden="false" customHeight="false" outlineLevel="0" collapsed="false">
      <c r="A1289" s="9"/>
      <c r="B1289" s="2" t="s">
        <v>2876</v>
      </c>
      <c r="C1289" s="2" t="s">
        <v>2460</v>
      </c>
      <c r="D1289" s="2" t="s">
        <v>2460</v>
      </c>
      <c r="E1289" s="2" t="s">
        <v>51</v>
      </c>
      <c r="F1289" s="2"/>
      <c r="G1289" s="2" t="s">
        <v>2461</v>
      </c>
      <c r="H1289" s="8" t="n">
        <v>252.478471672108</v>
      </c>
      <c r="I1289" s="2" t="s">
        <v>316</v>
      </c>
      <c r="J1289" s="8" t="n">
        <v>353514.084507042</v>
      </c>
      <c r="K1289" s="6" t="n">
        <v>213</v>
      </c>
      <c r="L1289" s="2"/>
      <c r="M1289" s="10" t="b">
        <f aca="false">TRUE()</f>
        <v>1</v>
      </c>
      <c r="N1289" s="9" t="str">
        <f aca="false">IF(H1289="","",IF(H1289&gt;=Assumptions!$B$5,1,IF(H1289&gt;=Assumptions!$B$6,2,IF(H1289&gt;=Assumptions!$B$7,3,""))))</f>
        <v/>
      </c>
      <c r="O1289" s="9" t="n">
        <f aca="false">IF(N1289=1,Assumptions!$B$8,IF(N1289=2,Assumptions!$B$9,IF(N1289=3,Assumptions!$B$10,0)))</f>
        <v>0</v>
      </c>
      <c r="P1289" s="6" t="s">
        <v>30</v>
      </c>
      <c r="Q1289" s="6" t="s">
        <v>30</v>
      </c>
      <c r="R1289" s="11" t="s">
        <v>30</v>
      </c>
      <c r="S1289" s="6" t="s">
        <v>30</v>
      </c>
      <c r="T1289" s="11" t="s">
        <v>30</v>
      </c>
      <c r="U1289" s="6" t="s">
        <v>30</v>
      </c>
      <c r="V1289" s="6" t="s">
        <v>30</v>
      </c>
      <c r="W1289" s="6" t="s">
        <v>30</v>
      </c>
      <c r="X1289" s="2" t="s">
        <v>30</v>
      </c>
      <c r="Y1289" s="6" t="str">
        <f aca="false">IF(AND(X1289="processed",ISNUMBER(S1289)),S1289*O1289,"")</f>
        <v/>
      </c>
      <c r="Z1289" s="6" t="n">
        <f aca="false">IF(ISNUMBER(K1289),K1289*O1289,0)</f>
        <v>0</v>
      </c>
      <c r="AA1289" s="2" t="s">
        <v>31</v>
      </c>
      <c r="AB1289" s="6" t="n">
        <v>11257</v>
      </c>
      <c r="AC1289" s="6" t="n">
        <v>10165</v>
      </c>
      <c r="AD1289" s="6" t="n">
        <v>10037</v>
      </c>
      <c r="AE1289" s="6" t="n">
        <v>2426.00390625</v>
      </c>
      <c r="AF1289" s="8" t="n">
        <v>254.178272981</v>
      </c>
      <c r="AG1289" s="11" t="n">
        <v>0.01051362185</v>
      </c>
      <c r="AH1289" s="12" t="n">
        <v>1</v>
      </c>
      <c r="AI1289" s="2" t="s">
        <v>317</v>
      </c>
      <c r="AJ1289" s="2" t="s">
        <v>2460</v>
      </c>
      <c r="AK1289" s="2" t="s">
        <v>2460</v>
      </c>
    </row>
    <row r="1290" customFormat="false" ht="15" hidden="false" customHeight="false" outlineLevel="0" collapsed="false">
      <c r="A1290" s="9"/>
      <c r="B1290" s="2" t="s">
        <v>2877</v>
      </c>
      <c r="C1290" s="2" t="s">
        <v>2460</v>
      </c>
      <c r="D1290" s="2" t="s">
        <v>2460</v>
      </c>
      <c r="E1290" s="2" t="s">
        <v>51</v>
      </c>
      <c r="F1290" s="2"/>
      <c r="G1290" s="2" t="s">
        <v>2461</v>
      </c>
      <c r="H1290" s="8" t="n">
        <v>257.612337876743</v>
      </c>
      <c r="I1290" s="2" t="s">
        <v>316</v>
      </c>
      <c r="J1290" s="8" t="n">
        <v>437827.451669596</v>
      </c>
      <c r="K1290" s="6" t="n">
        <v>569</v>
      </c>
      <c r="L1290" s="2"/>
      <c r="M1290" s="10" t="b">
        <f aca="false">TRUE()</f>
        <v>1</v>
      </c>
      <c r="N1290" s="9" t="str">
        <f aca="false">IF(H1290="","",IF(H1290&gt;=Assumptions!$B$5,1,IF(H1290&gt;=Assumptions!$B$6,2,IF(H1290&gt;=Assumptions!$B$7,3,""))))</f>
        <v/>
      </c>
      <c r="O1290" s="9" t="n">
        <f aca="false">IF(N1290=1,Assumptions!$B$8,IF(N1290=2,Assumptions!$B$9,IF(N1290=3,Assumptions!$B$10,0)))</f>
        <v>0</v>
      </c>
      <c r="P1290" s="6" t="s">
        <v>30</v>
      </c>
      <c r="Q1290" s="6" t="s">
        <v>30</v>
      </c>
      <c r="R1290" s="11" t="s">
        <v>30</v>
      </c>
      <c r="S1290" s="6" t="s">
        <v>30</v>
      </c>
      <c r="T1290" s="11" t="s">
        <v>30</v>
      </c>
      <c r="U1290" s="6" t="s">
        <v>30</v>
      </c>
      <c r="V1290" s="6" t="s">
        <v>30</v>
      </c>
      <c r="W1290" s="6" t="s">
        <v>30</v>
      </c>
      <c r="X1290" s="2" t="s">
        <v>30</v>
      </c>
      <c r="Y1290" s="6" t="str">
        <f aca="false">IF(AND(X1290="processed",ISNUMBER(S1290)),S1290*O1290,"")</f>
        <v/>
      </c>
      <c r="Z1290" s="6" t="n">
        <f aca="false">IF(ISNUMBER(K1290),K1290*O1290,0)</f>
        <v>0</v>
      </c>
      <c r="AA1290" s="2" t="s">
        <v>31</v>
      </c>
      <c r="AB1290" s="6" t="n">
        <v>29135</v>
      </c>
      <c r="AC1290" s="6" t="n">
        <v>26246</v>
      </c>
      <c r="AD1290" s="6" t="n">
        <v>17652</v>
      </c>
      <c r="AE1290" s="6" t="n">
        <v>2571.79077148438</v>
      </c>
      <c r="AF1290" s="8" t="n">
        <v>261.550575409</v>
      </c>
      <c r="AG1290" s="11" t="n">
        <v>0.007367034735</v>
      </c>
      <c r="AH1290" s="12" t="n">
        <v>0.999999999999999</v>
      </c>
      <c r="AI1290" s="2" t="s">
        <v>317</v>
      </c>
      <c r="AJ1290" s="2" t="s">
        <v>2460</v>
      </c>
      <c r="AK1290" s="2" t="s">
        <v>2460</v>
      </c>
    </row>
    <row r="1291" customFormat="false" ht="15" hidden="false" customHeight="false" outlineLevel="0" collapsed="false">
      <c r="A1291" s="9"/>
      <c r="B1291" s="2" t="s">
        <v>2878</v>
      </c>
      <c r="C1291" s="2" t="s">
        <v>2460</v>
      </c>
      <c r="D1291" s="2" t="s">
        <v>2460</v>
      </c>
      <c r="E1291" s="2" t="s">
        <v>51</v>
      </c>
      <c r="F1291" s="2"/>
      <c r="G1291" s="2" t="s">
        <v>2461</v>
      </c>
      <c r="H1291" s="8" t="n">
        <v>257.243080206132</v>
      </c>
      <c r="I1291" s="2" t="s">
        <v>316</v>
      </c>
      <c r="J1291" s="8" t="n">
        <v>329503.875968992</v>
      </c>
      <c r="K1291" s="6" t="n">
        <v>129</v>
      </c>
      <c r="L1291" s="2"/>
      <c r="M1291" s="10" t="b">
        <f aca="false">TRUE()</f>
        <v>1</v>
      </c>
      <c r="N1291" s="9" t="str">
        <f aca="false">IF(H1291="","",IF(H1291&gt;=Assumptions!$B$5,1,IF(H1291&gt;=Assumptions!$B$6,2,IF(H1291&gt;=Assumptions!$B$7,3,""))))</f>
        <v/>
      </c>
      <c r="O1291" s="9" t="n">
        <f aca="false">IF(N1291=1,Assumptions!$B$8,IF(N1291=2,Assumptions!$B$9,IF(N1291=3,Assumptions!$B$10,0)))</f>
        <v>0</v>
      </c>
      <c r="P1291" s="6" t="s">
        <v>30</v>
      </c>
      <c r="Q1291" s="6" t="s">
        <v>30</v>
      </c>
      <c r="R1291" s="11" t="s">
        <v>30</v>
      </c>
      <c r="S1291" s="6" t="s">
        <v>30</v>
      </c>
      <c r="T1291" s="11" t="s">
        <v>30</v>
      </c>
      <c r="U1291" s="6" t="s">
        <v>30</v>
      </c>
      <c r="V1291" s="6" t="s">
        <v>30</v>
      </c>
      <c r="W1291" s="6" t="s">
        <v>30</v>
      </c>
      <c r="X1291" s="2" t="s">
        <v>30</v>
      </c>
      <c r="Y1291" s="6" t="str">
        <f aca="false">IF(AND(X1291="processed",ISNUMBER(S1291)),S1291*O1291,"")</f>
        <v/>
      </c>
      <c r="Z1291" s="6" t="n">
        <f aca="false">IF(ISNUMBER(K1291),K1291*O1291,0)</f>
        <v>0</v>
      </c>
      <c r="AA1291" s="2" t="s">
        <v>31</v>
      </c>
      <c r="AB1291" s="6" t="n">
        <v>7548</v>
      </c>
      <c r="AC1291" s="6" t="n">
        <v>6075</v>
      </c>
      <c r="AD1291" s="6" t="n">
        <v>4161</v>
      </c>
      <c r="AE1291" s="6" t="n">
        <v>1704.65283203125</v>
      </c>
      <c r="AF1291" s="8" t="n">
        <v>263.748597082</v>
      </c>
      <c r="AG1291" s="11" t="n">
        <v>0.05786125236</v>
      </c>
      <c r="AH1291" s="12" t="n">
        <v>1</v>
      </c>
      <c r="AI1291" s="2" t="s">
        <v>317</v>
      </c>
      <c r="AJ1291" s="2" t="s">
        <v>2460</v>
      </c>
      <c r="AK1291" s="2" t="s">
        <v>2460</v>
      </c>
    </row>
    <row r="1292" customFormat="false" ht="15" hidden="false" customHeight="false" outlineLevel="0" collapsed="false">
      <c r="A1292" s="9"/>
      <c r="B1292" s="2" t="s">
        <v>2879</v>
      </c>
      <c r="C1292" s="2" t="s">
        <v>2460</v>
      </c>
      <c r="D1292" s="2" t="s">
        <v>2460</v>
      </c>
      <c r="E1292" s="2" t="s">
        <v>51</v>
      </c>
      <c r="F1292" s="2"/>
      <c r="G1292" s="2" t="s">
        <v>2461</v>
      </c>
      <c r="H1292" s="8" t="n">
        <v>303.16195536909</v>
      </c>
      <c r="I1292" s="2" t="s">
        <v>316</v>
      </c>
      <c r="J1292" s="8" t="n">
        <v>653090.047393365</v>
      </c>
      <c r="K1292" s="6" t="n">
        <v>211</v>
      </c>
      <c r="L1292" s="2"/>
      <c r="M1292" s="10" t="b">
        <f aca="false">TRUE()</f>
        <v>1</v>
      </c>
      <c r="N1292" s="9" t="str">
        <f aca="false">IF(H1292="","",IF(H1292&gt;=Assumptions!$B$5,1,IF(H1292&gt;=Assumptions!$B$6,2,IF(H1292&gt;=Assumptions!$B$7,3,""))))</f>
        <v/>
      </c>
      <c r="O1292" s="9" t="n">
        <f aca="false">IF(N1292=1,Assumptions!$B$8,IF(N1292=2,Assumptions!$B$9,IF(N1292=3,Assumptions!$B$10,0)))</f>
        <v>0</v>
      </c>
      <c r="P1292" s="6" t="s">
        <v>30</v>
      </c>
      <c r="Q1292" s="6" t="s">
        <v>30</v>
      </c>
      <c r="R1292" s="11" t="s">
        <v>30</v>
      </c>
      <c r="S1292" s="6" t="s">
        <v>30</v>
      </c>
      <c r="T1292" s="11" t="s">
        <v>30</v>
      </c>
      <c r="U1292" s="6" t="s">
        <v>30</v>
      </c>
      <c r="V1292" s="6" t="s">
        <v>30</v>
      </c>
      <c r="W1292" s="6" t="s">
        <v>30</v>
      </c>
      <c r="X1292" s="2" t="s">
        <v>30</v>
      </c>
      <c r="Y1292" s="6" t="str">
        <f aca="false">IF(AND(X1292="processed",ISNUMBER(S1292)),S1292*O1292,"")</f>
        <v/>
      </c>
      <c r="Z1292" s="6" t="n">
        <f aca="false">IF(ISNUMBER(K1292),K1292*O1292,0)</f>
        <v>0</v>
      </c>
      <c r="AA1292" s="2" t="s">
        <v>31</v>
      </c>
      <c r="AB1292" s="6" t="n">
        <v>5497</v>
      </c>
      <c r="AC1292" s="6" t="n">
        <v>5012</v>
      </c>
      <c r="AD1292" s="6" t="n">
        <v>3045</v>
      </c>
      <c r="AE1292" s="6" t="n">
        <v>2939.61083984375</v>
      </c>
      <c r="AF1292" s="8" t="n">
        <v>317.890586496</v>
      </c>
      <c r="AG1292" s="11" t="n">
        <v>-0.001326858381</v>
      </c>
      <c r="AH1292" s="12" t="n">
        <v>0.99533155005473</v>
      </c>
      <c r="AI1292" s="2" t="s">
        <v>317</v>
      </c>
      <c r="AJ1292" s="2" t="s">
        <v>2460</v>
      </c>
      <c r="AK1292" s="2" t="s">
        <v>2460</v>
      </c>
    </row>
    <row r="1293" customFormat="false" ht="15" hidden="false" customHeight="false" outlineLevel="0" collapsed="false">
      <c r="A1293" s="9"/>
      <c r="B1293" s="2" t="s">
        <v>2880</v>
      </c>
      <c r="C1293" s="2"/>
      <c r="D1293" s="2" t="s">
        <v>1190</v>
      </c>
      <c r="E1293" s="2" t="s">
        <v>1191</v>
      </c>
      <c r="F1293" s="2"/>
      <c r="G1293" s="2" t="s">
        <v>2461</v>
      </c>
      <c r="H1293" s="8" t="n">
        <v>262.950083825466</v>
      </c>
      <c r="I1293" s="2" t="s">
        <v>316</v>
      </c>
      <c r="J1293" s="8" t="n">
        <v>509086.206896552</v>
      </c>
      <c r="K1293" s="6" t="n">
        <v>58</v>
      </c>
      <c r="L1293" s="2"/>
      <c r="M1293" s="10" t="b">
        <f aca="false">FALSE()</f>
        <v>0</v>
      </c>
      <c r="N1293" s="9" t="str">
        <f aca="false">IF(H1293="","",IF(H1293&gt;=Assumptions!$B$5,1,IF(H1293&gt;=Assumptions!$B$6,2,IF(H1293&gt;=Assumptions!$B$7,3,""))))</f>
        <v/>
      </c>
      <c r="O1293" s="9" t="n">
        <f aca="false">IF(N1293=1,Assumptions!$B$8,IF(N1293=2,Assumptions!$B$9,IF(N1293=3,Assumptions!$B$10,0)))</f>
        <v>0</v>
      </c>
      <c r="P1293" s="6" t="s">
        <v>30</v>
      </c>
      <c r="Q1293" s="6" t="s">
        <v>30</v>
      </c>
      <c r="R1293" s="11" t="s">
        <v>30</v>
      </c>
      <c r="S1293" s="6" t="s">
        <v>30</v>
      </c>
      <c r="T1293" s="11" t="s">
        <v>30</v>
      </c>
      <c r="U1293" s="6" t="s">
        <v>30</v>
      </c>
      <c r="V1293" s="6" t="s">
        <v>30</v>
      </c>
      <c r="W1293" s="6" t="s">
        <v>30</v>
      </c>
      <c r="X1293" s="2" t="s">
        <v>30</v>
      </c>
      <c r="Y1293" s="6" t="str">
        <f aca="false">IF(AND(X1293="processed",ISNUMBER(S1293)),S1293*O1293,"")</f>
        <v/>
      </c>
      <c r="Z1293" s="6" t="n">
        <f aca="false">IF(ISNUMBER(K1293),K1293*O1293,0)</f>
        <v>0</v>
      </c>
      <c r="AA1293" s="2" t="s">
        <v>31</v>
      </c>
      <c r="AB1293" s="6"/>
      <c r="AC1293" s="6"/>
      <c r="AD1293" s="6"/>
      <c r="AE1293" s="6"/>
      <c r="AF1293" s="8" t="n">
        <v>265.235353557</v>
      </c>
      <c r="AG1293" s="11" t="n">
        <v>-0.003508297853</v>
      </c>
      <c r="AH1293" s="12"/>
      <c r="AI1293" s="2"/>
      <c r="AJ1293" s="2"/>
      <c r="AK1293" s="2"/>
    </row>
    <row r="1294" customFormat="false" ht="15" hidden="false" customHeight="false" outlineLevel="0" collapsed="false">
      <c r="A1294" s="9"/>
      <c r="B1294" s="2" t="s">
        <v>2881</v>
      </c>
      <c r="C1294" s="2"/>
      <c r="D1294" s="2" t="s">
        <v>1190</v>
      </c>
      <c r="E1294" s="2" t="s">
        <v>1191</v>
      </c>
      <c r="F1294" s="2"/>
      <c r="G1294" s="2" t="s">
        <v>2461</v>
      </c>
      <c r="H1294" s="8" t="n">
        <v>155.1378761078</v>
      </c>
      <c r="I1294" s="2" t="s">
        <v>337</v>
      </c>
      <c r="J1294" s="8" t="n">
        <v>214600</v>
      </c>
      <c r="K1294" s="6" t="n">
        <v>5</v>
      </c>
      <c r="L1294" s="2"/>
      <c r="M1294" s="10" t="b">
        <f aca="false">FALSE()</f>
        <v>0</v>
      </c>
      <c r="N1294" s="9" t="str">
        <f aca="false">IF(H1294="","",IF(H1294&gt;=Assumptions!$B$5,1,IF(H1294&gt;=Assumptions!$B$6,2,IF(H1294&gt;=Assumptions!$B$7,3,""))))</f>
        <v/>
      </c>
      <c r="O1294" s="9" t="n">
        <f aca="false">IF(N1294=1,Assumptions!$B$8,IF(N1294=2,Assumptions!$B$9,IF(N1294=3,Assumptions!$B$10,0)))</f>
        <v>0</v>
      </c>
      <c r="P1294" s="6" t="s">
        <v>30</v>
      </c>
      <c r="Q1294" s="6" t="s">
        <v>30</v>
      </c>
      <c r="R1294" s="11" t="s">
        <v>30</v>
      </c>
      <c r="S1294" s="6" t="s">
        <v>30</v>
      </c>
      <c r="T1294" s="11" t="s">
        <v>30</v>
      </c>
      <c r="U1294" s="6" t="s">
        <v>30</v>
      </c>
      <c r="V1294" s="6" t="s">
        <v>30</v>
      </c>
      <c r="W1294" s="6" t="s">
        <v>30</v>
      </c>
      <c r="X1294" s="2" t="s">
        <v>30</v>
      </c>
      <c r="Y1294" s="6" t="str">
        <f aca="false">IF(AND(X1294="processed",ISNUMBER(S1294)),S1294*O1294,"")</f>
        <v/>
      </c>
      <c r="Z1294" s="6" t="n">
        <f aca="false">IF(ISNUMBER(K1294),K1294*O1294,0)</f>
        <v>0</v>
      </c>
      <c r="AA1294" s="2" t="s">
        <v>31</v>
      </c>
      <c r="AB1294" s="6"/>
      <c r="AC1294" s="6"/>
      <c r="AD1294" s="6"/>
      <c r="AE1294" s="6"/>
      <c r="AF1294" s="8"/>
      <c r="AG1294" s="11"/>
      <c r="AH1294" s="12"/>
      <c r="AI1294" s="2"/>
      <c r="AJ1294" s="2"/>
      <c r="AK1294" s="2"/>
    </row>
    <row r="1295" customFormat="false" ht="15" hidden="false" customHeight="false" outlineLevel="0" collapsed="false">
      <c r="A1295" s="9"/>
      <c r="B1295" s="2" t="s">
        <v>2882</v>
      </c>
      <c r="C1295" s="2" t="s">
        <v>1045</v>
      </c>
      <c r="D1295" s="2" t="s">
        <v>380</v>
      </c>
      <c r="E1295" s="2" t="s">
        <v>51</v>
      </c>
      <c r="F1295" s="2" t="s">
        <v>2883</v>
      </c>
      <c r="G1295" s="2" t="s">
        <v>381</v>
      </c>
      <c r="H1295" s="8" t="n">
        <v>488.94213790423</v>
      </c>
      <c r="I1295" s="2" t="s">
        <v>316</v>
      </c>
      <c r="J1295" s="8" t="n">
        <v>678524.590163934</v>
      </c>
      <c r="K1295" s="6" t="n">
        <v>61</v>
      </c>
      <c r="L1295" s="2"/>
      <c r="M1295" s="10" t="b">
        <f aca="false">TRUE()</f>
        <v>1</v>
      </c>
      <c r="N1295" s="9" t="str">
        <f aca="false">IF(H1295="","",IF(H1295&gt;=Assumptions!$B$5,1,IF(H1295&gt;=Assumptions!$B$6,2,IF(H1295&gt;=Assumptions!$B$7,3,""))))</f>
        <v/>
      </c>
      <c r="O1295" s="9" t="n">
        <f aca="false">IF(N1295=1,Assumptions!$B$8,IF(N1295=2,Assumptions!$B$9,IF(N1295=3,Assumptions!$B$10,0)))</f>
        <v>0</v>
      </c>
      <c r="P1295" s="6" t="s">
        <v>30</v>
      </c>
      <c r="Q1295" s="6" t="s">
        <v>30</v>
      </c>
      <c r="R1295" s="11" t="s">
        <v>30</v>
      </c>
      <c r="S1295" s="6" t="s">
        <v>30</v>
      </c>
      <c r="T1295" s="11" t="s">
        <v>30</v>
      </c>
      <c r="U1295" s="6" t="s">
        <v>30</v>
      </c>
      <c r="V1295" s="6" t="s">
        <v>30</v>
      </c>
      <c r="W1295" s="6" t="s">
        <v>30</v>
      </c>
      <c r="X1295" s="2" t="s">
        <v>30</v>
      </c>
      <c r="Y1295" s="6" t="str">
        <f aca="false">IF(AND(X1295="processed",ISNUMBER(S1295)),S1295*O1295,"")</f>
        <v/>
      </c>
      <c r="Z1295" s="6" t="n">
        <f aca="false">IF(ISNUMBER(K1295),K1295*O1295,0)</f>
        <v>0</v>
      </c>
      <c r="AA1295" s="2" t="s">
        <v>31</v>
      </c>
      <c r="AB1295" s="6" t="n">
        <v>14605</v>
      </c>
      <c r="AC1295" s="6" t="n">
        <v>10764</v>
      </c>
      <c r="AD1295" s="6" t="n">
        <v>557</v>
      </c>
      <c r="AE1295" s="6" t="n">
        <v>1923.83923339844</v>
      </c>
      <c r="AF1295" s="8" t="n">
        <v>473.020322355</v>
      </c>
      <c r="AG1295" s="11" t="n">
        <v>0.07918710582</v>
      </c>
      <c r="AH1295" s="12" t="n">
        <v>1</v>
      </c>
      <c r="AI1295" s="2" t="s">
        <v>317</v>
      </c>
      <c r="AJ1295" s="2" t="s">
        <v>1045</v>
      </c>
      <c r="AK1295" s="2" t="s">
        <v>1045</v>
      </c>
    </row>
    <row r="1296" customFormat="false" ht="15" hidden="false" customHeight="false" outlineLevel="0" collapsed="false">
      <c r="A1296" s="9"/>
      <c r="B1296" s="2" t="s">
        <v>2884</v>
      </c>
      <c r="C1296" s="2" t="s">
        <v>2885</v>
      </c>
      <c r="D1296" s="2" t="s">
        <v>380</v>
      </c>
      <c r="E1296" s="2" t="s">
        <v>51</v>
      </c>
      <c r="F1296" s="2"/>
      <c r="G1296" s="2" t="s">
        <v>381</v>
      </c>
      <c r="H1296" s="8" t="n">
        <v>384.6946071776</v>
      </c>
      <c r="I1296" s="2" t="s">
        <v>316</v>
      </c>
      <c r="J1296" s="8" t="n">
        <v>709100</v>
      </c>
      <c r="K1296" s="6" t="n">
        <v>10</v>
      </c>
      <c r="L1296" s="2"/>
      <c r="M1296" s="10" t="b">
        <f aca="false">TRUE()</f>
        <v>1</v>
      </c>
      <c r="N1296" s="9" t="str">
        <f aca="false">IF(H1296="","",IF(H1296&gt;=Assumptions!$B$5,1,IF(H1296&gt;=Assumptions!$B$6,2,IF(H1296&gt;=Assumptions!$B$7,3,""))))</f>
        <v/>
      </c>
      <c r="O1296" s="9" t="n">
        <f aca="false">IF(N1296=1,Assumptions!$B$8,IF(N1296=2,Assumptions!$B$9,IF(N1296=3,Assumptions!$B$10,0)))</f>
        <v>0</v>
      </c>
      <c r="P1296" s="6" t="s">
        <v>30</v>
      </c>
      <c r="Q1296" s="6" t="s">
        <v>30</v>
      </c>
      <c r="R1296" s="11" t="s">
        <v>30</v>
      </c>
      <c r="S1296" s="6" t="s">
        <v>30</v>
      </c>
      <c r="T1296" s="11" t="s">
        <v>30</v>
      </c>
      <c r="U1296" s="6" t="s">
        <v>30</v>
      </c>
      <c r="V1296" s="6" t="s">
        <v>30</v>
      </c>
      <c r="W1296" s="6" t="s">
        <v>30</v>
      </c>
      <c r="X1296" s="2" t="s">
        <v>30</v>
      </c>
      <c r="Y1296" s="6" t="str">
        <f aca="false">IF(AND(X1296="processed",ISNUMBER(S1296)),S1296*O1296,"")</f>
        <v/>
      </c>
      <c r="Z1296" s="6" t="n">
        <f aca="false">IF(ISNUMBER(K1296),K1296*O1296,0)</f>
        <v>0</v>
      </c>
      <c r="AA1296" s="2" t="s">
        <v>31</v>
      </c>
      <c r="AB1296" s="6" t="n">
        <v>2727</v>
      </c>
      <c r="AC1296" s="6" t="n">
        <v>2384</v>
      </c>
      <c r="AD1296" s="6" t="n">
        <v>718</v>
      </c>
      <c r="AE1296" s="6" t="n">
        <v>2192.46826171875</v>
      </c>
      <c r="AF1296" s="8" t="n">
        <v>372.6986978</v>
      </c>
      <c r="AG1296" s="11" t="n">
        <v>-0.1049584303</v>
      </c>
      <c r="AH1296" s="12" t="n">
        <v>0.999645896811224</v>
      </c>
      <c r="AI1296" s="2" t="s">
        <v>328</v>
      </c>
      <c r="AJ1296" s="2" t="s">
        <v>2885</v>
      </c>
      <c r="AK1296" s="2" t="s">
        <v>2885</v>
      </c>
    </row>
    <row r="1297" customFormat="false" ht="15" hidden="false" customHeight="false" outlineLevel="0" collapsed="false">
      <c r="A1297" s="9"/>
      <c r="B1297" s="2" t="s">
        <v>2886</v>
      </c>
      <c r="C1297" s="2" t="s">
        <v>2887</v>
      </c>
      <c r="D1297" s="2" t="s">
        <v>380</v>
      </c>
      <c r="E1297" s="2" t="s">
        <v>51</v>
      </c>
      <c r="F1297" s="2"/>
      <c r="G1297" s="2" t="s">
        <v>381</v>
      </c>
      <c r="H1297" s="8" t="n">
        <v>371.314304493617</v>
      </c>
      <c r="I1297" s="2" t="s">
        <v>316</v>
      </c>
      <c r="J1297" s="8" t="n">
        <v>578914.893617021</v>
      </c>
      <c r="K1297" s="6" t="n">
        <v>47</v>
      </c>
      <c r="L1297" s="2"/>
      <c r="M1297" s="10" t="b">
        <f aca="false">TRUE()</f>
        <v>1</v>
      </c>
      <c r="N1297" s="9" t="str">
        <f aca="false">IF(H1297="","",IF(H1297&gt;=Assumptions!$B$5,1,IF(H1297&gt;=Assumptions!$B$6,2,IF(H1297&gt;=Assumptions!$B$7,3,""))))</f>
        <v/>
      </c>
      <c r="O1297" s="9" t="n">
        <f aca="false">IF(N1297=1,Assumptions!$B$8,IF(N1297=2,Assumptions!$B$9,IF(N1297=3,Assumptions!$B$10,0)))</f>
        <v>0</v>
      </c>
      <c r="P1297" s="6" t="s">
        <v>30</v>
      </c>
      <c r="Q1297" s="6" t="s">
        <v>30</v>
      </c>
      <c r="R1297" s="11" t="s">
        <v>30</v>
      </c>
      <c r="S1297" s="6" t="s">
        <v>30</v>
      </c>
      <c r="T1297" s="11" t="s">
        <v>30</v>
      </c>
      <c r="U1297" s="6" t="s">
        <v>30</v>
      </c>
      <c r="V1297" s="6" t="s">
        <v>30</v>
      </c>
      <c r="W1297" s="6" t="s">
        <v>30</v>
      </c>
      <c r="X1297" s="2" t="s">
        <v>30</v>
      </c>
      <c r="Y1297" s="6" t="str">
        <f aca="false">IF(AND(X1297="processed",ISNUMBER(S1297)),S1297*O1297,"")</f>
        <v/>
      </c>
      <c r="Z1297" s="6" t="n">
        <f aca="false">IF(ISNUMBER(K1297),K1297*O1297,0)</f>
        <v>0</v>
      </c>
      <c r="AA1297" s="2" t="s">
        <v>31</v>
      </c>
      <c r="AB1297" s="6" t="n">
        <v>5835</v>
      </c>
      <c r="AC1297" s="6" t="n">
        <v>4937</v>
      </c>
      <c r="AD1297" s="6" t="n">
        <v>2515</v>
      </c>
      <c r="AE1297" s="6" t="n">
        <v>1979.240234375</v>
      </c>
      <c r="AF1297" s="8" t="n">
        <v>347.30735781</v>
      </c>
      <c r="AG1297" s="11" t="n">
        <v>-0.1363481654</v>
      </c>
      <c r="AH1297" s="12" t="n">
        <v>1</v>
      </c>
      <c r="AI1297" s="2" t="s">
        <v>317</v>
      </c>
      <c r="AJ1297" s="2" t="s">
        <v>2887</v>
      </c>
      <c r="AK1297" s="2" t="s">
        <v>2887</v>
      </c>
    </row>
    <row r="1298" customFormat="false" ht="15" hidden="false" customHeight="false" outlineLevel="0" collapsed="false">
      <c r="A1298" s="9"/>
      <c r="B1298" s="2" t="s">
        <v>2888</v>
      </c>
      <c r="C1298" s="2" t="s">
        <v>2889</v>
      </c>
      <c r="D1298" s="2" t="s">
        <v>380</v>
      </c>
      <c r="E1298" s="2" t="s">
        <v>51</v>
      </c>
      <c r="F1298" s="2"/>
      <c r="G1298" s="2"/>
      <c r="H1298" s="8"/>
      <c r="I1298" s="2"/>
      <c r="J1298" s="8"/>
      <c r="K1298" s="6"/>
      <c r="L1298" s="2"/>
      <c r="M1298" s="10" t="b">
        <f aca="false">TRUE()</f>
        <v>1</v>
      </c>
      <c r="N1298" s="9" t="str">
        <f aca="false">IF(H1298="","",IF(H1298&gt;=Assumptions!$B$5,1,IF(H1298&gt;=Assumptions!$B$6,2,IF(H1298&gt;=Assumptions!$B$7,3,""))))</f>
        <v/>
      </c>
      <c r="O1298" s="9" t="n">
        <f aca="false">IF(N1298=1,Assumptions!$B$8,IF(N1298=2,Assumptions!$B$9,IF(N1298=3,Assumptions!$B$10,0)))</f>
        <v>0</v>
      </c>
      <c r="P1298" s="6" t="s">
        <v>30</v>
      </c>
      <c r="Q1298" s="6" t="s">
        <v>30</v>
      </c>
      <c r="R1298" s="11" t="s">
        <v>30</v>
      </c>
      <c r="S1298" s="6" t="s">
        <v>30</v>
      </c>
      <c r="T1298" s="11" t="s">
        <v>30</v>
      </c>
      <c r="U1298" s="6" t="s">
        <v>30</v>
      </c>
      <c r="V1298" s="6" t="s">
        <v>30</v>
      </c>
      <c r="W1298" s="6" t="s">
        <v>30</v>
      </c>
      <c r="X1298" s="2" t="s">
        <v>30</v>
      </c>
      <c r="Y1298" s="6" t="str">
        <f aca="false">IF(AND(X1298="processed",ISNUMBER(S1298)),S1298*O1298,"")</f>
        <v/>
      </c>
      <c r="Z1298" s="6" t="n">
        <f aca="false">IF(ISNUMBER(K1298),K1298*O1298,0)</f>
        <v>0</v>
      </c>
      <c r="AA1298" s="2" t="s">
        <v>31</v>
      </c>
      <c r="AB1298" s="6" t="n">
        <v>235</v>
      </c>
      <c r="AC1298" s="6" t="n">
        <v>165</v>
      </c>
      <c r="AD1298" s="6" t="n">
        <v>96</v>
      </c>
      <c r="AE1298" s="6" t="n">
        <v>2625.49194335938</v>
      </c>
      <c r="AF1298" s="8"/>
      <c r="AG1298" s="11"/>
      <c r="AH1298" s="12" t="n">
        <v>0.999999999999999</v>
      </c>
      <c r="AI1298" s="2" t="s">
        <v>1597</v>
      </c>
      <c r="AJ1298" s="2"/>
      <c r="AK1298" s="2" t="s">
        <v>2889</v>
      </c>
    </row>
    <row r="1299" customFormat="false" ht="15" hidden="false" customHeight="false" outlineLevel="0" collapsed="false">
      <c r="A1299" s="9"/>
      <c r="B1299" s="2" t="s">
        <v>2890</v>
      </c>
      <c r="C1299" s="2" t="s">
        <v>2891</v>
      </c>
      <c r="D1299" s="2" t="s">
        <v>380</v>
      </c>
      <c r="E1299" s="2" t="s">
        <v>51</v>
      </c>
      <c r="F1299" s="2" t="s">
        <v>2892</v>
      </c>
      <c r="G1299" s="2" t="s">
        <v>381</v>
      </c>
      <c r="H1299" s="8" t="n">
        <v>364.276629855827</v>
      </c>
      <c r="I1299" s="2" t="s">
        <v>316</v>
      </c>
      <c r="J1299" s="8" t="n">
        <v>556914.666666667</v>
      </c>
      <c r="K1299" s="6" t="n">
        <v>75</v>
      </c>
      <c r="L1299" s="2"/>
      <c r="M1299" s="10" t="b">
        <f aca="false">TRUE()</f>
        <v>1</v>
      </c>
      <c r="N1299" s="9" t="str">
        <f aca="false">IF(H1299="","",IF(H1299&gt;=Assumptions!$B$5,1,IF(H1299&gt;=Assumptions!$B$6,2,IF(H1299&gt;=Assumptions!$B$7,3,""))))</f>
        <v/>
      </c>
      <c r="O1299" s="9" t="n">
        <f aca="false">IF(N1299=1,Assumptions!$B$8,IF(N1299=2,Assumptions!$B$9,IF(N1299=3,Assumptions!$B$10,0)))</f>
        <v>0</v>
      </c>
      <c r="P1299" s="6" t="s">
        <v>30</v>
      </c>
      <c r="Q1299" s="6" t="s">
        <v>30</v>
      </c>
      <c r="R1299" s="11" t="s">
        <v>30</v>
      </c>
      <c r="S1299" s="6" t="s">
        <v>30</v>
      </c>
      <c r="T1299" s="11" t="s">
        <v>30</v>
      </c>
      <c r="U1299" s="6" t="s">
        <v>30</v>
      </c>
      <c r="V1299" s="6" t="s">
        <v>30</v>
      </c>
      <c r="W1299" s="6" t="s">
        <v>30</v>
      </c>
      <c r="X1299" s="2" t="s">
        <v>30</v>
      </c>
      <c r="Y1299" s="6" t="str">
        <f aca="false">IF(AND(X1299="processed",ISNUMBER(S1299)),S1299*O1299,"")</f>
        <v/>
      </c>
      <c r="Z1299" s="6" t="n">
        <f aca="false">IF(ISNUMBER(K1299),K1299*O1299,0)</f>
        <v>0</v>
      </c>
      <c r="AA1299" s="2" t="s">
        <v>31</v>
      </c>
      <c r="AB1299" s="6" t="n">
        <v>6187</v>
      </c>
      <c r="AC1299" s="6" t="n">
        <v>4990</v>
      </c>
      <c r="AD1299" s="6" t="n">
        <v>1458</v>
      </c>
      <c r="AE1299" s="6" t="n">
        <v>1992.22912597656</v>
      </c>
      <c r="AF1299" s="8" t="n">
        <v>376.747141042</v>
      </c>
      <c r="AG1299" s="11" t="n">
        <v>0.05593742074</v>
      </c>
      <c r="AH1299" s="12" t="n">
        <v>0.826453539121385</v>
      </c>
      <c r="AI1299" s="2" t="s">
        <v>321</v>
      </c>
      <c r="AJ1299" s="2" t="s">
        <v>2891</v>
      </c>
      <c r="AK1299" s="2" t="s">
        <v>2891</v>
      </c>
    </row>
    <row r="1300" customFormat="false" ht="15" hidden="false" customHeight="false" outlineLevel="0" collapsed="false">
      <c r="A1300" s="9"/>
      <c r="B1300" s="2" t="s">
        <v>2893</v>
      </c>
      <c r="C1300" s="2" t="s">
        <v>2894</v>
      </c>
      <c r="D1300" s="2" t="s">
        <v>380</v>
      </c>
      <c r="E1300" s="2" t="s">
        <v>51</v>
      </c>
      <c r="F1300" s="2"/>
      <c r="G1300" s="2" t="s">
        <v>381</v>
      </c>
      <c r="H1300" s="8" t="n">
        <v>345.155466399</v>
      </c>
      <c r="I1300" s="2" t="s">
        <v>316</v>
      </c>
      <c r="J1300" s="8" t="n">
        <v>1032360</v>
      </c>
      <c r="K1300" s="6" t="n">
        <v>1</v>
      </c>
      <c r="L1300" s="2" t="s">
        <v>1664</v>
      </c>
      <c r="M1300" s="10" t="b">
        <f aca="false">TRUE()</f>
        <v>1</v>
      </c>
      <c r="N1300" s="9" t="str">
        <f aca="false">IF(H1300="","",IF(H1300&gt;=Assumptions!$B$5,1,IF(H1300&gt;=Assumptions!$B$6,2,IF(H1300&gt;=Assumptions!$B$7,3,""))))</f>
        <v/>
      </c>
      <c r="O1300" s="9" t="n">
        <f aca="false">IF(N1300=1,Assumptions!$B$8,IF(N1300=2,Assumptions!$B$9,IF(N1300=3,Assumptions!$B$10,0)))</f>
        <v>0</v>
      </c>
      <c r="P1300" s="6" t="s">
        <v>30</v>
      </c>
      <c r="Q1300" s="6" t="s">
        <v>30</v>
      </c>
      <c r="R1300" s="11" t="s">
        <v>30</v>
      </c>
      <c r="S1300" s="6" t="s">
        <v>30</v>
      </c>
      <c r="T1300" s="11" t="s">
        <v>30</v>
      </c>
      <c r="U1300" s="6" t="s">
        <v>30</v>
      </c>
      <c r="V1300" s="6" t="s">
        <v>30</v>
      </c>
      <c r="W1300" s="6" t="s">
        <v>30</v>
      </c>
      <c r="X1300" s="2" t="s">
        <v>30</v>
      </c>
      <c r="Y1300" s="6" t="str">
        <f aca="false">IF(AND(X1300="processed",ISNUMBER(S1300)),S1300*O1300,"")</f>
        <v/>
      </c>
      <c r="Z1300" s="6" t="n">
        <f aca="false">IF(ISNUMBER(K1300),K1300*O1300,0)</f>
        <v>0</v>
      </c>
      <c r="AA1300" s="2" t="s">
        <v>31</v>
      </c>
      <c r="AB1300" s="6" t="n">
        <v>839</v>
      </c>
      <c r="AC1300" s="6" t="n">
        <v>599</v>
      </c>
      <c r="AD1300" s="6" t="n">
        <v>691</v>
      </c>
      <c r="AE1300" s="6" t="n">
        <v>1576.80065917969</v>
      </c>
      <c r="AF1300" s="8" t="n">
        <v>345.155466399</v>
      </c>
      <c r="AG1300" s="11"/>
      <c r="AH1300" s="12" t="n">
        <v>1</v>
      </c>
      <c r="AI1300" s="2" t="s">
        <v>317</v>
      </c>
      <c r="AJ1300" s="2" t="s">
        <v>2894</v>
      </c>
      <c r="AK1300" s="2" t="s">
        <v>2894</v>
      </c>
    </row>
    <row r="1301" customFormat="false" ht="15" hidden="false" customHeight="false" outlineLevel="0" collapsed="false">
      <c r="A1301" s="9"/>
      <c r="B1301" s="2" t="s">
        <v>2895</v>
      </c>
      <c r="C1301" s="2" t="s">
        <v>380</v>
      </c>
      <c r="D1301" s="2" t="s">
        <v>380</v>
      </c>
      <c r="E1301" s="2" t="s">
        <v>51</v>
      </c>
      <c r="F1301" s="2"/>
      <c r="G1301" s="2"/>
      <c r="H1301" s="8"/>
      <c r="I1301" s="2"/>
      <c r="J1301" s="8"/>
      <c r="K1301" s="6"/>
      <c r="L1301" s="2"/>
      <c r="M1301" s="10" t="b">
        <f aca="false">TRUE()</f>
        <v>1</v>
      </c>
      <c r="N1301" s="9" t="str">
        <f aca="false">IF(H1301="","",IF(H1301&gt;=Assumptions!$B$5,1,IF(H1301&gt;=Assumptions!$B$6,2,IF(H1301&gt;=Assumptions!$B$7,3,""))))</f>
        <v/>
      </c>
      <c r="O1301" s="9" t="n">
        <f aca="false">IF(N1301=1,Assumptions!$B$8,IF(N1301=2,Assumptions!$B$9,IF(N1301=3,Assumptions!$B$10,0)))</f>
        <v>0</v>
      </c>
      <c r="P1301" s="6" t="s">
        <v>30</v>
      </c>
      <c r="Q1301" s="6" t="s">
        <v>30</v>
      </c>
      <c r="R1301" s="11" t="s">
        <v>30</v>
      </c>
      <c r="S1301" s="6" t="s">
        <v>30</v>
      </c>
      <c r="T1301" s="11" t="s">
        <v>30</v>
      </c>
      <c r="U1301" s="6" t="s">
        <v>30</v>
      </c>
      <c r="V1301" s="6" t="s">
        <v>30</v>
      </c>
      <c r="W1301" s="6" t="s">
        <v>30</v>
      </c>
      <c r="X1301" s="2" t="s">
        <v>30</v>
      </c>
      <c r="Y1301" s="6" t="str">
        <f aca="false">IF(AND(X1301="processed",ISNUMBER(S1301)),S1301*O1301,"")</f>
        <v/>
      </c>
      <c r="Z1301" s="6" t="n">
        <f aca="false">IF(ISNUMBER(K1301),K1301*O1301,0)</f>
        <v>0</v>
      </c>
      <c r="AA1301" s="2" t="s">
        <v>31</v>
      </c>
      <c r="AB1301" s="6" t="n">
        <v>60</v>
      </c>
      <c r="AC1301" s="6" t="n">
        <v>26</v>
      </c>
      <c r="AD1301" s="6" t="n">
        <v>9</v>
      </c>
      <c r="AE1301" s="6" t="n">
        <v>2872.14819335938</v>
      </c>
      <c r="AF1301" s="8"/>
      <c r="AG1301" s="11"/>
      <c r="AH1301" s="12" t="n">
        <v>1</v>
      </c>
      <c r="AI1301" s="2" t="s">
        <v>317</v>
      </c>
      <c r="AJ1301" s="2" t="s">
        <v>380</v>
      </c>
      <c r="AK1301" s="2" t="s">
        <v>380</v>
      </c>
    </row>
    <row r="1302" customFormat="false" ht="15" hidden="false" customHeight="false" outlineLevel="0" collapsed="false">
      <c r="A1302" s="9"/>
      <c r="B1302" s="2" t="s">
        <v>2896</v>
      </c>
      <c r="C1302" s="2" t="s">
        <v>2897</v>
      </c>
      <c r="D1302" s="2" t="s">
        <v>380</v>
      </c>
      <c r="E1302" s="2" t="s">
        <v>51</v>
      </c>
      <c r="F1302" s="2"/>
      <c r="G1302" s="2" t="s">
        <v>381</v>
      </c>
      <c r="H1302" s="8" t="n">
        <v>280.320366133</v>
      </c>
      <c r="I1302" s="2" t="s">
        <v>316</v>
      </c>
      <c r="J1302" s="8" t="n">
        <v>245000</v>
      </c>
      <c r="K1302" s="6" t="n">
        <v>1</v>
      </c>
      <c r="L1302" s="2" t="s">
        <v>1664</v>
      </c>
      <c r="M1302" s="10" t="b">
        <f aca="false">TRUE()</f>
        <v>1</v>
      </c>
      <c r="N1302" s="9" t="str">
        <f aca="false">IF(H1302="","",IF(H1302&gt;=Assumptions!$B$5,1,IF(H1302&gt;=Assumptions!$B$6,2,IF(H1302&gt;=Assumptions!$B$7,3,""))))</f>
        <v/>
      </c>
      <c r="O1302" s="9" t="n">
        <f aca="false">IF(N1302=1,Assumptions!$B$8,IF(N1302=2,Assumptions!$B$9,IF(N1302=3,Assumptions!$B$10,0)))</f>
        <v>0</v>
      </c>
      <c r="P1302" s="6" t="s">
        <v>30</v>
      </c>
      <c r="Q1302" s="6" t="s">
        <v>30</v>
      </c>
      <c r="R1302" s="11" t="s">
        <v>30</v>
      </c>
      <c r="S1302" s="6" t="s">
        <v>30</v>
      </c>
      <c r="T1302" s="11" t="s">
        <v>30</v>
      </c>
      <c r="U1302" s="6" t="s">
        <v>30</v>
      </c>
      <c r="V1302" s="6" t="s">
        <v>30</v>
      </c>
      <c r="W1302" s="6" t="s">
        <v>30</v>
      </c>
      <c r="X1302" s="2" t="s">
        <v>30</v>
      </c>
      <c r="Y1302" s="6" t="str">
        <f aca="false">IF(AND(X1302="processed",ISNUMBER(S1302)),S1302*O1302,"")</f>
        <v/>
      </c>
      <c r="Z1302" s="6" t="n">
        <f aca="false">IF(ISNUMBER(K1302),K1302*O1302,0)</f>
        <v>0</v>
      </c>
      <c r="AA1302" s="2" t="s">
        <v>31</v>
      </c>
      <c r="AB1302" s="6" t="n">
        <v>188</v>
      </c>
      <c r="AC1302" s="6" t="n">
        <v>160</v>
      </c>
      <c r="AD1302" s="6" t="n">
        <v>167</v>
      </c>
      <c r="AE1302" s="6" t="n">
        <v>1648.83764648438</v>
      </c>
      <c r="AF1302" s="8" t="n">
        <v>280.320366133</v>
      </c>
      <c r="AG1302" s="11"/>
      <c r="AH1302" s="12" t="n">
        <v>1</v>
      </c>
      <c r="AI1302" s="2" t="s">
        <v>317</v>
      </c>
      <c r="AJ1302" s="2" t="s">
        <v>2897</v>
      </c>
      <c r="AK1302" s="2" t="s">
        <v>2897</v>
      </c>
    </row>
    <row r="1303" customFormat="false" ht="15" hidden="false" customHeight="false" outlineLevel="0" collapsed="false">
      <c r="A1303" s="9"/>
      <c r="B1303" s="2" t="s">
        <v>2898</v>
      </c>
      <c r="C1303" s="2" t="s">
        <v>2899</v>
      </c>
      <c r="D1303" s="2" t="s">
        <v>380</v>
      </c>
      <c r="E1303" s="2" t="s">
        <v>51</v>
      </c>
      <c r="F1303" s="2"/>
      <c r="G1303" s="2" t="s">
        <v>381</v>
      </c>
      <c r="H1303" s="8" t="n">
        <v>403.373677109861</v>
      </c>
      <c r="I1303" s="2" t="s">
        <v>316</v>
      </c>
      <c r="J1303" s="8" t="n">
        <v>673186.046511628</v>
      </c>
      <c r="K1303" s="6" t="n">
        <v>43</v>
      </c>
      <c r="L1303" s="2"/>
      <c r="M1303" s="10" t="b">
        <f aca="false">TRUE()</f>
        <v>1</v>
      </c>
      <c r="N1303" s="9" t="str">
        <f aca="false">IF(H1303="","",IF(H1303&gt;=Assumptions!$B$5,1,IF(H1303&gt;=Assumptions!$B$6,2,IF(H1303&gt;=Assumptions!$B$7,3,""))))</f>
        <v/>
      </c>
      <c r="O1303" s="9" t="n">
        <f aca="false">IF(N1303=1,Assumptions!$B$8,IF(N1303=2,Assumptions!$B$9,IF(N1303=3,Assumptions!$B$10,0)))</f>
        <v>0</v>
      </c>
      <c r="P1303" s="6" t="s">
        <v>30</v>
      </c>
      <c r="Q1303" s="6" t="s">
        <v>30</v>
      </c>
      <c r="R1303" s="11" t="s">
        <v>30</v>
      </c>
      <c r="S1303" s="6" t="s">
        <v>30</v>
      </c>
      <c r="T1303" s="11" t="s">
        <v>30</v>
      </c>
      <c r="U1303" s="6" t="s">
        <v>30</v>
      </c>
      <c r="V1303" s="6" t="s">
        <v>30</v>
      </c>
      <c r="W1303" s="6" t="s">
        <v>30</v>
      </c>
      <c r="X1303" s="2" t="s">
        <v>30</v>
      </c>
      <c r="Y1303" s="6" t="str">
        <f aca="false">IF(AND(X1303="processed",ISNUMBER(S1303)),S1303*O1303,"")</f>
        <v/>
      </c>
      <c r="Z1303" s="6" t="n">
        <f aca="false">IF(ISNUMBER(K1303),K1303*O1303,0)</f>
        <v>0</v>
      </c>
      <c r="AA1303" s="2" t="s">
        <v>31</v>
      </c>
      <c r="AB1303" s="6" t="n">
        <v>6581</v>
      </c>
      <c r="AC1303" s="6" t="n">
        <v>5584</v>
      </c>
      <c r="AD1303" s="6" t="n">
        <v>3893</v>
      </c>
      <c r="AE1303" s="6" t="n">
        <v>2098.7392578125</v>
      </c>
      <c r="AF1303" s="8" t="n">
        <v>406.012291464</v>
      </c>
      <c r="AG1303" s="11" t="n">
        <v>0.1113905791</v>
      </c>
      <c r="AH1303" s="12" t="n">
        <v>0.999829099362681</v>
      </c>
      <c r="AI1303" s="2" t="s">
        <v>317</v>
      </c>
      <c r="AJ1303" s="2" t="s">
        <v>2899</v>
      </c>
      <c r="AK1303" s="2" t="s">
        <v>2899</v>
      </c>
    </row>
    <row r="1304" customFormat="false" ht="15" hidden="false" customHeight="false" outlineLevel="0" collapsed="false">
      <c r="A1304" s="9"/>
      <c r="B1304" s="2" t="s">
        <v>2900</v>
      </c>
      <c r="C1304" s="2" t="s">
        <v>2901</v>
      </c>
      <c r="D1304" s="2" t="s">
        <v>380</v>
      </c>
      <c r="E1304" s="2" t="s">
        <v>51</v>
      </c>
      <c r="F1304" s="2"/>
      <c r="G1304" s="2"/>
      <c r="H1304" s="8"/>
      <c r="I1304" s="2"/>
      <c r="J1304" s="8"/>
      <c r="K1304" s="6"/>
      <c r="L1304" s="2"/>
      <c r="M1304" s="10" t="b">
        <f aca="false">TRUE()</f>
        <v>1</v>
      </c>
      <c r="N1304" s="9" t="str">
        <f aca="false">IF(H1304="","",IF(H1304&gt;=Assumptions!$B$5,1,IF(H1304&gt;=Assumptions!$B$6,2,IF(H1304&gt;=Assumptions!$B$7,3,""))))</f>
        <v/>
      </c>
      <c r="O1304" s="9" t="n">
        <f aca="false">IF(N1304=1,Assumptions!$B$8,IF(N1304=2,Assumptions!$B$9,IF(N1304=3,Assumptions!$B$10,0)))</f>
        <v>0</v>
      </c>
      <c r="P1304" s="6" t="s">
        <v>30</v>
      </c>
      <c r="Q1304" s="6" t="s">
        <v>30</v>
      </c>
      <c r="R1304" s="11" t="s">
        <v>30</v>
      </c>
      <c r="S1304" s="6" t="s">
        <v>30</v>
      </c>
      <c r="T1304" s="11" t="s">
        <v>30</v>
      </c>
      <c r="U1304" s="6" t="s">
        <v>30</v>
      </c>
      <c r="V1304" s="6" t="s">
        <v>30</v>
      </c>
      <c r="W1304" s="6" t="s">
        <v>30</v>
      </c>
      <c r="X1304" s="2" t="s">
        <v>30</v>
      </c>
      <c r="Y1304" s="6" t="str">
        <f aca="false">IF(AND(X1304="processed",ISNUMBER(S1304)),S1304*O1304,"")</f>
        <v/>
      </c>
      <c r="Z1304" s="6" t="n">
        <f aca="false">IF(ISNUMBER(K1304),K1304*O1304,0)</f>
        <v>0</v>
      </c>
      <c r="AA1304" s="2" t="s">
        <v>31</v>
      </c>
      <c r="AB1304" s="6" t="n">
        <v>526</v>
      </c>
      <c r="AC1304" s="6" t="n">
        <v>359</v>
      </c>
      <c r="AD1304" s="6" t="n">
        <v>6</v>
      </c>
      <c r="AE1304" s="6" t="n">
        <v>1609.72448730469</v>
      </c>
      <c r="AF1304" s="8"/>
      <c r="AG1304" s="11"/>
      <c r="AH1304" s="12" t="n">
        <v>1</v>
      </c>
      <c r="AI1304" s="2" t="s">
        <v>1597</v>
      </c>
      <c r="AJ1304" s="2"/>
      <c r="AK1304" s="2" t="s">
        <v>2901</v>
      </c>
    </row>
    <row r="1305" customFormat="false" ht="15" hidden="false" customHeight="false" outlineLevel="0" collapsed="false">
      <c r="A1305" s="9"/>
      <c r="B1305" s="2" t="s">
        <v>2902</v>
      </c>
      <c r="C1305" s="2" t="s">
        <v>2903</v>
      </c>
      <c r="D1305" s="2" t="s">
        <v>62</v>
      </c>
      <c r="E1305" s="2" t="s">
        <v>40</v>
      </c>
      <c r="F1305" s="2"/>
      <c r="G1305" s="2" t="s">
        <v>324</v>
      </c>
      <c r="H1305" s="8" t="n">
        <v>409.304132612</v>
      </c>
      <c r="I1305" s="2" t="s">
        <v>316</v>
      </c>
      <c r="J1305" s="8" t="n">
        <v>520000</v>
      </c>
      <c r="K1305" s="6" t="n">
        <v>4</v>
      </c>
      <c r="L1305" s="2" t="s">
        <v>1664</v>
      </c>
      <c r="M1305" s="10" t="b">
        <f aca="false">TRUE()</f>
        <v>1</v>
      </c>
      <c r="N1305" s="9" t="str">
        <f aca="false">IF(H1305="","",IF(H1305&gt;=Assumptions!$B$5,1,IF(H1305&gt;=Assumptions!$B$6,2,IF(H1305&gt;=Assumptions!$B$7,3,""))))</f>
        <v/>
      </c>
      <c r="O1305" s="9" t="n">
        <f aca="false">IF(N1305=1,Assumptions!$B$8,IF(N1305=2,Assumptions!$B$9,IF(N1305=3,Assumptions!$B$10,0)))</f>
        <v>0</v>
      </c>
      <c r="P1305" s="6" t="s">
        <v>30</v>
      </c>
      <c r="Q1305" s="6" t="s">
        <v>30</v>
      </c>
      <c r="R1305" s="11" t="s">
        <v>30</v>
      </c>
      <c r="S1305" s="6" t="s">
        <v>30</v>
      </c>
      <c r="T1305" s="11" t="s">
        <v>30</v>
      </c>
      <c r="U1305" s="6" t="s">
        <v>30</v>
      </c>
      <c r="V1305" s="6" t="s">
        <v>30</v>
      </c>
      <c r="W1305" s="6" t="s">
        <v>30</v>
      </c>
      <c r="X1305" s="2" t="s">
        <v>30</v>
      </c>
      <c r="Y1305" s="6" t="str">
        <f aca="false">IF(AND(X1305="processed",ISNUMBER(S1305)),S1305*O1305,"")</f>
        <v/>
      </c>
      <c r="Z1305" s="6" t="n">
        <f aca="false">IF(ISNUMBER(K1305),K1305*O1305,0)</f>
        <v>0</v>
      </c>
      <c r="AA1305" s="2" t="s">
        <v>31</v>
      </c>
      <c r="AB1305" s="6" t="n">
        <v>74</v>
      </c>
      <c r="AC1305" s="6" t="n">
        <v>55</v>
      </c>
      <c r="AD1305" s="6" t="n">
        <v>24</v>
      </c>
      <c r="AE1305" s="6" t="n">
        <v>1738.72546386719</v>
      </c>
      <c r="AF1305" s="8" t="n">
        <v>420.168067227</v>
      </c>
      <c r="AG1305" s="11" t="n">
        <v>0.04340801741</v>
      </c>
      <c r="AH1305" s="12" t="n">
        <v>1</v>
      </c>
      <c r="AI1305" s="2" t="s">
        <v>665</v>
      </c>
      <c r="AJ1305" s="2" t="s">
        <v>2903</v>
      </c>
      <c r="AK1305" s="2" t="s">
        <v>2903</v>
      </c>
    </row>
    <row r="1306" customFormat="false" ht="15" hidden="false" customHeight="false" outlineLevel="0" collapsed="false">
      <c r="A1306" s="9"/>
      <c r="B1306" s="2" t="s">
        <v>2904</v>
      </c>
      <c r="C1306" s="2" t="s">
        <v>2905</v>
      </c>
      <c r="D1306" s="2" t="s">
        <v>62</v>
      </c>
      <c r="E1306" s="2" t="s">
        <v>40</v>
      </c>
      <c r="F1306" s="2"/>
      <c r="G1306" s="2"/>
      <c r="H1306" s="8"/>
      <c r="I1306" s="2"/>
      <c r="J1306" s="8"/>
      <c r="K1306" s="6"/>
      <c r="L1306" s="2"/>
      <c r="M1306" s="10" t="b">
        <f aca="false">TRUE()</f>
        <v>1</v>
      </c>
      <c r="N1306" s="9" t="str">
        <f aca="false">IF(H1306="","",IF(H1306&gt;=Assumptions!$B$5,1,IF(H1306&gt;=Assumptions!$B$6,2,IF(H1306&gt;=Assumptions!$B$7,3,""))))</f>
        <v/>
      </c>
      <c r="O1306" s="9" t="n">
        <f aca="false">IF(N1306=1,Assumptions!$B$8,IF(N1306=2,Assumptions!$B$9,IF(N1306=3,Assumptions!$B$10,0)))</f>
        <v>0</v>
      </c>
      <c r="P1306" s="6" t="s">
        <v>30</v>
      </c>
      <c r="Q1306" s="6" t="s">
        <v>30</v>
      </c>
      <c r="R1306" s="11" t="s">
        <v>30</v>
      </c>
      <c r="S1306" s="6" t="s">
        <v>30</v>
      </c>
      <c r="T1306" s="11" t="s">
        <v>30</v>
      </c>
      <c r="U1306" s="6" t="s">
        <v>30</v>
      </c>
      <c r="V1306" s="6" t="s">
        <v>30</v>
      </c>
      <c r="W1306" s="6" t="s">
        <v>30</v>
      </c>
      <c r="X1306" s="2" t="s">
        <v>30</v>
      </c>
      <c r="Y1306" s="6" t="str">
        <f aca="false">IF(AND(X1306="processed",ISNUMBER(S1306)),S1306*O1306,"")</f>
        <v/>
      </c>
      <c r="Z1306" s="6" t="n">
        <f aca="false">IF(ISNUMBER(K1306),K1306*O1306,0)</f>
        <v>0</v>
      </c>
      <c r="AA1306" s="2" t="s">
        <v>31</v>
      </c>
      <c r="AB1306" s="6" t="n">
        <v>337</v>
      </c>
      <c r="AC1306" s="6" t="n">
        <v>260</v>
      </c>
      <c r="AD1306" s="6" t="n">
        <v>178</v>
      </c>
      <c r="AE1306" s="6" t="n">
        <v>1647.18481445313</v>
      </c>
      <c r="AF1306" s="8"/>
      <c r="AG1306" s="11"/>
      <c r="AH1306" s="12" t="n">
        <v>0.999999999999998</v>
      </c>
      <c r="AI1306" s="2" t="s">
        <v>2599</v>
      </c>
      <c r="AJ1306" s="2" t="s">
        <v>2906</v>
      </c>
      <c r="AK1306" s="2" t="s">
        <v>2905</v>
      </c>
    </row>
    <row r="1307" customFormat="false" ht="15" hidden="false" customHeight="false" outlineLevel="0" collapsed="false">
      <c r="A1307" s="9"/>
      <c r="B1307" s="2" t="s">
        <v>2907</v>
      </c>
      <c r="C1307" s="2" t="s">
        <v>224</v>
      </c>
      <c r="D1307" s="2" t="s">
        <v>62</v>
      </c>
      <c r="E1307" s="2" t="s">
        <v>40</v>
      </c>
      <c r="F1307" s="2"/>
      <c r="G1307" s="2"/>
      <c r="H1307" s="8"/>
      <c r="I1307" s="2"/>
      <c r="J1307" s="8"/>
      <c r="K1307" s="6"/>
      <c r="L1307" s="2"/>
      <c r="M1307" s="10" t="b">
        <f aca="false">TRUE()</f>
        <v>1</v>
      </c>
      <c r="N1307" s="9" t="str">
        <f aca="false">IF(H1307="","",IF(H1307&gt;=Assumptions!$B$5,1,IF(H1307&gt;=Assumptions!$B$6,2,IF(H1307&gt;=Assumptions!$B$7,3,""))))</f>
        <v/>
      </c>
      <c r="O1307" s="9" t="n">
        <f aca="false">IF(N1307=1,Assumptions!$B$8,IF(N1307=2,Assumptions!$B$9,IF(N1307=3,Assumptions!$B$10,0)))</f>
        <v>0</v>
      </c>
      <c r="P1307" s="6" t="s">
        <v>30</v>
      </c>
      <c r="Q1307" s="6" t="s">
        <v>30</v>
      </c>
      <c r="R1307" s="11" t="s">
        <v>30</v>
      </c>
      <c r="S1307" s="6" t="s">
        <v>30</v>
      </c>
      <c r="T1307" s="11" t="s">
        <v>30</v>
      </c>
      <c r="U1307" s="6" t="s">
        <v>30</v>
      </c>
      <c r="V1307" s="6" t="s">
        <v>30</v>
      </c>
      <c r="W1307" s="6" t="s">
        <v>30</v>
      </c>
      <c r="X1307" s="2" t="s">
        <v>30</v>
      </c>
      <c r="Y1307" s="6" t="str">
        <f aca="false">IF(AND(X1307="processed",ISNUMBER(S1307)),S1307*O1307,"")</f>
        <v/>
      </c>
      <c r="Z1307" s="6" t="n">
        <f aca="false">IF(ISNUMBER(K1307),K1307*O1307,0)</f>
        <v>0</v>
      </c>
      <c r="AA1307" s="2" t="s">
        <v>31</v>
      </c>
      <c r="AB1307" s="6" t="n">
        <v>199</v>
      </c>
      <c r="AC1307" s="6" t="n">
        <v>79</v>
      </c>
      <c r="AD1307" s="6" t="n">
        <v>2</v>
      </c>
      <c r="AE1307" s="6" t="n">
        <v>2471.21533203125</v>
      </c>
      <c r="AF1307" s="8"/>
      <c r="AG1307" s="11"/>
      <c r="AH1307" s="12" t="n">
        <v>0.97624140247152</v>
      </c>
      <c r="AI1307" s="2" t="s">
        <v>319</v>
      </c>
      <c r="AJ1307" s="2"/>
      <c r="AK1307" s="2" t="s">
        <v>224</v>
      </c>
    </row>
    <row r="1308" customFormat="false" ht="15" hidden="false" customHeight="false" outlineLevel="0" collapsed="false">
      <c r="A1308" s="9"/>
      <c r="B1308" s="2" t="s">
        <v>2908</v>
      </c>
      <c r="C1308" s="2" t="s">
        <v>56</v>
      </c>
      <c r="D1308" s="2" t="s">
        <v>56</v>
      </c>
      <c r="E1308" s="2" t="s">
        <v>56</v>
      </c>
      <c r="F1308" s="2"/>
      <c r="G1308" s="2"/>
      <c r="H1308" s="8"/>
      <c r="I1308" s="2"/>
      <c r="J1308" s="8"/>
      <c r="K1308" s="6"/>
      <c r="L1308" s="2"/>
      <c r="M1308" s="10" t="b">
        <f aca="false">TRUE()</f>
        <v>1</v>
      </c>
      <c r="N1308" s="9" t="str">
        <f aca="false">IF(H1308="","",IF(H1308&gt;=Assumptions!$B$5,1,IF(H1308&gt;=Assumptions!$B$6,2,IF(H1308&gt;=Assumptions!$B$7,3,""))))</f>
        <v/>
      </c>
      <c r="O1308" s="9" t="n">
        <f aca="false">IF(N1308=1,Assumptions!$B$8,IF(N1308=2,Assumptions!$B$9,IF(N1308=3,Assumptions!$B$10,0)))</f>
        <v>0</v>
      </c>
      <c r="P1308" s="6" t="s">
        <v>30</v>
      </c>
      <c r="Q1308" s="6" t="s">
        <v>30</v>
      </c>
      <c r="R1308" s="11" t="s">
        <v>30</v>
      </c>
      <c r="S1308" s="6" t="s">
        <v>30</v>
      </c>
      <c r="T1308" s="11" t="s">
        <v>30</v>
      </c>
      <c r="U1308" s="6" t="s">
        <v>30</v>
      </c>
      <c r="V1308" s="6" t="s">
        <v>30</v>
      </c>
      <c r="W1308" s="6" t="s">
        <v>30</v>
      </c>
      <c r="X1308" s="2" t="s">
        <v>30</v>
      </c>
      <c r="Y1308" s="6" t="str">
        <f aca="false">IF(AND(X1308="processed",ISNUMBER(S1308)),S1308*O1308,"")</f>
        <v/>
      </c>
      <c r="Z1308" s="6" t="n">
        <f aca="false">IF(ISNUMBER(K1308),K1308*O1308,0)</f>
        <v>0</v>
      </c>
      <c r="AA1308" s="2" t="s">
        <v>31</v>
      </c>
      <c r="AB1308" s="6" t="n">
        <v>842</v>
      </c>
      <c r="AC1308" s="6" t="n">
        <v>572</v>
      </c>
      <c r="AD1308" s="6" t="n">
        <v>20</v>
      </c>
      <c r="AE1308" s="6" t="n">
        <v>2325.21337890625</v>
      </c>
      <c r="AF1308" s="8"/>
      <c r="AG1308" s="11"/>
      <c r="AH1308" s="12" t="n">
        <v>0.996022927849019</v>
      </c>
      <c r="AI1308" s="2" t="s">
        <v>317</v>
      </c>
      <c r="AJ1308" s="2" t="s">
        <v>56</v>
      </c>
      <c r="AK1308" s="2" t="s">
        <v>56</v>
      </c>
    </row>
    <row r="1309" customFormat="false" ht="15" hidden="false" customHeight="false" outlineLevel="0" collapsed="false">
      <c r="A1309" s="9"/>
      <c r="B1309" s="2" t="s">
        <v>2909</v>
      </c>
      <c r="C1309" s="2"/>
      <c r="D1309" s="2" t="s">
        <v>1190</v>
      </c>
      <c r="E1309" s="2" t="s">
        <v>1191</v>
      </c>
      <c r="F1309" s="2"/>
      <c r="G1309" s="2" t="s">
        <v>324</v>
      </c>
      <c r="H1309" s="8" t="n">
        <v>446.666666667</v>
      </c>
      <c r="I1309" s="2" t="s">
        <v>316</v>
      </c>
      <c r="J1309" s="8" t="n">
        <v>670000</v>
      </c>
      <c r="K1309" s="6" t="n">
        <v>1</v>
      </c>
      <c r="L1309" s="2" t="s">
        <v>1664</v>
      </c>
      <c r="M1309" s="10" t="b">
        <f aca="false">FALSE()</f>
        <v>0</v>
      </c>
      <c r="N1309" s="9" t="str">
        <f aca="false">IF(H1309="","",IF(H1309&gt;=Assumptions!$B$5,1,IF(H1309&gt;=Assumptions!$B$6,2,IF(H1309&gt;=Assumptions!$B$7,3,""))))</f>
        <v/>
      </c>
      <c r="O1309" s="9" t="n">
        <f aca="false">IF(N1309=1,Assumptions!$B$8,IF(N1309=2,Assumptions!$B$9,IF(N1309=3,Assumptions!$B$10,0)))</f>
        <v>0</v>
      </c>
      <c r="P1309" s="6" t="s">
        <v>30</v>
      </c>
      <c r="Q1309" s="6" t="s">
        <v>30</v>
      </c>
      <c r="R1309" s="11" t="s">
        <v>30</v>
      </c>
      <c r="S1309" s="6" t="s">
        <v>30</v>
      </c>
      <c r="T1309" s="11" t="s">
        <v>30</v>
      </c>
      <c r="U1309" s="6" t="s">
        <v>30</v>
      </c>
      <c r="V1309" s="6" t="s">
        <v>30</v>
      </c>
      <c r="W1309" s="6" t="s">
        <v>30</v>
      </c>
      <c r="X1309" s="2" t="s">
        <v>30</v>
      </c>
      <c r="Y1309" s="6" t="str">
        <f aca="false">IF(AND(X1309="processed",ISNUMBER(S1309)),S1309*O1309,"")</f>
        <v/>
      </c>
      <c r="Z1309" s="6" t="n">
        <f aca="false">IF(ISNUMBER(K1309),K1309*O1309,0)</f>
        <v>0</v>
      </c>
      <c r="AA1309" s="2" t="s">
        <v>31</v>
      </c>
      <c r="AB1309" s="6"/>
      <c r="AC1309" s="6"/>
      <c r="AD1309" s="6"/>
      <c r="AE1309" s="6"/>
      <c r="AF1309" s="8" t="n">
        <v>446.666666667</v>
      </c>
      <c r="AG1309" s="11"/>
      <c r="AH1309" s="12"/>
      <c r="AI1309" s="2"/>
      <c r="AJ1309" s="2"/>
      <c r="AK1309" s="2"/>
    </row>
    <row r="1310" customFormat="false" ht="15" hidden="false" customHeight="false" outlineLevel="0" collapsed="false">
      <c r="A1310" s="9"/>
      <c r="B1310" s="2" t="s">
        <v>2910</v>
      </c>
      <c r="C1310" s="2" t="s">
        <v>428</v>
      </c>
      <c r="D1310" s="2" t="s">
        <v>39</v>
      </c>
      <c r="E1310" s="2" t="s">
        <v>40</v>
      </c>
      <c r="F1310" s="2" t="s">
        <v>2911</v>
      </c>
      <c r="G1310" s="2"/>
      <c r="H1310" s="8"/>
      <c r="I1310" s="2"/>
      <c r="J1310" s="8"/>
      <c r="K1310" s="6"/>
      <c r="L1310" s="2"/>
      <c r="M1310" s="10" t="b">
        <f aca="false">TRUE()</f>
        <v>1</v>
      </c>
      <c r="N1310" s="9" t="str">
        <f aca="false">IF(H1310="","",IF(H1310&gt;=Assumptions!$B$5,1,IF(H1310&gt;=Assumptions!$B$6,2,IF(H1310&gt;=Assumptions!$B$7,3,""))))</f>
        <v/>
      </c>
      <c r="O1310" s="9" t="n">
        <f aca="false">IF(N1310=1,Assumptions!$B$8,IF(N1310=2,Assumptions!$B$9,IF(N1310=3,Assumptions!$B$10,0)))</f>
        <v>0</v>
      </c>
      <c r="P1310" s="6" t="s">
        <v>30</v>
      </c>
      <c r="Q1310" s="6" t="s">
        <v>30</v>
      </c>
      <c r="R1310" s="11" t="s">
        <v>30</v>
      </c>
      <c r="S1310" s="6" t="s">
        <v>30</v>
      </c>
      <c r="T1310" s="11" t="s">
        <v>30</v>
      </c>
      <c r="U1310" s="6" t="s">
        <v>30</v>
      </c>
      <c r="V1310" s="6" t="s">
        <v>30</v>
      </c>
      <c r="W1310" s="6" t="s">
        <v>30</v>
      </c>
      <c r="X1310" s="2" t="s">
        <v>30</v>
      </c>
      <c r="Y1310" s="6" t="str">
        <f aca="false">IF(AND(X1310="processed",ISNUMBER(S1310)),S1310*O1310,"")</f>
        <v/>
      </c>
      <c r="Z1310" s="6" t="n">
        <f aca="false">IF(ISNUMBER(K1310),K1310*O1310,0)</f>
        <v>0</v>
      </c>
      <c r="AA1310" s="2" t="s">
        <v>31</v>
      </c>
      <c r="AB1310" s="6" t="n">
        <v>980</v>
      </c>
      <c r="AC1310" s="6" t="n">
        <v>482</v>
      </c>
      <c r="AD1310" s="6" t="n">
        <v>54</v>
      </c>
      <c r="AE1310" s="6" t="n">
        <v>2527.232421875</v>
      </c>
      <c r="AF1310" s="8"/>
      <c r="AG1310" s="11"/>
      <c r="AH1310" s="12" t="n">
        <v>0.997092988690824</v>
      </c>
      <c r="AI1310" s="2" t="s">
        <v>328</v>
      </c>
      <c r="AJ1310" s="2" t="s">
        <v>428</v>
      </c>
      <c r="AK1310" s="2" t="s">
        <v>428</v>
      </c>
    </row>
    <row r="1311" customFormat="false" ht="15" hidden="false" customHeight="false" outlineLevel="0" collapsed="false">
      <c r="A1311" s="9"/>
      <c r="B1311" s="2" t="s">
        <v>2912</v>
      </c>
      <c r="C1311" s="2" t="s">
        <v>2913</v>
      </c>
      <c r="D1311" s="2" t="s">
        <v>540</v>
      </c>
      <c r="E1311" s="2" t="s">
        <v>51</v>
      </c>
      <c r="F1311" s="2"/>
      <c r="G1311" s="2" t="s">
        <v>541</v>
      </c>
      <c r="H1311" s="8" t="n">
        <v>360.095706157261</v>
      </c>
      <c r="I1311" s="2" t="s">
        <v>316</v>
      </c>
      <c r="J1311" s="8" t="n">
        <v>717289.855072464</v>
      </c>
      <c r="K1311" s="6" t="n">
        <v>69</v>
      </c>
      <c r="L1311" s="2"/>
      <c r="M1311" s="10" t="b">
        <f aca="false">TRUE()</f>
        <v>1</v>
      </c>
      <c r="N1311" s="9" t="str">
        <f aca="false">IF(H1311="","",IF(H1311&gt;=Assumptions!$B$5,1,IF(H1311&gt;=Assumptions!$B$6,2,IF(H1311&gt;=Assumptions!$B$7,3,""))))</f>
        <v/>
      </c>
      <c r="O1311" s="9" t="n">
        <f aca="false">IF(N1311=1,Assumptions!$B$8,IF(N1311=2,Assumptions!$B$9,IF(N1311=3,Assumptions!$B$10,0)))</f>
        <v>0</v>
      </c>
      <c r="P1311" s="6" t="s">
        <v>30</v>
      </c>
      <c r="Q1311" s="6" t="s">
        <v>30</v>
      </c>
      <c r="R1311" s="11" t="s">
        <v>30</v>
      </c>
      <c r="S1311" s="6" t="s">
        <v>30</v>
      </c>
      <c r="T1311" s="11" t="s">
        <v>30</v>
      </c>
      <c r="U1311" s="6" t="s">
        <v>30</v>
      </c>
      <c r="V1311" s="6" t="s">
        <v>30</v>
      </c>
      <c r="W1311" s="6" t="s">
        <v>30</v>
      </c>
      <c r="X1311" s="2" t="s">
        <v>30</v>
      </c>
      <c r="Y1311" s="6" t="str">
        <f aca="false">IF(AND(X1311="processed",ISNUMBER(S1311)),S1311*O1311,"")</f>
        <v/>
      </c>
      <c r="Z1311" s="6" t="n">
        <f aca="false">IF(ISNUMBER(K1311),K1311*O1311,0)</f>
        <v>0</v>
      </c>
      <c r="AA1311" s="2" t="s">
        <v>31</v>
      </c>
      <c r="AB1311" s="6" t="n">
        <v>7127</v>
      </c>
      <c r="AC1311" s="6" t="n">
        <v>6526</v>
      </c>
      <c r="AD1311" s="6" t="n">
        <v>108</v>
      </c>
      <c r="AE1311" s="6" t="n">
        <v>2237.1953125</v>
      </c>
      <c r="AF1311" s="8" t="n">
        <v>357.330530741</v>
      </c>
      <c r="AG1311" s="11" t="n">
        <v>0.01064293568</v>
      </c>
      <c r="AH1311" s="12" t="n">
        <v>0.996451443882351</v>
      </c>
      <c r="AI1311" s="2" t="s">
        <v>317</v>
      </c>
      <c r="AJ1311" s="2" t="s">
        <v>2913</v>
      </c>
      <c r="AK1311" s="2" t="s">
        <v>2913</v>
      </c>
    </row>
    <row r="1312" customFormat="false" ht="15" hidden="false" customHeight="false" outlineLevel="0" collapsed="false">
      <c r="A1312" s="9"/>
      <c r="B1312" s="2" t="s">
        <v>2914</v>
      </c>
      <c r="C1312" s="2" t="s">
        <v>2915</v>
      </c>
      <c r="D1312" s="2" t="s">
        <v>105</v>
      </c>
      <c r="E1312" s="2" t="s">
        <v>51</v>
      </c>
      <c r="F1312" s="2"/>
      <c r="G1312" s="2" t="s">
        <v>318</v>
      </c>
      <c r="H1312" s="8" t="n">
        <v>343.126303214937</v>
      </c>
      <c r="I1312" s="2" t="s">
        <v>316</v>
      </c>
      <c r="J1312" s="8" t="n">
        <v>799600</v>
      </c>
      <c r="K1312" s="6" t="n">
        <v>190</v>
      </c>
      <c r="L1312" s="2"/>
      <c r="M1312" s="10" t="b">
        <f aca="false">TRUE()</f>
        <v>1</v>
      </c>
      <c r="N1312" s="9" t="str">
        <f aca="false">IF(H1312="","",IF(H1312&gt;=Assumptions!$B$5,1,IF(H1312&gt;=Assumptions!$B$6,2,IF(H1312&gt;=Assumptions!$B$7,3,""))))</f>
        <v/>
      </c>
      <c r="O1312" s="9" t="n">
        <f aca="false">IF(N1312=1,Assumptions!$B$8,IF(N1312=2,Assumptions!$B$9,IF(N1312=3,Assumptions!$B$10,0)))</f>
        <v>0</v>
      </c>
      <c r="P1312" s="6" t="s">
        <v>30</v>
      </c>
      <c r="Q1312" s="6" t="s">
        <v>30</v>
      </c>
      <c r="R1312" s="11" t="s">
        <v>30</v>
      </c>
      <c r="S1312" s="6" t="s">
        <v>30</v>
      </c>
      <c r="T1312" s="11" t="s">
        <v>30</v>
      </c>
      <c r="U1312" s="6" t="s">
        <v>30</v>
      </c>
      <c r="V1312" s="6" t="s">
        <v>30</v>
      </c>
      <c r="W1312" s="6" t="s">
        <v>30</v>
      </c>
      <c r="X1312" s="2" t="s">
        <v>30</v>
      </c>
      <c r="Y1312" s="6" t="str">
        <f aca="false">IF(AND(X1312="processed",ISNUMBER(S1312)),S1312*O1312,"")</f>
        <v/>
      </c>
      <c r="Z1312" s="6" t="n">
        <f aca="false">IF(ISNUMBER(K1312),K1312*O1312,0)</f>
        <v>0</v>
      </c>
      <c r="AA1312" s="2" t="s">
        <v>31</v>
      </c>
      <c r="AB1312" s="6" t="n">
        <v>6392</v>
      </c>
      <c r="AC1312" s="6" t="n">
        <v>5986</v>
      </c>
      <c r="AD1312" s="6" t="n">
        <v>431</v>
      </c>
      <c r="AE1312" s="6" t="n">
        <v>2821.66796875</v>
      </c>
      <c r="AF1312" s="8" t="n">
        <v>327.927771041</v>
      </c>
      <c r="AG1312" s="11" t="n">
        <v>-0.07489672086</v>
      </c>
      <c r="AH1312" s="12" t="n">
        <v>0.96753107191302</v>
      </c>
      <c r="AI1312" s="2" t="s">
        <v>317</v>
      </c>
      <c r="AJ1312" s="2" t="s">
        <v>2915</v>
      </c>
      <c r="AK1312" s="2" t="s">
        <v>1680</v>
      </c>
    </row>
    <row r="1313" customFormat="false" ht="15" hidden="false" customHeight="false" outlineLevel="0" collapsed="false">
      <c r="A1313" s="9"/>
      <c r="B1313" s="2" t="s">
        <v>2916</v>
      </c>
      <c r="C1313" s="2" t="s">
        <v>2917</v>
      </c>
      <c r="D1313" s="2" t="s">
        <v>540</v>
      </c>
      <c r="E1313" s="2" t="s">
        <v>51</v>
      </c>
      <c r="F1313" s="2"/>
      <c r="G1313" s="2" t="s">
        <v>541</v>
      </c>
      <c r="H1313" s="8" t="n">
        <v>476.703015981688</v>
      </c>
      <c r="I1313" s="2" t="s">
        <v>316</v>
      </c>
      <c r="J1313" s="8" t="n">
        <v>965437.5</v>
      </c>
      <c r="K1313" s="6" t="n">
        <v>16</v>
      </c>
      <c r="L1313" s="2"/>
      <c r="M1313" s="10" t="b">
        <f aca="false">TRUE()</f>
        <v>1</v>
      </c>
      <c r="N1313" s="9" t="str">
        <f aca="false">IF(H1313="","",IF(H1313&gt;=Assumptions!$B$5,1,IF(H1313&gt;=Assumptions!$B$6,2,IF(H1313&gt;=Assumptions!$B$7,3,""))))</f>
        <v/>
      </c>
      <c r="O1313" s="9" t="n">
        <f aca="false">IF(N1313=1,Assumptions!$B$8,IF(N1313=2,Assumptions!$B$9,IF(N1313=3,Assumptions!$B$10,0)))</f>
        <v>0</v>
      </c>
      <c r="P1313" s="6" t="s">
        <v>30</v>
      </c>
      <c r="Q1313" s="6" t="s">
        <v>30</v>
      </c>
      <c r="R1313" s="11" t="s">
        <v>30</v>
      </c>
      <c r="S1313" s="6" t="s">
        <v>30</v>
      </c>
      <c r="T1313" s="11" t="s">
        <v>30</v>
      </c>
      <c r="U1313" s="6" t="s">
        <v>30</v>
      </c>
      <c r="V1313" s="6" t="s">
        <v>30</v>
      </c>
      <c r="W1313" s="6" t="s">
        <v>30</v>
      </c>
      <c r="X1313" s="2" t="s">
        <v>30</v>
      </c>
      <c r="Y1313" s="6" t="str">
        <f aca="false">IF(AND(X1313="processed",ISNUMBER(S1313)),S1313*O1313,"")</f>
        <v/>
      </c>
      <c r="Z1313" s="6" t="n">
        <f aca="false">IF(ISNUMBER(K1313),K1313*O1313,0)</f>
        <v>0</v>
      </c>
      <c r="AA1313" s="2" t="s">
        <v>31</v>
      </c>
      <c r="AB1313" s="6" t="n">
        <v>1904</v>
      </c>
      <c r="AC1313" s="6" t="n">
        <v>1414</v>
      </c>
      <c r="AD1313" s="6" t="n">
        <v>55</v>
      </c>
      <c r="AE1313" s="6" t="n">
        <v>1983.82604980469</v>
      </c>
      <c r="AF1313" s="8" t="n">
        <v>427.766539404</v>
      </c>
      <c r="AG1313" s="11" t="n">
        <v>0.02157736866</v>
      </c>
      <c r="AH1313" s="12" t="n">
        <v>1</v>
      </c>
      <c r="AI1313" s="2" t="s">
        <v>582</v>
      </c>
      <c r="AJ1313" s="2" t="s">
        <v>2917</v>
      </c>
      <c r="AK1313" s="2" t="s">
        <v>2917</v>
      </c>
    </row>
    <row r="1314" customFormat="false" ht="15" hidden="false" customHeight="false" outlineLevel="0" collapsed="false">
      <c r="A1314" s="9"/>
      <c r="B1314" s="2" t="s">
        <v>2918</v>
      </c>
      <c r="C1314" s="2" t="s">
        <v>2919</v>
      </c>
      <c r="D1314" s="2" t="s">
        <v>105</v>
      </c>
      <c r="E1314" s="2" t="s">
        <v>51</v>
      </c>
      <c r="F1314" s="2"/>
      <c r="G1314" s="2" t="s">
        <v>318</v>
      </c>
      <c r="H1314" s="8" t="n">
        <v>354.829017377021</v>
      </c>
      <c r="I1314" s="2" t="s">
        <v>316</v>
      </c>
      <c r="J1314" s="8" t="n">
        <v>546025.882352941</v>
      </c>
      <c r="K1314" s="6" t="n">
        <v>425</v>
      </c>
      <c r="L1314" s="2"/>
      <c r="M1314" s="10" t="b">
        <f aca="false">TRUE()</f>
        <v>1</v>
      </c>
      <c r="N1314" s="9" t="str">
        <f aca="false">IF(H1314="","",IF(H1314&gt;=Assumptions!$B$5,1,IF(H1314&gt;=Assumptions!$B$6,2,IF(H1314&gt;=Assumptions!$B$7,3,""))))</f>
        <v/>
      </c>
      <c r="O1314" s="9" t="n">
        <f aca="false">IF(N1314=1,Assumptions!$B$8,IF(N1314=2,Assumptions!$B$9,IF(N1314=3,Assumptions!$B$10,0)))</f>
        <v>0</v>
      </c>
      <c r="P1314" s="6" t="s">
        <v>30</v>
      </c>
      <c r="Q1314" s="6" t="s">
        <v>30</v>
      </c>
      <c r="R1314" s="11" t="s">
        <v>30</v>
      </c>
      <c r="S1314" s="6" t="s">
        <v>30</v>
      </c>
      <c r="T1314" s="11" t="s">
        <v>30</v>
      </c>
      <c r="U1314" s="6" t="s">
        <v>30</v>
      </c>
      <c r="V1314" s="6" t="s">
        <v>30</v>
      </c>
      <c r="W1314" s="6" t="s">
        <v>30</v>
      </c>
      <c r="X1314" s="2" t="s">
        <v>30</v>
      </c>
      <c r="Y1314" s="6" t="str">
        <f aca="false">IF(AND(X1314="processed",ISNUMBER(S1314)),S1314*O1314,"")</f>
        <v/>
      </c>
      <c r="Z1314" s="6" t="n">
        <f aca="false">IF(ISNUMBER(K1314),K1314*O1314,0)</f>
        <v>0</v>
      </c>
      <c r="AA1314" s="2" t="s">
        <v>31</v>
      </c>
      <c r="AB1314" s="6" t="n">
        <v>20728</v>
      </c>
      <c r="AC1314" s="6" t="n">
        <v>18944</v>
      </c>
      <c r="AD1314" s="6" t="n">
        <v>20052</v>
      </c>
      <c r="AE1314" s="6" t="n">
        <v>2236.0869140625</v>
      </c>
      <c r="AF1314" s="8" t="n">
        <v>366.819902711</v>
      </c>
      <c r="AG1314" s="11" t="n">
        <v>0.05113354697</v>
      </c>
      <c r="AH1314" s="12" t="n">
        <v>0.997168089892172</v>
      </c>
      <c r="AI1314" s="2" t="s">
        <v>321</v>
      </c>
      <c r="AJ1314" s="2" t="s">
        <v>2919</v>
      </c>
      <c r="AK1314" s="2" t="s">
        <v>2919</v>
      </c>
    </row>
    <row r="1315" customFormat="false" ht="15" hidden="false" customHeight="false" outlineLevel="0" collapsed="false">
      <c r="A1315" s="9"/>
      <c r="B1315" s="2" t="s">
        <v>2920</v>
      </c>
      <c r="C1315" s="2" t="s">
        <v>2921</v>
      </c>
      <c r="D1315" s="2" t="s">
        <v>2922</v>
      </c>
      <c r="E1315" s="2" t="s">
        <v>51</v>
      </c>
      <c r="F1315" s="2"/>
      <c r="G1315" s="2" t="s">
        <v>2923</v>
      </c>
      <c r="H1315" s="8" t="n">
        <v>448.097671773717</v>
      </c>
      <c r="I1315" s="2" t="s">
        <v>316</v>
      </c>
      <c r="J1315" s="8" t="n">
        <v>878146.739130435</v>
      </c>
      <c r="K1315" s="6" t="n">
        <v>184</v>
      </c>
      <c r="L1315" s="2"/>
      <c r="M1315" s="10" t="b">
        <f aca="false">TRUE()</f>
        <v>1</v>
      </c>
      <c r="N1315" s="9" t="str">
        <f aca="false">IF(H1315="","",IF(H1315&gt;=Assumptions!$B$5,1,IF(H1315&gt;=Assumptions!$B$6,2,IF(H1315&gt;=Assumptions!$B$7,3,""))))</f>
        <v/>
      </c>
      <c r="O1315" s="9" t="n">
        <f aca="false">IF(N1315=1,Assumptions!$B$8,IF(N1315=2,Assumptions!$B$9,IF(N1315=3,Assumptions!$B$10,0)))</f>
        <v>0</v>
      </c>
      <c r="P1315" s="6" t="s">
        <v>30</v>
      </c>
      <c r="Q1315" s="6" t="s">
        <v>30</v>
      </c>
      <c r="R1315" s="11" t="s">
        <v>30</v>
      </c>
      <c r="S1315" s="6" t="s">
        <v>30</v>
      </c>
      <c r="T1315" s="11" t="s">
        <v>30</v>
      </c>
      <c r="U1315" s="6" t="s">
        <v>30</v>
      </c>
      <c r="V1315" s="6" t="s">
        <v>30</v>
      </c>
      <c r="W1315" s="6" t="s">
        <v>30</v>
      </c>
      <c r="X1315" s="2" t="s">
        <v>30</v>
      </c>
      <c r="Y1315" s="6" t="str">
        <f aca="false">IF(AND(X1315="processed",ISNUMBER(S1315)),S1315*O1315,"")</f>
        <v/>
      </c>
      <c r="Z1315" s="6" t="n">
        <f aca="false">IF(ISNUMBER(K1315),K1315*O1315,0)</f>
        <v>0</v>
      </c>
      <c r="AA1315" s="2" t="s">
        <v>31</v>
      </c>
      <c r="AB1315" s="6" t="n">
        <v>10418</v>
      </c>
      <c r="AC1315" s="6" t="n">
        <v>9276</v>
      </c>
      <c r="AD1315" s="6" t="n">
        <v>2193</v>
      </c>
      <c r="AE1315" s="6" t="n">
        <v>2256.7412109375</v>
      </c>
      <c r="AF1315" s="8" t="n">
        <v>440.056848696</v>
      </c>
      <c r="AG1315" s="11" t="n">
        <v>-0.07651697594</v>
      </c>
      <c r="AH1315" s="12" t="n">
        <v>0.998872565428711</v>
      </c>
      <c r="AI1315" s="2" t="s">
        <v>317</v>
      </c>
      <c r="AJ1315" s="2" t="s">
        <v>2921</v>
      </c>
      <c r="AK1315" s="2" t="s">
        <v>2921</v>
      </c>
    </row>
    <row r="1316" customFormat="false" ht="15" hidden="false" customHeight="false" outlineLevel="0" collapsed="false">
      <c r="A1316" s="9"/>
      <c r="B1316" s="2" t="s">
        <v>2924</v>
      </c>
      <c r="C1316" s="2" t="s">
        <v>2925</v>
      </c>
      <c r="D1316" s="2" t="s">
        <v>105</v>
      </c>
      <c r="E1316" s="2" t="s">
        <v>51</v>
      </c>
      <c r="F1316" s="2"/>
      <c r="G1316" s="2" t="s">
        <v>318</v>
      </c>
      <c r="H1316" s="8" t="n">
        <v>432.42539851124</v>
      </c>
      <c r="I1316" s="2" t="s">
        <v>316</v>
      </c>
      <c r="J1316" s="8" t="n">
        <v>931882.6</v>
      </c>
      <c r="K1316" s="6" t="n">
        <v>25</v>
      </c>
      <c r="L1316" s="2"/>
      <c r="M1316" s="10" t="b">
        <f aca="false">TRUE()</f>
        <v>1</v>
      </c>
      <c r="N1316" s="9" t="str">
        <f aca="false">IF(H1316="","",IF(H1316&gt;=Assumptions!$B$5,1,IF(H1316&gt;=Assumptions!$B$6,2,IF(H1316&gt;=Assumptions!$B$7,3,""))))</f>
        <v/>
      </c>
      <c r="O1316" s="9" t="n">
        <f aca="false">IF(N1316=1,Assumptions!$B$8,IF(N1316=2,Assumptions!$B$9,IF(N1316=3,Assumptions!$B$10,0)))</f>
        <v>0</v>
      </c>
      <c r="P1316" s="6" t="s">
        <v>30</v>
      </c>
      <c r="Q1316" s="6" t="s">
        <v>30</v>
      </c>
      <c r="R1316" s="11" t="s">
        <v>30</v>
      </c>
      <c r="S1316" s="6" t="s">
        <v>30</v>
      </c>
      <c r="T1316" s="11" t="s">
        <v>30</v>
      </c>
      <c r="U1316" s="6" t="s">
        <v>30</v>
      </c>
      <c r="V1316" s="6" t="s">
        <v>30</v>
      </c>
      <c r="W1316" s="6" t="s">
        <v>30</v>
      </c>
      <c r="X1316" s="2" t="s">
        <v>30</v>
      </c>
      <c r="Y1316" s="6" t="str">
        <f aca="false">IF(AND(X1316="processed",ISNUMBER(S1316)),S1316*O1316,"")</f>
        <v/>
      </c>
      <c r="Z1316" s="6" t="n">
        <f aca="false">IF(ISNUMBER(K1316),K1316*O1316,0)</f>
        <v>0</v>
      </c>
      <c r="AA1316" s="2" t="s">
        <v>31</v>
      </c>
      <c r="AB1316" s="6" t="n">
        <v>1680</v>
      </c>
      <c r="AC1316" s="6" t="n">
        <v>1438</v>
      </c>
      <c r="AD1316" s="6" t="n">
        <v>1222</v>
      </c>
      <c r="AE1316" s="6" t="n">
        <v>1351.08764648438</v>
      </c>
      <c r="AF1316" s="8" t="n">
        <v>478.941213151</v>
      </c>
      <c r="AG1316" s="11" t="n">
        <v>-0.02930775929</v>
      </c>
      <c r="AH1316" s="12" t="n">
        <v>1</v>
      </c>
      <c r="AI1316" s="2" t="s">
        <v>317</v>
      </c>
      <c r="AJ1316" s="2" t="s">
        <v>2925</v>
      </c>
      <c r="AK1316" s="2" t="s">
        <v>2925</v>
      </c>
    </row>
    <row r="1317" customFormat="false" ht="15" hidden="false" customHeight="false" outlineLevel="0" collapsed="false">
      <c r="A1317" s="9"/>
      <c r="B1317" s="2" t="s">
        <v>2926</v>
      </c>
      <c r="C1317" s="2" t="s">
        <v>2927</v>
      </c>
      <c r="D1317" s="2" t="s">
        <v>2922</v>
      </c>
      <c r="E1317" s="2" t="s">
        <v>51</v>
      </c>
      <c r="F1317" s="2"/>
      <c r="G1317" s="2"/>
      <c r="H1317" s="8"/>
      <c r="I1317" s="2"/>
      <c r="J1317" s="8"/>
      <c r="K1317" s="6"/>
      <c r="L1317" s="2"/>
      <c r="M1317" s="10" t="b">
        <f aca="false">TRUE()</f>
        <v>1</v>
      </c>
      <c r="N1317" s="9" t="str">
        <f aca="false">IF(H1317="","",IF(H1317&gt;=Assumptions!$B$5,1,IF(H1317&gt;=Assumptions!$B$6,2,IF(H1317&gt;=Assumptions!$B$7,3,""))))</f>
        <v/>
      </c>
      <c r="O1317" s="9" t="n">
        <f aca="false">IF(N1317=1,Assumptions!$B$8,IF(N1317=2,Assumptions!$B$9,IF(N1317=3,Assumptions!$B$10,0)))</f>
        <v>0</v>
      </c>
      <c r="P1317" s="6" t="s">
        <v>30</v>
      </c>
      <c r="Q1317" s="6" t="s">
        <v>30</v>
      </c>
      <c r="R1317" s="11" t="s">
        <v>30</v>
      </c>
      <c r="S1317" s="6" t="s">
        <v>30</v>
      </c>
      <c r="T1317" s="11" t="s">
        <v>30</v>
      </c>
      <c r="U1317" s="6" t="s">
        <v>30</v>
      </c>
      <c r="V1317" s="6" t="s">
        <v>30</v>
      </c>
      <c r="W1317" s="6" t="s">
        <v>30</v>
      </c>
      <c r="X1317" s="2" t="s">
        <v>30</v>
      </c>
      <c r="Y1317" s="6" t="str">
        <f aca="false">IF(AND(X1317="processed",ISNUMBER(S1317)),S1317*O1317,"")</f>
        <v/>
      </c>
      <c r="Z1317" s="6" t="n">
        <f aca="false">IF(ISNUMBER(K1317),K1317*O1317,0)</f>
        <v>0</v>
      </c>
      <c r="AA1317" s="2" t="s">
        <v>31</v>
      </c>
      <c r="AB1317" s="6" t="n">
        <v>143</v>
      </c>
      <c r="AC1317" s="6" t="n">
        <v>110</v>
      </c>
      <c r="AD1317" s="6" t="n">
        <v>73</v>
      </c>
      <c r="AE1317" s="6" t="n">
        <v>1687.08178710938</v>
      </c>
      <c r="AF1317" s="8"/>
      <c r="AG1317" s="11"/>
      <c r="AH1317" s="12" t="n">
        <v>1</v>
      </c>
      <c r="AI1317" s="2" t="s">
        <v>350</v>
      </c>
      <c r="AJ1317" s="2" t="s">
        <v>2927</v>
      </c>
      <c r="AK1317" s="2" t="s">
        <v>2927</v>
      </c>
    </row>
    <row r="1318" customFormat="false" ht="15" hidden="false" customHeight="false" outlineLevel="0" collapsed="false">
      <c r="A1318" s="9"/>
      <c r="B1318" s="2" t="s">
        <v>2928</v>
      </c>
      <c r="C1318" s="2" t="s">
        <v>2929</v>
      </c>
      <c r="D1318" s="2" t="s">
        <v>105</v>
      </c>
      <c r="E1318" s="2" t="s">
        <v>51</v>
      </c>
      <c r="F1318" s="2" t="s">
        <v>2930</v>
      </c>
      <c r="G1318" s="2" t="s">
        <v>318</v>
      </c>
      <c r="H1318" s="8" t="n">
        <v>350.827849410441</v>
      </c>
      <c r="I1318" s="2" t="s">
        <v>316</v>
      </c>
      <c r="J1318" s="8" t="n">
        <v>775191.626409018</v>
      </c>
      <c r="K1318" s="6" t="n">
        <v>621</v>
      </c>
      <c r="L1318" s="2"/>
      <c r="M1318" s="10" t="b">
        <f aca="false">TRUE()</f>
        <v>1</v>
      </c>
      <c r="N1318" s="9" t="str">
        <f aca="false">IF(H1318="","",IF(H1318&gt;=Assumptions!$B$5,1,IF(H1318&gt;=Assumptions!$B$6,2,IF(H1318&gt;=Assumptions!$B$7,3,""))))</f>
        <v/>
      </c>
      <c r="O1318" s="9" t="n">
        <f aca="false">IF(N1318=1,Assumptions!$B$8,IF(N1318=2,Assumptions!$B$9,IF(N1318=3,Assumptions!$B$10,0)))</f>
        <v>0</v>
      </c>
      <c r="P1318" s="6" t="s">
        <v>30</v>
      </c>
      <c r="Q1318" s="6" t="s">
        <v>30</v>
      </c>
      <c r="R1318" s="11" t="s">
        <v>30</v>
      </c>
      <c r="S1318" s="6" t="s">
        <v>30</v>
      </c>
      <c r="T1318" s="11" t="s">
        <v>30</v>
      </c>
      <c r="U1318" s="6" t="s">
        <v>30</v>
      </c>
      <c r="V1318" s="6" t="s">
        <v>30</v>
      </c>
      <c r="W1318" s="6" t="s">
        <v>30</v>
      </c>
      <c r="X1318" s="2" t="s">
        <v>30</v>
      </c>
      <c r="Y1318" s="6" t="str">
        <f aca="false">IF(AND(X1318="processed",ISNUMBER(S1318)),S1318*O1318,"")</f>
        <v/>
      </c>
      <c r="Z1318" s="6" t="n">
        <f aca="false">IF(ISNUMBER(K1318),K1318*O1318,0)</f>
        <v>0</v>
      </c>
      <c r="AA1318" s="2" t="s">
        <v>31</v>
      </c>
      <c r="AB1318" s="6" t="n">
        <v>26439</v>
      </c>
      <c r="AC1318" s="6" t="n">
        <v>23834</v>
      </c>
      <c r="AD1318" s="6" t="n">
        <v>19751</v>
      </c>
      <c r="AE1318" s="6" t="n">
        <v>2530.95385742188</v>
      </c>
      <c r="AF1318" s="8" t="n">
        <v>348.541661337</v>
      </c>
      <c r="AG1318" s="11" t="n">
        <v>-0.07378900606</v>
      </c>
      <c r="AH1318" s="12" t="n">
        <v>0.999195589991377</v>
      </c>
      <c r="AI1318" s="2" t="s">
        <v>328</v>
      </c>
      <c r="AJ1318" s="2" t="s">
        <v>2929</v>
      </c>
      <c r="AK1318" s="2" t="s">
        <v>2929</v>
      </c>
    </row>
    <row r="1319" customFormat="false" ht="15" hidden="false" customHeight="false" outlineLevel="0" collapsed="false">
      <c r="A1319" s="9"/>
      <c r="B1319" s="2" t="s">
        <v>2931</v>
      </c>
      <c r="C1319" s="2" t="s">
        <v>2932</v>
      </c>
      <c r="D1319" s="2" t="s">
        <v>105</v>
      </c>
      <c r="E1319" s="2" t="s">
        <v>51</v>
      </c>
      <c r="F1319" s="2" t="s">
        <v>2933</v>
      </c>
      <c r="G1319" s="2" t="s">
        <v>318</v>
      </c>
      <c r="H1319" s="8" t="n">
        <v>405.986183193143</v>
      </c>
      <c r="I1319" s="2" t="s">
        <v>316</v>
      </c>
      <c r="J1319" s="8" t="n">
        <v>695107.142857143</v>
      </c>
      <c r="K1319" s="6" t="n">
        <v>28</v>
      </c>
      <c r="L1319" s="2"/>
      <c r="M1319" s="10" t="b">
        <f aca="false">TRUE()</f>
        <v>1</v>
      </c>
      <c r="N1319" s="9" t="str">
        <f aca="false">IF(H1319="","",IF(H1319&gt;=Assumptions!$B$5,1,IF(H1319&gt;=Assumptions!$B$6,2,IF(H1319&gt;=Assumptions!$B$7,3,""))))</f>
        <v/>
      </c>
      <c r="O1319" s="9" t="n">
        <f aca="false">IF(N1319=1,Assumptions!$B$8,IF(N1319=2,Assumptions!$B$9,IF(N1319=3,Assumptions!$B$10,0)))</f>
        <v>0</v>
      </c>
      <c r="P1319" s="6" t="s">
        <v>30</v>
      </c>
      <c r="Q1319" s="6" t="s">
        <v>30</v>
      </c>
      <c r="R1319" s="11" t="s">
        <v>30</v>
      </c>
      <c r="S1319" s="6" t="s">
        <v>30</v>
      </c>
      <c r="T1319" s="11" t="s">
        <v>30</v>
      </c>
      <c r="U1319" s="6" t="s">
        <v>30</v>
      </c>
      <c r="V1319" s="6" t="s">
        <v>30</v>
      </c>
      <c r="W1319" s="6" t="s">
        <v>30</v>
      </c>
      <c r="X1319" s="2" t="s">
        <v>30</v>
      </c>
      <c r="Y1319" s="6" t="str">
        <f aca="false">IF(AND(X1319="processed",ISNUMBER(S1319)),S1319*O1319,"")</f>
        <v/>
      </c>
      <c r="Z1319" s="6" t="n">
        <f aca="false">IF(ISNUMBER(K1319),K1319*O1319,0)</f>
        <v>0</v>
      </c>
      <c r="AA1319" s="2" t="s">
        <v>31</v>
      </c>
      <c r="AB1319" s="6" t="n">
        <v>1516</v>
      </c>
      <c r="AC1319" s="6" t="n">
        <v>1311</v>
      </c>
      <c r="AD1319" s="6" t="n">
        <v>1123</v>
      </c>
      <c r="AE1319" s="6" t="n">
        <v>1679.45495605469</v>
      </c>
      <c r="AF1319" s="8" t="n">
        <v>386.091744318</v>
      </c>
      <c r="AG1319" s="11" t="n">
        <v>-0.06348732318</v>
      </c>
      <c r="AH1319" s="12" t="n">
        <v>0.985438094986115</v>
      </c>
      <c r="AI1319" s="2" t="s">
        <v>317</v>
      </c>
      <c r="AJ1319" s="2" t="s">
        <v>2932</v>
      </c>
      <c r="AK1319" s="2" t="s">
        <v>2934</v>
      </c>
    </row>
    <row r="1320" customFormat="false" ht="15" hidden="false" customHeight="false" outlineLevel="0" collapsed="false">
      <c r="A1320" s="9"/>
      <c r="B1320" s="2" t="s">
        <v>2935</v>
      </c>
      <c r="C1320" s="2" t="s">
        <v>2919</v>
      </c>
      <c r="D1320" s="2" t="s">
        <v>105</v>
      </c>
      <c r="E1320" s="2" t="s">
        <v>51</v>
      </c>
      <c r="F1320" s="2"/>
      <c r="G1320" s="2" t="s">
        <v>318</v>
      </c>
      <c r="H1320" s="8" t="n">
        <v>303.053068042707</v>
      </c>
      <c r="I1320" s="2" t="s">
        <v>316</v>
      </c>
      <c r="J1320" s="8" t="n">
        <v>678098.404255319</v>
      </c>
      <c r="K1320" s="6" t="n">
        <v>376</v>
      </c>
      <c r="L1320" s="2"/>
      <c r="M1320" s="10" t="b">
        <f aca="false">TRUE()</f>
        <v>1</v>
      </c>
      <c r="N1320" s="9" t="str">
        <f aca="false">IF(H1320="","",IF(H1320&gt;=Assumptions!$B$5,1,IF(H1320&gt;=Assumptions!$B$6,2,IF(H1320&gt;=Assumptions!$B$7,3,""))))</f>
        <v/>
      </c>
      <c r="O1320" s="9" t="n">
        <f aca="false">IF(N1320=1,Assumptions!$B$8,IF(N1320=2,Assumptions!$B$9,IF(N1320=3,Assumptions!$B$10,0)))</f>
        <v>0</v>
      </c>
      <c r="P1320" s="6" t="s">
        <v>30</v>
      </c>
      <c r="Q1320" s="6" t="s">
        <v>30</v>
      </c>
      <c r="R1320" s="11" t="s">
        <v>30</v>
      </c>
      <c r="S1320" s="6" t="s">
        <v>30</v>
      </c>
      <c r="T1320" s="11" t="s">
        <v>30</v>
      </c>
      <c r="U1320" s="6" t="s">
        <v>30</v>
      </c>
      <c r="V1320" s="6" t="s">
        <v>30</v>
      </c>
      <c r="W1320" s="6" t="s">
        <v>30</v>
      </c>
      <c r="X1320" s="2" t="s">
        <v>30</v>
      </c>
      <c r="Y1320" s="6" t="str">
        <f aca="false">IF(AND(X1320="processed",ISNUMBER(S1320)),S1320*O1320,"")</f>
        <v/>
      </c>
      <c r="Z1320" s="6" t="n">
        <f aca="false">IF(ISNUMBER(K1320),K1320*O1320,0)</f>
        <v>0</v>
      </c>
      <c r="AA1320" s="2" t="s">
        <v>31</v>
      </c>
      <c r="AB1320" s="6" t="n">
        <v>14286</v>
      </c>
      <c r="AC1320" s="6" t="n">
        <v>13678</v>
      </c>
      <c r="AD1320" s="6" t="n">
        <v>13151</v>
      </c>
      <c r="AE1320" s="6" t="n">
        <v>2299.94384765625</v>
      </c>
      <c r="AF1320" s="8" t="n">
        <v>306.213679034</v>
      </c>
      <c r="AG1320" s="11" t="n">
        <v>-0.02241093955</v>
      </c>
      <c r="AH1320" s="12" t="n">
        <v>0.999999999999999</v>
      </c>
      <c r="AI1320" s="2" t="s">
        <v>342</v>
      </c>
      <c r="AJ1320" s="2" t="s">
        <v>2919</v>
      </c>
      <c r="AK1320" s="2" t="s">
        <v>2919</v>
      </c>
    </row>
    <row r="1321" customFormat="false" ht="15" hidden="false" customHeight="false" outlineLevel="0" collapsed="false">
      <c r="A1321" s="9"/>
      <c r="B1321" s="2" t="s">
        <v>2936</v>
      </c>
      <c r="C1321" s="2" t="s">
        <v>2937</v>
      </c>
      <c r="D1321" s="2" t="s">
        <v>2922</v>
      </c>
      <c r="E1321" s="2" t="s">
        <v>51</v>
      </c>
      <c r="F1321" s="2"/>
      <c r="G1321" s="2" t="s">
        <v>2923</v>
      </c>
      <c r="H1321" s="8" t="n">
        <v>326.259559626879</v>
      </c>
      <c r="I1321" s="2" t="s">
        <v>316</v>
      </c>
      <c r="J1321" s="8" t="n">
        <v>546853.813559322</v>
      </c>
      <c r="K1321" s="6" t="n">
        <v>472</v>
      </c>
      <c r="L1321" s="2"/>
      <c r="M1321" s="10" t="b">
        <f aca="false">TRUE()</f>
        <v>1</v>
      </c>
      <c r="N1321" s="9" t="str">
        <f aca="false">IF(H1321="","",IF(H1321&gt;=Assumptions!$B$5,1,IF(H1321&gt;=Assumptions!$B$6,2,IF(H1321&gt;=Assumptions!$B$7,3,""))))</f>
        <v/>
      </c>
      <c r="O1321" s="9" t="n">
        <f aca="false">IF(N1321=1,Assumptions!$B$8,IF(N1321=2,Assumptions!$B$9,IF(N1321=3,Assumptions!$B$10,0)))</f>
        <v>0</v>
      </c>
      <c r="P1321" s="6" t="s">
        <v>30</v>
      </c>
      <c r="Q1321" s="6" t="s">
        <v>30</v>
      </c>
      <c r="R1321" s="11" t="s">
        <v>30</v>
      </c>
      <c r="S1321" s="6" t="s">
        <v>30</v>
      </c>
      <c r="T1321" s="11" t="s">
        <v>30</v>
      </c>
      <c r="U1321" s="6" t="s">
        <v>30</v>
      </c>
      <c r="V1321" s="6" t="s">
        <v>30</v>
      </c>
      <c r="W1321" s="6" t="s">
        <v>30</v>
      </c>
      <c r="X1321" s="2" t="s">
        <v>30</v>
      </c>
      <c r="Y1321" s="6" t="str">
        <f aca="false">IF(AND(X1321="processed",ISNUMBER(S1321)),S1321*O1321,"")</f>
        <v/>
      </c>
      <c r="Z1321" s="6" t="n">
        <f aca="false">IF(ISNUMBER(K1321),K1321*O1321,0)</f>
        <v>0</v>
      </c>
      <c r="AA1321" s="2" t="s">
        <v>31</v>
      </c>
      <c r="AB1321" s="6" t="n">
        <v>22372</v>
      </c>
      <c r="AC1321" s="6" t="n">
        <v>20841</v>
      </c>
      <c r="AD1321" s="6" t="n">
        <v>2301</v>
      </c>
      <c r="AE1321" s="6" t="n">
        <v>2231.8828125</v>
      </c>
      <c r="AF1321" s="8" t="n">
        <v>329.60199005</v>
      </c>
      <c r="AG1321" s="11" t="n">
        <v>-0.02135809951</v>
      </c>
      <c r="AH1321" s="12" t="n">
        <v>1</v>
      </c>
      <c r="AI1321" s="2" t="s">
        <v>317</v>
      </c>
      <c r="AJ1321" s="2" t="s">
        <v>2937</v>
      </c>
      <c r="AK1321" s="2" t="s">
        <v>2937</v>
      </c>
    </row>
    <row r="1322" customFormat="false" ht="15" hidden="false" customHeight="false" outlineLevel="0" collapsed="false">
      <c r="A1322" s="9"/>
      <c r="B1322" s="2" t="s">
        <v>2938</v>
      </c>
      <c r="C1322" s="2" t="s">
        <v>2937</v>
      </c>
      <c r="D1322" s="2" t="s">
        <v>2922</v>
      </c>
      <c r="E1322" s="2" t="s">
        <v>51</v>
      </c>
      <c r="F1322" s="2"/>
      <c r="G1322" s="2" t="s">
        <v>2923</v>
      </c>
      <c r="H1322" s="8" t="n">
        <v>340.472889812253</v>
      </c>
      <c r="I1322" s="2" t="s">
        <v>316</v>
      </c>
      <c r="J1322" s="8" t="n">
        <v>712912.162162162</v>
      </c>
      <c r="K1322" s="6" t="n">
        <v>296</v>
      </c>
      <c r="L1322" s="2"/>
      <c r="M1322" s="10" t="b">
        <f aca="false">TRUE()</f>
        <v>1</v>
      </c>
      <c r="N1322" s="9" t="str">
        <f aca="false">IF(H1322="","",IF(H1322&gt;=Assumptions!$B$5,1,IF(H1322&gt;=Assumptions!$B$6,2,IF(H1322&gt;=Assumptions!$B$7,3,""))))</f>
        <v/>
      </c>
      <c r="O1322" s="9" t="n">
        <f aca="false">IF(N1322=1,Assumptions!$B$8,IF(N1322=2,Assumptions!$B$9,IF(N1322=3,Assumptions!$B$10,0)))</f>
        <v>0</v>
      </c>
      <c r="P1322" s="6" t="s">
        <v>30</v>
      </c>
      <c r="Q1322" s="6" t="s">
        <v>30</v>
      </c>
      <c r="R1322" s="11" t="s">
        <v>30</v>
      </c>
      <c r="S1322" s="6" t="s">
        <v>30</v>
      </c>
      <c r="T1322" s="11" t="s">
        <v>30</v>
      </c>
      <c r="U1322" s="6" t="s">
        <v>30</v>
      </c>
      <c r="V1322" s="6" t="s">
        <v>30</v>
      </c>
      <c r="W1322" s="6" t="s">
        <v>30</v>
      </c>
      <c r="X1322" s="2" t="s">
        <v>30</v>
      </c>
      <c r="Y1322" s="6" t="str">
        <f aca="false">IF(AND(X1322="processed",ISNUMBER(S1322)),S1322*O1322,"")</f>
        <v/>
      </c>
      <c r="Z1322" s="6" t="n">
        <f aca="false">IF(ISNUMBER(K1322),K1322*O1322,0)</f>
        <v>0</v>
      </c>
      <c r="AA1322" s="2" t="s">
        <v>31</v>
      </c>
      <c r="AB1322" s="6" t="n">
        <v>15714</v>
      </c>
      <c r="AC1322" s="6" t="n">
        <v>14267</v>
      </c>
      <c r="AD1322" s="6" t="n">
        <v>968</v>
      </c>
      <c r="AE1322" s="6" t="n">
        <v>2331.59741210938</v>
      </c>
      <c r="AF1322" s="8" t="n">
        <v>345.275181724</v>
      </c>
      <c r="AG1322" s="11" t="n">
        <v>-0.04862689793</v>
      </c>
      <c r="AH1322" s="12" t="n">
        <v>0.998291580333595</v>
      </c>
      <c r="AI1322" s="2" t="s">
        <v>317</v>
      </c>
      <c r="AJ1322" s="2" t="s">
        <v>2937</v>
      </c>
      <c r="AK1322" s="2" t="s">
        <v>2937</v>
      </c>
    </row>
    <row r="1323" customFormat="false" ht="15" hidden="false" customHeight="false" outlineLevel="0" collapsed="false">
      <c r="A1323" s="9"/>
      <c r="B1323" s="2" t="s">
        <v>2939</v>
      </c>
      <c r="C1323" s="2" t="s">
        <v>2940</v>
      </c>
      <c r="D1323" s="2" t="s">
        <v>2922</v>
      </c>
      <c r="E1323" s="2" t="s">
        <v>51</v>
      </c>
      <c r="F1323" s="2"/>
      <c r="G1323" s="2"/>
      <c r="H1323" s="8"/>
      <c r="I1323" s="2"/>
      <c r="J1323" s="8"/>
      <c r="K1323" s="6"/>
      <c r="L1323" s="2"/>
      <c r="M1323" s="10" t="b">
        <f aca="false">TRUE()</f>
        <v>1</v>
      </c>
      <c r="N1323" s="9" t="str">
        <f aca="false">IF(H1323="","",IF(H1323&gt;=Assumptions!$B$5,1,IF(H1323&gt;=Assumptions!$B$6,2,IF(H1323&gt;=Assumptions!$B$7,3,""))))</f>
        <v/>
      </c>
      <c r="O1323" s="9" t="n">
        <f aca="false">IF(N1323=1,Assumptions!$B$8,IF(N1323=2,Assumptions!$B$9,IF(N1323=3,Assumptions!$B$10,0)))</f>
        <v>0</v>
      </c>
      <c r="P1323" s="6" t="s">
        <v>30</v>
      </c>
      <c r="Q1323" s="6" t="s">
        <v>30</v>
      </c>
      <c r="R1323" s="11" t="s">
        <v>30</v>
      </c>
      <c r="S1323" s="6" t="s">
        <v>30</v>
      </c>
      <c r="T1323" s="11" t="s">
        <v>30</v>
      </c>
      <c r="U1323" s="6" t="s">
        <v>30</v>
      </c>
      <c r="V1323" s="6" t="s">
        <v>30</v>
      </c>
      <c r="W1323" s="6" t="s">
        <v>30</v>
      </c>
      <c r="X1323" s="2" t="s">
        <v>30</v>
      </c>
      <c r="Y1323" s="6" t="str">
        <f aca="false">IF(AND(X1323="processed",ISNUMBER(S1323)),S1323*O1323,"")</f>
        <v/>
      </c>
      <c r="Z1323" s="6" t="n">
        <f aca="false">IF(ISNUMBER(K1323),K1323*O1323,0)</f>
        <v>0</v>
      </c>
      <c r="AA1323" s="2" t="s">
        <v>31</v>
      </c>
      <c r="AB1323" s="6" t="n">
        <v>951</v>
      </c>
      <c r="AC1323" s="6" t="n">
        <v>775</v>
      </c>
      <c r="AD1323" s="6" t="n">
        <v>63</v>
      </c>
      <c r="AE1323" s="6" t="n">
        <v>3376.50708007813</v>
      </c>
      <c r="AF1323" s="8"/>
      <c r="AG1323" s="11"/>
      <c r="AH1323" s="12" t="n">
        <v>1</v>
      </c>
      <c r="AI1323" s="2" t="s">
        <v>317</v>
      </c>
      <c r="AJ1323" s="2" t="s">
        <v>2940</v>
      </c>
      <c r="AK1323" s="2" t="s">
        <v>2937</v>
      </c>
    </row>
    <row r="1324" customFormat="false" ht="15" hidden="false" customHeight="false" outlineLevel="0" collapsed="false">
      <c r="A1324" s="9"/>
      <c r="B1324" s="2" t="s">
        <v>2941</v>
      </c>
      <c r="C1324" s="2" t="s">
        <v>2942</v>
      </c>
      <c r="D1324" s="2" t="s">
        <v>105</v>
      </c>
      <c r="E1324" s="2" t="s">
        <v>51</v>
      </c>
      <c r="F1324" s="2"/>
      <c r="G1324" s="2" t="s">
        <v>318</v>
      </c>
      <c r="H1324" s="8" t="n">
        <v>421.770935040516</v>
      </c>
      <c r="I1324" s="2" t="s">
        <v>316</v>
      </c>
      <c r="J1324" s="8" t="n">
        <v>843784.946236559</v>
      </c>
      <c r="K1324" s="6" t="n">
        <v>93</v>
      </c>
      <c r="L1324" s="2"/>
      <c r="M1324" s="10" t="b">
        <f aca="false">TRUE()</f>
        <v>1</v>
      </c>
      <c r="N1324" s="9" t="str">
        <f aca="false">IF(H1324="","",IF(H1324&gt;=Assumptions!$B$5,1,IF(H1324&gt;=Assumptions!$B$6,2,IF(H1324&gt;=Assumptions!$B$7,3,""))))</f>
        <v/>
      </c>
      <c r="O1324" s="9" t="n">
        <f aca="false">IF(N1324=1,Assumptions!$B$8,IF(N1324=2,Assumptions!$B$9,IF(N1324=3,Assumptions!$B$10,0)))</f>
        <v>0</v>
      </c>
      <c r="P1324" s="6" t="s">
        <v>30</v>
      </c>
      <c r="Q1324" s="6" t="s">
        <v>30</v>
      </c>
      <c r="R1324" s="11" t="s">
        <v>30</v>
      </c>
      <c r="S1324" s="6" t="s">
        <v>30</v>
      </c>
      <c r="T1324" s="11" t="s">
        <v>30</v>
      </c>
      <c r="U1324" s="6" t="s">
        <v>30</v>
      </c>
      <c r="V1324" s="6" t="s">
        <v>30</v>
      </c>
      <c r="W1324" s="6" t="s">
        <v>30</v>
      </c>
      <c r="X1324" s="2" t="s">
        <v>30</v>
      </c>
      <c r="Y1324" s="6" t="str">
        <f aca="false">IF(AND(X1324="processed",ISNUMBER(S1324)),S1324*O1324,"")</f>
        <v/>
      </c>
      <c r="Z1324" s="6" t="n">
        <f aca="false">IF(ISNUMBER(K1324),K1324*O1324,0)</f>
        <v>0</v>
      </c>
      <c r="AA1324" s="2" t="s">
        <v>31</v>
      </c>
      <c r="AB1324" s="6" t="n">
        <v>6994</v>
      </c>
      <c r="AC1324" s="6" t="n">
        <v>6460</v>
      </c>
      <c r="AD1324" s="6" t="n">
        <v>2418</v>
      </c>
      <c r="AE1324" s="6" t="n">
        <v>2140.86938476563</v>
      </c>
      <c r="AF1324" s="8" t="n">
        <v>426.05156038</v>
      </c>
      <c r="AG1324" s="11" t="n">
        <v>0.0271184186</v>
      </c>
      <c r="AH1324" s="12" t="n">
        <v>1</v>
      </c>
      <c r="AI1324" s="2" t="s">
        <v>317</v>
      </c>
      <c r="AJ1324" s="2" t="s">
        <v>2942</v>
      </c>
      <c r="AK1324" s="2" t="s">
        <v>2942</v>
      </c>
    </row>
    <row r="1325" customFormat="false" ht="15" hidden="false" customHeight="false" outlineLevel="0" collapsed="false">
      <c r="A1325" s="9"/>
      <c r="B1325" s="2" t="s">
        <v>2943</v>
      </c>
      <c r="C1325" s="2" t="s">
        <v>2944</v>
      </c>
      <c r="D1325" s="2" t="s">
        <v>105</v>
      </c>
      <c r="E1325" s="2" t="s">
        <v>51</v>
      </c>
      <c r="F1325" s="2"/>
      <c r="G1325" s="2"/>
      <c r="H1325" s="8"/>
      <c r="I1325" s="2"/>
      <c r="J1325" s="8"/>
      <c r="K1325" s="6"/>
      <c r="L1325" s="2"/>
      <c r="M1325" s="10" t="b">
        <f aca="false">TRUE()</f>
        <v>1</v>
      </c>
      <c r="N1325" s="9" t="str">
        <f aca="false">IF(H1325="","",IF(H1325&gt;=Assumptions!$B$5,1,IF(H1325&gt;=Assumptions!$B$6,2,IF(H1325&gt;=Assumptions!$B$7,3,""))))</f>
        <v/>
      </c>
      <c r="O1325" s="9" t="n">
        <f aca="false">IF(N1325=1,Assumptions!$B$8,IF(N1325=2,Assumptions!$B$9,IF(N1325=3,Assumptions!$B$10,0)))</f>
        <v>0</v>
      </c>
      <c r="P1325" s="6" t="s">
        <v>30</v>
      </c>
      <c r="Q1325" s="6" t="s">
        <v>30</v>
      </c>
      <c r="R1325" s="11" t="s">
        <v>30</v>
      </c>
      <c r="S1325" s="6" t="s">
        <v>30</v>
      </c>
      <c r="T1325" s="11" t="s">
        <v>30</v>
      </c>
      <c r="U1325" s="6" t="s">
        <v>30</v>
      </c>
      <c r="V1325" s="6" t="s">
        <v>30</v>
      </c>
      <c r="W1325" s="6" t="s">
        <v>30</v>
      </c>
      <c r="X1325" s="2" t="s">
        <v>30</v>
      </c>
      <c r="Y1325" s="6" t="str">
        <f aca="false">IF(AND(X1325="processed",ISNUMBER(S1325)),S1325*O1325,"")</f>
        <v/>
      </c>
      <c r="Z1325" s="6" t="n">
        <f aca="false">IF(ISNUMBER(K1325),K1325*O1325,0)</f>
        <v>0</v>
      </c>
      <c r="AA1325" s="2" t="s">
        <v>31</v>
      </c>
      <c r="AB1325" s="6" t="n">
        <v>427</v>
      </c>
      <c r="AC1325" s="6" t="n">
        <v>346</v>
      </c>
      <c r="AD1325" s="6" t="n">
        <v>425</v>
      </c>
      <c r="AE1325" s="6" t="n">
        <v>1767.34252929688</v>
      </c>
      <c r="AF1325" s="8"/>
      <c r="AG1325" s="11"/>
      <c r="AH1325" s="12" t="n">
        <v>1</v>
      </c>
      <c r="AI1325" s="2" t="s">
        <v>317</v>
      </c>
      <c r="AJ1325" s="2" t="s">
        <v>2944</v>
      </c>
      <c r="AK1325" s="2" t="s">
        <v>2945</v>
      </c>
    </row>
    <row r="1326" customFormat="false" ht="15" hidden="false" customHeight="false" outlineLevel="0" collapsed="false">
      <c r="A1326" s="9"/>
      <c r="B1326" s="2" t="s">
        <v>2946</v>
      </c>
      <c r="C1326" s="2" t="s">
        <v>2945</v>
      </c>
      <c r="D1326" s="2" t="s">
        <v>105</v>
      </c>
      <c r="E1326" s="2" t="s">
        <v>51</v>
      </c>
      <c r="F1326" s="2"/>
      <c r="G1326" s="2" t="s">
        <v>318</v>
      </c>
      <c r="H1326" s="8" t="n">
        <v>338.619099099581</v>
      </c>
      <c r="I1326" s="2" t="s">
        <v>316</v>
      </c>
      <c r="J1326" s="8" t="n">
        <v>670395.348837209</v>
      </c>
      <c r="K1326" s="6" t="n">
        <v>387</v>
      </c>
      <c r="L1326" s="2"/>
      <c r="M1326" s="10" t="b">
        <f aca="false">TRUE()</f>
        <v>1</v>
      </c>
      <c r="N1326" s="9" t="str">
        <f aca="false">IF(H1326="","",IF(H1326&gt;=Assumptions!$B$5,1,IF(H1326&gt;=Assumptions!$B$6,2,IF(H1326&gt;=Assumptions!$B$7,3,""))))</f>
        <v/>
      </c>
      <c r="O1326" s="9" t="n">
        <f aca="false">IF(N1326=1,Assumptions!$B$8,IF(N1326=2,Assumptions!$B$9,IF(N1326=3,Assumptions!$B$10,0)))</f>
        <v>0</v>
      </c>
      <c r="P1326" s="6" t="s">
        <v>30</v>
      </c>
      <c r="Q1326" s="6" t="s">
        <v>30</v>
      </c>
      <c r="R1326" s="11" t="s">
        <v>30</v>
      </c>
      <c r="S1326" s="6" t="s">
        <v>30</v>
      </c>
      <c r="T1326" s="11" t="s">
        <v>30</v>
      </c>
      <c r="U1326" s="6" t="s">
        <v>30</v>
      </c>
      <c r="V1326" s="6" t="s">
        <v>30</v>
      </c>
      <c r="W1326" s="6" t="s">
        <v>30</v>
      </c>
      <c r="X1326" s="2" t="s">
        <v>30</v>
      </c>
      <c r="Y1326" s="6" t="str">
        <f aca="false">IF(AND(X1326="processed",ISNUMBER(S1326)),S1326*O1326,"")</f>
        <v/>
      </c>
      <c r="Z1326" s="6" t="n">
        <f aca="false">IF(ISNUMBER(K1326),K1326*O1326,0)</f>
        <v>0</v>
      </c>
      <c r="AA1326" s="2" t="s">
        <v>31</v>
      </c>
      <c r="AB1326" s="6" t="n">
        <v>16907</v>
      </c>
      <c r="AC1326" s="6" t="n">
        <v>15516</v>
      </c>
      <c r="AD1326" s="6" t="n">
        <v>12218</v>
      </c>
      <c r="AE1326" s="6" t="n">
        <v>2242.5458984375</v>
      </c>
      <c r="AF1326" s="8" t="n">
        <v>330.557001562</v>
      </c>
      <c r="AG1326" s="11" t="n">
        <v>-0.07739412442</v>
      </c>
      <c r="AH1326" s="12" t="n">
        <v>0.999990658042842</v>
      </c>
      <c r="AI1326" s="2" t="s">
        <v>317</v>
      </c>
      <c r="AJ1326" s="2" t="s">
        <v>2945</v>
      </c>
      <c r="AK1326" s="2" t="s">
        <v>2945</v>
      </c>
    </row>
    <row r="1327" customFormat="false" ht="15" hidden="false" customHeight="false" outlineLevel="0" collapsed="false">
      <c r="A1327" s="9"/>
      <c r="B1327" s="2" t="s">
        <v>2947</v>
      </c>
      <c r="C1327" s="2" t="s">
        <v>2948</v>
      </c>
      <c r="D1327" s="2" t="s">
        <v>105</v>
      </c>
      <c r="E1327" s="2" t="s">
        <v>51</v>
      </c>
      <c r="F1327" s="2"/>
      <c r="G1327" s="2" t="s">
        <v>318</v>
      </c>
      <c r="H1327" s="8" t="n">
        <v>479.816834558626</v>
      </c>
      <c r="I1327" s="2" t="s">
        <v>316</v>
      </c>
      <c r="J1327" s="8" t="n">
        <v>735913.043478261</v>
      </c>
      <c r="K1327" s="6" t="n">
        <v>115</v>
      </c>
      <c r="L1327" s="2"/>
      <c r="M1327" s="10" t="b">
        <f aca="false">TRUE()</f>
        <v>1</v>
      </c>
      <c r="N1327" s="9" t="str">
        <f aca="false">IF(H1327="","",IF(H1327&gt;=Assumptions!$B$5,1,IF(H1327&gt;=Assumptions!$B$6,2,IF(H1327&gt;=Assumptions!$B$7,3,""))))</f>
        <v/>
      </c>
      <c r="O1327" s="9" t="n">
        <f aca="false">IF(N1327=1,Assumptions!$B$8,IF(N1327=2,Assumptions!$B$9,IF(N1327=3,Assumptions!$B$10,0)))</f>
        <v>0</v>
      </c>
      <c r="P1327" s="6" t="s">
        <v>30</v>
      </c>
      <c r="Q1327" s="6" t="s">
        <v>30</v>
      </c>
      <c r="R1327" s="11" t="s">
        <v>30</v>
      </c>
      <c r="S1327" s="6" t="s">
        <v>30</v>
      </c>
      <c r="T1327" s="11" t="s">
        <v>30</v>
      </c>
      <c r="U1327" s="6" t="s">
        <v>30</v>
      </c>
      <c r="V1327" s="6" t="s">
        <v>30</v>
      </c>
      <c r="W1327" s="6" t="s">
        <v>30</v>
      </c>
      <c r="X1327" s="2" t="s">
        <v>30</v>
      </c>
      <c r="Y1327" s="6" t="str">
        <f aca="false">IF(AND(X1327="processed",ISNUMBER(S1327)),S1327*O1327,"")</f>
        <v/>
      </c>
      <c r="Z1327" s="6" t="n">
        <f aca="false">IF(ISNUMBER(K1327),K1327*O1327,0)</f>
        <v>0</v>
      </c>
      <c r="AA1327" s="2" t="s">
        <v>31</v>
      </c>
      <c r="AB1327" s="6" t="n">
        <v>6202</v>
      </c>
      <c r="AC1327" s="6" t="n">
        <v>5871</v>
      </c>
      <c r="AD1327" s="6" t="n">
        <v>2456</v>
      </c>
      <c r="AE1327" s="6" t="n">
        <v>2211.4873046875</v>
      </c>
      <c r="AF1327" s="8" t="n">
        <v>474.645030426</v>
      </c>
      <c r="AG1327" s="11" t="n">
        <v>-0.08071152575</v>
      </c>
      <c r="AH1327" s="12" t="n">
        <v>1</v>
      </c>
      <c r="AI1327" s="2" t="s">
        <v>317</v>
      </c>
      <c r="AJ1327" s="2" t="s">
        <v>2948</v>
      </c>
      <c r="AK1327" s="2" t="s">
        <v>2948</v>
      </c>
    </row>
    <row r="1328" customFormat="false" ht="15" hidden="false" customHeight="false" outlineLevel="0" collapsed="false">
      <c r="A1328" s="9"/>
      <c r="B1328" s="2" t="s">
        <v>2949</v>
      </c>
      <c r="C1328" s="2" t="s">
        <v>2950</v>
      </c>
      <c r="D1328" s="2" t="s">
        <v>105</v>
      </c>
      <c r="E1328" s="2" t="s">
        <v>51</v>
      </c>
      <c r="F1328" s="2" t="s">
        <v>2951</v>
      </c>
      <c r="G1328" s="2" t="s">
        <v>318</v>
      </c>
      <c r="H1328" s="8" t="n">
        <v>372.670800578959</v>
      </c>
      <c r="I1328" s="2" t="s">
        <v>316</v>
      </c>
      <c r="J1328" s="8" t="n">
        <v>582071.266968326</v>
      </c>
      <c r="K1328" s="6" t="n">
        <v>442</v>
      </c>
      <c r="L1328" s="2"/>
      <c r="M1328" s="10" t="b">
        <f aca="false">TRUE()</f>
        <v>1</v>
      </c>
      <c r="N1328" s="9" t="str">
        <f aca="false">IF(H1328="","",IF(H1328&gt;=Assumptions!$B$5,1,IF(H1328&gt;=Assumptions!$B$6,2,IF(H1328&gt;=Assumptions!$B$7,3,""))))</f>
        <v/>
      </c>
      <c r="O1328" s="9" t="n">
        <f aca="false">IF(N1328=1,Assumptions!$B$8,IF(N1328=2,Assumptions!$B$9,IF(N1328=3,Assumptions!$B$10,0)))</f>
        <v>0</v>
      </c>
      <c r="P1328" s="6" t="s">
        <v>30</v>
      </c>
      <c r="Q1328" s="6" t="s">
        <v>30</v>
      </c>
      <c r="R1328" s="11" t="s">
        <v>30</v>
      </c>
      <c r="S1328" s="6" t="s">
        <v>30</v>
      </c>
      <c r="T1328" s="11" t="s">
        <v>30</v>
      </c>
      <c r="U1328" s="6" t="s">
        <v>30</v>
      </c>
      <c r="V1328" s="6" t="s">
        <v>30</v>
      </c>
      <c r="W1328" s="6" t="s">
        <v>30</v>
      </c>
      <c r="X1328" s="2" t="s">
        <v>30</v>
      </c>
      <c r="Y1328" s="6" t="str">
        <f aca="false">IF(AND(X1328="processed",ISNUMBER(S1328)),S1328*O1328,"")</f>
        <v/>
      </c>
      <c r="Z1328" s="6" t="n">
        <f aca="false">IF(ISNUMBER(K1328),K1328*O1328,0)</f>
        <v>0</v>
      </c>
      <c r="AA1328" s="2" t="s">
        <v>31</v>
      </c>
      <c r="AB1328" s="6" t="n">
        <v>27191</v>
      </c>
      <c r="AC1328" s="6" t="n">
        <v>25441</v>
      </c>
      <c r="AD1328" s="6" t="n">
        <v>24430</v>
      </c>
      <c r="AE1328" s="6" t="n">
        <v>2068.31518554688</v>
      </c>
      <c r="AF1328" s="8" t="n">
        <v>376.244594439</v>
      </c>
      <c r="AG1328" s="11" t="n">
        <v>-0.0364612723</v>
      </c>
      <c r="AH1328" s="12" t="n">
        <v>0.998997828517567</v>
      </c>
      <c r="AI1328" s="2" t="s">
        <v>2132</v>
      </c>
      <c r="AJ1328" s="2" t="s">
        <v>2952</v>
      </c>
      <c r="AK1328" s="2" t="s">
        <v>2950</v>
      </c>
    </row>
    <row r="1329" customFormat="false" ht="15" hidden="false" customHeight="false" outlineLevel="0" collapsed="false">
      <c r="A1329" s="9"/>
      <c r="B1329" s="2" t="s">
        <v>2953</v>
      </c>
      <c r="C1329" s="2" t="s">
        <v>2954</v>
      </c>
      <c r="D1329" s="2" t="s">
        <v>540</v>
      </c>
      <c r="E1329" s="2" t="s">
        <v>51</v>
      </c>
      <c r="F1329" s="2"/>
      <c r="G1329" s="2" t="s">
        <v>541</v>
      </c>
      <c r="H1329" s="8" t="n">
        <v>295.406995154222</v>
      </c>
      <c r="I1329" s="2" t="s">
        <v>316</v>
      </c>
      <c r="J1329" s="8" t="n">
        <v>605166.666666667</v>
      </c>
      <c r="K1329" s="6" t="n">
        <v>9</v>
      </c>
      <c r="L1329" s="2"/>
      <c r="M1329" s="10" t="b">
        <f aca="false">TRUE()</f>
        <v>1</v>
      </c>
      <c r="N1329" s="9" t="str">
        <f aca="false">IF(H1329="","",IF(H1329&gt;=Assumptions!$B$5,1,IF(H1329&gt;=Assumptions!$B$6,2,IF(H1329&gt;=Assumptions!$B$7,3,""))))</f>
        <v/>
      </c>
      <c r="O1329" s="9" t="n">
        <f aca="false">IF(N1329=1,Assumptions!$B$8,IF(N1329=2,Assumptions!$B$9,IF(N1329=3,Assumptions!$B$10,0)))</f>
        <v>0</v>
      </c>
      <c r="P1329" s="6" t="s">
        <v>30</v>
      </c>
      <c r="Q1329" s="6" t="s">
        <v>30</v>
      </c>
      <c r="R1329" s="11" t="s">
        <v>30</v>
      </c>
      <c r="S1329" s="6" t="s">
        <v>30</v>
      </c>
      <c r="T1329" s="11" t="s">
        <v>30</v>
      </c>
      <c r="U1329" s="6" t="s">
        <v>30</v>
      </c>
      <c r="V1329" s="6" t="s">
        <v>30</v>
      </c>
      <c r="W1329" s="6" t="s">
        <v>30</v>
      </c>
      <c r="X1329" s="2" t="s">
        <v>30</v>
      </c>
      <c r="Y1329" s="6" t="str">
        <f aca="false">IF(AND(X1329="processed",ISNUMBER(S1329)),S1329*O1329,"")</f>
        <v/>
      </c>
      <c r="Z1329" s="6" t="n">
        <f aca="false">IF(ISNUMBER(K1329),K1329*O1329,0)</f>
        <v>0</v>
      </c>
      <c r="AA1329" s="2" t="s">
        <v>31</v>
      </c>
      <c r="AB1329" s="6" t="n">
        <v>855</v>
      </c>
      <c r="AC1329" s="6" t="n">
        <v>611</v>
      </c>
      <c r="AD1329" s="6" t="n">
        <v>66</v>
      </c>
      <c r="AE1329" s="6" t="n">
        <v>1599.31579589844</v>
      </c>
      <c r="AF1329" s="8" t="n">
        <v>266.472868217</v>
      </c>
      <c r="AG1329" s="11" t="n">
        <v>0.4311535591</v>
      </c>
      <c r="AH1329" s="12" t="n">
        <v>0.998028288357706</v>
      </c>
      <c r="AI1329" s="2" t="s">
        <v>340</v>
      </c>
      <c r="AJ1329" s="2" t="s">
        <v>2954</v>
      </c>
      <c r="AK1329" s="2" t="s">
        <v>2955</v>
      </c>
    </row>
    <row r="1330" customFormat="false" ht="15" hidden="false" customHeight="false" outlineLevel="0" collapsed="false">
      <c r="A1330" s="9"/>
      <c r="B1330" s="2" t="s">
        <v>2956</v>
      </c>
      <c r="C1330" s="2" t="s">
        <v>2957</v>
      </c>
      <c r="D1330" s="2" t="s">
        <v>105</v>
      </c>
      <c r="E1330" s="2" t="s">
        <v>51</v>
      </c>
      <c r="F1330" s="2"/>
      <c r="G1330" s="2" t="s">
        <v>318</v>
      </c>
      <c r="H1330" s="8" t="n">
        <v>434.039356582667</v>
      </c>
      <c r="I1330" s="2" t="s">
        <v>316</v>
      </c>
      <c r="J1330" s="8" t="n">
        <v>616000</v>
      </c>
      <c r="K1330" s="6" t="n">
        <v>3</v>
      </c>
      <c r="L1330" s="2" t="s">
        <v>1664</v>
      </c>
      <c r="M1330" s="10" t="b">
        <f aca="false">TRUE()</f>
        <v>1</v>
      </c>
      <c r="N1330" s="9" t="str">
        <f aca="false">IF(H1330="","",IF(H1330&gt;=Assumptions!$B$5,1,IF(H1330&gt;=Assumptions!$B$6,2,IF(H1330&gt;=Assumptions!$B$7,3,""))))</f>
        <v/>
      </c>
      <c r="O1330" s="9" t="n">
        <f aca="false">IF(N1330=1,Assumptions!$B$8,IF(N1330=2,Assumptions!$B$9,IF(N1330=3,Assumptions!$B$10,0)))</f>
        <v>0</v>
      </c>
      <c r="P1330" s="6" t="s">
        <v>30</v>
      </c>
      <c r="Q1330" s="6" t="s">
        <v>30</v>
      </c>
      <c r="R1330" s="11" t="s">
        <v>30</v>
      </c>
      <c r="S1330" s="6" t="s">
        <v>30</v>
      </c>
      <c r="T1330" s="11" t="s">
        <v>30</v>
      </c>
      <c r="U1330" s="6" t="s">
        <v>30</v>
      </c>
      <c r="V1330" s="6" t="s">
        <v>30</v>
      </c>
      <c r="W1330" s="6" t="s">
        <v>30</v>
      </c>
      <c r="X1330" s="2" t="s">
        <v>30</v>
      </c>
      <c r="Y1330" s="6" t="str">
        <f aca="false">IF(AND(X1330="processed",ISNUMBER(S1330)),S1330*O1330,"")</f>
        <v/>
      </c>
      <c r="Z1330" s="6" t="n">
        <f aca="false">IF(ISNUMBER(K1330),K1330*O1330,0)</f>
        <v>0</v>
      </c>
      <c r="AA1330" s="2" t="s">
        <v>31</v>
      </c>
      <c r="AB1330" s="6" t="n">
        <v>135</v>
      </c>
      <c r="AC1330" s="6" t="n">
        <v>110</v>
      </c>
      <c r="AD1330" s="6" t="n">
        <v>113</v>
      </c>
      <c r="AE1330" s="6" t="n">
        <v>1481.20056152344</v>
      </c>
      <c r="AF1330" s="8" t="n">
        <v>353.145121347</v>
      </c>
      <c r="AG1330" s="11" t="n">
        <v>0.1981709474</v>
      </c>
      <c r="AH1330" s="12" t="n">
        <v>0.999999999999998</v>
      </c>
      <c r="AI1330" s="2" t="s">
        <v>1069</v>
      </c>
      <c r="AJ1330" s="2" t="s">
        <v>2958</v>
      </c>
      <c r="AK1330" s="2" t="s">
        <v>2957</v>
      </c>
    </row>
    <row r="1331" customFormat="false" ht="15" hidden="false" customHeight="false" outlineLevel="0" collapsed="false">
      <c r="A1331" s="9"/>
      <c r="B1331" s="2" t="s">
        <v>2959</v>
      </c>
      <c r="C1331" s="2" t="s">
        <v>2960</v>
      </c>
      <c r="D1331" s="2" t="s">
        <v>2922</v>
      </c>
      <c r="E1331" s="2" t="s">
        <v>51</v>
      </c>
      <c r="F1331" s="2" t="s">
        <v>2961</v>
      </c>
      <c r="G1331" s="2" t="s">
        <v>2923</v>
      </c>
      <c r="H1331" s="8" t="n">
        <v>274.357327623821</v>
      </c>
      <c r="I1331" s="2" t="s">
        <v>316</v>
      </c>
      <c r="J1331" s="8" t="n">
        <v>451395.319148936</v>
      </c>
      <c r="K1331" s="6" t="n">
        <v>235</v>
      </c>
      <c r="L1331" s="2"/>
      <c r="M1331" s="10" t="b">
        <f aca="false">TRUE()</f>
        <v>1</v>
      </c>
      <c r="N1331" s="9" t="str">
        <f aca="false">IF(H1331="","",IF(H1331&gt;=Assumptions!$B$5,1,IF(H1331&gt;=Assumptions!$B$6,2,IF(H1331&gt;=Assumptions!$B$7,3,""))))</f>
        <v/>
      </c>
      <c r="O1331" s="9" t="n">
        <f aca="false">IF(N1331=1,Assumptions!$B$8,IF(N1331=2,Assumptions!$B$9,IF(N1331=3,Assumptions!$B$10,0)))</f>
        <v>0</v>
      </c>
      <c r="P1331" s="6" t="s">
        <v>30</v>
      </c>
      <c r="Q1331" s="6" t="s">
        <v>30</v>
      </c>
      <c r="R1331" s="11" t="s">
        <v>30</v>
      </c>
      <c r="S1331" s="6" t="s">
        <v>30</v>
      </c>
      <c r="T1331" s="11" t="s">
        <v>30</v>
      </c>
      <c r="U1331" s="6" t="s">
        <v>30</v>
      </c>
      <c r="V1331" s="6" t="s">
        <v>30</v>
      </c>
      <c r="W1331" s="6" t="s">
        <v>30</v>
      </c>
      <c r="X1331" s="2" t="s">
        <v>30</v>
      </c>
      <c r="Y1331" s="6" t="str">
        <f aca="false">IF(AND(X1331="processed",ISNUMBER(S1331)),S1331*O1331,"")</f>
        <v/>
      </c>
      <c r="Z1331" s="6" t="n">
        <f aca="false">IF(ISNUMBER(K1331),K1331*O1331,0)</f>
        <v>0</v>
      </c>
      <c r="AA1331" s="2" t="s">
        <v>31</v>
      </c>
      <c r="AB1331" s="6" t="n">
        <v>6645</v>
      </c>
      <c r="AC1331" s="6" t="n">
        <v>5930</v>
      </c>
      <c r="AD1331" s="6" t="n">
        <v>721</v>
      </c>
      <c r="AE1331" s="6" t="n">
        <v>2446.95458984375</v>
      </c>
      <c r="AF1331" s="8" t="n">
        <v>273.037542662</v>
      </c>
      <c r="AG1331" s="11" t="n">
        <v>-0.05435777907</v>
      </c>
      <c r="AH1331" s="12" t="n">
        <v>0.729401927384215</v>
      </c>
      <c r="AI1331" s="2" t="s">
        <v>317</v>
      </c>
      <c r="AJ1331" s="2" t="s">
        <v>2960</v>
      </c>
      <c r="AK1331" s="2" t="s">
        <v>2960</v>
      </c>
    </row>
    <row r="1332" customFormat="false" ht="15" hidden="false" customHeight="false" outlineLevel="0" collapsed="false">
      <c r="A1332" s="9"/>
      <c r="B1332" s="2" t="s">
        <v>2962</v>
      </c>
      <c r="C1332" s="2" t="s">
        <v>2963</v>
      </c>
      <c r="D1332" s="2" t="s">
        <v>105</v>
      </c>
      <c r="E1332" s="2" t="s">
        <v>51</v>
      </c>
      <c r="F1332" s="2"/>
      <c r="G1332" s="2" t="s">
        <v>318</v>
      </c>
      <c r="H1332" s="8" t="n">
        <v>433.308476735453</v>
      </c>
      <c r="I1332" s="2" t="s">
        <v>316</v>
      </c>
      <c r="J1332" s="8" t="n">
        <v>664150.943396226</v>
      </c>
      <c r="K1332" s="6" t="n">
        <v>53</v>
      </c>
      <c r="L1332" s="2"/>
      <c r="M1332" s="10" t="b">
        <f aca="false">TRUE()</f>
        <v>1</v>
      </c>
      <c r="N1332" s="9" t="str">
        <f aca="false">IF(H1332="","",IF(H1332&gt;=Assumptions!$B$5,1,IF(H1332&gt;=Assumptions!$B$6,2,IF(H1332&gt;=Assumptions!$B$7,3,""))))</f>
        <v/>
      </c>
      <c r="O1332" s="9" t="n">
        <f aca="false">IF(N1332=1,Assumptions!$B$8,IF(N1332=2,Assumptions!$B$9,IF(N1332=3,Assumptions!$B$10,0)))</f>
        <v>0</v>
      </c>
      <c r="P1332" s="6" t="s">
        <v>30</v>
      </c>
      <c r="Q1332" s="6" t="s">
        <v>30</v>
      </c>
      <c r="R1332" s="11" t="s">
        <v>30</v>
      </c>
      <c r="S1332" s="6" t="s">
        <v>30</v>
      </c>
      <c r="T1332" s="11" t="s">
        <v>30</v>
      </c>
      <c r="U1332" s="6" t="s">
        <v>30</v>
      </c>
      <c r="V1332" s="6" t="s">
        <v>30</v>
      </c>
      <c r="W1332" s="6" t="s">
        <v>30</v>
      </c>
      <c r="X1332" s="2" t="s">
        <v>30</v>
      </c>
      <c r="Y1332" s="6" t="str">
        <f aca="false">IF(AND(X1332="processed",ISNUMBER(S1332)),S1332*O1332,"")</f>
        <v/>
      </c>
      <c r="Z1332" s="6" t="n">
        <f aca="false">IF(ISNUMBER(K1332),K1332*O1332,0)</f>
        <v>0</v>
      </c>
      <c r="AA1332" s="2" t="s">
        <v>31</v>
      </c>
      <c r="AB1332" s="6" t="n">
        <v>3205</v>
      </c>
      <c r="AC1332" s="6" t="n">
        <v>2880</v>
      </c>
      <c r="AD1332" s="6" t="n">
        <v>1872</v>
      </c>
      <c r="AE1332" s="6" t="n">
        <v>2083.9658203125</v>
      </c>
      <c r="AF1332" s="8" t="n">
        <v>490.196078431</v>
      </c>
      <c r="AG1332" s="11" t="n">
        <v>-0.006452904889</v>
      </c>
      <c r="AH1332" s="12" t="n">
        <v>1</v>
      </c>
      <c r="AI1332" s="2" t="s">
        <v>317</v>
      </c>
      <c r="AJ1332" s="2" t="s">
        <v>2963</v>
      </c>
      <c r="AK1332" s="2" t="s">
        <v>2942</v>
      </c>
    </row>
    <row r="1333" customFormat="false" ht="15" hidden="false" customHeight="false" outlineLevel="0" collapsed="false">
      <c r="A1333" s="9"/>
      <c r="B1333" s="2" t="s">
        <v>2964</v>
      </c>
      <c r="C1333" s="2" t="s">
        <v>758</v>
      </c>
      <c r="D1333" s="2" t="s">
        <v>105</v>
      </c>
      <c r="E1333" s="2" t="s">
        <v>51</v>
      </c>
      <c r="F1333" s="2"/>
      <c r="G1333" s="2"/>
      <c r="H1333" s="8"/>
      <c r="I1333" s="2"/>
      <c r="J1333" s="8"/>
      <c r="K1333" s="6"/>
      <c r="L1333" s="2"/>
      <c r="M1333" s="10" t="b">
        <f aca="false">TRUE()</f>
        <v>1</v>
      </c>
      <c r="N1333" s="9" t="str">
        <f aca="false">IF(H1333="","",IF(H1333&gt;=Assumptions!$B$5,1,IF(H1333&gt;=Assumptions!$B$6,2,IF(H1333&gt;=Assumptions!$B$7,3,""))))</f>
        <v/>
      </c>
      <c r="O1333" s="9" t="n">
        <f aca="false">IF(N1333=1,Assumptions!$B$8,IF(N1333=2,Assumptions!$B$9,IF(N1333=3,Assumptions!$B$10,0)))</f>
        <v>0</v>
      </c>
      <c r="P1333" s="6" t="s">
        <v>30</v>
      </c>
      <c r="Q1333" s="6" t="s">
        <v>30</v>
      </c>
      <c r="R1333" s="11" t="s">
        <v>30</v>
      </c>
      <c r="S1333" s="6" t="s">
        <v>30</v>
      </c>
      <c r="T1333" s="11" t="s">
        <v>30</v>
      </c>
      <c r="U1333" s="6" t="s">
        <v>30</v>
      </c>
      <c r="V1333" s="6" t="s">
        <v>30</v>
      </c>
      <c r="W1333" s="6" t="s">
        <v>30</v>
      </c>
      <c r="X1333" s="2" t="s">
        <v>30</v>
      </c>
      <c r="Y1333" s="6" t="str">
        <f aca="false">IF(AND(X1333="processed",ISNUMBER(S1333)),S1333*O1333,"")</f>
        <v/>
      </c>
      <c r="Z1333" s="6" t="n">
        <f aca="false">IF(ISNUMBER(K1333),K1333*O1333,0)</f>
        <v>0</v>
      </c>
      <c r="AA1333" s="2" t="s">
        <v>31</v>
      </c>
      <c r="AB1333" s="6" t="n">
        <v>33</v>
      </c>
      <c r="AC1333" s="6" t="n">
        <v>11</v>
      </c>
      <c r="AD1333" s="6" t="n">
        <v>9</v>
      </c>
      <c r="AE1333" s="6" t="n">
        <v>2354.96044921875</v>
      </c>
      <c r="AF1333" s="8"/>
      <c r="AG1333" s="11"/>
      <c r="AH1333" s="12" t="n">
        <v>1</v>
      </c>
      <c r="AI1333" s="2" t="s">
        <v>319</v>
      </c>
      <c r="AJ1333" s="2"/>
      <c r="AK1333" s="2" t="s">
        <v>758</v>
      </c>
    </row>
    <row r="1334" customFormat="false" ht="15" hidden="false" customHeight="false" outlineLevel="0" collapsed="false">
      <c r="A1334" s="9"/>
      <c r="B1334" s="2" t="s">
        <v>2965</v>
      </c>
      <c r="C1334" s="2" t="s">
        <v>2966</v>
      </c>
      <c r="D1334" s="2" t="s">
        <v>540</v>
      </c>
      <c r="E1334" s="2" t="s">
        <v>51</v>
      </c>
      <c r="F1334" s="2"/>
      <c r="G1334" s="2" t="s">
        <v>541</v>
      </c>
      <c r="H1334" s="8" t="n">
        <v>417.4181485995</v>
      </c>
      <c r="I1334" s="2" t="s">
        <v>316</v>
      </c>
      <c r="J1334" s="8" t="n">
        <v>1058500</v>
      </c>
      <c r="K1334" s="6" t="n">
        <v>2</v>
      </c>
      <c r="L1334" s="2" t="s">
        <v>1664</v>
      </c>
      <c r="M1334" s="10" t="b">
        <f aca="false">TRUE()</f>
        <v>1</v>
      </c>
      <c r="N1334" s="9" t="str">
        <f aca="false">IF(H1334="","",IF(H1334&gt;=Assumptions!$B$5,1,IF(H1334&gt;=Assumptions!$B$6,2,IF(H1334&gt;=Assumptions!$B$7,3,""))))</f>
        <v/>
      </c>
      <c r="O1334" s="9" t="n">
        <f aca="false">IF(N1334=1,Assumptions!$B$8,IF(N1334=2,Assumptions!$B$9,IF(N1334=3,Assumptions!$B$10,0)))</f>
        <v>0</v>
      </c>
      <c r="P1334" s="6" t="s">
        <v>30</v>
      </c>
      <c r="Q1334" s="6" t="s">
        <v>30</v>
      </c>
      <c r="R1334" s="11" t="s">
        <v>30</v>
      </c>
      <c r="S1334" s="6" t="s">
        <v>30</v>
      </c>
      <c r="T1334" s="11" t="s">
        <v>30</v>
      </c>
      <c r="U1334" s="6" t="s">
        <v>30</v>
      </c>
      <c r="V1334" s="6" t="s">
        <v>30</v>
      </c>
      <c r="W1334" s="6" t="s">
        <v>30</v>
      </c>
      <c r="X1334" s="2" t="s">
        <v>30</v>
      </c>
      <c r="Y1334" s="6" t="str">
        <f aca="false">IF(AND(X1334="processed",ISNUMBER(S1334)),S1334*O1334,"")</f>
        <v/>
      </c>
      <c r="Z1334" s="6" t="n">
        <f aca="false">IF(ISNUMBER(K1334),K1334*O1334,0)</f>
        <v>0</v>
      </c>
      <c r="AA1334" s="2" t="s">
        <v>31</v>
      </c>
      <c r="AB1334" s="6" t="n">
        <v>119</v>
      </c>
      <c r="AC1334" s="6" t="n">
        <v>92</v>
      </c>
      <c r="AD1334" s="6" t="n">
        <v>34</v>
      </c>
      <c r="AE1334" s="6" t="n">
        <v>1718.12573242188</v>
      </c>
      <c r="AF1334" s="8" t="n">
        <v>313.765182186</v>
      </c>
      <c r="AG1334" s="11"/>
      <c r="AH1334" s="12" t="n">
        <v>1</v>
      </c>
      <c r="AI1334" s="2" t="s">
        <v>317</v>
      </c>
      <c r="AJ1334" s="2" t="s">
        <v>2966</v>
      </c>
      <c r="AK1334" s="2" t="s">
        <v>2967</v>
      </c>
    </row>
    <row r="1335" customFormat="false" ht="15" hidden="false" customHeight="false" outlineLevel="0" collapsed="false">
      <c r="A1335" s="9"/>
      <c r="B1335" s="2" t="s">
        <v>2968</v>
      </c>
      <c r="C1335" s="2" t="s">
        <v>2969</v>
      </c>
      <c r="D1335" s="2" t="s">
        <v>2922</v>
      </c>
      <c r="E1335" s="2" t="s">
        <v>51</v>
      </c>
      <c r="F1335" s="2"/>
      <c r="G1335" s="2" t="s">
        <v>2923</v>
      </c>
      <c r="H1335" s="8" t="n">
        <v>344.042421071543</v>
      </c>
      <c r="I1335" s="2" t="s">
        <v>316</v>
      </c>
      <c r="J1335" s="8" t="n">
        <v>534053.191489362</v>
      </c>
      <c r="K1335" s="6" t="n">
        <v>188</v>
      </c>
      <c r="L1335" s="2"/>
      <c r="M1335" s="10" t="b">
        <f aca="false">TRUE()</f>
        <v>1</v>
      </c>
      <c r="N1335" s="9" t="str">
        <f aca="false">IF(H1335="","",IF(H1335&gt;=Assumptions!$B$5,1,IF(H1335&gt;=Assumptions!$B$6,2,IF(H1335&gt;=Assumptions!$B$7,3,""))))</f>
        <v/>
      </c>
      <c r="O1335" s="9" t="n">
        <f aca="false">IF(N1335=1,Assumptions!$B$8,IF(N1335=2,Assumptions!$B$9,IF(N1335=3,Assumptions!$B$10,0)))</f>
        <v>0</v>
      </c>
      <c r="P1335" s="6" t="s">
        <v>30</v>
      </c>
      <c r="Q1335" s="6" t="s">
        <v>30</v>
      </c>
      <c r="R1335" s="11" t="s">
        <v>30</v>
      </c>
      <c r="S1335" s="6" t="s">
        <v>30</v>
      </c>
      <c r="T1335" s="11" t="s">
        <v>30</v>
      </c>
      <c r="U1335" s="6" t="s">
        <v>30</v>
      </c>
      <c r="V1335" s="6" t="s">
        <v>30</v>
      </c>
      <c r="W1335" s="6" t="s">
        <v>30</v>
      </c>
      <c r="X1335" s="2" t="s">
        <v>30</v>
      </c>
      <c r="Y1335" s="6" t="str">
        <f aca="false">IF(AND(X1335="processed",ISNUMBER(S1335)),S1335*O1335,"")</f>
        <v/>
      </c>
      <c r="Z1335" s="6" t="n">
        <f aca="false">IF(ISNUMBER(K1335),K1335*O1335,0)</f>
        <v>0</v>
      </c>
      <c r="AA1335" s="2" t="s">
        <v>31</v>
      </c>
      <c r="AB1335" s="6" t="n">
        <v>9769</v>
      </c>
      <c r="AC1335" s="6" t="n">
        <v>8956</v>
      </c>
      <c r="AD1335" s="6" t="n">
        <v>705</v>
      </c>
      <c r="AE1335" s="6" t="n">
        <v>2123.15991210938</v>
      </c>
      <c r="AF1335" s="8" t="n">
        <v>354.124008133</v>
      </c>
      <c r="AG1335" s="11" t="n">
        <v>0.04041200625</v>
      </c>
      <c r="AH1335" s="12" t="n">
        <v>0.999994662787029</v>
      </c>
      <c r="AI1335" s="2" t="s">
        <v>317</v>
      </c>
      <c r="AJ1335" s="2" t="s">
        <v>2969</v>
      </c>
      <c r="AK1335" s="2" t="s">
        <v>2937</v>
      </c>
    </row>
    <row r="1336" customFormat="false" ht="15" hidden="false" customHeight="false" outlineLevel="0" collapsed="false">
      <c r="A1336" s="9"/>
      <c r="B1336" s="2" t="s">
        <v>2970</v>
      </c>
      <c r="C1336" s="2" t="s">
        <v>2934</v>
      </c>
      <c r="D1336" s="2" t="s">
        <v>2922</v>
      </c>
      <c r="E1336" s="2" t="s">
        <v>51</v>
      </c>
      <c r="F1336" s="2" t="s">
        <v>2971</v>
      </c>
      <c r="G1336" s="2" t="s">
        <v>2923</v>
      </c>
      <c r="H1336" s="8" t="n">
        <v>365.515692506142</v>
      </c>
      <c r="I1336" s="2" t="s">
        <v>316</v>
      </c>
      <c r="J1336" s="8" t="n">
        <v>507801.775147929</v>
      </c>
      <c r="K1336" s="6" t="n">
        <v>169</v>
      </c>
      <c r="L1336" s="2"/>
      <c r="M1336" s="10" t="b">
        <f aca="false">TRUE()</f>
        <v>1</v>
      </c>
      <c r="N1336" s="9" t="str">
        <f aca="false">IF(H1336="","",IF(H1336&gt;=Assumptions!$B$5,1,IF(H1336&gt;=Assumptions!$B$6,2,IF(H1336&gt;=Assumptions!$B$7,3,""))))</f>
        <v/>
      </c>
      <c r="O1336" s="9" t="n">
        <f aca="false">IF(N1336=1,Assumptions!$B$8,IF(N1336=2,Assumptions!$B$9,IF(N1336=3,Assumptions!$B$10,0)))</f>
        <v>0</v>
      </c>
      <c r="P1336" s="6" t="s">
        <v>30</v>
      </c>
      <c r="Q1336" s="6" t="s">
        <v>30</v>
      </c>
      <c r="R1336" s="11" t="s">
        <v>30</v>
      </c>
      <c r="S1336" s="6" t="s">
        <v>30</v>
      </c>
      <c r="T1336" s="11" t="s">
        <v>30</v>
      </c>
      <c r="U1336" s="6" t="s">
        <v>30</v>
      </c>
      <c r="V1336" s="6" t="s">
        <v>30</v>
      </c>
      <c r="W1336" s="6" t="s">
        <v>30</v>
      </c>
      <c r="X1336" s="2" t="s">
        <v>30</v>
      </c>
      <c r="Y1336" s="6" t="str">
        <f aca="false">IF(AND(X1336="processed",ISNUMBER(S1336)),S1336*O1336,"")</f>
        <v/>
      </c>
      <c r="Z1336" s="6" t="n">
        <f aca="false">IF(ISNUMBER(K1336),K1336*O1336,0)</f>
        <v>0</v>
      </c>
      <c r="AA1336" s="2" t="s">
        <v>31</v>
      </c>
      <c r="AB1336" s="6" t="n">
        <v>9353</v>
      </c>
      <c r="AC1336" s="6" t="n">
        <v>8914</v>
      </c>
      <c r="AD1336" s="6" t="n">
        <v>730</v>
      </c>
      <c r="AE1336" s="6" t="n">
        <v>2092.01000976563</v>
      </c>
      <c r="AF1336" s="8" t="n">
        <v>378.837361202</v>
      </c>
      <c r="AG1336" s="11" t="n">
        <v>-0.004388829684</v>
      </c>
      <c r="AH1336" s="12" t="n">
        <v>0.507368183463765</v>
      </c>
      <c r="AI1336" s="2" t="s">
        <v>317</v>
      </c>
      <c r="AJ1336" s="2" t="s">
        <v>2934</v>
      </c>
      <c r="AK1336" s="2" t="s">
        <v>2934</v>
      </c>
    </row>
    <row r="1337" customFormat="false" ht="15" hidden="false" customHeight="false" outlineLevel="0" collapsed="false">
      <c r="A1337" s="9"/>
      <c r="B1337" s="2" t="s">
        <v>2972</v>
      </c>
      <c r="C1337" s="2" t="s">
        <v>2934</v>
      </c>
      <c r="D1337" s="2" t="s">
        <v>2922</v>
      </c>
      <c r="E1337" s="2" t="s">
        <v>51</v>
      </c>
      <c r="F1337" s="2" t="s">
        <v>2973</v>
      </c>
      <c r="G1337" s="2" t="s">
        <v>2923</v>
      </c>
      <c r="H1337" s="8" t="n">
        <v>356.043044135299</v>
      </c>
      <c r="I1337" s="2" t="s">
        <v>316</v>
      </c>
      <c r="J1337" s="8" t="n">
        <v>467963.800904977</v>
      </c>
      <c r="K1337" s="6" t="n">
        <v>221</v>
      </c>
      <c r="L1337" s="2"/>
      <c r="M1337" s="10" t="b">
        <f aca="false">TRUE()</f>
        <v>1</v>
      </c>
      <c r="N1337" s="9" t="str">
        <f aca="false">IF(H1337="","",IF(H1337&gt;=Assumptions!$B$5,1,IF(H1337&gt;=Assumptions!$B$6,2,IF(H1337&gt;=Assumptions!$B$7,3,""))))</f>
        <v/>
      </c>
      <c r="O1337" s="9" t="n">
        <f aca="false">IF(N1337=1,Assumptions!$B$8,IF(N1337=2,Assumptions!$B$9,IF(N1337=3,Assumptions!$B$10,0)))</f>
        <v>0</v>
      </c>
      <c r="P1337" s="6" t="s">
        <v>30</v>
      </c>
      <c r="Q1337" s="6" t="s">
        <v>30</v>
      </c>
      <c r="R1337" s="11" t="s">
        <v>30</v>
      </c>
      <c r="S1337" s="6" t="s">
        <v>30</v>
      </c>
      <c r="T1337" s="11" t="s">
        <v>30</v>
      </c>
      <c r="U1337" s="6" t="s">
        <v>30</v>
      </c>
      <c r="V1337" s="6" t="s">
        <v>30</v>
      </c>
      <c r="W1337" s="6" t="s">
        <v>30</v>
      </c>
      <c r="X1337" s="2" t="s">
        <v>30</v>
      </c>
      <c r="Y1337" s="6" t="str">
        <f aca="false">IF(AND(X1337="processed",ISNUMBER(S1337)),S1337*O1337,"")</f>
        <v/>
      </c>
      <c r="Z1337" s="6" t="n">
        <f aca="false">IF(ISNUMBER(K1337),K1337*O1337,0)</f>
        <v>0</v>
      </c>
      <c r="AA1337" s="2" t="s">
        <v>31</v>
      </c>
      <c r="AB1337" s="6" t="n">
        <v>12970</v>
      </c>
      <c r="AC1337" s="6" t="n">
        <v>11390</v>
      </c>
      <c r="AD1337" s="6" t="n">
        <v>4620</v>
      </c>
      <c r="AE1337" s="6" t="n">
        <v>1561.36962890625</v>
      </c>
      <c r="AF1337" s="8" t="n">
        <v>367.956677469</v>
      </c>
      <c r="AG1337" s="11" t="n">
        <v>0.01377222914</v>
      </c>
      <c r="AH1337" s="12" t="n">
        <v>0.999984474830758</v>
      </c>
      <c r="AI1337" s="2" t="s">
        <v>317</v>
      </c>
      <c r="AJ1337" s="2" t="s">
        <v>2934</v>
      </c>
      <c r="AK1337" s="2" t="s">
        <v>2934</v>
      </c>
    </row>
    <row r="1338" customFormat="false" ht="15" hidden="false" customHeight="false" outlineLevel="0" collapsed="false">
      <c r="A1338" s="9"/>
      <c r="B1338" s="2" t="s">
        <v>2974</v>
      </c>
      <c r="C1338" s="2" t="s">
        <v>2934</v>
      </c>
      <c r="D1338" s="2" t="s">
        <v>2922</v>
      </c>
      <c r="E1338" s="2" t="s">
        <v>51</v>
      </c>
      <c r="F1338" s="2" t="s">
        <v>2975</v>
      </c>
      <c r="G1338" s="2" t="s">
        <v>2923</v>
      </c>
      <c r="H1338" s="8" t="n">
        <v>345.865730876689</v>
      </c>
      <c r="I1338" s="2" t="s">
        <v>316</v>
      </c>
      <c r="J1338" s="8" t="n">
        <v>595281.105990783</v>
      </c>
      <c r="K1338" s="6" t="n">
        <v>434</v>
      </c>
      <c r="L1338" s="2"/>
      <c r="M1338" s="10" t="b">
        <f aca="false">TRUE()</f>
        <v>1</v>
      </c>
      <c r="N1338" s="9" t="str">
        <f aca="false">IF(H1338="","",IF(H1338&gt;=Assumptions!$B$5,1,IF(H1338&gt;=Assumptions!$B$6,2,IF(H1338&gt;=Assumptions!$B$7,3,""))))</f>
        <v/>
      </c>
      <c r="O1338" s="9" t="n">
        <f aca="false">IF(N1338=1,Assumptions!$B$8,IF(N1338=2,Assumptions!$B$9,IF(N1338=3,Assumptions!$B$10,0)))</f>
        <v>0</v>
      </c>
      <c r="P1338" s="6" t="s">
        <v>30</v>
      </c>
      <c r="Q1338" s="6" t="s">
        <v>30</v>
      </c>
      <c r="R1338" s="11" t="s">
        <v>30</v>
      </c>
      <c r="S1338" s="6" t="s">
        <v>30</v>
      </c>
      <c r="T1338" s="11" t="s">
        <v>30</v>
      </c>
      <c r="U1338" s="6" t="s">
        <v>30</v>
      </c>
      <c r="V1338" s="6" t="s">
        <v>30</v>
      </c>
      <c r="W1338" s="6" t="s">
        <v>30</v>
      </c>
      <c r="X1338" s="2" t="s">
        <v>30</v>
      </c>
      <c r="Y1338" s="6" t="str">
        <f aca="false">IF(AND(X1338="processed",ISNUMBER(S1338)),S1338*O1338,"")</f>
        <v/>
      </c>
      <c r="Z1338" s="6" t="n">
        <f aca="false">IF(ISNUMBER(K1338),K1338*O1338,0)</f>
        <v>0</v>
      </c>
      <c r="AA1338" s="2" t="s">
        <v>31</v>
      </c>
      <c r="AB1338" s="6" t="n">
        <v>18416</v>
      </c>
      <c r="AC1338" s="6" t="n">
        <v>17274</v>
      </c>
      <c r="AD1338" s="6" t="n">
        <v>819</v>
      </c>
      <c r="AE1338" s="6" t="n">
        <v>2103.61352539063</v>
      </c>
      <c r="AF1338" s="8" t="n">
        <v>346.970481616</v>
      </c>
      <c r="AG1338" s="11" t="n">
        <v>-0.01046091049</v>
      </c>
      <c r="AH1338" s="12" t="n">
        <v>0.995640458372154</v>
      </c>
      <c r="AI1338" s="2" t="s">
        <v>317</v>
      </c>
      <c r="AJ1338" s="2" t="s">
        <v>2934</v>
      </c>
      <c r="AK1338" s="2" t="s">
        <v>2934</v>
      </c>
    </row>
    <row r="1339" customFormat="false" ht="15" hidden="false" customHeight="false" outlineLevel="0" collapsed="false">
      <c r="A1339" s="9"/>
      <c r="B1339" s="2" t="s">
        <v>2976</v>
      </c>
      <c r="C1339" s="2" t="s">
        <v>2934</v>
      </c>
      <c r="D1339" s="2" t="s">
        <v>2922</v>
      </c>
      <c r="E1339" s="2" t="s">
        <v>51</v>
      </c>
      <c r="F1339" s="2"/>
      <c r="G1339" s="2" t="s">
        <v>2923</v>
      </c>
      <c r="H1339" s="8" t="n">
        <v>269.6687714561</v>
      </c>
      <c r="I1339" s="2" t="s">
        <v>316</v>
      </c>
      <c r="J1339" s="8" t="n">
        <v>725800</v>
      </c>
      <c r="K1339" s="6" t="n">
        <v>10</v>
      </c>
      <c r="L1339" s="2"/>
      <c r="M1339" s="10" t="b">
        <f aca="false">TRUE()</f>
        <v>1</v>
      </c>
      <c r="N1339" s="9" t="str">
        <f aca="false">IF(H1339="","",IF(H1339&gt;=Assumptions!$B$5,1,IF(H1339&gt;=Assumptions!$B$6,2,IF(H1339&gt;=Assumptions!$B$7,3,""))))</f>
        <v/>
      </c>
      <c r="O1339" s="9" t="n">
        <f aca="false">IF(N1339=1,Assumptions!$B$8,IF(N1339=2,Assumptions!$B$9,IF(N1339=3,Assumptions!$B$10,0)))</f>
        <v>0</v>
      </c>
      <c r="P1339" s="6" t="s">
        <v>30</v>
      </c>
      <c r="Q1339" s="6" t="s">
        <v>30</v>
      </c>
      <c r="R1339" s="11" t="s">
        <v>30</v>
      </c>
      <c r="S1339" s="6" t="s">
        <v>30</v>
      </c>
      <c r="T1339" s="11" t="s">
        <v>30</v>
      </c>
      <c r="U1339" s="6" t="s">
        <v>30</v>
      </c>
      <c r="V1339" s="6" t="s">
        <v>30</v>
      </c>
      <c r="W1339" s="6" t="s">
        <v>30</v>
      </c>
      <c r="X1339" s="2" t="s">
        <v>30</v>
      </c>
      <c r="Y1339" s="6" t="str">
        <f aca="false">IF(AND(X1339="processed",ISNUMBER(S1339)),S1339*O1339,"")</f>
        <v/>
      </c>
      <c r="Z1339" s="6" t="n">
        <f aca="false">IF(ISNUMBER(K1339),K1339*O1339,0)</f>
        <v>0</v>
      </c>
      <c r="AA1339" s="2" t="s">
        <v>31</v>
      </c>
      <c r="AB1339" s="6" t="n">
        <v>1016</v>
      </c>
      <c r="AC1339" s="6" t="n">
        <v>661</v>
      </c>
      <c r="AD1339" s="6" t="n">
        <v>191</v>
      </c>
      <c r="AE1339" s="6" t="n">
        <v>2207.65283203125</v>
      </c>
      <c r="AF1339" s="8" t="n">
        <v>254.133496632</v>
      </c>
      <c r="AG1339" s="11" t="n">
        <v>-0.103233347</v>
      </c>
      <c r="AH1339" s="12" t="n">
        <v>1</v>
      </c>
      <c r="AI1339" s="2" t="s">
        <v>317</v>
      </c>
      <c r="AJ1339" s="2" t="s">
        <v>2934</v>
      </c>
      <c r="AK1339" s="2" t="s">
        <v>2934</v>
      </c>
    </row>
    <row r="1340" customFormat="false" ht="15" hidden="false" customHeight="false" outlineLevel="0" collapsed="false">
      <c r="A1340" s="9"/>
      <c r="B1340" s="2" t="s">
        <v>2977</v>
      </c>
      <c r="C1340" s="2" t="s">
        <v>133</v>
      </c>
      <c r="D1340" s="2" t="s">
        <v>34</v>
      </c>
      <c r="E1340" s="2" t="s">
        <v>35</v>
      </c>
      <c r="F1340" s="2" t="s">
        <v>2978</v>
      </c>
      <c r="G1340" s="2" t="s">
        <v>318</v>
      </c>
      <c r="H1340" s="8" t="n">
        <v>461.400796721588</v>
      </c>
      <c r="I1340" s="2" t="s">
        <v>316</v>
      </c>
      <c r="J1340" s="8" t="n">
        <v>577534.351145038</v>
      </c>
      <c r="K1340" s="6" t="n">
        <v>131</v>
      </c>
      <c r="L1340" s="2"/>
      <c r="M1340" s="10" t="b">
        <f aca="false">TRUE()</f>
        <v>1</v>
      </c>
      <c r="N1340" s="9" t="str">
        <f aca="false">IF(H1340="","",IF(H1340&gt;=Assumptions!$B$5,1,IF(H1340&gt;=Assumptions!$B$6,2,IF(H1340&gt;=Assumptions!$B$7,3,""))))</f>
        <v/>
      </c>
      <c r="O1340" s="9" t="n">
        <f aca="false">IF(N1340=1,Assumptions!$B$8,IF(N1340=2,Assumptions!$B$9,IF(N1340=3,Assumptions!$B$10,0)))</f>
        <v>0</v>
      </c>
      <c r="P1340" s="6" t="s">
        <v>30</v>
      </c>
      <c r="Q1340" s="6" t="s">
        <v>30</v>
      </c>
      <c r="R1340" s="11" t="s">
        <v>30</v>
      </c>
      <c r="S1340" s="6" t="s">
        <v>30</v>
      </c>
      <c r="T1340" s="11" t="s">
        <v>30</v>
      </c>
      <c r="U1340" s="6" t="s">
        <v>30</v>
      </c>
      <c r="V1340" s="6" t="s">
        <v>30</v>
      </c>
      <c r="W1340" s="6" t="s">
        <v>30</v>
      </c>
      <c r="X1340" s="2" t="s">
        <v>30</v>
      </c>
      <c r="Y1340" s="6" t="str">
        <f aca="false">IF(AND(X1340="processed",ISNUMBER(S1340)),S1340*O1340,"")</f>
        <v/>
      </c>
      <c r="Z1340" s="6" t="n">
        <f aca="false">IF(ISNUMBER(K1340),K1340*O1340,0)</f>
        <v>0</v>
      </c>
      <c r="AA1340" s="2" t="s">
        <v>31</v>
      </c>
      <c r="AB1340" s="6" t="n">
        <v>15617</v>
      </c>
      <c r="AC1340" s="6" t="n">
        <v>10148</v>
      </c>
      <c r="AD1340" s="6" t="n">
        <v>183</v>
      </c>
      <c r="AE1340" s="6" t="n">
        <v>1510.02136230469</v>
      </c>
      <c r="AF1340" s="8" t="n">
        <v>469.107551487</v>
      </c>
      <c r="AG1340" s="11" t="n">
        <v>0.04037534904</v>
      </c>
      <c r="AH1340" s="12" t="n">
        <v>0.948492821301032</v>
      </c>
      <c r="AI1340" s="2" t="s">
        <v>319</v>
      </c>
      <c r="AJ1340" s="2"/>
      <c r="AK1340" s="2" t="s">
        <v>133</v>
      </c>
    </row>
    <row r="1341" customFormat="false" ht="15" hidden="false" customHeight="false" outlineLevel="0" collapsed="false">
      <c r="A1341" s="9"/>
      <c r="B1341" s="2" t="s">
        <v>2979</v>
      </c>
      <c r="C1341" s="2" t="s">
        <v>133</v>
      </c>
      <c r="D1341" s="2" t="s">
        <v>34</v>
      </c>
      <c r="E1341" s="2" t="s">
        <v>35</v>
      </c>
      <c r="F1341" s="2" t="s">
        <v>2980</v>
      </c>
      <c r="G1341" s="2" t="s">
        <v>318</v>
      </c>
      <c r="H1341" s="8" t="n">
        <v>469.941033755448</v>
      </c>
      <c r="I1341" s="2" t="s">
        <v>316</v>
      </c>
      <c r="J1341" s="8" t="n">
        <v>529179.104477612</v>
      </c>
      <c r="K1341" s="6" t="n">
        <v>134</v>
      </c>
      <c r="L1341" s="2"/>
      <c r="M1341" s="10" t="b">
        <f aca="false">TRUE()</f>
        <v>1</v>
      </c>
      <c r="N1341" s="9" t="str">
        <f aca="false">IF(H1341="","",IF(H1341&gt;=Assumptions!$B$5,1,IF(H1341&gt;=Assumptions!$B$6,2,IF(H1341&gt;=Assumptions!$B$7,3,""))))</f>
        <v/>
      </c>
      <c r="O1341" s="9" t="n">
        <f aca="false">IF(N1341=1,Assumptions!$B$8,IF(N1341=2,Assumptions!$B$9,IF(N1341=3,Assumptions!$B$10,0)))</f>
        <v>0</v>
      </c>
      <c r="P1341" s="6" t="s">
        <v>30</v>
      </c>
      <c r="Q1341" s="6" t="s">
        <v>30</v>
      </c>
      <c r="R1341" s="11" t="s">
        <v>30</v>
      </c>
      <c r="S1341" s="6" t="s">
        <v>30</v>
      </c>
      <c r="T1341" s="11" t="s">
        <v>30</v>
      </c>
      <c r="U1341" s="6" t="s">
        <v>30</v>
      </c>
      <c r="V1341" s="6" t="s">
        <v>30</v>
      </c>
      <c r="W1341" s="6" t="s">
        <v>30</v>
      </c>
      <c r="X1341" s="2" t="s">
        <v>30</v>
      </c>
      <c r="Y1341" s="6" t="str">
        <f aca="false">IF(AND(X1341="processed",ISNUMBER(S1341)),S1341*O1341,"")</f>
        <v/>
      </c>
      <c r="Z1341" s="6" t="n">
        <f aca="false">IF(ISNUMBER(K1341),K1341*O1341,0)</f>
        <v>0</v>
      </c>
      <c r="AA1341" s="2" t="s">
        <v>31</v>
      </c>
      <c r="AB1341" s="6" t="n">
        <v>12758</v>
      </c>
      <c r="AC1341" s="6" t="n">
        <v>8431</v>
      </c>
      <c r="AD1341" s="6" t="n">
        <v>184</v>
      </c>
      <c r="AE1341" s="6" t="n">
        <v>1338.7783203125</v>
      </c>
      <c r="AF1341" s="8" t="n">
        <v>513.76146789</v>
      </c>
      <c r="AG1341" s="11" t="n">
        <v>0.1014521816</v>
      </c>
      <c r="AH1341" s="12" t="n">
        <v>0.999653771339056</v>
      </c>
      <c r="AI1341" s="2" t="s">
        <v>319</v>
      </c>
      <c r="AJ1341" s="2"/>
      <c r="AK1341" s="2" t="s">
        <v>133</v>
      </c>
    </row>
    <row r="1342" customFormat="false" ht="15" hidden="false" customHeight="false" outlineLevel="0" collapsed="false">
      <c r="A1342" s="9"/>
      <c r="B1342" s="2" t="s">
        <v>2981</v>
      </c>
      <c r="C1342" s="2" t="s">
        <v>133</v>
      </c>
      <c r="D1342" s="2" t="s">
        <v>34</v>
      </c>
      <c r="E1342" s="2" t="s">
        <v>35</v>
      </c>
      <c r="F1342" s="2" t="s">
        <v>2982</v>
      </c>
      <c r="G1342" s="2" t="s">
        <v>318</v>
      </c>
      <c r="H1342" s="8" t="n">
        <v>476.855099575574</v>
      </c>
      <c r="I1342" s="2" t="s">
        <v>316</v>
      </c>
      <c r="J1342" s="8" t="n">
        <v>694544.117647059</v>
      </c>
      <c r="K1342" s="6" t="n">
        <v>68</v>
      </c>
      <c r="L1342" s="2"/>
      <c r="M1342" s="10" t="b">
        <f aca="false">TRUE()</f>
        <v>1</v>
      </c>
      <c r="N1342" s="9" t="str">
        <f aca="false">IF(H1342="","",IF(H1342&gt;=Assumptions!$B$5,1,IF(H1342&gt;=Assumptions!$B$6,2,IF(H1342&gt;=Assumptions!$B$7,3,""))))</f>
        <v/>
      </c>
      <c r="O1342" s="9" t="n">
        <f aca="false">IF(N1342=1,Assumptions!$B$8,IF(N1342=2,Assumptions!$B$9,IF(N1342=3,Assumptions!$B$10,0)))</f>
        <v>0</v>
      </c>
      <c r="P1342" s="6" t="s">
        <v>30</v>
      </c>
      <c r="Q1342" s="6" t="s">
        <v>30</v>
      </c>
      <c r="R1342" s="11" t="s">
        <v>30</v>
      </c>
      <c r="S1342" s="6" t="s">
        <v>30</v>
      </c>
      <c r="T1342" s="11" t="s">
        <v>30</v>
      </c>
      <c r="U1342" s="6" t="s">
        <v>30</v>
      </c>
      <c r="V1342" s="6" t="s">
        <v>30</v>
      </c>
      <c r="W1342" s="6" t="s">
        <v>30</v>
      </c>
      <c r="X1342" s="2" t="s">
        <v>30</v>
      </c>
      <c r="Y1342" s="6" t="str">
        <f aca="false">IF(AND(X1342="processed",ISNUMBER(S1342)),S1342*O1342,"")</f>
        <v/>
      </c>
      <c r="Z1342" s="6" t="n">
        <f aca="false">IF(ISNUMBER(K1342),K1342*O1342,0)</f>
        <v>0</v>
      </c>
      <c r="AA1342" s="2" t="s">
        <v>31</v>
      </c>
      <c r="AB1342" s="6" t="n">
        <v>8537</v>
      </c>
      <c r="AC1342" s="6" t="n">
        <v>6349</v>
      </c>
      <c r="AD1342" s="6" t="n">
        <v>66</v>
      </c>
      <c r="AE1342" s="6" t="n">
        <v>1515.09240722656</v>
      </c>
      <c r="AF1342" s="8" t="n">
        <v>490.909090909</v>
      </c>
      <c r="AG1342" s="11" t="n">
        <v>-0.07419966537</v>
      </c>
      <c r="AH1342" s="12" t="n">
        <v>0.817697046584005</v>
      </c>
      <c r="AI1342" s="2" t="s">
        <v>319</v>
      </c>
      <c r="AJ1342" s="2"/>
      <c r="AK1342" s="2" t="s">
        <v>133</v>
      </c>
    </row>
    <row r="1343" customFormat="false" ht="15" hidden="false" customHeight="false" outlineLevel="0" collapsed="false">
      <c r="A1343" s="9"/>
      <c r="B1343" s="2" t="s">
        <v>2983</v>
      </c>
      <c r="C1343" s="2" t="s">
        <v>133</v>
      </c>
      <c r="D1343" s="2" t="s">
        <v>34</v>
      </c>
      <c r="E1343" s="2" t="s">
        <v>35</v>
      </c>
      <c r="F1343" s="2" t="s">
        <v>2984</v>
      </c>
      <c r="G1343" s="2" t="s">
        <v>318</v>
      </c>
      <c r="H1343" s="8" t="n">
        <v>429.509540029532</v>
      </c>
      <c r="I1343" s="2" t="s">
        <v>316</v>
      </c>
      <c r="J1343" s="8" t="n">
        <v>687978.723404255</v>
      </c>
      <c r="K1343" s="6" t="n">
        <v>47</v>
      </c>
      <c r="L1343" s="2"/>
      <c r="M1343" s="10" t="b">
        <f aca="false">TRUE()</f>
        <v>1</v>
      </c>
      <c r="N1343" s="9" t="str">
        <f aca="false">IF(H1343="","",IF(H1343&gt;=Assumptions!$B$5,1,IF(H1343&gt;=Assumptions!$B$6,2,IF(H1343&gt;=Assumptions!$B$7,3,""))))</f>
        <v/>
      </c>
      <c r="O1343" s="9" t="n">
        <f aca="false">IF(N1343=1,Assumptions!$B$8,IF(N1343=2,Assumptions!$B$9,IF(N1343=3,Assumptions!$B$10,0)))</f>
        <v>0</v>
      </c>
      <c r="P1343" s="6" t="s">
        <v>30</v>
      </c>
      <c r="Q1343" s="6" t="s">
        <v>30</v>
      </c>
      <c r="R1343" s="11" t="s">
        <v>30</v>
      </c>
      <c r="S1343" s="6" t="s">
        <v>30</v>
      </c>
      <c r="T1343" s="11" t="s">
        <v>30</v>
      </c>
      <c r="U1343" s="6" t="s">
        <v>30</v>
      </c>
      <c r="V1343" s="6" t="s">
        <v>30</v>
      </c>
      <c r="W1343" s="6" t="s">
        <v>30</v>
      </c>
      <c r="X1343" s="2" t="s">
        <v>30</v>
      </c>
      <c r="Y1343" s="6" t="str">
        <f aca="false">IF(AND(X1343="processed",ISNUMBER(S1343)),S1343*O1343,"")</f>
        <v/>
      </c>
      <c r="Z1343" s="6" t="n">
        <f aca="false">IF(ISNUMBER(K1343),K1343*O1343,0)</f>
        <v>0</v>
      </c>
      <c r="AA1343" s="2" t="s">
        <v>31</v>
      </c>
      <c r="AB1343" s="6" t="n">
        <v>6414</v>
      </c>
      <c r="AC1343" s="6" t="n">
        <v>4577</v>
      </c>
      <c r="AD1343" s="6" t="n">
        <v>234</v>
      </c>
      <c r="AE1343" s="6" t="n">
        <v>1354.38427734375</v>
      </c>
      <c r="AF1343" s="8" t="n">
        <v>432.9004329</v>
      </c>
      <c r="AG1343" s="11" t="n">
        <v>0.07296714975</v>
      </c>
      <c r="AH1343" s="12" t="n">
        <v>0.747350368496521</v>
      </c>
      <c r="AI1343" s="2" t="s">
        <v>319</v>
      </c>
      <c r="AJ1343" s="2"/>
      <c r="AK1343" s="2" t="s">
        <v>133</v>
      </c>
    </row>
    <row r="1344" customFormat="false" ht="15" hidden="false" customHeight="false" outlineLevel="0" collapsed="false">
      <c r="A1344" s="9"/>
      <c r="B1344" s="2" t="s">
        <v>2985</v>
      </c>
      <c r="C1344" s="2" t="s">
        <v>133</v>
      </c>
      <c r="D1344" s="2" t="s">
        <v>34</v>
      </c>
      <c r="E1344" s="2" t="s">
        <v>35</v>
      </c>
      <c r="F1344" s="2" t="s">
        <v>2986</v>
      </c>
      <c r="G1344" s="2" t="s">
        <v>318</v>
      </c>
      <c r="H1344" s="8" t="n">
        <v>483.7148299955</v>
      </c>
      <c r="I1344" s="2" t="s">
        <v>316</v>
      </c>
      <c r="J1344" s="8" t="n">
        <v>672250</v>
      </c>
      <c r="K1344" s="6" t="n">
        <v>4</v>
      </c>
      <c r="L1344" s="2" t="s">
        <v>1664</v>
      </c>
      <c r="M1344" s="10" t="b">
        <f aca="false">TRUE()</f>
        <v>1</v>
      </c>
      <c r="N1344" s="9" t="str">
        <f aca="false">IF(H1344="","",IF(H1344&gt;=Assumptions!$B$5,1,IF(H1344&gt;=Assumptions!$B$6,2,IF(H1344&gt;=Assumptions!$B$7,3,""))))</f>
        <v/>
      </c>
      <c r="O1344" s="9" t="n">
        <f aca="false">IF(N1344=1,Assumptions!$B$8,IF(N1344=2,Assumptions!$B$9,IF(N1344=3,Assumptions!$B$10,0)))</f>
        <v>0</v>
      </c>
      <c r="P1344" s="6" t="s">
        <v>30</v>
      </c>
      <c r="Q1344" s="6" t="s">
        <v>30</v>
      </c>
      <c r="R1344" s="11" t="s">
        <v>30</v>
      </c>
      <c r="S1344" s="6" t="s">
        <v>30</v>
      </c>
      <c r="T1344" s="11" t="s">
        <v>30</v>
      </c>
      <c r="U1344" s="6" t="s">
        <v>30</v>
      </c>
      <c r="V1344" s="6" t="s">
        <v>30</v>
      </c>
      <c r="W1344" s="6" t="s">
        <v>30</v>
      </c>
      <c r="X1344" s="2" t="s">
        <v>30</v>
      </c>
      <c r="Y1344" s="6" t="str">
        <f aca="false">IF(AND(X1344="processed",ISNUMBER(S1344)),S1344*O1344,"")</f>
        <v/>
      </c>
      <c r="Z1344" s="6" t="n">
        <f aca="false">IF(ISNUMBER(K1344),K1344*O1344,0)</f>
        <v>0</v>
      </c>
      <c r="AA1344" s="2" t="s">
        <v>31</v>
      </c>
      <c r="AB1344" s="6" t="n">
        <v>1302</v>
      </c>
      <c r="AC1344" s="6" t="n">
        <v>806</v>
      </c>
      <c r="AD1344" s="6" t="n">
        <v>14</v>
      </c>
      <c r="AE1344" s="6" t="n">
        <v>1874.13317871094</v>
      </c>
      <c r="AF1344" s="8" t="n">
        <v>244.467860906</v>
      </c>
      <c r="AG1344" s="11" t="n">
        <v>-0.2999886439</v>
      </c>
      <c r="AH1344" s="12" t="n">
        <v>1</v>
      </c>
      <c r="AI1344" s="2" t="s">
        <v>319</v>
      </c>
      <c r="AJ1344" s="2"/>
      <c r="AK1344" s="2" t="s">
        <v>133</v>
      </c>
    </row>
    <row r="1345" customFormat="false" ht="15" hidden="false" customHeight="false" outlineLevel="0" collapsed="false">
      <c r="A1345" s="9"/>
      <c r="B1345" s="2" t="s">
        <v>2987</v>
      </c>
      <c r="C1345" s="2" t="s">
        <v>133</v>
      </c>
      <c r="D1345" s="2" t="s">
        <v>34</v>
      </c>
      <c r="E1345" s="2" t="s">
        <v>35</v>
      </c>
      <c r="F1345" s="2"/>
      <c r="G1345" s="2"/>
      <c r="H1345" s="8"/>
      <c r="I1345" s="2"/>
      <c r="J1345" s="8"/>
      <c r="K1345" s="6"/>
      <c r="L1345" s="2"/>
      <c r="M1345" s="10" t="b">
        <f aca="false">TRUE()</f>
        <v>1</v>
      </c>
      <c r="N1345" s="9" t="str">
        <f aca="false">IF(H1345="","",IF(H1345&gt;=Assumptions!$B$5,1,IF(H1345&gt;=Assumptions!$B$6,2,IF(H1345&gt;=Assumptions!$B$7,3,""))))</f>
        <v/>
      </c>
      <c r="O1345" s="9" t="n">
        <f aca="false">IF(N1345=1,Assumptions!$B$8,IF(N1345=2,Assumptions!$B$9,IF(N1345=3,Assumptions!$B$10,0)))</f>
        <v>0</v>
      </c>
      <c r="P1345" s="6" t="s">
        <v>30</v>
      </c>
      <c r="Q1345" s="6" t="s">
        <v>30</v>
      </c>
      <c r="R1345" s="11" t="s">
        <v>30</v>
      </c>
      <c r="S1345" s="6" t="s">
        <v>30</v>
      </c>
      <c r="T1345" s="11" t="s">
        <v>30</v>
      </c>
      <c r="U1345" s="6" t="s">
        <v>30</v>
      </c>
      <c r="V1345" s="6" t="s">
        <v>30</v>
      </c>
      <c r="W1345" s="6" t="s">
        <v>30</v>
      </c>
      <c r="X1345" s="2" t="s">
        <v>30</v>
      </c>
      <c r="Y1345" s="6" t="str">
        <f aca="false">IF(AND(X1345="processed",ISNUMBER(S1345)),S1345*O1345,"")</f>
        <v/>
      </c>
      <c r="Z1345" s="6" t="n">
        <f aca="false">IF(ISNUMBER(K1345),K1345*O1345,0)</f>
        <v>0</v>
      </c>
      <c r="AA1345" s="2" t="s">
        <v>31</v>
      </c>
      <c r="AB1345" s="6" t="n">
        <v>82</v>
      </c>
      <c r="AC1345" s="6" t="n">
        <v>38</v>
      </c>
      <c r="AD1345" s="6" t="n">
        <v>1</v>
      </c>
      <c r="AE1345" s="6" t="n">
        <v>2176.64624023438</v>
      </c>
      <c r="AF1345" s="8"/>
      <c r="AG1345" s="11"/>
      <c r="AH1345" s="12" t="n">
        <v>1</v>
      </c>
      <c r="AI1345" s="2" t="s">
        <v>319</v>
      </c>
      <c r="AJ1345" s="2"/>
      <c r="AK1345" s="2" t="s">
        <v>133</v>
      </c>
    </row>
    <row r="1346" customFormat="false" ht="15" hidden="false" customHeight="false" outlineLevel="0" collapsed="false">
      <c r="A1346" s="9"/>
      <c r="B1346" s="2" t="s">
        <v>2988</v>
      </c>
      <c r="C1346" s="2" t="s">
        <v>133</v>
      </c>
      <c r="D1346" s="2" t="s">
        <v>34</v>
      </c>
      <c r="E1346" s="2" t="s">
        <v>35</v>
      </c>
      <c r="F1346" s="2" t="s">
        <v>2989</v>
      </c>
      <c r="G1346" s="2" t="s">
        <v>318</v>
      </c>
      <c r="H1346" s="8" t="n">
        <v>437.777216518574</v>
      </c>
      <c r="I1346" s="2" t="s">
        <v>316</v>
      </c>
      <c r="J1346" s="8" t="n">
        <v>494675.925925926</v>
      </c>
      <c r="K1346" s="6" t="n">
        <v>108</v>
      </c>
      <c r="L1346" s="2"/>
      <c r="M1346" s="10" t="b">
        <f aca="false">TRUE()</f>
        <v>1</v>
      </c>
      <c r="N1346" s="9" t="str">
        <f aca="false">IF(H1346="","",IF(H1346&gt;=Assumptions!$B$5,1,IF(H1346&gt;=Assumptions!$B$6,2,IF(H1346&gt;=Assumptions!$B$7,3,""))))</f>
        <v/>
      </c>
      <c r="O1346" s="9" t="n">
        <f aca="false">IF(N1346=1,Assumptions!$B$8,IF(N1346=2,Assumptions!$B$9,IF(N1346=3,Assumptions!$B$10,0)))</f>
        <v>0</v>
      </c>
      <c r="P1346" s="6" t="s">
        <v>30</v>
      </c>
      <c r="Q1346" s="6" t="s">
        <v>30</v>
      </c>
      <c r="R1346" s="11" t="s">
        <v>30</v>
      </c>
      <c r="S1346" s="6" t="s">
        <v>30</v>
      </c>
      <c r="T1346" s="11" t="s">
        <v>30</v>
      </c>
      <c r="U1346" s="6" t="s">
        <v>30</v>
      </c>
      <c r="V1346" s="6" t="s">
        <v>30</v>
      </c>
      <c r="W1346" s="6" t="s">
        <v>30</v>
      </c>
      <c r="X1346" s="2" t="s">
        <v>30</v>
      </c>
      <c r="Y1346" s="6" t="str">
        <f aca="false">IF(AND(X1346="processed",ISNUMBER(S1346)),S1346*O1346,"")</f>
        <v/>
      </c>
      <c r="Z1346" s="6" t="n">
        <f aca="false">IF(ISNUMBER(K1346),K1346*O1346,0)</f>
        <v>0</v>
      </c>
      <c r="AA1346" s="2" t="s">
        <v>31</v>
      </c>
      <c r="AB1346" s="6" t="n">
        <v>11075</v>
      </c>
      <c r="AC1346" s="6" t="n">
        <v>7561</v>
      </c>
      <c r="AD1346" s="6" t="n">
        <v>242</v>
      </c>
      <c r="AE1346" s="6" t="n">
        <v>1377.72509765625</v>
      </c>
      <c r="AF1346" s="8" t="n">
        <v>468.018720749</v>
      </c>
      <c r="AG1346" s="11" t="n">
        <v>0.0106389218</v>
      </c>
      <c r="AH1346" s="12" t="n">
        <v>0.792401343374682</v>
      </c>
      <c r="AI1346" s="2" t="s">
        <v>319</v>
      </c>
      <c r="AJ1346" s="2"/>
      <c r="AK1346" s="2" t="s">
        <v>133</v>
      </c>
    </row>
    <row r="1347" customFormat="false" ht="15" hidden="false" customHeight="false" outlineLevel="0" collapsed="false">
      <c r="A1347" s="9"/>
      <c r="B1347" s="2" t="s">
        <v>2990</v>
      </c>
      <c r="C1347" s="2" t="s">
        <v>516</v>
      </c>
      <c r="D1347" s="2" t="s">
        <v>34</v>
      </c>
      <c r="E1347" s="2" t="s">
        <v>35</v>
      </c>
      <c r="F1347" s="2"/>
      <c r="G1347" s="2"/>
      <c r="H1347" s="8"/>
      <c r="I1347" s="2"/>
      <c r="J1347" s="8"/>
      <c r="K1347" s="6"/>
      <c r="L1347" s="2"/>
      <c r="M1347" s="10" t="b">
        <f aca="false">TRUE()</f>
        <v>1</v>
      </c>
      <c r="N1347" s="9" t="str">
        <f aca="false">IF(H1347="","",IF(H1347&gt;=Assumptions!$B$5,1,IF(H1347&gt;=Assumptions!$B$6,2,IF(H1347&gt;=Assumptions!$B$7,3,""))))</f>
        <v/>
      </c>
      <c r="O1347" s="9" t="n">
        <f aca="false">IF(N1347=1,Assumptions!$B$8,IF(N1347=2,Assumptions!$B$9,IF(N1347=3,Assumptions!$B$10,0)))</f>
        <v>0</v>
      </c>
      <c r="P1347" s="6" t="s">
        <v>30</v>
      </c>
      <c r="Q1347" s="6" t="s">
        <v>30</v>
      </c>
      <c r="R1347" s="11" t="s">
        <v>30</v>
      </c>
      <c r="S1347" s="6" t="s">
        <v>30</v>
      </c>
      <c r="T1347" s="11" t="s">
        <v>30</v>
      </c>
      <c r="U1347" s="6" t="s">
        <v>30</v>
      </c>
      <c r="V1347" s="6" t="s">
        <v>30</v>
      </c>
      <c r="W1347" s="6" t="s">
        <v>30</v>
      </c>
      <c r="X1347" s="2" t="s">
        <v>30</v>
      </c>
      <c r="Y1347" s="6" t="str">
        <f aca="false">IF(AND(X1347="processed",ISNUMBER(S1347)),S1347*O1347,"")</f>
        <v/>
      </c>
      <c r="Z1347" s="6" t="n">
        <f aca="false">IF(ISNUMBER(K1347),K1347*O1347,0)</f>
        <v>0</v>
      </c>
      <c r="AA1347" s="2" t="s">
        <v>31</v>
      </c>
      <c r="AB1347" s="6" t="n">
        <v>264</v>
      </c>
      <c r="AC1347" s="6" t="n">
        <v>101</v>
      </c>
      <c r="AD1347" s="6" t="n">
        <v>12</v>
      </c>
      <c r="AE1347" s="6" t="n">
        <v>2277.19458007813</v>
      </c>
      <c r="AF1347" s="8"/>
      <c r="AG1347" s="11"/>
      <c r="AH1347" s="12" t="n">
        <v>1</v>
      </c>
      <c r="AI1347" s="2" t="s">
        <v>319</v>
      </c>
      <c r="AJ1347" s="2"/>
      <c r="AK1347" s="2" t="s">
        <v>516</v>
      </c>
    </row>
    <row r="1348" customFormat="false" ht="15" hidden="false" customHeight="false" outlineLevel="0" collapsed="false">
      <c r="A1348" s="9"/>
      <c r="B1348" s="2" t="s">
        <v>2991</v>
      </c>
      <c r="C1348" s="2" t="s">
        <v>1083</v>
      </c>
      <c r="D1348" s="2" t="s">
        <v>105</v>
      </c>
      <c r="E1348" s="2" t="s">
        <v>51</v>
      </c>
      <c r="F1348" s="2" t="s">
        <v>2992</v>
      </c>
      <c r="G1348" s="2" t="s">
        <v>318</v>
      </c>
      <c r="H1348" s="8" t="n">
        <v>457.752374330425</v>
      </c>
      <c r="I1348" s="2" t="s">
        <v>316</v>
      </c>
      <c r="J1348" s="8" t="n">
        <v>551669.811320755</v>
      </c>
      <c r="K1348" s="6" t="n">
        <v>106</v>
      </c>
      <c r="L1348" s="2"/>
      <c r="M1348" s="10" t="b">
        <f aca="false">TRUE()</f>
        <v>1</v>
      </c>
      <c r="N1348" s="9" t="str">
        <f aca="false">IF(H1348="","",IF(H1348&gt;=Assumptions!$B$5,1,IF(H1348&gt;=Assumptions!$B$6,2,IF(H1348&gt;=Assumptions!$B$7,3,""))))</f>
        <v/>
      </c>
      <c r="O1348" s="9" t="n">
        <f aca="false">IF(N1348=1,Assumptions!$B$8,IF(N1348=2,Assumptions!$B$9,IF(N1348=3,Assumptions!$B$10,0)))</f>
        <v>0</v>
      </c>
      <c r="P1348" s="6" t="s">
        <v>30</v>
      </c>
      <c r="Q1348" s="6" t="s">
        <v>30</v>
      </c>
      <c r="R1348" s="11" t="s">
        <v>30</v>
      </c>
      <c r="S1348" s="6" t="s">
        <v>30</v>
      </c>
      <c r="T1348" s="11" t="s">
        <v>30</v>
      </c>
      <c r="U1348" s="6" t="s">
        <v>30</v>
      </c>
      <c r="V1348" s="6" t="s">
        <v>30</v>
      </c>
      <c r="W1348" s="6" t="s">
        <v>30</v>
      </c>
      <c r="X1348" s="2" t="s">
        <v>30</v>
      </c>
      <c r="Y1348" s="6" t="str">
        <f aca="false">IF(AND(X1348="processed",ISNUMBER(S1348)),S1348*O1348,"")</f>
        <v/>
      </c>
      <c r="Z1348" s="6" t="n">
        <f aca="false">IF(ISNUMBER(K1348),K1348*O1348,0)</f>
        <v>0</v>
      </c>
      <c r="AA1348" s="2" t="s">
        <v>31</v>
      </c>
      <c r="AB1348" s="6" t="n">
        <v>13302</v>
      </c>
      <c r="AC1348" s="6" t="n">
        <v>8099</v>
      </c>
      <c r="AD1348" s="6" t="n">
        <v>724</v>
      </c>
      <c r="AE1348" s="6" t="n">
        <v>1485.17041015625</v>
      </c>
      <c r="AF1348" s="8" t="n">
        <v>482.988802756</v>
      </c>
      <c r="AG1348" s="11" t="n">
        <v>0.1465329286</v>
      </c>
      <c r="AH1348" s="12" t="n">
        <v>1</v>
      </c>
      <c r="AI1348" s="2" t="s">
        <v>317</v>
      </c>
      <c r="AJ1348" s="2" t="s">
        <v>1083</v>
      </c>
      <c r="AK1348" s="2" t="s">
        <v>1083</v>
      </c>
    </row>
    <row r="1349" customFormat="false" ht="15" hidden="false" customHeight="false" outlineLevel="0" collapsed="false">
      <c r="A1349" s="9"/>
      <c r="B1349" s="2" t="s">
        <v>2993</v>
      </c>
      <c r="C1349" s="2" t="s">
        <v>2994</v>
      </c>
      <c r="D1349" s="2" t="s">
        <v>105</v>
      </c>
      <c r="E1349" s="2" t="s">
        <v>51</v>
      </c>
      <c r="F1349" s="2"/>
      <c r="G1349" s="2" t="s">
        <v>318</v>
      </c>
      <c r="H1349" s="8" t="n">
        <v>439.897522787994</v>
      </c>
      <c r="I1349" s="2" t="s">
        <v>316</v>
      </c>
      <c r="J1349" s="8" t="n">
        <v>780850</v>
      </c>
      <c r="K1349" s="6" t="n">
        <v>160</v>
      </c>
      <c r="L1349" s="2"/>
      <c r="M1349" s="10" t="b">
        <f aca="false">TRUE()</f>
        <v>1</v>
      </c>
      <c r="N1349" s="9" t="str">
        <f aca="false">IF(H1349="","",IF(H1349&gt;=Assumptions!$B$5,1,IF(H1349&gt;=Assumptions!$B$6,2,IF(H1349&gt;=Assumptions!$B$7,3,""))))</f>
        <v/>
      </c>
      <c r="O1349" s="9" t="n">
        <f aca="false">IF(N1349=1,Assumptions!$B$8,IF(N1349=2,Assumptions!$B$9,IF(N1349=3,Assumptions!$B$10,0)))</f>
        <v>0</v>
      </c>
      <c r="P1349" s="6" t="s">
        <v>30</v>
      </c>
      <c r="Q1349" s="6" t="s">
        <v>30</v>
      </c>
      <c r="R1349" s="11" t="s">
        <v>30</v>
      </c>
      <c r="S1349" s="6" t="s">
        <v>30</v>
      </c>
      <c r="T1349" s="11" t="s">
        <v>30</v>
      </c>
      <c r="U1349" s="6" t="s">
        <v>30</v>
      </c>
      <c r="V1349" s="6" t="s">
        <v>30</v>
      </c>
      <c r="W1349" s="6" t="s">
        <v>30</v>
      </c>
      <c r="X1349" s="2" t="s">
        <v>30</v>
      </c>
      <c r="Y1349" s="6" t="str">
        <f aca="false">IF(AND(X1349="processed",ISNUMBER(S1349)),S1349*O1349,"")</f>
        <v/>
      </c>
      <c r="Z1349" s="6" t="n">
        <f aca="false">IF(ISNUMBER(K1349),K1349*O1349,0)</f>
        <v>0</v>
      </c>
      <c r="AA1349" s="2" t="s">
        <v>31</v>
      </c>
      <c r="AB1349" s="6" t="n">
        <v>8709</v>
      </c>
      <c r="AC1349" s="6" t="n">
        <v>8242</v>
      </c>
      <c r="AD1349" s="6" t="n">
        <v>6443</v>
      </c>
      <c r="AE1349" s="6" t="n">
        <v>2184.35009765625</v>
      </c>
      <c r="AF1349" s="8" t="n">
        <v>424.769703173</v>
      </c>
      <c r="AG1349" s="11" t="n">
        <v>-0.145471692</v>
      </c>
      <c r="AH1349" s="12" t="n">
        <v>0.999999999999999</v>
      </c>
      <c r="AI1349" s="2" t="s">
        <v>430</v>
      </c>
      <c r="AJ1349" s="2" t="s">
        <v>2995</v>
      </c>
      <c r="AK1349" s="2" t="s">
        <v>1083</v>
      </c>
    </row>
    <row r="1350" customFormat="false" ht="15" hidden="false" customHeight="false" outlineLevel="0" collapsed="false">
      <c r="A1350" s="9"/>
      <c r="B1350" s="2" t="s">
        <v>2996</v>
      </c>
      <c r="C1350" s="2" t="s">
        <v>2997</v>
      </c>
      <c r="D1350" s="2" t="s">
        <v>105</v>
      </c>
      <c r="E1350" s="2" t="s">
        <v>51</v>
      </c>
      <c r="F1350" s="2"/>
      <c r="G1350" s="2" t="s">
        <v>318</v>
      </c>
      <c r="H1350" s="8" t="n">
        <v>459.311624064848</v>
      </c>
      <c r="I1350" s="2" t="s">
        <v>316</v>
      </c>
      <c r="J1350" s="8" t="n">
        <v>622696.296296296</v>
      </c>
      <c r="K1350" s="6" t="n">
        <v>270</v>
      </c>
      <c r="L1350" s="2"/>
      <c r="M1350" s="10" t="b">
        <f aca="false">TRUE()</f>
        <v>1</v>
      </c>
      <c r="N1350" s="9" t="str">
        <f aca="false">IF(H1350="","",IF(H1350&gt;=Assumptions!$B$5,1,IF(H1350&gt;=Assumptions!$B$6,2,IF(H1350&gt;=Assumptions!$B$7,3,""))))</f>
        <v/>
      </c>
      <c r="O1350" s="9" t="n">
        <f aca="false">IF(N1350=1,Assumptions!$B$8,IF(N1350=2,Assumptions!$B$9,IF(N1350=3,Assumptions!$B$10,0)))</f>
        <v>0</v>
      </c>
      <c r="P1350" s="6" t="s">
        <v>30</v>
      </c>
      <c r="Q1350" s="6" t="s">
        <v>30</v>
      </c>
      <c r="R1350" s="11" t="s">
        <v>30</v>
      </c>
      <c r="S1350" s="6" t="s">
        <v>30</v>
      </c>
      <c r="T1350" s="11" t="s">
        <v>30</v>
      </c>
      <c r="U1350" s="6" t="s">
        <v>30</v>
      </c>
      <c r="V1350" s="6" t="s">
        <v>30</v>
      </c>
      <c r="W1350" s="6" t="s">
        <v>30</v>
      </c>
      <c r="X1350" s="2" t="s">
        <v>30</v>
      </c>
      <c r="Y1350" s="6" t="str">
        <f aca="false">IF(AND(X1350="processed",ISNUMBER(S1350)),S1350*O1350,"")</f>
        <v/>
      </c>
      <c r="Z1350" s="6" t="n">
        <f aca="false">IF(ISNUMBER(K1350),K1350*O1350,0)</f>
        <v>0</v>
      </c>
      <c r="AA1350" s="2" t="s">
        <v>31</v>
      </c>
      <c r="AB1350" s="6" t="n">
        <v>17080</v>
      </c>
      <c r="AC1350" s="6" t="n">
        <v>13875</v>
      </c>
      <c r="AD1350" s="6" t="n">
        <v>4171</v>
      </c>
      <c r="AE1350" s="6" t="n">
        <v>1830.67065429688</v>
      </c>
      <c r="AF1350" s="8" t="n">
        <v>488.065718799</v>
      </c>
      <c r="AG1350" s="11" t="n">
        <v>0.0428337525</v>
      </c>
      <c r="AH1350" s="12" t="n">
        <v>1</v>
      </c>
      <c r="AI1350" s="2" t="s">
        <v>504</v>
      </c>
      <c r="AJ1350" s="2" t="s">
        <v>2998</v>
      </c>
      <c r="AK1350" s="2" t="s">
        <v>1083</v>
      </c>
    </row>
    <row r="1351" customFormat="false" ht="15" hidden="false" customHeight="false" outlineLevel="0" collapsed="false">
      <c r="A1351" s="9"/>
      <c r="B1351" s="2" t="s">
        <v>2999</v>
      </c>
      <c r="C1351" s="2"/>
      <c r="D1351" s="2" t="s">
        <v>1190</v>
      </c>
      <c r="E1351" s="2" t="s">
        <v>1191</v>
      </c>
      <c r="F1351" s="2"/>
      <c r="G1351" s="2" t="s">
        <v>318</v>
      </c>
      <c r="H1351" s="8" t="n">
        <v>325.476992144</v>
      </c>
      <c r="I1351" s="2" t="s">
        <v>316</v>
      </c>
      <c r="J1351" s="8" t="n">
        <v>870000</v>
      </c>
      <c r="K1351" s="6" t="n">
        <v>1</v>
      </c>
      <c r="L1351" s="2" t="s">
        <v>1664</v>
      </c>
      <c r="M1351" s="10" t="b">
        <f aca="false">FALSE()</f>
        <v>0</v>
      </c>
      <c r="N1351" s="9" t="str">
        <f aca="false">IF(H1351="","",IF(H1351&gt;=Assumptions!$B$5,1,IF(H1351&gt;=Assumptions!$B$6,2,IF(H1351&gt;=Assumptions!$B$7,3,""))))</f>
        <v/>
      </c>
      <c r="O1351" s="9" t="n">
        <f aca="false">IF(N1351=1,Assumptions!$B$8,IF(N1351=2,Assumptions!$B$9,IF(N1351=3,Assumptions!$B$10,0)))</f>
        <v>0</v>
      </c>
      <c r="P1351" s="6" t="s">
        <v>30</v>
      </c>
      <c r="Q1351" s="6" t="s">
        <v>30</v>
      </c>
      <c r="R1351" s="11" t="s">
        <v>30</v>
      </c>
      <c r="S1351" s="6" t="s">
        <v>30</v>
      </c>
      <c r="T1351" s="11" t="s">
        <v>30</v>
      </c>
      <c r="U1351" s="6" t="s">
        <v>30</v>
      </c>
      <c r="V1351" s="6" t="s">
        <v>30</v>
      </c>
      <c r="W1351" s="6" t="s">
        <v>30</v>
      </c>
      <c r="X1351" s="2" t="s">
        <v>30</v>
      </c>
      <c r="Y1351" s="6" t="str">
        <f aca="false">IF(AND(X1351="processed",ISNUMBER(S1351)),S1351*O1351,"")</f>
        <v/>
      </c>
      <c r="Z1351" s="6" t="n">
        <f aca="false">IF(ISNUMBER(K1351),K1351*O1351,0)</f>
        <v>0</v>
      </c>
      <c r="AA1351" s="2" t="s">
        <v>31</v>
      </c>
      <c r="AB1351" s="6"/>
      <c r="AC1351" s="6"/>
      <c r="AD1351" s="6"/>
      <c r="AE1351" s="6"/>
      <c r="AF1351" s="8" t="n">
        <v>325.476992144</v>
      </c>
      <c r="AG1351" s="11" t="n">
        <v>-0.4093195328</v>
      </c>
      <c r="AH1351" s="12"/>
      <c r="AI1351" s="2"/>
      <c r="AJ1351" s="2"/>
      <c r="AK1351" s="2"/>
    </row>
    <row r="1352" customFormat="false" ht="15" hidden="false" customHeight="false" outlineLevel="0" collapsed="false">
      <c r="A1352" s="9"/>
      <c r="B1352" s="2" t="s">
        <v>3000</v>
      </c>
      <c r="C1352" s="2" t="s">
        <v>1083</v>
      </c>
      <c r="D1352" s="2" t="s">
        <v>105</v>
      </c>
      <c r="E1352" s="2" t="s">
        <v>51</v>
      </c>
      <c r="F1352" s="2"/>
      <c r="G1352" s="2"/>
      <c r="H1352" s="8"/>
      <c r="I1352" s="2"/>
      <c r="J1352" s="8"/>
      <c r="K1352" s="6"/>
      <c r="L1352" s="2"/>
      <c r="M1352" s="10" t="b">
        <f aca="false">TRUE()</f>
        <v>1</v>
      </c>
      <c r="N1352" s="9" t="str">
        <f aca="false">IF(H1352="","",IF(H1352&gt;=Assumptions!$B$5,1,IF(H1352&gt;=Assumptions!$B$6,2,IF(H1352&gt;=Assumptions!$B$7,3,""))))</f>
        <v/>
      </c>
      <c r="O1352" s="9" t="n">
        <f aca="false">IF(N1352=1,Assumptions!$B$8,IF(N1352=2,Assumptions!$B$9,IF(N1352=3,Assumptions!$B$10,0)))</f>
        <v>0</v>
      </c>
      <c r="P1352" s="6" t="s">
        <v>30</v>
      </c>
      <c r="Q1352" s="6" t="s">
        <v>30</v>
      </c>
      <c r="R1352" s="11" t="s">
        <v>30</v>
      </c>
      <c r="S1352" s="6" t="s">
        <v>30</v>
      </c>
      <c r="T1352" s="11" t="s">
        <v>30</v>
      </c>
      <c r="U1352" s="6" t="s">
        <v>30</v>
      </c>
      <c r="V1352" s="6" t="s">
        <v>30</v>
      </c>
      <c r="W1352" s="6" t="s">
        <v>30</v>
      </c>
      <c r="X1352" s="2" t="s">
        <v>30</v>
      </c>
      <c r="Y1352" s="6" t="str">
        <f aca="false">IF(AND(X1352="processed",ISNUMBER(S1352)),S1352*O1352,"")</f>
        <v/>
      </c>
      <c r="Z1352" s="6" t="n">
        <f aca="false">IF(ISNUMBER(K1352),K1352*O1352,0)</f>
        <v>0</v>
      </c>
      <c r="AA1352" s="2" t="s">
        <v>31</v>
      </c>
      <c r="AB1352" s="6" t="n">
        <v>2</v>
      </c>
      <c r="AC1352" s="6" t="n">
        <v>0</v>
      </c>
      <c r="AD1352" s="6" t="n">
        <v>0</v>
      </c>
      <c r="AE1352" s="6"/>
      <c r="AF1352" s="8"/>
      <c r="AG1352" s="11"/>
      <c r="AH1352" s="12" t="n">
        <v>1</v>
      </c>
      <c r="AI1352" s="2" t="s">
        <v>319</v>
      </c>
      <c r="AJ1352" s="2"/>
      <c r="AK1352" s="2" t="s">
        <v>1083</v>
      </c>
    </row>
    <row r="1353" customFormat="false" ht="15" hidden="false" customHeight="false" outlineLevel="0" collapsed="false">
      <c r="A1353" s="9"/>
      <c r="B1353" s="2" t="s">
        <v>3001</v>
      </c>
      <c r="C1353" s="2" t="s">
        <v>1451</v>
      </c>
      <c r="D1353" s="2" t="s">
        <v>190</v>
      </c>
      <c r="E1353" s="2" t="s">
        <v>51</v>
      </c>
      <c r="F1353" s="2"/>
      <c r="G1353" s="2" t="s">
        <v>336</v>
      </c>
      <c r="H1353" s="8" t="n">
        <v>441.206697148675</v>
      </c>
      <c r="I1353" s="2" t="s">
        <v>316</v>
      </c>
      <c r="J1353" s="8" t="n">
        <v>755987.804878049</v>
      </c>
      <c r="K1353" s="6" t="n">
        <v>246</v>
      </c>
      <c r="L1353" s="2"/>
      <c r="M1353" s="10" t="b">
        <f aca="false">TRUE()</f>
        <v>1</v>
      </c>
      <c r="N1353" s="9" t="str">
        <f aca="false">IF(H1353="","",IF(H1353&gt;=Assumptions!$B$5,1,IF(H1353&gt;=Assumptions!$B$6,2,IF(H1353&gt;=Assumptions!$B$7,3,""))))</f>
        <v/>
      </c>
      <c r="O1353" s="9" t="n">
        <f aca="false">IF(N1353=1,Assumptions!$B$8,IF(N1353=2,Assumptions!$B$9,IF(N1353=3,Assumptions!$B$10,0)))</f>
        <v>0</v>
      </c>
      <c r="P1353" s="6" t="s">
        <v>30</v>
      </c>
      <c r="Q1353" s="6" t="s">
        <v>30</v>
      </c>
      <c r="R1353" s="11" t="s">
        <v>30</v>
      </c>
      <c r="S1353" s="6" t="s">
        <v>30</v>
      </c>
      <c r="T1353" s="11" t="s">
        <v>30</v>
      </c>
      <c r="U1353" s="6" t="s">
        <v>30</v>
      </c>
      <c r="V1353" s="6" t="s">
        <v>30</v>
      </c>
      <c r="W1353" s="6" t="s">
        <v>30</v>
      </c>
      <c r="X1353" s="2" t="s">
        <v>30</v>
      </c>
      <c r="Y1353" s="6" t="str">
        <f aca="false">IF(AND(X1353="processed",ISNUMBER(S1353)),S1353*O1353,"")</f>
        <v/>
      </c>
      <c r="Z1353" s="6" t="n">
        <f aca="false">IF(ISNUMBER(K1353),K1353*O1353,0)</f>
        <v>0</v>
      </c>
      <c r="AA1353" s="2" t="s">
        <v>31</v>
      </c>
      <c r="AB1353" s="6" t="n">
        <v>14727</v>
      </c>
      <c r="AC1353" s="6" t="n">
        <v>11940</v>
      </c>
      <c r="AD1353" s="6" t="n">
        <v>170</v>
      </c>
      <c r="AE1353" s="6" t="n">
        <v>2115.50805664063</v>
      </c>
      <c r="AF1353" s="8" t="n">
        <v>477.908689249</v>
      </c>
      <c r="AG1353" s="11" t="n">
        <v>0.09779259144</v>
      </c>
      <c r="AH1353" s="12" t="n">
        <v>1</v>
      </c>
      <c r="AI1353" s="2" t="s">
        <v>317</v>
      </c>
      <c r="AJ1353" s="2" t="s">
        <v>1451</v>
      </c>
      <c r="AK1353" s="2" t="s">
        <v>1451</v>
      </c>
    </row>
    <row r="1354" customFormat="false" ht="15" hidden="false" customHeight="false" outlineLevel="0" collapsed="false">
      <c r="A1354" s="9"/>
      <c r="B1354" s="2" t="s">
        <v>3002</v>
      </c>
      <c r="C1354" s="2" t="s">
        <v>3003</v>
      </c>
      <c r="D1354" s="2" t="s">
        <v>95</v>
      </c>
      <c r="E1354" s="2" t="s">
        <v>95</v>
      </c>
      <c r="F1354" s="2"/>
      <c r="G1354" s="2"/>
      <c r="H1354" s="8"/>
      <c r="I1354" s="2"/>
      <c r="J1354" s="8"/>
      <c r="K1354" s="6"/>
      <c r="L1354" s="2"/>
      <c r="M1354" s="10" t="b">
        <f aca="false">TRUE()</f>
        <v>1</v>
      </c>
      <c r="N1354" s="9" t="str">
        <f aca="false">IF(H1354="","",IF(H1354&gt;=Assumptions!$B$5,1,IF(H1354&gt;=Assumptions!$B$6,2,IF(H1354&gt;=Assumptions!$B$7,3,""))))</f>
        <v/>
      </c>
      <c r="O1354" s="9" t="n">
        <f aca="false">IF(N1354=1,Assumptions!$B$8,IF(N1354=2,Assumptions!$B$9,IF(N1354=3,Assumptions!$B$10,0)))</f>
        <v>0</v>
      </c>
      <c r="P1354" s="6" t="s">
        <v>30</v>
      </c>
      <c r="Q1354" s="6" t="s">
        <v>30</v>
      </c>
      <c r="R1354" s="11" t="s">
        <v>30</v>
      </c>
      <c r="S1354" s="6" t="s">
        <v>30</v>
      </c>
      <c r="T1354" s="11" t="s">
        <v>30</v>
      </c>
      <c r="U1354" s="6" t="s">
        <v>30</v>
      </c>
      <c r="V1354" s="6" t="s">
        <v>30</v>
      </c>
      <c r="W1354" s="6" t="s">
        <v>30</v>
      </c>
      <c r="X1354" s="2" t="s">
        <v>30</v>
      </c>
      <c r="Y1354" s="6" t="str">
        <f aca="false">IF(AND(X1354="processed",ISNUMBER(S1354)),S1354*O1354,"")</f>
        <v/>
      </c>
      <c r="Z1354" s="6" t="n">
        <f aca="false">IF(ISNUMBER(K1354),K1354*O1354,0)</f>
        <v>0</v>
      </c>
      <c r="AA1354" s="2" t="s">
        <v>31</v>
      </c>
      <c r="AB1354" s="6" t="n">
        <v>164</v>
      </c>
      <c r="AC1354" s="6" t="n">
        <v>95</v>
      </c>
      <c r="AD1354" s="6" t="n">
        <v>1</v>
      </c>
      <c r="AE1354" s="6" t="n">
        <v>1498.45288085938</v>
      </c>
      <c r="AF1354" s="8"/>
      <c r="AG1354" s="11"/>
      <c r="AH1354" s="12" t="n">
        <v>1</v>
      </c>
      <c r="AI1354" s="2" t="s">
        <v>347</v>
      </c>
      <c r="AJ1354" s="2" t="s">
        <v>3003</v>
      </c>
      <c r="AK1354" s="2" t="s">
        <v>3003</v>
      </c>
    </row>
    <row r="1355" customFormat="false" ht="15" hidden="false" customHeight="false" outlineLevel="0" collapsed="false">
      <c r="A1355" s="9"/>
      <c r="B1355" s="2" t="s">
        <v>3004</v>
      </c>
      <c r="C1355" s="2" t="s">
        <v>3005</v>
      </c>
      <c r="D1355" s="2" t="s">
        <v>95</v>
      </c>
      <c r="E1355" s="2" t="s">
        <v>95</v>
      </c>
      <c r="F1355" s="2"/>
      <c r="G1355" s="2"/>
      <c r="H1355" s="8"/>
      <c r="I1355" s="2"/>
      <c r="J1355" s="8"/>
      <c r="K1355" s="6"/>
      <c r="L1355" s="2"/>
      <c r="M1355" s="10" t="b">
        <f aca="false">TRUE()</f>
        <v>1</v>
      </c>
      <c r="N1355" s="9" t="str">
        <f aca="false">IF(H1355="","",IF(H1355&gt;=Assumptions!$B$5,1,IF(H1355&gt;=Assumptions!$B$6,2,IF(H1355&gt;=Assumptions!$B$7,3,""))))</f>
        <v/>
      </c>
      <c r="O1355" s="9" t="n">
        <f aca="false">IF(N1355=1,Assumptions!$B$8,IF(N1355=2,Assumptions!$B$9,IF(N1355=3,Assumptions!$B$10,0)))</f>
        <v>0</v>
      </c>
      <c r="P1355" s="6" t="s">
        <v>30</v>
      </c>
      <c r="Q1355" s="6" t="s">
        <v>30</v>
      </c>
      <c r="R1355" s="11" t="s">
        <v>30</v>
      </c>
      <c r="S1355" s="6" t="s">
        <v>30</v>
      </c>
      <c r="T1355" s="11" t="s">
        <v>30</v>
      </c>
      <c r="U1355" s="6" t="s">
        <v>30</v>
      </c>
      <c r="V1355" s="6" t="s">
        <v>30</v>
      </c>
      <c r="W1355" s="6" t="s">
        <v>30</v>
      </c>
      <c r="X1355" s="2" t="s">
        <v>30</v>
      </c>
      <c r="Y1355" s="6" t="str">
        <f aca="false">IF(AND(X1355="processed",ISNUMBER(S1355)),S1355*O1355,"")</f>
        <v/>
      </c>
      <c r="Z1355" s="6" t="n">
        <f aca="false">IF(ISNUMBER(K1355),K1355*O1355,0)</f>
        <v>0</v>
      </c>
      <c r="AA1355" s="2" t="s">
        <v>31</v>
      </c>
      <c r="AB1355" s="6" t="n">
        <v>294</v>
      </c>
      <c r="AC1355" s="6" t="n">
        <v>166</v>
      </c>
      <c r="AD1355" s="6" t="n">
        <v>4</v>
      </c>
      <c r="AE1355" s="6" t="n">
        <v>1337.63610839844</v>
      </c>
      <c r="AF1355" s="8"/>
      <c r="AG1355" s="11"/>
      <c r="AH1355" s="12" t="n">
        <v>0.995002238879478</v>
      </c>
      <c r="AI1355" s="2" t="s">
        <v>317</v>
      </c>
      <c r="AJ1355" s="2" t="s">
        <v>3005</v>
      </c>
      <c r="AK1355" s="2" t="s">
        <v>3005</v>
      </c>
    </row>
    <row r="1356" customFormat="false" ht="15" hidden="false" customHeight="false" outlineLevel="0" collapsed="false">
      <c r="A1356" s="9"/>
      <c r="B1356" s="2" t="s">
        <v>3006</v>
      </c>
      <c r="C1356" s="2" t="s">
        <v>3007</v>
      </c>
      <c r="D1356" s="2" t="s">
        <v>95</v>
      </c>
      <c r="E1356" s="2" t="s">
        <v>95</v>
      </c>
      <c r="F1356" s="2"/>
      <c r="G1356" s="2"/>
      <c r="H1356" s="8"/>
      <c r="I1356" s="2"/>
      <c r="J1356" s="8"/>
      <c r="K1356" s="6"/>
      <c r="L1356" s="2"/>
      <c r="M1356" s="10" t="b">
        <f aca="false">TRUE()</f>
        <v>1</v>
      </c>
      <c r="N1356" s="9" t="str">
        <f aca="false">IF(H1356="","",IF(H1356&gt;=Assumptions!$B$5,1,IF(H1356&gt;=Assumptions!$B$6,2,IF(H1356&gt;=Assumptions!$B$7,3,""))))</f>
        <v/>
      </c>
      <c r="O1356" s="9" t="n">
        <f aca="false">IF(N1356=1,Assumptions!$B$8,IF(N1356=2,Assumptions!$B$9,IF(N1356=3,Assumptions!$B$10,0)))</f>
        <v>0</v>
      </c>
      <c r="P1356" s="6" t="s">
        <v>30</v>
      </c>
      <c r="Q1356" s="6" t="s">
        <v>30</v>
      </c>
      <c r="R1356" s="11" t="s">
        <v>30</v>
      </c>
      <c r="S1356" s="6" t="s">
        <v>30</v>
      </c>
      <c r="T1356" s="11" t="s">
        <v>30</v>
      </c>
      <c r="U1356" s="6" t="s">
        <v>30</v>
      </c>
      <c r="V1356" s="6" t="s">
        <v>30</v>
      </c>
      <c r="W1356" s="6" t="s">
        <v>30</v>
      </c>
      <c r="X1356" s="2" t="s">
        <v>30</v>
      </c>
      <c r="Y1356" s="6" t="str">
        <f aca="false">IF(AND(X1356="processed",ISNUMBER(S1356)),S1356*O1356,"")</f>
        <v/>
      </c>
      <c r="Z1356" s="6" t="n">
        <f aca="false">IF(ISNUMBER(K1356),K1356*O1356,0)</f>
        <v>0</v>
      </c>
      <c r="AA1356" s="2" t="s">
        <v>31</v>
      </c>
      <c r="AB1356" s="6" t="n">
        <v>771</v>
      </c>
      <c r="AC1356" s="6" t="n">
        <v>349</v>
      </c>
      <c r="AD1356" s="6" t="n">
        <v>14</v>
      </c>
      <c r="AE1356" s="6" t="n">
        <v>1464.8837890625</v>
      </c>
      <c r="AF1356" s="8"/>
      <c r="AG1356" s="11"/>
      <c r="AH1356" s="12" t="n">
        <v>0.886201350145535</v>
      </c>
      <c r="AI1356" s="2" t="s">
        <v>317</v>
      </c>
      <c r="AJ1356" s="2" t="s">
        <v>3007</v>
      </c>
      <c r="AK1356" s="2" t="s">
        <v>3008</v>
      </c>
    </row>
    <row r="1357" customFormat="false" ht="15" hidden="false" customHeight="false" outlineLevel="0" collapsed="false">
      <c r="A1357" s="9"/>
      <c r="B1357" s="2" t="s">
        <v>3009</v>
      </c>
      <c r="C1357" s="2" t="s">
        <v>3010</v>
      </c>
      <c r="D1357" s="2" t="s">
        <v>197</v>
      </c>
      <c r="E1357" s="2" t="s">
        <v>51</v>
      </c>
      <c r="F1357" s="2"/>
      <c r="G1357" s="2" t="s">
        <v>338</v>
      </c>
      <c r="H1357" s="8" t="n">
        <v>497.776281841713</v>
      </c>
      <c r="I1357" s="2" t="s">
        <v>316</v>
      </c>
      <c r="J1357" s="8" t="n">
        <v>702434.782608696</v>
      </c>
      <c r="K1357" s="6" t="n">
        <v>115</v>
      </c>
      <c r="L1357" s="2"/>
      <c r="M1357" s="10" t="b">
        <f aca="false">TRUE()</f>
        <v>1</v>
      </c>
      <c r="N1357" s="9" t="str">
        <f aca="false">IF(H1357="","",IF(H1357&gt;=Assumptions!$B$5,1,IF(H1357&gt;=Assumptions!$B$6,2,IF(H1357&gt;=Assumptions!$B$7,3,""))))</f>
        <v/>
      </c>
      <c r="O1357" s="9" t="n">
        <f aca="false">IF(N1357=1,Assumptions!$B$8,IF(N1357=2,Assumptions!$B$9,IF(N1357=3,Assumptions!$B$10,0)))</f>
        <v>0</v>
      </c>
      <c r="P1357" s="6" t="s">
        <v>30</v>
      </c>
      <c r="Q1357" s="6" t="s">
        <v>30</v>
      </c>
      <c r="R1357" s="11" t="s">
        <v>30</v>
      </c>
      <c r="S1357" s="6" t="s">
        <v>30</v>
      </c>
      <c r="T1357" s="11" t="s">
        <v>30</v>
      </c>
      <c r="U1357" s="6" t="s">
        <v>30</v>
      </c>
      <c r="V1357" s="6" t="s">
        <v>30</v>
      </c>
      <c r="W1357" s="6" t="s">
        <v>30</v>
      </c>
      <c r="X1357" s="2" t="s">
        <v>30</v>
      </c>
      <c r="Y1357" s="6" t="str">
        <f aca="false">IF(AND(X1357="processed",ISNUMBER(S1357)),S1357*O1357,"")</f>
        <v/>
      </c>
      <c r="Z1357" s="6" t="n">
        <f aca="false">IF(ISNUMBER(K1357),K1357*O1357,0)</f>
        <v>0</v>
      </c>
      <c r="AA1357" s="2" t="s">
        <v>31</v>
      </c>
      <c r="AB1357" s="6" t="n">
        <v>4670</v>
      </c>
      <c r="AC1357" s="6" t="n">
        <v>3699</v>
      </c>
      <c r="AD1357" s="6" t="n">
        <v>2606</v>
      </c>
      <c r="AE1357" s="6" t="n">
        <v>1567.40869140625</v>
      </c>
      <c r="AF1357" s="8" t="n">
        <v>496.458923513</v>
      </c>
      <c r="AG1357" s="11" t="n">
        <v>-0.1569134241</v>
      </c>
      <c r="AH1357" s="12" t="n">
        <v>0.998434488599446</v>
      </c>
      <c r="AI1357" s="2" t="s">
        <v>317</v>
      </c>
      <c r="AJ1357" s="2" t="s">
        <v>3010</v>
      </c>
      <c r="AK1357" s="2" t="s">
        <v>3011</v>
      </c>
    </row>
    <row r="1358" customFormat="false" ht="15" hidden="false" customHeight="false" outlineLevel="0" collapsed="false">
      <c r="A1358" s="9"/>
      <c r="B1358" s="2" t="s">
        <v>3012</v>
      </c>
      <c r="C1358" s="2" t="s">
        <v>3013</v>
      </c>
      <c r="D1358" s="2" t="s">
        <v>197</v>
      </c>
      <c r="E1358" s="2" t="s">
        <v>51</v>
      </c>
      <c r="F1358" s="2"/>
      <c r="G1358" s="2"/>
      <c r="H1358" s="8"/>
      <c r="I1358" s="2"/>
      <c r="J1358" s="8"/>
      <c r="K1358" s="6"/>
      <c r="L1358" s="2"/>
      <c r="M1358" s="10" t="b">
        <f aca="false">TRUE()</f>
        <v>1</v>
      </c>
      <c r="N1358" s="9" t="str">
        <f aca="false">IF(H1358="","",IF(H1358&gt;=Assumptions!$B$5,1,IF(H1358&gt;=Assumptions!$B$6,2,IF(H1358&gt;=Assumptions!$B$7,3,""))))</f>
        <v/>
      </c>
      <c r="O1358" s="9" t="n">
        <f aca="false">IF(N1358=1,Assumptions!$B$8,IF(N1358=2,Assumptions!$B$9,IF(N1358=3,Assumptions!$B$10,0)))</f>
        <v>0</v>
      </c>
      <c r="P1358" s="6" t="s">
        <v>30</v>
      </c>
      <c r="Q1358" s="6" t="s">
        <v>30</v>
      </c>
      <c r="R1358" s="11" t="s">
        <v>30</v>
      </c>
      <c r="S1358" s="6" t="s">
        <v>30</v>
      </c>
      <c r="T1358" s="11" t="s">
        <v>30</v>
      </c>
      <c r="U1358" s="6" t="s">
        <v>30</v>
      </c>
      <c r="V1358" s="6" t="s">
        <v>30</v>
      </c>
      <c r="W1358" s="6" t="s">
        <v>30</v>
      </c>
      <c r="X1358" s="2" t="s">
        <v>30</v>
      </c>
      <c r="Y1358" s="6" t="str">
        <f aca="false">IF(AND(X1358="processed",ISNUMBER(S1358)),S1358*O1358,"")</f>
        <v/>
      </c>
      <c r="Z1358" s="6" t="n">
        <f aca="false">IF(ISNUMBER(K1358),K1358*O1358,0)</f>
        <v>0</v>
      </c>
      <c r="AA1358" s="2" t="s">
        <v>31</v>
      </c>
      <c r="AB1358" s="6" t="n">
        <v>208</v>
      </c>
      <c r="AC1358" s="6" t="n">
        <v>179</v>
      </c>
      <c r="AD1358" s="6" t="n">
        <v>199</v>
      </c>
      <c r="AE1358" s="6" t="n">
        <v>1612.34765625</v>
      </c>
      <c r="AF1358" s="8"/>
      <c r="AG1358" s="11"/>
      <c r="AH1358" s="12" t="n">
        <v>1</v>
      </c>
      <c r="AI1358" s="2" t="s">
        <v>317</v>
      </c>
      <c r="AJ1358" s="2" t="s">
        <v>3013</v>
      </c>
      <c r="AK1358" s="2" t="s">
        <v>3013</v>
      </c>
    </row>
    <row r="1359" customFormat="false" ht="15" hidden="false" customHeight="false" outlineLevel="0" collapsed="false">
      <c r="A1359" s="9"/>
      <c r="B1359" s="2" t="s">
        <v>3014</v>
      </c>
      <c r="C1359" s="2" t="s">
        <v>3015</v>
      </c>
      <c r="D1359" s="2" t="s">
        <v>380</v>
      </c>
      <c r="E1359" s="2" t="s">
        <v>51</v>
      </c>
      <c r="F1359" s="2"/>
      <c r="G1359" s="2" t="s">
        <v>381</v>
      </c>
      <c r="H1359" s="8" t="n">
        <v>465.888984628333</v>
      </c>
      <c r="I1359" s="2" t="s">
        <v>316</v>
      </c>
      <c r="J1359" s="8" t="n">
        <v>826833.333333333</v>
      </c>
      <c r="K1359" s="6" t="n">
        <v>6</v>
      </c>
      <c r="L1359" s="2"/>
      <c r="M1359" s="10" t="b">
        <f aca="false">TRUE()</f>
        <v>1</v>
      </c>
      <c r="N1359" s="9" t="str">
        <f aca="false">IF(H1359="","",IF(H1359&gt;=Assumptions!$B$5,1,IF(H1359&gt;=Assumptions!$B$6,2,IF(H1359&gt;=Assumptions!$B$7,3,""))))</f>
        <v/>
      </c>
      <c r="O1359" s="9" t="n">
        <f aca="false">IF(N1359=1,Assumptions!$B$8,IF(N1359=2,Assumptions!$B$9,IF(N1359=3,Assumptions!$B$10,0)))</f>
        <v>0</v>
      </c>
      <c r="P1359" s="6" t="s">
        <v>30</v>
      </c>
      <c r="Q1359" s="6" t="s">
        <v>30</v>
      </c>
      <c r="R1359" s="11" t="s">
        <v>30</v>
      </c>
      <c r="S1359" s="6" t="s">
        <v>30</v>
      </c>
      <c r="T1359" s="11" t="s">
        <v>30</v>
      </c>
      <c r="U1359" s="6" t="s">
        <v>30</v>
      </c>
      <c r="V1359" s="6" t="s">
        <v>30</v>
      </c>
      <c r="W1359" s="6" t="s">
        <v>30</v>
      </c>
      <c r="X1359" s="2" t="s">
        <v>30</v>
      </c>
      <c r="Y1359" s="6" t="str">
        <f aca="false">IF(AND(X1359="processed",ISNUMBER(S1359)),S1359*O1359,"")</f>
        <v/>
      </c>
      <c r="Z1359" s="6" t="n">
        <f aca="false">IF(ISNUMBER(K1359),K1359*O1359,0)</f>
        <v>0</v>
      </c>
      <c r="AA1359" s="2" t="s">
        <v>31</v>
      </c>
      <c r="AB1359" s="6" t="n">
        <v>3673</v>
      </c>
      <c r="AC1359" s="6" t="n">
        <v>2893</v>
      </c>
      <c r="AD1359" s="6" t="n">
        <v>1120</v>
      </c>
      <c r="AE1359" s="6" t="n">
        <v>1943.892578125</v>
      </c>
      <c r="AF1359" s="8" t="n">
        <v>458.204201102</v>
      </c>
      <c r="AG1359" s="11" t="n">
        <v>-0.1792972891</v>
      </c>
      <c r="AH1359" s="12" t="n">
        <v>0.974568079867871</v>
      </c>
      <c r="AI1359" s="2" t="s">
        <v>317</v>
      </c>
      <c r="AJ1359" s="2" t="s">
        <v>3015</v>
      </c>
      <c r="AK1359" s="2" t="s">
        <v>3015</v>
      </c>
    </row>
    <row r="1360" customFormat="false" ht="15" hidden="false" customHeight="false" outlineLevel="0" collapsed="false">
      <c r="A1360" s="9"/>
      <c r="B1360" s="2" t="s">
        <v>3016</v>
      </c>
      <c r="C1360" s="2" t="s">
        <v>38</v>
      </c>
      <c r="D1360" s="2" t="s">
        <v>39</v>
      </c>
      <c r="E1360" s="2" t="s">
        <v>40</v>
      </c>
      <c r="F1360" s="2"/>
      <c r="G1360" s="2"/>
      <c r="H1360" s="8"/>
      <c r="I1360" s="2"/>
      <c r="J1360" s="8"/>
      <c r="K1360" s="6"/>
      <c r="L1360" s="2"/>
      <c r="M1360" s="10" t="b">
        <f aca="false">TRUE()</f>
        <v>1</v>
      </c>
      <c r="N1360" s="9" t="str">
        <f aca="false">IF(H1360="","",IF(H1360&gt;=Assumptions!$B$5,1,IF(H1360&gt;=Assumptions!$B$6,2,IF(H1360&gt;=Assumptions!$B$7,3,""))))</f>
        <v/>
      </c>
      <c r="O1360" s="9" t="n">
        <f aca="false">IF(N1360=1,Assumptions!$B$8,IF(N1360=2,Assumptions!$B$9,IF(N1360=3,Assumptions!$B$10,0)))</f>
        <v>0</v>
      </c>
      <c r="P1360" s="6" t="s">
        <v>30</v>
      </c>
      <c r="Q1360" s="6" t="s">
        <v>30</v>
      </c>
      <c r="R1360" s="11" t="s">
        <v>30</v>
      </c>
      <c r="S1360" s="6" t="s">
        <v>30</v>
      </c>
      <c r="T1360" s="11" t="s">
        <v>30</v>
      </c>
      <c r="U1360" s="6" t="s">
        <v>30</v>
      </c>
      <c r="V1360" s="6" t="s">
        <v>30</v>
      </c>
      <c r="W1360" s="6" t="s">
        <v>30</v>
      </c>
      <c r="X1360" s="2" t="s">
        <v>30</v>
      </c>
      <c r="Y1360" s="6" t="str">
        <f aca="false">IF(AND(X1360="processed",ISNUMBER(S1360)),S1360*O1360,"")</f>
        <v/>
      </c>
      <c r="Z1360" s="6" t="n">
        <f aca="false">IF(ISNUMBER(K1360),K1360*O1360,0)</f>
        <v>0</v>
      </c>
      <c r="AA1360" s="2" t="s">
        <v>31</v>
      </c>
      <c r="AB1360" s="6" t="n">
        <v>188</v>
      </c>
      <c r="AC1360" s="6" t="n">
        <v>108</v>
      </c>
      <c r="AD1360" s="6" t="n">
        <v>27</v>
      </c>
      <c r="AE1360" s="6" t="n">
        <v>1432.81201171875</v>
      </c>
      <c r="AF1360" s="8"/>
      <c r="AG1360" s="11"/>
      <c r="AH1360" s="12" t="n">
        <v>1</v>
      </c>
      <c r="AI1360" s="2" t="s">
        <v>319</v>
      </c>
      <c r="AJ1360" s="2"/>
      <c r="AK1360" s="2" t="s">
        <v>38</v>
      </c>
    </row>
    <row r="1361" customFormat="false" ht="15" hidden="false" customHeight="false" outlineLevel="0" collapsed="false">
      <c r="A1361" s="9"/>
      <c r="B1361" s="2" t="s">
        <v>3017</v>
      </c>
      <c r="C1361" s="2" t="s">
        <v>3018</v>
      </c>
      <c r="D1361" s="2" t="s">
        <v>1643</v>
      </c>
      <c r="E1361" s="2" t="s">
        <v>51</v>
      </c>
      <c r="F1361" s="2"/>
      <c r="G1361" s="2" t="s">
        <v>320</v>
      </c>
      <c r="H1361" s="8" t="n">
        <v>410.855823529895</v>
      </c>
      <c r="I1361" s="2" t="s">
        <v>316</v>
      </c>
      <c r="J1361" s="8" t="n">
        <v>768541.025641026</v>
      </c>
      <c r="K1361" s="6" t="n">
        <v>390</v>
      </c>
      <c r="L1361" s="2"/>
      <c r="M1361" s="10" t="b">
        <f aca="false">TRUE()</f>
        <v>1</v>
      </c>
      <c r="N1361" s="9" t="str">
        <f aca="false">IF(H1361="","",IF(H1361&gt;=Assumptions!$B$5,1,IF(H1361&gt;=Assumptions!$B$6,2,IF(H1361&gt;=Assumptions!$B$7,3,""))))</f>
        <v/>
      </c>
      <c r="O1361" s="9" t="n">
        <f aca="false">IF(N1361=1,Assumptions!$B$8,IF(N1361=2,Assumptions!$B$9,IF(N1361=3,Assumptions!$B$10,0)))</f>
        <v>0</v>
      </c>
      <c r="P1361" s="6" t="s">
        <v>30</v>
      </c>
      <c r="Q1361" s="6" t="s">
        <v>30</v>
      </c>
      <c r="R1361" s="11" t="s">
        <v>30</v>
      </c>
      <c r="S1361" s="6" t="s">
        <v>30</v>
      </c>
      <c r="T1361" s="11" t="s">
        <v>30</v>
      </c>
      <c r="U1361" s="6" t="s">
        <v>30</v>
      </c>
      <c r="V1361" s="6" t="s">
        <v>30</v>
      </c>
      <c r="W1361" s="6" t="s">
        <v>30</v>
      </c>
      <c r="X1361" s="2" t="s">
        <v>30</v>
      </c>
      <c r="Y1361" s="6" t="str">
        <f aca="false">IF(AND(X1361="processed",ISNUMBER(S1361)),S1361*O1361,"")</f>
        <v/>
      </c>
      <c r="Z1361" s="6" t="n">
        <f aca="false">IF(ISNUMBER(K1361),K1361*O1361,0)</f>
        <v>0</v>
      </c>
      <c r="AA1361" s="2" t="s">
        <v>31</v>
      </c>
      <c r="AB1361" s="6" t="n">
        <v>25833</v>
      </c>
      <c r="AC1361" s="6" t="n">
        <v>21878</v>
      </c>
      <c r="AD1361" s="6" t="n">
        <v>4039</v>
      </c>
      <c r="AE1361" s="6" t="n">
        <v>2126.8642578125</v>
      </c>
      <c r="AF1361" s="8" t="n">
        <v>421.422580204</v>
      </c>
      <c r="AG1361" s="11" t="n">
        <v>0.03950903117</v>
      </c>
      <c r="AH1361" s="12" t="n">
        <v>0.692950575815822</v>
      </c>
      <c r="AI1361" s="2" t="s">
        <v>328</v>
      </c>
      <c r="AJ1361" s="2" t="s">
        <v>3018</v>
      </c>
      <c r="AK1361" s="2" t="s">
        <v>3018</v>
      </c>
    </row>
    <row r="1362" customFormat="false" ht="15" hidden="false" customHeight="false" outlineLevel="0" collapsed="false">
      <c r="A1362" s="9"/>
      <c r="B1362" s="2" t="s">
        <v>3019</v>
      </c>
      <c r="C1362" s="2" t="s">
        <v>3020</v>
      </c>
      <c r="D1362" s="2" t="s">
        <v>197</v>
      </c>
      <c r="E1362" s="2" t="s">
        <v>51</v>
      </c>
      <c r="F1362" s="2"/>
      <c r="G1362" s="2" t="s">
        <v>338</v>
      </c>
      <c r="H1362" s="8" t="n">
        <v>449.364313897</v>
      </c>
      <c r="I1362" s="2" t="s">
        <v>337</v>
      </c>
      <c r="J1362" s="8" t="n">
        <v>1025000</v>
      </c>
      <c r="K1362" s="6" t="n">
        <v>1</v>
      </c>
      <c r="L1362" s="2" t="s">
        <v>1664</v>
      </c>
      <c r="M1362" s="10" t="b">
        <f aca="false">TRUE()</f>
        <v>1</v>
      </c>
      <c r="N1362" s="9" t="str">
        <f aca="false">IF(H1362="","",IF(H1362&gt;=Assumptions!$B$5,1,IF(H1362&gt;=Assumptions!$B$6,2,IF(H1362&gt;=Assumptions!$B$7,3,""))))</f>
        <v/>
      </c>
      <c r="O1362" s="9" t="n">
        <f aca="false">IF(N1362=1,Assumptions!$B$8,IF(N1362=2,Assumptions!$B$9,IF(N1362=3,Assumptions!$B$10,0)))</f>
        <v>0</v>
      </c>
      <c r="P1362" s="6" t="s">
        <v>30</v>
      </c>
      <c r="Q1362" s="6" t="s">
        <v>30</v>
      </c>
      <c r="R1362" s="11" t="s">
        <v>30</v>
      </c>
      <c r="S1362" s="6" t="s">
        <v>30</v>
      </c>
      <c r="T1362" s="11" t="s">
        <v>30</v>
      </c>
      <c r="U1362" s="6" t="s">
        <v>30</v>
      </c>
      <c r="V1362" s="6" t="s">
        <v>30</v>
      </c>
      <c r="W1362" s="6" t="s">
        <v>30</v>
      </c>
      <c r="X1362" s="2" t="s">
        <v>30</v>
      </c>
      <c r="Y1362" s="6" t="str">
        <f aca="false">IF(AND(X1362="processed",ISNUMBER(S1362)),S1362*O1362,"")</f>
        <v/>
      </c>
      <c r="Z1362" s="6" t="n">
        <f aca="false">IF(ISNUMBER(K1362),K1362*O1362,0)</f>
        <v>0</v>
      </c>
      <c r="AA1362" s="2" t="s">
        <v>31</v>
      </c>
      <c r="AB1362" s="6" t="n">
        <v>81</v>
      </c>
      <c r="AC1362" s="6" t="n">
        <v>73</v>
      </c>
      <c r="AD1362" s="6" t="n">
        <v>52</v>
      </c>
      <c r="AE1362" s="6" t="n">
        <v>1454.04431152344</v>
      </c>
      <c r="AF1362" s="8"/>
      <c r="AG1362" s="11"/>
      <c r="AH1362" s="12" t="n">
        <v>0.999999999999999</v>
      </c>
      <c r="AI1362" s="2" t="s">
        <v>321</v>
      </c>
      <c r="AJ1362" s="2" t="s">
        <v>3020</v>
      </c>
      <c r="AK1362" s="2" t="s">
        <v>3021</v>
      </c>
    </row>
    <row r="1363" customFormat="false" ht="15" hidden="false" customHeight="false" outlineLevel="0" collapsed="false">
      <c r="A1363" s="9"/>
      <c r="B1363" s="2" t="s">
        <v>3022</v>
      </c>
      <c r="C1363" s="2" t="s">
        <v>3023</v>
      </c>
      <c r="D1363" s="2" t="s">
        <v>1643</v>
      </c>
      <c r="E1363" s="2" t="s">
        <v>51</v>
      </c>
      <c r="F1363" s="2"/>
      <c r="G1363" s="2" t="s">
        <v>320</v>
      </c>
      <c r="H1363" s="8" t="n">
        <v>451.032131054879</v>
      </c>
      <c r="I1363" s="2" t="s">
        <v>316</v>
      </c>
      <c r="J1363" s="8" t="n">
        <v>1157636.36363636</v>
      </c>
      <c r="K1363" s="6" t="n">
        <v>33</v>
      </c>
      <c r="L1363" s="2"/>
      <c r="M1363" s="10" t="b">
        <f aca="false">TRUE()</f>
        <v>1</v>
      </c>
      <c r="N1363" s="9" t="str">
        <f aca="false">IF(H1363="","",IF(H1363&gt;=Assumptions!$B$5,1,IF(H1363&gt;=Assumptions!$B$6,2,IF(H1363&gt;=Assumptions!$B$7,3,""))))</f>
        <v/>
      </c>
      <c r="O1363" s="9" t="n">
        <f aca="false">IF(N1363=1,Assumptions!$B$8,IF(N1363=2,Assumptions!$B$9,IF(N1363=3,Assumptions!$B$10,0)))</f>
        <v>0</v>
      </c>
      <c r="P1363" s="6" t="s">
        <v>30</v>
      </c>
      <c r="Q1363" s="6" t="s">
        <v>30</v>
      </c>
      <c r="R1363" s="11" t="s">
        <v>30</v>
      </c>
      <c r="S1363" s="6" t="s">
        <v>30</v>
      </c>
      <c r="T1363" s="11" t="s">
        <v>30</v>
      </c>
      <c r="U1363" s="6" t="s">
        <v>30</v>
      </c>
      <c r="V1363" s="6" t="s">
        <v>30</v>
      </c>
      <c r="W1363" s="6" t="s">
        <v>30</v>
      </c>
      <c r="X1363" s="2" t="s">
        <v>30</v>
      </c>
      <c r="Y1363" s="6" t="str">
        <f aca="false">IF(AND(X1363="processed",ISNUMBER(S1363)),S1363*O1363,"")</f>
        <v/>
      </c>
      <c r="Z1363" s="6" t="n">
        <f aca="false">IF(ISNUMBER(K1363),K1363*O1363,0)</f>
        <v>0</v>
      </c>
      <c r="AA1363" s="2" t="s">
        <v>31</v>
      </c>
      <c r="AB1363" s="6" t="n">
        <v>3326</v>
      </c>
      <c r="AC1363" s="6" t="n">
        <v>2538</v>
      </c>
      <c r="AD1363" s="6" t="n">
        <v>852</v>
      </c>
      <c r="AE1363" s="6" t="n">
        <v>1939.27307128906</v>
      </c>
      <c r="AF1363" s="8" t="n">
        <v>485.304539407</v>
      </c>
      <c r="AG1363" s="11" t="n">
        <v>0.1516316163</v>
      </c>
      <c r="AH1363" s="12" t="n">
        <v>0.998692628696427</v>
      </c>
      <c r="AI1363" s="2" t="s">
        <v>582</v>
      </c>
      <c r="AJ1363" s="2" t="s">
        <v>3023</v>
      </c>
      <c r="AK1363" s="2" t="s">
        <v>3023</v>
      </c>
    </row>
    <row r="1364" customFormat="false" ht="15" hidden="false" customHeight="false" outlineLevel="0" collapsed="false">
      <c r="A1364" s="9"/>
      <c r="B1364" s="2" t="s">
        <v>3024</v>
      </c>
      <c r="C1364" s="2" t="s">
        <v>39</v>
      </c>
      <c r="D1364" s="2" t="s">
        <v>39</v>
      </c>
      <c r="E1364" s="2" t="s">
        <v>40</v>
      </c>
      <c r="F1364" s="2"/>
      <c r="G1364" s="2"/>
      <c r="H1364" s="8"/>
      <c r="I1364" s="2"/>
      <c r="J1364" s="8"/>
      <c r="K1364" s="6"/>
      <c r="L1364" s="2"/>
      <c r="M1364" s="10" t="b">
        <f aca="false">TRUE()</f>
        <v>1</v>
      </c>
      <c r="N1364" s="9" t="str">
        <f aca="false">IF(H1364="","",IF(H1364&gt;=Assumptions!$B$5,1,IF(H1364&gt;=Assumptions!$B$6,2,IF(H1364&gt;=Assumptions!$B$7,3,""))))</f>
        <v/>
      </c>
      <c r="O1364" s="9" t="n">
        <f aca="false">IF(N1364=1,Assumptions!$B$8,IF(N1364=2,Assumptions!$B$9,IF(N1364=3,Assumptions!$B$10,0)))</f>
        <v>0</v>
      </c>
      <c r="P1364" s="6" t="s">
        <v>30</v>
      </c>
      <c r="Q1364" s="6" t="s">
        <v>30</v>
      </c>
      <c r="R1364" s="11" t="s">
        <v>30</v>
      </c>
      <c r="S1364" s="6" t="s">
        <v>30</v>
      </c>
      <c r="T1364" s="11" t="s">
        <v>30</v>
      </c>
      <c r="U1364" s="6" t="s">
        <v>30</v>
      </c>
      <c r="V1364" s="6" t="s">
        <v>30</v>
      </c>
      <c r="W1364" s="6" t="s">
        <v>30</v>
      </c>
      <c r="X1364" s="2" t="s">
        <v>30</v>
      </c>
      <c r="Y1364" s="6" t="str">
        <f aca="false">IF(AND(X1364="processed",ISNUMBER(S1364)),S1364*O1364,"")</f>
        <v/>
      </c>
      <c r="Z1364" s="6" t="n">
        <f aca="false">IF(ISNUMBER(K1364),K1364*O1364,0)</f>
        <v>0</v>
      </c>
      <c r="AA1364" s="2" t="s">
        <v>31</v>
      </c>
      <c r="AB1364" s="6" t="n">
        <v>76</v>
      </c>
      <c r="AC1364" s="6" t="n">
        <v>20</v>
      </c>
      <c r="AD1364" s="6" t="n">
        <v>1</v>
      </c>
      <c r="AE1364" s="6" t="n">
        <v>2183.1611328125</v>
      </c>
      <c r="AF1364" s="8"/>
      <c r="AG1364" s="11"/>
      <c r="AH1364" s="12" t="n">
        <v>1</v>
      </c>
      <c r="AI1364" s="2" t="s">
        <v>319</v>
      </c>
      <c r="AJ1364" s="2"/>
      <c r="AK1364" s="2" t="s">
        <v>39</v>
      </c>
    </row>
    <row r="1365" customFormat="false" ht="15" hidden="false" customHeight="false" outlineLevel="0" collapsed="false">
      <c r="A1365" s="9"/>
      <c r="B1365" s="2" t="s">
        <v>3025</v>
      </c>
      <c r="C1365" s="2" t="s">
        <v>197</v>
      </c>
      <c r="D1365" s="2" t="s">
        <v>197</v>
      </c>
      <c r="E1365" s="2" t="s">
        <v>51</v>
      </c>
      <c r="F1365" s="2" t="s">
        <v>3026</v>
      </c>
      <c r="G1365" s="2"/>
      <c r="H1365" s="8"/>
      <c r="I1365" s="2"/>
      <c r="J1365" s="8"/>
      <c r="K1365" s="6"/>
      <c r="L1365" s="2"/>
      <c r="M1365" s="10" t="b">
        <f aca="false">TRUE()</f>
        <v>1</v>
      </c>
      <c r="N1365" s="9" t="str">
        <f aca="false">IF(H1365="","",IF(H1365&gt;=Assumptions!$B$5,1,IF(H1365&gt;=Assumptions!$B$6,2,IF(H1365&gt;=Assumptions!$B$7,3,""))))</f>
        <v/>
      </c>
      <c r="O1365" s="9" t="n">
        <f aca="false">IF(N1365=1,Assumptions!$B$8,IF(N1365=2,Assumptions!$B$9,IF(N1365=3,Assumptions!$B$10,0)))</f>
        <v>0</v>
      </c>
      <c r="P1365" s="6" t="s">
        <v>30</v>
      </c>
      <c r="Q1365" s="6" t="s">
        <v>30</v>
      </c>
      <c r="R1365" s="11" t="s">
        <v>30</v>
      </c>
      <c r="S1365" s="6" t="s">
        <v>30</v>
      </c>
      <c r="T1365" s="11" t="s">
        <v>30</v>
      </c>
      <c r="U1365" s="6" t="s">
        <v>30</v>
      </c>
      <c r="V1365" s="6" t="s">
        <v>30</v>
      </c>
      <c r="W1365" s="6" t="s">
        <v>30</v>
      </c>
      <c r="X1365" s="2" t="s">
        <v>30</v>
      </c>
      <c r="Y1365" s="6" t="str">
        <f aca="false">IF(AND(X1365="processed",ISNUMBER(S1365)),S1365*O1365,"")</f>
        <v/>
      </c>
      <c r="Z1365" s="6" t="n">
        <f aca="false">IF(ISNUMBER(K1365),K1365*O1365,0)</f>
        <v>0</v>
      </c>
      <c r="AA1365" s="2" t="s">
        <v>31</v>
      </c>
      <c r="AB1365" s="6" t="n">
        <v>752</v>
      </c>
      <c r="AC1365" s="6" t="n">
        <v>494</v>
      </c>
      <c r="AD1365" s="6" t="n">
        <v>20</v>
      </c>
      <c r="AE1365" s="6" t="n">
        <v>2123.248046875</v>
      </c>
      <c r="AF1365" s="8"/>
      <c r="AG1365" s="11"/>
      <c r="AH1365" s="12" t="n">
        <v>1</v>
      </c>
      <c r="AI1365" s="2" t="s">
        <v>317</v>
      </c>
      <c r="AJ1365" s="2" t="s">
        <v>197</v>
      </c>
      <c r="AK1365" s="2" t="s">
        <v>197</v>
      </c>
    </row>
    <row r="1366" customFormat="false" ht="15" hidden="false" customHeight="false" outlineLevel="0" collapsed="false">
      <c r="A1366" s="9"/>
      <c r="B1366" s="2" t="s">
        <v>3027</v>
      </c>
      <c r="C1366" s="2" t="s">
        <v>3028</v>
      </c>
      <c r="D1366" s="2" t="s">
        <v>1643</v>
      </c>
      <c r="E1366" s="2" t="s">
        <v>51</v>
      </c>
      <c r="F1366" s="2"/>
      <c r="G1366" s="2" t="s">
        <v>320</v>
      </c>
      <c r="H1366" s="8" t="n">
        <v>484.9543872095</v>
      </c>
      <c r="I1366" s="2" t="s">
        <v>316</v>
      </c>
      <c r="J1366" s="8" t="n">
        <v>1116625</v>
      </c>
      <c r="K1366" s="6" t="n">
        <v>8</v>
      </c>
      <c r="L1366" s="2"/>
      <c r="M1366" s="10" t="b">
        <f aca="false">TRUE()</f>
        <v>1</v>
      </c>
      <c r="N1366" s="9" t="str">
        <f aca="false">IF(H1366="","",IF(H1366&gt;=Assumptions!$B$5,1,IF(H1366&gt;=Assumptions!$B$6,2,IF(H1366&gt;=Assumptions!$B$7,3,""))))</f>
        <v/>
      </c>
      <c r="O1366" s="9" t="n">
        <f aca="false">IF(N1366=1,Assumptions!$B$8,IF(N1366=2,Assumptions!$B$9,IF(N1366=3,Assumptions!$B$10,0)))</f>
        <v>0</v>
      </c>
      <c r="P1366" s="6" t="s">
        <v>30</v>
      </c>
      <c r="Q1366" s="6" t="s">
        <v>30</v>
      </c>
      <c r="R1366" s="11" t="s">
        <v>30</v>
      </c>
      <c r="S1366" s="6" t="s">
        <v>30</v>
      </c>
      <c r="T1366" s="11" t="s">
        <v>30</v>
      </c>
      <c r="U1366" s="6" t="s">
        <v>30</v>
      </c>
      <c r="V1366" s="6" t="s">
        <v>30</v>
      </c>
      <c r="W1366" s="6" t="s">
        <v>30</v>
      </c>
      <c r="X1366" s="2" t="s">
        <v>30</v>
      </c>
      <c r="Y1366" s="6" t="str">
        <f aca="false">IF(AND(X1366="processed",ISNUMBER(S1366)),S1366*O1366,"")</f>
        <v/>
      </c>
      <c r="Z1366" s="6" t="n">
        <f aca="false">IF(ISNUMBER(K1366),K1366*O1366,0)</f>
        <v>0</v>
      </c>
      <c r="AA1366" s="2" t="s">
        <v>31</v>
      </c>
      <c r="AB1366" s="6" t="n">
        <v>411</v>
      </c>
      <c r="AC1366" s="6" t="n">
        <v>310</v>
      </c>
      <c r="AD1366" s="6" t="n">
        <v>102</v>
      </c>
      <c r="AE1366" s="6" t="n">
        <v>1865.63989257813</v>
      </c>
      <c r="AF1366" s="8" t="n">
        <v>571.618046677</v>
      </c>
      <c r="AG1366" s="11" t="n">
        <v>-0.2041601647</v>
      </c>
      <c r="AH1366" s="12" t="n">
        <v>0.999433721933369</v>
      </c>
      <c r="AI1366" s="2" t="s">
        <v>1597</v>
      </c>
      <c r="AJ1366" s="2"/>
      <c r="AK1366" s="2" t="s">
        <v>3028</v>
      </c>
    </row>
    <row r="1367" customFormat="false" ht="15" hidden="false" customHeight="false" outlineLevel="0" collapsed="false">
      <c r="A1367" s="9"/>
      <c r="B1367" s="2" t="s">
        <v>3029</v>
      </c>
      <c r="C1367" s="2" t="s">
        <v>3030</v>
      </c>
      <c r="D1367" s="2" t="s">
        <v>2837</v>
      </c>
      <c r="E1367" s="2" t="s">
        <v>51</v>
      </c>
      <c r="F1367" s="2" t="s">
        <v>3031</v>
      </c>
      <c r="G1367" s="2" t="s">
        <v>3032</v>
      </c>
      <c r="H1367" s="8" t="n">
        <v>181.913937468445</v>
      </c>
      <c r="I1367" s="2" t="s">
        <v>316</v>
      </c>
      <c r="J1367" s="8" t="n">
        <v>360333.333333333</v>
      </c>
      <c r="K1367" s="6" t="n">
        <v>9</v>
      </c>
      <c r="L1367" s="2"/>
      <c r="M1367" s="10" t="b">
        <f aca="false">TRUE()</f>
        <v>1</v>
      </c>
      <c r="N1367" s="9" t="str">
        <f aca="false">IF(H1367="","",IF(H1367&gt;=Assumptions!$B$5,1,IF(H1367&gt;=Assumptions!$B$6,2,IF(H1367&gt;=Assumptions!$B$7,3,""))))</f>
        <v/>
      </c>
      <c r="O1367" s="9" t="n">
        <f aca="false">IF(N1367=1,Assumptions!$B$8,IF(N1367=2,Assumptions!$B$9,IF(N1367=3,Assumptions!$B$10,0)))</f>
        <v>0</v>
      </c>
      <c r="P1367" s="6" t="s">
        <v>30</v>
      </c>
      <c r="Q1367" s="6" t="s">
        <v>30</v>
      </c>
      <c r="R1367" s="11" t="s">
        <v>30</v>
      </c>
      <c r="S1367" s="6" t="s">
        <v>30</v>
      </c>
      <c r="T1367" s="11" t="s">
        <v>30</v>
      </c>
      <c r="U1367" s="6" t="s">
        <v>30</v>
      </c>
      <c r="V1367" s="6" t="s">
        <v>30</v>
      </c>
      <c r="W1367" s="6" t="s">
        <v>30</v>
      </c>
      <c r="X1367" s="2" t="s">
        <v>30</v>
      </c>
      <c r="Y1367" s="6" t="str">
        <f aca="false">IF(AND(X1367="processed",ISNUMBER(S1367)),S1367*O1367,"")</f>
        <v/>
      </c>
      <c r="Z1367" s="6" t="n">
        <f aca="false">IF(ISNUMBER(K1367),K1367*O1367,0)</f>
        <v>0</v>
      </c>
      <c r="AA1367" s="2" t="s">
        <v>31</v>
      </c>
      <c r="AB1367" s="6" t="n">
        <v>1186</v>
      </c>
      <c r="AC1367" s="6" t="n">
        <v>847</v>
      </c>
      <c r="AD1367" s="6" t="n">
        <v>123</v>
      </c>
      <c r="AE1367" s="6" t="n">
        <v>2082.62744140625</v>
      </c>
      <c r="AF1367" s="8" t="n">
        <v>202.325115402</v>
      </c>
      <c r="AG1367" s="11" t="n">
        <v>-0.1897798788</v>
      </c>
      <c r="AH1367" s="12" t="n">
        <v>1</v>
      </c>
      <c r="AI1367" s="2" t="s">
        <v>317</v>
      </c>
      <c r="AJ1367" s="2" t="s">
        <v>3030</v>
      </c>
      <c r="AK1367" s="2" t="s">
        <v>3030</v>
      </c>
    </row>
    <row r="1368" customFormat="false" ht="15" hidden="false" customHeight="false" outlineLevel="0" collapsed="false">
      <c r="A1368" s="9"/>
      <c r="B1368" s="2" t="s">
        <v>3033</v>
      </c>
      <c r="C1368" s="2" t="s">
        <v>3030</v>
      </c>
      <c r="D1368" s="2" t="s">
        <v>2837</v>
      </c>
      <c r="E1368" s="2" t="s">
        <v>51</v>
      </c>
      <c r="F1368" s="2"/>
      <c r="G1368" s="2" t="s">
        <v>3032</v>
      </c>
      <c r="H1368" s="8" t="n">
        <v>280.681376161621</v>
      </c>
      <c r="I1368" s="2" t="s">
        <v>316</v>
      </c>
      <c r="J1368" s="8" t="n">
        <v>368747.368421053</v>
      </c>
      <c r="K1368" s="6" t="n">
        <v>95</v>
      </c>
      <c r="L1368" s="2"/>
      <c r="M1368" s="10" t="b">
        <f aca="false">TRUE()</f>
        <v>1</v>
      </c>
      <c r="N1368" s="9" t="str">
        <f aca="false">IF(H1368="","",IF(H1368&gt;=Assumptions!$B$5,1,IF(H1368&gt;=Assumptions!$B$6,2,IF(H1368&gt;=Assumptions!$B$7,3,""))))</f>
        <v/>
      </c>
      <c r="O1368" s="9" t="n">
        <f aca="false">IF(N1368=1,Assumptions!$B$8,IF(N1368=2,Assumptions!$B$9,IF(N1368=3,Assumptions!$B$10,0)))</f>
        <v>0</v>
      </c>
      <c r="P1368" s="6" t="s">
        <v>30</v>
      </c>
      <c r="Q1368" s="6" t="s">
        <v>30</v>
      </c>
      <c r="R1368" s="11" t="s">
        <v>30</v>
      </c>
      <c r="S1368" s="6" t="s">
        <v>30</v>
      </c>
      <c r="T1368" s="11" t="s">
        <v>30</v>
      </c>
      <c r="U1368" s="6" t="s">
        <v>30</v>
      </c>
      <c r="V1368" s="6" t="s">
        <v>30</v>
      </c>
      <c r="W1368" s="6" t="s">
        <v>30</v>
      </c>
      <c r="X1368" s="2" t="s">
        <v>30</v>
      </c>
      <c r="Y1368" s="6" t="str">
        <f aca="false">IF(AND(X1368="processed",ISNUMBER(S1368)),S1368*O1368,"")</f>
        <v/>
      </c>
      <c r="Z1368" s="6" t="n">
        <f aca="false">IF(ISNUMBER(K1368),K1368*O1368,0)</f>
        <v>0</v>
      </c>
      <c r="AA1368" s="2" t="s">
        <v>31</v>
      </c>
      <c r="AB1368" s="6" t="n">
        <v>5824</v>
      </c>
      <c r="AC1368" s="6" t="n">
        <v>4125</v>
      </c>
      <c r="AD1368" s="6" t="n">
        <v>857</v>
      </c>
      <c r="AE1368" s="6" t="n">
        <v>1637.42346191406</v>
      </c>
      <c r="AF1368" s="8" t="n">
        <v>282.654838078</v>
      </c>
      <c r="AG1368" s="11" t="n">
        <v>0.01649079505</v>
      </c>
      <c r="AH1368" s="12" t="n">
        <v>0.999999999999999</v>
      </c>
      <c r="AI1368" s="2" t="s">
        <v>317</v>
      </c>
      <c r="AJ1368" s="2" t="s">
        <v>3030</v>
      </c>
      <c r="AK1368" s="2" t="s">
        <v>3030</v>
      </c>
    </row>
    <row r="1369" customFormat="false" ht="15" hidden="false" customHeight="false" outlineLevel="0" collapsed="false">
      <c r="A1369" s="9"/>
      <c r="B1369" s="2" t="s">
        <v>3034</v>
      </c>
      <c r="C1369" s="2" t="s">
        <v>3030</v>
      </c>
      <c r="D1369" s="2" t="s">
        <v>2837</v>
      </c>
      <c r="E1369" s="2" t="s">
        <v>51</v>
      </c>
      <c r="F1369" s="2"/>
      <c r="G1369" s="2" t="s">
        <v>3032</v>
      </c>
      <c r="H1369" s="8" t="n">
        <v>294.932469945484</v>
      </c>
      <c r="I1369" s="2" t="s">
        <v>316</v>
      </c>
      <c r="J1369" s="8" t="n">
        <v>393108.013937282</v>
      </c>
      <c r="K1369" s="6" t="n">
        <v>287</v>
      </c>
      <c r="L1369" s="2"/>
      <c r="M1369" s="10" t="b">
        <f aca="false">TRUE()</f>
        <v>1</v>
      </c>
      <c r="N1369" s="9" t="str">
        <f aca="false">IF(H1369="","",IF(H1369&gt;=Assumptions!$B$5,1,IF(H1369&gt;=Assumptions!$B$6,2,IF(H1369&gt;=Assumptions!$B$7,3,""))))</f>
        <v/>
      </c>
      <c r="O1369" s="9" t="n">
        <f aca="false">IF(N1369=1,Assumptions!$B$8,IF(N1369=2,Assumptions!$B$9,IF(N1369=3,Assumptions!$B$10,0)))</f>
        <v>0</v>
      </c>
      <c r="P1369" s="6" t="s">
        <v>30</v>
      </c>
      <c r="Q1369" s="6" t="s">
        <v>30</v>
      </c>
      <c r="R1369" s="11" t="s">
        <v>30</v>
      </c>
      <c r="S1369" s="6" t="s">
        <v>30</v>
      </c>
      <c r="T1369" s="11" t="s">
        <v>30</v>
      </c>
      <c r="U1369" s="6" t="s">
        <v>30</v>
      </c>
      <c r="V1369" s="6" t="s">
        <v>30</v>
      </c>
      <c r="W1369" s="6" t="s">
        <v>30</v>
      </c>
      <c r="X1369" s="2" t="s">
        <v>30</v>
      </c>
      <c r="Y1369" s="6" t="str">
        <f aca="false">IF(AND(X1369="processed",ISNUMBER(S1369)),S1369*O1369,"")</f>
        <v/>
      </c>
      <c r="Z1369" s="6" t="n">
        <f aca="false">IF(ISNUMBER(K1369),K1369*O1369,0)</f>
        <v>0</v>
      </c>
      <c r="AA1369" s="2" t="s">
        <v>31</v>
      </c>
      <c r="AB1369" s="6" t="n">
        <v>12669</v>
      </c>
      <c r="AC1369" s="6" t="n">
        <v>10438</v>
      </c>
      <c r="AD1369" s="6" t="n">
        <v>784</v>
      </c>
      <c r="AE1369" s="6" t="n">
        <v>1900.36157226563</v>
      </c>
      <c r="AF1369" s="8" t="n">
        <v>300.429184549</v>
      </c>
      <c r="AG1369" s="11" t="n">
        <v>-0.02939215943</v>
      </c>
      <c r="AH1369" s="12" t="n">
        <v>1</v>
      </c>
      <c r="AI1369" s="2" t="s">
        <v>317</v>
      </c>
      <c r="AJ1369" s="2" t="s">
        <v>3030</v>
      </c>
      <c r="AK1369" s="2" t="s">
        <v>3030</v>
      </c>
    </row>
    <row r="1370" customFormat="false" ht="15" hidden="false" customHeight="false" outlineLevel="0" collapsed="false">
      <c r="A1370" s="9"/>
      <c r="B1370" s="2" t="s">
        <v>3035</v>
      </c>
      <c r="C1370" s="2" t="s">
        <v>3030</v>
      </c>
      <c r="D1370" s="2" t="s">
        <v>2837</v>
      </c>
      <c r="E1370" s="2" t="s">
        <v>51</v>
      </c>
      <c r="F1370" s="2"/>
      <c r="G1370" s="2" t="s">
        <v>3032</v>
      </c>
      <c r="H1370" s="8" t="n">
        <v>292.800697050766</v>
      </c>
      <c r="I1370" s="2" t="s">
        <v>316</v>
      </c>
      <c r="J1370" s="8" t="n">
        <v>340906.432748538</v>
      </c>
      <c r="K1370" s="6" t="n">
        <v>171</v>
      </c>
      <c r="L1370" s="2"/>
      <c r="M1370" s="10" t="b">
        <f aca="false">TRUE()</f>
        <v>1</v>
      </c>
      <c r="N1370" s="9" t="str">
        <f aca="false">IF(H1370="","",IF(H1370&gt;=Assumptions!$B$5,1,IF(H1370&gt;=Assumptions!$B$6,2,IF(H1370&gt;=Assumptions!$B$7,3,""))))</f>
        <v/>
      </c>
      <c r="O1370" s="9" t="n">
        <f aca="false">IF(N1370=1,Assumptions!$B$8,IF(N1370=2,Assumptions!$B$9,IF(N1370=3,Assumptions!$B$10,0)))</f>
        <v>0</v>
      </c>
      <c r="P1370" s="6" t="s">
        <v>30</v>
      </c>
      <c r="Q1370" s="6" t="s">
        <v>30</v>
      </c>
      <c r="R1370" s="11" t="s">
        <v>30</v>
      </c>
      <c r="S1370" s="6" t="s">
        <v>30</v>
      </c>
      <c r="T1370" s="11" t="s">
        <v>30</v>
      </c>
      <c r="U1370" s="6" t="s">
        <v>30</v>
      </c>
      <c r="V1370" s="6" t="s">
        <v>30</v>
      </c>
      <c r="W1370" s="6" t="s">
        <v>30</v>
      </c>
      <c r="X1370" s="2" t="s">
        <v>30</v>
      </c>
      <c r="Y1370" s="6" t="str">
        <f aca="false">IF(AND(X1370="processed",ISNUMBER(S1370)),S1370*O1370,"")</f>
        <v/>
      </c>
      <c r="Z1370" s="6" t="n">
        <f aca="false">IF(ISNUMBER(K1370),K1370*O1370,0)</f>
        <v>0</v>
      </c>
      <c r="AA1370" s="2" t="s">
        <v>31</v>
      </c>
      <c r="AB1370" s="6" t="n">
        <v>14057</v>
      </c>
      <c r="AC1370" s="6" t="n">
        <v>11669</v>
      </c>
      <c r="AD1370" s="6" t="n">
        <v>5925</v>
      </c>
      <c r="AE1370" s="6" t="n">
        <v>1712.46752929688</v>
      </c>
      <c r="AF1370" s="8" t="n">
        <v>289.049919485</v>
      </c>
      <c r="AG1370" s="11" t="n">
        <v>-0.07177030554</v>
      </c>
      <c r="AH1370" s="12" t="n">
        <v>1</v>
      </c>
      <c r="AI1370" s="2" t="s">
        <v>317</v>
      </c>
      <c r="AJ1370" s="2" t="s">
        <v>3030</v>
      </c>
      <c r="AK1370" s="2" t="s">
        <v>3030</v>
      </c>
    </row>
    <row r="1371" customFormat="false" ht="15" hidden="false" customHeight="false" outlineLevel="0" collapsed="false">
      <c r="A1371" s="9"/>
      <c r="B1371" s="2" t="s">
        <v>3036</v>
      </c>
      <c r="C1371" s="2" t="s">
        <v>3030</v>
      </c>
      <c r="D1371" s="2" t="s">
        <v>2837</v>
      </c>
      <c r="E1371" s="2" t="s">
        <v>51</v>
      </c>
      <c r="F1371" s="2"/>
      <c r="G1371" s="2" t="s">
        <v>3032</v>
      </c>
      <c r="H1371" s="8" t="n">
        <v>277.555177449353</v>
      </c>
      <c r="I1371" s="2" t="s">
        <v>316</v>
      </c>
      <c r="J1371" s="8" t="n">
        <v>424171.003717472</v>
      </c>
      <c r="K1371" s="6" t="n">
        <v>269</v>
      </c>
      <c r="L1371" s="2"/>
      <c r="M1371" s="10" t="b">
        <f aca="false">TRUE()</f>
        <v>1</v>
      </c>
      <c r="N1371" s="9" t="str">
        <f aca="false">IF(H1371="","",IF(H1371&gt;=Assumptions!$B$5,1,IF(H1371&gt;=Assumptions!$B$6,2,IF(H1371&gt;=Assumptions!$B$7,3,""))))</f>
        <v/>
      </c>
      <c r="O1371" s="9" t="n">
        <f aca="false">IF(N1371=1,Assumptions!$B$8,IF(N1371=2,Assumptions!$B$9,IF(N1371=3,Assumptions!$B$10,0)))</f>
        <v>0</v>
      </c>
      <c r="P1371" s="6" t="s">
        <v>30</v>
      </c>
      <c r="Q1371" s="6" t="s">
        <v>30</v>
      </c>
      <c r="R1371" s="11" t="s">
        <v>30</v>
      </c>
      <c r="S1371" s="6" t="s">
        <v>30</v>
      </c>
      <c r="T1371" s="11" t="s">
        <v>30</v>
      </c>
      <c r="U1371" s="6" t="s">
        <v>30</v>
      </c>
      <c r="V1371" s="6" t="s">
        <v>30</v>
      </c>
      <c r="W1371" s="6" t="s">
        <v>30</v>
      </c>
      <c r="X1371" s="2" t="s">
        <v>30</v>
      </c>
      <c r="Y1371" s="6" t="str">
        <f aca="false">IF(AND(X1371="processed",ISNUMBER(S1371)),S1371*O1371,"")</f>
        <v/>
      </c>
      <c r="Z1371" s="6" t="n">
        <f aca="false">IF(ISNUMBER(K1371),K1371*O1371,0)</f>
        <v>0</v>
      </c>
      <c r="AA1371" s="2" t="s">
        <v>31</v>
      </c>
      <c r="AB1371" s="6" t="n">
        <v>21840</v>
      </c>
      <c r="AC1371" s="6" t="n">
        <v>19274</v>
      </c>
      <c r="AD1371" s="6" t="n">
        <v>2875</v>
      </c>
      <c r="AE1371" s="6" t="n">
        <v>2033.73376464844</v>
      </c>
      <c r="AF1371" s="8" t="n">
        <v>290.295528241</v>
      </c>
      <c r="AG1371" s="11" t="n">
        <v>0.06828754393</v>
      </c>
      <c r="AH1371" s="12" t="n">
        <v>0.997398346688146</v>
      </c>
      <c r="AI1371" s="2" t="s">
        <v>317</v>
      </c>
      <c r="AJ1371" s="2" t="s">
        <v>3030</v>
      </c>
      <c r="AK1371" s="2" t="s">
        <v>3030</v>
      </c>
    </row>
    <row r="1372" customFormat="false" ht="15" hidden="false" customHeight="false" outlineLevel="0" collapsed="false">
      <c r="A1372" s="9"/>
      <c r="B1372" s="2" t="s">
        <v>3037</v>
      </c>
      <c r="C1372" s="2" t="s">
        <v>3030</v>
      </c>
      <c r="D1372" s="2" t="s">
        <v>2837</v>
      </c>
      <c r="E1372" s="2" t="s">
        <v>51</v>
      </c>
      <c r="F1372" s="2"/>
      <c r="G1372" s="2" t="s">
        <v>3032</v>
      </c>
      <c r="H1372" s="8" t="n">
        <v>282.562447731725</v>
      </c>
      <c r="I1372" s="2" t="s">
        <v>316</v>
      </c>
      <c r="J1372" s="8" t="n">
        <v>432150.214592275</v>
      </c>
      <c r="K1372" s="6" t="n">
        <v>233</v>
      </c>
      <c r="L1372" s="2"/>
      <c r="M1372" s="10" t="b">
        <f aca="false">TRUE()</f>
        <v>1</v>
      </c>
      <c r="N1372" s="9" t="str">
        <f aca="false">IF(H1372="","",IF(H1372&gt;=Assumptions!$B$5,1,IF(H1372&gt;=Assumptions!$B$6,2,IF(H1372&gt;=Assumptions!$B$7,3,""))))</f>
        <v/>
      </c>
      <c r="O1372" s="9" t="n">
        <f aca="false">IF(N1372=1,Assumptions!$B$8,IF(N1372=2,Assumptions!$B$9,IF(N1372=3,Assumptions!$B$10,0)))</f>
        <v>0</v>
      </c>
      <c r="P1372" s="6" t="s">
        <v>30</v>
      </c>
      <c r="Q1372" s="6" t="s">
        <v>30</v>
      </c>
      <c r="R1372" s="11" t="s">
        <v>30</v>
      </c>
      <c r="S1372" s="6" t="s">
        <v>30</v>
      </c>
      <c r="T1372" s="11" t="s">
        <v>30</v>
      </c>
      <c r="U1372" s="6" t="s">
        <v>30</v>
      </c>
      <c r="V1372" s="6" t="s">
        <v>30</v>
      </c>
      <c r="W1372" s="6" t="s">
        <v>30</v>
      </c>
      <c r="X1372" s="2" t="s">
        <v>30</v>
      </c>
      <c r="Y1372" s="6" t="str">
        <f aca="false">IF(AND(X1372="processed",ISNUMBER(S1372)),S1372*O1372,"")</f>
        <v/>
      </c>
      <c r="Z1372" s="6" t="n">
        <f aca="false">IF(ISNUMBER(K1372),K1372*O1372,0)</f>
        <v>0</v>
      </c>
      <c r="AA1372" s="2" t="s">
        <v>31</v>
      </c>
      <c r="AB1372" s="6" t="n">
        <v>12588</v>
      </c>
      <c r="AC1372" s="6" t="n">
        <v>11436</v>
      </c>
      <c r="AD1372" s="6" t="n">
        <v>656</v>
      </c>
      <c r="AE1372" s="6" t="n">
        <v>2626.40625</v>
      </c>
      <c r="AF1372" s="8" t="n">
        <v>276.893698281</v>
      </c>
      <c r="AG1372" s="11" t="n">
        <v>-0.06031075123</v>
      </c>
      <c r="AH1372" s="12" t="n">
        <v>1</v>
      </c>
      <c r="AI1372" s="2" t="s">
        <v>317</v>
      </c>
      <c r="AJ1372" s="2" t="s">
        <v>3030</v>
      </c>
      <c r="AK1372" s="2" t="s">
        <v>3030</v>
      </c>
    </row>
    <row r="1373" customFormat="false" ht="15" hidden="false" customHeight="false" outlineLevel="0" collapsed="false">
      <c r="A1373" s="9"/>
      <c r="B1373" s="2" t="s">
        <v>3038</v>
      </c>
      <c r="C1373" s="2" t="s">
        <v>3030</v>
      </c>
      <c r="D1373" s="2" t="s">
        <v>2837</v>
      </c>
      <c r="E1373" s="2" t="s">
        <v>51</v>
      </c>
      <c r="F1373" s="2" t="s">
        <v>3039</v>
      </c>
      <c r="G1373" s="2" t="s">
        <v>3032</v>
      </c>
      <c r="H1373" s="8" t="n">
        <v>259.064717115428</v>
      </c>
      <c r="I1373" s="2" t="s">
        <v>316</v>
      </c>
      <c r="J1373" s="8" t="n">
        <v>483152</v>
      </c>
      <c r="K1373" s="6" t="n">
        <v>250</v>
      </c>
      <c r="L1373" s="2"/>
      <c r="M1373" s="10" t="b">
        <f aca="false">TRUE()</f>
        <v>1</v>
      </c>
      <c r="N1373" s="9" t="str">
        <f aca="false">IF(H1373="","",IF(H1373&gt;=Assumptions!$B$5,1,IF(H1373&gt;=Assumptions!$B$6,2,IF(H1373&gt;=Assumptions!$B$7,3,""))))</f>
        <v/>
      </c>
      <c r="O1373" s="9" t="n">
        <f aca="false">IF(N1373=1,Assumptions!$B$8,IF(N1373=2,Assumptions!$B$9,IF(N1373=3,Assumptions!$B$10,0)))</f>
        <v>0</v>
      </c>
      <c r="P1373" s="6" t="s">
        <v>30</v>
      </c>
      <c r="Q1373" s="6" t="s">
        <v>30</v>
      </c>
      <c r="R1373" s="11" t="s">
        <v>30</v>
      </c>
      <c r="S1373" s="6" t="s">
        <v>30</v>
      </c>
      <c r="T1373" s="11" t="s">
        <v>30</v>
      </c>
      <c r="U1373" s="6" t="s">
        <v>30</v>
      </c>
      <c r="V1373" s="6" t="s">
        <v>30</v>
      </c>
      <c r="W1373" s="6" t="s">
        <v>30</v>
      </c>
      <c r="X1373" s="2" t="s">
        <v>30</v>
      </c>
      <c r="Y1373" s="6" t="str">
        <f aca="false">IF(AND(X1373="processed",ISNUMBER(S1373)),S1373*O1373,"")</f>
        <v/>
      </c>
      <c r="Z1373" s="6" t="n">
        <f aca="false">IF(ISNUMBER(K1373),K1373*O1373,0)</f>
        <v>0</v>
      </c>
      <c r="AA1373" s="2" t="s">
        <v>31</v>
      </c>
      <c r="AB1373" s="6" t="n">
        <v>13185</v>
      </c>
      <c r="AC1373" s="6" t="n">
        <v>12777</v>
      </c>
      <c r="AD1373" s="6" t="n">
        <v>240</v>
      </c>
      <c r="AE1373" s="6" t="n">
        <v>2691.84936523438</v>
      </c>
      <c r="AF1373" s="8" t="n">
        <v>259.240246407</v>
      </c>
      <c r="AG1373" s="11" t="n">
        <v>-0.008655668245</v>
      </c>
      <c r="AH1373" s="12" t="n">
        <v>1</v>
      </c>
      <c r="AI1373" s="2" t="s">
        <v>317</v>
      </c>
      <c r="AJ1373" s="2" t="s">
        <v>3030</v>
      </c>
      <c r="AK1373" s="2" t="s">
        <v>3030</v>
      </c>
    </row>
    <row r="1374" customFormat="false" ht="15" hidden="false" customHeight="false" outlineLevel="0" collapsed="false">
      <c r="A1374" s="9"/>
      <c r="B1374" s="2" t="s">
        <v>3040</v>
      </c>
      <c r="C1374" s="2" t="s">
        <v>3030</v>
      </c>
      <c r="D1374" s="2" t="s">
        <v>2837</v>
      </c>
      <c r="E1374" s="2" t="s">
        <v>51</v>
      </c>
      <c r="F1374" s="2" t="s">
        <v>3041</v>
      </c>
      <c r="G1374" s="2" t="s">
        <v>3032</v>
      </c>
      <c r="H1374" s="8" t="n">
        <v>281.797801758917</v>
      </c>
      <c r="I1374" s="2" t="s">
        <v>316</v>
      </c>
      <c r="J1374" s="8" t="n">
        <v>399791.666666667</v>
      </c>
      <c r="K1374" s="6" t="n">
        <v>144</v>
      </c>
      <c r="L1374" s="2"/>
      <c r="M1374" s="10" t="b">
        <f aca="false">TRUE()</f>
        <v>1</v>
      </c>
      <c r="N1374" s="9" t="str">
        <f aca="false">IF(H1374="","",IF(H1374&gt;=Assumptions!$B$5,1,IF(H1374&gt;=Assumptions!$B$6,2,IF(H1374&gt;=Assumptions!$B$7,3,""))))</f>
        <v/>
      </c>
      <c r="O1374" s="9" t="n">
        <f aca="false">IF(N1374=1,Assumptions!$B$8,IF(N1374=2,Assumptions!$B$9,IF(N1374=3,Assumptions!$B$10,0)))</f>
        <v>0</v>
      </c>
      <c r="P1374" s="6" t="s">
        <v>30</v>
      </c>
      <c r="Q1374" s="6" t="s">
        <v>30</v>
      </c>
      <c r="R1374" s="11" t="s">
        <v>30</v>
      </c>
      <c r="S1374" s="6" t="s">
        <v>30</v>
      </c>
      <c r="T1374" s="11" t="s">
        <v>30</v>
      </c>
      <c r="U1374" s="6" t="s">
        <v>30</v>
      </c>
      <c r="V1374" s="6" t="s">
        <v>30</v>
      </c>
      <c r="W1374" s="6" t="s">
        <v>30</v>
      </c>
      <c r="X1374" s="2" t="s">
        <v>30</v>
      </c>
      <c r="Y1374" s="6" t="str">
        <f aca="false">IF(AND(X1374="processed",ISNUMBER(S1374)),S1374*O1374,"")</f>
        <v/>
      </c>
      <c r="Z1374" s="6" t="n">
        <f aca="false">IF(ISNUMBER(K1374),K1374*O1374,0)</f>
        <v>0</v>
      </c>
      <c r="AA1374" s="2" t="s">
        <v>31</v>
      </c>
      <c r="AB1374" s="6" t="n">
        <v>10063</v>
      </c>
      <c r="AC1374" s="6" t="n">
        <v>9568</v>
      </c>
      <c r="AD1374" s="6" t="n">
        <v>211</v>
      </c>
      <c r="AE1374" s="6" t="n">
        <v>2271.92504882813</v>
      </c>
      <c r="AF1374" s="8" t="n">
        <v>287.8248439</v>
      </c>
      <c r="AG1374" s="11" t="n">
        <v>-0.0271504098</v>
      </c>
      <c r="AH1374" s="12" t="n">
        <v>0.999999999999997</v>
      </c>
      <c r="AI1374" s="2" t="s">
        <v>317</v>
      </c>
      <c r="AJ1374" s="2" t="s">
        <v>3030</v>
      </c>
      <c r="AK1374" s="2" t="s">
        <v>3030</v>
      </c>
    </row>
    <row r="1375" customFormat="false" ht="15" hidden="false" customHeight="false" outlineLevel="0" collapsed="false">
      <c r="A1375" s="9"/>
      <c r="B1375" s="2" t="s">
        <v>3042</v>
      </c>
      <c r="C1375" s="2" t="s">
        <v>3030</v>
      </c>
      <c r="D1375" s="2" t="s">
        <v>2837</v>
      </c>
      <c r="E1375" s="2" t="s">
        <v>51</v>
      </c>
      <c r="F1375" s="2"/>
      <c r="G1375" s="2"/>
      <c r="H1375" s="8"/>
      <c r="I1375" s="2"/>
      <c r="J1375" s="8"/>
      <c r="K1375" s="6"/>
      <c r="L1375" s="2"/>
      <c r="M1375" s="10" t="b">
        <f aca="false">TRUE()</f>
        <v>1</v>
      </c>
      <c r="N1375" s="9" t="str">
        <f aca="false">IF(H1375="","",IF(H1375&gt;=Assumptions!$B$5,1,IF(H1375&gt;=Assumptions!$B$6,2,IF(H1375&gt;=Assumptions!$B$7,3,""))))</f>
        <v/>
      </c>
      <c r="O1375" s="9" t="n">
        <f aca="false">IF(N1375=1,Assumptions!$B$8,IF(N1375=2,Assumptions!$B$9,IF(N1375=3,Assumptions!$B$10,0)))</f>
        <v>0</v>
      </c>
      <c r="P1375" s="6" t="s">
        <v>30</v>
      </c>
      <c r="Q1375" s="6" t="s">
        <v>30</v>
      </c>
      <c r="R1375" s="11" t="s">
        <v>30</v>
      </c>
      <c r="S1375" s="6" t="s">
        <v>30</v>
      </c>
      <c r="T1375" s="11" t="s">
        <v>30</v>
      </c>
      <c r="U1375" s="6" t="s">
        <v>30</v>
      </c>
      <c r="V1375" s="6" t="s">
        <v>30</v>
      </c>
      <c r="W1375" s="6" t="s">
        <v>30</v>
      </c>
      <c r="X1375" s="2" t="s">
        <v>30</v>
      </c>
      <c r="Y1375" s="6" t="str">
        <f aca="false">IF(AND(X1375="processed",ISNUMBER(S1375)),S1375*O1375,"")</f>
        <v/>
      </c>
      <c r="Z1375" s="6" t="n">
        <f aca="false">IF(ISNUMBER(K1375),K1375*O1375,0)</f>
        <v>0</v>
      </c>
      <c r="AA1375" s="2" t="s">
        <v>31</v>
      </c>
      <c r="AB1375" s="6" t="n">
        <v>80</v>
      </c>
      <c r="AC1375" s="6" t="n">
        <v>34</v>
      </c>
      <c r="AD1375" s="6" t="n">
        <v>6</v>
      </c>
      <c r="AE1375" s="6" t="n">
        <v>4183.27392578125</v>
      </c>
      <c r="AF1375" s="8"/>
      <c r="AG1375" s="11"/>
      <c r="AH1375" s="12" t="n">
        <v>1</v>
      </c>
      <c r="AI1375" s="2" t="s">
        <v>319</v>
      </c>
      <c r="AJ1375" s="2"/>
      <c r="AK1375" s="2" t="s">
        <v>3030</v>
      </c>
    </row>
    <row r="1376" customFormat="false" ht="15" hidden="false" customHeight="false" outlineLevel="0" collapsed="false">
      <c r="A1376" s="9"/>
      <c r="B1376" s="2" t="s">
        <v>3043</v>
      </c>
      <c r="C1376" s="2" t="s">
        <v>3030</v>
      </c>
      <c r="D1376" s="2" t="s">
        <v>2837</v>
      </c>
      <c r="E1376" s="2" t="s">
        <v>51</v>
      </c>
      <c r="F1376" s="2"/>
      <c r="G1376" s="2" t="s">
        <v>3032</v>
      </c>
      <c r="H1376" s="8" t="n">
        <v>288.198322717588</v>
      </c>
      <c r="I1376" s="2" t="s">
        <v>316</v>
      </c>
      <c r="J1376" s="8" t="n">
        <v>558058.127192983</v>
      </c>
      <c r="K1376" s="6" t="n">
        <v>228</v>
      </c>
      <c r="L1376" s="2"/>
      <c r="M1376" s="10" t="b">
        <f aca="false">TRUE()</f>
        <v>1</v>
      </c>
      <c r="N1376" s="9" t="str">
        <f aca="false">IF(H1376="","",IF(H1376&gt;=Assumptions!$B$5,1,IF(H1376&gt;=Assumptions!$B$6,2,IF(H1376&gt;=Assumptions!$B$7,3,""))))</f>
        <v/>
      </c>
      <c r="O1376" s="9" t="n">
        <f aca="false">IF(N1376=1,Assumptions!$B$8,IF(N1376=2,Assumptions!$B$9,IF(N1376=3,Assumptions!$B$10,0)))</f>
        <v>0</v>
      </c>
      <c r="P1376" s="6" t="s">
        <v>30</v>
      </c>
      <c r="Q1376" s="6" t="s">
        <v>30</v>
      </c>
      <c r="R1376" s="11" t="s">
        <v>30</v>
      </c>
      <c r="S1376" s="6" t="s">
        <v>30</v>
      </c>
      <c r="T1376" s="11" t="s">
        <v>30</v>
      </c>
      <c r="U1376" s="6" t="s">
        <v>30</v>
      </c>
      <c r="V1376" s="6" t="s">
        <v>30</v>
      </c>
      <c r="W1376" s="6" t="s">
        <v>30</v>
      </c>
      <c r="X1376" s="2" t="s">
        <v>30</v>
      </c>
      <c r="Y1376" s="6" t="str">
        <f aca="false">IF(AND(X1376="processed",ISNUMBER(S1376)),S1376*O1376,"")</f>
        <v/>
      </c>
      <c r="Z1376" s="6" t="n">
        <f aca="false">IF(ISNUMBER(K1376),K1376*O1376,0)</f>
        <v>0</v>
      </c>
      <c r="AA1376" s="2" t="s">
        <v>31</v>
      </c>
      <c r="AB1376" s="6" t="n">
        <v>10196</v>
      </c>
      <c r="AC1376" s="6" t="n">
        <v>9171</v>
      </c>
      <c r="AD1376" s="6" t="n">
        <v>1236</v>
      </c>
      <c r="AE1376" s="6" t="n">
        <v>2351.80493164063</v>
      </c>
      <c r="AF1376" s="8" t="n">
        <v>296.150362319</v>
      </c>
      <c r="AG1376" s="11" t="n">
        <v>0.003067955208</v>
      </c>
      <c r="AH1376" s="12" t="n">
        <v>0.999999999999998</v>
      </c>
      <c r="AI1376" s="2" t="s">
        <v>317</v>
      </c>
      <c r="AJ1376" s="2" t="s">
        <v>3030</v>
      </c>
      <c r="AK1376" s="2" t="s">
        <v>3030</v>
      </c>
    </row>
    <row r="1377" customFormat="false" ht="15" hidden="false" customHeight="false" outlineLevel="0" collapsed="false">
      <c r="A1377" s="9"/>
      <c r="B1377" s="2" t="s">
        <v>3044</v>
      </c>
      <c r="C1377" s="2" t="s">
        <v>3030</v>
      </c>
      <c r="D1377" s="2" t="s">
        <v>2837</v>
      </c>
      <c r="E1377" s="2" t="s">
        <v>51</v>
      </c>
      <c r="F1377" s="2"/>
      <c r="G1377" s="2" t="s">
        <v>3032</v>
      </c>
      <c r="H1377" s="8" t="n">
        <v>336.289719617831</v>
      </c>
      <c r="I1377" s="2" t="s">
        <v>316</v>
      </c>
      <c r="J1377" s="8" t="n">
        <v>485222.289156627</v>
      </c>
      <c r="K1377" s="6" t="n">
        <v>166</v>
      </c>
      <c r="L1377" s="2"/>
      <c r="M1377" s="10" t="b">
        <f aca="false">TRUE()</f>
        <v>1</v>
      </c>
      <c r="N1377" s="9" t="str">
        <f aca="false">IF(H1377="","",IF(H1377&gt;=Assumptions!$B$5,1,IF(H1377&gt;=Assumptions!$B$6,2,IF(H1377&gt;=Assumptions!$B$7,3,""))))</f>
        <v/>
      </c>
      <c r="O1377" s="9" t="n">
        <f aca="false">IF(N1377=1,Assumptions!$B$8,IF(N1377=2,Assumptions!$B$9,IF(N1377=3,Assumptions!$B$10,0)))</f>
        <v>0</v>
      </c>
      <c r="P1377" s="6" t="s">
        <v>30</v>
      </c>
      <c r="Q1377" s="6" t="s">
        <v>30</v>
      </c>
      <c r="R1377" s="11" t="s">
        <v>30</v>
      </c>
      <c r="S1377" s="6" t="s">
        <v>30</v>
      </c>
      <c r="T1377" s="11" t="s">
        <v>30</v>
      </c>
      <c r="U1377" s="6" t="s">
        <v>30</v>
      </c>
      <c r="V1377" s="6" t="s">
        <v>30</v>
      </c>
      <c r="W1377" s="6" t="s">
        <v>30</v>
      </c>
      <c r="X1377" s="2" t="s">
        <v>30</v>
      </c>
      <c r="Y1377" s="6" t="str">
        <f aca="false">IF(AND(X1377="processed",ISNUMBER(S1377)),S1377*O1377,"")</f>
        <v/>
      </c>
      <c r="Z1377" s="6" t="n">
        <f aca="false">IF(ISNUMBER(K1377),K1377*O1377,0)</f>
        <v>0</v>
      </c>
      <c r="AA1377" s="2" t="s">
        <v>31</v>
      </c>
      <c r="AB1377" s="6" t="n">
        <v>12875</v>
      </c>
      <c r="AC1377" s="6" t="n">
        <v>10484</v>
      </c>
      <c r="AD1377" s="6" t="n">
        <v>7632</v>
      </c>
      <c r="AE1377" s="6" t="n">
        <v>1807.26147460938</v>
      </c>
      <c r="AF1377" s="8" t="n">
        <v>337.419690098</v>
      </c>
      <c r="AG1377" s="11" t="n">
        <v>-0.02970927659</v>
      </c>
      <c r="AH1377" s="12" t="n">
        <v>0.999999999999998</v>
      </c>
      <c r="AI1377" s="2" t="s">
        <v>317</v>
      </c>
      <c r="AJ1377" s="2" t="s">
        <v>3030</v>
      </c>
      <c r="AK1377" s="2" t="s">
        <v>3030</v>
      </c>
    </row>
    <row r="1378" customFormat="false" ht="15" hidden="false" customHeight="false" outlineLevel="0" collapsed="false">
      <c r="A1378" s="9"/>
      <c r="B1378" s="2" t="s">
        <v>3045</v>
      </c>
      <c r="C1378" s="2" t="s">
        <v>3030</v>
      </c>
      <c r="D1378" s="2" t="s">
        <v>2837</v>
      </c>
      <c r="E1378" s="2" t="s">
        <v>51</v>
      </c>
      <c r="F1378" s="2"/>
      <c r="G1378" s="2" t="s">
        <v>3032</v>
      </c>
      <c r="H1378" s="8" t="n">
        <v>277.288403423436</v>
      </c>
      <c r="I1378" s="2" t="s">
        <v>316</v>
      </c>
      <c r="J1378" s="8" t="n">
        <v>543683.510638298</v>
      </c>
      <c r="K1378" s="6" t="n">
        <v>188</v>
      </c>
      <c r="L1378" s="2"/>
      <c r="M1378" s="10" t="b">
        <f aca="false">TRUE()</f>
        <v>1</v>
      </c>
      <c r="N1378" s="9" t="str">
        <f aca="false">IF(H1378="","",IF(H1378&gt;=Assumptions!$B$5,1,IF(H1378&gt;=Assumptions!$B$6,2,IF(H1378&gt;=Assumptions!$B$7,3,""))))</f>
        <v/>
      </c>
      <c r="O1378" s="9" t="n">
        <f aca="false">IF(N1378=1,Assumptions!$B$8,IF(N1378=2,Assumptions!$B$9,IF(N1378=3,Assumptions!$B$10,0)))</f>
        <v>0</v>
      </c>
      <c r="P1378" s="6" t="s">
        <v>30</v>
      </c>
      <c r="Q1378" s="6" t="s">
        <v>30</v>
      </c>
      <c r="R1378" s="11" t="s">
        <v>30</v>
      </c>
      <c r="S1378" s="6" t="s">
        <v>30</v>
      </c>
      <c r="T1378" s="11" t="s">
        <v>30</v>
      </c>
      <c r="U1378" s="6" t="s">
        <v>30</v>
      </c>
      <c r="V1378" s="6" t="s">
        <v>30</v>
      </c>
      <c r="W1378" s="6" t="s">
        <v>30</v>
      </c>
      <c r="X1378" s="2" t="s">
        <v>30</v>
      </c>
      <c r="Y1378" s="6" t="str">
        <f aca="false">IF(AND(X1378="processed",ISNUMBER(S1378)),S1378*O1378,"")</f>
        <v/>
      </c>
      <c r="Z1378" s="6" t="n">
        <f aca="false">IF(ISNUMBER(K1378),K1378*O1378,0)</f>
        <v>0</v>
      </c>
      <c r="AA1378" s="2" t="s">
        <v>31</v>
      </c>
      <c r="AB1378" s="6" t="n">
        <v>9798</v>
      </c>
      <c r="AC1378" s="6" t="n">
        <v>9087</v>
      </c>
      <c r="AD1378" s="6" t="n">
        <v>526</v>
      </c>
      <c r="AE1378" s="6" t="n">
        <v>2640.52954101563</v>
      </c>
      <c r="AF1378" s="8" t="n">
        <v>272.194259923</v>
      </c>
      <c r="AG1378" s="11" t="n">
        <v>-0.08018442884</v>
      </c>
      <c r="AH1378" s="12" t="n">
        <v>0.805309006807819</v>
      </c>
      <c r="AI1378" s="2" t="s">
        <v>321</v>
      </c>
      <c r="AJ1378" s="2" t="s">
        <v>3030</v>
      </c>
      <c r="AK1378" s="2" t="s">
        <v>3030</v>
      </c>
    </row>
    <row r="1379" customFormat="false" ht="15" hidden="false" customHeight="false" outlineLevel="0" collapsed="false">
      <c r="A1379" s="9"/>
      <c r="B1379" s="2" t="s">
        <v>3046</v>
      </c>
      <c r="C1379" s="2" t="s">
        <v>3047</v>
      </c>
      <c r="D1379" s="2" t="s">
        <v>2837</v>
      </c>
      <c r="E1379" s="2" t="s">
        <v>51</v>
      </c>
      <c r="F1379" s="2"/>
      <c r="G1379" s="2" t="s">
        <v>3032</v>
      </c>
      <c r="H1379" s="8" t="n">
        <v>407.515070385838</v>
      </c>
      <c r="I1379" s="2" t="s">
        <v>316</v>
      </c>
      <c r="J1379" s="8" t="n">
        <v>822364.864864865</v>
      </c>
      <c r="K1379" s="6" t="n">
        <v>37</v>
      </c>
      <c r="L1379" s="2"/>
      <c r="M1379" s="10" t="b">
        <f aca="false">TRUE()</f>
        <v>1</v>
      </c>
      <c r="N1379" s="9" t="str">
        <f aca="false">IF(H1379="","",IF(H1379&gt;=Assumptions!$B$5,1,IF(H1379&gt;=Assumptions!$B$6,2,IF(H1379&gt;=Assumptions!$B$7,3,""))))</f>
        <v/>
      </c>
      <c r="O1379" s="9" t="n">
        <f aca="false">IF(N1379=1,Assumptions!$B$8,IF(N1379=2,Assumptions!$B$9,IF(N1379=3,Assumptions!$B$10,0)))</f>
        <v>0</v>
      </c>
      <c r="P1379" s="6" t="s">
        <v>30</v>
      </c>
      <c r="Q1379" s="6" t="s">
        <v>30</v>
      </c>
      <c r="R1379" s="11" t="s">
        <v>30</v>
      </c>
      <c r="S1379" s="6" t="s">
        <v>30</v>
      </c>
      <c r="T1379" s="11" t="s">
        <v>30</v>
      </c>
      <c r="U1379" s="6" t="s">
        <v>30</v>
      </c>
      <c r="V1379" s="6" t="s">
        <v>30</v>
      </c>
      <c r="W1379" s="6" t="s">
        <v>30</v>
      </c>
      <c r="X1379" s="2" t="s">
        <v>30</v>
      </c>
      <c r="Y1379" s="6" t="str">
        <f aca="false">IF(AND(X1379="processed",ISNUMBER(S1379)),S1379*O1379,"")</f>
        <v/>
      </c>
      <c r="Z1379" s="6" t="n">
        <f aca="false">IF(ISNUMBER(K1379),K1379*O1379,0)</f>
        <v>0</v>
      </c>
      <c r="AA1379" s="2" t="s">
        <v>31</v>
      </c>
      <c r="AB1379" s="6" t="n">
        <v>4929</v>
      </c>
      <c r="AC1379" s="6" t="n">
        <v>3982</v>
      </c>
      <c r="AD1379" s="6" t="n">
        <v>3126</v>
      </c>
      <c r="AE1379" s="6" t="n">
        <v>1995.486328125</v>
      </c>
      <c r="AF1379" s="8" t="n">
        <v>446.940433247</v>
      </c>
      <c r="AG1379" s="11" t="n">
        <v>0.1209889704</v>
      </c>
      <c r="AH1379" s="12" t="n">
        <v>0.998004895269766</v>
      </c>
      <c r="AI1379" s="2" t="s">
        <v>317</v>
      </c>
      <c r="AJ1379" s="2" t="s">
        <v>3047</v>
      </c>
      <c r="AK1379" s="2" t="s">
        <v>3048</v>
      </c>
    </row>
    <row r="1380" customFormat="false" ht="15" hidden="false" customHeight="false" outlineLevel="0" collapsed="false">
      <c r="A1380" s="9"/>
      <c r="B1380" s="2" t="s">
        <v>3049</v>
      </c>
      <c r="C1380" s="2" t="s">
        <v>3050</v>
      </c>
      <c r="D1380" s="2" t="s">
        <v>3051</v>
      </c>
      <c r="E1380" s="2" t="s">
        <v>51</v>
      </c>
      <c r="F1380" s="2"/>
      <c r="G1380" s="2"/>
      <c r="H1380" s="8"/>
      <c r="I1380" s="2"/>
      <c r="J1380" s="8"/>
      <c r="K1380" s="6"/>
      <c r="L1380" s="2"/>
      <c r="M1380" s="10" t="b">
        <f aca="false">TRUE()</f>
        <v>1</v>
      </c>
      <c r="N1380" s="9" t="str">
        <f aca="false">IF(H1380="","",IF(H1380&gt;=Assumptions!$B$5,1,IF(H1380&gt;=Assumptions!$B$6,2,IF(H1380&gt;=Assumptions!$B$7,3,""))))</f>
        <v/>
      </c>
      <c r="O1380" s="9" t="n">
        <f aca="false">IF(N1380=1,Assumptions!$B$8,IF(N1380=2,Assumptions!$B$9,IF(N1380=3,Assumptions!$B$10,0)))</f>
        <v>0</v>
      </c>
      <c r="P1380" s="6" t="s">
        <v>30</v>
      </c>
      <c r="Q1380" s="6" t="s">
        <v>30</v>
      </c>
      <c r="R1380" s="11" t="s">
        <v>30</v>
      </c>
      <c r="S1380" s="6" t="s">
        <v>30</v>
      </c>
      <c r="T1380" s="11" t="s">
        <v>30</v>
      </c>
      <c r="U1380" s="6" t="s">
        <v>30</v>
      </c>
      <c r="V1380" s="6" t="s">
        <v>30</v>
      </c>
      <c r="W1380" s="6" t="s">
        <v>30</v>
      </c>
      <c r="X1380" s="2" t="s">
        <v>30</v>
      </c>
      <c r="Y1380" s="6" t="str">
        <f aca="false">IF(AND(X1380="processed",ISNUMBER(S1380)),S1380*O1380,"")</f>
        <v/>
      </c>
      <c r="Z1380" s="6" t="n">
        <f aca="false">IF(ISNUMBER(K1380),K1380*O1380,0)</f>
        <v>0</v>
      </c>
      <c r="AA1380" s="2" t="s">
        <v>31</v>
      </c>
      <c r="AB1380" s="6" t="n">
        <v>4839</v>
      </c>
      <c r="AC1380" s="6" t="n">
        <v>3627</v>
      </c>
      <c r="AD1380" s="6" t="n">
        <v>610</v>
      </c>
      <c r="AE1380" s="6" t="n">
        <v>1815.64562988281</v>
      </c>
      <c r="AF1380" s="8"/>
      <c r="AG1380" s="11"/>
      <c r="AH1380" s="12" t="n">
        <v>0.999654259467181</v>
      </c>
      <c r="AI1380" s="2" t="s">
        <v>319</v>
      </c>
      <c r="AJ1380" s="2"/>
      <c r="AK1380" s="2" t="s">
        <v>3050</v>
      </c>
    </row>
    <row r="1381" customFormat="false" ht="15" hidden="false" customHeight="false" outlineLevel="0" collapsed="false">
      <c r="A1381" s="9"/>
      <c r="B1381" s="2" t="s">
        <v>3052</v>
      </c>
      <c r="C1381" s="2" t="s">
        <v>3053</v>
      </c>
      <c r="D1381" s="2" t="s">
        <v>1828</v>
      </c>
      <c r="E1381" s="2" t="s">
        <v>51</v>
      </c>
      <c r="F1381" s="2" t="s">
        <v>3054</v>
      </c>
      <c r="G1381" s="2"/>
      <c r="H1381" s="8"/>
      <c r="I1381" s="2"/>
      <c r="J1381" s="8"/>
      <c r="K1381" s="6"/>
      <c r="L1381" s="2"/>
      <c r="M1381" s="10" t="b">
        <f aca="false">TRUE()</f>
        <v>1</v>
      </c>
      <c r="N1381" s="9" t="str">
        <f aca="false">IF(H1381="","",IF(H1381&gt;=Assumptions!$B$5,1,IF(H1381&gt;=Assumptions!$B$6,2,IF(H1381&gt;=Assumptions!$B$7,3,""))))</f>
        <v/>
      </c>
      <c r="O1381" s="9" t="n">
        <f aca="false">IF(N1381=1,Assumptions!$B$8,IF(N1381=2,Assumptions!$B$9,IF(N1381=3,Assumptions!$B$10,0)))</f>
        <v>0</v>
      </c>
      <c r="P1381" s="6" t="s">
        <v>30</v>
      </c>
      <c r="Q1381" s="6" t="s">
        <v>30</v>
      </c>
      <c r="R1381" s="11" t="s">
        <v>30</v>
      </c>
      <c r="S1381" s="6" t="s">
        <v>30</v>
      </c>
      <c r="T1381" s="11" t="s">
        <v>30</v>
      </c>
      <c r="U1381" s="6" t="s">
        <v>30</v>
      </c>
      <c r="V1381" s="6" t="s">
        <v>30</v>
      </c>
      <c r="W1381" s="6" t="s">
        <v>30</v>
      </c>
      <c r="X1381" s="2" t="s">
        <v>30</v>
      </c>
      <c r="Y1381" s="6" t="str">
        <f aca="false">IF(AND(X1381="processed",ISNUMBER(S1381)),S1381*O1381,"")</f>
        <v/>
      </c>
      <c r="Z1381" s="6" t="n">
        <f aca="false">IF(ISNUMBER(K1381),K1381*O1381,0)</f>
        <v>0</v>
      </c>
      <c r="AA1381" s="2" t="s">
        <v>31</v>
      </c>
      <c r="AB1381" s="6" t="n">
        <v>9071</v>
      </c>
      <c r="AC1381" s="6" t="n">
        <v>7682</v>
      </c>
      <c r="AD1381" s="6" t="n">
        <v>160</v>
      </c>
      <c r="AE1381" s="6" t="n">
        <v>1355.63989257813</v>
      </c>
      <c r="AF1381" s="8"/>
      <c r="AG1381" s="11"/>
      <c r="AH1381" s="12" t="n">
        <v>0.703436996507084</v>
      </c>
      <c r="AI1381" s="2" t="s">
        <v>1597</v>
      </c>
      <c r="AJ1381" s="2"/>
      <c r="AK1381" s="2" t="s">
        <v>3053</v>
      </c>
    </row>
    <row r="1382" customFormat="false" ht="15" hidden="false" customHeight="false" outlineLevel="0" collapsed="false">
      <c r="A1382" s="9"/>
      <c r="B1382" s="2" t="s">
        <v>3055</v>
      </c>
      <c r="C1382" s="2" t="s">
        <v>3056</v>
      </c>
      <c r="D1382" s="2" t="s">
        <v>3051</v>
      </c>
      <c r="E1382" s="2" t="s">
        <v>51</v>
      </c>
      <c r="F1382" s="2"/>
      <c r="G1382" s="2"/>
      <c r="H1382" s="8"/>
      <c r="I1382" s="2"/>
      <c r="J1382" s="8"/>
      <c r="K1382" s="6"/>
      <c r="L1382" s="2"/>
      <c r="M1382" s="10" t="b">
        <f aca="false">TRUE()</f>
        <v>1</v>
      </c>
      <c r="N1382" s="9" t="str">
        <f aca="false">IF(H1382="","",IF(H1382&gt;=Assumptions!$B$5,1,IF(H1382&gt;=Assumptions!$B$6,2,IF(H1382&gt;=Assumptions!$B$7,3,""))))</f>
        <v/>
      </c>
      <c r="O1382" s="9" t="n">
        <f aca="false">IF(N1382=1,Assumptions!$B$8,IF(N1382=2,Assumptions!$B$9,IF(N1382=3,Assumptions!$B$10,0)))</f>
        <v>0</v>
      </c>
      <c r="P1382" s="6" t="s">
        <v>30</v>
      </c>
      <c r="Q1382" s="6" t="s">
        <v>30</v>
      </c>
      <c r="R1382" s="11" t="s">
        <v>30</v>
      </c>
      <c r="S1382" s="6" t="s">
        <v>30</v>
      </c>
      <c r="T1382" s="11" t="s">
        <v>30</v>
      </c>
      <c r="U1382" s="6" t="s">
        <v>30</v>
      </c>
      <c r="V1382" s="6" t="s">
        <v>30</v>
      </c>
      <c r="W1382" s="6" t="s">
        <v>30</v>
      </c>
      <c r="X1382" s="2" t="s">
        <v>30</v>
      </c>
      <c r="Y1382" s="6" t="str">
        <f aca="false">IF(AND(X1382="processed",ISNUMBER(S1382)),S1382*O1382,"")</f>
        <v/>
      </c>
      <c r="Z1382" s="6" t="n">
        <f aca="false">IF(ISNUMBER(K1382),K1382*O1382,0)</f>
        <v>0</v>
      </c>
      <c r="AA1382" s="2" t="s">
        <v>31</v>
      </c>
      <c r="AB1382" s="6" t="n">
        <v>490</v>
      </c>
      <c r="AC1382" s="6" t="n">
        <v>288</v>
      </c>
      <c r="AD1382" s="6" t="n">
        <v>25</v>
      </c>
      <c r="AE1382" s="6" t="n">
        <v>1452.21899414063</v>
      </c>
      <c r="AF1382" s="8"/>
      <c r="AG1382" s="11"/>
      <c r="AH1382" s="12" t="n">
        <v>0.998928170262134</v>
      </c>
      <c r="AI1382" s="2" t="s">
        <v>1597</v>
      </c>
      <c r="AJ1382" s="2"/>
      <c r="AK1382" s="2" t="s">
        <v>3056</v>
      </c>
    </row>
    <row r="1383" customFormat="false" ht="15" hidden="false" customHeight="false" outlineLevel="0" collapsed="false">
      <c r="A1383" s="9"/>
      <c r="B1383" s="2" t="s">
        <v>3057</v>
      </c>
      <c r="C1383" s="2" t="s">
        <v>3058</v>
      </c>
      <c r="D1383" s="2" t="s">
        <v>3051</v>
      </c>
      <c r="E1383" s="2" t="s">
        <v>51</v>
      </c>
      <c r="F1383" s="2"/>
      <c r="G1383" s="2"/>
      <c r="H1383" s="8"/>
      <c r="I1383" s="2"/>
      <c r="J1383" s="8"/>
      <c r="K1383" s="6"/>
      <c r="L1383" s="2"/>
      <c r="M1383" s="10" t="b">
        <f aca="false">TRUE()</f>
        <v>1</v>
      </c>
      <c r="N1383" s="9" t="str">
        <f aca="false">IF(H1383="","",IF(H1383&gt;=Assumptions!$B$5,1,IF(H1383&gt;=Assumptions!$B$6,2,IF(H1383&gt;=Assumptions!$B$7,3,""))))</f>
        <v/>
      </c>
      <c r="O1383" s="9" t="n">
        <f aca="false">IF(N1383=1,Assumptions!$B$8,IF(N1383=2,Assumptions!$B$9,IF(N1383=3,Assumptions!$B$10,0)))</f>
        <v>0</v>
      </c>
      <c r="P1383" s="6" t="s">
        <v>30</v>
      </c>
      <c r="Q1383" s="6" t="s">
        <v>30</v>
      </c>
      <c r="R1383" s="11" t="s">
        <v>30</v>
      </c>
      <c r="S1383" s="6" t="s">
        <v>30</v>
      </c>
      <c r="T1383" s="11" t="s">
        <v>30</v>
      </c>
      <c r="U1383" s="6" t="s">
        <v>30</v>
      </c>
      <c r="V1383" s="6" t="s">
        <v>30</v>
      </c>
      <c r="W1383" s="6" t="s">
        <v>30</v>
      </c>
      <c r="X1383" s="2" t="s">
        <v>30</v>
      </c>
      <c r="Y1383" s="6" t="str">
        <f aca="false">IF(AND(X1383="processed",ISNUMBER(S1383)),S1383*O1383,"")</f>
        <v/>
      </c>
      <c r="Z1383" s="6" t="n">
        <f aca="false">IF(ISNUMBER(K1383),K1383*O1383,0)</f>
        <v>0</v>
      </c>
      <c r="AA1383" s="2" t="s">
        <v>31</v>
      </c>
      <c r="AB1383" s="6" t="n">
        <v>678</v>
      </c>
      <c r="AC1383" s="6" t="n">
        <v>506</v>
      </c>
      <c r="AD1383" s="6" t="n">
        <v>148</v>
      </c>
      <c r="AE1383" s="6" t="n">
        <v>1540.30590820313</v>
      </c>
      <c r="AF1383" s="8"/>
      <c r="AG1383" s="11"/>
      <c r="AH1383" s="12" t="n">
        <v>1</v>
      </c>
      <c r="AI1383" s="2" t="s">
        <v>1597</v>
      </c>
      <c r="AJ1383" s="2"/>
      <c r="AK1383" s="2" t="s">
        <v>3058</v>
      </c>
    </row>
    <row r="1384" customFormat="false" ht="15" hidden="false" customHeight="false" outlineLevel="0" collapsed="false">
      <c r="A1384" s="9"/>
      <c r="B1384" s="2" t="s">
        <v>3059</v>
      </c>
      <c r="C1384" s="2" t="s">
        <v>3060</v>
      </c>
      <c r="D1384" s="2" t="s">
        <v>3051</v>
      </c>
      <c r="E1384" s="2" t="s">
        <v>51</v>
      </c>
      <c r="F1384" s="2"/>
      <c r="G1384" s="2"/>
      <c r="H1384" s="8"/>
      <c r="I1384" s="2"/>
      <c r="J1384" s="8"/>
      <c r="K1384" s="6"/>
      <c r="L1384" s="2"/>
      <c r="M1384" s="10" t="b">
        <f aca="false">TRUE()</f>
        <v>1</v>
      </c>
      <c r="N1384" s="9" t="str">
        <f aca="false">IF(H1384="","",IF(H1384&gt;=Assumptions!$B$5,1,IF(H1384&gt;=Assumptions!$B$6,2,IF(H1384&gt;=Assumptions!$B$7,3,""))))</f>
        <v/>
      </c>
      <c r="O1384" s="9" t="n">
        <f aca="false">IF(N1384=1,Assumptions!$B$8,IF(N1384=2,Assumptions!$B$9,IF(N1384=3,Assumptions!$B$10,0)))</f>
        <v>0</v>
      </c>
      <c r="P1384" s="6" t="s">
        <v>30</v>
      </c>
      <c r="Q1384" s="6" t="s">
        <v>30</v>
      </c>
      <c r="R1384" s="11" t="s">
        <v>30</v>
      </c>
      <c r="S1384" s="6" t="s">
        <v>30</v>
      </c>
      <c r="T1384" s="11" t="s">
        <v>30</v>
      </c>
      <c r="U1384" s="6" t="s">
        <v>30</v>
      </c>
      <c r="V1384" s="6" t="s">
        <v>30</v>
      </c>
      <c r="W1384" s="6" t="s">
        <v>30</v>
      </c>
      <c r="X1384" s="2" t="s">
        <v>30</v>
      </c>
      <c r="Y1384" s="6" t="str">
        <f aca="false">IF(AND(X1384="processed",ISNUMBER(S1384)),S1384*O1384,"")</f>
        <v/>
      </c>
      <c r="Z1384" s="6" t="n">
        <f aca="false">IF(ISNUMBER(K1384),K1384*O1384,0)</f>
        <v>0</v>
      </c>
      <c r="AA1384" s="2" t="s">
        <v>31</v>
      </c>
      <c r="AB1384" s="6" t="n">
        <v>93</v>
      </c>
      <c r="AC1384" s="6" t="n">
        <v>66</v>
      </c>
      <c r="AD1384" s="6" t="n">
        <v>21</v>
      </c>
      <c r="AE1384" s="6" t="n">
        <v>1342.98400878906</v>
      </c>
      <c r="AF1384" s="8"/>
      <c r="AG1384" s="11"/>
      <c r="AH1384" s="12" t="n">
        <v>0.994598278135252</v>
      </c>
      <c r="AI1384" s="2" t="s">
        <v>1597</v>
      </c>
      <c r="AJ1384" s="2"/>
      <c r="AK1384" s="2" t="s">
        <v>3060</v>
      </c>
    </row>
    <row r="1385" customFormat="false" ht="15" hidden="false" customHeight="false" outlineLevel="0" collapsed="false">
      <c r="A1385" s="9"/>
      <c r="B1385" s="2" t="s">
        <v>3061</v>
      </c>
      <c r="C1385" s="2" t="s">
        <v>3062</v>
      </c>
      <c r="D1385" s="2" t="s">
        <v>2837</v>
      </c>
      <c r="E1385" s="2" t="s">
        <v>51</v>
      </c>
      <c r="F1385" s="2"/>
      <c r="G1385" s="2"/>
      <c r="H1385" s="8"/>
      <c r="I1385" s="2"/>
      <c r="J1385" s="8"/>
      <c r="K1385" s="6"/>
      <c r="L1385" s="2"/>
      <c r="M1385" s="10" t="b">
        <f aca="false">TRUE()</f>
        <v>1</v>
      </c>
      <c r="N1385" s="9" t="str">
        <f aca="false">IF(H1385="","",IF(H1385&gt;=Assumptions!$B$5,1,IF(H1385&gt;=Assumptions!$B$6,2,IF(H1385&gt;=Assumptions!$B$7,3,""))))</f>
        <v/>
      </c>
      <c r="O1385" s="9" t="n">
        <f aca="false">IF(N1385=1,Assumptions!$B$8,IF(N1385=2,Assumptions!$B$9,IF(N1385=3,Assumptions!$B$10,0)))</f>
        <v>0</v>
      </c>
      <c r="P1385" s="6" t="s">
        <v>30</v>
      </c>
      <c r="Q1385" s="6" t="s">
        <v>30</v>
      </c>
      <c r="R1385" s="11" t="s">
        <v>30</v>
      </c>
      <c r="S1385" s="6" t="s">
        <v>30</v>
      </c>
      <c r="T1385" s="11" t="s">
        <v>30</v>
      </c>
      <c r="U1385" s="6" t="s">
        <v>30</v>
      </c>
      <c r="V1385" s="6" t="s">
        <v>30</v>
      </c>
      <c r="W1385" s="6" t="s">
        <v>30</v>
      </c>
      <c r="X1385" s="2" t="s">
        <v>30</v>
      </c>
      <c r="Y1385" s="6" t="str">
        <f aca="false">IF(AND(X1385="processed",ISNUMBER(S1385)),S1385*O1385,"")</f>
        <v/>
      </c>
      <c r="Z1385" s="6" t="n">
        <f aca="false">IF(ISNUMBER(K1385),K1385*O1385,0)</f>
        <v>0</v>
      </c>
      <c r="AA1385" s="2" t="s">
        <v>31</v>
      </c>
      <c r="AB1385" s="6" t="n">
        <v>1152</v>
      </c>
      <c r="AC1385" s="6" t="n">
        <v>898</v>
      </c>
      <c r="AD1385" s="6" t="n">
        <v>849</v>
      </c>
      <c r="AE1385" s="6" t="n">
        <v>1973.14501953125</v>
      </c>
      <c r="AF1385" s="8"/>
      <c r="AG1385" s="11"/>
      <c r="AH1385" s="12" t="n">
        <v>0.997218903083532</v>
      </c>
      <c r="AI1385" s="2" t="s">
        <v>321</v>
      </c>
      <c r="AJ1385" s="2" t="s">
        <v>3062</v>
      </c>
      <c r="AK1385" s="2" t="s">
        <v>3063</v>
      </c>
    </row>
    <row r="1386" customFormat="false" ht="15" hidden="false" customHeight="false" outlineLevel="0" collapsed="false">
      <c r="A1386" s="9"/>
      <c r="B1386" s="2" t="s">
        <v>3064</v>
      </c>
      <c r="C1386" s="2" t="s">
        <v>3065</v>
      </c>
      <c r="D1386" s="2" t="s">
        <v>3051</v>
      </c>
      <c r="E1386" s="2" t="s">
        <v>51</v>
      </c>
      <c r="F1386" s="2"/>
      <c r="G1386" s="2"/>
      <c r="H1386" s="8"/>
      <c r="I1386" s="2"/>
      <c r="J1386" s="8"/>
      <c r="K1386" s="6"/>
      <c r="L1386" s="2"/>
      <c r="M1386" s="10" t="b">
        <f aca="false">TRUE()</f>
        <v>1</v>
      </c>
      <c r="N1386" s="9" t="str">
        <f aca="false">IF(H1386="","",IF(H1386&gt;=Assumptions!$B$5,1,IF(H1386&gt;=Assumptions!$B$6,2,IF(H1386&gt;=Assumptions!$B$7,3,""))))</f>
        <v/>
      </c>
      <c r="O1386" s="9" t="n">
        <f aca="false">IF(N1386=1,Assumptions!$B$8,IF(N1386=2,Assumptions!$B$9,IF(N1386=3,Assumptions!$B$10,0)))</f>
        <v>0</v>
      </c>
      <c r="P1386" s="6" t="s">
        <v>30</v>
      </c>
      <c r="Q1386" s="6" t="s">
        <v>30</v>
      </c>
      <c r="R1386" s="11" t="s">
        <v>30</v>
      </c>
      <c r="S1386" s="6" t="s">
        <v>30</v>
      </c>
      <c r="T1386" s="11" t="s">
        <v>30</v>
      </c>
      <c r="U1386" s="6" t="s">
        <v>30</v>
      </c>
      <c r="V1386" s="6" t="s">
        <v>30</v>
      </c>
      <c r="W1386" s="6" t="s">
        <v>30</v>
      </c>
      <c r="X1386" s="2" t="s">
        <v>30</v>
      </c>
      <c r="Y1386" s="6" t="str">
        <f aca="false">IF(AND(X1386="processed",ISNUMBER(S1386)),S1386*O1386,"")</f>
        <v/>
      </c>
      <c r="Z1386" s="6" t="n">
        <f aca="false">IF(ISNUMBER(K1386),K1386*O1386,0)</f>
        <v>0</v>
      </c>
      <c r="AA1386" s="2" t="s">
        <v>31</v>
      </c>
      <c r="AB1386" s="6" t="n">
        <v>4172</v>
      </c>
      <c r="AC1386" s="6" t="n">
        <v>3568</v>
      </c>
      <c r="AD1386" s="6" t="n">
        <v>666</v>
      </c>
      <c r="AE1386" s="6" t="n">
        <v>2064.39990234375</v>
      </c>
      <c r="AF1386" s="8"/>
      <c r="AG1386" s="11"/>
      <c r="AH1386" s="12" t="n">
        <v>0.992140505133187</v>
      </c>
      <c r="AI1386" s="2" t="s">
        <v>1597</v>
      </c>
      <c r="AJ1386" s="2"/>
      <c r="AK1386" s="2" t="s">
        <v>3065</v>
      </c>
    </row>
    <row r="1387" customFormat="false" ht="15" hidden="false" customHeight="false" outlineLevel="0" collapsed="false">
      <c r="A1387" s="9"/>
      <c r="B1387" s="2" t="s">
        <v>3066</v>
      </c>
      <c r="C1387" s="2" t="s">
        <v>3067</v>
      </c>
      <c r="D1387" s="2" t="s">
        <v>1817</v>
      </c>
      <c r="E1387" s="2" t="s">
        <v>51</v>
      </c>
      <c r="F1387" s="2"/>
      <c r="G1387" s="2" t="s">
        <v>1818</v>
      </c>
      <c r="H1387" s="8" t="n">
        <v>356.691919192</v>
      </c>
      <c r="I1387" s="2" t="s">
        <v>316</v>
      </c>
      <c r="J1387" s="8" t="n">
        <v>565000</v>
      </c>
      <c r="K1387" s="6" t="n">
        <v>1</v>
      </c>
      <c r="L1387" s="2" t="s">
        <v>1664</v>
      </c>
      <c r="M1387" s="10" t="b">
        <f aca="false">TRUE()</f>
        <v>1</v>
      </c>
      <c r="N1387" s="9" t="str">
        <f aca="false">IF(H1387="","",IF(H1387&gt;=Assumptions!$B$5,1,IF(H1387&gt;=Assumptions!$B$6,2,IF(H1387&gt;=Assumptions!$B$7,3,""))))</f>
        <v/>
      </c>
      <c r="O1387" s="9" t="n">
        <f aca="false">IF(N1387=1,Assumptions!$B$8,IF(N1387=2,Assumptions!$B$9,IF(N1387=3,Assumptions!$B$10,0)))</f>
        <v>0</v>
      </c>
      <c r="P1387" s="6" t="s">
        <v>30</v>
      </c>
      <c r="Q1387" s="6" t="s">
        <v>30</v>
      </c>
      <c r="R1387" s="11" t="s">
        <v>30</v>
      </c>
      <c r="S1387" s="6" t="s">
        <v>30</v>
      </c>
      <c r="T1387" s="11" t="s">
        <v>30</v>
      </c>
      <c r="U1387" s="6" t="s">
        <v>30</v>
      </c>
      <c r="V1387" s="6" t="s">
        <v>30</v>
      </c>
      <c r="W1387" s="6" t="s">
        <v>30</v>
      </c>
      <c r="X1387" s="2" t="s">
        <v>30</v>
      </c>
      <c r="Y1387" s="6" t="str">
        <f aca="false">IF(AND(X1387="processed",ISNUMBER(S1387)),S1387*O1387,"")</f>
        <v/>
      </c>
      <c r="Z1387" s="6" t="n">
        <f aca="false">IF(ISNUMBER(K1387),K1387*O1387,0)</f>
        <v>0</v>
      </c>
      <c r="AA1387" s="2" t="s">
        <v>31</v>
      </c>
      <c r="AB1387" s="6" t="n">
        <v>930</v>
      </c>
      <c r="AC1387" s="6" t="n">
        <v>652</v>
      </c>
      <c r="AD1387" s="6" t="n">
        <v>652</v>
      </c>
      <c r="AE1387" s="6" t="n">
        <v>1814.71240234375</v>
      </c>
      <c r="AF1387" s="8" t="n">
        <v>356.691919192</v>
      </c>
      <c r="AG1387" s="11" t="n">
        <v>0.1424052391</v>
      </c>
      <c r="AH1387" s="12" t="n">
        <v>0.588284023967988</v>
      </c>
      <c r="AI1387" s="2" t="s">
        <v>321</v>
      </c>
      <c r="AJ1387" s="2" t="s">
        <v>3067</v>
      </c>
      <c r="AK1387" s="2" t="s">
        <v>3067</v>
      </c>
    </row>
    <row r="1388" customFormat="false" ht="15" hidden="false" customHeight="false" outlineLevel="0" collapsed="false">
      <c r="A1388" s="9"/>
      <c r="B1388" s="2" t="s">
        <v>3068</v>
      </c>
      <c r="C1388" s="2" t="s">
        <v>3069</v>
      </c>
      <c r="D1388" s="2" t="s">
        <v>2837</v>
      </c>
      <c r="E1388" s="2" t="s">
        <v>51</v>
      </c>
      <c r="F1388" s="2"/>
      <c r="G1388" s="2" t="s">
        <v>3032</v>
      </c>
      <c r="H1388" s="8" t="n">
        <v>407.2132252845</v>
      </c>
      <c r="I1388" s="2" t="s">
        <v>316</v>
      </c>
      <c r="J1388" s="8" t="n">
        <v>635375</v>
      </c>
      <c r="K1388" s="6" t="n">
        <v>8</v>
      </c>
      <c r="L1388" s="2"/>
      <c r="M1388" s="10" t="b">
        <f aca="false">TRUE()</f>
        <v>1</v>
      </c>
      <c r="N1388" s="9" t="str">
        <f aca="false">IF(H1388="","",IF(H1388&gt;=Assumptions!$B$5,1,IF(H1388&gt;=Assumptions!$B$6,2,IF(H1388&gt;=Assumptions!$B$7,3,""))))</f>
        <v/>
      </c>
      <c r="O1388" s="9" t="n">
        <f aca="false">IF(N1388=1,Assumptions!$B$8,IF(N1388=2,Assumptions!$B$9,IF(N1388=3,Assumptions!$B$10,0)))</f>
        <v>0</v>
      </c>
      <c r="P1388" s="6" t="s">
        <v>30</v>
      </c>
      <c r="Q1388" s="6" t="s">
        <v>30</v>
      </c>
      <c r="R1388" s="11" t="s">
        <v>30</v>
      </c>
      <c r="S1388" s="6" t="s">
        <v>30</v>
      </c>
      <c r="T1388" s="11" t="s">
        <v>30</v>
      </c>
      <c r="U1388" s="6" t="s">
        <v>30</v>
      </c>
      <c r="V1388" s="6" t="s">
        <v>30</v>
      </c>
      <c r="W1388" s="6" t="s">
        <v>30</v>
      </c>
      <c r="X1388" s="2" t="s">
        <v>30</v>
      </c>
      <c r="Y1388" s="6" t="str">
        <f aca="false">IF(AND(X1388="processed",ISNUMBER(S1388)),S1388*O1388,"")</f>
        <v/>
      </c>
      <c r="Z1388" s="6" t="n">
        <f aca="false">IF(ISNUMBER(K1388),K1388*O1388,0)</f>
        <v>0</v>
      </c>
      <c r="AA1388" s="2" t="s">
        <v>31</v>
      </c>
      <c r="AB1388" s="6" t="n">
        <v>1956</v>
      </c>
      <c r="AC1388" s="6" t="n">
        <v>1558</v>
      </c>
      <c r="AD1388" s="6" t="n">
        <v>988</v>
      </c>
      <c r="AE1388" s="6" t="n">
        <v>1712.76684570313</v>
      </c>
      <c r="AF1388" s="8" t="n">
        <v>320.810971974</v>
      </c>
      <c r="AG1388" s="11" t="n">
        <v>-0.2285498455</v>
      </c>
      <c r="AH1388" s="12" t="n">
        <v>1</v>
      </c>
      <c r="AI1388" s="2" t="s">
        <v>321</v>
      </c>
      <c r="AJ1388" s="2" t="s">
        <v>3069</v>
      </c>
      <c r="AK1388" s="2" t="s">
        <v>3070</v>
      </c>
    </row>
    <row r="1389" customFormat="false" ht="15" hidden="false" customHeight="false" outlineLevel="0" collapsed="false">
      <c r="A1389" s="9"/>
      <c r="B1389" s="2" t="s">
        <v>3071</v>
      </c>
      <c r="C1389" s="2" t="s">
        <v>3072</v>
      </c>
      <c r="D1389" s="2" t="s">
        <v>3051</v>
      </c>
      <c r="E1389" s="2" t="s">
        <v>51</v>
      </c>
      <c r="F1389" s="2"/>
      <c r="G1389" s="2"/>
      <c r="H1389" s="8"/>
      <c r="I1389" s="2"/>
      <c r="J1389" s="8"/>
      <c r="K1389" s="6"/>
      <c r="L1389" s="2"/>
      <c r="M1389" s="10" t="b">
        <f aca="false">TRUE()</f>
        <v>1</v>
      </c>
      <c r="N1389" s="9" t="str">
        <f aca="false">IF(H1389="","",IF(H1389&gt;=Assumptions!$B$5,1,IF(H1389&gt;=Assumptions!$B$6,2,IF(H1389&gt;=Assumptions!$B$7,3,""))))</f>
        <v/>
      </c>
      <c r="O1389" s="9" t="n">
        <f aca="false">IF(N1389=1,Assumptions!$B$8,IF(N1389=2,Assumptions!$B$9,IF(N1389=3,Assumptions!$B$10,0)))</f>
        <v>0</v>
      </c>
      <c r="P1389" s="6" t="s">
        <v>30</v>
      </c>
      <c r="Q1389" s="6" t="s">
        <v>30</v>
      </c>
      <c r="R1389" s="11" t="s">
        <v>30</v>
      </c>
      <c r="S1389" s="6" t="s">
        <v>30</v>
      </c>
      <c r="T1389" s="11" t="s">
        <v>30</v>
      </c>
      <c r="U1389" s="6" t="s">
        <v>30</v>
      </c>
      <c r="V1389" s="6" t="s">
        <v>30</v>
      </c>
      <c r="W1389" s="6" t="s">
        <v>30</v>
      </c>
      <c r="X1389" s="2" t="s">
        <v>30</v>
      </c>
      <c r="Y1389" s="6" t="str">
        <f aca="false">IF(AND(X1389="processed",ISNUMBER(S1389)),S1389*O1389,"")</f>
        <v/>
      </c>
      <c r="Z1389" s="6" t="n">
        <f aca="false">IF(ISNUMBER(K1389),K1389*O1389,0)</f>
        <v>0</v>
      </c>
      <c r="AA1389" s="2" t="s">
        <v>31</v>
      </c>
      <c r="AB1389" s="6" t="n">
        <v>351</v>
      </c>
      <c r="AC1389" s="6" t="n">
        <v>235</v>
      </c>
      <c r="AD1389" s="6" t="n">
        <v>28</v>
      </c>
      <c r="AE1389" s="6" t="n">
        <v>1369.07019042969</v>
      </c>
      <c r="AF1389" s="8"/>
      <c r="AG1389" s="11"/>
      <c r="AH1389" s="12" t="n">
        <v>0.999598872476145</v>
      </c>
      <c r="AI1389" s="2" t="s">
        <v>1597</v>
      </c>
      <c r="AJ1389" s="2"/>
      <c r="AK1389" s="2" t="s">
        <v>3072</v>
      </c>
    </row>
    <row r="1390" customFormat="false" ht="15" hidden="false" customHeight="false" outlineLevel="0" collapsed="false">
      <c r="A1390" s="9"/>
      <c r="B1390" s="2" t="s">
        <v>3073</v>
      </c>
      <c r="C1390" s="2" t="s">
        <v>3074</v>
      </c>
      <c r="D1390" s="2" t="s">
        <v>3051</v>
      </c>
      <c r="E1390" s="2" t="s">
        <v>51</v>
      </c>
      <c r="F1390" s="2"/>
      <c r="G1390" s="2"/>
      <c r="H1390" s="8"/>
      <c r="I1390" s="2"/>
      <c r="J1390" s="8"/>
      <c r="K1390" s="6"/>
      <c r="L1390" s="2"/>
      <c r="M1390" s="10" t="b">
        <f aca="false">TRUE()</f>
        <v>1</v>
      </c>
      <c r="N1390" s="9" t="str">
        <f aca="false">IF(H1390="","",IF(H1390&gt;=Assumptions!$B$5,1,IF(H1390&gt;=Assumptions!$B$6,2,IF(H1390&gt;=Assumptions!$B$7,3,""))))</f>
        <v/>
      </c>
      <c r="O1390" s="9" t="n">
        <f aca="false">IF(N1390=1,Assumptions!$B$8,IF(N1390=2,Assumptions!$B$9,IF(N1390=3,Assumptions!$B$10,0)))</f>
        <v>0</v>
      </c>
      <c r="P1390" s="6" t="s">
        <v>30</v>
      </c>
      <c r="Q1390" s="6" t="s">
        <v>30</v>
      </c>
      <c r="R1390" s="11" t="s">
        <v>30</v>
      </c>
      <c r="S1390" s="6" t="s">
        <v>30</v>
      </c>
      <c r="T1390" s="11" t="s">
        <v>30</v>
      </c>
      <c r="U1390" s="6" t="s">
        <v>30</v>
      </c>
      <c r="V1390" s="6" t="s">
        <v>30</v>
      </c>
      <c r="W1390" s="6" t="s">
        <v>30</v>
      </c>
      <c r="X1390" s="2" t="s">
        <v>30</v>
      </c>
      <c r="Y1390" s="6" t="str">
        <f aca="false">IF(AND(X1390="processed",ISNUMBER(S1390)),S1390*O1390,"")</f>
        <v/>
      </c>
      <c r="Z1390" s="6" t="n">
        <f aca="false">IF(ISNUMBER(K1390),K1390*O1390,0)</f>
        <v>0</v>
      </c>
      <c r="AA1390" s="2" t="s">
        <v>31</v>
      </c>
      <c r="AB1390" s="6" t="n">
        <v>665</v>
      </c>
      <c r="AC1390" s="6" t="n">
        <v>321</v>
      </c>
      <c r="AD1390" s="6" t="n">
        <v>36</v>
      </c>
      <c r="AE1390" s="6" t="n">
        <v>1463.33117675781</v>
      </c>
      <c r="AF1390" s="8"/>
      <c r="AG1390" s="11"/>
      <c r="AH1390" s="12" t="n">
        <v>0.996165800325419</v>
      </c>
      <c r="AI1390" s="2" t="s">
        <v>1597</v>
      </c>
      <c r="AJ1390" s="2"/>
      <c r="AK1390" s="2" t="s">
        <v>3074</v>
      </c>
    </row>
    <row r="1391" customFormat="false" ht="15" hidden="false" customHeight="false" outlineLevel="0" collapsed="false">
      <c r="A1391" s="9"/>
      <c r="B1391" s="2" t="s">
        <v>3075</v>
      </c>
      <c r="C1391" s="2" t="s">
        <v>3076</v>
      </c>
      <c r="D1391" s="2" t="s">
        <v>2837</v>
      </c>
      <c r="E1391" s="2" t="s">
        <v>51</v>
      </c>
      <c r="F1391" s="2"/>
      <c r="G1391" s="2"/>
      <c r="H1391" s="8"/>
      <c r="I1391" s="2"/>
      <c r="J1391" s="8"/>
      <c r="K1391" s="6"/>
      <c r="L1391" s="2"/>
      <c r="M1391" s="10" t="b">
        <f aca="false">TRUE()</f>
        <v>1</v>
      </c>
      <c r="N1391" s="9" t="str">
        <f aca="false">IF(H1391="","",IF(H1391&gt;=Assumptions!$B$5,1,IF(H1391&gt;=Assumptions!$B$6,2,IF(H1391&gt;=Assumptions!$B$7,3,""))))</f>
        <v/>
      </c>
      <c r="O1391" s="9" t="n">
        <f aca="false">IF(N1391=1,Assumptions!$B$8,IF(N1391=2,Assumptions!$B$9,IF(N1391=3,Assumptions!$B$10,0)))</f>
        <v>0</v>
      </c>
      <c r="P1391" s="6" t="s">
        <v>30</v>
      </c>
      <c r="Q1391" s="6" t="s">
        <v>30</v>
      </c>
      <c r="R1391" s="11" t="s">
        <v>30</v>
      </c>
      <c r="S1391" s="6" t="s">
        <v>30</v>
      </c>
      <c r="T1391" s="11" t="s">
        <v>30</v>
      </c>
      <c r="U1391" s="6" t="s">
        <v>30</v>
      </c>
      <c r="V1391" s="6" t="s">
        <v>30</v>
      </c>
      <c r="W1391" s="6" t="s">
        <v>30</v>
      </c>
      <c r="X1391" s="2" t="s">
        <v>30</v>
      </c>
      <c r="Y1391" s="6" t="str">
        <f aca="false">IF(AND(X1391="processed",ISNUMBER(S1391)),S1391*O1391,"")</f>
        <v/>
      </c>
      <c r="Z1391" s="6" t="n">
        <f aca="false">IF(ISNUMBER(K1391),K1391*O1391,0)</f>
        <v>0</v>
      </c>
      <c r="AA1391" s="2" t="s">
        <v>31</v>
      </c>
      <c r="AB1391" s="6" t="n">
        <v>180</v>
      </c>
      <c r="AC1391" s="6" t="n">
        <v>131</v>
      </c>
      <c r="AD1391" s="6" t="n">
        <v>97</v>
      </c>
      <c r="AE1391" s="6" t="n">
        <v>1591.65734863281</v>
      </c>
      <c r="AF1391" s="8"/>
      <c r="AG1391" s="11"/>
      <c r="AH1391" s="12" t="n">
        <v>0.996554369083797</v>
      </c>
      <c r="AI1391" s="2" t="s">
        <v>1597</v>
      </c>
      <c r="AJ1391" s="2"/>
      <c r="AK1391" s="2" t="s">
        <v>3076</v>
      </c>
    </row>
    <row r="1392" customFormat="false" ht="15" hidden="false" customHeight="false" outlineLevel="0" collapsed="false">
      <c r="A1392" s="9"/>
      <c r="B1392" s="2" t="s">
        <v>3077</v>
      </c>
      <c r="C1392" s="2" t="s">
        <v>3078</v>
      </c>
      <c r="D1392" s="2" t="s">
        <v>2837</v>
      </c>
      <c r="E1392" s="2" t="s">
        <v>51</v>
      </c>
      <c r="F1392" s="2"/>
      <c r="G1392" s="2" t="s">
        <v>3032</v>
      </c>
      <c r="H1392" s="8" t="n">
        <v>353.0812829055</v>
      </c>
      <c r="I1392" s="2" t="s">
        <v>316</v>
      </c>
      <c r="J1392" s="8" t="n">
        <v>724428.571428572</v>
      </c>
      <c r="K1392" s="6" t="n">
        <v>14</v>
      </c>
      <c r="L1392" s="2"/>
      <c r="M1392" s="10" t="b">
        <f aca="false">TRUE()</f>
        <v>1</v>
      </c>
      <c r="N1392" s="9" t="str">
        <f aca="false">IF(H1392="","",IF(H1392&gt;=Assumptions!$B$5,1,IF(H1392&gt;=Assumptions!$B$6,2,IF(H1392&gt;=Assumptions!$B$7,3,""))))</f>
        <v/>
      </c>
      <c r="O1392" s="9" t="n">
        <f aca="false">IF(N1392=1,Assumptions!$B$8,IF(N1392=2,Assumptions!$B$9,IF(N1392=3,Assumptions!$B$10,0)))</f>
        <v>0</v>
      </c>
      <c r="P1392" s="6" t="s">
        <v>30</v>
      </c>
      <c r="Q1392" s="6" t="s">
        <v>30</v>
      </c>
      <c r="R1392" s="11" t="s">
        <v>30</v>
      </c>
      <c r="S1392" s="6" t="s">
        <v>30</v>
      </c>
      <c r="T1392" s="11" t="s">
        <v>30</v>
      </c>
      <c r="U1392" s="6" t="s">
        <v>30</v>
      </c>
      <c r="V1392" s="6" t="s">
        <v>30</v>
      </c>
      <c r="W1392" s="6" t="s">
        <v>30</v>
      </c>
      <c r="X1392" s="2" t="s">
        <v>30</v>
      </c>
      <c r="Y1392" s="6" t="str">
        <f aca="false">IF(AND(X1392="processed",ISNUMBER(S1392)),S1392*O1392,"")</f>
        <v/>
      </c>
      <c r="Z1392" s="6" t="n">
        <f aca="false">IF(ISNUMBER(K1392),K1392*O1392,0)</f>
        <v>0</v>
      </c>
      <c r="AA1392" s="2" t="s">
        <v>31</v>
      </c>
      <c r="AB1392" s="6" t="n">
        <v>3205</v>
      </c>
      <c r="AC1392" s="6" t="n">
        <v>2631</v>
      </c>
      <c r="AD1392" s="6" t="n">
        <v>2488</v>
      </c>
      <c r="AE1392" s="6" t="n">
        <v>2243.99536132813</v>
      </c>
      <c r="AF1392" s="8" t="n">
        <v>338.148391333</v>
      </c>
      <c r="AG1392" s="11" t="n">
        <v>-0.02858852707</v>
      </c>
      <c r="AH1392" s="12" t="n">
        <v>0.999259611939384</v>
      </c>
      <c r="AI1392" s="2" t="s">
        <v>317</v>
      </c>
      <c r="AJ1392" s="2" t="s">
        <v>3078</v>
      </c>
      <c r="AK1392" s="2" t="s">
        <v>3078</v>
      </c>
    </row>
    <row r="1393" customFormat="false" ht="15" hidden="false" customHeight="false" outlineLevel="0" collapsed="false">
      <c r="A1393" s="9"/>
      <c r="B1393" s="2" t="s">
        <v>3079</v>
      </c>
      <c r="C1393" s="2" t="s">
        <v>3080</v>
      </c>
      <c r="D1393" s="2" t="s">
        <v>2837</v>
      </c>
      <c r="E1393" s="2" t="s">
        <v>51</v>
      </c>
      <c r="F1393" s="2"/>
      <c r="G1393" s="2" t="s">
        <v>3032</v>
      </c>
      <c r="H1393" s="8" t="n">
        <v>351.24384662575</v>
      </c>
      <c r="I1393" s="2" t="s">
        <v>316</v>
      </c>
      <c r="J1393" s="8" t="n">
        <v>564250</v>
      </c>
      <c r="K1393" s="6" t="n">
        <v>20</v>
      </c>
      <c r="L1393" s="2"/>
      <c r="M1393" s="10" t="b">
        <f aca="false">TRUE()</f>
        <v>1</v>
      </c>
      <c r="N1393" s="9" t="str">
        <f aca="false">IF(H1393="","",IF(H1393&gt;=Assumptions!$B$5,1,IF(H1393&gt;=Assumptions!$B$6,2,IF(H1393&gt;=Assumptions!$B$7,3,""))))</f>
        <v/>
      </c>
      <c r="O1393" s="9" t="n">
        <f aca="false">IF(N1393=1,Assumptions!$B$8,IF(N1393=2,Assumptions!$B$9,IF(N1393=3,Assumptions!$B$10,0)))</f>
        <v>0</v>
      </c>
      <c r="P1393" s="6" t="s">
        <v>30</v>
      </c>
      <c r="Q1393" s="6" t="s">
        <v>30</v>
      </c>
      <c r="R1393" s="11" t="s">
        <v>30</v>
      </c>
      <c r="S1393" s="6" t="s">
        <v>30</v>
      </c>
      <c r="T1393" s="11" t="s">
        <v>30</v>
      </c>
      <c r="U1393" s="6" t="s">
        <v>30</v>
      </c>
      <c r="V1393" s="6" t="s">
        <v>30</v>
      </c>
      <c r="W1393" s="6" t="s">
        <v>30</v>
      </c>
      <c r="X1393" s="2" t="s">
        <v>30</v>
      </c>
      <c r="Y1393" s="6" t="str">
        <f aca="false">IF(AND(X1393="processed",ISNUMBER(S1393)),S1393*O1393,"")</f>
        <v/>
      </c>
      <c r="Z1393" s="6" t="n">
        <f aca="false">IF(ISNUMBER(K1393),K1393*O1393,0)</f>
        <v>0</v>
      </c>
      <c r="AA1393" s="2" t="s">
        <v>31</v>
      </c>
      <c r="AB1393" s="6" t="n">
        <v>1729</v>
      </c>
      <c r="AC1393" s="6" t="n">
        <v>1503</v>
      </c>
      <c r="AD1393" s="6" t="n">
        <v>238</v>
      </c>
      <c r="AE1393" s="6" t="n">
        <v>2301.69995117188</v>
      </c>
      <c r="AF1393" s="8" t="n">
        <v>358.117326057</v>
      </c>
      <c r="AG1393" s="11" t="n">
        <v>0.01592375102</v>
      </c>
      <c r="AH1393" s="12" t="n">
        <v>1</v>
      </c>
      <c r="AI1393" s="2" t="s">
        <v>317</v>
      </c>
      <c r="AJ1393" s="2" t="s">
        <v>3080</v>
      </c>
      <c r="AK1393" s="2" t="s">
        <v>3080</v>
      </c>
    </row>
    <row r="1394" customFormat="false" ht="15" hidden="false" customHeight="false" outlineLevel="0" collapsed="false">
      <c r="A1394" s="9"/>
      <c r="B1394" s="2" t="s">
        <v>3081</v>
      </c>
      <c r="C1394" s="2" t="s">
        <v>3048</v>
      </c>
      <c r="D1394" s="2" t="s">
        <v>2837</v>
      </c>
      <c r="E1394" s="2" t="s">
        <v>51</v>
      </c>
      <c r="F1394" s="2"/>
      <c r="G1394" s="2" t="s">
        <v>3032</v>
      </c>
      <c r="H1394" s="8" t="n">
        <v>338.329645850611</v>
      </c>
      <c r="I1394" s="2" t="s">
        <v>316</v>
      </c>
      <c r="J1394" s="8" t="n">
        <v>490654.580152672</v>
      </c>
      <c r="K1394" s="6" t="n">
        <v>262</v>
      </c>
      <c r="L1394" s="2"/>
      <c r="M1394" s="10" t="b">
        <f aca="false">TRUE()</f>
        <v>1</v>
      </c>
      <c r="N1394" s="9" t="str">
        <f aca="false">IF(H1394="","",IF(H1394&gt;=Assumptions!$B$5,1,IF(H1394&gt;=Assumptions!$B$6,2,IF(H1394&gt;=Assumptions!$B$7,3,""))))</f>
        <v/>
      </c>
      <c r="O1394" s="9" t="n">
        <f aca="false">IF(N1394=1,Assumptions!$B$8,IF(N1394=2,Assumptions!$B$9,IF(N1394=3,Assumptions!$B$10,0)))</f>
        <v>0</v>
      </c>
      <c r="P1394" s="6" t="s">
        <v>30</v>
      </c>
      <c r="Q1394" s="6" t="s">
        <v>30</v>
      </c>
      <c r="R1394" s="11" t="s">
        <v>30</v>
      </c>
      <c r="S1394" s="6" t="s">
        <v>30</v>
      </c>
      <c r="T1394" s="11" t="s">
        <v>30</v>
      </c>
      <c r="U1394" s="6" t="s">
        <v>30</v>
      </c>
      <c r="V1394" s="6" t="s">
        <v>30</v>
      </c>
      <c r="W1394" s="6" t="s">
        <v>30</v>
      </c>
      <c r="X1394" s="2" t="s">
        <v>30</v>
      </c>
      <c r="Y1394" s="6" t="str">
        <f aca="false">IF(AND(X1394="processed",ISNUMBER(S1394)),S1394*O1394,"")</f>
        <v/>
      </c>
      <c r="Z1394" s="6" t="n">
        <f aca="false">IF(ISNUMBER(K1394),K1394*O1394,0)</f>
        <v>0</v>
      </c>
      <c r="AA1394" s="2" t="s">
        <v>31</v>
      </c>
      <c r="AB1394" s="6" t="n">
        <v>19619</v>
      </c>
      <c r="AC1394" s="6" t="n">
        <v>16542</v>
      </c>
      <c r="AD1394" s="6" t="n">
        <v>6576</v>
      </c>
      <c r="AE1394" s="6" t="n">
        <v>2104.396484375</v>
      </c>
      <c r="AF1394" s="8" t="n">
        <v>346.385542169</v>
      </c>
      <c r="AG1394" s="11" t="n">
        <v>-0.01330584888</v>
      </c>
      <c r="AH1394" s="12" t="n">
        <v>0.999999999999998</v>
      </c>
      <c r="AI1394" s="2" t="s">
        <v>317</v>
      </c>
      <c r="AJ1394" s="2" t="s">
        <v>3048</v>
      </c>
      <c r="AK1394" s="2" t="s">
        <v>3048</v>
      </c>
    </row>
    <row r="1395" customFormat="false" ht="15" hidden="false" customHeight="false" outlineLevel="0" collapsed="false">
      <c r="A1395" s="9"/>
      <c r="B1395" s="2" t="s">
        <v>3082</v>
      </c>
      <c r="C1395" s="2" t="s">
        <v>3048</v>
      </c>
      <c r="D1395" s="2" t="s">
        <v>2837</v>
      </c>
      <c r="E1395" s="2" t="s">
        <v>51</v>
      </c>
      <c r="F1395" s="2"/>
      <c r="G1395" s="2" t="s">
        <v>3032</v>
      </c>
      <c r="H1395" s="8" t="n">
        <v>315.5595368951</v>
      </c>
      <c r="I1395" s="2" t="s">
        <v>316</v>
      </c>
      <c r="J1395" s="8" t="n">
        <v>612342.724137931</v>
      </c>
      <c r="K1395" s="6" t="n">
        <v>319</v>
      </c>
      <c r="L1395" s="2"/>
      <c r="M1395" s="10" t="b">
        <f aca="false">TRUE()</f>
        <v>1</v>
      </c>
      <c r="N1395" s="9" t="str">
        <f aca="false">IF(H1395="","",IF(H1395&gt;=Assumptions!$B$5,1,IF(H1395&gt;=Assumptions!$B$6,2,IF(H1395&gt;=Assumptions!$B$7,3,""))))</f>
        <v/>
      </c>
      <c r="O1395" s="9" t="n">
        <f aca="false">IF(N1395=1,Assumptions!$B$8,IF(N1395=2,Assumptions!$B$9,IF(N1395=3,Assumptions!$B$10,0)))</f>
        <v>0</v>
      </c>
      <c r="P1395" s="6" t="s">
        <v>30</v>
      </c>
      <c r="Q1395" s="6" t="s">
        <v>30</v>
      </c>
      <c r="R1395" s="11" t="s">
        <v>30</v>
      </c>
      <c r="S1395" s="6" t="s">
        <v>30</v>
      </c>
      <c r="T1395" s="11" t="s">
        <v>30</v>
      </c>
      <c r="U1395" s="6" t="s">
        <v>30</v>
      </c>
      <c r="V1395" s="6" t="s">
        <v>30</v>
      </c>
      <c r="W1395" s="6" t="s">
        <v>30</v>
      </c>
      <c r="X1395" s="2" t="s">
        <v>30</v>
      </c>
      <c r="Y1395" s="6" t="str">
        <f aca="false">IF(AND(X1395="processed",ISNUMBER(S1395)),S1395*O1395,"")</f>
        <v/>
      </c>
      <c r="Z1395" s="6" t="n">
        <f aca="false">IF(ISNUMBER(K1395),K1395*O1395,0)</f>
        <v>0</v>
      </c>
      <c r="AA1395" s="2" t="s">
        <v>31</v>
      </c>
      <c r="AB1395" s="6" t="n">
        <v>12664</v>
      </c>
      <c r="AC1395" s="6" t="n">
        <v>11435</v>
      </c>
      <c r="AD1395" s="6" t="n">
        <v>1628</v>
      </c>
      <c r="AE1395" s="6" t="n">
        <v>2638.19165039063</v>
      </c>
      <c r="AF1395" s="8" t="n">
        <v>315.998555435</v>
      </c>
      <c r="AG1395" s="11" t="n">
        <v>0.03451538855</v>
      </c>
      <c r="AH1395" s="12" t="n">
        <v>1</v>
      </c>
      <c r="AI1395" s="2" t="s">
        <v>317</v>
      </c>
      <c r="AJ1395" s="2" t="s">
        <v>3048</v>
      </c>
      <c r="AK1395" s="2" t="s">
        <v>3048</v>
      </c>
    </row>
    <row r="1396" customFormat="false" ht="15" hidden="false" customHeight="false" outlineLevel="0" collapsed="false">
      <c r="A1396" s="9"/>
      <c r="B1396" s="2" t="s">
        <v>3083</v>
      </c>
      <c r="C1396" s="2" t="s">
        <v>3084</v>
      </c>
      <c r="D1396" s="2" t="s">
        <v>3051</v>
      </c>
      <c r="E1396" s="2" t="s">
        <v>51</v>
      </c>
      <c r="F1396" s="2"/>
      <c r="G1396" s="2"/>
      <c r="H1396" s="8"/>
      <c r="I1396" s="2"/>
      <c r="J1396" s="8"/>
      <c r="K1396" s="6"/>
      <c r="L1396" s="2"/>
      <c r="M1396" s="10" t="b">
        <f aca="false">TRUE()</f>
        <v>1</v>
      </c>
      <c r="N1396" s="9" t="str">
        <f aca="false">IF(H1396="","",IF(H1396&gt;=Assumptions!$B$5,1,IF(H1396&gt;=Assumptions!$B$6,2,IF(H1396&gt;=Assumptions!$B$7,3,""))))</f>
        <v/>
      </c>
      <c r="O1396" s="9" t="n">
        <f aca="false">IF(N1396=1,Assumptions!$B$8,IF(N1396=2,Assumptions!$B$9,IF(N1396=3,Assumptions!$B$10,0)))</f>
        <v>0</v>
      </c>
      <c r="P1396" s="6" t="s">
        <v>30</v>
      </c>
      <c r="Q1396" s="6" t="s">
        <v>30</v>
      </c>
      <c r="R1396" s="11" t="s">
        <v>30</v>
      </c>
      <c r="S1396" s="6" t="s">
        <v>30</v>
      </c>
      <c r="T1396" s="11" t="s">
        <v>30</v>
      </c>
      <c r="U1396" s="6" t="s">
        <v>30</v>
      </c>
      <c r="V1396" s="6" t="s">
        <v>30</v>
      </c>
      <c r="W1396" s="6" t="s">
        <v>30</v>
      </c>
      <c r="X1396" s="2" t="s">
        <v>30</v>
      </c>
      <c r="Y1396" s="6" t="str">
        <f aca="false">IF(AND(X1396="processed",ISNUMBER(S1396)),S1396*O1396,"")</f>
        <v/>
      </c>
      <c r="Z1396" s="6" t="n">
        <f aca="false">IF(ISNUMBER(K1396),K1396*O1396,0)</f>
        <v>0</v>
      </c>
      <c r="AA1396" s="2" t="s">
        <v>31</v>
      </c>
      <c r="AB1396" s="6" t="n">
        <v>2549</v>
      </c>
      <c r="AC1396" s="6" t="n">
        <v>1718</v>
      </c>
      <c r="AD1396" s="6" t="n">
        <v>303</v>
      </c>
      <c r="AE1396" s="6" t="n">
        <v>1549.11730957031</v>
      </c>
      <c r="AF1396" s="8"/>
      <c r="AG1396" s="11"/>
      <c r="AH1396" s="12" t="n">
        <v>0.999797276893282</v>
      </c>
      <c r="AI1396" s="2" t="s">
        <v>319</v>
      </c>
      <c r="AJ1396" s="2"/>
      <c r="AK1396" s="2" t="s">
        <v>3084</v>
      </c>
    </row>
    <row r="1397" customFormat="false" ht="15" hidden="false" customHeight="false" outlineLevel="0" collapsed="false">
      <c r="A1397" s="9"/>
      <c r="B1397" s="2" t="s">
        <v>3085</v>
      </c>
      <c r="C1397" s="2" t="s">
        <v>3086</v>
      </c>
      <c r="D1397" s="2" t="s">
        <v>3051</v>
      </c>
      <c r="E1397" s="2" t="s">
        <v>51</v>
      </c>
      <c r="F1397" s="2"/>
      <c r="G1397" s="2"/>
      <c r="H1397" s="8"/>
      <c r="I1397" s="2"/>
      <c r="J1397" s="8"/>
      <c r="K1397" s="6"/>
      <c r="L1397" s="2"/>
      <c r="M1397" s="10" t="b">
        <f aca="false">TRUE()</f>
        <v>1</v>
      </c>
      <c r="N1397" s="9" t="str">
        <f aca="false">IF(H1397="","",IF(H1397&gt;=Assumptions!$B$5,1,IF(H1397&gt;=Assumptions!$B$6,2,IF(H1397&gt;=Assumptions!$B$7,3,""))))</f>
        <v/>
      </c>
      <c r="O1397" s="9" t="n">
        <f aca="false">IF(N1397=1,Assumptions!$B$8,IF(N1397=2,Assumptions!$B$9,IF(N1397=3,Assumptions!$B$10,0)))</f>
        <v>0</v>
      </c>
      <c r="P1397" s="6" t="s">
        <v>30</v>
      </c>
      <c r="Q1397" s="6" t="s">
        <v>30</v>
      </c>
      <c r="R1397" s="11" t="s">
        <v>30</v>
      </c>
      <c r="S1397" s="6" t="s">
        <v>30</v>
      </c>
      <c r="T1397" s="11" t="s">
        <v>30</v>
      </c>
      <c r="U1397" s="6" t="s">
        <v>30</v>
      </c>
      <c r="V1397" s="6" t="s">
        <v>30</v>
      </c>
      <c r="W1397" s="6" t="s">
        <v>30</v>
      </c>
      <c r="X1397" s="2" t="s">
        <v>30</v>
      </c>
      <c r="Y1397" s="6" t="str">
        <f aca="false">IF(AND(X1397="processed",ISNUMBER(S1397)),S1397*O1397,"")</f>
        <v/>
      </c>
      <c r="Z1397" s="6" t="n">
        <f aca="false">IF(ISNUMBER(K1397),K1397*O1397,0)</f>
        <v>0</v>
      </c>
      <c r="AA1397" s="2" t="s">
        <v>31</v>
      </c>
      <c r="AB1397" s="6" t="n">
        <v>2253</v>
      </c>
      <c r="AC1397" s="6" t="n">
        <v>1291</v>
      </c>
      <c r="AD1397" s="6" t="n">
        <v>210</v>
      </c>
      <c r="AE1397" s="6" t="n">
        <v>1452.14697265625</v>
      </c>
      <c r="AF1397" s="8"/>
      <c r="AG1397" s="11"/>
      <c r="AH1397" s="12" t="n">
        <v>0.999999999999999</v>
      </c>
      <c r="AI1397" s="2" t="s">
        <v>1597</v>
      </c>
      <c r="AJ1397" s="2"/>
      <c r="AK1397" s="2" t="s">
        <v>3086</v>
      </c>
    </row>
    <row r="1398" customFormat="false" ht="15" hidden="false" customHeight="false" outlineLevel="0" collapsed="false">
      <c r="A1398" s="9"/>
      <c r="B1398" s="2" t="s">
        <v>3087</v>
      </c>
      <c r="C1398" s="2" t="s">
        <v>3088</v>
      </c>
      <c r="D1398" s="2" t="s">
        <v>3051</v>
      </c>
      <c r="E1398" s="2" t="s">
        <v>51</v>
      </c>
      <c r="F1398" s="2" t="s">
        <v>3089</v>
      </c>
      <c r="G1398" s="2"/>
      <c r="H1398" s="8"/>
      <c r="I1398" s="2"/>
      <c r="J1398" s="8"/>
      <c r="K1398" s="6"/>
      <c r="L1398" s="2"/>
      <c r="M1398" s="10" t="b">
        <f aca="false">TRUE()</f>
        <v>1</v>
      </c>
      <c r="N1398" s="9" t="str">
        <f aca="false">IF(H1398="","",IF(H1398&gt;=Assumptions!$B$5,1,IF(H1398&gt;=Assumptions!$B$6,2,IF(H1398&gt;=Assumptions!$B$7,3,""))))</f>
        <v/>
      </c>
      <c r="O1398" s="9" t="n">
        <f aca="false">IF(N1398=1,Assumptions!$B$8,IF(N1398=2,Assumptions!$B$9,IF(N1398=3,Assumptions!$B$10,0)))</f>
        <v>0</v>
      </c>
      <c r="P1398" s="6" t="s">
        <v>30</v>
      </c>
      <c r="Q1398" s="6" t="s">
        <v>30</v>
      </c>
      <c r="R1398" s="11" t="s">
        <v>30</v>
      </c>
      <c r="S1398" s="6" t="s">
        <v>30</v>
      </c>
      <c r="T1398" s="11" t="s">
        <v>30</v>
      </c>
      <c r="U1398" s="6" t="s">
        <v>30</v>
      </c>
      <c r="V1398" s="6" t="s">
        <v>30</v>
      </c>
      <c r="W1398" s="6" t="s">
        <v>30</v>
      </c>
      <c r="X1398" s="2" t="s">
        <v>30</v>
      </c>
      <c r="Y1398" s="6" t="str">
        <f aca="false">IF(AND(X1398="processed",ISNUMBER(S1398)),S1398*O1398,"")</f>
        <v/>
      </c>
      <c r="Z1398" s="6" t="n">
        <f aca="false">IF(ISNUMBER(K1398),K1398*O1398,0)</f>
        <v>0</v>
      </c>
      <c r="AA1398" s="2" t="s">
        <v>31</v>
      </c>
      <c r="AB1398" s="6" t="n">
        <v>3782</v>
      </c>
      <c r="AC1398" s="6" t="n">
        <v>3017</v>
      </c>
      <c r="AD1398" s="6" t="n">
        <v>197</v>
      </c>
      <c r="AE1398" s="6" t="n">
        <v>1936.7412109375</v>
      </c>
      <c r="AF1398" s="8"/>
      <c r="AG1398" s="11"/>
      <c r="AH1398" s="12" t="n">
        <v>0.999296538251058</v>
      </c>
      <c r="AI1398" s="2" t="s">
        <v>1597</v>
      </c>
      <c r="AJ1398" s="2"/>
      <c r="AK1398" s="2" t="s">
        <v>3088</v>
      </c>
    </row>
    <row r="1399" customFormat="false" ht="15" hidden="false" customHeight="false" outlineLevel="0" collapsed="false">
      <c r="A1399" s="9"/>
      <c r="B1399" s="2" t="s">
        <v>3090</v>
      </c>
      <c r="C1399" s="2" t="s">
        <v>3091</v>
      </c>
      <c r="D1399" s="2" t="s">
        <v>3051</v>
      </c>
      <c r="E1399" s="2" t="s">
        <v>51</v>
      </c>
      <c r="F1399" s="2"/>
      <c r="G1399" s="2"/>
      <c r="H1399" s="8"/>
      <c r="I1399" s="2"/>
      <c r="J1399" s="8"/>
      <c r="K1399" s="6"/>
      <c r="L1399" s="2"/>
      <c r="M1399" s="10" t="b">
        <f aca="false">TRUE()</f>
        <v>1</v>
      </c>
      <c r="N1399" s="9" t="str">
        <f aca="false">IF(H1399="","",IF(H1399&gt;=Assumptions!$B$5,1,IF(H1399&gt;=Assumptions!$B$6,2,IF(H1399&gt;=Assumptions!$B$7,3,""))))</f>
        <v/>
      </c>
      <c r="O1399" s="9" t="n">
        <f aca="false">IF(N1399=1,Assumptions!$B$8,IF(N1399=2,Assumptions!$B$9,IF(N1399=3,Assumptions!$B$10,0)))</f>
        <v>0</v>
      </c>
      <c r="P1399" s="6" t="s">
        <v>30</v>
      </c>
      <c r="Q1399" s="6" t="s">
        <v>30</v>
      </c>
      <c r="R1399" s="11" t="s">
        <v>30</v>
      </c>
      <c r="S1399" s="6" t="s">
        <v>30</v>
      </c>
      <c r="T1399" s="11" t="s">
        <v>30</v>
      </c>
      <c r="U1399" s="6" t="s">
        <v>30</v>
      </c>
      <c r="V1399" s="6" t="s">
        <v>30</v>
      </c>
      <c r="W1399" s="6" t="s">
        <v>30</v>
      </c>
      <c r="X1399" s="2" t="s">
        <v>30</v>
      </c>
      <c r="Y1399" s="6" t="str">
        <f aca="false">IF(AND(X1399="processed",ISNUMBER(S1399)),S1399*O1399,"")</f>
        <v/>
      </c>
      <c r="Z1399" s="6" t="n">
        <f aca="false">IF(ISNUMBER(K1399),K1399*O1399,0)</f>
        <v>0</v>
      </c>
      <c r="AA1399" s="2" t="s">
        <v>31</v>
      </c>
      <c r="AB1399" s="6" t="n">
        <v>568</v>
      </c>
      <c r="AC1399" s="6" t="n">
        <v>344</v>
      </c>
      <c r="AD1399" s="6" t="n">
        <v>38</v>
      </c>
      <c r="AE1399" s="6" t="n">
        <v>1374.0712890625</v>
      </c>
      <c r="AF1399" s="8"/>
      <c r="AG1399" s="11"/>
      <c r="AH1399" s="12" t="n">
        <v>0.999999999999997</v>
      </c>
      <c r="AI1399" s="2" t="s">
        <v>1597</v>
      </c>
      <c r="AJ1399" s="2"/>
      <c r="AK1399" s="2" t="s">
        <v>3091</v>
      </c>
    </row>
    <row r="1400" customFormat="false" ht="15" hidden="false" customHeight="false" outlineLevel="0" collapsed="false">
      <c r="A1400" s="9"/>
      <c r="B1400" s="2" t="s">
        <v>3092</v>
      </c>
      <c r="C1400" s="2" t="s">
        <v>3093</v>
      </c>
      <c r="D1400" s="2" t="s">
        <v>3051</v>
      </c>
      <c r="E1400" s="2" t="s">
        <v>51</v>
      </c>
      <c r="F1400" s="2"/>
      <c r="G1400" s="2"/>
      <c r="H1400" s="8"/>
      <c r="I1400" s="2"/>
      <c r="J1400" s="8"/>
      <c r="K1400" s="6"/>
      <c r="L1400" s="2"/>
      <c r="M1400" s="10" t="b">
        <f aca="false">TRUE()</f>
        <v>1</v>
      </c>
      <c r="N1400" s="9" t="str">
        <f aca="false">IF(H1400="","",IF(H1400&gt;=Assumptions!$B$5,1,IF(H1400&gt;=Assumptions!$B$6,2,IF(H1400&gt;=Assumptions!$B$7,3,""))))</f>
        <v/>
      </c>
      <c r="O1400" s="9" t="n">
        <f aca="false">IF(N1400=1,Assumptions!$B$8,IF(N1400=2,Assumptions!$B$9,IF(N1400=3,Assumptions!$B$10,0)))</f>
        <v>0</v>
      </c>
      <c r="P1400" s="6" t="s">
        <v>30</v>
      </c>
      <c r="Q1400" s="6" t="s">
        <v>30</v>
      </c>
      <c r="R1400" s="11" t="s">
        <v>30</v>
      </c>
      <c r="S1400" s="6" t="s">
        <v>30</v>
      </c>
      <c r="T1400" s="11" t="s">
        <v>30</v>
      </c>
      <c r="U1400" s="6" t="s">
        <v>30</v>
      </c>
      <c r="V1400" s="6" t="s">
        <v>30</v>
      </c>
      <c r="W1400" s="6" t="s">
        <v>30</v>
      </c>
      <c r="X1400" s="2" t="s">
        <v>30</v>
      </c>
      <c r="Y1400" s="6" t="str">
        <f aca="false">IF(AND(X1400="processed",ISNUMBER(S1400)),S1400*O1400,"")</f>
        <v/>
      </c>
      <c r="Z1400" s="6" t="n">
        <f aca="false">IF(ISNUMBER(K1400),K1400*O1400,0)</f>
        <v>0</v>
      </c>
      <c r="AA1400" s="2" t="s">
        <v>31</v>
      </c>
      <c r="AB1400" s="6" t="n">
        <v>3211</v>
      </c>
      <c r="AC1400" s="6" t="n">
        <v>2385</v>
      </c>
      <c r="AD1400" s="6" t="n">
        <v>206</v>
      </c>
      <c r="AE1400" s="6" t="n">
        <v>1694.50036621094</v>
      </c>
      <c r="AF1400" s="8"/>
      <c r="AG1400" s="11"/>
      <c r="AH1400" s="12" t="n">
        <v>0.999999999999998</v>
      </c>
      <c r="AI1400" s="2" t="s">
        <v>1597</v>
      </c>
      <c r="AJ1400" s="2"/>
      <c r="AK1400" s="2" t="s">
        <v>3093</v>
      </c>
    </row>
    <row r="1401" customFormat="false" ht="15" hidden="false" customHeight="false" outlineLevel="0" collapsed="false">
      <c r="A1401" s="9"/>
      <c r="B1401" s="2" t="s">
        <v>3094</v>
      </c>
      <c r="C1401" s="2" t="s">
        <v>3095</v>
      </c>
      <c r="D1401" s="2" t="s">
        <v>3051</v>
      </c>
      <c r="E1401" s="2" t="s">
        <v>51</v>
      </c>
      <c r="F1401" s="2"/>
      <c r="G1401" s="2"/>
      <c r="H1401" s="8"/>
      <c r="I1401" s="2"/>
      <c r="J1401" s="8"/>
      <c r="K1401" s="6"/>
      <c r="L1401" s="2"/>
      <c r="M1401" s="10" t="b">
        <f aca="false">TRUE()</f>
        <v>1</v>
      </c>
      <c r="N1401" s="9" t="str">
        <f aca="false">IF(H1401="","",IF(H1401&gt;=Assumptions!$B$5,1,IF(H1401&gt;=Assumptions!$B$6,2,IF(H1401&gt;=Assumptions!$B$7,3,""))))</f>
        <v/>
      </c>
      <c r="O1401" s="9" t="n">
        <f aca="false">IF(N1401=1,Assumptions!$B$8,IF(N1401=2,Assumptions!$B$9,IF(N1401=3,Assumptions!$B$10,0)))</f>
        <v>0</v>
      </c>
      <c r="P1401" s="6" t="s">
        <v>30</v>
      </c>
      <c r="Q1401" s="6" t="s">
        <v>30</v>
      </c>
      <c r="R1401" s="11" t="s">
        <v>30</v>
      </c>
      <c r="S1401" s="6" t="s">
        <v>30</v>
      </c>
      <c r="T1401" s="11" t="s">
        <v>30</v>
      </c>
      <c r="U1401" s="6" t="s">
        <v>30</v>
      </c>
      <c r="V1401" s="6" t="s">
        <v>30</v>
      </c>
      <c r="W1401" s="6" t="s">
        <v>30</v>
      </c>
      <c r="X1401" s="2" t="s">
        <v>30</v>
      </c>
      <c r="Y1401" s="6" t="str">
        <f aca="false">IF(AND(X1401="processed",ISNUMBER(S1401)),S1401*O1401,"")</f>
        <v/>
      </c>
      <c r="Z1401" s="6" t="n">
        <f aca="false">IF(ISNUMBER(K1401),K1401*O1401,0)</f>
        <v>0</v>
      </c>
      <c r="AA1401" s="2" t="s">
        <v>31</v>
      </c>
      <c r="AB1401" s="6" t="n">
        <v>181</v>
      </c>
      <c r="AC1401" s="6" t="n">
        <v>113</v>
      </c>
      <c r="AD1401" s="6" t="n">
        <v>12</v>
      </c>
      <c r="AE1401" s="6" t="n">
        <v>1210.44360351563</v>
      </c>
      <c r="AF1401" s="8"/>
      <c r="AG1401" s="11"/>
      <c r="AH1401" s="12" t="n">
        <v>1</v>
      </c>
      <c r="AI1401" s="2" t="s">
        <v>1597</v>
      </c>
      <c r="AJ1401" s="2"/>
      <c r="AK1401" s="2" t="s">
        <v>3095</v>
      </c>
    </row>
    <row r="1402" customFormat="false" ht="15" hidden="false" customHeight="false" outlineLevel="0" collapsed="false">
      <c r="A1402" s="9"/>
      <c r="B1402" s="2" t="s">
        <v>3096</v>
      </c>
      <c r="C1402" s="2" t="s">
        <v>3097</v>
      </c>
      <c r="D1402" s="2" t="s">
        <v>3051</v>
      </c>
      <c r="E1402" s="2" t="s">
        <v>51</v>
      </c>
      <c r="F1402" s="2"/>
      <c r="G1402" s="2"/>
      <c r="H1402" s="8"/>
      <c r="I1402" s="2"/>
      <c r="J1402" s="8"/>
      <c r="K1402" s="6"/>
      <c r="L1402" s="2"/>
      <c r="M1402" s="10" t="b">
        <f aca="false">TRUE()</f>
        <v>1</v>
      </c>
      <c r="N1402" s="9" t="str">
        <f aca="false">IF(H1402="","",IF(H1402&gt;=Assumptions!$B$5,1,IF(H1402&gt;=Assumptions!$B$6,2,IF(H1402&gt;=Assumptions!$B$7,3,""))))</f>
        <v/>
      </c>
      <c r="O1402" s="9" t="n">
        <f aca="false">IF(N1402=1,Assumptions!$B$8,IF(N1402=2,Assumptions!$B$9,IF(N1402=3,Assumptions!$B$10,0)))</f>
        <v>0</v>
      </c>
      <c r="P1402" s="6" t="s">
        <v>30</v>
      </c>
      <c r="Q1402" s="6" t="s">
        <v>30</v>
      </c>
      <c r="R1402" s="11" t="s">
        <v>30</v>
      </c>
      <c r="S1402" s="6" t="s">
        <v>30</v>
      </c>
      <c r="T1402" s="11" t="s">
        <v>30</v>
      </c>
      <c r="U1402" s="6" t="s">
        <v>30</v>
      </c>
      <c r="V1402" s="6" t="s">
        <v>30</v>
      </c>
      <c r="W1402" s="6" t="s">
        <v>30</v>
      </c>
      <c r="X1402" s="2" t="s">
        <v>30</v>
      </c>
      <c r="Y1402" s="6" t="str">
        <f aca="false">IF(AND(X1402="processed",ISNUMBER(S1402)),S1402*O1402,"")</f>
        <v/>
      </c>
      <c r="Z1402" s="6" t="n">
        <f aca="false">IF(ISNUMBER(K1402),K1402*O1402,0)</f>
        <v>0</v>
      </c>
      <c r="AA1402" s="2" t="s">
        <v>31</v>
      </c>
      <c r="AB1402" s="6" t="n">
        <v>790</v>
      </c>
      <c r="AC1402" s="6" t="n">
        <v>522</v>
      </c>
      <c r="AD1402" s="6" t="n">
        <v>35</v>
      </c>
      <c r="AE1402" s="6" t="n">
        <v>1499.90673828125</v>
      </c>
      <c r="AF1402" s="8"/>
      <c r="AG1402" s="11"/>
      <c r="AH1402" s="12" t="n">
        <v>0.998354279952738</v>
      </c>
      <c r="AI1402" s="2" t="s">
        <v>1597</v>
      </c>
      <c r="AJ1402" s="2"/>
      <c r="AK1402" s="2" t="s">
        <v>3097</v>
      </c>
    </row>
    <row r="1403" customFormat="false" ht="15" hidden="false" customHeight="false" outlineLevel="0" collapsed="false">
      <c r="A1403" s="9"/>
      <c r="B1403" s="2" t="s">
        <v>3098</v>
      </c>
      <c r="C1403" s="2" t="s">
        <v>3099</v>
      </c>
      <c r="D1403" s="2" t="s">
        <v>3051</v>
      </c>
      <c r="E1403" s="2" t="s">
        <v>51</v>
      </c>
      <c r="F1403" s="2"/>
      <c r="G1403" s="2"/>
      <c r="H1403" s="8"/>
      <c r="I1403" s="2"/>
      <c r="J1403" s="8"/>
      <c r="K1403" s="6"/>
      <c r="L1403" s="2"/>
      <c r="M1403" s="10" t="b">
        <f aca="false">TRUE()</f>
        <v>1</v>
      </c>
      <c r="N1403" s="9" t="str">
        <f aca="false">IF(H1403="","",IF(H1403&gt;=Assumptions!$B$5,1,IF(H1403&gt;=Assumptions!$B$6,2,IF(H1403&gt;=Assumptions!$B$7,3,""))))</f>
        <v/>
      </c>
      <c r="O1403" s="9" t="n">
        <f aca="false">IF(N1403=1,Assumptions!$B$8,IF(N1403=2,Assumptions!$B$9,IF(N1403=3,Assumptions!$B$10,0)))</f>
        <v>0</v>
      </c>
      <c r="P1403" s="6" t="s">
        <v>30</v>
      </c>
      <c r="Q1403" s="6" t="s">
        <v>30</v>
      </c>
      <c r="R1403" s="11" t="s">
        <v>30</v>
      </c>
      <c r="S1403" s="6" t="s">
        <v>30</v>
      </c>
      <c r="T1403" s="11" t="s">
        <v>30</v>
      </c>
      <c r="U1403" s="6" t="s">
        <v>30</v>
      </c>
      <c r="V1403" s="6" t="s">
        <v>30</v>
      </c>
      <c r="W1403" s="6" t="s">
        <v>30</v>
      </c>
      <c r="X1403" s="2" t="s">
        <v>30</v>
      </c>
      <c r="Y1403" s="6" t="str">
        <f aca="false">IF(AND(X1403="processed",ISNUMBER(S1403)),S1403*O1403,"")</f>
        <v/>
      </c>
      <c r="Z1403" s="6" t="n">
        <f aca="false">IF(ISNUMBER(K1403),K1403*O1403,0)</f>
        <v>0</v>
      </c>
      <c r="AA1403" s="2" t="s">
        <v>31</v>
      </c>
      <c r="AB1403" s="6" t="n">
        <v>9857</v>
      </c>
      <c r="AC1403" s="6" t="n">
        <v>7902</v>
      </c>
      <c r="AD1403" s="6" t="n">
        <v>1607</v>
      </c>
      <c r="AE1403" s="6" t="n">
        <v>1989.86352539063</v>
      </c>
      <c r="AF1403" s="8"/>
      <c r="AG1403" s="11"/>
      <c r="AH1403" s="12" t="n">
        <v>0.994274074408423</v>
      </c>
      <c r="AI1403" s="2" t="s">
        <v>1597</v>
      </c>
      <c r="AJ1403" s="2"/>
      <c r="AK1403" s="2" t="s">
        <v>3099</v>
      </c>
    </row>
    <row r="1404" customFormat="false" ht="15" hidden="false" customHeight="false" outlineLevel="0" collapsed="false">
      <c r="A1404" s="9"/>
      <c r="B1404" s="2" t="s">
        <v>3100</v>
      </c>
      <c r="C1404" s="2"/>
      <c r="D1404" s="2" t="s">
        <v>1190</v>
      </c>
      <c r="E1404" s="2" t="s">
        <v>1191</v>
      </c>
      <c r="F1404" s="2"/>
      <c r="G1404" s="2" t="s">
        <v>3032</v>
      </c>
      <c r="H1404" s="8" t="n">
        <v>392.441860465</v>
      </c>
      <c r="I1404" s="2" t="s">
        <v>316</v>
      </c>
      <c r="J1404" s="8" t="n">
        <v>405000</v>
      </c>
      <c r="K1404" s="6" t="n">
        <v>1</v>
      </c>
      <c r="L1404" s="2" t="s">
        <v>1664</v>
      </c>
      <c r="M1404" s="10" t="b">
        <f aca="false">FALSE()</f>
        <v>0</v>
      </c>
      <c r="N1404" s="9" t="str">
        <f aca="false">IF(H1404="","",IF(H1404&gt;=Assumptions!$B$5,1,IF(H1404&gt;=Assumptions!$B$6,2,IF(H1404&gt;=Assumptions!$B$7,3,""))))</f>
        <v/>
      </c>
      <c r="O1404" s="9" t="n">
        <f aca="false">IF(N1404=1,Assumptions!$B$8,IF(N1404=2,Assumptions!$B$9,IF(N1404=3,Assumptions!$B$10,0)))</f>
        <v>0</v>
      </c>
      <c r="P1404" s="6" t="s">
        <v>30</v>
      </c>
      <c r="Q1404" s="6" t="s">
        <v>30</v>
      </c>
      <c r="R1404" s="11" t="s">
        <v>30</v>
      </c>
      <c r="S1404" s="6" t="s">
        <v>30</v>
      </c>
      <c r="T1404" s="11" t="s">
        <v>30</v>
      </c>
      <c r="U1404" s="6" t="s">
        <v>30</v>
      </c>
      <c r="V1404" s="6" t="s">
        <v>30</v>
      </c>
      <c r="W1404" s="6" t="s">
        <v>30</v>
      </c>
      <c r="X1404" s="2" t="s">
        <v>30</v>
      </c>
      <c r="Y1404" s="6" t="str">
        <f aca="false">IF(AND(X1404="processed",ISNUMBER(S1404)),S1404*O1404,"")</f>
        <v/>
      </c>
      <c r="Z1404" s="6" t="n">
        <f aca="false">IF(ISNUMBER(K1404),K1404*O1404,0)</f>
        <v>0</v>
      </c>
      <c r="AA1404" s="2" t="s">
        <v>31</v>
      </c>
      <c r="AB1404" s="6"/>
      <c r="AC1404" s="6"/>
      <c r="AD1404" s="6"/>
      <c r="AE1404" s="6"/>
      <c r="AF1404" s="8" t="n">
        <v>392.441860465</v>
      </c>
      <c r="AG1404" s="11" t="n">
        <v>0.5876057082</v>
      </c>
      <c r="AH1404" s="12"/>
      <c r="AI1404" s="2"/>
      <c r="AJ1404" s="2"/>
      <c r="AK1404" s="2"/>
    </row>
    <row r="1405" customFormat="false" ht="15" hidden="false" customHeight="false" outlineLevel="0" collapsed="false">
      <c r="A1405" s="9"/>
      <c r="B1405" s="2" t="s">
        <v>3101</v>
      </c>
      <c r="C1405" s="2" t="s">
        <v>3102</v>
      </c>
      <c r="D1405" s="2" t="s">
        <v>3051</v>
      </c>
      <c r="E1405" s="2" t="s">
        <v>51</v>
      </c>
      <c r="F1405" s="2"/>
      <c r="G1405" s="2"/>
      <c r="H1405" s="8"/>
      <c r="I1405" s="2"/>
      <c r="J1405" s="8"/>
      <c r="K1405" s="6"/>
      <c r="L1405" s="2"/>
      <c r="M1405" s="10" t="b">
        <f aca="false">TRUE()</f>
        <v>1</v>
      </c>
      <c r="N1405" s="9" t="str">
        <f aca="false">IF(H1405="","",IF(H1405&gt;=Assumptions!$B$5,1,IF(H1405&gt;=Assumptions!$B$6,2,IF(H1405&gt;=Assumptions!$B$7,3,""))))</f>
        <v/>
      </c>
      <c r="O1405" s="9" t="n">
        <f aca="false">IF(N1405=1,Assumptions!$B$8,IF(N1405=2,Assumptions!$B$9,IF(N1405=3,Assumptions!$B$10,0)))</f>
        <v>0</v>
      </c>
      <c r="P1405" s="6" t="s">
        <v>30</v>
      </c>
      <c r="Q1405" s="6" t="s">
        <v>30</v>
      </c>
      <c r="R1405" s="11" t="s">
        <v>30</v>
      </c>
      <c r="S1405" s="6" t="s">
        <v>30</v>
      </c>
      <c r="T1405" s="11" t="s">
        <v>30</v>
      </c>
      <c r="U1405" s="6" t="s">
        <v>30</v>
      </c>
      <c r="V1405" s="6" t="s">
        <v>30</v>
      </c>
      <c r="W1405" s="6" t="s">
        <v>30</v>
      </c>
      <c r="X1405" s="2" t="s">
        <v>30</v>
      </c>
      <c r="Y1405" s="6" t="str">
        <f aca="false">IF(AND(X1405="processed",ISNUMBER(S1405)),S1405*O1405,"")</f>
        <v/>
      </c>
      <c r="Z1405" s="6" t="n">
        <f aca="false">IF(ISNUMBER(K1405),K1405*O1405,0)</f>
        <v>0</v>
      </c>
      <c r="AA1405" s="2" t="s">
        <v>31</v>
      </c>
      <c r="AB1405" s="6" t="n">
        <v>431</v>
      </c>
      <c r="AC1405" s="6" t="n">
        <v>356</v>
      </c>
      <c r="AD1405" s="6" t="n">
        <v>74</v>
      </c>
      <c r="AE1405" s="6" t="n">
        <v>2261.810546875</v>
      </c>
      <c r="AF1405" s="8"/>
      <c r="AG1405" s="11"/>
      <c r="AH1405" s="12" t="n">
        <v>0.999999999999999</v>
      </c>
      <c r="AI1405" s="2" t="s">
        <v>1597</v>
      </c>
      <c r="AJ1405" s="2"/>
      <c r="AK1405" s="2" t="s">
        <v>3102</v>
      </c>
    </row>
    <row r="1406" customFormat="false" ht="15" hidden="false" customHeight="false" outlineLevel="0" collapsed="false">
      <c r="A1406" s="9"/>
      <c r="B1406" s="2" t="s">
        <v>3103</v>
      </c>
      <c r="C1406" s="2" t="s">
        <v>3104</v>
      </c>
      <c r="D1406" s="2" t="s">
        <v>3051</v>
      </c>
      <c r="E1406" s="2" t="s">
        <v>51</v>
      </c>
      <c r="F1406" s="2"/>
      <c r="G1406" s="2"/>
      <c r="H1406" s="8"/>
      <c r="I1406" s="2"/>
      <c r="J1406" s="8"/>
      <c r="K1406" s="6"/>
      <c r="L1406" s="2"/>
      <c r="M1406" s="10" t="b">
        <f aca="false">TRUE()</f>
        <v>1</v>
      </c>
      <c r="N1406" s="9" t="str">
        <f aca="false">IF(H1406="","",IF(H1406&gt;=Assumptions!$B$5,1,IF(H1406&gt;=Assumptions!$B$6,2,IF(H1406&gt;=Assumptions!$B$7,3,""))))</f>
        <v/>
      </c>
      <c r="O1406" s="9" t="n">
        <f aca="false">IF(N1406=1,Assumptions!$B$8,IF(N1406=2,Assumptions!$B$9,IF(N1406=3,Assumptions!$B$10,0)))</f>
        <v>0</v>
      </c>
      <c r="P1406" s="6" t="s">
        <v>30</v>
      </c>
      <c r="Q1406" s="6" t="s">
        <v>30</v>
      </c>
      <c r="R1406" s="11" t="s">
        <v>30</v>
      </c>
      <c r="S1406" s="6" t="s">
        <v>30</v>
      </c>
      <c r="T1406" s="11" t="s">
        <v>30</v>
      </c>
      <c r="U1406" s="6" t="s">
        <v>30</v>
      </c>
      <c r="V1406" s="6" t="s">
        <v>30</v>
      </c>
      <c r="W1406" s="6" t="s">
        <v>30</v>
      </c>
      <c r="X1406" s="2" t="s">
        <v>30</v>
      </c>
      <c r="Y1406" s="6" t="str">
        <f aca="false">IF(AND(X1406="processed",ISNUMBER(S1406)),S1406*O1406,"")</f>
        <v/>
      </c>
      <c r="Z1406" s="6" t="n">
        <f aca="false">IF(ISNUMBER(K1406),K1406*O1406,0)</f>
        <v>0</v>
      </c>
      <c r="AA1406" s="2" t="s">
        <v>31</v>
      </c>
      <c r="AB1406" s="6" t="n">
        <v>2314</v>
      </c>
      <c r="AC1406" s="6" t="n">
        <v>1516</v>
      </c>
      <c r="AD1406" s="6" t="n">
        <v>137</v>
      </c>
      <c r="AE1406" s="6" t="n">
        <v>1379.91723632813</v>
      </c>
      <c r="AF1406" s="8"/>
      <c r="AG1406" s="11"/>
      <c r="AH1406" s="12" t="n">
        <v>0.999331642877629</v>
      </c>
      <c r="AI1406" s="2" t="s">
        <v>1597</v>
      </c>
      <c r="AJ1406" s="2"/>
      <c r="AK1406" s="2" t="s">
        <v>3104</v>
      </c>
    </row>
    <row r="1407" customFormat="false" ht="15" hidden="false" customHeight="false" outlineLevel="0" collapsed="false">
      <c r="A1407" s="9"/>
      <c r="B1407" s="2" t="s">
        <v>3105</v>
      </c>
      <c r="C1407" s="2" t="s">
        <v>3106</v>
      </c>
      <c r="D1407" s="2" t="s">
        <v>3051</v>
      </c>
      <c r="E1407" s="2" t="s">
        <v>51</v>
      </c>
      <c r="F1407" s="2"/>
      <c r="G1407" s="2"/>
      <c r="H1407" s="8"/>
      <c r="I1407" s="2"/>
      <c r="J1407" s="8"/>
      <c r="K1407" s="6"/>
      <c r="L1407" s="2"/>
      <c r="M1407" s="10" t="b">
        <f aca="false">TRUE()</f>
        <v>1</v>
      </c>
      <c r="N1407" s="9" t="str">
        <f aca="false">IF(H1407="","",IF(H1407&gt;=Assumptions!$B$5,1,IF(H1407&gt;=Assumptions!$B$6,2,IF(H1407&gt;=Assumptions!$B$7,3,""))))</f>
        <v/>
      </c>
      <c r="O1407" s="9" t="n">
        <f aca="false">IF(N1407=1,Assumptions!$B$8,IF(N1407=2,Assumptions!$B$9,IF(N1407=3,Assumptions!$B$10,0)))</f>
        <v>0</v>
      </c>
      <c r="P1407" s="6" t="s">
        <v>30</v>
      </c>
      <c r="Q1407" s="6" t="s">
        <v>30</v>
      </c>
      <c r="R1407" s="11" t="s">
        <v>30</v>
      </c>
      <c r="S1407" s="6" t="s">
        <v>30</v>
      </c>
      <c r="T1407" s="11" t="s">
        <v>30</v>
      </c>
      <c r="U1407" s="6" t="s">
        <v>30</v>
      </c>
      <c r="V1407" s="6" t="s">
        <v>30</v>
      </c>
      <c r="W1407" s="6" t="s">
        <v>30</v>
      </c>
      <c r="X1407" s="2" t="s">
        <v>30</v>
      </c>
      <c r="Y1407" s="6" t="str">
        <f aca="false">IF(AND(X1407="processed",ISNUMBER(S1407)),S1407*O1407,"")</f>
        <v/>
      </c>
      <c r="Z1407" s="6" t="n">
        <f aca="false">IF(ISNUMBER(K1407),K1407*O1407,0)</f>
        <v>0</v>
      </c>
      <c r="AA1407" s="2" t="s">
        <v>31</v>
      </c>
      <c r="AB1407" s="6" t="n">
        <v>523</v>
      </c>
      <c r="AC1407" s="6" t="n">
        <v>349</v>
      </c>
      <c r="AD1407" s="6" t="n">
        <v>28</v>
      </c>
      <c r="AE1407" s="6" t="n">
        <v>1234.74548339844</v>
      </c>
      <c r="AF1407" s="8"/>
      <c r="AG1407" s="11"/>
      <c r="AH1407" s="12" t="n">
        <v>1</v>
      </c>
      <c r="AI1407" s="2" t="s">
        <v>1597</v>
      </c>
      <c r="AJ1407" s="2"/>
      <c r="AK1407" s="2" t="s">
        <v>3106</v>
      </c>
    </row>
    <row r="1408" customFormat="false" ht="15" hidden="false" customHeight="false" outlineLevel="0" collapsed="false">
      <c r="A1408" s="9"/>
      <c r="B1408" s="2" t="s">
        <v>3107</v>
      </c>
      <c r="C1408" s="2" t="s">
        <v>3108</v>
      </c>
      <c r="D1408" s="2" t="s">
        <v>2837</v>
      </c>
      <c r="E1408" s="2" t="s">
        <v>51</v>
      </c>
      <c r="F1408" s="2"/>
      <c r="G1408" s="2" t="s">
        <v>3032</v>
      </c>
      <c r="H1408" s="8" t="n">
        <v>316.657535075913</v>
      </c>
      <c r="I1408" s="2" t="s">
        <v>316</v>
      </c>
      <c r="J1408" s="8" t="n">
        <v>652434.782608696</v>
      </c>
      <c r="K1408" s="6" t="n">
        <v>23</v>
      </c>
      <c r="L1408" s="2"/>
      <c r="M1408" s="10" t="b">
        <f aca="false">TRUE()</f>
        <v>1</v>
      </c>
      <c r="N1408" s="9" t="str">
        <f aca="false">IF(H1408="","",IF(H1408&gt;=Assumptions!$B$5,1,IF(H1408&gt;=Assumptions!$B$6,2,IF(H1408&gt;=Assumptions!$B$7,3,""))))</f>
        <v/>
      </c>
      <c r="O1408" s="9" t="n">
        <f aca="false">IF(N1408=1,Assumptions!$B$8,IF(N1408=2,Assumptions!$B$9,IF(N1408=3,Assumptions!$B$10,0)))</f>
        <v>0</v>
      </c>
      <c r="P1408" s="6" t="s">
        <v>30</v>
      </c>
      <c r="Q1408" s="6" t="s">
        <v>30</v>
      </c>
      <c r="R1408" s="11" t="s">
        <v>30</v>
      </c>
      <c r="S1408" s="6" t="s">
        <v>30</v>
      </c>
      <c r="T1408" s="11" t="s">
        <v>30</v>
      </c>
      <c r="U1408" s="6" t="s">
        <v>30</v>
      </c>
      <c r="V1408" s="6" t="s">
        <v>30</v>
      </c>
      <c r="W1408" s="6" t="s">
        <v>30</v>
      </c>
      <c r="X1408" s="2" t="s">
        <v>30</v>
      </c>
      <c r="Y1408" s="6" t="str">
        <f aca="false">IF(AND(X1408="processed",ISNUMBER(S1408)),S1408*O1408,"")</f>
        <v/>
      </c>
      <c r="Z1408" s="6" t="n">
        <f aca="false">IF(ISNUMBER(K1408),K1408*O1408,0)</f>
        <v>0</v>
      </c>
      <c r="AA1408" s="2" t="s">
        <v>31</v>
      </c>
      <c r="AB1408" s="6" t="n">
        <v>1571</v>
      </c>
      <c r="AC1408" s="6" t="n">
        <v>1463</v>
      </c>
      <c r="AD1408" s="6" t="n">
        <v>163</v>
      </c>
      <c r="AE1408" s="6" t="n">
        <v>2539.35229492188</v>
      </c>
      <c r="AF1408" s="8" t="n">
        <v>325.704225352</v>
      </c>
      <c r="AG1408" s="11" t="n">
        <v>-0.05405901668</v>
      </c>
      <c r="AH1408" s="12" t="n">
        <v>1</v>
      </c>
      <c r="AI1408" s="2" t="s">
        <v>317</v>
      </c>
      <c r="AJ1408" s="2" t="s">
        <v>3108</v>
      </c>
      <c r="AK1408" s="2" t="s">
        <v>3048</v>
      </c>
    </row>
    <row r="1409" customFormat="false" ht="15" hidden="false" customHeight="false" outlineLevel="0" collapsed="false">
      <c r="A1409" s="9"/>
      <c r="B1409" s="2" t="s">
        <v>3109</v>
      </c>
      <c r="C1409" s="2"/>
      <c r="D1409" s="2" t="s">
        <v>1190</v>
      </c>
      <c r="E1409" s="2" t="s">
        <v>1191</v>
      </c>
      <c r="F1409" s="2"/>
      <c r="G1409" s="2" t="s">
        <v>3032</v>
      </c>
      <c r="H1409" s="8" t="n">
        <v>206.896551724</v>
      </c>
      <c r="I1409" s="2" t="s">
        <v>316</v>
      </c>
      <c r="J1409" s="8" t="n">
        <v>378000</v>
      </c>
      <c r="K1409" s="6" t="n">
        <v>1</v>
      </c>
      <c r="L1409" s="2" t="s">
        <v>1664</v>
      </c>
      <c r="M1409" s="10" t="b">
        <f aca="false">FALSE()</f>
        <v>0</v>
      </c>
      <c r="N1409" s="9" t="str">
        <f aca="false">IF(H1409="","",IF(H1409&gt;=Assumptions!$B$5,1,IF(H1409&gt;=Assumptions!$B$6,2,IF(H1409&gt;=Assumptions!$B$7,3,""))))</f>
        <v/>
      </c>
      <c r="O1409" s="9" t="n">
        <f aca="false">IF(N1409=1,Assumptions!$B$8,IF(N1409=2,Assumptions!$B$9,IF(N1409=3,Assumptions!$B$10,0)))</f>
        <v>0</v>
      </c>
      <c r="P1409" s="6" t="s">
        <v>30</v>
      </c>
      <c r="Q1409" s="6" t="s">
        <v>30</v>
      </c>
      <c r="R1409" s="11" t="s">
        <v>30</v>
      </c>
      <c r="S1409" s="6" t="s">
        <v>30</v>
      </c>
      <c r="T1409" s="11" t="s">
        <v>30</v>
      </c>
      <c r="U1409" s="6" t="s">
        <v>30</v>
      </c>
      <c r="V1409" s="6" t="s">
        <v>30</v>
      </c>
      <c r="W1409" s="6" t="s">
        <v>30</v>
      </c>
      <c r="X1409" s="2" t="s">
        <v>30</v>
      </c>
      <c r="Y1409" s="6" t="str">
        <f aca="false">IF(AND(X1409="processed",ISNUMBER(S1409)),S1409*O1409,"")</f>
        <v/>
      </c>
      <c r="Z1409" s="6" t="n">
        <f aca="false">IF(ISNUMBER(K1409),K1409*O1409,0)</f>
        <v>0</v>
      </c>
      <c r="AA1409" s="2" t="s">
        <v>31</v>
      </c>
      <c r="AB1409" s="6"/>
      <c r="AC1409" s="6"/>
      <c r="AD1409" s="6"/>
      <c r="AE1409" s="6"/>
      <c r="AF1409" s="8" t="n">
        <v>206.896551724</v>
      </c>
      <c r="AG1409" s="11" t="n">
        <v>-0.1891625616</v>
      </c>
      <c r="AH1409" s="12"/>
      <c r="AI1409" s="2"/>
      <c r="AJ1409" s="2"/>
      <c r="AK1409" s="2"/>
    </row>
    <row r="1410" customFormat="false" ht="15" hidden="false" customHeight="false" outlineLevel="0" collapsed="false">
      <c r="A1410" s="9"/>
      <c r="B1410" s="2" t="s">
        <v>3110</v>
      </c>
      <c r="C1410" s="2" t="s">
        <v>3111</v>
      </c>
      <c r="D1410" s="2" t="s">
        <v>2765</v>
      </c>
      <c r="E1410" s="2" t="s">
        <v>51</v>
      </c>
      <c r="F1410" s="2"/>
      <c r="G1410" s="2" t="s">
        <v>2766</v>
      </c>
      <c r="H1410" s="8" t="n">
        <v>270.511107062398</v>
      </c>
      <c r="I1410" s="2" t="s">
        <v>316</v>
      </c>
      <c r="J1410" s="8" t="n">
        <v>445315.352697095</v>
      </c>
      <c r="K1410" s="6" t="n">
        <v>241</v>
      </c>
      <c r="L1410" s="2"/>
      <c r="M1410" s="10" t="b">
        <f aca="false">TRUE()</f>
        <v>1</v>
      </c>
      <c r="N1410" s="9" t="str">
        <f aca="false">IF(H1410="","",IF(H1410&gt;=Assumptions!$B$5,1,IF(H1410&gt;=Assumptions!$B$6,2,IF(H1410&gt;=Assumptions!$B$7,3,""))))</f>
        <v/>
      </c>
      <c r="O1410" s="9" t="n">
        <f aca="false">IF(N1410=1,Assumptions!$B$8,IF(N1410=2,Assumptions!$B$9,IF(N1410=3,Assumptions!$B$10,0)))</f>
        <v>0</v>
      </c>
      <c r="P1410" s="6" t="s">
        <v>30</v>
      </c>
      <c r="Q1410" s="6" t="s">
        <v>30</v>
      </c>
      <c r="R1410" s="11" t="s">
        <v>30</v>
      </c>
      <c r="S1410" s="6" t="s">
        <v>30</v>
      </c>
      <c r="T1410" s="11" t="s">
        <v>30</v>
      </c>
      <c r="U1410" s="6" t="s">
        <v>30</v>
      </c>
      <c r="V1410" s="6" t="s">
        <v>30</v>
      </c>
      <c r="W1410" s="6" t="s">
        <v>30</v>
      </c>
      <c r="X1410" s="2" t="s">
        <v>30</v>
      </c>
      <c r="Y1410" s="6" t="str">
        <f aca="false">IF(AND(X1410="processed",ISNUMBER(S1410)),S1410*O1410,"")</f>
        <v/>
      </c>
      <c r="Z1410" s="6" t="n">
        <f aca="false">IF(ISNUMBER(K1410),K1410*O1410,0)</f>
        <v>0</v>
      </c>
      <c r="AA1410" s="2" t="s">
        <v>31</v>
      </c>
      <c r="AB1410" s="6" t="n">
        <v>15737</v>
      </c>
      <c r="AC1410" s="6" t="n">
        <v>13734</v>
      </c>
      <c r="AD1410" s="6" t="n">
        <v>14117</v>
      </c>
      <c r="AE1410" s="6" t="n">
        <v>2514.72509765625</v>
      </c>
      <c r="AF1410" s="8" t="n">
        <v>277.300678699</v>
      </c>
      <c r="AG1410" s="11" t="n">
        <v>0.0354202571</v>
      </c>
      <c r="AH1410" s="12" t="n">
        <v>1</v>
      </c>
      <c r="AI1410" s="2" t="s">
        <v>350</v>
      </c>
      <c r="AJ1410" s="2" t="s">
        <v>3111</v>
      </c>
      <c r="AK1410" s="2" t="s">
        <v>3111</v>
      </c>
    </row>
    <row r="1411" customFormat="false" ht="15" hidden="false" customHeight="false" outlineLevel="0" collapsed="false">
      <c r="A1411" s="9"/>
      <c r="B1411" s="2" t="s">
        <v>3112</v>
      </c>
      <c r="C1411" s="2" t="s">
        <v>3113</v>
      </c>
      <c r="D1411" s="2" t="s">
        <v>2765</v>
      </c>
      <c r="E1411" s="2" t="s">
        <v>51</v>
      </c>
      <c r="F1411" s="2"/>
      <c r="G1411" s="2"/>
      <c r="H1411" s="8"/>
      <c r="I1411" s="2"/>
      <c r="J1411" s="8"/>
      <c r="K1411" s="6"/>
      <c r="L1411" s="2"/>
      <c r="M1411" s="10" t="b">
        <f aca="false">TRUE()</f>
        <v>1</v>
      </c>
      <c r="N1411" s="9" t="str">
        <f aca="false">IF(H1411="","",IF(H1411&gt;=Assumptions!$B$5,1,IF(H1411&gt;=Assumptions!$B$6,2,IF(H1411&gt;=Assumptions!$B$7,3,""))))</f>
        <v/>
      </c>
      <c r="O1411" s="9" t="n">
        <f aca="false">IF(N1411=1,Assumptions!$B$8,IF(N1411=2,Assumptions!$B$9,IF(N1411=3,Assumptions!$B$10,0)))</f>
        <v>0</v>
      </c>
      <c r="P1411" s="6" t="s">
        <v>30</v>
      </c>
      <c r="Q1411" s="6" t="s">
        <v>30</v>
      </c>
      <c r="R1411" s="11" t="s">
        <v>30</v>
      </c>
      <c r="S1411" s="6" t="s">
        <v>30</v>
      </c>
      <c r="T1411" s="11" t="s">
        <v>30</v>
      </c>
      <c r="U1411" s="6" t="s">
        <v>30</v>
      </c>
      <c r="V1411" s="6" t="s">
        <v>30</v>
      </c>
      <c r="W1411" s="6" t="s">
        <v>30</v>
      </c>
      <c r="X1411" s="2" t="s">
        <v>30</v>
      </c>
      <c r="Y1411" s="6" t="str">
        <f aca="false">IF(AND(X1411="processed",ISNUMBER(S1411)),S1411*O1411,"")</f>
        <v/>
      </c>
      <c r="Z1411" s="6" t="n">
        <f aca="false">IF(ISNUMBER(K1411),K1411*O1411,0)</f>
        <v>0</v>
      </c>
      <c r="AA1411" s="2" t="s">
        <v>31</v>
      </c>
      <c r="AB1411" s="6" t="n">
        <v>913</v>
      </c>
      <c r="AC1411" s="6" t="n">
        <v>635</v>
      </c>
      <c r="AD1411" s="6" t="n">
        <v>720</v>
      </c>
      <c r="AE1411" s="6" t="n">
        <v>1930.68005371094</v>
      </c>
      <c r="AF1411" s="8"/>
      <c r="AG1411" s="11"/>
      <c r="AH1411" s="12" t="n">
        <v>0.999994835579658</v>
      </c>
      <c r="AI1411" s="2" t="s">
        <v>317</v>
      </c>
      <c r="AJ1411" s="2" t="s">
        <v>3113</v>
      </c>
      <c r="AK1411" s="2" t="s">
        <v>3114</v>
      </c>
    </row>
    <row r="1412" customFormat="false" ht="15" hidden="false" customHeight="false" outlineLevel="0" collapsed="false">
      <c r="A1412" s="9"/>
      <c r="B1412" s="2" t="s">
        <v>3115</v>
      </c>
      <c r="C1412" s="2" t="s">
        <v>3116</v>
      </c>
      <c r="D1412" s="2" t="s">
        <v>2837</v>
      </c>
      <c r="E1412" s="2" t="s">
        <v>51</v>
      </c>
      <c r="F1412" s="2" t="s">
        <v>3117</v>
      </c>
      <c r="G1412" s="2" t="s">
        <v>3032</v>
      </c>
      <c r="H1412" s="8" t="n">
        <v>336.896470365016</v>
      </c>
      <c r="I1412" s="2" t="s">
        <v>316</v>
      </c>
      <c r="J1412" s="8" t="n">
        <v>905952.380952381</v>
      </c>
      <c r="K1412" s="6" t="n">
        <v>63</v>
      </c>
      <c r="L1412" s="2"/>
      <c r="M1412" s="10" t="b">
        <f aca="false">TRUE()</f>
        <v>1</v>
      </c>
      <c r="N1412" s="9" t="str">
        <f aca="false">IF(H1412="","",IF(H1412&gt;=Assumptions!$B$5,1,IF(H1412&gt;=Assumptions!$B$6,2,IF(H1412&gt;=Assumptions!$B$7,3,""))))</f>
        <v/>
      </c>
      <c r="O1412" s="9" t="n">
        <f aca="false">IF(N1412=1,Assumptions!$B$8,IF(N1412=2,Assumptions!$B$9,IF(N1412=3,Assumptions!$B$10,0)))</f>
        <v>0</v>
      </c>
      <c r="P1412" s="6" t="s">
        <v>30</v>
      </c>
      <c r="Q1412" s="6" t="s">
        <v>30</v>
      </c>
      <c r="R1412" s="11" t="s">
        <v>30</v>
      </c>
      <c r="S1412" s="6" t="s">
        <v>30</v>
      </c>
      <c r="T1412" s="11" t="s">
        <v>30</v>
      </c>
      <c r="U1412" s="6" t="s">
        <v>30</v>
      </c>
      <c r="V1412" s="6" t="s">
        <v>30</v>
      </c>
      <c r="W1412" s="6" t="s">
        <v>30</v>
      </c>
      <c r="X1412" s="2" t="s">
        <v>30</v>
      </c>
      <c r="Y1412" s="6" t="str">
        <f aca="false">IF(AND(X1412="processed",ISNUMBER(S1412)),S1412*O1412,"")</f>
        <v/>
      </c>
      <c r="Z1412" s="6" t="n">
        <f aca="false">IF(ISNUMBER(K1412),K1412*O1412,0)</f>
        <v>0</v>
      </c>
      <c r="AA1412" s="2" t="s">
        <v>31</v>
      </c>
      <c r="AB1412" s="6" t="n">
        <v>8216</v>
      </c>
      <c r="AC1412" s="6" t="n">
        <v>6622</v>
      </c>
      <c r="AD1412" s="6" t="n">
        <v>3914</v>
      </c>
      <c r="AE1412" s="6" t="n">
        <v>2193.11108398438</v>
      </c>
      <c r="AF1412" s="8" t="n">
        <v>321.100917431</v>
      </c>
      <c r="AG1412" s="11" t="n">
        <v>-0.1087312938</v>
      </c>
      <c r="AH1412" s="12" t="n">
        <v>0.999369146043258</v>
      </c>
      <c r="AI1412" s="2" t="s">
        <v>317</v>
      </c>
      <c r="AJ1412" s="2" t="s">
        <v>3116</v>
      </c>
      <c r="AK1412" s="2" t="s">
        <v>3116</v>
      </c>
    </row>
    <row r="1413" customFormat="false" ht="15" hidden="false" customHeight="false" outlineLevel="0" collapsed="false">
      <c r="A1413" s="9"/>
      <c r="B1413" s="2" t="s">
        <v>3118</v>
      </c>
      <c r="C1413" s="2" t="s">
        <v>3119</v>
      </c>
      <c r="D1413" s="2" t="s">
        <v>3120</v>
      </c>
      <c r="E1413" s="2" t="s">
        <v>51</v>
      </c>
      <c r="F1413" s="2"/>
      <c r="G1413" s="2"/>
      <c r="H1413" s="8"/>
      <c r="I1413" s="2"/>
      <c r="J1413" s="8"/>
      <c r="K1413" s="6"/>
      <c r="L1413" s="2"/>
      <c r="M1413" s="10" t="b">
        <f aca="false">TRUE()</f>
        <v>1</v>
      </c>
      <c r="N1413" s="9" t="str">
        <f aca="false">IF(H1413="","",IF(H1413&gt;=Assumptions!$B$5,1,IF(H1413&gt;=Assumptions!$B$6,2,IF(H1413&gt;=Assumptions!$B$7,3,""))))</f>
        <v/>
      </c>
      <c r="O1413" s="9" t="n">
        <f aca="false">IF(N1413=1,Assumptions!$B$8,IF(N1413=2,Assumptions!$B$9,IF(N1413=3,Assumptions!$B$10,0)))</f>
        <v>0</v>
      </c>
      <c r="P1413" s="6" t="s">
        <v>30</v>
      </c>
      <c r="Q1413" s="6" t="s">
        <v>30</v>
      </c>
      <c r="R1413" s="11" t="s">
        <v>30</v>
      </c>
      <c r="S1413" s="6" t="s">
        <v>30</v>
      </c>
      <c r="T1413" s="11" t="s">
        <v>30</v>
      </c>
      <c r="U1413" s="6" t="s">
        <v>30</v>
      </c>
      <c r="V1413" s="6" t="s">
        <v>30</v>
      </c>
      <c r="W1413" s="6" t="s">
        <v>30</v>
      </c>
      <c r="X1413" s="2" t="s">
        <v>30</v>
      </c>
      <c r="Y1413" s="6" t="str">
        <f aca="false">IF(AND(X1413="processed",ISNUMBER(S1413)),S1413*O1413,"")</f>
        <v/>
      </c>
      <c r="Z1413" s="6" t="n">
        <f aca="false">IF(ISNUMBER(K1413),K1413*O1413,0)</f>
        <v>0</v>
      </c>
      <c r="AA1413" s="2" t="s">
        <v>31</v>
      </c>
      <c r="AB1413" s="6" t="n">
        <v>531</v>
      </c>
      <c r="AC1413" s="6" t="n">
        <v>321</v>
      </c>
      <c r="AD1413" s="6" t="n">
        <v>65</v>
      </c>
      <c r="AE1413" s="6" t="n">
        <v>1290.70349121094</v>
      </c>
      <c r="AF1413" s="8"/>
      <c r="AG1413" s="11"/>
      <c r="AH1413" s="12" t="n">
        <v>0.999198036425498</v>
      </c>
      <c r="AI1413" s="2" t="s">
        <v>1597</v>
      </c>
      <c r="AJ1413" s="2"/>
      <c r="AK1413" s="2" t="s">
        <v>3119</v>
      </c>
    </row>
    <row r="1414" customFormat="false" ht="15" hidden="false" customHeight="false" outlineLevel="0" collapsed="false">
      <c r="A1414" s="9"/>
      <c r="B1414" s="2" t="s">
        <v>3121</v>
      </c>
      <c r="C1414" s="2" t="s">
        <v>3122</v>
      </c>
      <c r="D1414" s="2" t="s">
        <v>2773</v>
      </c>
      <c r="E1414" s="2" t="s">
        <v>51</v>
      </c>
      <c r="F1414" s="2"/>
      <c r="G1414" s="2"/>
      <c r="H1414" s="8"/>
      <c r="I1414" s="2"/>
      <c r="J1414" s="8"/>
      <c r="K1414" s="6"/>
      <c r="L1414" s="2"/>
      <c r="M1414" s="10" t="b">
        <f aca="false">TRUE()</f>
        <v>1</v>
      </c>
      <c r="N1414" s="9" t="str">
        <f aca="false">IF(H1414="","",IF(H1414&gt;=Assumptions!$B$5,1,IF(H1414&gt;=Assumptions!$B$6,2,IF(H1414&gt;=Assumptions!$B$7,3,""))))</f>
        <v/>
      </c>
      <c r="O1414" s="9" t="n">
        <f aca="false">IF(N1414=1,Assumptions!$B$8,IF(N1414=2,Assumptions!$B$9,IF(N1414=3,Assumptions!$B$10,0)))</f>
        <v>0</v>
      </c>
      <c r="P1414" s="6" t="s">
        <v>30</v>
      </c>
      <c r="Q1414" s="6" t="s">
        <v>30</v>
      </c>
      <c r="R1414" s="11" t="s">
        <v>30</v>
      </c>
      <c r="S1414" s="6" t="s">
        <v>30</v>
      </c>
      <c r="T1414" s="11" t="s">
        <v>30</v>
      </c>
      <c r="U1414" s="6" t="s">
        <v>30</v>
      </c>
      <c r="V1414" s="6" t="s">
        <v>30</v>
      </c>
      <c r="W1414" s="6" t="s">
        <v>30</v>
      </c>
      <c r="X1414" s="2" t="s">
        <v>30</v>
      </c>
      <c r="Y1414" s="6" t="str">
        <f aca="false">IF(AND(X1414="processed",ISNUMBER(S1414)),S1414*O1414,"")</f>
        <v/>
      </c>
      <c r="Z1414" s="6" t="n">
        <f aca="false">IF(ISNUMBER(K1414),K1414*O1414,0)</f>
        <v>0</v>
      </c>
      <c r="AA1414" s="2" t="s">
        <v>31</v>
      </c>
      <c r="AB1414" s="6" t="n">
        <v>1132</v>
      </c>
      <c r="AC1414" s="6" t="n">
        <v>894</v>
      </c>
      <c r="AD1414" s="6" t="n">
        <v>1043</v>
      </c>
      <c r="AE1414" s="6" t="n">
        <v>1803.11791992188</v>
      </c>
      <c r="AF1414" s="8"/>
      <c r="AG1414" s="11"/>
      <c r="AH1414" s="12" t="n">
        <v>0.999538275981862</v>
      </c>
      <c r="AI1414" s="2" t="s">
        <v>317</v>
      </c>
      <c r="AJ1414" s="2" t="s">
        <v>3122</v>
      </c>
      <c r="AK1414" s="2" t="s">
        <v>3122</v>
      </c>
    </row>
    <row r="1415" customFormat="false" ht="15" hidden="false" customHeight="false" outlineLevel="0" collapsed="false">
      <c r="A1415" s="9"/>
      <c r="B1415" s="2" t="s">
        <v>3123</v>
      </c>
      <c r="C1415" s="2" t="s">
        <v>3124</v>
      </c>
      <c r="D1415" s="2" t="s">
        <v>1817</v>
      </c>
      <c r="E1415" s="2" t="s">
        <v>51</v>
      </c>
      <c r="F1415" s="2"/>
      <c r="G1415" s="2" t="s">
        <v>1818</v>
      </c>
      <c r="H1415" s="8" t="n">
        <v>296.026603624255</v>
      </c>
      <c r="I1415" s="2" t="s">
        <v>316</v>
      </c>
      <c r="J1415" s="8" t="n">
        <v>437391.719745223</v>
      </c>
      <c r="K1415" s="6" t="n">
        <v>157</v>
      </c>
      <c r="L1415" s="2"/>
      <c r="M1415" s="10" t="b">
        <f aca="false">TRUE()</f>
        <v>1</v>
      </c>
      <c r="N1415" s="9" t="str">
        <f aca="false">IF(H1415="","",IF(H1415&gt;=Assumptions!$B$5,1,IF(H1415&gt;=Assumptions!$B$6,2,IF(H1415&gt;=Assumptions!$B$7,3,""))))</f>
        <v/>
      </c>
      <c r="O1415" s="9" t="n">
        <f aca="false">IF(N1415=1,Assumptions!$B$8,IF(N1415=2,Assumptions!$B$9,IF(N1415=3,Assumptions!$B$10,0)))</f>
        <v>0</v>
      </c>
      <c r="P1415" s="6" t="s">
        <v>30</v>
      </c>
      <c r="Q1415" s="6" t="s">
        <v>30</v>
      </c>
      <c r="R1415" s="11" t="s">
        <v>30</v>
      </c>
      <c r="S1415" s="6" t="s">
        <v>30</v>
      </c>
      <c r="T1415" s="11" t="s">
        <v>30</v>
      </c>
      <c r="U1415" s="6" t="s">
        <v>30</v>
      </c>
      <c r="V1415" s="6" t="s">
        <v>30</v>
      </c>
      <c r="W1415" s="6" t="s">
        <v>30</v>
      </c>
      <c r="X1415" s="2" t="s">
        <v>30</v>
      </c>
      <c r="Y1415" s="6" t="str">
        <f aca="false">IF(AND(X1415="processed",ISNUMBER(S1415)),S1415*O1415,"")</f>
        <v/>
      </c>
      <c r="Z1415" s="6" t="n">
        <f aca="false">IF(ISNUMBER(K1415),K1415*O1415,0)</f>
        <v>0</v>
      </c>
      <c r="AA1415" s="2" t="s">
        <v>31</v>
      </c>
      <c r="AB1415" s="6" t="n">
        <v>15574</v>
      </c>
      <c r="AC1415" s="6" t="n">
        <v>13992</v>
      </c>
      <c r="AD1415" s="6" t="n">
        <v>6639</v>
      </c>
      <c r="AE1415" s="6" t="n">
        <v>2348.4716796875</v>
      </c>
      <c r="AF1415" s="8" t="n">
        <v>309.115508202</v>
      </c>
      <c r="AG1415" s="11" t="n">
        <v>0.03265260002</v>
      </c>
      <c r="AH1415" s="12" t="n">
        <v>1</v>
      </c>
      <c r="AI1415" s="2" t="s">
        <v>317</v>
      </c>
      <c r="AJ1415" s="2" t="s">
        <v>3124</v>
      </c>
      <c r="AK1415" s="2" t="s">
        <v>3124</v>
      </c>
    </row>
    <row r="1416" customFormat="false" ht="15" hidden="false" customHeight="false" outlineLevel="0" collapsed="false">
      <c r="A1416" s="9"/>
      <c r="B1416" s="2" t="s">
        <v>3125</v>
      </c>
      <c r="C1416" s="2" t="s">
        <v>3126</v>
      </c>
      <c r="D1416" s="2" t="s">
        <v>3120</v>
      </c>
      <c r="E1416" s="2" t="s">
        <v>51</v>
      </c>
      <c r="F1416" s="2"/>
      <c r="G1416" s="2" t="s">
        <v>3127</v>
      </c>
      <c r="H1416" s="8" t="n">
        <v>244.525345597636</v>
      </c>
      <c r="I1416" s="2" t="s">
        <v>316</v>
      </c>
      <c r="J1416" s="8" t="n">
        <v>467954.545454546</v>
      </c>
      <c r="K1416" s="6" t="n">
        <v>11</v>
      </c>
      <c r="L1416" s="2"/>
      <c r="M1416" s="10" t="b">
        <f aca="false">TRUE()</f>
        <v>1</v>
      </c>
      <c r="N1416" s="9" t="str">
        <f aca="false">IF(H1416="","",IF(H1416&gt;=Assumptions!$B$5,1,IF(H1416&gt;=Assumptions!$B$6,2,IF(H1416&gt;=Assumptions!$B$7,3,""))))</f>
        <v/>
      </c>
      <c r="O1416" s="9" t="n">
        <f aca="false">IF(N1416=1,Assumptions!$B$8,IF(N1416=2,Assumptions!$B$9,IF(N1416=3,Assumptions!$B$10,0)))</f>
        <v>0</v>
      </c>
      <c r="P1416" s="6" t="s">
        <v>30</v>
      </c>
      <c r="Q1416" s="6" t="s">
        <v>30</v>
      </c>
      <c r="R1416" s="11" t="s">
        <v>30</v>
      </c>
      <c r="S1416" s="6" t="s">
        <v>30</v>
      </c>
      <c r="T1416" s="11" t="s">
        <v>30</v>
      </c>
      <c r="U1416" s="6" t="s">
        <v>30</v>
      </c>
      <c r="V1416" s="6" t="s">
        <v>30</v>
      </c>
      <c r="W1416" s="6" t="s">
        <v>30</v>
      </c>
      <c r="X1416" s="2" t="s">
        <v>30</v>
      </c>
      <c r="Y1416" s="6" t="str">
        <f aca="false">IF(AND(X1416="processed",ISNUMBER(S1416)),S1416*O1416,"")</f>
        <v/>
      </c>
      <c r="Z1416" s="6" t="n">
        <f aca="false">IF(ISNUMBER(K1416),K1416*O1416,0)</f>
        <v>0</v>
      </c>
      <c r="AA1416" s="2" t="s">
        <v>31</v>
      </c>
      <c r="AB1416" s="6" t="n">
        <v>1986</v>
      </c>
      <c r="AC1416" s="6" t="n">
        <v>1449</v>
      </c>
      <c r="AD1416" s="6" t="n">
        <v>82</v>
      </c>
      <c r="AE1416" s="6" t="n">
        <v>1566.02099609375</v>
      </c>
      <c r="AF1416" s="8" t="n">
        <v>243.615384615</v>
      </c>
      <c r="AG1416" s="11" t="n">
        <v>0.3422307359</v>
      </c>
      <c r="AH1416" s="12" t="n">
        <v>0.999597261166376</v>
      </c>
      <c r="AI1416" s="2" t="s">
        <v>317</v>
      </c>
      <c r="AJ1416" s="2" t="s">
        <v>3126</v>
      </c>
      <c r="AK1416" s="2" t="s">
        <v>1817</v>
      </c>
    </row>
    <row r="1417" customFormat="false" ht="15" hidden="false" customHeight="false" outlineLevel="0" collapsed="false">
      <c r="A1417" s="9"/>
      <c r="B1417" s="2" t="s">
        <v>3128</v>
      </c>
      <c r="C1417" s="2" t="s">
        <v>3129</v>
      </c>
      <c r="D1417" s="2" t="s">
        <v>2773</v>
      </c>
      <c r="E1417" s="2" t="s">
        <v>51</v>
      </c>
      <c r="F1417" s="2"/>
      <c r="G1417" s="2"/>
      <c r="H1417" s="8"/>
      <c r="I1417" s="2"/>
      <c r="J1417" s="8"/>
      <c r="K1417" s="6"/>
      <c r="L1417" s="2"/>
      <c r="M1417" s="10" t="b">
        <f aca="false">TRUE()</f>
        <v>1</v>
      </c>
      <c r="N1417" s="9" t="str">
        <f aca="false">IF(H1417="","",IF(H1417&gt;=Assumptions!$B$5,1,IF(H1417&gt;=Assumptions!$B$6,2,IF(H1417&gt;=Assumptions!$B$7,3,""))))</f>
        <v/>
      </c>
      <c r="O1417" s="9" t="n">
        <f aca="false">IF(N1417=1,Assumptions!$B$8,IF(N1417=2,Assumptions!$B$9,IF(N1417=3,Assumptions!$B$10,0)))</f>
        <v>0</v>
      </c>
      <c r="P1417" s="6" t="s">
        <v>30</v>
      </c>
      <c r="Q1417" s="6" t="s">
        <v>30</v>
      </c>
      <c r="R1417" s="11" t="s">
        <v>30</v>
      </c>
      <c r="S1417" s="6" t="s">
        <v>30</v>
      </c>
      <c r="T1417" s="11" t="s">
        <v>30</v>
      </c>
      <c r="U1417" s="6" t="s">
        <v>30</v>
      </c>
      <c r="V1417" s="6" t="s">
        <v>30</v>
      </c>
      <c r="W1417" s="6" t="s">
        <v>30</v>
      </c>
      <c r="X1417" s="2" t="s">
        <v>30</v>
      </c>
      <c r="Y1417" s="6" t="str">
        <f aca="false">IF(AND(X1417="processed",ISNUMBER(S1417)),S1417*O1417,"")</f>
        <v/>
      </c>
      <c r="Z1417" s="6" t="n">
        <f aca="false">IF(ISNUMBER(K1417),K1417*O1417,0)</f>
        <v>0</v>
      </c>
      <c r="AA1417" s="2" t="s">
        <v>31</v>
      </c>
      <c r="AB1417" s="6" t="n">
        <v>4407</v>
      </c>
      <c r="AC1417" s="6" t="n">
        <v>2232</v>
      </c>
      <c r="AD1417" s="6" t="n">
        <v>328</v>
      </c>
      <c r="AE1417" s="6" t="n">
        <v>1434.75415039063</v>
      </c>
      <c r="AF1417" s="8"/>
      <c r="AG1417" s="11"/>
      <c r="AH1417" s="12" t="n">
        <v>0.980025449558436</v>
      </c>
      <c r="AI1417" s="2" t="s">
        <v>317</v>
      </c>
      <c r="AJ1417" s="2" t="s">
        <v>3129</v>
      </c>
      <c r="AK1417" s="2" t="s">
        <v>3063</v>
      </c>
    </row>
    <row r="1418" customFormat="false" ht="15" hidden="false" customHeight="false" outlineLevel="0" collapsed="false">
      <c r="A1418" s="9"/>
      <c r="B1418" s="2" t="s">
        <v>3130</v>
      </c>
      <c r="C1418" s="2" t="s">
        <v>3131</v>
      </c>
      <c r="D1418" s="2" t="s">
        <v>2765</v>
      </c>
      <c r="E1418" s="2" t="s">
        <v>51</v>
      </c>
      <c r="F1418" s="2"/>
      <c r="G1418" s="2"/>
      <c r="H1418" s="8"/>
      <c r="I1418" s="2"/>
      <c r="J1418" s="8"/>
      <c r="K1418" s="6"/>
      <c r="L1418" s="2"/>
      <c r="M1418" s="10" t="b">
        <f aca="false">TRUE()</f>
        <v>1</v>
      </c>
      <c r="N1418" s="9" t="str">
        <f aca="false">IF(H1418="","",IF(H1418&gt;=Assumptions!$B$5,1,IF(H1418&gt;=Assumptions!$B$6,2,IF(H1418&gt;=Assumptions!$B$7,3,""))))</f>
        <v/>
      </c>
      <c r="O1418" s="9" t="n">
        <f aca="false">IF(N1418=1,Assumptions!$B$8,IF(N1418=2,Assumptions!$B$9,IF(N1418=3,Assumptions!$B$10,0)))</f>
        <v>0</v>
      </c>
      <c r="P1418" s="6" t="s">
        <v>30</v>
      </c>
      <c r="Q1418" s="6" t="s">
        <v>30</v>
      </c>
      <c r="R1418" s="11" t="s">
        <v>30</v>
      </c>
      <c r="S1418" s="6" t="s">
        <v>30</v>
      </c>
      <c r="T1418" s="11" t="s">
        <v>30</v>
      </c>
      <c r="U1418" s="6" t="s">
        <v>30</v>
      </c>
      <c r="V1418" s="6" t="s">
        <v>30</v>
      </c>
      <c r="W1418" s="6" t="s">
        <v>30</v>
      </c>
      <c r="X1418" s="2" t="s">
        <v>30</v>
      </c>
      <c r="Y1418" s="6" t="str">
        <f aca="false">IF(AND(X1418="processed",ISNUMBER(S1418)),S1418*O1418,"")</f>
        <v/>
      </c>
      <c r="Z1418" s="6" t="n">
        <f aca="false">IF(ISNUMBER(K1418),K1418*O1418,0)</f>
        <v>0</v>
      </c>
      <c r="AA1418" s="2" t="s">
        <v>31</v>
      </c>
      <c r="AB1418" s="6" t="n">
        <v>155</v>
      </c>
      <c r="AC1418" s="6" t="n">
        <v>124</v>
      </c>
      <c r="AD1418" s="6" t="n">
        <v>147</v>
      </c>
      <c r="AE1418" s="6" t="n">
        <v>1924.22802734375</v>
      </c>
      <c r="AF1418" s="8"/>
      <c r="AG1418" s="11"/>
      <c r="AH1418" s="12" t="n">
        <v>1</v>
      </c>
      <c r="AI1418" s="2" t="s">
        <v>1597</v>
      </c>
      <c r="AJ1418" s="2"/>
      <c r="AK1418" s="2" t="s">
        <v>3131</v>
      </c>
    </row>
    <row r="1419" customFormat="false" ht="15" hidden="false" customHeight="false" outlineLevel="0" collapsed="false">
      <c r="A1419" s="9"/>
      <c r="B1419" s="2" t="s">
        <v>3132</v>
      </c>
      <c r="C1419" s="2" t="s">
        <v>3133</v>
      </c>
      <c r="D1419" s="2" t="s">
        <v>3120</v>
      </c>
      <c r="E1419" s="2" t="s">
        <v>51</v>
      </c>
      <c r="F1419" s="2"/>
      <c r="G1419" s="2"/>
      <c r="H1419" s="8"/>
      <c r="I1419" s="2"/>
      <c r="J1419" s="8"/>
      <c r="K1419" s="6"/>
      <c r="L1419" s="2"/>
      <c r="M1419" s="10" t="b">
        <f aca="false">TRUE()</f>
        <v>1</v>
      </c>
      <c r="N1419" s="9" t="str">
        <f aca="false">IF(H1419="","",IF(H1419&gt;=Assumptions!$B$5,1,IF(H1419&gt;=Assumptions!$B$6,2,IF(H1419&gt;=Assumptions!$B$7,3,""))))</f>
        <v/>
      </c>
      <c r="O1419" s="9" t="n">
        <f aca="false">IF(N1419=1,Assumptions!$B$8,IF(N1419=2,Assumptions!$B$9,IF(N1419=3,Assumptions!$B$10,0)))</f>
        <v>0</v>
      </c>
      <c r="P1419" s="6" t="s">
        <v>30</v>
      </c>
      <c r="Q1419" s="6" t="s">
        <v>30</v>
      </c>
      <c r="R1419" s="11" t="s">
        <v>30</v>
      </c>
      <c r="S1419" s="6" t="s">
        <v>30</v>
      </c>
      <c r="T1419" s="11" t="s">
        <v>30</v>
      </c>
      <c r="U1419" s="6" t="s">
        <v>30</v>
      </c>
      <c r="V1419" s="6" t="s">
        <v>30</v>
      </c>
      <c r="W1419" s="6" t="s">
        <v>30</v>
      </c>
      <c r="X1419" s="2" t="s">
        <v>30</v>
      </c>
      <c r="Y1419" s="6" t="str">
        <f aca="false">IF(AND(X1419="processed",ISNUMBER(S1419)),S1419*O1419,"")</f>
        <v/>
      </c>
      <c r="Z1419" s="6" t="n">
        <f aca="false">IF(ISNUMBER(K1419),K1419*O1419,0)</f>
        <v>0</v>
      </c>
      <c r="AA1419" s="2" t="s">
        <v>31</v>
      </c>
      <c r="AB1419" s="6" t="n">
        <v>176</v>
      </c>
      <c r="AC1419" s="6" t="n">
        <v>94</v>
      </c>
      <c r="AD1419" s="6" t="n">
        <v>11</v>
      </c>
      <c r="AE1419" s="6" t="n">
        <v>1091.64978027344</v>
      </c>
      <c r="AF1419" s="8"/>
      <c r="AG1419" s="11"/>
      <c r="AH1419" s="12" t="n">
        <v>1</v>
      </c>
      <c r="AI1419" s="2" t="s">
        <v>1597</v>
      </c>
      <c r="AJ1419" s="2"/>
      <c r="AK1419" s="2" t="s">
        <v>3133</v>
      </c>
    </row>
    <row r="1420" customFormat="false" ht="15" hidden="false" customHeight="false" outlineLevel="0" collapsed="false">
      <c r="A1420" s="9"/>
      <c r="B1420" s="2" t="s">
        <v>3134</v>
      </c>
      <c r="C1420" s="2" t="s">
        <v>3135</v>
      </c>
      <c r="D1420" s="2" t="s">
        <v>2765</v>
      </c>
      <c r="E1420" s="2" t="s">
        <v>51</v>
      </c>
      <c r="F1420" s="2"/>
      <c r="G1420" s="2" t="s">
        <v>2766</v>
      </c>
      <c r="H1420" s="8" t="n">
        <v>305.991416248433</v>
      </c>
      <c r="I1420" s="2" t="s">
        <v>316</v>
      </c>
      <c r="J1420" s="8" t="n">
        <v>413500</v>
      </c>
      <c r="K1420" s="6" t="n">
        <v>30</v>
      </c>
      <c r="L1420" s="2"/>
      <c r="M1420" s="10" t="b">
        <f aca="false">TRUE()</f>
        <v>1</v>
      </c>
      <c r="N1420" s="9" t="str">
        <f aca="false">IF(H1420="","",IF(H1420&gt;=Assumptions!$B$5,1,IF(H1420&gt;=Assumptions!$B$6,2,IF(H1420&gt;=Assumptions!$B$7,3,""))))</f>
        <v/>
      </c>
      <c r="O1420" s="9" t="n">
        <f aca="false">IF(N1420=1,Assumptions!$B$8,IF(N1420=2,Assumptions!$B$9,IF(N1420=3,Assumptions!$B$10,0)))</f>
        <v>0</v>
      </c>
      <c r="P1420" s="6" t="s">
        <v>30</v>
      </c>
      <c r="Q1420" s="6" t="s">
        <v>30</v>
      </c>
      <c r="R1420" s="11" t="s">
        <v>30</v>
      </c>
      <c r="S1420" s="6" t="s">
        <v>30</v>
      </c>
      <c r="T1420" s="11" t="s">
        <v>30</v>
      </c>
      <c r="U1420" s="6" t="s">
        <v>30</v>
      </c>
      <c r="V1420" s="6" t="s">
        <v>30</v>
      </c>
      <c r="W1420" s="6" t="s">
        <v>30</v>
      </c>
      <c r="X1420" s="2" t="s">
        <v>30</v>
      </c>
      <c r="Y1420" s="6" t="str">
        <f aca="false">IF(AND(X1420="processed",ISNUMBER(S1420)),S1420*O1420,"")</f>
        <v/>
      </c>
      <c r="Z1420" s="6" t="n">
        <f aca="false">IF(ISNUMBER(K1420),K1420*O1420,0)</f>
        <v>0</v>
      </c>
      <c r="AA1420" s="2" t="s">
        <v>31</v>
      </c>
      <c r="AB1420" s="6" t="n">
        <v>5148</v>
      </c>
      <c r="AC1420" s="6" t="n">
        <v>4524</v>
      </c>
      <c r="AD1420" s="6" t="n">
        <v>3431</v>
      </c>
      <c r="AE1420" s="6" t="n">
        <v>2059.80541992188</v>
      </c>
      <c r="AF1420" s="8" t="n">
        <v>279.802545849</v>
      </c>
      <c r="AG1420" s="11" t="n">
        <v>-0.09985473665</v>
      </c>
      <c r="AH1420" s="12" t="n">
        <v>1</v>
      </c>
      <c r="AI1420" s="2" t="s">
        <v>317</v>
      </c>
      <c r="AJ1420" s="2" t="s">
        <v>3135</v>
      </c>
      <c r="AK1420" s="2" t="s">
        <v>3114</v>
      </c>
    </row>
    <row r="1421" customFormat="false" ht="15" hidden="false" customHeight="false" outlineLevel="0" collapsed="false">
      <c r="A1421" s="9"/>
      <c r="B1421" s="2" t="s">
        <v>3136</v>
      </c>
      <c r="C1421" s="2" t="s">
        <v>3137</v>
      </c>
      <c r="D1421" s="2" t="s">
        <v>1817</v>
      </c>
      <c r="E1421" s="2" t="s">
        <v>51</v>
      </c>
      <c r="F1421" s="2"/>
      <c r="G1421" s="2" t="s">
        <v>1818</v>
      </c>
      <c r="H1421" s="8" t="n">
        <v>343.15294154313</v>
      </c>
      <c r="I1421" s="2" t="s">
        <v>316</v>
      </c>
      <c r="J1421" s="8" t="n">
        <v>518472.222222222</v>
      </c>
      <c r="K1421" s="6" t="n">
        <v>54</v>
      </c>
      <c r="L1421" s="2"/>
      <c r="M1421" s="10" t="b">
        <f aca="false">TRUE()</f>
        <v>1</v>
      </c>
      <c r="N1421" s="9" t="str">
        <f aca="false">IF(H1421="","",IF(H1421&gt;=Assumptions!$B$5,1,IF(H1421&gt;=Assumptions!$B$6,2,IF(H1421&gt;=Assumptions!$B$7,3,""))))</f>
        <v/>
      </c>
      <c r="O1421" s="9" t="n">
        <f aca="false">IF(N1421=1,Assumptions!$B$8,IF(N1421=2,Assumptions!$B$9,IF(N1421=3,Assumptions!$B$10,0)))</f>
        <v>0</v>
      </c>
      <c r="P1421" s="6" t="s">
        <v>30</v>
      </c>
      <c r="Q1421" s="6" t="s">
        <v>30</v>
      </c>
      <c r="R1421" s="11" t="s">
        <v>30</v>
      </c>
      <c r="S1421" s="6" t="s">
        <v>30</v>
      </c>
      <c r="T1421" s="11" t="s">
        <v>30</v>
      </c>
      <c r="U1421" s="6" t="s">
        <v>30</v>
      </c>
      <c r="V1421" s="6" t="s">
        <v>30</v>
      </c>
      <c r="W1421" s="6" t="s">
        <v>30</v>
      </c>
      <c r="X1421" s="2" t="s">
        <v>30</v>
      </c>
      <c r="Y1421" s="6" t="str">
        <f aca="false">IF(AND(X1421="processed",ISNUMBER(S1421)),S1421*O1421,"")</f>
        <v/>
      </c>
      <c r="Z1421" s="6" t="n">
        <f aca="false">IF(ISNUMBER(K1421),K1421*O1421,0)</f>
        <v>0</v>
      </c>
      <c r="AA1421" s="2" t="s">
        <v>31</v>
      </c>
      <c r="AB1421" s="6" t="n">
        <v>4549</v>
      </c>
      <c r="AC1421" s="6" t="n">
        <v>3655</v>
      </c>
      <c r="AD1421" s="6" t="n">
        <v>2540</v>
      </c>
      <c r="AE1421" s="6" t="n">
        <v>2341.37915039063</v>
      </c>
      <c r="AF1421" s="8" t="n">
        <v>333.588957055</v>
      </c>
      <c r="AG1421" s="11" t="n">
        <v>-0.01355282043</v>
      </c>
      <c r="AH1421" s="12" t="n">
        <v>0.998700586279267</v>
      </c>
      <c r="AI1421" s="2" t="s">
        <v>317</v>
      </c>
      <c r="AJ1421" s="2" t="s">
        <v>3137</v>
      </c>
      <c r="AK1421" s="2" t="s">
        <v>3138</v>
      </c>
    </row>
    <row r="1422" customFormat="false" ht="15" hidden="false" customHeight="false" outlineLevel="0" collapsed="false">
      <c r="A1422" s="9"/>
      <c r="B1422" s="2" t="s">
        <v>3139</v>
      </c>
      <c r="C1422" s="2" t="s">
        <v>580</v>
      </c>
      <c r="D1422" s="2" t="s">
        <v>2765</v>
      </c>
      <c r="E1422" s="2" t="s">
        <v>51</v>
      </c>
      <c r="F1422" s="2"/>
      <c r="G1422" s="2"/>
      <c r="H1422" s="8"/>
      <c r="I1422" s="2"/>
      <c r="J1422" s="8"/>
      <c r="K1422" s="6"/>
      <c r="L1422" s="2"/>
      <c r="M1422" s="10" t="b">
        <f aca="false">TRUE()</f>
        <v>1</v>
      </c>
      <c r="N1422" s="9" t="str">
        <f aca="false">IF(H1422="","",IF(H1422&gt;=Assumptions!$B$5,1,IF(H1422&gt;=Assumptions!$B$6,2,IF(H1422&gt;=Assumptions!$B$7,3,""))))</f>
        <v/>
      </c>
      <c r="O1422" s="9" t="n">
        <f aca="false">IF(N1422=1,Assumptions!$B$8,IF(N1422=2,Assumptions!$B$9,IF(N1422=3,Assumptions!$B$10,0)))</f>
        <v>0</v>
      </c>
      <c r="P1422" s="6" t="s">
        <v>30</v>
      </c>
      <c r="Q1422" s="6" t="s">
        <v>30</v>
      </c>
      <c r="R1422" s="11" t="s">
        <v>30</v>
      </c>
      <c r="S1422" s="6" t="s">
        <v>30</v>
      </c>
      <c r="T1422" s="11" t="s">
        <v>30</v>
      </c>
      <c r="U1422" s="6" t="s">
        <v>30</v>
      </c>
      <c r="V1422" s="6" t="s">
        <v>30</v>
      </c>
      <c r="W1422" s="6" t="s">
        <v>30</v>
      </c>
      <c r="X1422" s="2" t="s">
        <v>30</v>
      </c>
      <c r="Y1422" s="6" t="str">
        <f aca="false">IF(AND(X1422="processed",ISNUMBER(S1422)),S1422*O1422,"")</f>
        <v/>
      </c>
      <c r="Z1422" s="6" t="n">
        <f aca="false">IF(ISNUMBER(K1422),K1422*O1422,0)</f>
        <v>0</v>
      </c>
      <c r="AA1422" s="2" t="s">
        <v>31</v>
      </c>
      <c r="AB1422" s="6" t="n">
        <v>832</v>
      </c>
      <c r="AC1422" s="6" t="n">
        <v>547</v>
      </c>
      <c r="AD1422" s="6" t="n">
        <v>753</v>
      </c>
      <c r="AE1422" s="6" t="n">
        <v>1751.62902832031</v>
      </c>
      <c r="AF1422" s="8"/>
      <c r="AG1422" s="11"/>
      <c r="AH1422" s="12" t="n">
        <v>0.999774524673842</v>
      </c>
      <c r="AI1422" s="2" t="s">
        <v>317</v>
      </c>
      <c r="AJ1422" s="2" t="s">
        <v>580</v>
      </c>
      <c r="AK1422" s="2" t="s">
        <v>580</v>
      </c>
    </row>
    <row r="1423" customFormat="false" ht="15" hidden="false" customHeight="false" outlineLevel="0" collapsed="false">
      <c r="A1423" s="9"/>
      <c r="B1423" s="2" t="s">
        <v>3140</v>
      </c>
      <c r="C1423" s="2" t="s">
        <v>3141</v>
      </c>
      <c r="D1423" s="2" t="s">
        <v>2773</v>
      </c>
      <c r="E1423" s="2" t="s">
        <v>51</v>
      </c>
      <c r="F1423" s="2"/>
      <c r="G1423" s="2"/>
      <c r="H1423" s="8"/>
      <c r="I1423" s="2"/>
      <c r="J1423" s="8"/>
      <c r="K1423" s="6"/>
      <c r="L1423" s="2"/>
      <c r="M1423" s="10" t="b">
        <f aca="false">TRUE()</f>
        <v>1</v>
      </c>
      <c r="N1423" s="9" t="str">
        <f aca="false">IF(H1423="","",IF(H1423&gt;=Assumptions!$B$5,1,IF(H1423&gt;=Assumptions!$B$6,2,IF(H1423&gt;=Assumptions!$B$7,3,""))))</f>
        <v/>
      </c>
      <c r="O1423" s="9" t="n">
        <f aca="false">IF(N1423=1,Assumptions!$B$8,IF(N1423=2,Assumptions!$B$9,IF(N1423=3,Assumptions!$B$10,0)))</f>
        <v>0</v>
      </c>
      <c r="P1423" s="6" t="s">
        <v>30</v>
      </c>
      <c r="Q1423" s="6" t="s">
        <v>30</v>
      </c>
      <c r="R1423" s="11" t="s">
        <v>30</v>
      </c>
      <c r="S1423" s="6" t="s">
        <v>30</v>
      </c>
      <c r="T1423" s="11" t="s">
        <v>30</v>
      </c>
      <c r="U1423" s="6" t="s">
        <v>30</v>
      </c>
      <c r="V1423" s="6" t="s">
        <v>30</v>
      </c>
      <c r="W1423" s="6" t="s">
        <v>30</v>
      </c>
      <c r="X1423" s="2" t="s">
        <v>30</v>
      </c>
      <c r="Y1423" s="6" t="str">
        <f aca="false">IF(AND(X1423="processed",ISNUMBER(S1423)),S1423*O1423,"")</f>
        <v/>
      </c>
      <c r="Z1423" s="6" t="n">
        <f aca="false">IF(ISNUMBER(K1423),K1423*O1423,0)</f>
        <v>0</v>
      </c>
      <c r="AA1423" s="2" t="s">
        <v>31</v>
      </c>
      <c r="AB1423" s="6" t="n">
        <v>465</v>
      </c>
      <c r="AC1423" s="6" t="n">
        <v>256</v>
      </c>
      <c r="AD1423" s="6" t="n">
        <v>17</v>
      </c>
      <c r="AE1423" s="6" t="n">
        <v>1647.09497070313</v>
      </c>
      <c r="AF1423" s="8"/>
      <c r="AG1423" s="11"/>
      <c r="AH1423" s="12" t="n">
        <v>1</v>
      </c>
      <c r="AI1423" s="2" t="s">
        <v>1597</v>
      </c>
      <c r="AJ1423" s="2"/>
      <c r="AK1423" s="2" t="s">
        <v>3141</v>
      </c>
    </row>
    <row r="1424" customFormat="false" ht="15" hidden="false" customHeight="false" outlineLevel="0" collapsed="false">
      <c r="A1424" s="9"/>
      <c r="B1424" s="2" t="s">
        <v>3142</v>
      </c>
      <c r="C1424" s="2" t="s">
        <v>3143</v>
      </c>
      <c r="D1424" s="2" t="s">
        <v>1817</v>
      </c>
      <c r="E1424" s="2" t="s">
        <v>51</v>
      </c>
      <c r="F1424" s="2"/>
      <c r="G1424" s="2"/>
      <c r="H1424" s="8"/>
      <c r="I1424" s="2"/>
      <c r="J1424" s="8"/>
      <c r="K1424" s="6"/>
      <c r="L1424" s="2"/>
      <c r="M1424" s="10" t="b">
        <f aca="false">TRUE()</f>
        <v>1</v>
      </c>
      <c r="N1424" s="9" t="str">
        <f aca="false">IF(H1424="","",IF(H1424&gt;=Assumptions!$B$5,1,IF(H1424&gt;=Assumptions!$B$6,2,IF(H1424&gt;=Assumptions!$B$7,3,""))))</f>
        <v/>
      </c>
      <c r="O1424" s="9" t="n">
        <f aca="false">IF(N1424=1,Assumptions!$B$8,IF(N1424=2,Assumptions!$B$9,IF(N1424=3,Assumptions!$B$10,0)))</f>
        <v>0</v>
      </c>
      <c r="P1424" s="6" t="s">
        <v>30</v>
      </c>
      <c r="Q1424" s="6" t="s">
        <v>30</v>
      </c>
      <c r="R1424" s="11" t="s">
        <v>30</v>
      </c>
      <c r="S1424" s="6" t="s">
        <v>30</v>
      </c>
      <c r="T1424" s="11" t="s">
        <v>30</v>
      </c>
      <c r="U1424" s="6" t="s">
        <v>30</v>
      </c>
      <c r="V1424" s="6" t="s">
        <v>30</v>
      </c>
      <c r="W1424" s="6" t="s">
        <v>30</v>
      </c>
      <c r="X1424" s="2" t="s">
        <v>30</v>
      </c>
      <c r="Y1424" s="6" t="str">
        <f aca="false">IF(AND(X1424="processed",ISNUMBER(S1424)),S1424*O1424,"")</f>
        <v/>
      </c>
      <c r="Z1424" s="6" t="n">
        <f aca="false">IF(ISNUMBER(K1424),K1424*O1424,0)</f>
        <v>0</v>
      </c>
      <c r="AA1424" s="2" t="s">
        <v>31</v>
      </c>
      <c r="AB1424" s="6" t="n">
        <v>794</v>
      </c>
      <c r="AC1424" s="6" t="n">
        <v>699</v>
      </c>
      <c r="AD1424" s="6" t="n">
        <v>785</v>
      </c>
      <c r="AE1424" s="6" t="n">
        <v>1571.61083984375</v>
      </c>
      <c r="AF1424" s="8"/>
      <c r="AG1424" s="11"/>
      <c r="AH1424" s="12" t="n">
        <v>1</v>
      </c>
      <c r="AI1424" s="2" t="s">
        <v>317</v>
      </c>
      <c r="AJ1424" s="2" t="s">
        <v>3143</v>
      </c>
      <c r="AK1424" s="2" t="s">
        <v>3144</v>
      </c>
    </row>
    <row r="1425" customFormat="false" ht="15" hidden="false" customHeight="false" outlineLevel="0" collapsed="false">
      <c r="A1425" s="9"/>
      <c r="B1425" s="2" t="s">
        <v>3145</v>
      </c>
      <c r="C1425" s="2" t="s">
        <v>3146</v>
      </c>
      <c r="D1425" s="2" t="s">
        <v>2837</v>
      </c>
      <c r="E1425" s="2" t="s">
        <v>51</v>
      </c>
      <c r="F1425" s="2"/>
      <c r="G1425" s="2" t="s">
        <v>3032</v>
      </c>
      <c r="H1425" s="8" t="n">
        <v>340.755735799119</v>
      </c>
      <c r="I1425" s="2" t="s">
        <v>316</v>
      </c>
      <c r="J1425" s="8" t="n">
        <v>569447.76119403</v>
      </c>
      <c r="K1425" s="6" t="n">
        <v>67</v>
      </c>
      <c r="L1425" s="2"/>
      <c r="M1425" s="10" t="b">
        <f aca="false">TRUE()</f>
        <v>1</v>
      </c>
      <c r="N1425" s="9" t="str">
        <f aca="false">IF(H1425="","",IF(H1425&gt;=Assumptions!$B$5,1,IF(H1425&gt;=Assumptions!$B$6,2,IF(H1425&gt;=Assumptions!$B$7,3,""))))</f>
        <v/>
      </c>
      <c r="O1425" s="9" t="n">
        <f aca="false">IF(N1425=1,Assumptions!$B$8,IF(N1425=2,Assumptions!$B$9,IF(N1425=3,Assumptions!$B$10,0)))</f>
        <v>0</v>
      </c>
      <c r="P1425" s="6" t="s">
        <v>30</v>
      </c>
      <c r="Q1425" s="6" t="s">
        <v>30</v>
      </c>
      <c r="R1425" s="11" t="s">
        <v>30</v>
      </c>
      <c r="S1425" s="6" t="s">
        <v>30</v>
      </c>
      <c r="T1425" s="11" t="s">
        <v>30</v>
      </c>
      <c r="U1425" s="6" t="s">
        <v>30</v>
      </c>
      <c r="V1425" s="6" t="s">
        <v>30</v>
      </c>
      <c r="W1425" s="6" t="s">
        <v>30</v>
      </c>
      <c r="X1425" s="2" t="s">
        <v>30</v>
      </c>
      <c r="Y1425" s="6" t="str">
        <f aca="false">IF(AND(X1425="processed",ISNUMBER(S1425)),S1425*O1425,"")</f>
        <v/>
      </c>
      <c r="Z1425" s="6" t="n">
        <f aca="false">IF(ISNUMBER(K1425),K1425*O1425,0)</f>
        <v>0</v>
      </c>
      <c r="AA1425" s="2" t="s">
        <v>31</v>
      </c>
      <c r="AB1425" s="6" t="n">
        <v>8768</v>
      </c>
      <c r="AC1425" s="6" t="n">
        <v>7169</v>
      </c>
      <c r="AD1425" s="6" t="n">
        <v>8255</v>
      </c>
      <c r="AE1425" s="6" t="n">
        <v>2297.36572265625</v>
      </c>
      <c r="AF1425" s="8" t="n">
        <v>349.544072948</v>
      </c>
      <c r="AG1425" s="11" t="n">
        <v>0.1092256682</v>
      </c>
      <c r="AH1425" s="12" t="n">
        <v>0.999522562159071</v>
      </c>
      <c r="AI1425" s="2" t="s">
        <v>317</v>
      </c>
      <c r="AJ1425" s="2" t="s">
        <v>3146</v>
      </c>
      <c r="AK1425" s="2" t="s">
        <v>3146</v>
      </c>
    </row>
    <row r="1426" customFormat="false" ht="15" hidden="false" customHeight="false" outlineLevel="0" collapsed="false">
      <c r="A1426" s="9"/>
      <c r="B1426" s="2" t="s">
        <v>3147</v>
      </c>
      <c r="C1426" s="2" t="s">
        <v>3148</v>
      </c>
      <c r="D1426" s="2" t="s">
        <v>3120</v>
      </c>
      <c r="E1426" s="2" t="s">
        <v>51</v>
      </c>
      <c r="F1426" s="2"/>
      <c r="G1426" s="2" t="s">
        <v>3127</v>
      </c>
      <c r="H1426" s="8" t="n">
        <v>205.300816977509</v>
      </c>
      <c r="I1426" s="2" t="s">
        <v>316</v>
      </c>
      <c r="J1426" s="8" t="n">
        <v>361418.181818182</v>
      </c>
      <c r="K1426" s="6" t="n">
        <v>110</v>
      </c>
      <c r="L1426" s="2"/>
      <c r="M1426" s="10" t="b">
        <f aca="false">TRUE()</f>
        <v>1</v>
      </c>
      <c r="N1426" s="9" t="str">
        <f aca="false">IF(H1426="","",IF(H1426&gt;=Assumptions!$B$5,1,IF(H1426&gt;=Assumptions!$B$6,2,IF(H1426&gt;=Assumptions!$B$7,3,""))))</f>
        <v/>
      </c>
      <c r="O1426" s="9" t="n">
        <f aca="false">IF(N1426=1,Assumptions!$B$8,IF(N1426=2,Assumptions!$B$9,IF(N1426=3,Assumptions!$B$10,0)))</f>
        <v>0</v>
      </c>
      <c r="P1426" s="6" t="s">
        <v>30</v>
      </c>
      <c r="Q1426" s="6" t="s">
        <v>30</v>
      </c>
      <c r="R1426" s="11" t="s">
        <v>30</v>
      </c>
      <c r="S1426" s="6" t="s">
        <v>30</v>
      </c>
      <c r="T1426" s="11" t="s">
        <v>30</v>
      </c>
      <c r="U1426" s="6" t="s">
        <v>30</v>
      </c>
      <c r="V1426" s="6" t="s">
        <v>30</v>
      </c>
      <c r="W1426" s="6" t="s">
        <v>30</v>
      </c>
      <c r="X1426" s="2" t="s">
        <v>30</v>
      </c>
      <c r="Y1426" s="6" t="str">
        <f aca="false">IF(AND(X1426="processed",ISNUMBER(S1426)),S1426*O1426,"")</f>
        <v/>
      </c>
      <c r="Z1426" s="6" t="n">
        <f aca="false">IF(ISNUMBER(K1426),K1426*O1426,0)</f>
        <v>0</v>
      </c>
      <c r="AA1426" s="2" t="s">
        <v>31</v>
      </c>
      <c r="AB1426" s="6" t="n">
        <v>6471</v>
      </c>
      <c r="AC1426" s="6" t="n">
        <v>4632</v>
      </c>
      <c r="AD1426" s="6" t="n">
        <v>347</v>
      </c>
      <c r="AE1426" s="6" t="n">
        <v>1685.5009765625</v>
      </c>
      <c r="AF1426" s="8" t="n">
        <v>231.418918919</v>
      </c>
      <c r="AG1426" s="11" t="n">
        <v>-8.231581836E-005</v>
      </c>
      <c r="AH1426" s="12" t="n">
        <v>0.944237015214419</v>
      </c>
      <c r="AI1426" s="2" t="s">
        <v>317</v>
      </c>
      <c r="AJ1426" s="2" t="s">
        <v>3148</v>
      </c>
      <c r="AK1426" s="2" t="s">
        <v>3149</v>
      </c>
    </row>
    <row r="1427" customFormat="false" ht="15" hidden="false" customHeight="false" outlineLevel="0" collapsed="false">
      <c r="A1427" s="9"/>
      <c r="B1427" s="2" t="s">
        <v>3150</v>
      </c>
      <c r="C1427" s="2" t="s">
        <v>3151</v>
      </c>
      <c r="D1427" s="2" t="s">
        <v>2765</v>
      </c>
      <c r="E1427" s="2" t="s">
        <v>51</v>
      </c>
      <c r="F1427" s="2"/>
      <c r="G1427" s="2" t="s">
        <v>1818</v>
      </c>
      <c r="H1427" s="8" t="n">
        <v>286.890104201244</v>
      </c>
      <c r="I1427" s="2" t="s">
        <v>316</v>
      </c>
      <c r="J1427" s="8" t="n">
        <v>395170.731707317</v>
      </c>
      <c r="K1427" s="6" t="n">
        <v>41</v>
      </c>
      <c r="L1427" s="2"/>
      <c r="M1427" s="10" t="b">
        <f aca="false">TRUE()</f>
        <v>1</v>
      </c>
      <c r="N1427" s="9" t="str">
        <f aca="false">IF(H1427="","",IF(H1427&gt;=Assumptions!$B$5,1,IF(H1427&gt;=Assumptions!$B$6,2,IF(H1427&gt;=Assumptions!$B$7,3,""))))</f>
        <v/>
      </c>
      <c r="O1427" s="9" t="n">
        <f aca="false">IF(N1427=1,Assumptions!$B$8,IF(N1427=2,Assumptions!$B$9,IF(N1427=3,Assumptions!$B$10,0)))</f>
        <v>0</v>
      </c>
      <c r="P1427" s="6" t="s">
        <v>30</v>
      </c>
      <c r="Q1427" s="6" t="s">
        <v>30</v>
      </c>
      <c r="R1427" s="11" t="s">
        <v>30</v>
      </c>
      <c r="S1427" s="6" t="s">
        <v>30</v>
      </c>
      <c r="T1427" s="11" t="s">
        <v>30</v>
      </c>
      <c r="U1427" s="6" t="s">
        <v>30</v>
      </c>
      <c r="V1427" s="6" t="s">
        <v>30</v>
      </c>
      <c r="W1427" s="6" t="s">
        <v>30</v>
      </c>
      <c r="X1427" s="2" t="s">
        <v>30</v>
      </c>
      <c r="Y1427" s="6" t="str">
        <f aca="false">IF(AND(X1427="processed",ISNUMBER(S1427)),S1427*O1427,"")</f>
        <v/>
      </c>
      <c r="Z1427" s="6" t="n">
        <f aca="false">IF(ISNUMBER(K1427),K1427*O1427,0)</f>
        <v>0</v>
      </c>
      <c r="AA1427" s="2" t="s">
        <v>31</v>
      </c>
      <c r="AB1427" s="6" t="n">
        <v>5833</v>
      </c>
      <c r="AC1427" s="6" t="n">
        <v>4785</v>
      </c>
      <c r="AD1427" s="6" t="n">
        <v>3650</v>
      </c>
      <c r="AE1427" s="6" t="n">
        <v>2116.970703125</v>
      </c>
      <c r="AF1427" s="8" t="n">
        <v>282.058399798</v>
      </c>
      <c r="AG1427" s="11" t="n">
        <v>0.1269414711</v>
      </c>
      <c r="AH1427" s="12" t="n">
        <v>0.999972502736973</v>
      </c>
      <c r="AI1427" s="2" t="s">
        <v>317</v>
      </c>
      <c r="AJ1427" s="2" t="s">
        <v>3151</v>
      </c>
      <c r="AK1427" s="2" t="s">
        <v>3151</v>
      </c>
    </row>
    <row r="1428" customFormat="false" ht="15" hidden="false" customHeight="false" outlineLevel="0" collapsed="false">
      <c r="A1428" s="9"/>
      <c r="B1428" s="2" t="s">
        <v>3152</v>
      </c>
      <c r="C1428" s="2" t="s">
        <v>3153</v>
      </c>
      <c r="D1428" s="2" t="s">
        <v>1817</v>
      </c>
      <c r="E1428" s="2" t="s">
        <v>51</v>
      </c>
      <c r="F1428" s="2"/>
      <c r="G1428" s="2" t="s">
        <v>1818</v>
      </c>
      <c r="H1428" s="8" t="n">
        <v>327.493238966</v>
      </c>
      <c r="I1428" s="2" t="s">
        <v>316</v>
      </c>
      <c r="J1428" s="8" t="n">
        <v>508333.333333333</v>
      </c>
      <c r="K1428" s="6" t="n">
        <v>9</v>
      </c>
      <c r="L1428" s="2"/>
      <c r="M1428" s="10" t="b">
        <f aca="false">TRUE()</f>
        <v>1</v>
      </c>
      <c r="N1428" s="9" t="str">
        <f aca="false">IF(H1428="","",IF(H1428&gt;=Assumptions!$B$5,1,IF(H1428&gt;=Assumptions!$B$6,2,IF(H1428&gt;=Assumptions!$B$7,3,""))))</f>
        <v/>
      </c>
      <c r="O1428" s="9" t="n">
        <f aca="false">IF(N1428=1,Assumptions!$B$8,IF(N1428=2,Assumptions!$B$9,IF(N1428=3,Assumptions!$B$10,0)))</f>
        <v>0</v>
      </c>
      <c r="P1428" s="6" t="s">
        <v>30</v>
      </c>
      <c r="Q1428" s="6" t="s">
        <v>30</v>
      </c>
      <c r="R1428" s="11" t="s">
        <v>30</v>
      </c>
      <c r="S1428" s="6" t="s">
        <v>30</v>
      </c>
      <c r="T1428" s="11" t="s">
        <v>30</v>
      </c>
      <c r="U1428" s="6" t="s">
        <v>30</v>
      </c>
      <c r="V1428" s="6" t="s">
        <v>30</v>
      </c>
      <c r="W1428" s="6" t="s">
        <v>30</v>
      </c>
      <c r="X1428" s="2" t="s">
        <v>30</v>
      </c>
      <c r="Y1428" s="6" t="str">
        <f aca="false">IF(AND(X1428="processed",ISNUMBER(S1428)),S1428*O1428,"")</f>
        <v/>
      </c>
      <c r="Z1428" s="6" t="n">
        <f aca="false">IF(ISNUMBER(K1428),K1428*O1428,0)</f>
        <v>0</v>
      </c>
      <c r="AA1428" s="2" t="s">
        <v>31</v>
      </c>
      <c r="AB1428" s="6" t="n">
        <v>1163</v>
      </c>
      <c r="AC1428" s="6" t="n">
        <v>893</v>
      </c>
      <c r="AD1428" s="6" t="n">
        <v>1102</v>
      </c>
      <c r="AE1428" s="6" t="n">
        <v>1985.48413085938</v>
      </c>
      <c r="AF1428" s="8" t="n">
        <v>362.270714738</v>
      </c>
      <c r="AG1428" s="11"/>
      <c r="AH1428" s="12" t="n">
        <v>1</v>
      </c>
      <c r="AI1428" s="2" t="s">
        <v>321</v>
      </c>
      <c r="AJ1428" s="2" t="s">
        <v>3153</v>
      </c>
      <c r="AK1428" s="2" t="s">
        <v>3154</v>
      </c>
    </row>
    <row r="1429" customFormat="false" ht="15" hidden="false" customHeight="false" outlineLevel="0" collapsed="false">
      <c r="A1429" s="9"/>
      <c r="B1429" s="2" t="s">
        <v>3155</v>
      </c>
      <c r="C1429" s="2" t="s">
        <v>3156</v>
      </c>
      <c r="D1429" s="2" t="s">
        <v>2765</v>
      </c>
      <c r="E1429" s="2" t="s">
        <v>51</v>
      </c>
      <c r="F1429" s="2"/>
      <c r="G1429" s="2" t="s">
        <v>2766</v>
      </c>
      <c r="H1429" s="8" t="n">
        <v>318.806183497421</v>
      </c>
      <c r="I1429" s="2" t="s">
        <v>316</v>
      </c>
      <c r="J1429" s="8" t="n">
        <v>517656.842105263</v>
      </c>
      <c r="K1429" s="6" t="n">
        <v>38</v>
      </c>
      <c r="L1429" s="2"/>
      <c r="M1429" s="10" t="b">
        <f aca="false">TRUE()</f>
        <v>1</v>
      </c>
      <c r="N1429" s="9" t="str">
        <f aca="false">IF(H1429="","",IF(H1429&gt;=Assumptions!$B$5,1,IF(H1429&gt;=Assumptions!$B$6,2,IF(H1429&gt;=Assumptions!$B$7,3,""))))</f>
        <v/>
      </c>
      <c r="O1429" s="9" t="n">
        <f aca="false">IF(N1429=1,Assumptions!$B$8,IF(N1429=2,Assumptions!$B$9,IF(N1429=3,Assumptions!$B$10,0)))</f>
        <v>0</v>
      </c>
      <c r="P1429" s="6" t="s">
        <v>30</v>
      </c>
      <c r="Q1429" s="6" t="s">
        <v>30</v>
      </c>
      <c r="R1429" s="11" t="s">
        <v>30</v>
      </c>
      <c r="S1429" s="6" t="s">
        <v>30</v>
      </c>
      <c r="T1429" s="11" t="s">
        <v>30</v>
      </c>
      <c r="U1429" s="6" t="s">
        <v>30</v>
      </c>
      <c r="V1429" s="6" t="s">
        <v>30</v>
      </c>
      <c r="W1429" s="6" t="s">
        <v>30</v>
      </c>
      <c r="X1429" s="2" t="s">
        <v>30</v>
      </c>
      <c r="Y1429" s="6" t="str">
        <f aca="false">IF(AND(X1429="processed",ISNUMBER(S1429)),S1429*O1429,"")</f>
        <v/>
      </c>
      <c r="Z1429" s="6" t="n">
        <f aca="false">IF(ISNUMBER(K1429),K1429*O1429,0)</f>
        <v>0</v>
      </c>
      <c r="AA1429" s="2" t="s">
        <v>31</v>
      </c>
      <c r="AB1429" s="6" t="n">
        <v>4912</v>
      </c>
      <c r="AC1429" s="6" t="n">
        <v>4036</v>
      </c>
      <c r="AD1429" s="6" t="n">
        <v>4557</v>
      </c>
      <c r="AE1429" s="6" t="n">
        <v>2360.51904296875</v>
      </c>
      <c r="AF1429" s="8" t="n">
        <v>302.283429875</v>
      </c>
      <c r="AG1429" s="11" t="n">
        <v>0.07736373079</v>
      </c>
      <c r="AH1429" s="12" t="n">
        <v>0.99083440151333</v>
      </c>
      <c r="AI1429" s="2" t="s">
        <v>317</v>
      </c>
      <c r="AJ1429" s="2" t="s">
        <v>3156</v>
      </c>
      <c r="AK1429" s="2" t="s">
        <v>3157</v>
      </c>
    </row>
    <row r="1430" customFormat="false" ht="15" hidden="false" customHeight="false" outlineLevel="0" collapsed="false">
      <c r="A1430" s="9"/>
      <c r="B1430" s="2" t="s">
        <v>3158</v>
      </c>
      <c r="C1430" s="2" t="s">
        <v>3159</v>
      </c>
      <c r="D1430" s="2" t="s">
        <v>2773</v>
      </c>
      <c r="E1430" s="2" t="s">
        <v>51</v>
      </c>
      <c r="F1430" s="2"/>
      <c r="G1430" s="2"/>
      <c r="H1430" s="8"/>
      <c r="I1430" s="2"/>
      <c r="J1430" s="8"/>
      <c r="K1430" s="6"/>
      <c r="L1430" s="2"/>
      <c r="M1430" s="10" t="b">
        <f aca="false">TRUE()</f>
        <v>1</v>
      </c>
      <c r="N1430" s="9" t="str">
        <f aca="false">IF(H1430="","",IF(H1430&gt;=Assumptions!$B$5,1,IF(H1430&gt;=Assumptions!$B$6,2,IF(H1430&gt;=Assumptions!$B$7,3,""))))</f>
        <v/>
      </c>
      <c r="O1430" s="9" t="n">
        <f aca="false">IF(N1430=1,Assumptions!$B$8,IF(N1430=2,Assumptions!$B$9,IF(N1430=3,Assumptions!$B$10,0)))</f>
        <v>0</v>
      </c>
      <c r="P1430" s="6" t="s">
        <v>30</v>
      </c>
      <c r="Q1430" s="6" t="s">
        <v>30</v>
      </c>
      <c r="R1430" s="11" t="s">
        <v>30</v>
      </c>
      <c r="S1430" s="6" t="s">
        <v>30</v>
      </c>
      <c r="T1430" s="11" t="s">
        <v>30</v>
      </c>
      <c r="U1430" s="6" t="s">
        <v>30</v>
      </c>
      <c r="V1430" s="6" t="s">
        <v>30</v>
      </c>
      <c r="W1430" s="6" t="s">
        <v>30</v>
      </c>
      <c r="X1430" s="2" t="s">
        <v>30</v>
      </c>
      <c r="Y1430" s="6" t="str">
        <f aca="false">IF(AND(X1430="processed",ISNUMBER(S1430)),S1430*O1430,"")</f>
        <v/>
      </c>
      <c r="Z1430" s="6" t="n">
        <f aca="false">IF(ISNUMBER(K1430),K1430*O1430,0)</f>
        <v>0</v>
      </c>
      <c r="AA1430" s="2" t="s">
        <v>31</v>
      </c>
      <c r="AB1430" s="6" t="n">
        <v>102</v>
      </c>
      <c r="AC1430" s="6" t="n">
        <v>78</v>
      </c>
      <c r="AD1430" s="6" t="n">
        <v>102</v>
      </c>
      <c r="AE1430" s="6" t="n">
        <v>1495.44653320313</v>
      </c>
      <c r="AF1430" s="8"/>
      <c r="AG1430" s="11"/>
      <c r="AH1430" s="12" t="n">
        <v>0.999099180798085</v>
      </c>
      <c r="AI1430" s="2" t="s">
        <v>328</v>
      </c>
      <c r="AJ1430" s="2" t="s">
        <v>3159</v>
      </c>
      <c r="AK1430" s="2" t="s">
        <v>3159</v>
      </c>
    </row>
    <row r="1431" customFormat="false" ht="15" hidden="false" customHeight="false" outlineLevel="0" collapsed="false">
      <c r="A1431" s="9"/>
      <c r="B1431" s="2" t="s">
        <v>3160</v>
      </c>
      <c r="C1431" s="2" t="s">
        <v>3161</v>
      </c>
      <c r="D1431" s="2" t="s">
        <v>1817</v>
      </c>
      <c r="E1431" s="2" t="s">
        <v>51</v>
      </c>
      <c r="F1431" s="2"/>
      <c r="G1431" s="2" t="s">
        <v>1818</v>
      </c>
      <c r="H1431" s="8" t="n">
        <v>291.182517658116</v>
      </c>
      <c r="I1431" s="2" t="s">
        <v>316</v>
      </c>
      <c r="J1431" s="8" t="n">
        <v>534636.842105263</v>
      </c>
      <c r="K1431" s="6" t="n">
        <v>95</v>
      </c>
      <c r="L1431" s="2"/>
      <c r="M1431" s="10" t="b">
        <f aca="false">TRUE()</f>
        <v>1</v>
      </c>
      <c r="N1431" s="9" t="str">
        <f aca="false">IF(H1431="","",IF(H1431&gt;=Assumptions!$B$5,1,IF(H1431&gt;=Assumptions!$B$6,2,IF(H1431&gt;=Assumptions!$B$7,3,""))))</f>
        <v/>
      </c>
      <c r="O1431" s="9" t="n">
        <f aca="false">IF(N1431=1,Assumptions!$B$8,IF(N1431=2,Assumptions!$B$9,IF(N1431=3,Assumptions!$B$10,0)))</f>
        <v>0</v>
      </c>
      <c r="P1431" s="6" t="s">
        <v>30</v>
      </c>
      <c r="Q1431" s="6" t="s">
        <v>30</v>
      </c>
      <c r="R1431" s="11" t="s">
        <v>30</v>
      </c>
      <c r="S1431" s="6" t="s">
        <v>30</v>
      </c>
      <c r="T1431" s="11" t="s">
        <v>30</v>
      </c>
      <c r="U1431" s="6" t="s">
        <v>30</v>
      </c>
      <c r="V1431" s="6" t="s">
        <v>30</v>
      </c>
      <c r="W1431" s="6" t="s">
        <v>30</v>
      </c>
      <c r="X1431" s="2" t="s">
        <v>30</v>
      </c>
      <c r="Y1431" s="6" t="str">
        <f aca="false">IF(AND(X1431="processed",ISNUMBER(S1431)),S1431*O1431,"")</f>
        <v/>
      </c>
      <c r="Z1431" s="6" t="n">
        <f aca="false">IF(ISNUMBER(K1431),K1431*O1431,0)</f>
        <v>0</v>
      </c>
      <c r="AA1431" s="2" t="s">
        <v>31</v>
      </c>
      <c r="AB1431" s="6" t="n">
        <v>5583</v>
      </c>
      <c r="AC1431" s="6" t="n">
        <v>4801</v>
      </c>
      <c r="AD1431" s="6" t="n">
        <v>3389</v>
      </c>
      <c r="AE1431" s="6" t="n">
        <v>2461.35620117188</v>
      </c>
      <c r="AF1431" s="8" t="n">
        <v>273.291925466</v>
      </c>
      <c r="AG1431" s="11" t="n">
        <v>-0.04475669164</v>
      </c>
      <c r="AH1431" s="12" t="n">
        <v>1</v>
      </c>
      <c r="AI1431" s="2" t="s">
        <v>317</v>
      </c>
      <c r="AJ1431" s="2" t="s">
        <v>3161</v>
      </c>
      <c r="AK1431" s="2" t="s">
        <v>3161</v>
      </c>
    </row>
    <row r="1432" customFormat="false" ht="15" hidden="false" customHeight="false" outlineLevel="0" collapsed="false">
      <c r="A1432" s="9"/>
      <c r="B1432" s="2" t="s">
        <v>3162</v>
      </c>
      <c r="C1432" s="2" t="s">
        <v>3163</v>
      </c>
      <c r="D1432" s="2" t="s">
        <v>3120</v>
      </c>
      <c r="E1432" s="2" t="s">
        <v>51</v>
      </c>
      <c r="F1432" s="2"/>
      <c r="G1432" s="2" t="s">
        <v>3127</v>
      </c>
      <c r="H1432" s="8" t="n">
        <v>279.024120203708</v>
      </c>
      <c r="I1432" s="2" t="s">
        <v>316</v>
      </c>
      <c r="J1432" s="8" t="n">
        <v>429895.833333333</v>
      </c>
      <c r="K1432" s="6" t="n">
        <v>48</v>
      </c>
      <c r="L1432" s="2"/>
      <c r="M1432" s="10" t="b">
        <f aca="false">TRUE()</f>
        <v>1</v>
      </c>
      <c r="N1432" s="9" t="str">
        <f aca="false">IF(H1432="","",IF(H1432&gt;=Assumptions!$B$5,1,IF(H1432&gt;=Assumptions!$B$6,2,IF(H1432&gt;=Assumptions!$B$7,3,""))))</f>
        <v/>
      </c>
      <c r="O1432" s="9" t="n">
        <f aca="false">IF(N1432=1,Assumptions!$B$8,IF(N1432=2,Assumptions!$B$9,IF(N1432=3,Assumptions!$B$10,0)))</f>
        <v>0</v>
      </c>
      <c r="P1432" s="6" t="s">
        <v>30</v>
      </c>
      <c r="Q1432" s="6" t="s">
        <v>30</v>
      </c>
      <c r="R1432" s="11" t="s">
        <v>30</v>
      </c>
      <c r="S1432" s="6" t="s">
        <v>30</v>
      </c>
      <c r="T1432" s="11" t="s">
        <v>30</v>
      </c>
      <c r="U1432" s="6" t="s">
        <v>30</v>
      </c>
      <c r="V1432" s="6" t="s">
        <v>30</v>
      </c>
      <c r="W1432" s="6" t="s">
        <v>30</v>
      </c>
      <c r="X1432" s="2" t="s">
        <v>30</v>
      </c>
      <c r="Y1432" s="6" t="str">
        <f aca="false">IF(AND(X1432="processed",ISNUMBER(S1432)),S1432*O1432,"")</f>
        <v/>
      </c>
      <c r="Z1432" s="6" t="n">
        <f aca="false">IF(ISNUMBER(K1432),K1432*O1432,0)</f>
        <v>0</v>
      </c>
      <c r="AA1432" s="2" t="s">
        <v>31</v>
      </c>
      <c r="AB1432" s="6" t="n">
        <v>5769</v>
      </c>
      <c r="AC1432" s="6" t="n">
        <v>3879</v>
      </c>
      <c r="AD1432" s="6" t="n">
        <v>387</v>
      </c>
      <c r="AE1432" s="6" t="n">
        <v>1644.5556640625</v>
      </c>
      <c r="AF1432" s="8" t="n">
        <v>296.428571429</v>
      </c>
      <c r="AG1432" s="11" t="n">
        <v>0.07380417335</v>
      </c>
      <c r="AH1432" s="12" t="n">
        <v>0.998863432483144</v>
      </c>
      <c r="AI1432" s="2" t="s">
        <v>317</v>
      </c>
      <c r="AJ1432" s="2" t="s">
        <v>3163</v>
      </c>
      <c r="AK1432" s="2" t="s">
        <v>3164</v>
      </c>
    </row>
    <row r="1433" customFormat="false" ht="15" hidden="false" customHeight="false" outlineLevel="0" collapsed="false">
      <c r="A1433" s="9"/>
      <c r="B1433" s="2" t="s">
        <v>3165</v>
      </c>
      <c r="C1433" s="2" t="s">
        <v>3166</v>
      </c>
      <c r="D1433" s="2" t="s">
        <v>1817</v>
      </c>
      <c r="E1433" s="2" t="s">
        <v>51</v>
      </c>
      <c r="F1433" s="2"/>
      <c r="G1433" s="2" t="s">
        <v>1818</v>
      </c>
      <c r="H1433" s="8" t="n">
        <v>255.642146041609</v>
      </c>
      <c r="I1433" s="2" t="s">
        <v>316</v>
      </c>
      <c r="J1433" s="8" t="n">
        <v>533239.130434783</v>
      </c>
      <c r="K1433" s="6" t="n">
        <v>23</v>
      </c>
      <c r="L1433" s="2"/>
      <c r="M1433" s="10" t="b">
        <f aca="false">TRUE()</f>
        <v>1</v>
      </c>
      <c r="N1433" s="9" t="str">
        <f aca="false">IF(H1433="","",IF(H1433&gt;=Assumptions!$B$5,1,IF(H1433&gt;=Assumptions!$B$6,2,IF(H1433&gt;=Assumptions!$B$7,3,""))))</f>
        <v/>
      </c>
      <c r="O1433" s="9" t="n">
        <f aca="false">IF(N1433=1,Assumptions!$B$8,IF(N1433=2,Assumptions!$B$9,IF(N1433=3,Assumptions!$B$10,0)))</f>
        <v>0</v>
      </c>
      <c r="P1433" s="6" t="s">
        <v>30</v>
      </c>
      <c r="Q1433" s="6" t="s">
        <v>30</v>
      </c>
      <c r="R1433" s="11" t="s">
        <v>30</v>
      </c>
      <c r="S1433" s="6" t="s">
        <v>30</v>
      </c>
      <c r="T1433" s="11" t="s">
        <v>30</v>
      </c>
      <c r="U1433" s="6" t="s">
        <v>30</v>
      </c>
      <c r="V1433" s="6" t="s">
        <v>30</v>
      </c>
      <c r="W1433" s="6" t="s">
        <v>30</v>
      </c>
      <c r="X1433" s="2" t="s">
        <v>30</v>
      </c>
      <c r="Y1433" s="6" t="str">
        <f aca="false">IF(AND(X1433="processed",ISNUMBER(S1433)),S1433*O1433,"")</f>
        <v/>
      </c>
      <c r="Z1433" s="6" t="n">
        <f aca="false">IF(ISNUMBER(K1433),K1433*O1433,0)</f>
        <v>0</v>
      </c>
      <c r="AA1433" s="2" t="s">
        <v>31</v>
      </c>
      <c r="AB1433" s="6" t="n">
        <v>1383</v>
      </c>
      <c r="AC1433" s="6" t="n">
        <v>1314</v>
      </c>
      <c r="AD1433" s="6" t="n">
        <v>596</v>
      </c>
      <c r="AE1433" s="6" t="n">
        <v>2151.46728515625</v>
      </c>
      <c r="AF1433" s="8" t="n">
        <v>243.02955983</v>
      </c>
      <c r="AG1433" s="11" t="n">
        <v>-0.2459688131</v>
      </c>
      <c r="AH1433" s="12" t="n">
        <v>1</v>
      </c>
      <c r="AI1433" s="2" t="s">
        <v>317</v>
      </c>
      <c r="AJ1433" s="2" t="s">
        <v>3166</v>
      </c>
      <c r="AK1433" s="2" t="s">
        <v>3166</v>
      </c>
    </row>
    <row r="1434" customFormat="false" ht="15" hidden="false" customHeight="false" outlineLevel="0" collapsed="false">
      <c r="A1434" s="9"/>
      <c r="B1434" s="2" t="s">
        <v>3167</v>
      </c>
      <c r="C1434" s="2" t="s">
        <v>3168</v>
      </c>
      <c r="D1434" s="2" t="s">
        <v>3120</v>
      </c>
      <c r="E1434" s="2" t="s">
        <v>51</v>
      </c>
      <c r="F1434" s="2"/>
      <c r="G1434" s="2" t="s">
        <v>3127</v>
      </c>
      <c r="H1434" s="8" t="n">
        <v>238.170281169788</v>
      </c>
      <c r="I1434" s="2" t="s">
        <v>316</v>
      </c>
      <c r="J1434" s="8" t="n">
        <v>375924.242424242</v>
      </c>
      <c r="K1434" s="6" t="n">
        <v>33</v>
      </c>
      <c r="L1434" s="2"/>
      <c r="M1434" s="10" t="b">
        <f aca="false">TRUE()</f>
        <v>1</v>
      </c>
      <c r="N1434" s="9" t="str">
        <f aca="false">IF(H1434="","",IF(H1434&gt;=Assumptions!$B$5,1,IF(H1434&gt;=Assumptions!$B$6,2,IF(H1434&gt;=Assumptions!$B$7,3,""))))</f>
        <v/>
      </c>
      <c r="O1434" s="9" t="n">
        <f aca="false">IF(N1434=1,Assumptions!$B$8,IF(N1434=2,Assumptions!$B$9,IF(N1434=3,Assumptions!$B$10,0)))</f>
        <v>0</v>
      </c>
      <c r="P1434" s="6" t="s">
        <v>30</v>
      </c>
      <c r="Q1434" s="6" t="s">
        <v>30</v>
      </c>
      <c r="R1434" s="11" t="s">
        <v>30</v>
      </c>
      <c r="S1434" s="6" t="s">
        <v>30</v>
      </c>
      <c r="T1434" s="11" t="s">
        <v>30</v>
      </c>
      <c r="U1434" s="6" t="s">
        <v>30</v>
      </c>
      <c r="V1434" s="6" t="s">
        <v>30</v>
      </c>
      <c r="W1434" s="6" t="s">
        <v>30</v>
      </c>
      <c r="X1434" s="2" t="s">
        <v>30</v>
      </c>
      <c r="Y1434" s="6" t="str">
        <f aca="false">IF(AND(X1434="processed",ISNUMBER(S1434)),S1434*O1434,"")</f>
        <v/>
      </c>
      <c r="Z1434" s="6" t="n">
        <f aca="false">IF(ISNUMBER(K1434),K1434*O1434,0)</f>
        <v>0</v>
      </c>
      <c r="AA1434" s="2" t="s">
        <v>31</v>
      </c>
      <c r="AB1434" s="6" t="n">
        <v>3380</v>
      </c>
      <c r="AC1434" s="6" t="n">
        <v>2102</v>
      </c>
      <c r="AD1434" s="6" t="n">
        <v>641</v>
      </c>
      <c r="AE1434" s="6" t="n">
        <v>1843.64099121094</v>
      </c>
      <c r="AF1434" s="8" t="n">
        <v>256.791924222</v>
      </c>
      <c r="AG1434" s="11" t="n">
        <v>0.1407487403</v>
      </c>
      <c r="AH1434" s="12" t="n">
        <v>0.491197897836146</v>
      </c>
      <c r="AI1434" s="2" t="s">
        <v>317</v>
      </c>
      <c r="AJ1434" s="2" t="s">
        <v>3168</v>
      </c>
      <c r="AK1434" s="2" t="s">
        <v>266</v>
      </c>
    </row>
    <row r="1435" customFormat="false" ht="15" hidden="false" customHeight="false" outlineLevel="0" collapsed="false">
      <c r="A1435" s="9"/>
      <c r="B1435" s="2" t="s">
        <v>3169</v>
      </c>
      <c r="C1435" s="2" t="s">
        <v>3070</v>
      </c>
      <c r="D1435" s="2" t="s">
        <v>2837</v>
      </c>
      <c r="E1435" s="2" t="s">
        <v>51</v>
      </c>
      <c r="F1435" s="2"/>
      <c r="G1435" s="2" t="s">
        <v>3032</v>
      </c>
      <c r="H1435" s="8" t="n">
        <v>298.615183128239</v>
      </c>
      <c r="I1435" s="2" t="s">
        <v>316</v>
      </c>
      <c r="J1435" s="8" t="n">
        <v>695423.616751269</v>
      </c>
      <c r="K1435" s="6" t="n">
        <v>394</v>
      </c>
      <c r="L1435" s="2"/>
      <c r="M1435" s="10" t="b">
        <f aca="false">TRUE()</f>
        <v>1</v>
      </c>
      <c r="N1435" s="9" t="str">
        <f aca="false">IF(H1435="","",IF(H1435&gt;=Assumptions!$B$5,1,IF(H1435&gt;=Assumptions!$B$6,2,IF(H1435&gt;=Assumptions!$B$7,3,""))))</f>
        <v/>
      </c>
      <c r="O1435" s="9" t="n">
        <f aca="false">IF(N1435=1,Assumptions!$B$8,IF(N1435=2,Assumptions!$B$9,IF(N1435=3,Assumptions!$B$10,0)))</f>
        <v>0</v>
      </c>
      <c r="P1435" s="6" t="s">
        <v>30</v>
      </c>
      <c r="Q1435" s="6" t="s">
        <v>30</v>
      </c>
      <c r="R1435" s="11" t="s">
        <v>30</v>
      </c>
      <c r="S1435" s="6" t="s">
        <v>30</v>
      </c>
      <c r="T1435" s="11" t="s">
        <v>30</v>
      </c>
      <c r="U1435" s="6" t="s">
        <v>30</v>
      </c>
      <c r="V1435" s="6" t="s">
        <v>30</v>
      </c>
      <c r="W1435" s="6" t="s">
        <v>30</v>
      </c>
      <c r="X1435" s="2" t="s">
        <v>30</v>
      </c>
      <c r="Y1435" s="6" t="str">
        <f aca="false">IF(AND(X1435="processed",ISNUMBER(S1435)),S1435*O1435,"")</f>
        <v/>
      </c>
      <c r="Z1435" s="6" t="n">
        <f aca="false">IF(ISNUMBER(K1435),K1435*O1435,0)</f>
        <v>0</v>
      </c>
      <c r="AA1435" s="2" t="s">
        <v>31</v>
      </c>
      <c r="AB1435" s="6" t="n">
        <v>10535</v>
      </c>
      <c r="AC1435" s="6" t="n">
        <v>9792</v>
      </c>
      <c r="AD1435" s="6" t="n">
        <v>1329</v>
      </c>
      <c r="AE1435" s="6" t="n">
        <v>2251.12622070313</v>
      </c>
      <c r="AF1435" s="8" t="n">
        <v>290.070367475</v>
      </c>
      <c r="AG1435" s="11" t="n">
        <v>-0.09331144446</v>
      </c>
      <c r="AH1435" s="12" t="n">
        <v>1</v>
      </c>
      <c r="AI1435" s="2" t="s">
        <v>317</v>
      </c>
      <c r="AJ1435" s="2" t="s">
        <v>3070</v>
      </c>
      <c r="AK1435" s="2" t="s">
        <v>3070</v>
      </c>
    </row>
    <row r="1436" customFormat="false" ht="15" hidden="false" customHeight="false" outlineLevel="0" collapsed="false">
      <c r="A1436" s="9"/>
      <c r="B1436" s="2" t="s">
        <v>3170</v>
      </c>
      <c r="C1436" s="2" t="s">
        <v>3171</v>
      </c>
      <c r="D1436" s="2" t="s">
        <v>2765</v>
      </c>
      <c r="E1436" s="2" t="s">
        <v>51</v>
      </c>
      <c r="F1436" s="2"/>
      <c r="G1436" s="2" t="s">
        <v>2766</v>
      </c>
      <c r="H1436" s="8" t="n">
        <v>279.001322751333</v>
      </c>
      <c r="I1436" s="2" t="s">
        <v>316</v>
      </c>
      <c r="J1436" s="8" t="n">
        <v>293333.333333333</v>
      </c>
      <c r="K1436" s="6" t="n">
        <v>6</v>
      </c>
      <c r="L1436" s="2"/>
      <c r="M1436" s="10" t="b">
        <f aca="false">TRUE()</f>
        <v>1</v>
      </c>
      <c r="N1436" s="9" t="str">
        <f aca="false">IF(H1436="","",IF(H1436&gt;=Assumptions!$B$5,1,IF(H1436&gt;=Assumptions!$B$6,2,IF(H1436&gt;=Assumptions!$B$7,3,""))))</f>
        <v/>
      </c>
      <c r="O1436" s="9" t="n">
        <f aca="false">IF(N1436=1,Assumptions!$B$8,IF(N1436=2,Assumptions!$B$9,IF(N1436=3,Assumptions!$B$10,0)))</f>
        <v>0</v>
      </c>
      <c r="P1436" s="6" t="s">
        <v>30</v>
      </c>
      <c r="Q1436" s="6" t="s">
        <v>30</v>
      </c>
      <c r="R1436" s="11" t="s">
        <v>30</v>
      </c>
      <c r="S1436" s="6" t="s">
        <v>30</v>
      </c>
      <c r="T1436" s="11" t="s">
        <v>30</v>
      </c>
      <c r="U1436" s="6" t="s">
        <v>30</v>
      </c>
      <c r="V1436" s="6" t="s">
        <v>30</v>
      </c>
      <c r="W1436" s="6" t="s">
        <v>30</v>
      </c>
      <c r="X1436" s="2" t="s">
        <v>30</v>
      </c>
      <c r="Y1436" s="6" t="str">
        <f aca="false">IF(AND(X1436="processed",ISNUMBER(S1436)),S1436*O1436,"")</f>
        <v/>
      </c>
      <c r="Z1436" s="6" t="n">
        <f aca="false">IF(ISNUMBER(K1436),K1436*O1436,0)</f>
        <v>0</v>
      </c>
      <c r="AA1436" s="2" t="s">
        <v>31</v>
      </c>
      <c r="AB1436" s="6" t="n">
        <v>2040</v>
      </c>
      <c r="AC1436" s="6" t="n">
        <v>1654</v>
      </c>
      <c r="AD1436" s="6" t="n">
        <v>1684</v>
      </c>
      <c r="AE1436" s="6" t="n">
        <v>2009.81115722656</v>
      </c>
      <c r="AF1436" s="8" t="n">
        <v>300</v>
      </c>
      <c r="AG1436" s="11" t="n">
        <v>0.05280402884</v>
      </c>
      <c r="AH1436" s="12" t="n">
        <v>0.999307672617047</v>
      </c>
      <c r="AI1436" s="2" t="s">
        <v>328</v>
      </c>
      <c r="AJ1436" s="2" t="s">
        <v>3171</v>
      </c>
      <c r="AK1436" s="2" t="s">
        <v>3172</v>
      </c>
    </row>
    <row r="1437" customFormat="false" ht="15" hidden="false" customHeight="false" outlineLevel="0" collapsed="false">
      <c r="A1437" s="9"/>
      <c r="B1437" s="2" t="s">
        <v>3173</v>
      </c>
      <c r="C1437" s="2" t="s">
        <v>3114</v>
      </c>
      <c r="D1437" s="2" t="s">
        <v>2765</v>
      </c>
      <c r="E1437" s="2" t="s">
        <v>51</v>
      </c>
      <c r="F1437" s="2"/>
      <c r="G1437" s="2" t="s">
        <v>2766</v>
      </c>
      <c r="H1437" s="8" t="n">
        <v>274.005888563875</v>
      </c>
      <c r="I1437" s="2" t="s">
        <v>316</v>
      </c>
      <c r="J1437" s="8" t="n">
        <v>427875</v>
      </c>
      <c r="K1437" s="6" t="n">
        <v>40</v>
      </c>
      <c r="L1437" s="2"/>
      <c r="M1437" s="10" t="b">
        <f aca="false">TRUE()</f>
        <v>1</v>
      </c>
      <c r="N1437" s="9" t="str">
        <f aca="false">IF(H1437="","",IF(H1437&gt;=Assumptions!$B$5,1,IF(H1437&gt;=Assumptions!$B$6,2,IF(H1437&gt;=Assumptions!$B$7,3,""))))</f>
        <v/>
      </c>
      <c r="O1437" s="9" t="n">
        <f aca="false">IF(N1437=1,Assumptions!$B$8,IF(N1437=2,Assumptions!$B$9,IF(N1437=3,Assumptions!$B$10,0)))</f>
        <v>0</v>
      </c>
      <c r="P1437" s="6" t="s">
        <v>30</v>
      </c>
      <c r="Q1437" s="6" t="s">
        <v>30</v>
      </c>
      <c r="R1437" s="11" t="s">
        <v>30</v>
      </c>
      <c r="S1437" s="6" t="s">
        <v>30</v>
      </c>
      <c r="T1437" s="11" t="s">
        <v>30</v>
      </c>
      <c r="U1437" s="6" t="s">
        <v>30</v>
      </c>
      <c r="V1437" s="6" t="s">
        <v>30</v>
      </c>
      <c r="W1437" s="6" t="s">
        <v>30</v>
      </c>
      <c r="X1437" s="2" t="s">
        <v>30</v>
      </c>
      <c r="Y1437" s="6" t="str">
        <f aca="false">IF(AND(X1437="processed",ISNUMBER(S1437)),S1437*O1437,"")</f>
        <v/>
      </c>
      <c r="Z1437" s="6" t="n">
        <f aca="false">IF(ISNUMBER(K1437),K1437*O1437,0)</f>
        <v>0</v>
      </c>
      <c r="AA1437" s="2" t="s">
        <v>31</v>
      </c>
      <c r="AB1437" s="6" t="n">
        <v>6158</v>
      </c>
      <c r="AC1437" s="6" t="n">
        <v>5383</v>
      </c>
      <c r="AD1437" s="6" t="n">
        <v>3464</v>
      </c>
      <c r="AE1437" s="6" t="n">
        <v>2285.4130859375</v>
      </c>
      <c r="AF1437" s="8" t="n">
        <v>287.356321839</v>
      </c>
      <c r="AG1437" s="11" t="n">
        <v>0.1549225387</v>
      </c>
      <c r="AH1437" s="12" t="n">
        <v>0.999999999999998</v>
      </c>
      <c r="AI1437" s="2" t="s">
        <v>317</v>
      </c>
      <c r="AJ1437" s="2" t="s">
        <v>3114</v>
      </c>
      <c r="AK1437" s="2" t="s">
        <v>3114</v>
      </c>
    </row>
    <row r="1438" customFormat="false" ht="15" hidden="false" customHeight="false" outlineLevel="0" collapsed="false">
      <c r="A1438" s="9"/>
      <c r="B1438" s="2" t="s">
        <v>3174</v>
      </c>
      <c r="C1438" s="2" t="s">
        <v>3175</v>
      </c>
      <c r="D1438" s="2" t="s">
        <v>3120</v>
      </c>
      <c r="E1438" s="2" t="s">
        <v>51</v>
      </c>
      <c r="F1438" s="2"/>
      <c r="G1438" s="2" t="s">
        <v>3127</v>
      </c>
      <c r="H1438" s="8" t="n">
        <v>257.003588990532</v>
      </c>
      <c r="I1438" s="2" t="s">
        <v>316</v>
      </c>
      <c r="J1438" s="8" t="n">
        <v>323723.404255319</v>
      </c>
      <c r="K1438" s="6" t="n">
        <v>47</v>
      </c>
      <c r="L1438" s="2"/>
      <c r="M1438" s="10" t="b">
        <f aca="false">TRUE()</f>
        <v>1</v>
      </c>
      <c r="N1438" s="9" t="str">
        <f aca="false">IF(H1438="","",IF(H1438&gt;=Assumptions!$B$5,1,IF(H1438&gt;=Assumptions!$B$6,2,IF(H1438&gt;=Assumptions!$B$7,3,""))))</f>
        <v/>
      </c>
      <c r="O1438" s="9" t="n">
        <f aca="false">IF(N1438=1,Assumptions!$B$8,IF(N1438=2,Assumptions!$B$9,IF(N1438=3,Assumptions!$B$10,0)))</f>
        <v>0</v>
      </c>
      <c r="P1438" s="6" t="s">
        <v>30</v>
      </c>
      <c r="Q1438" s="6" t="s">
        <v>30</v>
      </c>
      <c r="R1438" s="11" t="s">
        <v>30</v>
      </c>
      <c r="S1438" s="6" t="s">
        <v>30</v>
      </c>
      <c r="T1438" s="11" t="s">
        <v>30</v>
      </c>
      <c r="U1438" s="6" t="s">
        <v>30</v>
      </c>
      <c r="V1438" s="6" t="s">
        <v>30</v>
      </c>
      <c r="W1438" s="6" t="s">
        <v>30</v>
      </c>
      <c r="X1438" s="2" t="s">
        <v>30</v>
      </c>
      <c r="Y1438" s="6" t="str">
        <f aca="false">IF(AND(X1438="processed",ISNUMBER(S1438)),S1438*O1438,"")</f>
        <v/>
      </c>
      <c r="Z1438" s="6" t="n">
        <f aca="false">IF(ISNUMBER(K1438),K1438*O1438,0)</f>
        <v>0</v>
      </c>
      <c r="AA1438" s="2" t="s">
        <v>31</v>
      </c>
      <c r="AB1438" s="6" t="n">
        <v>1669</v>
      </c>
      <c r="AC1438" s="6" t="n">
        <v>1299</v>
      </c>
      <c r="AD1438" s="6" t="n">
        <v>7</v>
      </c>
      <c r="AE1438" s="6" t="n">
        <v>1362.94616699219</v>
      </c>
      <c r="AF1438" s="8" t="n">
        <v>292.96875</v>
      </c>
      <c r="AG1438" s="11" t="n">
        <v>0.01265285326</v>
      </c>
      <c r="AH1438" s="12" t="n">
        <v>0.999999999999999</v>
      </c>
      <c r="AI1438" s="2" t="s">
        <v>321</v>
      </c>
      <c r="AJ1438" s="2" t="s">
        <v>3175</v>
      </c>
      <c r="AK1438" s="2" t="s">
        <v>3175</v>
      </c>
    </row>
    <row r="1439" customFormat="false" ht="15" hidden="false" customHeight="false" outlineLevel="0" collapsed="false">
      <c r="A1439" s="9"/>
      <c r="B1439" s="2" t="s">
        <v>3176</v>
      </c>
      <c r="C1439" s="2" t="s">
        <v>3177</v>
      </c>
      <c r="D1439" s="2" t="s">
        <v>2837</v>
      </c>
      <c r="E1439" s="2" t="s">
        <v>51</v>
      </c>
      <c r="F1439" s="2"/>
      <c r="G1439" s="2" t="s">
        <v>3032</v>
      </c>
      <c r="H1439" s="8" t="n">
        <v>320.196666534261</v>
      </c>
      <c r="I1439" s="2" t="s">
        <v>316</v>
      </c>
      <c r="J1439" s="8" t="n">
        <v>533414.492753623</v>
      </c>
      <c r="K1439" s="6" t="n">
        <v>345</v>
      </c>
      <c r="L1439" s="2"/>
      <c r="M1439" s="10" t="b">
        <f aca="false">TRUE()</f>
        <v>1</v>
      </c>
      <c r="N1439" s="9" t="str">
        <f aca="false">IF(H1439="","",IF(H1439&gt;=Assumptions!$B$5,1,IF(H1439&gt;=Assumptions!$B$6,2,IF(H1439&gt;=Assumptions!$B$7,3,""))))</f>
        <v/>
      </c>
      <c r="O1439" s="9" t="n">
        <f aca="false">IF(N1439=1,Assumptions!$B$8,IF(N1439=2,Assumptions!$B$9,IF(N1439=3,Assumptions!$B$10,0)))</f>
        <v>0</v>
      </c>
      <c r="P1439" s="6" t="s">
        <v>30</v>
      </c>
      <c r="Q1439" s="6" t="s">
        <v>30</v>
      </c>
      <c r="R1439" s="11" t="s">
        <v>30</v>
      </c>
      <c r="S1439" s="6" t="s">
        <v>30</v>
      </c>
      <c r="T1439" s="11" t="s">
        <v>30</v>
      </c>
      <c r="U1439" s="6" t="s">
        <v>30</v>
      </c>
      <c r="V1439" s="6" t="s">
        <v>30</v>
      </c>
      <c r="W1439" s="6" t="s">
        <v>30</v>
      </c>
      <c r="X1439" s="2" t="s">
        <v>30</v>
      </c>
      <c r="Y1439" s="6" t="str">
        <f aca="false">IF(AND(X1439="processed",ISNUMBER(S1439)),S1439*O1439,"")</f>
        <v/>
      </c>
      <c r="Z1439" s="6" t="n">
        <f aca="false">IF(ISNUMBER(K1439),K1439*O1439,0)</f>
        <v>0</v>
      </c>
      <c r="AA1439" s="2" t="s">
        <v>31</v>
      </c>
      <c r="AB1439" s="6" t="n">
        <v>18249</v>
      </c>
      <c r="AC1439" s="6" t="n">
        <v>16687</v>
      </c>
      <c r="AD1439" s="6" t="n">
        <v>5027</v>
      </c>
      <c r="AE1439" s="6" t="n">
        <v>2446.38549804688</v>
      </c>
      <c r="AF1439" s="8" t="n">
        <v>328.683542982</v>
      </c>
      <c r="AG1439" s="11" t="n">
        <v>-0.01997061084</v>
      </c>
      <c r="AH1439" s="12" t="n">
        <v>1</v>
      </c>
      <c r="AI1439" s="2" t="s">
        <v>317</v>
      </c>
      <c r="AJ1439" s="2" t="s">
        <v>3177</v>
      </c>
      <c r="AK1439" s="2" t="s">
        <v>3177</v>
      </c>
    </row>
    <row r="1440" customFormat="false" ht="15" hidden="false" customHeight="false" outlineLevel="0" collapsed="false">
      <c r="A1440" s="9"/>
      <c r="B1440" s="2" t="s">
        <v>3178</v>
      </c>
      <c r="C1440" s="2" t="s">
        <v>3177</v>
      </c>
      <c r="D1440" s="2" t="s">
        <v>2837</v>
      </c>
      <c r="E1440" s="2" t="s">
        <v>51</v>
      </c>
      <c r="F1440" s="2"/>
      <c r="G1440" s="2" t="s">
        <v>3032</v>
      </c>
      <c r="H1440" s="8" t="n">
        <v>292.168728827665</v>
      </c>
      <c r="I1440" s="2" t="s">
        <v>316</v>
      </c>
      <c r="J1440" s="8" t="n">
        <v>645757.178899083</v>
      </c>
      <c r="K1440" s="6" t="n">
        <v>436</v>
      </c>
      <c r="L1440" s="2"/>
      <c r="M1440" s="10" t="b">
        <f aca="false">TRUE()</f>
        <v>1</v>
      </c>
      <c r="N1440" s="9" t="str">
        <f aca="false">IF(H1440="","",IF(H1440&gt;=Assumptions!$B$5,1,IF(H1440&gt;=Assumptions!$B$6,2,IF(H1440&gt;=Assumptions!$B$7,3,""))))</f>
        <v/>
      </c>
      <c r="O1440" s="9" t="n">
        <f aca="false">IF(N1440=1,Assumptions!$B$8,IF(N1440=2,Assumptions!$B$9,IF(N1440=3,Assumptions!$B$10,0)))</f>
        <v>0</v>
      </c>
      <c r="P1440" s="6" t="s">
        <v>30</v>
      </c>
      <c r="Q1440" s="6" t="s">
        <v>30</v>
      </c>
      <c r="R1440" s="11" t="s">
        <v>30</v>
      </c>
      <c r="S1440" s="6" t="s">
        <v>30</v>
      </c>
      <c r="T1440" s="11" t="s">
        <v>30</v>
      </c>
      <c r="U1440" s="6" t="s">
        <v>30</v>
      </c>
      <c r="V1440" s="6" t="s">
        <v>30</v>
      </c>
      <c r="W1440" s="6" t="s">
        <v>30</v>
      </c>
      <c r="X1440" s="2" t="s">
        <v>30</v>
      </c>
      <c r="Y1440" s="6" t="str">
        <f aca="false">IF(AND(X1440="processed",ISNUMBER(S1440)),S1440*O1440,"")</f>
        <v/>
      </c>
      <c r="Z1440" s="6" t="n">
        <f aca="false">IF(ISNUMBER(K1440),K1440*O1440,0)</f>
        <v>0</v>
      </c>
      <c r="AA1440" s="2" t="s">
        <v>31</v>
      </c>
      <c r="AB1440" s="6" t="n">
        <v>15969</v>
      </c>
      <c r="AC1440" s="6" t="n">
        <v>14641</v>
      </c>
      <c r="AD1440" s="6" t="n">
        <v>4134</v>
      </c>
      <c r="AE1440" s="6" t="n">
        <v>2500.35375976563</v>
      </c>
      <c r="AF1440" s="8" t="n">
        <v>286.294791282</v>
      </c>
      <c r="AG1440" s="11" t="n">
        <v>-0.0645224742</v>
      </c>
      <c r="AH1440" s="12" t="n">
        <v>0.999837810117926</v>
      </c>
      <c r="AI1440" s="2" t="s">
        <v>321</v>
      </c>
      <c r="AJ1440" s="2" t="s">
        <v>3177</v>
      </c>
      <c r="AK1440" s="2" t="s">
        <v>3177</v>
      </c>
    </row>
    <row r="1441" customFormat="false" ht="15" hidden="false" customHeight="false" outlineLevel="0" collapsed="false">
      <c r="A1441" s="9"/>
      <c r="B1441" s="2" t="s">
        <v>3179</v>
      </c>
      <c r="C1441" s="2" t="s">
        <v>2773</v>
      </c>
      <c r="D1441" s="2" t="s">
        <v>2773</v>
      </c>
      <c r="E1441" s="2" t="s">
        <v>51</v>
      </c>
      <c r="F1441" s="2"/>
      <c r="G1441" s="2"/>
      <c r="H1441" s="8"/>
      <c r="I1441" s="2"/>
      <c r="J1441" s="8"/>
      <c r="K1441" s="6"/>
      <c r="L1441" s="2"/>
      <c r="M1441" s="10" t="b">
        <f aca="false">TRUE()</f>
        <v>1</v>
      </c>
      <c r="N1441" s="9" t="str">
        <f aca="false">IF(H1441="","",IF(H1441&gt;=Assumptions!$B$5,1,IF(H1441&gt;=Assumptions!$B$6,2,IF(H1441&gt;=Assumptions!$B$7,3,""))))</f>
        <v/>
      </c>
      <c r="O1441" s="9" t="n">
        <f aca="false">IF(N1441=1,Assumptions!$B$8,IF(N1441=2,Assumptions!$B$9,IF(N1441=3,Assumptions!$B$10,0)))</f>
        <v>0</v>
      </c>
      <c r="P1441" s="6" t="s">
        <v>30</v>
      </c>
      <c r="Q1441" s="6" t="s">
        <v>30</v>
      </c>
      <c r="R1441" s="11" t="s">
        <v>30</v>
      </c>
      <c r="S1441" s="6" t="s">
        <v>30</v>
      </c>
      <c r="T1441" s="11" t="s">
        <v>30</v>
      </c>
      <c r="U1441" s="6" t="s">
        <v>30</v>
      </c>
      <c r="V1441" s="6" t="s">
        <v>30</v>
      </c>
      <c r="W1441" s="6" t="s">
        <v>30</v>
      </c>
      <c r="X1441" s="2" t="s">
        <v>30</v>
      </c>
      <c r="Y1441" s="6" t="str">
        <f aca="false">IF(AND(X1441="processed",ISNUMBER(S1441)),S1441*O1441,"")</f>
        <v/>
      </c>
      <c r="Z1441" s="6" t="n">
        <f aca="false">IF(ISNUMBER(K1441),K1441*O1441,0)</f>
        <v>0</v>
      </c>
      <c r="AA1441" s="2" t="s">
        <v>31</v>
      </c>
      <c r="AB1441" s="6" t="n">
        <v>10252</v>
      </c>
      <c r="AC1441" s="6" t="n">
        <v>8309</v>
      </c>
      <c r="AD1441" s="6" t="n">
        <v>7425</v>
      </c>
      <c r="AE1441" s="6" t="n">
        <v>1780.16149902344</v>
      </c>
      <c r="AF1441" s="8"/>
      <c r="AG1441" s="11"/>
      <c r="AH1441" s="12" t="n">
        <v>0.999940595607585</v>
      </c>
      <c r="AI1441" s="2" t="s">
        <v>317</v>
      </c>
      <c r="AJ1441" s="2" t="s">
        <v>2773</v>
      </c>
      <c r="AK1441" s="2" t="s">
        <v>2773</v>
      </c>
    </row>
    <row r="1442" customFormat="false" ht="15" hidden="false" customHeight="false" outlineLevel="0" collapsed="false">
      <c r="A1442" s="9"/>
      <c r="B1442" s="2" t="s">
        <v>3180</v>
      </c>
      <c r="C1442" s="2" t="s">
        <v>2765</v>
      </c>
      <c r="D1442" s="2" t="s">
        <v>2765</v>
      </c>
      <c r="E1442" s="2" t="s">
        <v>51</v>
      </c>
      <c r="F1442" s="2" t="s">
        <v>3181</v>
      </c>
      <c r="G1442" s="2" t="s">
        <v>2766</v>
      </c>
      <c r="H1442" s="8" t="n">
        <v>246.744346707055</v>
      </c>
      <c r="I1442" s="2" t="s">
        <v>316</v>
      </c>
      <c r="J1442" s="8" t="n">
        <v>391432.692307692</v>
      </c>
      <c r="K1442" s="6" t="n">
        <v>312</v>
      </c>
      <c r="L1442" s="2"/>
      <c r="M1442" s="10" t="b">
        <f aca="false">TRUE()</f>
        <v>1</v>
      </c>
      <c r="N1442" s="9" t="str">
        <f aca="false">IF(H1442="","",IF(H1442&gt;=Assumptions!$B$5,1,IF(H1442&gt;=Assumptions!$B$6,2,IF(H1442&gt;=Assumptions!$B$7,3,""))))</f>
        <v/>
      </c>
      <c r="O1442" s="9" t="n">
        <f aca="false">IF(N1442=1,Assumptions!$B$8,IF(N1442=2,Assumptions!$B$9,IF(N1442=3,Assumptions!$B$10,0)))</f>
        <v>0</v>
      </c>
      <c r="P1442" s="6" t="s">
        <v>30</v>
      </c>
      <c r="Q1442" s="6" t="s">
        <v>30</v>
      </c>
      <c r="R1442" s="11" t="s">
        <v>30</v>
      </c>
      <c r="S1442" s="6" t="s">
        <v>30</v>
      </c>
      <c r="T1442" s="11" t="s">
        <v>30</v>
      </c>
      <c r="U1442" s="6" t="s">
        <v>30</v>
      </c>
      <c r="V1442" s="6" t="s">
        <v>30</v>
      </c>
      <c r="W1442" s="6" t="s">
        <v>30</v>
      </c>
      <c r="X1442" s="2" t="s">
        <v>30</v>
      </c>
      <c r="Y1442" s="6" t="str">
        <f aca="false">IF(AND(X1442="processed",ISNUMBER(S1442)),S1442*O1442,"")</f>
        <v/>
      </c>
      <c r="Z1442" s="6" t="n">
        <f aca="false">IF(ISNUMBER(K1442),K1442*O1442,0)</f>
        <v>0</v>
      </c>
      <c r="AA1442" s="2" t="s">
        <v>31</v>
      </c>
      <c r="AB1442" s="6" t="n">
        <v>16554</v>
      </c>
      <c r="AC1442" s="6" t="n">
        <v>13079</v>
      </c>
      <c r="AD1442" s="6" t="n">
        <v>8941</v>
      </c>
      <c r="AE1442" s="6" t="n">
        <v>2455.5732421875</v>
      </c>
      <c r="AF1442" s="8" t="n">
        <v>249.406375509</v>
      </c>
      <c r="AG1442" s="11" t="n">
        <v>-0.005803835628</v>
      </c>
      <c r="AH1442" s="12" t="n">
        <v>1</v>
      </c>
      <c r="AI1442" s="2" t="s">
        <v>317</v>
      </c>
      <c r="AJ1442" s="2" t="s">
        <v>2765</v>
      </c>
      <c r="AK1442" s="2" t="s">
        <v>2765</v>
      </c>
    </row>
    <row r="1443" customFormat="false" ht="15" hidden="false" customHeight="false" outlineLevel="0" collapsed="false">
      <c r="A1443" s="9"/>
      <c r="B1443" s="2" t="s">
        <v>3182</v>
      </c>
      <c r="C1443" s="2" t="s">
        <v>2765</v>
      </c>
      <c r="D1443" s="2" t="s">
        <v>2765</v>
      </c>
      <c r="E1443" s="2" t="s">
        <v>51</v>
      </c>
      <c r="F1443" s="2"/>
      <c r="G1443" s="2" t="s">
        <v>2766</v>
      </c>
      <c r="H1443" s="8" t="n">
        <v>253.647006976088</v>
      </c>
      <c r="I1443" s="2" t="s">
        <v>316</v>
      </c>
      <c r="J1443" s="8" t="n">
        <v>397782.107279694</v>
      </c>
      <c r="K1443" s="6" t="n">
        <v>261</v>
      </c>
      <c r="L1443" s="2"/>
      <c r="M1443" s="10" t="b">
        <f aca="false">TRUE()</f>
        <v>1</v>
      </c>
      <c r="N1443" s="9" t="str">
        <f aca="false">IF(H1443="","",IF(H1443&gt;=Assumptions!$B$5,1,IF(H1443&gt;=Assumptions!$B$6,2,IF(H1443&gt;=Assumptions!$B$7,3,""))))</f>
        <v/>
      </c>
      <c r="O1443" s="9" t="n">
        <f aca="false">IF(N1443=1,Assumptions!$B$8,IF(N1443=2,Assumptions!$B$9,IF(N1443=3,Assumptions!$B$10,0)))</f>
        <v>0</v>
      </c>
      <c r="P1443" s="6" t="s">
        <v>30</v>
      </c>
      <c r="Q1443" s="6" t="s">
        <v>30</v>
      </c>
      <c r="R1443" s="11" t="s">
        <v>30</v>
      </c>
      <c r="S1443" s="6" t="s">
        <v>30</v>
      </c>
      <c r="T1443" s="11" t="s">
        <v>30</v>
      </c>
      <c r="U1443" s="6" t="s">
        <v>30</v>
      </c>
      <c r="V1443" s="6" t="s">
        <v>30</v>
      </c>
      <c r="W1443" s="6" t="s">
        <v>30</v>
      </c>
      <c r="X1443" s="2" t="s">
        <v>30</v>
      </c>
      <c r="Y1443" s="6" t="str">
        <f aca="false">IF(AND(X1443="processed",ISNUMBER(S1443)),S1443*O1443,"")</f>
        <v/>
      </c>
      <c r="Z1443" s="6" t="n">
        <f aca="false">IF(ISNUMBER(K1443),K1443*O1443,0)</f>
        <v>0</v>
      </c>
      <c r="AA1443" s="2" t="s">
        <v>31</v>
      </c>
      <c r="AB1443" s="6" t="n">
        <v>13878</v>
      </c>
      <c r="AC1443" s="6" t="n">
        <v>10694</v>
      </c>
      <c r="AD1443" s="6" t="n">
        <v>4747</v>
      </c>
      <c r="AE1443" s="6" t="n">
        <v>2063.99365234375</v>
      </c>
      <c r="AF1443" s="8" t="n">
        <v>249.541835627</v>
      </c>
      <c r="AG1443" s="11" t="n">
        <v>-0.09598416589</v>
      </c>
      <c r="AH1443" s="12" t="n">
        <v>1</v>
      </c>
      <c r="AI1443" s="2" t="s">
        <v>317</v>
      </c>
      <c r="AJ1443" s="2" t="s">
        <v>2765</v>
      </c>
      <c r="AK1443" s="2" t="s">
        <v>2765</v>
      </c>
    </row>
    <row r="1444" customFormat="false" ht="15" hidden="false" customHeight="false" outlineLevel="0" collapsed="false">
      <c r="A1444" s="9"/>
      <c r="B1444" s="2" t="s">
        <v>3183</v>
      </c>
      <c r="C1444" s="2" t="s">
        <v>3184</v>
      </c>
      <c r="D1444" s="2" t="s">
        <v>2773</v>
      </c>
      <c r="E1444" s="2" t="s">
        <v>51</v>
      </c>
      <c r="F1444" s="2"/>
      <c r="G1444" s="2"/>
      <c r="H1444" s="8"/>
      <c r="I1444" s="2"/>
      <c r="J1444" s="8"/>
      <c r="K1444" s="6"/>
      <c r="L1444" s="2"/>
      <c r="M1444" s="10" t="b">
        <f aca="false">TRUE()</f>
        <v>1</v>
      </c>
      <c r="N1444" s="9" t="str">
        <f aca="false">IF(H1444="","",IF(H1444&gt;=Assumptions!$B$5,1,IF(H1444&gt;=Assumptions!$B$6,2,IF(H1444&gt;=Assumptions!$B$7,3,""))))</f>
        <v/>
      </c>
      <c r="O1444" s="9" t="n">
        <f aca="false">IF(N1444=1,Assumptions!$B$8,IF(N1444=2,Assumptions!$B$9,IF(N1444=3,Assumptions!$B$10,0)))</f>
        <v>0</v>
      </c>
      <c r="P1444" s="6" t="s">
        <v>30</v>
      </c>
      <c r="Q1444" s="6" t="s">
        <v>30</v>
      </c>
      <c r="R1444" s="11" t="s">
        <v>30</v>
      </c>
      <c r="S1444" s="6" t="s">
        <v>30</v>
      </c>
      <c r="T1444" s="11" t="s">
        <v>30</v>
      </c>
      <c r="U1444" s="6" t="s">
        <v>30</v>
      </c>
      <c r="V1444" s="6" t="s">
        <v>30</v>
      </c>
      <c r="W1444" s="6" t="s">
        <v>30</v>
      </c>
      <c r="X1444" s="2" t="s">
        <v>30</v>
      </c>
      <c r="Y1444" s="6" t="str">
        <f aca="false">IF(AND(X1444="processed",ISNUMBER(S1444)),S1444*O1444,"")</f>
        <v/>
      </c>
      <c r="Z1444" s="6" t="n">
        <f aca="false">IF(ISNUMBER(K1444),K1444*O1444,0)</f>
        <v>0</v>
      </c>
      <c r="AA1444" s="2" t="s">
        <v>31</v>
      </c>
      <c r="AB1444" s="6" t="n">
        <v>601</v>
      </c>
      <c r="AC1444" s="6" t="n">
        <v>471</v>
      </c>
      <c r="AD1444" s="6" t="n">
        <v>182</v>
      </c>
      <c r="AE1444" s="6" t="n">
        <v>1633.91345214844</v>
      </c>
      <c r="AF1444" s="8"/>
      <c r="AG1444" s="11"/>
      <c r="AH1444" s="12" t="n">
        <v>0.999999999999998</v>
      </c>
      <c r="AI1444" s="2" t="s">
        <v>317</v>
      </c>
      <c r="AJ1444" s="2" t="s">
        <v>3184</v>
      </c>
      <c r="AK1444" s="2" t="s">
        <v>3184</v>
      </c>
    </row>
    <row r="1445" customFormat="false" ht="15" hidden="false" customHeight="false" outlineLevel="0" collapsed="false">
      <c r="A1445" s="9"/>
      <c r="B1445" s="2" t="s">
        <v>3185</v>
      </c>
      <c r="C1445" s="2" t="s">
        <v>3186</v>
      </c>
      <c r="D1445" s="2" t="s">
        <v>3120</v>
      </c>
      <c r="E1445" s="2" t="s">
        <v>51</v>
      </c>
      <c r="F1445" s="2"/>
      <c r="G1445" s="2" t="s">
        <v>3127</v>
      </c>
      <c r="H1445" s="8" t="n">
        <v>246.287431705769</v>
      </c>
      <c r="I1445" s="2" t="s">
        <v>316</v>
      </c>
      <c r="J1445" s="8" t="n">
        <v>354205.128205128</v>
      </c>
      <c r="K1445" s="6" t="n">
        <v>39</v>
      </c>
      <c r="L1445" s="2"/>
      <c r="M1445" s="10" t="b">
        <f aca="false">TRUE()</f>
        <v>1</v>
      </c>
      <c r="N1445" s="9" t="str">
        <f aca="false">IF(H1445="","",IF(H1445&gt;=Assumptions!$B$5,1,IF(H1445&gt;=Assumptions!$B$6,2,IF(H1445&gt;=Assumptions!$B$7,3,""))))</f>
        <v/>
      </c>
      <c r="O1445" s="9" t="n">
        <f aca="false">IF(N1445=1,Assumptions!$B$8,IF(N1445=2,Assumptions!$B$9,IF(N1445=3,Assumptions!$B$10,0)))</f>
        <v>0</v>
      </c>
      <c r="P1445" s="6" t="s">
        <v>30</v>
      </c>
      <c r="Q1445" s="6" t="s">
        <v>30</v>
      </c>
      <c r="R1445" s="11" t="s">
        <v>30</v>
      </c>
      <c r="S1445" s="6" t="s">
        <v>30</v>
      </c>
      <c r="T1445" s="11" t="s">
        <v>30</v>
      </c>
      <c r="U1445" s="6" t="s">
        <v>30</v>
      </c>
      <c r="V1445" s="6" t="s">
        <v>30</v>
      </c>
      <c r="W1445" s="6" t="s">
        <v>30</v>
      </c>
      <c r="X1445" s="2" t="s">
        <v>30</v>
      </c>
      <c r="Y1445" s="6" t="str">
        <f aca="false">IF(AND(X1445="processed",ISNUMBER(S1445)),S1445*O1445,"")</f>
        <v/>
      </c>
      <c r="Z1445" s="6" t="n">
        <f aca="false">IF(ISNUMBER(K1445),K1445*O1445,0)</f>
        <v>0</v>
      </c>
      <c r="AA1445" s="2" t="s">
        <v>31</v>
      </c>
      <c r="AB1445" s="6" t="n">
        <v>1703</v>
      </c>
      <c r="AC1445" s="6" t="n">
        <v>1408</v>
      </c>
      <c r="AD1445" s="6" t="n">
        <v>43</v>
      </c>
      <c r="AE1445" s="6" t="n">
        <v>1237.51708984375</v>
      </c>
      <c r="AF1445" s="8" t="n">
        <v>232.293966005</v>
      </c>
      <c r="AG1445" s="11" t="n">
        <v>-0.04056423017</v>
      </c>
      <c r="AH1445" s="12" t="n">
        <v>1</v>
      </c>
      <c r="AI1445" s="2" t="s">
        <v>317</v>
      </c>
      <c r="AJ1445" s="2" t="s">
        <v>3186</v>
      </c>
      <c r="AK1445" s="2" t="s">
        <v>3187</v>
      </c>
    </row>
    <row r="1446" customFormat="false" ht="15" hidden="false" customHeight="false" outlineLevel="0" collapsed="false">
      <c r="A1446" s="9"/>
      <c r="B1446" s="2" t="s">
        <v>3188</v>
      </c>
      <c r="C1446" s="2" t="s">
        <v>2765</v>
      </c>
      <c r="D1446" s="2" t="s">
        <v>2765</v>
      </c>
      <c r="E1446" s="2" t="s">
        <v>51</v>
      </c>
      <c r="F1446" s="2" t="s">
        <v>3189</v>
      </c>
      <c r="G1446" s="2" t="s">
        <v>2766</v>
      </c>
      <c r="H1446" s="8" t="n">
        <v>248.542949422686</v>
      </c>
      <c r="I1446" s="2" t="s">
        <v>316</v>
      </c>
      <c r="J1446" s="8" t="n">
        <v>427391.993957704</v>
      </c>
      <c r="K1446" s="6" t="n">
        <v>331</v>
      </c>
      <c r="L1446" s="2"/>
      <c r="M1446" s="10" t="b">
        <f aca="false">TRUE()</f>
        <v>1</v>
      </c>
      <c r="N1446" s="9" t="str">
        <f aca="false">IF(H1446="","",IF(H1446&gt;=Assumptions!$B$5,1,IF(H1446&gt;=Assumptions!$B$6,2,IF(H1446&gt;=Assumptions!$B$7,3,""))))</f>
        <v/>
      </c>
      <c r="O1446" s="9" t="n">
        <f aca="false">IF(N1446=1,Assumptions!$B$8,IF(N1446=2,Assumptions!$B$9,IF(N1446=3,Assumptions!$B$10,0)))</f>
        <v>0</v>
      </c>
      <c r="P1446" s="6" t="s">
        <v>30</v>
      </c>
      <c r="Q1446" s="6" t="s">
        <v>30</v>
      </c>
      <c r="R1446" s="11" t="s">
        <v>30</v>
      </c>
      <c r="S1446" s="6" t="s">
        <v>30</v>
      </c>
      <c r="T1446" s="11" t="s">
        <v>30</v>
      </c>
      <c r="U1446" s="6" t="s">
        <v>30</v>
      </c>
      <c r="V1446" s="6" t="s">
        <v>30</v>
      </c>
      <c r="W1446" s="6" t="s">
        <v>30</v>
      </c>
      <c r="X1446" s="2" t="s">
        <v>30</v>
      </c>
      <c r="Y1446" s="6" t="str">
        <f aca="false">IF(AND(X1446="processed",ISNUMBER(S1446)),S1446*O1446,"")</f>
        <v/>
      </c>
      <c r="Z1446" s="6" t="n">
        <f aca="false">IF(ISNUMBER(K1446),K1446*O1446,0)</f>
        <v>0</v>
      </c>
      <c r="AA1446" s="2" t="s">
        <v>31</v>
      </c>
      <c r="AB1446" s="6" t="n">
        <v>11652</v>
      </c>
      <c r="AC1446" s="6" t="n">
        <v>10626</v>
      </c>
      <c r="AD1446" s="6" t="n">
        <v>8724</v>
      </c>
      <c r="AE1446" s="6" t="n">
        <v>2405.30639648438</v>
      </c>
      <c r="AF1446" s="8" t="n">
        <v>256.230529595</v>
      </c>
      <c r="AG1446" s="11" t="n">
        <v>0.0247468021</v>
      </c>
      <c r="AH1446" s="12" t="n">
        <v>0.999999999999999</v>
      </c>
      <c r="AI1446" s="2" t="s">
        <v>317</v>
      </c>
      <c r="AJ1446" s="2" t="s">
        <v>2765</v>
      </c>
      <c r="AK1446" s="2" t="s">
        <v>2765</v>
      </c>
    </row>
    <row r="1447" customFormat="false" ht="15" hidden="false" customHeight="false" outlineLevel="0" collapsed="false">
      <c r="A1447" s="9"/>
      <c r="B1447" s="2" t="s">
        <v>3190</v>
      </c>
      <c r="C1447" s="2" t="s">
        <v>3144</v>
      </c>
      <c r="D1447" s="2" t="s">
        <v>1817</v>
      </c>
      <c r="E1447" s="2" t="s">
        <v>51</v>
      </c>
      <c r="F1447" s="2"/>
      <c r="G1447" s="2" t="s">
        <v>1818</v>
      </c>
      <c r="H1447" s="8" t="n">
        <v>307.165305762093</v>
      </c>
      <c r="I1447" s="2" t="s">
        <v>316</v>
      </c>
      <c r="J1447" s="8" t="n">
        <v>438850.666666667</v>
      </c>
      <c r="K1447" s="6" t="n">
        <v>375</v>
      </c>
      <c r="L1447" s="2"/>
      <c r="M1447" s="10" t="b">
        <f aca="false">TRUE()</f>
        <v>1</v>
      </c>
      <c r="N1447" s="9" t="str">
        <f aca="false">IF(H1447="","",IF(H1447&gt;=Assumptions!$B$5,1,IF(H1447&gt;=Assumptions!$B$6,2,IF(H1447&gt;=Assumptions!$B$7,3,""))))</f>
        <v/>
      </c>
      <c r="O1447" s="9" t="n">
        <f aca="false">IF(N1447=1,Assumptions!$B$8,IF(N1447=2,Assumptions!$B$9,IF(N1447=3,Assumptions!$B$10,0)))</f>
        <v>0</v>
      </c>
      <c r="P1447" s="6" t="s">
        <v>30</v>
      </c>
      <c r="Q1447" s="6" t="s">
        <v>30</v>
      </c>
      <c r="R1447" s="11" t="s">
        <v>30</v>
      </c>
      <c r="S1447" s="6" t="s">
        <v>30</v>
      </c>
      <c r="T1447" s="11" t="s">
        <v>30</v>
      </c>
      <c r="U1447" s="6" t="s">
        <v>30</v>
      </c>
      <c r="V1447" s="6" t="s">
        <v>30</v>
      </c>
      <c r="W1447" s="6" t="s">
        <v>30</v>
      </c>
      <c r="X1447" s="2" t="s">
        <v>30</v>
      </c>
      <c r="Y1447" s="6" t="str">
        <f aca="false">IF(AND(X1447="processed",ISNUMBER(S1447)),S1447*O1447,"")</f>
        <v/>
      </c>
      <c r="Z1447" s="6" t="n">
        <f aca="false">IF(ISNUMBER(K1447),K1447*O1447,0)</f>
        <v>0</v>
      </c>
      <c r="AA1447" s="2" t="s">
        <v>31</v>
      </c>
      <c r="AB1447" s="6" t="n">
        <v>19335</v>
      </c>
      <c r="AC1447" s="6" t="n">
        <v>17245</v>
      </c>
      <c r="AD1447" s="6" t="n">
        <v>13537</v>
      </c>
      <c r="AE1447" s="6" t="n">
        <v>2409.07153320313</v>
      </c>
      <c r="AF1447" s="8" t="n">
        <v>301.962953856</v>
      </c>
      <c r="AG1447" s="11" t="n">
        <v>-0.06359371606</v>
      </c>
      <c r="AH1447" s="12" t="n">
        <v>0.999999999999999</v>
      </c>
      <c r="AI1447" s="2" t="s">
        <v>317</v>
      </c>
      <c r="AJ1447" s="2" t="s">
        <v>3144</v>
      </c>
      <c r="AK1447" s="2" t="s">
        <v>3144</v>
      </c>
    </row>
    <row r="1448" customFormat="false" ht="15" hidden="false" customHeight="false" outlineLevel="0" collapsed="false">
      <c r="A1448" s="9"/>
      <c r="B1448" s="2" t="s">
        <v>3191</v>
      </c>
      <c r="C1448" s="2" t="s">
        <v>3144</v>
      </c>
      <c r="D1448" s="2" t="s">
        <v>1817</v>
      </c>
      <c r="E1448" s="2" t="s">
        <v>51</v>
      </c>
      <c r="F1448" s="2" t="s">
        <v>3192</v>
      </c>
      <c r="G1448" s="2" t="s">
        <v>1818</v>
      </c>
      <c r="H1448" s="8" t="n">
        <v>318.423097372503</v>
      </c>
      <c r="I1448" s="2" t="s">
        <v>316</v>
      </c>
      <c r="J1448" s="8" t="n">
        <v>391359.281437126</v>
      </c>
      <c r="K1448" s="6" t="n">
        <v>167</v>
      </c>
      <c r="L1448" s="2"/>
      <c r="M1448" s="10" t="b">
        <f aca="false">TRUE()</f>
        <v>1</v>
      </c>
      <c r="N1448" s="9" t="str">
        <f aca="false">IF(H1448="","",IF(H1448&gt;=Assumptions!$B$5,1,IF(H1448&gt;=Assumptions!$B$6,2,IF(H1448&gt;=Assumptions!$B$7,3,""))))</f>
        <v/>
      </c>
      <c r="O1448" s="9" t="n">
        <f aca="false">IF(N1448=1,Assumptions!$B$8,IF(N1448=2,Assumptions!$B$9,IF(N1448=3,Assumptions!$B$10,0)))</f>
        <v>0</v>
      </c>
      <c r="P1448" s="6" t="s">
        <v>30</v>
      </c>
      <c r="Q1448" s="6" t="s">
        <v>30</v>
      </c>
      <c r="R1448" s="11" t="s">
        <v>30</v>
      </c>
      <c r="S1448" s="6" t="s">
        <v>30</v>
      </c>
      <c r="T1448" s="11" t="s">
        <v>30</v>
      </c>
      <c r="U1448" s="6" t="s">
        <v>30</v>
      </c>
      <c r="V1448" s="6" t="s">
        <v>30</v>
      </c>
      <c r="W1448" s="6" t="s">
        <v>30</v>
      </c>
      <c r="X1448" s="2" t="s">
        <v>30</v>
      </c>
      <c r="Y1448" s="6" t="str">
        <f aca="false">IF(AND(X1448="processed",ISNUMBER(S1448)),S1448*O1448,"")</f>
        <v/>
      </c>
      <c r="Z1448" s="6" t="n">
        <f aca="false">IF(ISNUMBER(K1448),K1448*O1448,0)</f>
        <v>0</v>
      </c>
      <c r="AA1448" s="2" t="s">
        <v>31</v>
      </c>
      <c r="AB1448" s="6" t="n">
        <v>15600</v>
      </c>
      <c r="AC1448" s="6" t="n">
        <v>13557</v>
      </c>
      <c r="AD1448" s="6" t="n">
        <v>12934</v>
      </c>
      <c r="AE1448" s="6" t="n">
        <v>2021.83654785156</v>
      </c>
      <c r="AF1448" s="8" t="n">
        <v>319.023721625</v>
      </c>
      <c r="AG1448" s="11" t="n">
        <v>-0.002812600132</v>
      </c>
      <c r="AH1448" s="12" t="n">
        <v>1</v>
      </c>
      <c r="AI1448" s="2" t="s">
        <v>2683</v>
      </c>
      <c r="AJ1448" s="2" t="s">
        <v>3193</v>
      </c>
      <c r="AK1448" s="2" t="s">
        <v>3144</v>
      </c>
    </row>
    <row r="1449" customFormat="false" ht="15" hidden="false" customHeight="false" outlineLevel="0" collapsed="false">
      <c r="A1449" s="9"/>
      <c r="B1449" s="2" t="s">
        <v>3194</v>
      </c>
      <c r="C1449" s="2" t="s">
        <v>3144</v>
      </c>
      <c r="D1449" s="2" t="s">
        <v>1817</v>
      </c>
      <c r="E1449" s="2" t="s">
        <v>51</v>
      </c>
      <c r="F1449" s="2"/>
      <c r="G1449" s="2" t="s">
        <v>1818</v>
      </c>
      <c r="H1449" s="8" t="n">
        <v>316.804703069312</v>
      </c>
      <c r="I1449" s="2" t="s">
        <v>316</v>
      </c>
      <c r="J1449" s="8" t="n">
        <v>404949.748743719</v>
      </c>
      <c r="K1449" s="6" t="n">
        <v>199</v>
      </c>
      <c r="L1449" s="2"/>
      <c r="M1449" s="10" t="b">
        <f aca="false">TRUE()</f>
        <v>1</v>
      </c>
      <c r="N1449" s="9" t="str">
        <f aca="false">IF(H1449="","",IF(H1449&gt;=Assumptions!$B$5,1,IF(H1449&gt;=Assumptions!$B$6,2,IF(H1449&gt;=Assumptions!$B$7,3,""))))</f>
        <v/>
      </c>
      <c r="O1449" s="9" t="n">
        <f aca="false">IF(N1449=1,Assumptions!$B$8,IF(N1449=2,Assumptions!$B$9,IF(N1449=3,Assumptions!$B$10,0)))</f>
        <v>0</v>
      </c>
      <c r="P1449" s="6" t="s">
        <v>30</v>
      </c>
      <c r="Q1449" s="6" t="s">
        <v>30</v>
      </c>
      <c r="R1449" s="11" t="s">
        <v>30</v>
      </c>
      <c r="S1449" s="6" t="s">
        <v>30</v>
      </c>
      <c r="T1449" s="11" t="s">
        <v>30</v>
      </c>
      <c r="U1449" s="6" t="s">
        <v>30</v>
      </c>
      <c r="V1449" s="6" t="s">
        <v>30</v>
      </c>
      <c r="W1449" s="6" t="s">
        <v>30</v>
      </c>
      <c r="X1449" s="2" t="s">
        <v>30</v>
      </c>
      <c r="Y1449" s="6" t="str">
        <f aca="false">IF(AND(X1449="processed",ISNUMBER(S1449)),S1449*O1449,"")</f>
        <v/>
      </c>
      <c r="Z1449" s="6" t="n">
        <f aca="false">IF(ISNUMBER(K1449),K1449*O1449,0)</f>
        <v>0</v>
      </c>
      <c r="AA1449" s="2" t="s">
        <v>31</v>
      </c>
      <c r="AB1449" s="6" t="n">
        <v>10890</v>
      </c>
      <c r="AC1449" s="6" t="n">
        <v>9093</v>
      </c>
      <c r="AD1449" s="6" t="n">
        <v>10129</v>
      </c>
      <c r="AE1449" s="6" t="n">
        <v>1952.13745117188</v>
      </c>
      <c r="AF1449" s="8" t="n">
        <v>331.468025279</v>
      </c>
      <c r="AG1449" s="11" t="n">
        <v>-0.002681919545</v>
      </c>
      <c r="AH1449" s="12" t="n">
        <v>1</v>
      </c>
      <c r="AI1449" s="2" t="s">
        <v>317</v>
      </c>
      <c r="AJ1449" s="2" t="s">
        <v>3144</v>
      </c>
      <c r="AK1449" s="2" t="s">
        <v>3144</v>
      </c>
    </row>
    <row r="1450" customFormat="false" ht="15" hidden="false" customHeight="false" outlineLevel="0" collapsed="false">
      <c r="A1450" s="9"/>
      <c r="B1450" s="2" t="s">
        <v>3195</v>
      </c>
      <c r="C1450" s="2" t="s">
        <v>3144</v>
      </c>
      <c r="D1450" s="2" t="s">
        <v>1817</v>
      </c>
      <c r="E1450" s="2" t="s">
        <v>51</v>
      </c>
      <c r="F1450" s="2"/>
      <c r="G1450" s="2" t="s">
        <v>1818</v>
      </c>
      <c r="H1450" s="8" t="n">
        <v>291.827168757852</v>
      </c>
      <c r="I1450" s="2" t="s">
        <v>316</v>
      </c>
      <c r="J1450" s="8" t="n">
        <v>479079.9031477</v>
      </c>
      <c r="K1450" s="6" t="n">
        <v>413</v>
      </c>
      <c r="L1450" s="2"/>
      <c r="M1450" s="10" t="b">
        <f aca="false">TRUE()</f>
        <v>1</v>
      </c>
      <c r="N1450" s="9" t="str">
        <f aca="false">IF(H1450="","",IF(H1450&gt;=Assumptions!$B$5,1,IF(H1450&gt;=Assumptions!$B$6,2,IF(H1450&gt;=Assumptions!$B$7,3,""))))</f>
        <v/>
      </c>
      <c r="O1450" s="9" t="n">
        <f aca="false">IF(N1450=1,Assumptions!$B$8,IF(N1450=2,Assumptions!$B$9,IF(N1450=3,Assumptions!$B$10,0)))</f>
        <v>0</v>
      </c>
      <c r="P1450" s="6" t="s">
        <v>30</v>
      </c>
      <c r="Q1450" s="6" t="s">
        <v>30</v>
      </c>
      <c r="R1450" s="11" t="s">
        <v>30</v>
      </c>
      <c r="S1450" s="6" t="s">
        <v>30</v>
      </c>
      <c r="T1450" s="11" t="s">
        <v>30</v>
      </c>
      <c r="U1450" s="6" t="s">
        <v>30</v>
      </c>
      <c r="V1450" s="6" t="s">
        <v>30</v>
      </c>
      <c r="W1450" s="6" t="s">
        <v>30</v>
      </c>
      <c r="X1450" s="2" t="s">
        <v>30</v>
      </c>
      <c r="Y1450" s="6" t="str">
        <f aca="false">IF(AND(X1450="processed",ISNUMBER(S1450)),S1450*O1450,"")</f>
        <v/>
      </c>
      <c r="Z1450" s="6" t="n">
        <f aca="false">IF(ISNUMBER(K1450),K1450*O1450,0)</f>
        <v>0</v>
      </c>
      <c r="AA1450" s="2" t="s">
        <v>31</v>
      </c>
      <c r="AB1450" s="6" t="n">
        <v>20154</v>
      </c>
      <c r="AC1450" s="6" t="n">
        <v>18510</v>
      </c>
      <c r="AD1450" s="6" t="n">
        <v>18006</v>
      </c>
      <c r="AE1450" s="6" t="n">
        <v>2620.4375</v>
      </c>
      <c r="AF1450" s="8" t="n">
        <v>291.641611545</v>
      </c>
      <c r="AG1450" s="11" t="n">
        <v>0.005141199939</v>
      </c>
      <c r="AH1450" s="12" t="n">
        <v>0.999999999999999</v>
      </c>
      <c r="AI1450" s="2" t="s">
        <v>317</v>
      </c>
      <c r="AJ1450" s="2" t="s">
        <v>3144</v>
      </c>
      <c r="AK1450" s="2" t="s">
        <v>3144</v>
      </c>
    </row>
    <row r="1451" customFormat="false" ht="15" hidden="false" customHeight="false" outlineLevel="0" collapsed="false">
      <c r="A1451" s="9"/>
      <c r="B1451" s="2" t="s">
        <v>3196</v>
      </c>
      <c r="C1451" s="2" t="s">
        <v>3144</v>
      </c>
      <c r="D1451" s="2" t="s">
        <v>1817</v>
      </c>
      <c r="E1451" s="2" t="s">
        <v>51</v>
      </c>
      <c r="F1451" s="2"/>
      <c r="G1451" s="2" t="s">
        <v>1818</v>
      </c>
      <c r="H1451" s="8" t="n">
        <v>295.360315587471</v>
      </c>
      <c r="I1451" s="2" t="s">
        <v>316</v>
      </c>
      <c r="J1451" s="8" t="n">
        <v>566346.666666667</v>
      </c>
      <c r="K1451" s="6" t="n">
        <v>225</v>
      </c>
      <c r="L1451" s="2"/>
      <c r="M1451" s="10" t="b">
        <f aca="false">TRUE()</f>
        <v>1</v>
      </c>
      <c r="N1451" s="9" t="str">
        <f aca="false">IF(H1451="","",IF(H1451&gt;=Assumptions!$B$5,1,IF(H1451&gt;=Assumptions!$B$6,2,IF(H1451&gt;=Assumptions!$B$7,3,""))))</f>
        <v/>
      </c>
      <c r="O1451" s="9" t="n">
        <f aca="false">IF(N1451=1,Assumptions!$B$8,IF(N1451=2,Assumptions!$B$9,IF(N1451=3,Assumptions!$B$10,0)))</f>
        <v>0</v>
      </c>
      <c r="P1451" s="6" t="s">
        <v>30</v>
      </c>
      <c r="Q1451" s="6" t="s">
        <v>30</v>
      </c>
      <c r="R1451" s="11" t="s">
        <v>30</v>
      </c>
      <c r="S1451" s="6" t="s">
        <v>30</v>
      </c>
      <c r="T1451" s="11" t="s">
        <v>30</v>
      </c>
      <c r="U1451" s="6" t="s">
        <v>30</v>
      </c>
      <c r="V1451" s="6" t="s">
        <v>30</v>
      </c>
      <c r="W1451" s="6" t="s">
        <v>30</v>
      </c>
      <c r="X1451" s="2" t="s">
        <v>30</v>
      </c>
      <c r="Y1451" s="6" t="str">
        <f aca="false">IF(AND(X1451="processed",ISNUMBER(S1451)),S1451*O1451,"")</f>
        <v/>
      </c>
      <c r="Z1451" s="6" t="n">
        <f aca="false">IF(ISNUMBER(K1451),K1451*O1451,0)</f>
        <v>0</v>
      </c>
      <c r="AA1451" s="2" t="s">
        <v>31</v>
      </c>
      <c r="AB1451" s="6" t="n">
        <v>12431</v>
      </c>
      <c r="AC1451" s="6" t="n">
        <v>10678</v>
      </c>
      <c r="AD1451" s="6" t="n">
        <v>8498</v>
      </c>
      <c r="AE1451" s="6" t="n">
        <v>2529.3173828125</v>
      </c>
      <c r="AF1451" s="8" t="n">
        <v>314.992428067</v>
      </c>
      <c r="AG1451" s="11" t="n">
        <v>0.01221096212</v>
      </c>
      <c r="AH1451" s="12" t="n">
        <v>0.998903793027693</v>
      </c>
      <c r="AI1451" s="2" t="s">
        <v>321</v>
      </c>
      <c r="AJ1451" s="2" t="s">
        <v>3144</v>
      </c>
      <c r="AK1451" s="2" t="s">
        <v>3144</v>
      </c>
    </row>
    <row r="1452" customFormat="false" ht="15" hidden="false" customHeight="false" outlineLevel="0" collapsed="false">
      <c r="A1452" s="9"/>
      <c r="B1452" s="2" t="s">
        <v>3197</v>
      </c>
      <c r="C1452" s="2" t="s">
        <v>3144</v>
      </c>
      <c r="D1452" s="2" t="s">
        <v>1817</v>
      </c>
      <c r="E1452" s="2" t="s">
        <v>51</v>
      </c>
      <c r="F1452" s="2"/>
      <c r="G1452" s="2" t="s">
        <v>1818</v>
      </c>
      <c r="H1452" s="8" t="n">
        <v>291.326718862129</v>
      </c>
      <c r="I1452" s="2" t="s">
        <v>316</v>
      </c>
      <c r="J1452" s="8" t="n">
        <v>501569.892473118</v>
      </c>
      <c r="K1452" s="6" t="n">
        <v>93</v>
      </c>
      <c r="L1452" s="2"/>
      <c r="M1452" s="10" t="b">
        <f aca="false">TRUE()</f>
        <v>1</v>
      </c>
      <c r="N1452" s="9" t="str">
        <f aca="false">IF(H1452="","",IF(H1452&gt;=Assumptions!$B$5,1,IF(H1452&gt;=Assumptions!$B$6,2,IF(H1452&gt;=Assumptions!$B$7,3,""))))</f>
        <v/>
      </c>
      <c r="O1452" s="9" t="n">
        <f aca="false">IF(N1452=1,Assumptions!$B$8,IF(N1452=2,Assumptions!$B$9,IF(N1452=3,Assumptions!$B$10,0)))</f>
        <v>0</v>
      </c>
      <c r="P1452" s="6" t="s">
        <v>30</v>
      </c>
      <c r="Q1452" s="6" t="s">
        <v>30</v>
      </c>
      <c r="R1452" s="11" t="s">
        <v>30</v>
      </c>
      <c r="S1452" s="6" t="s">
        <v>30</v>
      </c>
      <c r="T1452" s="11" t="s">
        <v>30</v>
      </c>
      <c r="U1452" s="6" t="s">
        <v>30</v>
      </c>
      <c r="V1452" s="6" t="s">
        <v>30</v>
      </c>
      <c r="W1452" s="6" t="s">
        <v>30</v>
      </c>
      <c r="X1452" s="2" t="s">
        <v>30</v>
      </c>
      <c r="Y1452" s="6" t="str">
        <f aca="false">IF(AND(X1452="processed",ISNUMBER(S1452)),S1452*O1452,"")</f>
        <v/>
      </c>
      <c r="Z1452" s="6" t="n">
        <f aca="false">IF(ISNUMBER(K1452),K1452*O1452,0)</f>
        <v>0</v>
      </c>
      <c r="AA1452" s="2" t="s">
        <v>31</v>
      </c>
      <c r="AB1452" s="6" t="n">
        <v>6765</v>
      </c>
      <c r="AC1452" s="6" t="n">
        <v>5802</v>
      </c>
      <c r="AD1452" s="6" t="n">
        <v>5881</v>
      </c>
      <c r="AE1452" s="6" t="n">
        <v>2143.87646484375</v>
      </c>
      <c r="AF1452" s="8" t="n">
        <v>287.270410789</v>
      </c>
      <c r="AG1452" s="11" t="n">
        <v>-0.08362301934</v>
      </c>
      <c r="AH1452" s="12" t="n">
        <v>1</v>
      </c>
      <c r="AI1452" s="2" t="s">
        <v>601</v>
      </c>
      <c r="AJ1452" s="2" t="s">
        <v>3198</v>
      </c>
      <c r="AK1452" s="2" t="s">
        <v>3144</v>
      </c>
    </row>
    <row r="1453" customFormat="false" ht="15" hidden="false" customHeight="false" outlineLevel="0" collapsed="false">
      <c r="A1453" s="9"/>
      <c r="B1453" s="2" t="s">
        <v>3199</v>
      </c>
      <c r="C1453" s="2" t="s">
        <v>3144</v>
      </c>
      <c r="D1453" s="2" t="s">
        <v>1817</v>
      </c>
      <c r="E1453" s="2" t="s">
        <v>51</v>
      </c>
      <c r="F1453" s="2"/>
      <c r="G1453" s="2" t="s">
        <v>1818</v>
      </c>
      <c r="H1453" s="8" t="n">
        <v>308.438577323754</v>
      </c>
      <c r="I1453" s="2" t="s">
        <v>316</v>
      </c>
      <c r="J1453" s="8" t="n">
        <v>435219.298245614</v>
      </c>
      <c r="K1453" s="6" t="n">
        <v>114</v>
      </c>
      <c r="L1453" s="2"/>
      <c r="M1453" s="10" t="b">
        <f aca="false">TRUE()</f>
        <v>1</v>
      </c>
      <c r="N1453" s="9" t="str">
        <f aca="false">IF(H1453="","",IF(H1453&gt;=Assumptions!$B$5,1,IF(H1453&gt;=Assumptions!$B$6,2,IF(H1453&gt;=Assumptions!$B$7,3,""))))</f>
        <v/>
      </c>
      <c r="O1453" s="9" t="n">
        <f aca="false">IF(N1453=1,Assumptions!$B$8,IF(N1453=2,Assumptions!$B$9,IF(N1453=3,Assumptions!$B$10,0)))</f>
        <v>0</v>
      </c>
      <c r="P1453" s="6" t="s">
        <v>30</v>
      </c>
      <c r="Q1453" s="6" t="s">
        <v>30</v>
      </c>
      <c r="R1453" s="11" t="s">
        <v>30</v>
      </c>
      <c r="S1453" s="6" t="s">
        <v>30</v>
      </c>
      <c r="T1453" s="11" t="s">
        <v>30</v>
      </c>
      <c r="U1453" s="6" t="s">
        <v>30</v>
      </c>
      <c r="V1453" s="6" t="s">
        <v>30</v>
      </c>
      <c r="W1453" s="6" t="s">
        <v>30</v>
      </c>
      <c r="X1453" s="2" t="s">
        <v>30</v>
      </c>
      <c r="Y1453" s="6" t="str">
        <f aca="false">IF(AND(X1453="processed",ISNUMBER(S1453)),S1453*O1453,"")</f>
        <v/>
      </c>
      <c r="Z1453" s="6" t="n">
        <f aca="false">IF(ISNUMBER(K1453),K1453*O1453,0)</f>
        <v>0</v>
      </c>
      <c r="AA1453" s="2" t="s">
        <v>31</v>
      </c>
      <c r="AB1453" s="6" t="n">
        <v>15611</v>
      </c>
      <c r="AC1453" s="6" t="n">
        <v>12847</v>
      </c>
      <c r="AD1453" s="6" t="n">
        <v>14052</v>
      </c>
      <c r="AE1453" s="6" t="n">
        <v>2060.12353515625</v>
      </c>
      <c r="AF1453" s="8" t="n">
        <v>299.337399292</v>
      </c>
      <c r="AG1453" s="11" t="n">
        <v>-0.04214244102</v>
      </c>
      <c r="AH1453" s="12" t="n">
        <v>0.998025466847292</v>
      </c>
      <c r="AI1453" s="2" t="s">
        <v>321</v>
      </c>
      <c r="AJ1453" s="2" t="s">
        <v>3144</v>
      </c>
      <c r="AK1453" s="2" t="s">
        <v>3144</v>
      </c>
    </row>
    <row r="1454" customFormat="false" ht="15" hidden="false" customHeight="false" outlineLevel="0" collapsed="false">
      <c r="A1454" s="9"/>
      <c r="B1454" s="2" t="s">
        <v>3200</v>
      </c>
      <c r="C1454" s="2" t="s">
        <v>3201</v>
      </c>
      <c r="D1454" s="2" t="s">
        <v>1817</v>
      </c>
      <c r="E1454" s="2" t="s">
        <v>51</v>
      </c>
      <c r="F1454" s="2" t="s">
        <v>3202</v>
      </c>
      <c r="G1454" s="2" t="s">
        <v>1818</v>
      </c>
      <c r="H1454" s="8" t="n">
        <v>284.590376143425</v>
      </c>
      <c r="I1454" s="2" t="s">
        <v>316</v>
      </c>
      <c r="J1454" s="8" t="n">
        <v>422105.747126437</v>
      </c>
      <c r="K1454" s="6" t="n">
        <v>87</v>
      </c>
      <c r="L1454" s="2"/>
      <c r="M1454" s="10" t="b">
        <f aca="false">TRUE()</f>
        <v>1</v>
      </c>
      <c r="N1454" s="9" t="str">
        <f aca="false">IF(H1454="","",IF(H1454&gt;=Assumptions!$B$5,1,IF(H1454&gt;=Assumptions!$B$6,2,IF(H1454&gt;=Assumptions!$B$7,3,""))))</f>
        <v/>
      </c>
      <c r="O1454" s="9" t="n">
        <f aca="false">IF(N1454=1,Assumptions!$B$8,IF(N1454=2,Assumptions!$B$9,IF(N1454=3,Assumptions!$B$10,0)))</f>
        <v>0</v>
      </c>
      <c r="P1454" s="6" t="s">
        <v>30</v>
      </c>
      <c r="Q1454" s="6" t="s">
        <v>30</v>
      </c>
      <c r="R1454" s="11" t="s">
        <v>30</v>
      </c>
      <c r="S1454" s="6" t="s">
        <v>30</v>
      </c>
      <c r="T1454" s="11" t="s">
        <v>30</v>
      </c>
      <c r="U1454" s="6" t="s">
        <v>30</v>
      </c>
      <c r="V1454" s="6" t="s">
        <v>30</v>
      </c>
      <c r="W1454" s="6" t="s">
        <v>30</v>
      </c>
      <c r="X1454" s="2" t="s">
        <v>30</v>
      </c>
      <c r="Y1454" s="6" t="str">
        <f aca="false">IF(AND(X1454="processed",ISNUMBER(S1454)),S1454*O1454,"")</f>
        <v/>
      </c>
      <c r="Z1454" s="6" t="n">
        <f aca="false">IF(ISNUMBER(K1454),K1454*O1454,0)</f>
        <v>0</v>
      </c>
      <c r="AA1454" s="2" t="s">
        <v>31</v>
      </c>
      <c r="AB1454" s="6" t="n">
        <v>6224</v>
      </c>
      <c r="AC1454" s="6" t="n">
        <v>5171</v>
      </c>
      <c r="AD1454" s="6" t="n">
        <v>2628</v>
      </c>
      <c r="AE1454" s="6" t="n">
        <v>2228.10766601563</v>
      </c>
      <c r="AF1454" s="8" t="n">
        <v>284.947563233</v>
      </c>
      <c r="AG1454" s="11" t="n">
        <v>0.01405897908</v>
      </c>
      <c r="AH1454" s="12" t="n">
        <v>0.949189004851546</v>
      </c>
      <c r="AI1454" s="2" t="s">
        <v>317</v>
      </c>
      <c r="AJ1454" s="2" t="s">
        <v>3201</v>
      </c>
      <c r="AK1454" s="2" t="s">
        <v>3201</v>
      </c>
    </row>
    <row r="1455" customFormat="false" ht="15" hidden="false" customHeight="false" outlineLevel="0" collapsed="false">
      <c r="A1455" s="9"/>
      <c r="B1455" s="2" t="s">
        <v>3203</v>
      </c>
      <c r="C1455" s="2" t="s">
        <v>3204</v>
      </c>
      <c r="D1455" s="2" t="s">
        <v>1817</v>
      </c>
      <c r="E1455" s="2" t="s">
        <v>51</v>
      </c>
      <c r="F1455" s="2"/>
      <c r="G1455" s="2" t="s">
        <v>1818</v>
      </c>
      <c r="H1455" s="8" t="n">
        <v>312.921369641059</v>
      </c>
      <c r="I1455" s="2" t="s">
        <v>316</v>
      </c>
      <c r="J1455" s="8" t="n">
        <v>551344.720496894</v>
      </c>
      <c r="K1455" s="6" t="n">
        <v>322</v>
      </c>
      <c r="L1455" s="2"/>
      <c r="M1455" s="10" t="b">
        <f aca="false">TRUE()</f>
        <v>1</v>
      </c>
      <c r="N1455" s="9" t="str">
        <f aca="false">IF(H1455="","",IF(H1455&gt;=Assumptions!$B$5,1,IF(H1455&gt;=Assumptions!$B$6,2,IF(H1455&gt;=Assumptions!$B$7,3,""))))</f>
        <v/>
      </c>
      <c r="O1455" s="9" t="n">
        <f aca="false">IF(N1455=1,Assumptions!$B$8,IF(N1455=2,Assumptions!$B$9,IF(N1455=3,Assumptions!$B$10,0)))</f>
        <v>0</v>
      </c>
      <c r="P1455" s="6" t="s">
        <v>30</v>
      </c>
      <c r="Q1455" s="6" t="s">
        <v>30</v>
      </c>
      <c r="R1455" s="11" t="s">
        <v>30</v>
      </c>
      <c r="S1455" s="6" t="s">
        <v>30</v>
      </c>
      <c r="T1455" s="11" t="s">
        <v>30</v>
      </c>
      <c r="U1455" s="6" t="s">
        <v>30</v>
      </c>
      <c r="V1455" s="6" t="s">
        <v>30</v>
      </c>
      <c r="W1455" s="6" t="s">
        <v>30</v>
      </c>
      <c r="X1455" s="2" t="s">
        <v>30</v>
      </c>
      <c r="Y1455" s="6" t="str">
        <f aca="false">IF(AND(X1455="processed",ISNUMBER(S1455)),S1455*O1455,"")</f>
        <v/>
      </c>
      <c r="Z1455" s="6" t="n">
        <f aca="false">IF(ISNUMBER(K1455),K1455*O1455,0)</f>
        <v>0</v>
      </c>
      <c r="AA1455" s="2" t="s">
        <v>31</v>
      </c>
      <c r="AB1455" s="6" t="n">
        <v>17724</v>
      </c>
      <c r="AC1455" s="6" t="n">
        <v>15285</v>
      </c>
      <c r="AD1455" s="6" t="n">
        <v>16464</v>
      </c>
      <c r="AE1455" s="6" t="n">
        <v>2230.54858398438</v>
      </c>
      <c r="AF1455" s="8" t="n">
        <v>308.347529813</v>
      </c>
      <c r="AG1455" s="11" t="n">
        <v>-0.0506240888</v>
      </c>
      <c r="AH1455" s="12" t="n">
        <v>0.979145988785006</v>
      </c>
      <c r="AI1455" s="2" t="s">
        <v>350</v>
      </c>
      <c r="AJ1455" s="2" t="s">
        <v>3204</v>
      </c>
      <c r="AK1455" s="2" t="s">
        <v>3204</v>
      </c>
    </row>
    <row r="1456" customFormat="false" ht="15" hidden="false" customHeight="false" outlineLevel="0" collapsed="false">
      <c r="A1456" s="9"/>
      <c r="B1456" s="2" t="s">
        <v>3205</v>
      </c>
      <c r="C1456" s="2" t="s">
        <v>3206</v>
      </c>
      <c r="D1456" s="2" t="s">
        <v>1817</v>
      </c>
      <c r="E1456" s="2" t="s">
        <v>51</v>
      </c>
      <c r="F1456" s="2"/>
      <c r="G1456" s="2" t="s">
        <v>1818</v>
      </c>
      <c r="H1456" s="8" t="n">
        <v>241.335499802541</v>
      </c>
      <c r="I1456" s="2" t="s">
        <v>316</v>
      </c>
      <c r="J1456" s="8" t="n">
        <v>492480.633027523</v>
      </c>
      <c r="K1456" s="6" t="n">
        <v>218</v>
      </c>
      <c r="L1456" s="2"/>
      <c r="M1456" s="10" t="b">
        <f aca="false">TRUE()</f>
        <v>1</v>
      </c>
      <c r="N1456" s="9" t="str">
        <f aca="false">IF(H1456="","",IF(H1456&gt;=Assumptions!$B$5,1,IF(H1456&gt;=Assumptions!$B$6,2,IF(H1456&gt;=Assumptions!$B$7,3,""))))</f>
        <v/>
      </c>
      <c r="O1456" s="9" t="n">
        <f aca="false">IF(N1456=1,Assumptions!$B$8,IF(N1456=2,Assumptions!$B$9,IF(N1456=3,Assumptions!$B$10,0)))</f>
        <v>0</v>
      </c>
      <c r="P1456" s="6" t="s">
        <v>30</v>
      </c>
      <c r="Q1456" s="6" t="s">
        <v>30</v>
      </c>
      <c r="R1456" s="11" t="s">
        <v>30</v>
      </c>
      <c r="S1456" s="6" t="s">
        <v>30</v>
      </c>
      <c r="T1456" s="11" t="s">
        <v>30</v>
      </c>
      <c r="U1456" s="6" t="s">
        <v>30</v>
      </c>
      <c r="V1456" s="6" t="s">
        <v>30</v>
      </c>
      <c r="W1456" s="6" t="s">
        <v>30</v>
      </c>
      <c r="X1456" s="2" t="s">
        <v>30</v>
      </c>
      <c r="Y1456" s="6" t="str">
        <f aca="false">IF(AND(X1456="processed",ISNUMBER(S1456)),S1456*O1456,"")</f>
        <v/>
      </c>
      <c r="Z1456" s="6" t="n">
        <f aca="false">IF(ISNUMBER(K1456),K1456*O1456,0)</f>
        <v>0</v>
      </c>
      <c r="AA1456" s="2" t="s">
        <v>31</v>
      </c>
      <c r="AB1456" s="6" t="n">
        <v>11194</v>
      </c>
      <c r="AC1456" s="6" t="n">
        <v>10016</v>
      </c>
      <c r="AD1456" s="6" t="n">
        <v>6105</v>
      </c>
      <c r="AE1456" s="6" t="n">
        <v>2360.90844726563</v>
      </c>
      <c r="AF1456" s="8" t="n">
        <v>239.783669647</v>
      </c>
      <c r="AG1456" s="11" t="n">
        <v>-0.08973551694</v>
      </c>
      <c r="AH1456" s="12" t="n">
        <v>0.999877381533257</v>
      </c>
      <c r="AI1456" s="2" t="s">
        <v>1558</v>
      </c>
      <c r="AJ1456" s="2" t="s">
        <v>3206</v>
      </c>
      <c r="AK1456" s="2" t="s">
        <v>3206</v>
      </c>
    </row>
    <row r="1457" customFormat="false" ht="15" hidden="false" customHeight="false" outlineLevel="0" collapsed="false">
      <c r="A1457" s="9"/>
      <c r="B1457" s="2" t="s">
        <v>3207</v>
      </c>
      <c r="C1457" s="2" t="s">
        <v>3208</v>
      </c>
      <c r="D1457" s="2" t="s">
        <v>3120</v>
      </c>
      <c r="E1457" s="2" t="s">
        <v>51</v>
      </c>
      <c r="F1457" s="2"/>
      <c r="G1457" s="2" t="s">
        <v>3127</v>
      </c>
      <c r="H1457" s="8" t="n">
        <v>365.822382108333</v>
      </c>
      <c r="I1457" s="2" t="s">
        <v>316</v>
      </c>
      <c r="J1457" s="8" t="n">
        <v>489304.545454546</v>
      </c>
      <c r="K1457" s="6" t="n">
        <v>33</v>
      </c>
      <c r="L1457" s="2"/>
      <c r="M1457" s="10" t="b">
        <f aca="false">TRUE()</f>
        <v>1</v>
      </c>
      <c r="N1457" s="9" t="str">
        <f aca="false">IF(H1457="","",IF(H1457&gt;=Assumptions!$B$5,1,IF(H1457&gt;=Assumptions!$B$6,2,IF(H1457&gt;=Assumptions!$B$7,3,""))))</f>
        <v/>
      </c>
      <c r="O1457" s="9" t="n">
        <f aca="false">IF(N1457=1,Assumptions!$B$8,IF(N1457=2,Assumptions!$B$9,IF(N1457=3,Assumptions!$B$10,0)))</f>
        <v>0</v>
      </c>
      <c r="P1457" s="6" t="s">
        <v>30</v>
      </c>
      <c r="Q1457" s="6" t="s">
        <v>30</v>
      </c>
      <c r="R1457" s="11" t="s">
        <v>30</v>
      </c>
      <c r="S1457" s="6" t="s">
        <v>30</v>
      </c>
      <c r="T1457" s="11" t="s">
        <v>30</v>
      </c>
      <c r="U1457" s="6" t="s">
        <v>30</v>
      </c>
      <c r="V1457" s="6" t="s">
        <v>30</v>
      </c>
      <c r="W1457" s="6" t="s">
        <v>30</v>
      </c>
      <c r="X1457" s="2" t="s">
        <v>30</v>
      </c>
      <c r="Y1457" s="6" t="str">
        <f aca="false">IF(AND(X1457="processed",ISNUMBER(S1457)),S1457*O1457,"")</f>
        <v/>
      </c>
      <c r="Z1457" s="6" t="n">
        <f aca="false">IF(ISNUMBER(K1457),K1457*O1457,0)</f>
        <v>0</v>
      </c>
      <c r="AA1457" s="2" t="s">
        <v>31</v>
      </c>
      <c r="AB1457" s="6" t="n">
        <v>1434</v>
      </c>
      <c r="AC1457" s="6" t="n">
        <v>766</v>
      </c>
      <c r="AD1457" s="6" t="n">
        <v>71</v>
      </c>
      <c r="AE1457" s="6" t="n">
        <v>1435.54321289063</v>
      </c>
      <c r="AF1457" s="8" t="n">
        <v>417.805642633</v>
      </c>
      <c r="AG1457" s="11" t="n">
        <v>0.1983458854</v>
      </c>
      <c r="AH1457" s="12" t="n">
        <v>0.999486238070438</v>
      </c>
      <c r="AI1457" s="2" t="s">
        <v>1597</v>
      </c>
      <c r="AJ1457" s="2"/>
      <c r="AK1457" s="2" t="s">
        <v>3208</v>
      </c>
    </row>
    <row r="1458" customFormat="false" ht="15" hidden="false" customHeight="false" outlineLevel="0" collapsed="false">
      <c r="A1458" s="9"/>
      <c r="B1458" s="2" t="s">
        <v>3209</v>
      </c>
      <c r="C1458" s="2" t="s">
        <v>3172</v>
      </c>
      <c r="D1458" s="2" t="s">
        <v>2765</v>
      </c>
      <c r="E1458" s="2" t="s">
        <v>51</v>
      </c>
      <c r="F1458" s="2"/>
      <c r="G1458" s="2" t="s">
        <v>2766</v>
      </c>
      <c r="H1458" s="8" t="n">
        <v>268.6709379725</v>
      </c>
      <c r="I1458" s="2" t="s">
        <v>316</v>
      </c>
      <c r="J1458" s="8" t="n">
        <v>263750</v>
      </c>
      <c r="K1458" s="6" t="n">
        <v>4</v>
      </c>
      <c r="L1458" s="2" t="s">
        <v>1664</v>
      </c>
      <c r="M1458" s="10" t="b">
        <f aca="false">TRUE()</f>
        <v>1</v>
      </c>
      <c r="N1458" s="9" t="str">
        <f aca="false">IF(H1458="","",IF(H1458&gt;=Assumptions!$B$5,1,IF(H1458&gt;=Assumptions!$B$6,2,IF(H1458&gt;=Assumptions!$B$7,3,""))))</f>
        <v/>
      </c>
      <c r="O1458" s="9" t="n">
        <f aca="false">IF(N1458=1,Assumptions!$B$8,IF(N1458=2,Assumptions!$B$9,IF(N1458=3,Assumptions!$B$10,0)))</f>
        <v>0</v>
      </c>
      <c r="P1458" s="6" t="s">
        <v>30</v>
      </c>
      <c r="Q1458" s="6" t="s">
        <v>30</v>
      </c>
      <c r="R1458" s="11" t="s">
        <v>30</v>
      </c>
      <c r="S1458" s="6" t="s">
        <v>30</v>
      </c>
      <c r="T1458" s="11" t="s">
        <v>30</v>
      </c>
      <c r="U1458" s="6" t="s">
        <v>30</v>
      </c>
      <c r="V1458" s="6" t="s">
        <v>30</v>
      </c>
      <c r="W1458" s="6" t="s">
        <v>30</v>
      </c>
      <c r="X1458" s="2" t="s">
        <v>30</v>
      </c>
      <c r="Y1458" s="6" t="str">
        <f aca="false">IF(AND(X1458="processed",ISNUMBER(S1458)),S1458*O1458,"")</f>
        <v/>
      </c>
      <c r="Z1458" s="6" t="n">
        <f aca="false">IF(ISNUMBER(K1458),K1458*O1458,0)</f>
        <v>0</v>
      </c>
      <c r="AA1458" s="2" t="s">
        <v>31</v>
      </c>
      <c r="AB1458" s="6" t="n">
        <v>1569</v>
      </c>
      <c r="AC1458" s="6" t="n">
        <v>1414</v>
      </c>
      <c r="AD1458" s="6" t="n">
        <v>160</v>
      </c>
      <c r="AE1458" s="6" t="n">
        <v>2024.00256347656</v>
      </c>
      <c r="AF1458" s="8" t="n">
        <v>316.123188406</v>
      </c>
      <c r="AG1458" s="11" t="n">
        <v>0.2600407148</v>
      </c>
      <c r="AH1458" s="12" t="n">
        <v>1</v>
      </c>
      <c r="AI1458" s="2" t="s">
        <v>335</v>
      </c>
      <c r="AJ1458" s="2" t="s">
        <v>3172</v>
      </c>
      <c r="AK1458" s="2" t="s">
        <v>3172</v>
      </c>
    </row>
    <row r="1459" customFormat="false" ht="15" hidden="false" customHeight="false" outlineLevel="0" collapsed="false">
      <c r="A1459" s="9"/>
      <c r="B1459" s="2" t="s">
        <v>3210</v>
      </c>
      <c r="C1459" s="2" t="s">
        <v>3211</v>
      </c>
      <c r="D1459" s="2" t="s">
        <v>2837</v>
      </c>
      <c r="E1459" s="2" t="s">
        <v>51</v>
      </c>
      <c r="F1459" s="2" t="s">
        <v>3212</v>
      </c>
      <c r="G1459" s="2" t="s">
        <v>3032</v>
      </c>
      <c r="H1459" s="8" t="n">
        <v>347.45891703962</v>
      </c>
      <c r="I1459" s="2" t="s">
        <v>316</v>
      </c>
      <c r="J1459" s="8" t="n">
        <v>701652.892561983</v>
      </c>
      <c r="K1459" s="6" t="n">
        <v>121</v>
      </c>
      <c r="L1459" s="2"/>
      <c r="M1459" s="10" t="b">
        <f aca="false">TRUE()</f>
        <v>1</v>
      </c>
      <c r="N1459" s="9" t="str">
        <f aca="false">IF(H1459="","",IF(H1459&gt;=Assumptions!$B$5,1,IF(H1459&gt;=Assumptions!$B$6,2,IF(H1459&gt;=Assumptions!$B$7,3,""))))</f>
        <v/>
      </c>
      <c r="O1459" s="9" t="n">
        <f aca="false">IF(N1459=1,Assumptions!$B$8,IF(N1459=2,Assumptions!$B$9,IF(N1459=3,Assumptions!$B$10,0)))</f>
        <v>0</v>
      </c>
      <c r="P1459" s="6" t="s">
        <v>30</v>
      </c>
      <c r="Q1459" s="6" t="s">
        <v>30</v>
      </c>
      <c r="R1459" s="11" t="s">
        <v>30</v>
      </c>
      <c r="S1459" s="6" t="s">
        <v>30</v>
      </c>
      <c r="T1459" s="11" t="s">
        <v>30</v>
      </c>
      <c r="U1459" s="6" t="s">
        <v>30</v>
      </c>
      <c r="V1459" s="6" t="s">
        <v>30</v>
      </c>
      <c r="W1459" s="6" t="s">
        <v>30</v>
      </c>
      <c r="X1459" s="2" t="s">
        <v>30</v>
      </c>
      <c r="Y1459" s="6" t="str">
        <f aca="false">IF(AND(X1459="processed",ISNUMBER(S1459)),S1459*O1459,"")</f>
        <v/>
      </c>
      <c r="Z1459" s="6" t="n">
        <f aca="false">IF(ISNUMBER(K1459),K1459*O1459,0)</f>
        <v>0</v>
      </c>
      <c r="AA1459" s="2" t="s">
        <v>31</v>
      </c>
      <c r="AB1459" s="6" t="n">
        <v>8296</v>
      </c>
      <c r="AC1459" s="6" t="n">
        <v>7171</v>
      </c>
      <c r="AD1459" s="6" t="n">
        <v>4976</v>
      </c>
      <c r="AE1459" s="6" t="n">
        <v>2557.1376953125</v>
      </c>
      <c r="AF1459" s="8" t="n">
        <v>355.944391179</v>
      </c>
      <c r="AG1459" s="11" t="n">
        <v>-0.0340116649</v>
      </c>
      <c r="AH1459" s="12" t="n">
        <v>0.998435762270281</v>
      </c>
      <c r="AI1459" s="2" t="s">
        <v>317</v>
      </c>
      <c r="AJ1459" s="2" t="s">
        <v>3211</v>
      </c>
      <c r="AK1459" s="2" t="s">
        <v>3211</v>
      </c>
    </row>
    <row r="1460" customFormat="false" ht="15" hidden="false" customHeight="false" outlineLevel="0" collapsed="false">
      <c r="A1460" s="9"/>
      <c r="B1460" s="2" t="s">
        <v>3213</v>
      </c>
      <c r="C1460" s="2" t="s">
        <v>3214</v>
      </c>
      <c r="D1460" s="2" t="s">
        <v>1817</v>
      </c>
      <c r="E1460" s="2" t="s">
        <v>51</v>
      </c>
      <c r="F1460" s="2"/>
      <c r="G1460" s="2" t="s">
        <v>1818</v>
      </c>
      <c r="H1460" s="8" t="n">
        <v>299.961709480548</v>
      </c>
      <c r="I1460" s="2" t="s">
        <v>316</v>
      </c>
      <c r="J1460" s="8" t="n">
        <v>521968.167420815</v>
      </c>
      <c r="K1460" s="6" t="n">
        <v>221</v>
      </c>
      <c r="L1460" s="2"/>
      <c r="M1460" s="10" t="b">
        <f aca="false">TRUE()</f>
        <v>1</v>
      </c>
      <c r="N1460" s="9" t="str">
        <f aca="false">IF(H1460="","",IF(H1460&gt;=Assumptions!$B$5,1,IF(H1460&gt;=Assumptions!$B$6,2,IF(H1460&gt;=Assumptions!$B$7,3,""))))</f>
        <v/>
      </c>
      <c r="O1460" s="9" t="n">
        <f aca="false">IF(N1460=1,Assumptions!$B$8,IF(N1460=2,Assumptions!$B$9,IF(N1460=3,Assumptions!$B$10,0)))</f>
        <v>0</v>
      </c>
      <c r="P1460" s="6" t="s">
        <v>30</v>
      </c>
      <c r="Q1460" s="6" t="s">
        <v>30</v>
      </c>
      <c r="R1460" s="11" t="s">
        <v>30</v>
      </c>
      <c r="S1460" s="6" t="s">
        <v>30</v>
      </c>
      <c r="T1460" s="11" t="s">
        <v>30</v>
      </c>
      <c r="U1460" s="6" t="s">
        <v>30</v>
      </c>
      <c r="V1460" s="6" t="s">
        <v>30</v>
      </c>
      <c r="W1460" s="6" t="s">
        <v>30</v>
      </c>
      <c r="X1460" s="2" t="s">
        <v>30</v>
      </c>
      <c r="Y1460" s="6" t="str">
        <f aca="false">IF(AND(X1460="processed",ISNUMBER(S1460)),S1460*O1460,"")</f>
        <v/>
      </c>
      <c r="Z1460" s="6" t="n">
        <f aca="false">IF(ISNUMBER(K1460),K1460*O1460,0)</f>
        <v>0</v>
      </c>
      <c r="AA1460" s="2" t="s">
        <v>31</v>
      </c>
      <c r="AB1460" s="6" t="n">
        <v>8332</v>
      </c>
      <c r="AC1460" s="6" t="n">
        <v>7692</v>
      </c>
      <c r="AD1460" s="6" t="n">
        <v>7576</v>
      </c>
      <c r="AE1460" s="6" t="n">
        <v>2299.76318359375</v>
      </c>
      <c r="AF1460" s="8" t="n">
        <v>280.883815872</v>
      </c>
      <c r="AG1460" s="11" t="n">
        <v>-0.03895055544</v>
      </c>
      <c r="AH1460" s="12" t="n">
        <v>0.998530417276789</v>
      </c>
      <c r="AI1460" s="2" t="s">
        <v>317</v>
      </c>
      <c r="AJ1460" s="2" t="s">
        <v>3214</v>
      </c>
      <c r="AK1460" s="2" t="s">
        <v>3214</v>
      </c>
    </row>
    <row r="1461" customFormat="false" ht="15" hidden="false" customHeight="false" outlineLevel="0" collapsed="false">
      <c r="A1461" s="9"/>
      <c r="B1461" s="2" t="s">
        <v>3215</v>
      </c>
      <c r="C1461" s="2" t="s">
        <v>3216</v>
      </c>
      <c r="D1461" s="2" t="s">
        <v>1817</v>
      </c>
      <c r="E1461" s="2" t="s">
        <v>51</v>
      </c>
      <c r="F1461" s="2"/>
      <c r="G1461" s="2" t="s">
        <v>1818</v>
      </c>
      <c r="H1461" s="8" t="n">
        <v>312.304427443121</v>
      </c>
      <c r="I1461" s="2" t="s">
        <v>316</v>
      </c>
      <c r="J1461" s="8" t="n">
        <v>485927.710843374</v>
      </c>
      <c r="K1461" s="6" t="n">
        <v>83</v>
      </c>
      <c r="L1461" s="2"/>
      <c r="M1461" s="10" t="b">
        <f aca="false">TRUE()</f>
        <v>1</v>
      </c>
      <c r="N1461" s="9" t="str">
        <f aca="false">IF(H1461="","",IF(H1461&gt;=Assumptions!$B$5,1,IF(H1461&gt;=Assumptions!$B$6,2,IF(H1461&gt;=Assumptions!$B$7,3,""))))</f>
        <v/>
      </c>
      <c r="O1461" s="9" t="n">
        <f aca="false">IF(N1461=1,Assumptions!$B$8,IF(N1461=2,Assumptions!$B$9,IF(N1461=3,Assumptions!$B$10,0)))</f>
        <v>0</v>
      </c>
      <c r="P1461" s="6" t="s">
        <v>30</v>
      </c>
      <c r="Q1461" s="6" t="s">
        <v>30</v>
      </c>
      <c r="R1461" s="11" t="s">
        <v>30</v>
      </c>
      <c r="S1461" s="6" t="s">
        <v>30</v>
      </c>
      <c r="T1461" s="11" t="s">
        <v>30</v>
      </c>
      <c r="U1461" s="6" t="s">
        <v>30</v>
      </c>
      <c r="V1461" s="6" t="s">
        <v>30</v>
      </c>
      <c r="W1461" s="6" t="s">
        <v>30</v>
      </c>
      <c r="X1461" s="2" t="s">
        <v>30</v>
      </c>
      <c r="Y1461" s="6" t="str">
        <f aca="false">IF(AND(X1461="processed",ISNUMBER(S1461)),S1461*O1461,"")</f>
        <v/>
      </c>
      <c r="Z1461" s="6" t="n">
        <f aca="false">IF(ISNUMBER(K1461),K1461*O1461,0)</f>
        <v>0</v>
      </c>
      <c r="AA1461" s="2" t="s">
        <v>31</v>
      </c>
      <c r="AB1461" s="6" t="n">
        <v>4663</v>
      </c>
      <c r="AC1461" s="6" t="n">
        <v>4306</v>
      </c>
      <c r="AD1461" s="6" t="n">
        <v>3884</v>
      </c>
      <c r="AE1461" s="6" t="n">
        <v>2297.9072265625</v>
      </c>
      <c r="AF1461" s="8" t="n">
        <v>313.318062827</v>
      </c>
      <c r="AG1461" s="11" t="n">
        <v>-0.05763567257</v>
      </c>
      <c r="AH1461" s="12" t="n">
        <v>0.993803900690808</v>
      </c>
      <c r="AI1461" s="2" t="s">
        <v>317</v>
      </c>
      <c r="AJ1461" s="2" t="s">
        <v>3216</v>
      </c>
      <c r="AK1461" s="2" t="s">
        <v>3144</v>
      </c>
    </row>
    <row r="1462" customFormat="false" ht="15" hidden="false" customHeight="false" outlineLevel="0" collapsed="false">
      <c r="A1462" s="9"/>
      <c r="B1462" s="2" t="s">
        <v>3217</v>
      </c>
      <c r="C1462" s="2" t="s">
        <v>3218</v>
      </c>
      <c r="D1462" s="2" t="s">
        <v>2765</v>
      </c>
      <c r="E1462" s="2" t="s">
        <v>51</v>
      </c>
      <c r="F1462" s="2"/>
      <c r="G1462" s="2" t="s">
        <v>2766</v>
      </c>
      <c r="H1462" s="8" t="n">
        <v>303.83480826</v>
      </c>
      <c r="I1462" s="2" t="s">
        <v>316</v>
      </c>
      <c r="J1462" s="8" t="n">
        <v>515000</v>
      </c>
      <c r="K1462" s="6" t="n">
        <v>1</v>
      </c>
      <c r="L1462" s="2" t="s">
        <v>1664</v>
      </c>
      <c r="M1462" s="10" t="b">
        <f aca="false">TRUE()</f>
        <v>1</v>
      </c>
      <c r="N1462" s="9" t="str">
        <f aca="false">IF(H1462="","",IF(H1462&gt;=Assumptions!$B$5,1,IF(H1462&gt;=Assumptions!$B$6,2,IF(H1462&gt;=Assumptions!$B$7,3,""))))</f>
        <v/>
      </c>
      <c r="O1462" s="9" t="n">
        <f aca="false">IF(N1462=1,Assumptions!$B$8,IF(N1462=2,Assumptions!$B$9,IF(N1462=3,Assumptions!$B$10,0)))</f>
        <v>0</v>
      </c>
      <c r="P1462" s="6" t="s">
        <v>30</v>
      </c>
      <c r="Q1462" s="6" t="s">
        <v>30</v>
      </c>
      <c r="R1462" s="11" t="s">
        <v>30</v>
      </c>
      <c r="S1462" s="6" t="s">
        <v>30</v>
      </c>
      <c r="T1462" s="11" t="s">
        <v>30</v>
      </c>
      <c r="U1462" s="6" t="s">
        <v>30</v>
      </c>
      <c r="V1462" s="6" t="s">
        <v>30</v>
      </c>
      <c r="W1462" s="6" t="s">
        <v>30</v>
      </c>
      <c r="X1462" s="2" t="s">
        <v>30</v>
      </c>
      <c r="Y1462" s="6" t="str">
        <f aca="false">IF(AND(X1462="processed",ISNUMBER(S1462)),S1462*O1462,"")</f>
        <v/>
      </c>
      <c r="Z1462" s="6" t="n">
        <f aca="false">IF(ISNUMBER(K1462),K1462*O1462,0)</f>
        <v>0</v>
      </c>
      <c r="AA1462" s="2" t="s">
        <v>31</v>
      </c>
      <c r="AB1462" s="6" t="n">
        <v>1411</v>
      </c>
      <c r="AC1462" s="6" t="n">
        <v>1023</v>
      </c>
      <c r="AD1462" s="6" t="n">
        <v>1185</v>
      </c>
      <c r="AE1462" s="6" t="n">
        <v>1750.0322265625</v>
      </c>
      <c r="AF1462" s="8" t="n">
        <v>303.83480826</v>
      </c>
      <c r="AG1462" s="11"/>
      <c r="AH1462" s="12" t="n">
        <v>0.854134643212929</v>
      </c>
      <c r="AI1462" s="2" t="s">
        <v>317</v>
      </c>
      <c r="AJ1462" s="2" t="s">
        <v>3218</v>
      </c>
      <c r="AK1462" s="2" t="s">
        <v>3218</v>
      </c>
    </row>
    <row r="1463" customFormat="false" ht="15" hidden="false" customHeight="false" outlineLevel="0" collapsed="false">
      <c r="A1463" s="9"/>
      <c r="B1463" s="2" t="s">
        <v>3219</v>
      </c>
      <c r="C1463" s="2" t="s">
        <v>3220</v>
      </c>
      <c r="D1463" s="2" t="s">
        <v>3120</v>
      </c>
      <c r="E1463" s="2" t="s">
        <v>51</v>
      </c>
      <c r="F1463" s="2" t="s">
        <v>3221</v>
      </c>
      <c r="G1463" s="2" t="s">
        <v>3127</v>
      </c>
      <c r="H1463" s="8" t="n">
        <v>251.280855564262</v>
      </c>
      <c r="I1463" s="2" t="s">
        <v>316</v>
      </c>
      <c r="J1463" s="8" t="n">
        <v>410018.707482993</v>
      </c>
      <c r="K1463" s="6" t="n">
        <v>294</v>
      </c>
      <c r="L1463" s="2"/>
      <c r="M1463" s="10" t="b">
        <f aca="false">TRUE()</f>
        <v>1</v>
      </c>
      <c r="N1463" s="9" t="str">
        <f aca="false">IF(H1463="","",IF(H1463&gt;=Assumptions!$B$5,1,IF(H1463&gt;=Assumptions!$B$6,2,IF(H1463&gt;=Assumptions!$B$7,3,""))))</f>
        <v/>
      </c>
      <c r="O1463" s="9" t="n">
        <f aca="false">IF(N1463=1,Assumptions!$B$8,IF(N1463=2,Assumptions!$B$9,IF(N1463=3,Assumptions!$B$10,0)))</f>
        <v>0</v>
      </c>
      <c r="P1463" s="6" t="s">
        <v>30</v>
      </c>
      <c r="Q1463" s="6" t="s">
        <v>30</v>
      </c>
      <c r="R1463" s="11" t="s">
        <v>30</v>
      </c>
      <c r="S1463" s="6" t="s">
        <v>30</v>
      </c>
      <c r="T1463" s="11" t="s">
        <v>30</v>
      </c>
      <c r="U1463" s="6" t="s">
        <v>30</v>
      </c>
      <c r="V1463" s="6" t="s">
        <v>30</v>
      </c>
      <c r="W1463" s="6" t="s">
        <v>30</v>
      </c>
      <c r="X1463" s="2" t="s">
        <v>30</v>
      </c>
      <c r="Y1463" s="6" t="str">
        <f aca="false">IF(AND(X1463="processed",ISNUMBER(S1463)),S1463*O1463,"")</f>
        <v/>
      </c>
      <c r="Z1463" s="6" t="n">
        <f aca="false">IF(ISNUMBER(K1463),K1463*O1463,0)</f>
        <v>0</v>
      </c>
      <c r="AA1463" s="2" t="s">
        <v>31</v>
      </c>
      <c r="AB1463" s="6" t="n">
        <v>19527</v>
      </c>
      <c r="AC1463" s="6" t="n">
        <v>15206</v>
      </c>
      <c r="AD1463" s="6" t="n">
        <v>1144</v>
      </c>
      <c r="AE1463" s="6" t="n">
        <v>1704.28491210938</v>
      </c>
      <c r="AF1463" s="8" t="n">
        <v>241.596638655</v>
      </c>
      <c r="AG1463" s="11" t="n">
        <v>-0.04635217723</v>
      </c>
      <c r="AH1463" s="12" t="n">
        <v>0.999875350455901</v>
      </c>
      <c r="AI1463" s="2" t="s">
        <v>317</v>
      </c>
      <c r="AJ1463" s="2" t="s">
        <v>3220</v>
      </c>
      <c r="AK1463" s="2" t="s">
        <v>3220</v>
      </c>
    </row>
    <row r="1464" customFormat="false" ht="15" hidden="false" customHeight="false" outlineLevel="0" collapsed="false">
      <c r="A1464" s="9"/>
      <c r="B1464" s="2" t="s">
        <v>3222</v>
      </c>
      <c r="C1464" s="2" t="s">
        <v>3223</v>
      </c>
      <c r="D1464" s="2" t="s">
        <v>3120</v>
      </c>
      <c r="E1464" s="2" t="s">
        <v>51</v>
      </c>
      <c r="F1464" s="2"/>
      <c r="G1464" s="2" t="s">
        <v>3127</v>
      </c>
      <c r="H1464" s="8" t="n">
        <v>236.506639817968</v>
      </c>
      <c r="I1464" s="2" t="s">
        <v>316</v>
      </c>
      <c r="J1464" s="8" t="n">
        <v>421895.161290323</v>
      </c>
      <c r="K1464" s="6" t="n">
        <v>31</v>
      </c>
      <c r="L1464" s="2"/>
      <c r="M1464" s="10" t="b">
        <f aca="false">TRUE()</f>
        <v>1</v>
      </c>
      <c r="N1464" s="9" t="str">
        <f aca="false">IF(H1464="","",IF(H1464&gt;=Assumptions!$B$5,1,IF(H1464&gt;=Assumptions!$B$6,2,IF(H1464&gt;=Assumptions!$B$7,3,""))))</f>
        <v/>
      </c>
      <c r="O1464" s="9" t="n">
        <f aca="false">IF(N1464=1,Assumptions!$B$8,IF(N1464=2,Assumptions!$B$9,IF(N1464=3,Assumptions!$B$10,0)))</f>
        <v>0</v>
      </c>
      <c r="P1464" s="6" t="s">
        <v>30</v>
      </c>
      <c r="Q1464" s="6" t="s">
        <v>30</v>
      </c>
      <c r="R1464" s="11" t="s">
        <v>30</v>
      </c>
      <c r="S1464" s="6" t="s">
        <v>30</v>
      </c>
      <c r="T1464" s="11" t="s">
        <v>30</v>
      </c>
      <c r="U1464" s="6" t="s">
        <v>30</v>
      </c>
      <c r="V1464" s="6" t="s">
        <v>30</v>
      </c>
      <c r="W1464" s="6" t="s">
        <v>30</v>
      </c>
      <c r="X1464" s="2" t="s">
        <v>30</v>
      </c>
      <c r="Y1464" s="6" t="str">
        <f aca="false">IF(AND(X1464="processed",ISNUMBER(S1464)),S1464*O1464,"")</f>
        <v/>
      </c>
      <c r="Z1464" s="6" t="n">
        <f aca="false">IF(ISNUMBER(K1464),K1464*O1464,0)</f>
        <v>0</v>
      </c>
      <c r="AA1464" s="2" t="s">
        <v>31</v>
      </c>
      <c r="AB1464" s="6" t="n">
        <v>1145</v>
      </c>
      <c r="AC1464" s="6" t="n">
        <v>917</v>
      </c>
      <c r="AD1464" s="6" t="n">
        <v>62</v>
      </c>
      <c r="AE1464" s="6" t="n">
        <v>1737.33508300781</v>
      </c>
      <c r="AF1464" s="8" t="n">
        <v>233.314318311</v>
      </c>
      <c r="AG1464" s="11" t="n">
        <v>-0.1800880264</v>
      </c>
      <c r="AH1464" s="12" t="n">
        <v>0.999999999999999</v>
      </c>
      <c r="AI1464" s="2" t="s">
        <v>317</v>
      </c>
      <c r="AJ1464" s="2" t="s">
        <v>3223</v>
      </c>
      <c r="AK1464" s="2" t="s">
        <v>3224</v>
      </c>
    </row>
    <row r="1465" customFormat="false" ht="15" hidden="false" customHeight="false" outlineLevel="0" collapsed="false">
      <c r="A1465" s="9"/>
      <c r="B1465" s="2" t="s">
        <v>3225</v>
      </c>
      <c r="C1465" s="2" t="s">
        <v>3226</v>
      </c>
      <c r="D1465" s="2" t="s">
        <v>2765</v>
      </c>
      <c r="E1465" s="2" t="s">
        <v>51</v>
      </c>
      <c r="F1465" s="2"/>
      <c r="G1465" s="2" t="s">
        <v>2766</v>
      </c>
      <c r="H1465" s="8" t="n">
        <v>322.566129698</v>
      </c>
      <c r="I1465" s="2" t="s">
        <v>316</v>
      </c>
      <c r="J1465" s="8" t="n">
        <v>772500</v>
      </c>
      <c r="K1465" s="6" t="n">
        <v>3</v>
      </c>
      <c r="L1465" s="2" t="s">
        <v>1664</v>
      </c>
      <c r="M1465" s="10" t="b">
        <f aca="false">TRUE()</f>
        <v>1</v>
      </c>
      <c r="N1465" s="9" t="str">
        <f aca="false">IF(H1465="","",IF(H1465&gt;=Assumptions!$B$5,1,IF(H1465&gt;=Assumptions!$B$6,2,IF(H1465&gt;=Assumptions!$B$7,3,""))))</f>
        <v/>
      </c>
      <c r="O1465" s="9" t="n">
        <f aca="false">IF(N1465=1,Assumptions!$B$8,IF(N1465=2,Assumptions!$B$9,IF(N1465=3,Assumptions!$B$10,0)))</f>
        <v>0</v>
      </c>
      <c r="P1465" s="6" t="s">
        <v>30</v>
      </c>
      <c r="Q1465" s="6" t="s">
        <v>30</v>
      </c>
      <c r="R1465" s="11" t="s">
        <v>30</v>
      </c>
      <c r="S1465" s="6" t="s">
        <v>30</v>
      </c>
      <c r="T1465" s="11" t="s">
        <v>30</v>
      </c>
      <c r="U1465" s="6" t="s">
        <v>30</v>
      </c>
      <c r="V1465" s="6" t="s">
        <v>30</v>
      </c>
      <c r="W1465" s="6" t="s">
        <v>30</v>
      </c>
      <c r="X1465" s="2" t="s">
        <v>30</v>
      </c>
      <c r="Y1465" s="6" t="str">
        <f aca="false">IF(AND(X1465="processed",ISNUMBER(S1465)),S1465*O1465,"")</f>
        <v/>
      </c>
      <c r="Z1465" s="6" t="n">
        <f aca="false">IF(ISNUMBER(K1465),K1465*O1465,0)</f>
        <v>0</v>
      </c>
      <c r="AA1465" s="2" t="s">
        <v>31</v>
      </c>
      <c r="AB1465" s="6" t="n">
        <v>1889</v>
      </c>
      <c r="AC1465" s="6" t="n">
        <v>1434</v>
      </c>
      <c r="AD1465" s="6" t="n">
        <v>1843</v>
      </c>
      <c r="AE1465" s="6" t="n">
        <v>1707.53051757813</v>
      </c>
      <c r="AF1465" s="8" t="n">
        <v>289.634146341</v>
      </c>
      <c r="AG1465" s="11"/>
      <c r="AH1465" s="12" t="n">
        <v>0.999973855630486</v>
      </c>
      <c r="AI1465" s="2" t="s">
        <v>317</v>
      </c>
      <c r="AJ1465" s="2" t="s">
        <v>3226</v>
      </c>
      <c r="AK1465" s="2" t="s">
        <v>3226</v>
      </c>
    </row>
    <row r="1466" customFormat="false" ht="15" hidden="false" customHeight="false" outlineLevel="0" collapsed="false">
      <c r="A1466" s="9"/>
      <c r="B1466" s="2" t="s">
        <v>3227</v>
      </c>
      <c r="C1466" s="2" t="s">
        <v>3228</v>
      </c>
      <c r="D1466" s="2" t="s">
        <v>3120</v>
      </c>
      <c r="E1466" s="2" t="s">
        <v>51</v>
      </c>
      <c r="F1466" s="2"/>
      <c r="G1466" s="2" t="s">
        <v>3127</v>
      </c>
      <c r="H1466" s="8" t="n">
        <v>313.489941997571</v>
      </c>
      <c r="I1466" s="2" t="s">
        <v>316</v>
      </c>
      <c r="J1466" s="8" t="n">
        <v>378142.857142857</v>
      </c>
      <c r="K1466" s="6" t="n">
        <v>14</v>
      </c>
      <c r="L1466" s="2"/>
      <c r="M1466" s="10" t="b">
        <f aca="false">TRUE()</f>
        <v>1</v>
      </c>
      <c r="N1466" s="9" t="str">
        <f aca="false">IF(H1466="","",IF(H1466&gt;=Assumptions!$B$5,1,IF(H1466&gt;=Assumptions!$B$6,2,IF(H1466&gt;=Assumptions!$B$7,3,""))))</f>
        <v/>
      </c>
      <c r="O1466" s="9" t="n">
        <f aca="false">IF(N1466=1,Assumptions!$B$8,IF(N1466=2,Assumptions!$B$9,IF(N1466=3,Assumptions!$B$10,0)))</f>
        <v>0</v>
      </c>
      <c r="P1466" s="6" t="s">
        <v>30</v>
      </c>
      <c r="Q1466" s="6" t="s">
        <v>30</v>
      </c>
      <c r="R1466" s="11" t="s">
        <v>30</v>
      </c>
      <c r="S1466" s="6" t="s">
        <v>30</v>
      </c>
      <c r="T1466" s="11" t="s">
        <v>30</v>
      </c>
      <c r="U1466" s="6" t="s">
        <v>30</v>
      </c>
      <c r="V1466" s="6" t="s">
        <v>30</v>
      </c>
      <c r="W1466" s="6" t="s">
        <v>30</v>
      </c>
      <c r="X1466" s="2" t="s">
        <v>30</v>
      </c>
      <c r="Y1466" s="6" t="str">
        <f aca="false">IF(AND(X1466="processed",ISNUMBER(S1466)),S1466*O1466,"")</f>
        <v/>
      </c>
      <c r="Z1466" s="6" t="n">
        <f aca="false">IF(ISNUMBER(K1466),K1466*O1466,0)</f>
        <v>0</v>
      </c>
      <c r="AA1466" s="2" t="s">
        <v>31</v>
      </c>
      <c r="AB1466" s="6" t="n">
        <v>525</v>
      </c>
      <c r="AC1466" s="6" t="n">
        <v>444</v>
      </c>
      <c r="AD1466" s="6" t="n">
        <v>2</v>
      </c>
      <c r="AE1466" s="6" t="n">
        <v>1511.16271972656</v>
      </c>
      <c r="AF1466" s="8" t="n">
        <v>355.657354798</v>
      </c>
      <c r="AG1466" s="11" t="n">
        <v>0.5146993816</v>
      </c>
      <c r="AH1466" s="12" t="n">
        <v>1</v>
      </c>
      <c r="AI1466" s="2" t="s">
        <v>317</v>
      </c>
      <c r="AJ1466" s="2" t="s">
        <v>3228</v>
      </c>
      <c r="AK1466" s="2" t="s">
        <v>3228</v>
      </c>
    </row>
    <row r="1467" customFormat="false" ht="15" hidden="false" customHeight="false" outlineLevel="0" collapsed="false">
      <c r="A1467" s="9"/>
      <c r="B1467" s="2" t="s">
        <v>3229</v>
      </c>
      <c r="C1467" s="2" t="s">
        <v>3116</v>
      </c>
      <c r="D1467" s="2" t="s">
        <v>2837</v>
      </c>
      <c r="E1467" s="2" t="s">
        <v>51</v>
      </c>
      <c r="F1467" s="2" t="s">
        <v>3230</v>
      </c>
      <c r="G1467" s="2" t="s">
        <v>3032</v>
      </c>
      <c r="H1467" s="8" t="n">
        <v>370.230883701179</v>
      </c>
      <c r="I1467" s="2" t="s">
        <v>316</v>
      </c>
      <c r="J1467" s="8" t="n">
        <v>591845.911949686</v>
      </c>
      <c r="K1467" s="6" t="n">
        <v>318</v>
      </c>
      <c r="L1467" s="2"/>
      <c r="M1467" s="10" t="b">
        <f aca="false">TRUE()</f>
        <v>1</v>
      </c>
      <c r="N1467" s="9" t="str">
        <f aca="false">IF(H1467="","",IF(H1467&gt;=Assumptions!$B$5,1,IF(H1467&gt;=Assumptions!$B$6,2,IF(H1467&gt;=Assumptions!$B$7,3,""))))</f>
        <v/>
      </c>
      <c r="O1467" s="9" t="n">
        <f aca="false">IF(N1467=1,Assumptions!$B$8,IF(N1467=2,Assumptions!$B$9,IF(N1467=3,Assumptions!$B$10,0)))</f>
        <v>0</v>
      </c>
      <c r="P1467" s="6" t="s">
        <v>30</v>
      </c>
      <c r="Q1467" s="6" t="s">
        <v>30</v>
      </c>
      <c r="R1467" s="11" t="s">
        <v>30</v>
      </c>
      <c r="S1467" s="6" t="s">
        <v>30</v>
      </c>
      <c r="T1467" s="11" t="s">
        <v>30</v>
      </c>
      <c r="U1467" s="6" t="s">
        <v>30</v>
      </c>
      <c r="V1467" s="6" t="s">
        <v>30</v>
      </c>
      <c r="W1467" s="6" t="s">
        <v>30</v>
      </c>
      <c r="X1467" s="2" t="s">
        <v>30</v>
      </c>
      <c r="Y1467" s="6" t="str">
        <f aca="false">IF(AND(X1467="processed",ISNUMBER(S1467)),S1467*O1467,"")</f>
        <v/>
      </c>
      <c r="Z1467" s="6" t="n">
        <f aca="false">IF(ISNUMBER(K1467),K1467*O1467,0)</f>
        <v>0</v>
      </c>
      <c r="AA1467" s="2" t="s">
        <v>31</v>
      </c>
      <c r="AB1467" s="6" t="n">
        <v>16290</v>
      </c>
      <c r="AC1467" s="6" t="n">
        <v>15145</v>
      </c>
      <c r="AD1467" s="6" t="n">
        <v>703</v>
      </c>
      <c r="AE1467" s="6" t="n">
        <v>2097.39184570313</v>
      </c>
      <c r="AF1467" s="8" t="n">
        <v>365.984930032</v>
      </c>
      <c r="AG1467" s="11" t="n">
        <v>-0.06552903576</v>
      </c>
      <c r="AH1467" s="12" t="n">
        <v>1</v>
      </c>
      <c r="AI1467" s="2" t="s">
        <v>317</v>
      </c>
      <c r="AJ1467" s="2" t="s">
        <v>3116</v>
      </c>
      <c r="AK1467" s="2" t="s">
        <v>3116</v>
      </c>
    </row>
    <row r="1468" customFormat="false" ht="15" hidden="false" customHeight="false" outlineLevel="0" collapsed="false">
      <c r="A1468" s="9"/>
      <c r="B1468" s="2" t="s">
        <v>3231</v>
      </c>
      <c r="C1468" s="2" t="s">
        <v>3116</v>
      </c>
      <c r="D1468" s="2" t="s">
        <v>2837</v>
      </c>
      <c r="E1468" s="2" t="s">
        <v>51</v>
      </c>
      <c r="F1468" s="2" t="s">
        <v>3232</v>
      </c>
      <c r="G1468" s="2" t="s">
        <v>3032</v>
      </c>
      <c r="H1468" s="8" t="n">
        <v>332.044778267613</v>
      </c>
      <c r="I1468" s="2" t="s">
        <v>316</v>
      </c>
      <c r="J1468" s="8" t="n">
        <v>737795.112781955</v>
      </c>
      <c r="K1468" s="6" t="n">
        <v>266</v>
      </c>
      <c r="L1468" s="2"/>
      <c r="M1468" s="10" t="b">
        <f aca="false">TRUE()</f>
        <v>1</v>
      </c>
      <c r="N1468" s="9" t="str">
        <f aca="false">IF(H1468="","",IF(H1468&gt;=Assumptions!$B$5,1,IF(H1468&gt;=Assumptions!$B$6,2,IF(H1468&gt;=Assumptions!$B$7,3,""))))</f>
        <v/>
      </c>
      <c r="O1468" s="9" t="n">
        <f aca="false">IF(N1468=1,Assumptions!$B$8,IF(N1468=2,Assumptions!$B$9,IF(N1468=3,Assumptions!$B$10,0)))</f>
        <v>0</v>
      </c>
      <c r="P1468" s="6" t="s">
        <v>30</v>
      </c>
      <c r="Q1468" s="6" t="s">
        <v>30</v>
      </c>
      <c r="R1468" s="11" t="s">
        <v>30</v>
      </c>
      <c r="S1468" s="6" t="s">
        <v>30</v>
      </c>
      <c r="T1468" s="11" t="s">
        <v>30</v>
      </c>
      <c r="U1468" s="6" t="s">
        <v>30</v>
      </c>
      <c r="V1468" s="6" t="s">
        <v>30</v>
      </c>
      <c r="W1468" s="6" t="s">
        <v>30</v>
      </c>
      <c r="X1468" s="2" t="s">
        <v>30</v>
      </c>
      <c r="Y1468" s="6" t="str">
        <f aca="false">IF(AND(X1468="processed",ISNUMBER(S1468)),S1468*O1468,"")</f>
        <v/>
      </c>
      <c r="Z1468" s="6" t="n">
        <f aca="false">IF(ISNUMBER(K1468),K1468*O1468,0)</f>
        <v>0</v>
      </c>
      <c r="AA1468" s="2" t="s">
        <v>31</v>
      </c>
      <c r="AB1468" s="6" t="n">
        <v>12671</v>
      </c>
      <c r="AC1468" s="6" t="n">
        <v>11844</v>
      </c>
      <c r="AD1468" s="6" t="n">
        <v>741</v>
      </c>
      <c r="AE1468" s="6" t="n">
        <v>2363.1865234375</v>
      </c>
      <c r="AF1468" s="8" t="n">
        <v>332.656170645</v>
      </c>
      <c r="AG1468" s="11" t="n">
        <v>-0.03529710513</v>
      </c>
      <c r="AH1468" s="12" t="n">
        <v>0.884143173678957</v>
      </c>
      <c r="AI1468" s="2" t="s">
        <v>317</v>
      </c>
      <c r="AJ1468" s="2" t="s">
        <v>3116</v>
      </c>
      <c r="AK1468" s="2" t="s">
        <v>3116</v>
      </c>
    </row>
    <row r="1469" customFormat="false" ht="15" hidden="false" customHeight="false" outlineLevel="0" collapsed="false">
      <c r="A1469" s="9"/>
      <c r="B1469" s="2" t="s">
        <v>3233</v>
      </c>
      <c r="C1469" s="2" t="s">
        <v>3120</v>
      </c>
      <c r="D1469" s="2" t="s">
        <v>3120</v>
      </c>
      <c r="E1469" s="2" t="s">
        <v>51</v>
      </c>
      <c r="F1469" s="2"/>
      <c r="G1469" s="2" t="s">
        <v>3127</v>
      </c>
      <c r="H1469" s="8" t="n">
        <v>222.123905048424</v>
      </c>
      <c r="I1469" s="2" t="s">
        <v>316</v>
      </c>
      <c r="J1469" s="8" t="n">
        <v>333060.606060606</v>
      </c>
      <c r="K1469" s="6" t="n">
        <v>33</v>
      </c>
      <c r="L1469" s="2"/>
      <c r="M1469" s="10" t="b">
        <f aca="false">TRUE()</f>
        <v>1</v>
      </c>
      <c r="N1469" s="9" t="str">
        <f aca="false">IF(H1469="","",IF(H1469&gt;=Assumptions!$B$5,1,IF(H1469&gt;=Assumptions!$B$6,2,IF(H1469&gt;=Assumptions!$B$7,3,""))))</f>
        <v/>
      </c>
      <c r="O1469" s="9" t="n">
        <f aca="false">IF(N1469=1,Assumptions!$B$8,IF(N1469=2,Assumptions!$B$9,IF(N1469=3,Assumptions!$B$10,0)))</f>
        <v>0</v>
      </c>
      <c r="P1469" s="6" t="s">
        <v>30</v>
      </c>
      <c r="Q1469" s="6" t="s">
        <v>30</v>
      </c>
      <c r="R1469" s="11" t="s">
        <v>30</v>
      </c>
      <c r="S1469" s="6" t="s">
        <v>30</v>
      </c>
      <c r="T1469" s="11" t="s">
        <v>30</v>
      </c>
      <c r="U1469" s="6" t="s">
        <v>30</v>
      </c>
      <c r="V1469" s="6" t="s">
        <v>30</v>
      </c>
      <c r="W1469" s="6" t="s">
        <v>30</v>
      </c>
      <c r="X1469" s="2" t="s">
        <v>30</v>
      </c>
      <c r="Y1469" s="6" t="str">
        <f aca="false">IF(AND(X1469="processed",ISNUMBER(S1469)),S1469*O1469,"")</f>
        <v/>
      </c>
      <c r="Z1469" s="6" t="n">
        <f aca="false">IF(ISNUMBER(K1469),K1469*O1469,0)</f>
        <v>0</v>
      </c>
      <c r="AA1469" s="2" t="s">
        <v>31</v>
      </c>
      <c r="AB1469" s="6" t="n">
        <v>3312</v>
      </c>
      <c r="AC1469" s="6" t="n">
        <v>2239</v>
      </c>
      <c r="AD1469" s="6" t="n">
        <v>188</v>
      </c>
      <c r="AE1469" s="6" t="n">
        <v>1423.45812988281</v>
      </c>
      <c r="AF1469" s="8" t="n">
        <v>243.226600985</v>
      </c>
      <c r="AG1469" s="11" t="n">
        <v>0.07911535304</v>
      </c>
      <c r="AH1469" s="12" t="n">
        <v>0.999999999999998</v>
      </c>
      <c r="AI1469" s="2" t="s">
        <v>317</v>
      </c>
      <c r="AJ1469" s="2" t="s">
        <v>3120</v>
      </c>
      <c r="AK1469" s="2" t="s">
        <v>3234</v>
      </c>
    </row>
    <row r="1470" customFormat="false" ht="15" hidden="false" customHeight="false" outlineLevel="0" collapsed="false">
      <c r="A1470" s="9"/>
      <c r="B1470" s="2" t="s">
        <v>3235</v>
      </c>
      <c r="C1470" s="2" t="s">
        <v>3138</v>
      </c>
      <c r="D1470" s="2" t="s">
        <v>1817</v>
      </c>
      <c r="E1470" s="2" t="s">
        <v>51</v>
      </c>
      <c r="F1470" s="2"/>
      <c r="G1470" s="2" t="s">
        <v>1818</v>
      </c>
      <c r="H1470" s="8" t="n">
        <v>324.66735999267</v>
      </c>
      <c r="I1470" s="2" t="s">
        <v>316</v>
      </c>
      <c r="J1470" s="8" t="n">
        <v>447929.611650485</v>
      </c>
      <c r="K1470" s="6" t="n">
        <v>206</v>
      </c>
      <c r="L1470" s="2"/>
      <c r="M1470" s="10" t="b">
        <f aca="false">TRUE()</f>
        <v>1</v>
      </c>
      <c r="N1470" s="9" t="str">
        <f aca="false">IF(H1470="","",IF(H1470&gt;=Assumptions!$B$5,1,IF(H1470&gt;=Assumptions!$B$6,2,IF(H1470&gt;=Assumptions!$B$7,3,""))))</f>
        <v/>
      </c>
      <c r="O1470" s="9" t="n">
        <f aca="false">IF(N1470=1,Assumptions!$B$8,IF(N1470=2,Assumptions!$B$9,IF(N1470=3,Assumptions!$B$10,0)))</f>
        <v>0</v>
      </c>
      <c r="P1470" s="6" t="s">
        <v>30</v>
      </c>
      <c r="Q1470" s="6" t="s">
        <v>30</v>
      </c>
      <c r="R1470" s="11" t="s">
        <v>30</v>
      </c>
      <c r="S1470" s="6" t="s">
        <v>30</v>
      </c>
      <c r="T1470" s="11" t="s">
        <v>30</v>
      </c>
      <c r="U1470" s="6" t="s">
        <v>30</v>
      </c>
      <c r="V1470" s="6" t="s">
        <v>30</v>
      </c>
      <c r="W1470" s="6" t="s">
        <v>30</v>
      </c>
      <c r="X1470" s="2" t="s">
        <v>30</v>
      </c>
      <c r="Y1470" s="6" t="str">
        <f aca="false">IF(AND(X1470="processed",ISNUMBER(S1470)),S1470*O1470,"")</f>
        <v/>
      </c>
      <c r="Z1470" s="6" t="n">
        <f aca="false">IF(ISNUMBER(K1470),K1470*O1470,0)</f>
        <v>0</v>
      </c>
      <c r="AA1470" s="2" t="s">
        <v>31</v>
      </c>
      <c r="AB1470" s="6" t="n">
        <v>19211</v>
      </c>
      <c r="AC1470" s="6" t="n">
        <v>16216</v>
      </c>
      <c r="AD1470" s="6" t="n">
        <v>11213</v>
      </c>
      <c r="AE1470" s="6" t="n">
        <v>2122.46728515625</v>
      </c>
      <c r="AF1470" s="8" t="n">
        <v>329.873980726</v>
      </c>
      <c r="AG1470" s="11" t="n">
        <v>-0.03481191583</v>
      </c>
      <c r="AH1470" s="12" t="n">
        <v>0.758893759493837</v>
      </c>
      <c r="AI1470" s="2" t="s">
        <v>317</v>
      </c>
      <c r="AJ1470" s="2" t="s">
        <v>3138</v>
      </c>
      <c r="AK1470" s="2" t="s">
        <v>3138</v>
      </c>
    </row>
    <row r="1471" customFormat="false" ht="15" hidden="false" customHeight="false" outlineLevel="0" collapsed="false">
      <c r="A1471" s="9"/>
      <c r="B1471" s="2" t="s">
        <v>3236</v>
      </c>
      <c r="C1471" s="2" t="s">
        <v>3138</v>
      </c>
      <c r="D1471" s="2" t="s">
        <v>1817</v>
      </c>
      <c r="E1471" s="2" t="s">
        <v>51</v>
      </c>
      <c r="F1471" s="2"/>
      <c r="G1471" s="2" t="s">
        <v>1818</v>
      </c>
      <c r="H1471" s="8" t="n">
        <v>296.860773138436</v>
      </c>
      <c r="I1471" s="2" t="s">
        <v>316</v>
      </c>
      <c r="J1471" s="8" t="n">
        <v>524050.675675676</v>
      </c>
      <c r="K1471" s="6" t="n">
        <v>296</v>
      </c>
      <c r="L1471" s="2"/>
      <c r="M1471" s="10" t="b">
        <f aca="false">TRUE()</f>
        <v>1</v>
      </c>
      <c r="N1471" s="9" t="str">
        <f aca="false">IF(H1471="","",IF(H1471&gt;=Assumptions!$B$5,1,IF(H1471&gt;=Assumptions!$B$6,2,IF(H1471&gt;=Assumptions!$B$7,3,""))))</f>
        <v/>
      </c>
      <c r="O1471" s="9" t="n">
        <f aca="false">IF(N1471=1,Assumptions!$B$8,IF(N1471=2,Assumptions!$B$9,IF(N1471=3,Assumptions!$B$10,0)))</f>
        <v>0</v>
      </c>
      <c r="P1471" s="6" t="s">
        <v>30</v>
      </c>
      <c r="Q1471" s="6" t="s">
        <v>30</v>
      </c>
      <c r="R1471" s="11" t="s">
        <v>30</v>
      </c>
      <c r="S1471" s="6" t="s">
        <v>30</v>
      </c>
      <c r="T1471" s="11" t="s">
        <v>30</v>
      </c>
      <c r="U1471" s="6" t="s">
        <v>30</v>
      </c>
      <c r="V1471" s="6" t="s">
        <v>30</v>
      </c>
      <c r="W1471" s="6" t="s">
        <v>30</v>
      </c>
      <c r="X1471" s="2" t="s">
        <v>30</v>
      </c>
      <c r="Y1471" s="6" t="str">
        <f aca="false">IF(AND(X1471="processed",ISNUMBER(S1471)),S1471*O1471,"")</f>
        <v/>
      </c>
      <c r="Z1471" s="6" t="n">
        <f aca="false">IF(ISNUMBER(K1471),K1471*O1471,0)</f>
        <v>0</v>
      </c>
      <c r="AA1471" s="2" t="s">
        <v>31</v>
      </c>
      <c r="AB1471" s="6" t="n">
        <v>12326</v>
      </c>
      <c r="AC1471" s="6" t="n">
        <v>11490</v>
      </c>
      <c r="AD1471" s="6" t="n">
        <v>1896</v>
      </c>
      <c r="AE1471" s="6" t="n">
        <v>2579.29150390625</v>
      </c>
      <c r="AF1471" s="8" t="n">
        <v>297.840407417</v>
      </c>
      <c r="AG1471" s="11" t="n">
        <v>-0.008379025185</v>
      </c>
      <c r="AH1471" s="12" t="n">
        <v>1</v>
      </c>
      <c r="AI1471" s="2" t="s">
        <v>317</v>
      </c>
      <c r="AJ1471" s="2" t="s">
        <v>3138</v>
      </c>
      <c r="AK1471" s="2" t="s">
        <v>3138</v>
      </c>
    </row>
    <row r="1472" customFormat="false" ht="15" hidden="false" customHeight="false" outlineLevel="0" collapsed="false">
      <c r="A1472" s="9"/>
      <c r="B1472" s="2" t="s">
        <v>3237</v>
      </c>
      <c r="C1472" s="2" t="s">
        <v>3238</v>
      </c>
      <c r="D1472" s="2" t="s">
        <v>3120</v>
      </c>
      <c r="E1472" s="2" t="s">
        <v>51</v>
      </c>
      <c r="F1472" s="2"/>
      <c r="G1472" s="2" t="s">
        <v>3127</v>
      </c>
      <c r="H1472" s="8" t="n">
        <v>262.799111350842</v>
      </c>
      <c r="I1472" s="2" t="s">
        <v>316</v>
      </c>
      <c r="J1472" s="8" t="n">
        <v>417044.554455446</v>
      </c>
      <c r="K1472" s="6" t="n">
        <v>101</v>
      </c>
      <c r="L1472" s="2"/>
      <c r="M1472" s="10" t="b">
        <f aca="false">TRUE()</f>
        <v>1</v>
      </c>
      <c r="N1472" s="9" t="str">
        <f aca="false">IF(H1472="","",IF(H1472&gt;=Assumptions!$B$5,1,IF(H1472&gt;=Assumptions!$B$6,2,IF(H1472&gt;=Assumptions!$B$7,3,""))))</f>
        <v/>
      </c>
      <c r="O1472" s="9" t="n">
        <f aca="false">IF(N1472=1,Assumptions!$B$8,IF(N1472=2,Assumptions!$B$9,IF(N1472=3,Assumptions!$B$10,0)))</f>
        <v>0</v>
      </c>
      <c r="P1472" s="6" t="s">
        <v>30</v>
      </c>
      <c r="Q1472" s="6" t="s">
        <v>30</v>
      </c>
      <c r="R1472" s="11" t="s">
        <v>30</v>
      </c>
      <c r="S1472" s="6" t="s">
        <v>30</v>
      </c>
      <c r="T1472" s="11" t="s">
        <v>30</v>
      </c>
      <c r="U1472" s="6" t="s">
        <v>30</v>
      </c>
      <c r="V1472" s="6" t="s">
        <v>30</v>
      </c>
      <c r="W1472" s="6" t="s">
        <v>30</v>
      </c>
      <c r="X1472" s="2" t="s">
        <v>30</v>
      </c>
      <c r="Y1472" s="6" t="str">
        <f aca="false">IF(AND(X1472="processed",ISNUMBER(S1472)),S1472*O1472,"")</f>
        <v/>
      </c>
      <c r="Z1472" s="6" t="n">
        <f aca="false">IF(ISNUMBER(K1472),K1472*O1472,0)</f>
        <v>0</v>
      </c>
      <c r="AA1472" s="2" t="s">
        <v>31</v>
      </c>
      <c r="AB1472" s="6" t="n">
        <v>4588</v>
      </c>
      <c r="AC1472" s="6" t="n">
        <v>3677</v>
      </c>
      <c r="AD1472" s="6" t="n">
        <v>133</v>
      </c>
      <c r="AE1472" s="6" t="n">
        <v>1396.25036621094</v>
      </c>
      <c r="AF1472" s="8" t="n">
        <v>246.453900709</v>
      </c>
      <c r="AG1472" s="11" t="n">
        <v>-0.04631628849</v>
      </c>
      <c r="AH1472" s="12" t="n">
        <v>1</v>
      </c>
      <c r="AI1472" s="2" t="s">
        <v>317</v>
      </c>
      <c r="AJ1472" s="2" t="s">
        <v>3238</v>
      </c>
      <c r="AK1472" s="2" t="s">
        <v>3239</v>
      </c>
    </row>
    <row r="1473" customFormat="false" ht="15" hidden="false" customHeight="false" outlineLevel="0" collapsed="false">
      <c r="A1473" s="9"/>
      <c r="B1473" s="2" t="s">
        <v>3240</v>
      </c>
      <c r="C1473" s="2" t="s">
        <v>3241</v>
      </c>
      <c r="D1473" s="2" t="s">
        <v>1817</v>
      </c>
      <c r="E1473" s="2" t="s">
        <v>51</v>
      </c>
      <c r="F1473" s="2"/>
      <c r="G1473" s="2" t="s">
        <v>1818</v>
      </c>
      <c r="H1473" s="8" t="n">
        <v>311.9296144475</v>
      </c>
      <c r="I1473" s="2" t="s">
        <v>316</v>
      </c>
      <c r="J1473" s="8" t="n">
        <v>738500</v>
      </c>
      <c r="K1473" s="6" t="n">
        <v>2</v>
      </c>
      <c r="L1473" s="2" t="s">
        <v>1664</v>
      </c>
      <c r="M1473" s="10" t="b">
        <f aca="false">TRUE()</f>
        <v>1</v>
      </c>
      <c r="N1473" s="9" t="str">
        <f aca="false">IF(H1473="","",IF(H1473&gt;=Assumptions!$B$5,1,IF(H1473&gt;=Assumptions!$B$6,2,IF(H1473&gt;=Assumptions!$B$7,3,""))))</f>
        <v/>
      </c>
      <c r="O1473" s="9" t="n">
        <f aca="false">IF(N1473=1,Assumptions!$B$8,IF(N1473=2,Assumptions!$B$9,IF(N1473=3,Assumptions!$B$10,0)))</f>
        <v>0</v>
      </c>
      <c r="P1473" s="6" t="s">
        <v>30</v>
      </c>
      <c r="Q1473" s="6" t="s">
        <v>30</v>
      </c>
      <c r="R1473" s="11" t="s">
        <v>30</v>
      </c>
      <c r="S1473" s="6" t="s">
        <v>30</v>
      </c>
      <c r="T1473" s="11" t="s">
        <v>30</v>
      </c>
      <c r="U1473" s="6" t="s">
        <v>30</v>
      </c>
      <c r="V1473" s="6" t="s">
        <v>30</v>
      </c>
      <c r="W1473" s="6" t="s">
        <v>30</v>
      </c>
      <c r="X1473" s="2" t="s">
        <v>30</v>
      </c>
      <c r="Y1473" s="6" t="str">
        <f aca="false">IF(AND(X1473="processed",ISNUMBER(S1473)),S1473*O1473,"")</f>
        <v/>
      </c>
      <c r="Z1473" s="6" t="n">
        <f aca="false">IF(ISNUMBER(K1473),K1473*O1473,0)</f>
        <v>0</v>
      </c>
      <c r="AA1473" s="2" t="s">
        <v>31</v>
      </c>
      <c r="AB1473" s="6" t="n">
        <v>321</v>
      </c>
      <c r="AC1473" s="6" t="n">
        <v>252</v>
      </c>
      <c r="AD1473" s="6" t="n">
        <v>300</v>
      </c>
      <c r="AE1473" s="6" t="n">
        <v>1919.69091796875</v>
      </c>
      <c r="AF1473" s="8" t="n">
        <v>239.717055279</v>
      </c>
      <c r="AG1473" s="11"/>
      <c r="AH1473" s="12" t="n">
        <v>0.979451958393968</v>
      </c>
      <c r="AI1473" s="2" t="s">
        <v>962</v>
      </c>
      <c r="AJ1473" s="2" t="s">
        <v>3242</v>
      </c>
      <c r="AK1473" s="2" t="s">
        <v>3243</v>
      </c>
    </row>
    <row r="1474" customFormat="false" ht="15" hidden="false" customHeight="false" outlineLevel="0" collapsed="false">
      <c r="A1474" s="9"/>
      <c r="B1474" s="2" t="s">
        <v>3244</v>
      </c>
      <c r="C1474" s="2" t="s">
        <v>3154</v>
      </c>
      <c r="D1474" s="2" t="s">
        <v>1817</v>
      </c>
      <c r="E1474" s="2" t="s">
        <v>51</v>
      </c>
      <c r="F1474" s="2"/>
      <c r="G1474" s="2" t="s">
        <v>1818</v>
      </c>
      <c r="H1474" s="8" t="n">
        <v>286.979057668622</v>
      </c>
      <c r="I1474" s="2" t="s">
        <v>316</v>
      </c>
      <c r="J1474" s="8" t="n">
        <v>441905.405405405</v>
      </c>
      <c r="K1474" s="6" t="n">
        <v>74</v>
      </c>
      <c r="L1474" s="2"/>
      <c r="M1474" s="10" t="b">
        <f aca="false">TRUE()</f>
        <v>1</v>
      </c>
      <c r="N1474" s="9" t="str">
        <f aca="false">IF(H1474="","",IF(H1474&gt;=Assumptions!$B$5,1,IF(H1474&gt;=Assumptions!$B$6,2,IF(H1474&gt;=Assumptions!$B$7,3,""))))</f>
        <v/>
      </c>
      <c r="O1474" s="9" t="n">
        <f aca="false">IF(N1474=1,Assumptions!$B$8,IF(N1474=2,Assumptions!$B$9,IF(N1474=3,Assumptions!$B$10,0)))</f>
        <v>0</v>
      </c>
      <c r="P1474" s="6" t="s">
        <v>30</v>
      </c>
      <c r="Q1474" s="6" t="s">
        <v>30</v>
      </c>
      <c r="R1474" s="11" t="s">
        <v>30</v>
      </c>
      <c r="S1474" s="6" t="s">
        <v>30</v>
      </c>
      <c r="T1474" s="11" t="s">
        <v>30</v>
      </c>
      <c r="U1474" s="6" t="s">
        <v>30</v>
      </c>
      <c r="V1474" s="6" t="s">
        <v>30</v>
      </c>
      <c r="W1474" s="6" t="s">
        <v>30</v>
      </c>
      <c r="X1474" s="2" t="s">
        <v>30</v>
      </c>
      <c r="Y1474" s="6" t="str">
        <f aca="false">IF(AND(X1474="processed",ISNUMBER(S1474)),S1474*O1474,"")</f>
        <v/>
      </c>
      <c r="Z1474" s="6" t="n">
        <f aca="false">IF(ISNUMBER(K1474),K1474*O1474,0)</f>
        <v>0</v>
      </c>
      <c r="AA1474" s="2" t="s">
        <v>31</v>
      </c>
      <c r="AB1474" s="6" t="n">
        <v>4782</v>
      </c>
      <c r="AC1474" s="6" t="n">
        <v>4186</v>
      </c>
      <c r="AD1474" s="6" t="n">
        <v>1871</v>
      </c>
      <c r="AE1474" s="6" t="n">
        <v>2192.19189453125</v>
      </c>
      <c r="AF1474" s="8" t="n">
        <v>281.810743461</v>
      </c>
      <c r="AG1474" s="11" t="n">
        <v>-0.05403121813</v>
      </c>
      <c r="AH1474" s="12" t="n">
        <v>0.999981310573235</v>
      </c>
      <c r="AI1474" s="2" t="s">
        <v>317</v>
      </c>
      <c r="AJ1474" s="2" t="s">
        <v>3154</v>
      </c>
      <c r="AK1474" s="2" t="s">
        <v>3154</v>
      </c>
    </row>
    <row r="1475" customFormat="false" ht="15" hidden="false" customHeight="false" outlineLevel="0" collapsed="false">
      <c r="A1475" s="9"/>
      <c r="B1475" s="2" t="s">
        <v>3245</v>
      </c>
      <c r="C1475" s="2" t="s">
        <v>3246</v>
      </c>
      <c r="D1475" s="2" t="s">
        <v>1817</v>
      </c>
      <c r="E1475" s="2" t="s">
        <v>51</v>
      </c>
      <c r="F1475" s="2"/>
      <c r="G1475" s="2"/>
      <c r="H1475" s="8"/>
      <c r="I1475" s="2"/>
      <c r="J1475" s="8"/>
      <c r="K1475" s="6"/>
      <c r="L1475" s="2"/>
      <c r="M1475" s="10" t="b">
        <f aca="false">TRUE()</f>
        <v>1</v>
      </c>
      <c r="N1475" s="9" t="str">
        <f aca="false">IF(H1475="","",IF(H1475&gt;=Assumptions!$B$5,1,IF(H1475&gt;=Assumptions!$B$6,2,IF(H1475&gt;=Assumptions!$B$7,3,""))))</f>
        <v/>
      </c>
      <c r="O1475" s="9" t="n">
        <f aca="false">IF(N1475=1,Assumptions!$B$8,IF(N1475=2,Assumptions!$B$9,IF(N1475=3,Assumptions!$B$10,0)))</f>
        <v>0</v>
      </c>
      <c r="P1475" s="6" t="s">
        <v>30</v>
      </c>
      <c r="Q1475" s="6" t="s">
        <v>30</v>
      </c>
      <c r="R1475" s="11" t="s">
        <v>30</v>
      </c>
      <c r="S1475" s="6" t="s">
        <v>30</v>
      </c>
      <c r="T1475" s="11" t="s">
        <v>30</v>
      </c>
      <c r="U1475" s="6" t="s">
        <v>30</v>
      </c>
      <c r="V1475" s="6" t="s">
        <v>30</v>
      </c>
      <c r="W1475" s="6" t="s">
        <v>30</v>
      </c>
      <c r="X1475" s="2" t="s">
        <v>30</v>
      </c>
      <c r="Y1475" s="6" t="str">
        <f aca="false">IF(AND(X1475="processed",ISNUMBER(S1475)),S1475*O1475,"")</f>
        <v/>
      </c>
      <c r="Z1475" s="6" t="n">
        <f aca="false">IF(ISNUMBER(K1475),K1475*O1475,0)</f>
        <v>0</v>
      </c>
      <c r="AA1475" s="2" t="s">
        <v>31</v>
      </c>
      <c r="AB1475" s="6" t="n">
        <v>482</v>
      </c>
      <c r="AC1475" s="6" t="n">
        <v>357</v>
      </c>
      <c r="AD1475" s="6" t="n">
        <v>371</v>
      </c>
      <c r="AE1475" s="6" t="n">
        <v>1865.7333984375</v>
      </c>
      <c r="AF1475" s="8"/>
      <c r="AG1475" s="11"/>
      <c r="AH1475" s="12" t="n">
        <v>0.998482993224397</v>
      </c>
      <c r="AI1475" s="2" t="s">
        <v>3247</v>
      </c>
      <c r="AJ1475" s="2" t="s">
        <v>3248</v>
      </c>
      <c r="AK1475" s="2" t="s">
        <v>3206</v>
      </c>
    </row>
    <row r="1476" customFormat="false" ht="15" hidden="false" customHeight="false" outlineLevel="0" collapsed="false">
      <c r="A1476" s="9"/>
      <c r="B1476" s="2" t="s">
        <v>3249</v>
      </c>
      <c r="C1476" s="2" t="s">
        <v>3250</v>
      </c>
      <c r="D1476" s="2" t="s">
        <v>2765</v>
      </c>
      <c r="E1476" s="2" t="s">
        <v>51</v>
      </c>
      <c r="F1476" s="2"/>
      <c r="G1476" s="2" t="s">
        <v>2766</v>
      </c>
      <c r="H1476" s="8" t="n">
        <v>275.591335805113</v>
      </c>
      <c r="I1476" s="2" t="s">
        <v>316</v>
      </c>
      <c r="J1476" s="8" t="n">
        <v>364000</v>
      </c>
      <c r="K1476" s="6" t="n">
        <v>53</v>
      </c>
      <c r="L1476" s="2"/>
      <c r="M1476" s="10" t="b">
        <f aca="false">TRUE()</f>
        <v>1</v>
      </c>
      <c r="N1476" s="9" t="str">
        <f aca="false">IF(H1476="","",IF(H1476&gt;=Assumptions!$B$5,1,IF(H1476&gt;=Assumptions!$B$6,2,IF(H1476&gt;=Assumptions!$B$7,3,""))))</f>
        <v/>
      </c>
      <c r="O1476" s="9" t="n">
        <f aca="false">IF(N1476=1,Assumptions!$B$8,IF(N1476=2,Assumptions!$B$9,IF(N1476=3,Assumptions!$B$10,0)))</f>
        <v>0</v>
      </c>
      <c r="P1476" s="6" t="s">
        <v>30</v>
      </c>
      <c r="Q1476" s="6" t="s">
        <v>30</v>
      </c>
      <c r="R1476" s="11" t="s">
        <v>30</v>
      </c>
      <c r="S1476" s="6" t="s">
        <v>30</v>
      </c>
      <c r="T1476" s="11" t="s">
        <v>30</v>
      </c>
      <c r="U1476" s="6" t="s">
        <v>30</v>
      </c>
      <c r="V1476" s="6" t="s">
        <v>30</v>
      </c>
      <c r="W1476" s="6" t="s">
        <v>30</v>
      </c>
      <c r="X1476" s="2" t="s">
        <v>30</v>
      </c>
      <c r="Y1476" s="6" t="str">
        <f aca="false">IF(AND(X1476="processed",ISNUMBER(S1476)),S1476*O1476,"")</f>
        <v/>
      </c>
      <c r="Z1476" s="6" t="n">
        <f aca="false">IF(ISNUMBER(K1476),K1476*O1476,0)</f>
        <v>0</v>
      </c>
      <c r="AA1476" s="2" t="s">
        <v>31</v>
      </c>
      <c r="AB1476" s="6" t="n">
        <v>5580</v>
      </c>
      <c r="AC1476" s="6" t="n">
        <v>4881</v>
      </c>
      <c r="AD1476" s="6" t="n">
        <v>4575</v>
      </c>
      <c r="AE1476" s="6" t="n">
        <v>2141.12548828125</v>
      </c>
      <c r="AF1476" s="8" t="n">
        <v>273.163378509</v>
      </c>
      <c r="AG1476" s="11" t="n">
        <v>0.04239160713</v>
      </c>
      <c r="AH1476" s="12" t="n">
        <v>0.999999999999999</v>
      </c>
      <c r="AI1476" s="2" t="s">
        <v>321</v>
      </c>
      <c r="AJ1476" s="2" t="s">
        <v>3250</v>
      </c>
      <c r="AK1476" s="2" t="s">
        <v>3111</v>
      </c>
    </row>
    <row r="1477" customFormat="false" ht="15" hidden="false" customHeight="false" outlineLevel="0" collapsed="false">
      <c r="A1477" s="9"/>
      <c r="B1477" s="2" t="s">
        <v>3251</v>
      </c>
      <c r="C1477" s="2" t="s">
        <v>3252</v>
      </c>
      <c r="D1477" s="2" t="s">
        <v>2773</v>
      </c>
      <c r="E1477" s="2" t="s">
        <v>51</v>
      </c>
      <c r="F1477" s="2"/>
      <c r="G1477" s="2"/>
      <c r="H1477" s="8"/>
      <c r="I1477" s="2"/>
      <c r="J1477" s="8"/>
      <c r="K1477" s="6"/>
      <c r="L1477" s="2"/>
      <c r="M1477" s="10" t="b">
        <f aca="false">TRUE()</f>
        <v>1</v>
      </c>
      <c r="N1477" s="9" t="str">
        <f aca="false">IF(H1477="","",IF(H1477&gt;=Assumptions!$B$5,1,IF(H1477&gt;=Assumptions!$B$6,2,IF(H1477&gt;=Assumptions!$B$7,3,""))))</f>
        <v/>
      </c>
      <c r="O1477" s="9" t="n">
        <f aca="false">IF(N1477=1,Assumptions!$B$8,IF(N1477=2,Assumptions!$B$9,IF(N1477=3,Assumptions!$B$10,0)))</f>
        <v>0</v>
      </c>
      <c r="P1477" s="6" t="s">
        <v>30</v>
      </c>
      <c r="Q1477" s="6" t="s">
        <v>30</v>
      </c>
      <c r="R1477" s="11" t="s">
        <v>30</v>
      </c>
      <c r="S1477" s="6" t="s">
        <v>30</v>
      </c>
      <c r="T1477" s="11" t="s">
        <v>30</v>
      </c>
      <c r="U1477" s="6" t="s">
        <v>30</v>
      </c>
      <c r="V1477" s="6" t="s">
        <v>30</v>
      </c>
      <c r="W1477" s="6" t="s">
        <v>30</v>
      </c>
      <c r="X1477" s="2" t="s">
        <v>30</v>
      </c>
      <c r="Y1477" s="6" t="str">
        <f aca="false">IF(AND(X1477="processed",ISNUMBER(S1477)),S1477*O1477,"")</f>
        <v/>
      </c>
      <c r="Z1477" s="6" t="n">
        <f aca="false">IF(ISNUMBER(K1477),K1477*O1477,0)</f>
        <v>0</v>
      </c>
      <c r="AA1477" s="2" t="s">
        <v>31</v>
      </c>
      <c r="AB1477" s="6" t="n">
        <v>2584</v>
      </c>
      <c r="AC1477" s="6" t="n">
        <v>970</v>
      </c>
      <c r="AD1477" s="6" t="n">
        <v>101</v>
      </c>
      <c r="AE1477" s="6" t="n">
        <v>1499.29833984375</v>
      </c>
      <c r="AF1477" s="8"/>
      <c r="AG1477" s="11"/>
      <c r="AH1477" s="12" t="n">
        <v>0.690605825214788</v>
      </c>
      <c r="AI1477" s="2" t="s">
        <v>2599</v>
      </c>
      <c r="AJ1477" s="2" t="s">
        <v>3253</v>
      </c>
      <c r="AK1477" s="2" t="s">
        <v>3254</v>
      </c>
    </row>
    <row r="1478" customFormat="false" ht="15" hidden="false" customHeight="false" outlineLevel="0" collapsed="false">
      <c r="A1478" s="9"/>
      <c r="B1478" s="2" t="s">
        <v>3255</v>
      </c>
      <c r="C1478" s="2" t="s">
        <v>3256</v>
      </c>
      <c r="D1478" s="2" t="s">
        <v>34</v>
      </c>
      <c r="E1478" s="2" t="s">
        <v>35</v>
      </c>
      <c r="F1478" s="2" t="s">
        <v>3257</v>
      </c>
      <c r="G1478" s="2" t="s">
        <v>318</v>
      </c>
      <c r="H1478" s="8" t="n">
        <v>366.142483997895</v>
      </c>
      <c r="I1478" s="2" t="s">
        <v>316</v>
      </c>
      <c r="J1478" s="8" t="n">
        <v>894334.345864662</v>
      </c>
      <c r="K1478" s="6" t="n">
        <v>133</v>
      </c>
      <c r="L1478" s="2"/>
      <c r="M1478" s="10" t="b">
        <f aca="false">TRUE()</f>
        <v>1</v>
      </c>
      <c r="N1478" s="9" t="str">
        <f aca="false">IF(H1478="","",IF(H1478&gt;=Assumptions!$B$5,1,IF(H1478&gt;=Assumptions!$B$6,2,IF(H1478&gt;=Assumptions!$B$7,3,""))))</f>
        <v/>
      </c>
      <c r="O1478" s="9" t="n">
        <f aca="false">IF(N1478=1,Assumptions!$B$8,IF(N1478=2,Assumptions!$B$9,IF(N1478=3,Assumptions!$B$10,0)))</f>
        <v>0</v>
      </c>
      <c r="P1478" s="6" t="s">
        <v>30</v>
      </c>
      <c r="Q1478" s="6" t="s">
        <v>30</v>
      </c>
      <c r="R1478" s="11" t="s">
        <v>30</v>
      </c>
      <c r="S1478" s="6" t="s">
        <v>30</v>
      </c>
      <c r="T1478" s="11" t="s">
        <v>30</v>
      </c>
      <c r="U1478" s="6" t="s">
        <v>30</v>
      </c>
      <c r="V1478" s="6" t="s">
        <v>30</v>
      </c>
      <c r="W1478" s="6" t="s">
        <v>30</v>
      </c>
      <c r="X1478" s="2" t="s">
        <v>30</v>
      </c>
      <c r="Y1478" s="6" t="str">
        <f aca="false">IF(AND(X1478="processed",ISNUMBER(S1478)),S1478*O1478,"")</f>
        <v/>
      </c>
      <c r="Z1478" s="6" t="n">
        <f aca="false">IF(ISNUMBER(K1478),K1478*O1478,0)</f>
        <v>0</v>
      </c>
      <c r="AA1478" s="2" t="s">
        <v>31</v>
      </c>
      <c r="AB1478" s="6" t="n">
        <v>7697</v>
      </c>
      <c r="AC1478" s="6" t="n">
        <v>7314</v>
      </c>
      <c r="AD1478" s="6" t="n">
        <v>162</v>
      </c>
      <c r="AE1478" s="6" t="n">
        <v>2222.04541015625</v>
      </c>
      <c r="AF1478" s="8" t="n">
        <v>354.195513708</v>
      </c>
      <c r="AG1478" s="11" t="n">
        <v>-0.1138045196</v>
      </c>
      <c r="AH1478" s="12" t="n">
        <v>0.788777395141345</v>
      </c>
      <c r="AI1478" s="2" t="s">
        <v>321</v>
      </c>
      <c r="AJ1478" s="2" t="s">
        <v>3256</v>
      </c>
      <c r="AK1478" s="2" t="s">
        <v>1680</v>
      </c>
    </row>
    <row r="1479" customFormat="false" ht="15" hidden="false" customHeight="false" outlineLevel="0" collapsed="false">
      <c r="A1479" s="9"/>
      <c r="B1479" s="2" t="s">
        <v>3258</v>
      </c>
      <c r="C1479" s="2" t="s">
        <v>765</v>
      </c>
      <c r="D1479" s="2" t="s">
        <v>190</v>
      </c>
      <c r="E1479" s="2" t="s">
        <v>51</v>
      </c>
      <c r="F1479" s="2" t="s">
        <v>3259</v>
      </c>
      <c r="G1479" s="2" t="s">
        <v>336</v>
      </c>
      <c r="H1479" s="8" t="n">
        <v>495.919236339972</v>
      </c>
      <c r="I1479" s="2" t="s">
        <v>316</v>
      </c>
      <c r="J1479" s="8" t="n">
        <v>671301.675977654</v>
      </c>
      <c r="K1479" s="6" t="n">
        <v>179</v>
      </c>
      <c r="L1479" s="2"/>
      <c r="M1479" s="10" t="b">
        <f aca="false">TRUE()</f>
        <v>1</v>
      </c>
      <c r="N1479" s="9" t="str">
        <f aca="false">IF(H1479="","",IF(H1479&gt;=Assumptions!$B$5,1,IF(H1479&gt;=Assumptions!$B$6,2,IF(H1479&gt;=Assumptions!$B$7,3,""))))</f>
        <v/>
      </c>
      <c r="O1479" s="9" t="n">
        <f aca="false">IF(N1479=1,Assumptions!$B$8,IF(N1479=2,Assumptions!$B$9,IF(N1479=3,Assumptions!$B$10,0)))</f>
        <v>0</v>
      </c>
      <c r="P1479" s="6" t="s">
        <v>30</v>
      </c>
      <c r="Q1479" s="6" t="s">
        <v>30</v>
      </c>
      <c r="R1479" s="11" t="s">
        <v>30</v>
      </c>
      <c r="S1479" s="6" t="s">
        <v>30</v>
      </c>
      <c r="T1479" s="11" t="s">
        <v>30</v>
      </c>
      <c r="U1479" s="6" t="s">
        <v>30</v>
      </c>
      <c r="V1479" s="6" t="s">
        <v>30</v>
      </c>
      <c r="W1479" s="6" t="s">
        <v>30</v>
      </c>
      <c r="X1479" s="2" t="s">
        <v>30</v>
      </c>
      <c r="Y1479" s="6" t="str">
        <f aca="false">IF(AND(X1479="processed",ISNUMBER(S1479)),S1479*O1479,"")</f>
        <v/>
      </c>
      <c r="Z1479" s="6" t="n">
        <f aca="false">IF(ISNUMBER(K1479),K1479*O1479,0)</f>
        <v>0</v>
      </c>
      <c r="AA1479" s="2" t="s">
        <v>31</v>
      </c>
      <c r="AB1479" s="6" t="n">
        <v>17108</v>
      </c>
      <c r="AC1479" s="6" t="n">
        <v>12411</v>
      </c>
      <c r="AD1479" s="6" t="n">
        <v>352</v>
      </c>
      <c r="AE1479" s="6" t="n">
        <v>1958.86987304688</v>
      </c>
      <c r="AF1479" s="8" t="n">
        <v>496.428571429</v>
      </c>
      <c r="AG1479" s="11" t="n">
        <v>0.01214285714</v>
      </c>
      <c r="AH1479" s="12" t="n">
        <v>1</v>
      </c>
      <c r="AI1479" s="2" t="s">
        <v>317</v>
      </c>
      <c r="AJ1479" s="2" t="s">
        <v>765</v>
      </c>
      <c r="AK1479" s="2" t="s">
        <v>765</v>
      </c>
    </row>
    <row r="1480" customFormat="false" ht="15" hidden="false" customHeight="false" outlineLevel="0" collapsed="false">
      <c r="A1480" s="9"/>
      <c r="B1480" s="2" t="s">
        <v>3260</v>
      </c>
      <c r="C1480" s="2" t="s">
        <v>765</v>
      </c>
      <c r="D1480" s="2" t="s">
        <v>190</v>
      </c>
      <c r="E1480" s="2" t="s">
        <v>51</v>
      </c>
      <c r="F1480" s="2" t="s">
        <v>3261</v>
      </c>
      <c r="G1480" s="2" t="s">
        <v>336</v>
      </c>
      <c r="H1480" s="8" t="n">
        <v>458.044169929628</v>
      </c>
      <c r="I1480" s="2" t="s">
        <v>316</v>
      </c>
      <c r="J1480" s="8" t="n">
        <v>764968.085106383</v>
      </c>
      <c r="K1480" s="6" t="n">
        <v>282</v>
      </c>
      <c r="L1480" s="2"/>
      <c r="M1480" s="10" t="b">
        <f aca="false">TRUE()</f>
        <v>1</v>
      </c>
      <c r="N1480" s="9" t="str">
        <f aca="false">IF(H1480="","",IF(H1480&gt;=Assumptions!$B$5,1,IF(H1480&gt;=Assumptions!$B$6,2,IF(H1480&gt;=Assumptions!$B$7,3,""))))</f>
        <v/>
      </c>
      <c r="O1480" s="9" t="n">
        <f aca="false">IF(N1480=1,Assumptions!$B$8,IF(N1480=2,Assumptions!$B$9,IF(N1480=3,Assumptions!$B$10,0)))</f>
        <v>0</v>
      </c>
      <c r="P1480" s="6" t="s">
        <v>30</v>
      </c>
      <c r="Q1480" s="6" t="s">
        <v>30</v>
      </c>
      <c r="R1480" s="11" t="s">
        <v>30</v>
      </c>
      <c r="S1480" s="6" t="s">
        <v>30</v>
      </c>
      <c r="T1480" s="11" t="s">
        <v>30</v>
      </c>
      <c r="U1480" s="6" t="s">
        <v>30</v>
      </c>
      <c r="V1480" s="6" t="s">
        <v>30</v>
      </c>
      <c r="W1480" s="6" t="s">
        <v>30</v>
      </c>
      <c r="X1480" s="2" t="s">
        <v>30</v>
      </c>
      <c r="Y1480" s="6" t="str">
        <f aca="false">IF(AND(X1480="processed",ISNUMBER(S1480)),S1480*O1480,"")</f>
        <v/>
      </c>
      <c r="Z1480" s="6" t="n">
        <f aca="false">IF(ISNUMBER(K1480),K1480*O1480,0)</f>
        <v>0</v>
      </c>
      <c r="AA1480" s="2" t="s">
        <v>31</v>
      </c>
      <c r="AB1480" s="6" t="n">
        <v>17714</v>
      </c>
      <c r="AC1480" s="6" t="n">
        <v>13837</v>
      </c>
      <c r="AD1480" s="6" t="n">
        <v>543</v>
      </c>
      <c r="AE1480" s="6" t="n">
        <v>2063.7490234375</v>
      </c>
      <c r="AF1480" s="8" t="n">
        <v>465.023601809</v>
      </c>
      <c r="AG1480" s="11" t="n">
        <v>-0.0141207891</v>
      </c>
      <c r="AH1480" s="12" t="n">
        <v>0.999999999999999</v>
      </c>
      <c r="AI1480" s="2" t="s">
        <v>317</v>
      </c>
      <c r="AJ1480" s="2" t="s">
        <v>765</v>
      </c>
      <c r="AK1480" s="2" t="s">
        <v>765</v>
      </c>
    </row>
    <row r="1481" customFormat="false" ht="15" hidden="false" customHeight="false" outlineLevel="0" collapsed="false">
      <c r="A1481" s="9"/>
      <c r="B1481" s="2" t="s">
        <v>3262</v>
      </c>
      <c r="C1481" s="2" t="s">
        <v>765</v>
      </c>
      <c r="D1481" s="2" t="s">
        <v>190</v>
      </c>
      <c r="E1481" s="2" t="s">
        <v>51</v>
      </c>
      <c r="F1481" s="2" t="s">
        <v>3263</v>
      </c>
      <c r="G1481" s="2" t="s">
        <v>336</v>
      </c>
      <c r="H1481" s="8" t="n">
        <v>489.003334002649</v>
      </c>
      <c r="I1481" s="2" t="s">
        <v>316</v>
      </c>
      <c r="J1481" s="8" t="n">
        <v>750380.116959064</v>
      </c>
      <c r="K1481" s="6" t="n">
        <v>171</v>
      </c>
      <c r="L1481" s="2"/>
      <c r="M1481" s="10" t="b">
        <f aca="false">TRUE()</f>
        <v>1</v>
      </c>
      <c r="N1481" s="9" t="str">
        <f aca="false">IF(H1481="","",IF(H1481&gt;=Assumptions!$B$5,1,IF(H1481&gt;=Assumptions!$B$6,2,IF(H1481&gt;=Assumptions!$B$7,3,""))))</f>
        <v/>
      </c>
      <c r="O1481" s="9" t="n">
        <f aca="false">IF(N1481=1,Assumptions!$B$8,IF(N1481=2,Assumptions!$B$9,IF(N1481=3,Assumptions!$B$10,0)))</f>
        <v>0</v>
      </c>
      <c r="P1481" s="6" t="s">
        <v>30</v>
      </c>
      <c r="Q1481" s="6" t="s">
        <v>30</v>
      </c>
      <c r="R1481" s="11" t="s">
        <v>30</v>
      </c>
      <c r="S1481" s="6" t="s">
        <v>30</v>
      </c>
      <c r="T1481" s="11" t="s">
        <v>30</v>
      </c>
      <c r="U1481" s="6" t="s">
        <v>30</v>
      </c>
      <c r="V1481" s="6" t="s">
        <v>30</v>
      </c>
      <c r="W1481" s="6" t="s">
        <v>30</v>
      </c>
      <c r="X1481" s="2" t="s">
        <v>30</v>
      </c>
      <c r="Y1481" s="6" t="str">
        <f aca="false">IF(AND(X1481="processed",ISNUMBER(S1481)),S1481*O1481,"")</f>
        <v/>
      </c>
      <c r="Z1481" s="6" t="n">
        <f aca="false">IF(ISNUMBER(K1481),K1481*O1481,0)</f>
        <v>0</v>
      </c>
      <c r="AA1481" s="2" t="s">
        <v>31</v>
      </c>
      <c r="AB1481" s="6" t="n">
        <v>8965</v>
      </c>
      <c r="AC1481" s="6" t="n">
        <v>7331</v>
      </c>
      <c r="AD1481" s="6" t="n">
        <v>55</v>
      </c>
      <c r="AE1481" s="6" t="n">
        <v>2361.98486328125</v>
      </c>
      <c r="AF1481" s="8" t="n">
        <v>501.281628313</v>
      </c>
      <c r="AG1481" s="11" t="n">
        <v>0.06804340993</v>
      </c>
      <c r="AH1481" s="12" t="n">
        <v>1</v>
      </c>
      <c r="AI1481" s="2" t="s">
        <v>317</v>
      </c>
      <c r="AJ1481" s="2" t="s">
        <v>765</v>
      </c>
      <c r="AK1481" s="2" t="s">
        <v>765</v>
      </c>
    </row>
    <row r="1482" customFormat="false" ht="15" hidden="false" customHeight="false" outlineLevel="0" collapsed="false">
      <c r="A1482" s="9"/>
      <c r="B1482" s="2" t="s">
        <v>3264</v>
      </c>
      <c r="C1482" s="2" t="s">
        <v>765</v>
      </c>
      <c r="D1482" s="2" t="s">
        <v>190</v>
      </c>
      <c r="E1482" s="2" t="s">
        <v>51</v>
      </c>
      <c r="F1482" s="2"/>
      <c r="G1482" s="2" t="s">
        <v>336</v>
      </c>
      <c r="H1482" s="8" t="n">
        <v>429.503672417367</v>
      </c>
      <c r="I1482" s="2" t="s">
        <v>316</v>
      </c>
      <c r="J1482" s="8" t="n">
        <v>663622.448979592</v>
      </c>
      <c r="K1482" s="6" t="n">
        <v>147</v>
      </c>
      <c r="L1482" s="2"/>
      <c r="M1482" s="10" t="b">
        <f aca="false">TRUE()</f>
        <v>1</v>
      </c>
      <c r="N1482" s="9" t="str">
        <f aca="false">IF(H1482="","",IF(H1482&gt;=Assumptions!$B$5,1,IF(H1482&gt;=Assumptions!$B$6,2,IF(H1482&gt;=Assumptions!$B$7,3,""))))</f>
        <v/>
      </c>
      <c r="O1482" s="9" t="n">
        <f aca="false">IF(N1482=1,Assumptions!$B$8,IF(N1482=2,Assumptions!$B$9,IF(N1482=3,Assumptions!$B$10,0)))</f>
        <v>0</v>
      </c>
      <c r="P1482" s="6" t="s">
        <v>30</v>
      </c>
      <c r="Q1482" s="6" t="s">
        <v>30</v>
      </c>
      <c r="R1482" s="11" t="s">
        <v>30</v>
      </c>
      <c r="S1482" s="6" t="s">
        <v>30</v>
      </c>
      <c r="T1482" s="11" t="s">
        <v>30</v>
      </c>
      <c r="U1482" s="6" t="s">
        <v>30</v>
      </c>
      <c r="V1482" s="6" t="s">
        <v>30</v>
      </c>
      <c r="W1482" s="6" t="s">
        <v>30</v>
      </c>
      <c r="X1482" s="2" t="s">
        <v>30</v>
      </c>
      <c r="Y1482" s="6" t="str">
        <f aca="false">IF(AND(X1482="processed",ISNUMBER(S1482)),S1482*O1482,"")</f>
        <v/>
      </c>
      <c r="Z1482" s="6" t="n">
        <f aca="false">IF(ISNUMBER(K1482),K1482*O1482,0)</f>
        <v>0</v>
      </c>
      <c r="AA1482" s="2" t="s">
        <v>31</v>
      </c>
      <c r="AB1482" s="6" t="n">
        <v>20002</v>
      </c>
      <c r="AC1482" s="6" t="n">
        <v>12959</v>
      </c>
      <c r="AD1482" s="6" t="n">
        <v>658</v>
      </c>
      <c r="AE1482" s="6" t="n">
        <v>1736.39611816406</v>
      </c>
      <c r="AF1482" s="8" t="n">
        <v>437.062937063</v>
      </c>
      <c r="AG1482" s="11" t="n">
        <v>0.0529756257</v>
      </c>
      <c r="AH1482" s="12" t="n">
        <v>1</v>
      </c>
      <c r="AI1482" s="2" t="s">
        <v>317</v>
      </c>
      <c r="AJ1482" s="2" t="s">
        <v>765</v>
      </c>
      <c r="AK1482" s="2" t="s">
        <v>765</v>
      </c>
    </row>
    <row r="1483" customFormat="false" ht="15" hidden="false" customHeight="false" outlineLevel="0" collapsed="false">
      <c r="A1483" s="9"/>
      <c r="B1483" s="2" t="s">
        <v>3265</v>
      </c>
      <c r="C1483" s="2" t="s">
        <v>765</v>
      </c>
      <c r="D1483" s="2" t="s">
        <v>190</v>
      </c>
      <c r="E1483" s="2" t="s">
        <v>51</v>
      </c>
      <c r="F1483" s="2"/>
      <c r="G1483" s="2" t="s">
        <v>336</v>
      </c>
      <c r="H1483" s="8" t="n">
        <v>453.081624779583</v>
      </c>
      <c r="I1483" s="2" t="s">
        <v>316</v>
      </c>
      <c r="J1483" s="8" t="n">
        <v>772820.163487739</v>
      </c>
      <c r="K1483" s="6" t="n">
        <v>367</v>
      </c>
      <c r="L1483" s="2"/>
      <c r="M1483" s="10" t="b">
        <f aca="false">TRUE()</f>
        <v>1</v>
      </c>
      <c r="N1483" s="9" t="str">
        <f aca="false">IF(H1483="","",IF(H1483&gt;=Assumptions!$B$5,1,IF(H1483&gt;=Assumptions!$B$6,2,IF(H1483&gt;=Assumptions!$B$7,3,""))))</f>
        <v/>
      </c>
      <c r="O1483" s="9" t="n">
        <f aca="false">IF(N1483=1,Assumptions!$B$8,IF(N1483=2,Assumptions!$B$9,IF(N1483=3,Assumptions!$B$10,0)))</f>
        <v>0</v>
      </c>
      <c r="P1483" s="6" t="s">
        <v>30</v>
      </c>
      <c r="Q1483" s="6" t="s">
        <v>30</v>
      </c>
      <c r="R1483" s="11" t="s">
        <v>30</v>
      </c>
      <c r="S1483" s="6" t="s">
        <v>30</v>
      </c>
      <c r="T1483" s="11" t="s">
        <v>30</v>
      </c>
      <c r="U1483" s="6" t="s">
        <v>30</v>
      </c>
      <c r="V1483" s="6" t="s">
        <v>30</v>
      </c>
      <c r="W1483" s="6" t="s">
        <v>30</v>
      </c>
      <c r="X1483" s="2" t="s">
        <v>30</v>
      </c>
      <c r="Y1483" s="6" t="str">
        <f aca="false">IF(AND(X1483="processed",ISNUMBER(S1483)),S1483*O1483,"")</f>
        <v/>
      </c>
      <c r="Z1483" s="6" t="n">
        <f aca="false">IF(ISNUMBER(K1483),K1483*O1483,0)</f>
        <v>0</v>
      </c>
      <c r="AA1483" s="2" t="s">
        <v>31</v>
      </c>
      <c r="AB1483" s="6" t="n">
        <v>13798</v>
      </c>
      <c r="AC1483" s="6" t="n">
        <v>11408</v>
      </c>
      <c r="AD1483" s="6" t="n">
        <v>222</v>
      </c>
      <c r="AE1483" s="6" t="n">
        <v>2463.21728515625</v>
      </c>
      <c r="AF1483" s="8" t="n">
        <v>462.453066333</v>
      </c>
      <c r="AG1483" s="11" t="n">
        <v>-0.03451925421</v>
      </c>
      <c r="AH1483" s="12" t="n">
        <v>0.999655354800252</v>
      </c>
      <c r="AI1483" s="2" t="s">
        <v>317</v>
      </c>
      <c r="AJ1483" s="2" t="s">
        <v>765</v>
      </c>
      <c r="AK1483" s="2" t="s">
        <v>765</v>
      </c>
    </row>
    <row r="1484" customFormat="false" ht="15" hidden="false" customHeight="false" outlineLevel="0" collapsed="false">
      <c r="A1484" s="9"/>
      <c r="B1484" s="2" t="s">
        <v>3266</v>
      </c>
      <c r="C1484" s="2" t="s">
        <v>3267</v>
      </c>
      <c r="D1484" s="2" t="s">
        <v>1595</v>
      </c>
      <c r="E1484" s="2" t="s">
        <v>51</v>
      </c>
      <c r="F1484" s="2"/>
      <c r="G1484" s="2" t="s">
        <v>1596</v>
      </c>
      <c r="H1484" s="8" t="n">
        <v>460.619232026</v>
      </c>
      <c r="I1484" s="2" t="s">
        <v>316</v>
      </c>
      <c r="J1484" s="8" t="n">
        <v>770797</v>
      </c>
      <c r="K1484" s="6" t="n">
        <v>6</v>
      </c>
      <c r="L1484" s="2"/>
      <c r="M1484" s="10" t="b">
        <f aca="false">TRUE()</f>
        <v>1</v>
      </c>
      <c r="N1484" s="9" t="str">
        <f aca="false">IF(H1484="","",IF(H1484&gt;=Assumptions!$B$5,1,IF(H1484&gt;=Assumptions!$B$6,2,IF(H1484&gt;=Assumptions!$B$7,3,""))))</f>
        <v/>
      </c>
      <c r="O1484" s="9" t="n">
        <f aca="false">IF(N1484=1,Assumptions!$B$8,IF(N1484=2,Assumptions!$B$9,IF(N1484=3,Assumptions!$B$10,0)))</f>
        <v>0</v>
      </c>
      <c r="P1484" s="6" t="s">
        <v>30</v>
      </c>
      <c r="Q1484" s="6" t="s">
        <v>30</v>
      </c>
      <c r="R1484" s="11" t="s">
        <v>30</v>
      </c>
      <c r="S1484" s="6" t="s">
        <v>30</v>
      </c>
      <c r="T1484" s="11" t="s">
        <v>30</v>
      </c>
      <c r="U1484" s="6" t="s">
        <v>30</v>
      </c>
      <c r="V1484" s="6" t="s">
        <v>30</v>
      </c>
      <c r="W1484" s="6" t="s">
        <v>30</v>
      </c>
      <c r="X1484" s="2" t="s">
        <v>30</v>
      </c>
      <c r="Y1484" s="6" t="str">
        <f aca="false">IF(AND(X1484="processed",ISNUMBER(S1484)),S1484*O1484,"")</f>
        <v/>
      </c>
      <c r="Z1484" s="6" t="n">
        <f aca="false">IF(ISNUMBER(K1484),K1484*O1484,0)</f>
        <v>0</v>
      </c>
      <c r="AA1484" s="2" t="s">
        <v>31</v>
      </c>
      <c r="AB1484" s="6" t="n">
        <v>1075</v>
      </c>
      <c r="AC1484" s="6" t="n">
        <v>876</v>
      </c>
      <c r="AD1484" s="6" t="n">
        <v>883</v>
      </c>
      <c r="AE1484" s="6" t="n">
        <v>1423.7060546875</v>
      </c>
      <c r="AF1484" s="8" t="n">
        <v>437.825833333</v>
      </c>
      <c r="AG1484" s="11" t="n">
        <v>-0.04358434466</v>
      </c>
      <c r="AH1484" s="12" t="n">
        <v>0.92331593347542</v>
      </c>
      <c r="AI1484" s="2" t="s">
        <v>1597</v>
      </c>
      <c r="AJ1484" s="2"/>
      <c r="AK1484" s="2" t="s">
        <v>3267</v>
      </c>
    </row>
    <row r="1485" customFormat="false" ht="15" hidden="false" customHeight="false" outlineLevel="0" collapsed="false">
      <c r="A1485" s="9"/>
      <c r="B1485" s="2" t="s">
        <v>3268</v>
      </c>
      <c r="C1485" s="2" t="s">
        <v>3269</v>
      </c>
      <c r="D1485" s="2" t="s">
        <v>190</v>
      </c>
      <c r="E1485" s="2" t="s">
        <v>51</v>
      </c>
      <c r="F1485" s="2"/>
      <c r="G1485" s="2" t="s">
        <v>336</v>
      </c>
      <c r="H1485" s="8" t="n">
        <v>297.619047619</v>
      </c>
      <c r="I1485" s="2" t="s">
        <v>316</v>
      </c>
      <c r="J1485" s="8" t="n">
        <v>400000</v>
      </c>
      <c r="K1485" s="6" t="n">
        <v>1</v>
      </c>
      <c r="L1485" s="2" t="s">
        <v>1664</v>
      </c>
      <c r="M1485" s="10" t="b">
        <f aca="false">TRUE()</f>
        <v>1</v>
      </c>
      <c r="N1485" s="9" t="str">
        <f aca="false">IF(H1485="","",IF(H1485&gt;=Assumptions!$B$5,1,IF(H1485&gt;=Assumptions!$B$6,2,IF(H1485&gt;=Assumptions!$B$7,3,""))))</f>
        <v/>
      </c>
      <c r="O1485" s="9" t="n">
        <f aca="false">IF(N1485=1,Assumptions!$B$8,IF(N1485=2,Assumptions!$B$9,IF(N1485=3,Assumptions!$B$10,0)))</f>
        <v>0</v>
      </c>
      <c r="P1485" s="6" t="s">
        <v>30</v>
      </c>
      <c r="Q1485" s="6" t="s">
        <v>30</v>
      </c>
      <c r="R1485" s="11" t="s">
        <v>30</v>
      </c>
      <c r="S1485" s="6" t="s">
        <v>30</v>
      </c>
      <c r="T1485" s="11" t="s">
        <v>30</v>
      </c>
      <c r="U1485" s="6" t="s">
        <v>30</v>
      </c>
      <c r="V1485" s="6" t="s">
        <v>30</v>
      </c>
      <c r="W1485" s="6" t="s">
        <v>30</v>
      </c>
      <c r="X1485" s="2" t="s">
        <v>30</v>
      </c>
      <c r="Y1485" s="6" t="str">
        <f aca="false">IF(AND(X1485="processed",ISNUMBER(S1485)),S1485*O1485,"")</f>
        <v/>
      </c>
      <c r="Z1485" s="6" t="n">
        <f aca="false">IF(ISNUMBER(K1485),K1485*O1485,0)</f>
        <v>0</v>
      </c>
      <c r="AA1485" s="2" t="s">
        <v>31</v>
      </c>
      <c r="AB1485" s="6" t="n">
        <v>608</v>
      </c>
      <c r="AC1485" s="6" t="n">
        <v>370</v>
      </c>
      <c r="AD1485" s="6" t="n">
        <v>83</v>
      </c>
      <c r="AE1485" s="6" t="n">
        <v>1339.37829589844</v>
      </c>
      <c r="AF1485" s="8" t="n">
        <v>297.619047619</v>
      </c>
      <c r="AG1485" s="11"/>
      <c r="AH1485" s="12" t="n">
        <v>0.999289147274018</v>
      </c>
      <c r="AI1485" s="2" t="s">
        <v>317</v>
      </c>
      <c r="AJ1485" s="2" t="s">
        <v>3269</v>
      </c>
      <c r="AK1485" s="2" t="s">
        <v>3269</v>
      </c>
    </row>
    <row r="1486" customFormat="false" ht="15" hidden="false" customHeight="false" outlineLevel="0" collapsed="false">
      <c r="A1486" s="9"/>
      <c r="B1486" s="2" t="s">
        <v>3270</v>
      </c>
      <c r="C1486" s="2" t="s">
        <v>3271</v>
      </c>
      <c r="D1486" s="2" t="s">
        <v>1595</v>
      </c>
      <c r="E1486" s="2" t="s">
        <v>51</v>
      </c>
      <c r="F1486" s="2" t="s">
        <v>3272</v>
      </c>
      <c r="G1486" s="2" t="s">
        <v>1596</v>
      </c>
      <c r="H1486" s="8" t="n">
        <v>359.011052092</v>
      </c>
      <c r="I1486" s="2" t="s">
        <v>316</v>
      </c>
      <c r="J1486" s="8" t="n">
        <v>752000</v>
      </c>
      <c r="K1486" s="6" t="n">
        <v>3</v>
      </c>
      <c r="L1486" s="2" t="s">
        <v>1664</v>
      </c>
      <c r="M1486" s="10" t="b">
        <f aca="false">TRUE()</f>
        <v>1</v>
      </c>
      <c r="N1486" s="9" t="str">
        <f aca="false">IF(H1486="","",IF(H1486&gt;=Assumptions!$B$5,1,IF(H1486&gt;=Assumptions!$B$6,2,IF(H1486&gt;=Assumptions!$B$7,3,""))))</f>
        <v/>
      </c>
      <c r="O1486" s="9" t="n">
        <f aca="false">IF(N1486=1,Assumptions!$B$8,IF(N1486=2,Assumptions!$B$9,IF(N1486=3,Assumptions!$B$10,0)))</f>
        <v>0</v>
      </c>
      <c r="P1486" s="6" t="s">
        <v>30</v>
      </c>
      <c r="Q1486" s="6" t="s">
        <v>30</v>
      </c>
      <c r="R1486" s="11" t="s">
        <v>30</v>
      </c>
      <c r="S1486" s="6" t="s">
        <v>30</v>
      </c>
      <c r="T1486" s="11" t="s">
        <v>30</v>
      </c>
      <c r="U1486" s="6" t="s">
        <v>30</v>
      </c>
      <c r="V1486" s="6" t="s">
        <v>30</v>
      </c>
      <c r="W1486" s="6" t="s">
        <v>30</v>
      </c>
      <c r="X1486" s="2" t="s">
        <v>30</v>
      </c>
      <c r="Y1486" s="6" t="str">
        <f aca="false">IF(AND(X1486="processed",ISNUMBER(S1486)),S1486*O1486,"")</f>
        <v/>
      </c>
      <c r="Z1486" s="6" t="n">
        <f aca="false">IF(ISNUMBER(K1486),K1486*O1486,0)</f>
        <v>0</v>
      </c>
      <c r="AA1486" s="2" t="s">
        <v>31</v>
      </c>
      <c r="AB1486" s="6" t="n">
        <v>1478</v>
      </c>
      <c r="AC1486" s="6" t="n">
        <v>1166</v>
      </c>
      <c r="AD1486" s="6" t="n">
        <v>553</v>
      </c>
      <c r="AE1486" s="6" t="n">
        <v>1572.01123046875</v>
      </c>
      <c r="AF1486" s="8" t="n">
        <v>365.397712271</v>
      </c>
      <c r="AG1486" s="11"/>
      <c r="AH1486" s="12" t="n">
        <v>1</v>
      </c>
      <c r="AI1486" s="2" t="s">
        <v>319</v>
      </c>
      <c r="AJ1486" s="2"/>
      <c r="AK1486" s="2" t="s">
        <v>3271</v>
      </c>
    </row>
    <row r="1487" customFormat="false" ht="15" hidden="false" customHeight="false" outlineLevel="0" collapsed="false">
      <c r="A1487" s="9"/>
      <c r="B1487" s="2" t="s">
        <v>3273</v>
      </c>
      <c r="C1487" s="2" t="s">
        <v>3274</v>
      </c>
      <c r="D1487" s="2" t="s">
        <v>1595</v>
      </c>
      <c r="E1487" s="2" t="s">
        <v>51</v>
      </c>
      <c r="F1487" s="2"/>
      <c r="G1487" s="2" t="s">
        <v>1596</v>
      </c>
      <c r="H1487" s="8" t="n">
        <v>267.400453221</v>
      </c>
      <c r="I1487" s="2" t="s">
        <v>337</v>
      </c>
      <c r="J1487" s="8" t="n">
        <v>826000</v>
      </c>
      <c r="K1487" s="6" t="n">
        <v>1</v>
      </c>
      <c r="L1487" s="2" t="s">
        <v>1664</v>
      </c>
      <c r="M1487" s="10" t="b">
        <f aca="false">TRUE()</f>
        <v>1</v>
      </c>
      <c r="N1487" s="9" t="str">
        <f aca="false">IF(H1487="","",IF(H1487&gt;=Assumptions!$B$5,1,IF(H1487&gt;=Assumptions!$B$6,2,IF(H1487&gt;=Assumptions!$B$7,3,""))))</f>
        <v/>
      </c>
      <c r="O1487" s="9" t="n">
        <f aca="false">IF(N1487=1,Assumptions!$B$8,IF(N1487=2,Assumptions!$B$9,IF(N1487=3,Assumptions!$B$10,0)))</f>
        <v>0</v>
      </c>
      <c r="P1487" s="6" t="s">
        <v>30</v>
      </c>
      <c r="Q1487" s="6" t="s">
        <v>30</v>
      </c>
      <c r="R1487" s="11" t="s">
        <v>30</v>
      </c>
      <c r="S1487" s="6" t="s">
        <v>30</v>
      </c>
      <c r="T1487" s="11" t="s">
        <v>30</v>
      </c>
      <c r="U1487" s="6" t="s">
        <v>30</v>
      </c>
      <c r="V1487" s="6" t="s">
        <v>30</v>
      </c>
      <c r="W1487" s="6" t="s">
        <v>30</v>
      </c>
      <c r="X1487" s="2" t="s">
        <v>30</v>
      </c>
      <c r="Y1487" s="6" t="str">
        <f aca="false">IF(AND(X1487="processed",ISNUMBER(S1487)),S1487*O1487,"")</f>
        <v/>
      </c>
      <c r="Z1487" s="6" t="n">
        <f aca="false">IF(ISNUMBER(K1487),K1487*O1487,0)</f>
        <v>0</v>
      </c>
      <c r="AA1487" s="2" t="s">
        <v>31</v>
      </c>
      <c r="AB1487" s="6" t="n">
        <v>336</v>
      </c>
      <c r="AC1487" s="6" t="n">
        <v>273</v>
      </c>
      <c r="AD1487" s="6" t="n">
        <v>322</v>
      </c>
      <c r="AE1487" s="6" t="n">
        <v>1383.24682617188</v>
      </c>
      <c r="AF1487" s="8"/>
      <c r="AG1487" s="11"/>
      <c r="AH1487" s="12" t="n">
        <v>1</v>
      </c>
      <c r="AI1487" s="2" t="s">
        <v>1597</v>
      </c>
      <c r="AJ1487" s="2"/>
      <c r="AK1487" s="2" t="s">
        <v>3274</v>
      </c>
    </row>
    <row r="1488" customFormat="false" ht="15" hidden="false" customHeight="false" outlineLevel="0" collapsed="false">
      <c r="A1488" s="9"/>
      <c r="B1488" s="2" t="s">
        <v>3275</v>
      </c>
      <c r="C1488" s="2"/>
      <c r="D1488" s="2" t="s">
        <v>1190</v>
      </c>
      <c r="E1488" s="2" t="s">
        <v>1191</v>
      </c>
      <c r="F1488" s="2"/>
      <c r="G1488" s="2" t="s">
        <v>336</v>
      </c>
      <c r="H1488" s="8" t="n">
        <v>374.149659864</v>
      </c>
      <c r="I1488" s="2" t="s">
        <v>316</v>
      </c>
      <c r="J1488" s="8" t="n">
        <v>660000</v>
      </c>
      <c r="K1488" s="6" t="n">
        <v>1</v>
      </c>
      <c r="L1488" s="2" t="s">
        <v>1664</v>
      </c>
      <c r="M1488" s="10" t="b">
        <f aca="false">FALSE()</f>
        <v>0</v>
      </c>
      <c r="N1488" s="9" t="str">
        <f aca="false">IF(H1488="","",IF(H1488&gt;=Assumptions!$B$5,1,IF(H1488&gt;=Assumptions!$B$6,2,IF(H1488&gt;=Assumptions!$B$7,3,""))))</f>
        <v/>
      </c>
      <c r="O1488" s="9" t="n">
        <f aca="false">IF(N1488=1,Assumptions!$B$8,IF(N1488=2,Assumptions!$B$9,IF(N1488=3,Assumptions!$B$10,0)))</f>
        <v>0</v>
      </c>
      <c r="P1488" s="6" t="s">
        <v>30</v>
      </c>
      <c r="Q1488" s="6" t="s">
        <v>30</v>
      </c>
      <c r="R1488" s="11" t="s">
        <v>30</v>
      </c>
      <c r="S1488" s="6" t="s">
        <v>30</v>
      </c>
      <c r="T1488" s="11" t="s">
        <v>30</v>
      </c>
      <c r="U1488" s="6" t="s">
        <v>30</v>
      </c>
      <c r="V1488" s="6" t="s">
        <v>30</v>
      </c>
      <c r="W1488" s="6" t="s">
        <v>30</v>
      </c>
      <c r="X1488" s="2" t="s">
        <v>30</v>
      </c>
      <c r="Y1488" s="6" t="str">
        <f aca="false">IF(AND(X1488="processed",ISNUMBER(S1488)),S1488*O1488,"")</f>
        <v/>
      </c>
      <c r="Z1488" s="6" t="n">
        <f aca="false">IF(ISNUMBER(K1488),K1488*O1488,0)</f>
        <v>0</v>
      </c>
      <c r="AA1488" s="2" t="s">
        <v>31</v>
      </c>
      <c r="AB1488" s="6"/>
      <c r="AC1488" s="6"/>
      <c r="AD1488" s="6"/>
      <c r="AE1488" s="6"/>
      <c r="AF1488" s="8" t="n">
        <v>374.149659864</v>
      </c>
      <c r="AG1488" s="11" t="n">
        <v>0.2534013605</v>
      </c>
      <c r="AH1488" s="12"/>
      <c r="AI1488" s="2"/>
      <c r="AJ1488" s="2"/>
      <c r="AK1488" s="2"/>
    </row>
    <row r="1489" customFormat="false" ht="15" hidden="false" customHeight="false" outlineLevel="0" collapsed="false">
      <c r="A1489" s="9"/>
      <c r="B1489" s="2" t="s">
        <v>3276</v>
      </c>
      <c r="C1489" s="2" t="s">
        <v>3277</v>
      </c>
      <c r="D1489" s="2" t="s">
        <v>3278</v>
      </c>
      <c r="E1489" s="2" t="s">
        <v>51</v>
      </c>
      <c r="F1489" s="2" t="s">
        <v>3279</v>
      </c>
      <c r="G1489" s="2" t="s">
        <v>3280</v>
      </c>
      <c r="H1489" s="8" t="n">
        <v>201.016722576707</v>
      </c>
      <c r="I1489" s="2" t="s">
        <v>316</v>
      </c>
      <c r="J1489" s="8" t="n">
        <v>258112.068965517</v>
      </c>
      <c r="K1489" s="6" t="n">
        <v>116</v>
      </c>
      <c r="L1489" s="2"/>
      <c r="M1489" s="10" t="b">
        <f aca="false">TRUE()</f>
        <v>1</v>
      </c>
      <c r="N1489" s="9" t="str">
        <f aca="false">IF(H1489="","",IF(H1489&gt;=Assumptions!$B$5,1,IF(H1489&gt;=Assumptions!$B$6,2,IF(H1489&gt;=Assumptions!$B$7,3,""))))</f>
        <v/>
      </c>
      <c r="O1489" s="9" t="n">
        <f aca="false">IF(N1489=1,Assumptions!$B$8,IF(N1489=2,Assumptions!$B$9,IF(N1489=3,Assumptions!$B$10,0)))</f>
        <v>0</v>
      </c>
      <c r="P1489" s="6" t="s">
        <v>30</v>
      </c>
      <c r="Q1489" s="6" t="s">
        <v>30</v>
      </c>
      <c r="R1489" s="11" t="s">
        <v>30</v>
      </c>
      <c r="S1489" s="6" t="s">
        <v>30</v>
      </c>
      <c r="T1489" s="11" t="s">
        <v>30</v>
      </c>
      <c r="U1489" s="6" t="s">
        <v>30</v>
      </c>
      <c r="V1489" s="6" t="s">
        <v>30</v>
      </c>
      <c r="W1489" s="6" t="s">
        <v>30</v>
      </c>
      <c r="X1489" s="2" t="s">
        <v>30</v>
      </c>
      <c r="Y1489" s="6" t="str">
        <f aca="false">IF(AND(X1489="processed",ISNUMBER(S1489)),S1489*O1489,"")</f>
        <v/>
      </c>
      <c r="Z1489" s="6" t="n">
        <f aca="false">IF(ISNUMBER(K1489),K1489*O1489,0)</f>
        <v>0</v>
      </c>
      <c r="AA1489" s="2" t="s">
        <v>31</v>
      </c>
      <c r="AB1489" s="6" t="n">
        <v>9171</v>
      </c>
      <c r="AC1489" s="6" t="n">
        <v>7712</v>
      </c>
      <c r="AD1489" s="6" t="n">
        <v>7752</v>
      </c>
      <c r="AE1489" s="6" t="n">
        <v>1574.10522460938</v>
      </c>
      <c r="AF1489" s="8" t="n">
        <v>201.724137931</v>
      </c>
      <c r="AG1489" s="11" t="n">
        <v>-0.05435795203</v>
      </c>
      <c r="AH1489" s="12" t="n">
        <v>1</v>
      </c>
      <c r="AI1489" s="2" t="s">
        <v>317</v>
      </c>
      <c r="AJ1489" s="2" t="s">
        <v>3277</v>
      </c>
      <c r="AK1489" s="2" t="s">
        <v>3277</v>
      </c>
    </row>
    <row r="1490" customFormat="false" ht="15" hidden="false" customHeight="false" outlineLevel="0" collapsed="false">
      <c r="A1490" s="9"/>
      <c r="B1490" s="2" t="s">
        <v>3281</v>
      </c>
      <c r="C1490" s="2" t="s">
        <v>3282</v>
      </c>
      <c r="D1490" s="2" t="s">
        <v>3278</v>
      </c>
      <c r="E1490" s="2" t="s">
        <v>51</v>
      </c>
      <c r="F1490" s="2"/>
      <c r="G1490" s="2" t="s">
        <v>3280</v>
      </c>
      <c r="H1490" s="8" t="n">
        <v>186.778578405317</v>
      </c>
      <c r="I1490" s="2" t="s">
        <v>316</v>
      </c>
      <c r="J1490" s="8" t="n">
        <v>244761.904761905</v>
      </c>
      <c r="K1490" s="6" t="n">
        <v>63</v>
      </c>
      <c r="L1490" s="2"/>
      <c r="M1490" s="10" t="b">
        <f aca="false">TRUE()</f>
        <v>1</v>
      </c>
      <c r="N1490" s="9" t="str">
        <f aca="false">IF(H1490="","",IF(H1490&gt;=Assumptions!$B$5,1,IF(H1490&gt;=Assumptions!$B$6,2,IF(H1490&gt;=Assumptions!$B$7,3,""))))</f>
        <v/>
      </c>
      <c r="O1490" s="9" t="n">
        <f aca="false">IF(N1490=1,Assumptions!$B$8,IF(N1490=2,Assumptions!$B$9,IF(N1490=3,Assumptions!$B$10,0)))</f>
        <v>0</v>
      </c>
      <c r="P1490" s="6" t="s">
        <v>30</v>
      </c>
      <c r="Q1490" s="6" t="s">
        <v>30</v>
      </c>
      <c r="R1490" s="11" t="s">
        <v>30</v>
      </c>
      <c r="S1490" s="6" t="s">
        <v>30</v>
      </c>
      <c r="T1490" s="11" t="s">
        <v>30</v>
      </c>
      <c r="U1490" s="6" t="s">
        <v>30</v>
      </c>
      <c r="V1490" s="6" t="s">
        <v>30</v>
      </c>
      <c r="W1490" s="6" t="s">
        <v>30</v>
      </c>
      <c r="X1490" s="2" t="s">
        <v>30</v>
      </c>
      <c r="Y1490" s="6" t="str">
        <f aca="false">IF(AND(X1490="processed",ISNUMBER(S1490)),S1490*O1490,"")</f>
        <v/>
      </c>
      <c r="Z1490" s="6" t="n">
        <f aca="false">IF(ISNUMBER(K1490),K1490*O1490,0)</f>
        <v>0</v>
      </c>
      <c r="AA1490" s="2" t="s">
        <v>31</v>
      </c>
      <c r="AB1490" s="6" t="n">
        <v>3467</v>
      </c>
      <c r="AC1490" s="6" t="n">
        <v>3010</v>
      </c>
      <c r="AD1490" s="6" t="n">
        <v>3343</v>
      </c>
      <c r="AE1490" s="6" t="n">
        <v>1841.52392578125</v>
      </c>
      <c r="AF1490" s="8" t="n">
        <v>190.476190476</v>
      </c>
      <c r="AG1490" s="11" t="n">
        <v>-0.141543514</v>
      </c>
      <c r="AH1490" s="12" t="n">
        <v>0.999708007735053</v>
      </c>
      <c r="AI1490" s="2" t="s">
        <v>317</v>
      </c>
      <c r="AJ1490" s="2" t="s">
        <v>3282</v>
      </c>
      <c r="AK1490" s="2" t="s">
        <v>717</v>
      </c>
    </row>
    <row r="1491" customFormat="false" ht="15" hidden="false" customHeight="false" outlineLevel="0" collapsed="false">
      <c r="A1491" s="9"/>
      <c r="B1491" s="2" t="s">
        <v>3283</v>
      </c>
      <c r="C1491" s="2"/>
      <c r="D1491" s="2" t="s">
        <v>1190</v>
      </c>
      <c r="E1491" s="2" t="s">
        <v>1191</v>
      </c>
      <c r="F1491" s="2"/>
      <c r="G1491" s="2" t="s">
        <v>3280</v>
      </c>
      <c r="H1491" s="8" t="n">
        <v>224.037216022</v>
      </c>
      <c r="I1491" s="2" t="s">
        <v>316</v>
      </c>
      <c r="J1491" s="8" t="n">
        <v>247500</v>
      </c>
      <c r="K1491" s="6" t="n">
        <v>2</v>
      </c>
      <c r="L1491" s="2" t="s">
        <v>1664</v>
      </c>
      <c r="M1491" s="10" t="b">
        <f aca="false">FALSE()</f>
        <v>0</v>
      </c>
      <c r="N1491" s="9" t="str">
        <f aca="false">IF(H1491="","",IF(H1491&gt;=Assumptions!$B$5,1,IF(H1491&gt;=Assumptions!$B$6,2,IF(H1491&gt;=Assumptions!$B$7,3,""))))</f>
        <v/>
      </c>
      <c r="O1491" s="9" t="n">
        <f aca="false">IF(N1491=1,Assumptions!$B$8,IF(N1491=2,Assumptions!$B$9,IF(N1491=3,Assumptions!$B$10,0)))</f>
        <v>0</v>
      </c>
      <c r="P1491" s="6" t="s">
        <v>30</v>
      </c>
      <c r="Q1491" s="6" t="s">
        <v>30</v>
      </c>
      <c r="R1491" s="11" t="s">
        <v>30</v>
      </c>
      <c r="S1491" s="6" t="s">
        <v>30</v>
      </c>
      <c r="T1491" s="11" t="s">
        <v>30</v>
      </c>
      <c r="U1491" s="6" t="s">
        <v>30</v>
      </c>
      <c r="V1491" s="6" t="s">
        <v>30</v>
      </c>
      <c r="W1491" s="6" t="s">
        <v>30</v>
      </c>
      <c r="X1491" s="2" t="s">
        <v>30</v>
      </c>
      <c r="Y1491" s="6" t="str">
        <f aca="false">IF(AND(X1491="processed",ISNUMBER(S1491)),S1491*O1491,"")</f>
        <v/>
      </c>
      <c r="Z1491" s="6" t="n">
        <f aca="false">IF(ISNUMBER(K1491),K1491*O1491,0)</f>
        <v>0</v>
      </c>
      <c r="AA1491" s="2" t="s">
        <v>31</v>
      </c>
      <c r="AB1491" s="6"/>
      <c r="AC1491" s="6"/>
      <c r="AD1491" s="6"/>
      <c r="AE1491" s="6"/>
      <c r="AF1491" s="8" t="n">
        <v>276.442307692</v>
      </c>
      <c r="AG1491" s="11"/>
      <c r="AH1491" s="12"/>
      <c r="AI1491" s="2"/>
      <c r="AJ1491" s="2"/>
      <c r="AK1491" s="2"/>
    </row>
    <row r="1492" customFormat="false" ht="15" hidden="false" customHeight="false" outlineLevel="0" collapsed="false">
      <c r="A1492" s="9"/>
      <c r="B1492" s="2" t="s">
        <v>3284</v>
      </c>
      <c r="C1492" s="2" t="s">
        <v>3285</v>
      </c>
      <c r="D1492" s="2" t="s">
        <v>190</v>
      </c>
      <c r="E1492" s="2" t="s">
        <v>51</v>
      </c>
      <c r="F1492" s="2" t="s">
        <v>3286</v>
      </c>
      <c r="G1492" s="2" t="s">
        <v>336</v>
      </c>
      <c r="H1492" s="8" t="n">
        <v>394.172385608759</v>
      </c>
      <c r="I1492" s="2" t="s">
        <v>316</v>
      </c>
      <c r="J1492" s="8" t="n">
        <v>622643.67816092</v>
      </c>
      <c r="K1492" s="6" t="n">
        <v>87</v>
      </c>
      <c r="L1492" s="2"/>
      <c r="M1492" s="10" t="b">
        <f aca="false">TRUE()</f>
        <v>1</v>
      </c>
      <c r="N1492" s="9" t="str">
        <f aca="false">IF(H1492="","",IF(H1492&gt;=Assumptions!$B$5,1,IF(H1492&gt;=Assumptions!$B$6,2,IF(H1492&gt;=Assumptions!$B$7,3,""))))</f>
        <v/>
      </c>
      <c r="O1492" s="9" t="n">
        <f aca="false">IF(N1492=1,Assumptions!$B$8,IF(N1492=2,Assumptions!$B$9,IF(N1492=3,Assumptions!$B$10,0)))</f>
        <v>0</v>
      </c>
      <c r="P1492" s="6" t="s">
        <v>30</v>
      </c>
      <c r="Q1492" s="6" t="s">
        <v>30</v>
      </c>
      <c r="R1492" s="11" t="s">
        <v>30</v>
      </c>
      <c r="S1492" s="6" t="s">
        <v>30</v>
      </c>
      <c r="T1492" s="11" t="s">
        <v>30</v>
      </c>
      <c r="U1492" s="6" t="s">
        <v>30</v>
      </c>
      <c r="V1492" s="6" t="s">
        <v>30</v>
      </c>
      <c r="W1492" s="6" t="s">
        <v>30</v>
      </c>
      <c r="X1492" s="2" t="s">
        <v>30</v>
      </c>
      <c r="Y1492" s="6" t="str">
        <f aca="false">IF(AND(X1492="processed",ISNUMBER(S1492)),S1492*O1492,"")</f>
        <v/>
      </c>
      <c r="Z1492" s="6" t="n">
        <f aca="false">IF(ISNUMBER(K1492),K1492*O1492,0)</f>
        <v>0</v>
      </c>
      <c r="AA1492" s="2" t="s">
        <v>31</v>
      </c>
      <c r="AB1492" s="6" t="n">
        <v>8278</v>
      </c>
      <c r="AC1492" s="6" t="n">
        <v>5580</v>
      </c>
      <c r="AD1492" s="6" t="n">
        <v>428</v>
      </c>
      <c r="AE1492" s="6" t="n">
        <v>2055.14697265625</v>
      </c>
      <c r="AF1492" s="8" t="n">
        <v>416.666666667</v>
      </c>
      <c r="AG1492" s="11" t="n">
        <v>-0.06924477073</v>
      </c>
      <c r="AH1492" s="12" t="n">
        <v>0.657136278369576</v>
      </c>
      <c r="AI1492" s="2" t="s">
        <v>317</v>
      </c>
      <c r="AJ1492" s="2" t="s">
        <v>3285</v>
      </c>
      <c r="AK1492" s="2" t="s">
        <v>3285</v>
      </c>
    </row>
    <row r="1493" customFormat="false" ht="15" hidden="false" customHeight="false" outlineLevel="0" collapsed="false">
      <c r="A1493" s="9"/>
      <c r="B1493" s="2" t="s">
        <v>3287</v>
      </c>
      <c r="C1493" s="2" t="s">
        <v>3288</v>
      </c>
      <c r="D1493" s="2" t="s">
        <v>3278</v>
      </c>
      <c r="E1493" s="2" t="s">
        <v>51</v>
      </c>
      <c r="F1493" s="2"/>
      <c r="G1493" s="2" t="s">
        <v>3280</v>
      </c>
      <c r="H1493" s="8" t="n">
        <v>235.280558483</v>
      </c>
      <c r="I1493" s="2" t="s">
        <v>316</v>
      </c>
      <c r="J1493" s="8" t="n">
        <v>302500</v>
      </c>
      <c r="K1493" s="6" t="n">
        <v>2</v>
      </c>
      <c r="L1493" s="2" t="s">
        <v>1664</v>
      </c>
      <c r="M1493" s="10" t="b">
        <f aca="false">TRUE()</f>
        <v>1</v>
      </c>
      <c r="N1493" s="9" t="str">
        <f aca="false">IF(H1493="","",IF(H1493&gt;=Assumptions!$B$5,1,IF(H1493&gt;=Assumptions!$B$6,2,IF(H1493&gt;=Assumptions!$B$7,3,""))))</f>
        <v/>
      </c>
      <c r="O1493" s="9" t="n">
        <f aca="false">IF(N1493=1,Assumptions!$B$8,IF(N1493=2,Assumptions!$B$9,IF(N1493=3,Assumptions!$B$10,0)))</f>
        <v>0</v>
      </c>
      <c r="P1493" s="6" t="s">
        <v>30</v>
      </c>
      <c r="Q1493" s="6" t="s">
        <v>30</v>
      </c>
      <c r="R1493" s="11" t="s">
        <v>30</v>
      </c>
      <c r="S1493" s="6" t="s">
        <v>30</v>
      </c>
      <c r="T1493" s="11" t="s">
        <v>30</v>
      </c>
      <c r="U1493" s="6" t="s">
        <v>30</v>
      </c>
      <c r="V1493" s="6" t="s">
        <v>30</v>
      </c>
      <c r="W1493" s="6" t="s">
        <v>30</v>
      </c>
      <c r="X1493" s="2" t="s">
        <v>30</v>
      </c>
      <c r="Y1493" s="6" t="str">
        <f aca="false">IF(AND(X1493="processed",ISNUMBER(S1493)),S1493*O1493,"")</f>
        <v/>
      </c>
      <c r="Z1493" s="6" t="n">
        <f aca="false">IF(ISNUMBER(K1493),K1493*O1493,0)</f>
        <v>0</v>
      </c>
      <c r="AA1493" s="2" t="s">
        <v>31</v>
      </c>
      <c r="AB1493" s="6" t="n">
        <v>1043</v>
      </c>
      <c r="AC1493" s="6" t="n">
        <v>924</v>
      </c>
      <c r="AD1493" s="6" t="n">
        <v>579</v>
      </c>
      <c r="AE1493" s="6" t="n">
        <v>1799.55126953125</v>
      </c>
      <c r="AF1493" s="8" t="n">
        <v>235.280558483</v>
      </c>
      <c r="AG1493" s="11" t="n">
        <v>0.1474451852</v>
      </c>
      <c r="AH1493" s="12" t="n">
        <v>0.999302394648743</v>
      </c>
      <c r="AI1493" s="2" t="s">
        <v>317</v>
      </c>
      <c r="AJ1493" s="2" t="s">
        <v>3288</v>
      </c>
      <c r="AK1493" s="2" t="s">
        <v>3289</v>
      </c>
    </row>
    <row r="1494" customFormat="false" ht="15" hidden="false" customHeight="false" outlineLevel="0" collapsed="false">
      <c r="A1494" s="9"/>
      <c r="B1494" s="2" t="s">
        <v>3290</v>
      </c>
      <c r="C1494" s="2" t="s">
        <v>3291</v>
      </c>
      <c r="D1494" s="2" t="s">
        <v>1595</v>
      </c>
      <c r="E1494" s="2" t="s">
        <v>51</v>
      </c>
      <c r="F1494" s="2"/>
      <c r="G1494" s="2" t="s">
        <v>1596</v>
      </c>
      <c r="H1494" s="8" t="n">
        <v>352.384494867</v>
      </c>
      <c r="I1494" s="2" t="s">
        <v>316</v>
      </c>
      <c r="J1494" s="8" t="n">
        <v>895000</v>
      </c>
      <c r="K1494" s="6" t="n">
        <v>5</v>
      </c>
      <c r="L1494" s="2"/>
      <c r="M1494" s="10" t="b">
        <f aca="false">TRUE()</f>
        <v>1</v>
      </c>
      <c r="N1494" s="9" t="str">
        <f aca="false">IF(H1494="","",IF(H1494&gt;=Assumptions!$B$5,1,IF(H1494&gt;=Assumptions!$B$6,2,IF(H1494&gt;=Assumptions!$B$7,3,""))))</f>
        <v/>
      </c>
      <c r="O1494" s="9" t="n">
        <f aca="false">IF(N1494=1,Assumptions!$B$8,IF(N1494=2,Assumptions!$B$9,IF(N1494=3,Assumptions!$B$10,0)))</f>
        <v>0</v>
      </c>
      <c r="P1494" s="6" t="s">
        <v>30</v>
      </c>
      <c r="Q1494" s="6" t="s">
        <v>30</v>
      </c>
      <c r="R1494" s="11" t="s">
        <v>30</v>
      </c>
      <c r="S1494" s="6" t="s">
        <v>30</v>
      </c>
      <c r="T1494" s="11" t="s">
        <v>30</v>
      </c>
      <c r="U1494" s="6" t="s">
        <v>30</v>
      </c>
      <c r="V1494" s="6" t="s">
        <v>30</v>
      </c>
      <c r="W1494" s="6" t="s">
        <v>30</v>
      </c>
      <c r="X1494" s="2" t="s">
        <v>30</v>
      </c>
      <c r="Y1494" s="6" t="str">
        <f aca="false">IF(AND(X1494="processed",ISNUMBER(S1494)),S1494*O1494,"")</f>
        <v/>
      </c>
      <c r="Z1494" s="6" t="n">
        <f aca="false">IF(ISNUMBER(K1494),K1494*O1494,0)</f>
        <v>0</v>
      </c>
      <c r="AA1494" s="2" t="s">
        <v>31</v>
      </c>
      <c r="AB1494" s="6" t="n">
        <v>534</v>
      </c>
      <c r="AC1494" s="6" t="n">
        <v>424</v>
      </c>
      <c r="AD1494" s="6" t="n">
        <v>460</v>
      </c>
      <c r="AE1494" s="6" t="n">
        <v>1527.87390136719</v>
      </c>
      <c r="AF1494" s="8" t="n">
        <v>387.997930678</v>
      </c>
      <c r="AG1494" s="11"/>
      <c r="AH1494" s="12" t="n">
        <v>0.999999999999998</v>
      </c>
      <c r="AI1494" s="2" t="s">
        <v>1597</v>
      </c>
      <c r="AJ1494" s="2"/>
      <c r="AK1494" s="2" t="s">
        <v>3291</v>
      </c>
    </row>
    <row r="1495" customFormat="false" ht="15" hidden="false" customHeight="false" outlineLevel="0" collapsed="false">
      <c r="A1495" s="9"/>
      <c r="B1495" s="2" t="s">
        <v>3292</v>
      </c>
      <c r="C1495" s="2" t="s">
        <v>3293</v>
      </c>
      <c r="D1495" s="2" t="s">
        <v>1595</v>
      </c>
      <c r="E1495" s="2" t="s">
        <v>51</v>
      </c>
      <c r="F1495" s="2"/>
      <c r="G1495" s="2" t="s">
        <v>1596</v>
      </c>
      <c r="H1495" s="8" t="n">
        <v>297.2726899216</v>
      </c>
      <c r="I1495" s="2" t="s">
        <v>316</v>
      </c>
      <c r="J1495" s="8" t="n">
        <v>305000</v>
      </c>
      <c r="K1495" s="6" t="n">
        <v>5</v>
      </c>
      <c r="L1495" s="2"/>
      <c r="M1495" s="10" t="b">
        <f aca="false">TRUE()</f>
        <v>1</v>
      </c>
      <c r="N1495" s="9" t="str">
        <f aca="false">IF(H1495="","",IF(H1495&gt;=Assumptions!$B$5,1,IF(H1495&gt;=Assumptions!$B$6,2,IF(H1495&gt;=Assumptions!$B$7,3,""))))</f>
        <v/>
      </c>
      <c r="O1495" s="9" t="n">
        <f aca="false">IF(N1495=1,Assumptions!$B$8,IF(N1495=2,Assumptions!$B$9,IF(N1495=3,Assumptions!$B$10,0)))</f>
        <v>0</v>
      </c>
      <c r="P1495" s="6" t="s">
        <v>30</v>
      </c>
      <c r="Q1495" s="6" t="s">
        <v>30</v>
      </c>
      <c r="R1495" s="11" t="s">
        <v>30</v>
      </c>
      <c r="S1495" s="6" t="s">
        <v>30</v>
      </c>
      <c r="T1495" s="11" t="s">
        <v>30</v>
      </c>
      <c r="U1495" s="6" t="s">
        <v>30</v>
      </c>
      <c r="V1495" s="6" t="s">
        <v>30</v>
      </c>
      <c r="W1495" s="6" t="s">
        <v>30</v>
      </c>
      <c r="X1495" s="2" t="s">
        <v>30</v>
      </c>
      <c r="Y1495" s="6" t="str">
        <f aca="false">IF(AND(X1495="processed",ISNUMBER(S1495)),S1495*O1495,"")</f>
        <v/>
      </c>
      <c r="Z1495" s="6" t="n">
        <f aca="false">IF(ISNUMBER(K1495),K1495*O1495,0)</f>
        <v>0</v>
      </c>
      <c r="AA1495" s="2" t="s">
        <v>31</v>
      </c>
      <c r="AB1495" s="6" t="n">
        <v>3568</v>
      </c>
      <c r="AC1495" s="6" t="n">
        <v>2738</v>
      </c>
      <c r="AD1495" s="6" t="n">
        <v>1398</v>
      </c>
      <c r="AE1495" s="6" t="n">
        <v>1428.28393554688</v>
      </c>
      <c r="AF1495" s="8" t="n">
        <v>120.614035088</v>
      </c>
      <c r="AG1495" s="11" t="n">
        <v>-0.09539473684</v>
      </c>
      <c r="AH1495" s="12" t="n">
        <v>0.999837357026636</v>
      </c>
      <c r="AI1495" s="2" t="s">
        <v>1597</v>
      </c>
      <c r="AJ1495" s="2"/>
      <c r="AK1495" s="2" t="s">
        <v>3293</v>
      </c>
    </row>
    <row r="1496" customFormat="false" ht="15" hidden="false" customHeight="false" outlineLevel="0" collapsed="false">
      <c r="A1496" s="9"/>
      <c r="B1496" s="2" t="s">
        <v>3294</v>
      </c>
      <c r="C1496" s="2" t="s">
        <v>3295</v>
      </c>
      <c r="D1496" s="2" t="s">
        <v>1595</v>
      </c>
      <c r="E1496" s="2" t="s">
        <v>51</v>
      </c>
      <c r="F1496" s="2"/>
      <c r="G1496" s="2" t="s">
        <v>1596</v>
      </c>
      <c r="H1496" s="8" t="n">
        <v>295.555555556</v>
      </c>
      <c r="I1496" s="2" t="s">
        <v>316</v>
      </c>
      <c r="J1496" s="8" t="n">
        <v>532000</v>
      </c>
      <c r="K1496" s="6" t="n">
        <v>1</v>
      </c>
      <c r="L1496" s="2" t="s">
        <v>1664</v>
      </c>
      <c r="M1496" s="10" t="b">
        <f aca="false">TRUE()</f>
        <v>1</v>
      </c>
      <c r="N1496" s="9" t="str">
        <f aca="false">IF(H1496="","",IF(H1496&gt;=Assumptions!$B$5,1,IF(H1496&gt;=Assumptions!$B$6,2,IF(H1496&gt;=Assumptions!$B$7,3,""))))</f>
        <v/>
      </c>
      <c r="O1496" s="9" t="n">
        <f aca="false">IF(N1496=1,Assumptions!$B$8,IF(N1496=2,Assumptions!$B$9,IF(N1496=3,Assumptions!$B$10,0)))</f>
        <v>0</v>
      </c>
      <c r="P1496" s="6" t="s">
        <v>30</v>
      </c>
      <c r="Q1496" s="6" t="s">
        <v>30</v>
      </c>
      <c r="R1496" s="11" t="s">
        <v>30</v>
      </c>
      <c r="S1496" s="6" t="s">
        <v>30</v>
      </c>
      <c r="T1496" s="11" t="s">
        <v>30</v>
      </c>
      <c r="U1496" s="6" t="s">
        <v>30</v>
      </c>
      <c r="V1496" s="6" t="s">
        <v>30</v>
      </c>
      <c r="W1496" s="6" t="s">
        <v>30</v>
      </c>
      <c r="X1496" s="2" t="s">
        <v>30</v>
      </c>
      <c r="Y1496" s="6" t="str">
        <f aca="false">IF(AND(X1496="processed",ISNUMBER(S1496)),S1496*O1496,"")</f>
        <v/>
      </c>
      <c r="Z1496" s="6" t="n">
        <f aca="false">IF(ISNUMBER(K1496),K1496*O1496,0)</f>
        <v>0</v>
      </c>
      <c r="AA1496" s="2" t="s">
        <v>31</v>
      </c>
      <c r="AB1496" s="6" t="n">
        <v>187</v>
      </c>
      <c r="AC1496" s="6" t="n">
        <v>151</v>
      </c>
      <c r="AD1496" s="6" t="n">
        <v>106</v>
      </c>
      <c r="AE1496" s="6" t="n">
        <v>1387.46069335938</v>
      </c>
      <c r="AF1496" s="8" t="n">
        <v>295.555555556</v>
      </c>
      <c r="AG1496" s="11"/>
      <c r="AH1496" s="12" t="n">
        <v>1</v>
      </c>
      <c r="AI1496" s="2" t="s">
        <v>1597</v>
      </c>
      <c r="AJ1496" s="2"/>
      <c r="AK1496" s="2" t="s">
        <v>3295</v>
      </c>
    </row>
    <row r="1497" customFormat="false" ht="15" hidden="false" customHeight="false" outlineLevel="0" collapsed="false">
      <c r="A1497" s="9"/>
      <c r="B1497" s="2" t="s">
        <v>3296</v>
      </c>
      <c r="C1497" s="2" t="s">
        <v>3297</v>
      </c>
      <c r="D1497" s="2" t="s">
        <v>190</v>
      </c>
      <c r="E1497" s="2" t="s">
        <v>51</v>
      </c>
      <c r="F1497" s="2"/>
      <c r="G1497" s="2"/>
      <c r="H1497" s="8"/>
      <c r="I1497" s="2"/>
      <c r="J1497" s="8"/>
      <c r="K1497" s="6"/>
      <c r="L1497" s="2"/>
      <c r="M1497" s="10" t="b">
        <f aca="false">TRUE()</f>
        <v>1</v>
      </c>
      <c r="N1497" s="9" t="str">
        <f aca="false">IF(H1497="","",IF(H1497&gt;=Assumptions!$B$5,1,IF(H1497&gt;=Assumptions!$B$6,2,IF(H1497&gt;=Assumptions!$B$7,3,""))))</f>
        <v/>
      </c>
      <c r="O1497" s="9" t="n">
        <f aca="false">IF(N1497=1,Assumptions!$B$8,IF(N1497=2,Assumptions!$B$9,IF(N1497=3,Assumptions!$B$10,0)))</f>
        <v>0</v>
      </c>
      <c r="P1497" s="6" t="s">
        <v>30</v>
      </c>
      <c r="Q1497" s="6" t="s">
        <v>30</v>
      </c>
      <c r="R1497" s="11" t="s">
        <v>30</v>
      </c>
      <c r="S1497" s="6" t="s">
        <v>30</v>
      </c>
      <c r="T1497" s="11" t="s">
        <v>30</v>
      </c>
      <c r="U1497" s="6" t="s">
        <v>30</v>
      </c>
      <c r="V1497" s="6" t="s">
        <v>30</v>
      </c>
      <c r="W1497" s="6" t="s">
        <v>30</v>
      </c>
      <c r="X1497" s="2" t="s">
        <v>30</v>
      </c>
      <c r="Y1497" s="6" t="str">
        <f aca="false">IF(AND(X1497="processed",ISNUMBER(S1497)),S1497*O1497,"")</f>
        <v/>
      </c>
      <c r="Z1497" s="6" t="n">
        <f aca="false">IF(ISNUMBER(K1497),K1497*O1497,0)</f>
        <v>0</v>
      </c>
      <c r="AA1497" s="2" t="s">
        <v>31</v>
      </c>
      <c r="AB1497" s="6" t="n">
        <v>56</v>
      </c>
      <c r="AC1497" s="6" t="n">
        <v>27</v>
      </c>
      <c r="AD1497" s="6" t="n">
        <v>0</v>
      </c>
      <c r="AE1497" s="6" t="n">
        <v>1214.46801757813</v>
      </c>
      <c r="AF1497" s="8"/>
      <c r="AG1497" s="11"/>
      <c r="AH1497" s="12" t="n">
        <v>0.999999999999999</v>
      </c>
      <c r="AI1497" s="2" t="s">
        <v>1597</v>
      </c>
      <c r="AJ1497" s="2"/>
      <c r="AK1497" s="2" t="s">
        <v>3297</v>
      </c>
    </row>
    <row r="1498" customFormat="false" ht="15" hidden="false" customHeight="false" outlineLevel="0" collapsed="false">
      <c r="A1498" s="9"/>
      <c r="B1498" s="2" t="s">
        <v>3298</v>
      </c>
      <c r="C1498" s="2" t="s">
        <v>3267</v>
      </c>
      <c r="D1498" s="2" t="s">
        <v>1595</v>
      </c>
      <c r="E1498" s="2" t="s">
        <v>51</v>
      </c>
      <c r="F1498" s="2"/>
      <c r="G1498" s="2" t="s">
        <v>1596</v>
      </c>
      <c r="H1498" s="8" t="n">
        <v>431.090820549</v>
      </c>
      <c r="I1498" s="2" t="s">
        <v>316</v>
      </c>
      <c r="J1498" s="8" t="n">
        <v>1134500</v>
      </c>
      <c r="K1498" s="6" t="n">
        <v>2</v>
      </c>
      <c r="L1498" s="2" t="s">
        <v>1664</v>
      </c>
      <c r="M1498" s="10" t="b">
        <f aca="false">TRUE()</f>
        <v>1</v>
      </c>
      <c r="N1498" s="9" t="str">
        <f aca="false">IF(H1498="","",IF(H1498&gt;=Assumptions!$B$5,1,IF(H1498&gt;=Assumptions!$B$6,2,IF(H1498&gt;=Assumptions!$B$7,3,""))))</f>
        <v/>
      </c>
      <c r="O1498" s="9" t="n">
        <f aca="false">IF(N1498=1,Assumptions!$B$8,IF(N1498=2,Assumptions!$B$9,IF(N1498=3,Assumptions!$B$10,0)))</f>
        <v>0</v>
      </c>
      <c r="P1498" s="6" t="s">
        <v>30</v>
      </c>
      <c r="Q1498" s="6" t="s">
        <v>30</v>
      </c>
      <c r="R1498" s="11" t="s">
        <v>30</v>
      </c>
      <c r="S1498" s="6" t="s">
        <v>30</v>
      </c>
      <c r="T1498" s="11" t="s">
        <v>30</v>
      </c>
      <c r="U1498" s="6" t="s">
        <v>30</v>
      </c>
      <c r="V1498" s="6" t="s">
        <v>30</v>
      </c>
      <c r="W1498" s="6" t="s">
        <v>30</v>
      </c>
      <c r="X1498" s="2" t="s">
        <v>30</v>
      </c>
      <c r="Y1498" s="6" t="str">
        <f aca="false">IF(AND(X1498="processed",ISNUMBER(S1498)),S1498*O1498,"")</f>
        <v/>
      </c>
      <c r="Z1498" s="6" t="n">
        <f aca="false">IF(ISNUMBER(K1498),K1498*O1498,0)</f>
        <v>0</v>
      </c>
      <c r="AA1498" s="2" t="s">
        <v>31</v>
      </c>
      <c r="AB1498" s="6" t="n">
        <v>496</v>
      </c>
      <c r="AC1498" s="6" t="n">
        <v>418</v>
      </c>
      <c r="AD1498" s="6" t="n">
        <v>370</v>
      </c>
      <c r="AE1498" s="6" t="n">
        <v>1447.94555664063</v>
      </c>
      <c r="AF1498" s="8" t="n">
        <v>431.090820549</v>
      </c>
      <c r="AG1498" s="11" t="n">
        <v>-0.8353587205</v>
      </c>
      <c r="AH1498" s="12" t="n">
        <v>0.987508134129685</v>
      </c>
      <c r="AI1498" s="2" t="s">
        <v>1597</v>
      </c>
      <c r="AJ1498" s="2"/>
      <c r="AK1498" s="2" t="s">
        <v>3267</v>
      </c>
    </row>
    <row r="1499" customFormat="false" ht="15" hidden="false" customHeight="false" outlineLevel="0" collapsed="false">
      <c r="A1499" s="9"/>
      <c r="B1499" s="2" t="s">
        <v>3299</v>
      </c>
      <c r="C1499" s="2" t="s">
        <v>3300</v>
      </c>
      <c r="D1499" s="2" t="s">
        <v>3278</v>
      </c>
      <c r="E1499" s="2" t="s">
        <v>51</v>
      </c>
      <c r="F1499" s="2"/>
      <c r="G1499" s="2"/>
      <c r="H1499" s="8"/>
      <c r="I1499" s="2"/>
      <c r="J1499" s="8"/>
      <c r="K1499" s="6"/>
      <c r="L1499" s="2"/>
      <c r="M1499" s="10" t="b">
        <f aca="false">TRUE()</f>
        <v>1</v>
      </c>
      <c r="N1499" s="9" t="str">
        <f aca="false">IF(H1499="","",IF(H1499&gt;=Assumptions!$B$5,1,IF(H1499&gt;=Assumptions!$B$6,2,IF(H1499&gt;=Assumptions!$B$7,3,""))))</f>
        <v/>
      </c>
      <c r="O1499" s="9" t="n">
        <f aca="false">IF(N1499=1,Assumptions!$B$8,IF(N1499=2,Assumptions!$B$9,IF(N1499=3,Assumptions!$B$10,0)))</f>
        <v>0</v>
      </c>
      <c r="P1499" s="6" t="s">
        <v>30</v>
      </c>
      <c r="Q1499" s="6" t="s">
        <v>30</v>
      </c>
      <c r="R1499" s="11" t="s">
        <v>30</v>
      </c>
      <c r="S1499" s="6" t="s">
        <v>30</v>
      </c>
      <c r="T1499" s="11" t="s">
        <v>30</v>
      </c>
      <c r="U1499" s="6" t="s">
        <v>30</v>
      </c>
      <c r="V1499" s="6" t="s">
        <v>30</v>
      </c>
      <c r="W1499" s="6" t="s">
        <v>30</v>
      </c>
      <c r="X1499" s="2" t="s">
        <v>30</v>
      </c>
      <c r="Y1499" s="6" t="str">
        <f aca="false">IF(AND(X1499="processed",ISNUMBER(S1499)),S1499*O1499,"")</f>
        <v/>
      </c>
      <c r="Z1499" s="6" t="n">
        <f aca="false">IF(ISNUMBER(K1499),K1499*O1499,0)</f>
        <v>0</v>
      </c>
      <c r="AA1499" s="2" t="s">
        <v>31</v>
      </c>
      <c r="AB1499" s="6" t="n">
        <v>100</v>
      </c>
      <c r="AC1499" s="6" t="n">
        <v>43</v>
      </c>
      <c r="AD1499" s="6" t="n">
        <v>11</v>
      </c>
      <c r="AE1499" s="6" t="n">
        <v>1592.55578613281</v>
      </c>
      <c r="AF1499" s="8"/>
      <c r="AG1499" s="11"/>
      <c r="AH1499" s="12" t="n">
        <v>1</v>
      </c>
      <c r="AI1499" s="2" t="s">
        <v>317</v>
      </c>
      <c r="AJ1499" s="2" t="s">
        <v>3300</v>
      </c>
      <c r="AK1499" s="2" t="s">
        <v>3300</v>
      </c>
    </row>
    <row r="1500" customFormat="false" ht="15" hidden="false" customHeight="false" outlineLevel="0" collapsed="false">
      <c r="A1500" s="9"/>
      <c r="B1500" s="2" t="s">
        <v>3301</v>
      </c>
      <c r="C1500" s="2" t="s">
        <v>3302</v>
      </c>
      <c r="D1500" s="2" t="s">
        <v>1595</v>
      </c>
      <c r="E1500" s="2" t="s">
        <v>51</v>
      </c>
      <c r="F1500" s="2" t="s">
        <v>3303</v>
      </c>
      <c r="G1500" s="2" t="s">
        <v>1596</v>
      </c>
      <c r="H1500" s="8" t="n">
        <v>412.187904045259</v>
      </c>
      <c r="I1500" s="2" t="s">
        <v>316</v>
      </c>
      <c r="J1500" s="8" t="n">
        <v>575491.071428572</v>
      </c>
      <c r="K1500" s="6" t="n">
        <v>112</v>
      </c>
      <c r="L1500" s="2"/>
      <c r="M1500" s="10" t="b">
        <f aca="false">TRUE()</f>
        <v>1</v>
      </c>
      <c r="N1500" s="9" t="str">
        <f aca="false">IF(H1500="","",IF(H1500&gt;=Assumptions!$B$5,1,IF(H1500&gt;=Assumptions!$B$6,2,IF(H1500&gt;=Assumptions!$B$7,3,""))))</f>
        <v/>
      </c>
      <c r="O1500" s="9" t="n">
        <f aca="false">IF(N1500=1,Assumptions!$B$8,IF(N1500=2,Assumptions!$B$9,IF(N1500=3,Assumptions!$B$10,0)))</f>
        <v>0</v>
      </c>
      <c r="P1500" s="6" t="s">
        <v>30</v>
      </c>
      <c r="Q1500" s="6" t="s">
        <v>30</v>
      </c>
      <c r="R1500" s="11" t="s">
        <v>30</v>
      </c>
      <c r="S1500" s="6" t="s">
        <v>30</v>
      </c>
      <c r="T1500" s="11" t="s">
        <v>30</v>
      </c>
      <c r="U1500" s="6" t="s">
        <v>30</v>
      </c>
      <c r="V1500" s="6" t="s">
        <v>30</v>
      </c>
      <c r="W1500" s="6" t="s">
        <v>30</v>
      </c>
      <c r="X1500" s="2" t="s">
        <v>30</v>
      </c>
      <c r="Y1500" s="6" t="str">
        <f aca="false">IF(AND(X1500="processed",ISNUMBER(S1500)),S1500*O1500,"")</f>
        <v/>
      </c>
      <c r="Z1500" s="6" t="n">
        <f aca="false">IF(ISNUMBER(K1500),K1500*O1500,0)</f>
        <v>0</v>
      </c>
      <c r="AA1500" s="2" t="s">
        <v>31</v>
      </c>
      <c r="AB1500" s="6" t="n">
        <v>10707</v>
      </c>
      <c r="AC1500" s="6" t="n">
        <v>9020</v>
      </c>
      <c r="AD1500" s="6" t="n">
        <v>8914</v>
      </c>
      <c r="AE1500" s="6" t="n">
        <v>1574.84545898438</v>
      </c>
      <c r="AF1500" s="8" t="n">
        <v>408.928571429</v>
      </c>
      <c r="AG1500" s="11" t="n">
        <v>-0.006746987952</v>
      </c>
      <c r="AH1500" s="12" t="n">
        <v>0.967967405750258</v>
      </c>
      <c r="AI1500" s="2" t="s">
        <v>319</v>
      </c>
      <c r="AJ1500" s="2"/>
      <c r="AK1500" s="2" t="s">
        <v>3302</v>
      </c>
    </row>
    <row r="1501" customFormat="false" ht="15" hidden="false" customHeight="false" outlineLevel="0" collapsed="false">
      <c r="A1501" s="9"/>
      <c r="B1501" s="2" t="s">
        <v>3304</v>
      </c>
      <c r="C1501" s="2" t="s">
        <v>3305</v>
      </c>
      <c r="D1501" s="2" t="s">
        <v>3278</v>
      </c>
      <c r="E1501" s="2" t="s">
        <v>51</v>
      </c>
      <c r="F1501" s="2"/>
      <c r="G1501" s="2" t="s">
        <v>3280</v>
      </c>
      <c r="H1501" s="8" t="n">
        <v>198.836043422</v>
      </c>
      <c r="I1501" s="2" t="s">
        <v>316</v>
      </c>
      <c r="J1501" s="8" t="n">
        <v>370000</v>
      </c>
      <c r="K1501" s="6" t="n">
        <v>3</v>
      </c>
      <c r="L1501" s="2" t="s">
        <v>1664</v>
      </c>
      <c r="M1501" s="10" t="b">
        <f aca="false">TRUE()</f>
        <v>1</v>
      </c>
      <c r="N1501" s="9" t="str">
        <f aca="false">IF(H1501="","",IF(H1501&gt;=Assumptions!$B$5,1,IF(H1501&gt;=Assumptions!$B$6,2,IF(H1501&gt;=Assumptions!$B$7,3,""))))</f>
        <v/>
      </c>
      <c r="O1501" s="9" t="n">
        <f aca="false">IF(N1501=1,Assumptions!$B$8,IF(N1501=2,Assumptions!$B$9,IF(N1501=3,Assumptions!$B$10,0)))</f>
        <v>0</v>
      </c>
      <c r="P1501" s="6" t="s">
        <v>30</v>
      </c>
      <c r="Q1501" s="6" t="s">
        <v>30</v>
      </c>
      <c r="R1501" s="11" t="s">
        <v>30</v>
      </c>
      <c r="S1501" s="6" t="s">
        <v>30</v>
      </c>
      <c r="T1501" s="11" t="s">
        <v>30</v>
      </c>
      <c r="U1501" s="6" t="s">
        <v>30</v>
      </c>
      <c r="V1501" s="6" t="s">
        <v>30</v>
      </c>
      <c r="W1501" s="6" t="s">
        <v>30</v>
      </c>
      <c r="X1501" s="2" t="s">
        <v>30</v>
      </c>
      <c r="Y1501" s="6" t="str">
        <f aca="false">IF(AND(X1501="processed",ISNUMBER(S1501)),S1501*O1501,"")</f>
        <v/>
      </c>
      <c r="Z1501" s="6" t="n">
        <f aca="false">IF(ISNUMBER(K1501),K1501*O1501,0)</f>
        <v>0</v>
      </c>
      <c r="AA1501" s="2" t="s">
        <v>31</v>
      </c>
      <c r="AB1501" s="6" t="n">
        <v>197</v>
      </c>
      <c r="AC1501" s="6" t="n">
        <v>159</v>
      </c>
      <c r="AD1501" s="6" t="n">
        <v>195</v>
      </c>
      <c r="AE1501" s="6" t="n">
        <v>1622.8447265625</v>
      </c>
      <c r="AF1501" s="8" t="n">
        <v>118.296529968</v>
      </c>
      <c r="AG1501" s="11"/>
      <c r="AH1501" s="12" t="n">
        <v>0.999999999999999</v>
      </c>
      <c r="AI1501" s="2" t="s">
        <v>317</v>
      </c>
      <c r="AJ1501" s="2" t="s">
        <v>3305</v>
      </c>
      <c r="AK1501" s="2" t="s">
        <v>3305</v>
      </c>
    </row>
    <row r="1502" customFormat="false" ht="15" hidden="false" customHeight="false" outlineLevel="0" collapsed="false">
      <c r="A1502" s="9"/>
      <c r="B1502" s="2" t="s">
        <v>3306</v>
      </c>
      <c r="C1502" s="2" t="s">
        <v>3307</v>
      </c>
      <c r="D1502" s="2" t="s">
        <v>190</v>
      </c>
      <c r="E1502" s="2" t="s">
        <v>51</v>
      </c>
      <c r="F1502" s="2"/>
      <c r="G1502" s="2" t="s">
        <v>336</v>
      </c>
      <c r="H1502" s="8" t="n">
        <v>491.286916567738</v>
      </c>
      <c r="I1502" s="2" t="s">
        <v>316</v>
      </c>
      <c r="J1502" s="8" t="n">
        <v>540456.310679612</v>
      </c>
      <c r="K1502" s="6" t="n">
        <v>103</v>
      </c>
      <c r="L1502" s="2"/>
      <c r="M1502" s="10" t="b">
        <f aca="false">TRUE()</f>
        <v>1</v>
      </c>
      <c r="N1502" s="9" t="str">
        <f aca="false">IF(H1502="","",IF(H1502&gt;=Assumptions!$B$5,1,IF(H1502&gt;=Assumptions!$B$6,2,IF(H1502&gt;=Assumptions!$B$7,3,""))))</f>
        <v/>
      </c>
      <c r="O1502" s="9" t="n">
        <f aca="false">IF(N1502=1,Assumptions!$B$8,IF(N1502=2,Assumptions!$B$9,IF(N1502=3,Assumptions!$B$10,0)))</f>
        <v>0</v>
      </c>
      <c r="P1502" s="6" t="s">
        <v>30</v>
      </c>
      <c r="Q1502" s="6" t="s">
        <v>30</v>
      </c>
      <c r="R1502" s="11" t="s">
        <v>30</v>
      </c>
      <c r="S1502" s="6" t="s">
        <v>30</v>
      </c>
      <c r="T1502" s="11" t="s">
        <v>30</v>
      </c>
      <c r="U1502" s="6" t="s">
        <v>30</v>
      </c>
      <c r="V1502" s="6" t="s">
        <v>30</v>
      </c>
      <c r="W1502" s="6" t="s">
        <v>30</v>
      </c>
      <c r="X1502" s="2" t="s">
        <v>30</v>
      </c>
      <c r="Y1502" s="6" t="str">
        <f aca="false">IF(AND(X1502="processed",ISNUMBER(S1502)),S1502*O1502,"")</f>
        <v/>
      </c>
      <c r="Z1502" s="6" t="n">
        <f aca="false">IF(ISNUMBER(K1502),K1502*O1502,0)</f>
        <v>0</v>
      </c>
      <c r="AA1502" s="2" t="s">
        <v>31</v>
      </c>
      <c r="AB1502" s="6" t="n">
        <v>4820</v>
      </c>
      <c r="AC1502" s="6" t="n">
        <v>3284</v>
      </c>
      <c r="AD1502" s="6" t="n">
        <v>143</v>
      </c>
      <c r="AE1502" s="6" t="n">
        <v>1291.66674804688</v>
      </c>
      <c r="AF1502" s="8" t="n">
        <v>554.144620811</v>
      </c>
      <c r="AG1502" s="11" t="n">
        <v>0.1341409464</v>
      </c>
      <c r="AH1502" s="12" t="n">
        <v>0.999999999999999</v>
      </c>
      <c r="AI1502" s="2" t="s">
        <v>317</v>
      </c>
      <c r="AJ1502" s="2" t="s">
        <v>3307</v>
      </c>
      <c r="AK1502" s="2" t="s">
        <v>3307</v>
      </c>
    </row>
    <row r="1503" customFormat="false" ht="15" hidden="false" customHeight="false" outlineLevel="0" collapsed="false">
      <c r="A1503" s="9"/>
      <c r="B1503" s="2" t="s">
        <v>3308</v>
      </c>
      <c r="C1503" s="2" t="s">
        <v>3309</v>
      </c>
      <c r="D1503" s="2" t="s">
        <v>1595</v>
      </c>
      <c r="E1503" s="2" t="s">
        <v>51</v>
      </c>
      <c r="F1503" s="2"/>
      <c r="G1503" s="2" t="s">
        <v>1596</v>
      </c>
      <c r="H1503" s="8" t="n">
        <v>332.871542617857</v>
      </c>
      <c r="I1503" s="2" t="s">
        <v>316</v>
      </c>
      <c r="J1503" s="8" t="n">
        <v>761428.571428572</v>
      </c>
      <c r="K1503" s="6" t="n">
        <v>7</v>
      </c>
      <c r="L1503" s="2"/>
      <c r="M1503" s="10" t="b">
        <f aca="false">TRUE()</f>
        <v>1</v>
      </c>
      <c r="N1503" s="9" t="str">
        <f aca="false">IF(H1503="","",IF(H1503&gt;=Assumptions!$B$5,1,IF(H1503&gt;=Assumptions!$B$6,2,IF(H1503&gt;=Assumptions!$B$7,3,""))))</f>
        <v/>
      </c>
      <c r="O1503" s="9" t="n">
        <f aca="false">IF(N1503=1,Assumptions!$B$8,IF(N1503=2,Assumptions!$B$9,IF(N1503=3,Assumptions!$B$10,0)))</f>
        <v>0</v>
      </c>
      <c r="P1503" s="6" t="s">
        <v>30</v>
      </c>
      <c r="Q1503" s="6" t="s">
        <v>30</v>
      </c>
      <c r="R1503" s="11" t="s">
        <v>30</v>
      </c>
      <c r="S1503" s="6" t="s">
        <v>30</v>
      </c>
      <c r="T1503" s="11" t="s">
        <v>30</v>
      </c>
      <c r="U1503" s="6" t="s">
        <v>30</v>
      </c>
      <c r="V1503" s="6" t="s">
        <v>30</v>
      </c>
      <c r="W1503" s="6" t="s">
        <v>30</v>
      </c>
      <c r="X1503" s="2" t="s">
        <v>30</v>
      </c>
      <c r="Y1503" s="6" t="str">
        <f aca="false">IF(AND(X1503="processed",ISNUMBER(S1503)),S1503*O1503,"")</f>
        <v/>
      </c>
      <c r="Z1503" s="6" t="n">
        <f aca="false">IF(ISNUMBER(K1503),K1503*O1503,0)</f>
        <v>0</v>
      </c>
      <c r="AA1503" s="2" t="s">
        <v>31</v>
      </c>
      <c r="AB1503" s="6" t="n">
        <v>1604</v>
      </c>
      <c r="AC1503" s="6" t="n">
        <v>1290</v>
      </c>
      <c r="AD1503" s="6" t="n">
        <v>1327</v>
      </c>
      <c r="AE1503" s="6" t="n">
        <v>1675.0029296875</v>
      </c>
      <c r="AF1503" s="8" t="n">
        <v>269.117647059</v>
      </c>
      <c r="AG1503" s="11" t="n">
        <v>-0.1029411765</v>
      </c>
      <c r="AH1503" s="12" t="n">
        <v>0.999033406260922</v>
      </c>
      <c r="AI1503" s="2" t="s">
        <v>319</v>
      </c>
      <c r="AJ1503" s="2"/>
      <c r="AK1503" s="2" t="s">
        <v>3309</v>
      </c>
    </row>
    <row r="1504" customFormat="false" ht="15" hidden="false" customHeight="false" outlineLevel="0" collapsed="false">
      <c r="A1504" s="9"/>
      <c r="B1504" s="2" t="s">
        <v>3310</v>
      </c>
      <c r="C1504" s="2" t="s">
        <v>3311</v>
      </c>
      <c r="D1504" s="2" t="s">
        <v>3278</v>
      </c>
      <c r="E1504" s="2" t="s">
        <v>51</v>
      </c>
      <c r="F1504" s="2"/>
      <c r="G1504" s="2" t="s">
        <v>3280</v>
      </c>
      <c r="H1504" s="8" t="n">
        <v>222.581289198722</v>
      </c>
      <c r="I1504" s="2" t="s">
        <v>316</v>
      </c>
      <c r="J1504" s="8" t="n">
        <v>375842.105263158</v>
      </c>
      <c r="K1504" s="6" t="n">
        <v>133</v>
      </c>
      <c r="L1504" s="2"/>
      <c r="M1504" s="10" t="b">
        <f aca="false">TRUE()</f>
        <v>1</v>
      </c>
      <c r="N1504" s="9" t="str">
        <f aca="false">IF(H1504="","",IF(H1504&gt;=Assumptions!$B$5,1,IF(H1504&gt;=Assumptions!$B$6,2,IF(H1504&gt;=Assumptions!$B$7,3,""))))</f>
        <v/>
      </c>
      <c r="O1504" s="9" t="n">
        <f aca="false">IF(N1504=1,Assumptions!$B$8,IF(N1504=2,Assumptions!$B$9,IF(N1504=3,Assumptions!$B$10,0)))</f>
        <v>0</v>
      </c>
      <c r="P1504" s="6" t="s">
        <v>30</v>
      </c>
      <c r="Q1504" s="6" t="s">
        <v>30</v>
      </c>
      <c r="R1504" s="11" t="s">
        <v>30</v>
      </c>
      <c r="S1504" s="6" t="s">
        <v>30</v>
      </c>
      <c r="T1504" s="11" t="s">
        <v>30</v>
      </c>
      <c r="U1504" s="6" t="s">
        <v>30</v>
      </c>
      <c r="V1504" s="6" t="s">
        <v>30</v>
      </c>
      <c r="W1504" s="6" t="s">
        <v>30</v>
      </c>
      <c r="X1504" s="2" t="s">
        <v>30</v>
      </c>
      <c r="Y1504" s="6" t="str">
        <f aca="false">IF(AND(X1504="processed",ISNUMBER(S1504)),S1504*O1504,"")</f>
        <v/>
      </c>
      <c r="Z1504" s="6" t="n">
        <f aca="false">IF(ISNUMBER(K1504),K1504*O1504,0)</f>
        <v>0</v>
      </c>
      <c r="AA1504" s="2" t="s">
        <v>31</v>
      </c>
      <c r="AB1504" s="6" t="n">
        <v>8126</v>
      </c>
      <c r="AC1504" s="6" t="n">
        <v>7073</v>
      </c>
      <c r="AD1504" s="6" t="n">
        <v>7733</v>
      </c>
      <c r="AE1504" s="6" t="n">
        <v>2006.44494628906</v>
      </c>
      <c r="AF1504" s="8" t="n">
        <v>237.664473684</v>
      </c>
      <c r="AG1504" s="11" t="n">
        <v>-0.08679226475</v>
      </c>
      <c r="AH1504" s="12" t="n">
        <v>0.996569084247393</v>
      </c>
      <c r="AI1504" s="2" t="s">
        <v>317</v>
      </c>
      <c r="AJ1504" s="2" t="s">
        <v>3311</v>
      </c>
      <c r="AK1504" s="2" t="s">
        <v>3311</v>
      </c>
    </row>
    <row r="1505" customFormat="false" ht="15" hidden="false" customHeight="false" outlineLevel="0" collapsed="false">
      <c r="A1505" s="9"/>
      <c r="B1505" s="2" t="s">
        <v>3312</v>
      </c>
      <c r="C1505" s="2" t="s">
        <v>3313</v>
      </c>
      <c r="D1505" s="2" t="s">
        <v>3278</v>
      </c>
      <c r="E1505" s="2" t="s">
        <v>51</v>
      </c>
      <c r="F1505" s="2"/>
      <c r="G1505" s="2" t="s">
        <v>3280</v>
      </c>
      <c r="H1505" s="8" t="n">
        <v>239.965080202417</v>
      </c>
      <c r="I1505" s="2" t="s">
        <v>316</v>
      </c>
      <c r="J1505" s="8" t="n">
        <v>401730.434782609</v>
      </c>
      <c r="K1505" s="6" t="n">
        <v>115</v>
      </c>
      <c r="L1505" s="2"/>
      <c r="M1505" s="10" t="b">
        <f aca="false">TRUE()</f>
        <v>1</v>
      </c>
      <c r="N1505" s="9" t="str">
        <f aca="false">IF(H1505="","",IF(H1505&gt;=Assumptions!$B$5,1,IF(H1505&gt;=Assumptions!$B$6,2,IF(H1505&gt;=Assumptions!$B$7,3,""))))</f>
        <v/>
      </c>
      <c r="O1505" s="9" t="n">
        <f aca="false">IF(N1505=1,Assumptions!$B$8,IF(N1505=2,Assumptions!$B$9,IF(N1505=3,Assumptions!$B$10,0)))</f>
        <v>0</v>
      </c>
      <c r="P1505" s="6" t="s">
        <v>30</v>
      </c>
      <c r="Q1505" s="6" t="s">
        <v>30</v>
      </c>
      <c r="R1505" s="11" t="s">
        <v>30</v>
      </c>
      <c r="S1505" s="6" t="s">
        <v>30</v>
      </c>
      <c r="T1505" s="11" t="s">
        <v>30</v>
      </c>
      <c r="U1505" s="6" t="s">
        <v>30</v>
      </c>
      <c r="V1505" s="6" t="s">
        <v>30</v>
      </c>
      <c r="W1505" s="6" t="s">
        <v>30</v>
      </c>
      <c r="X1505" s="2" t="s">
        <v>30</v>
      </c>
      <c r="Y1505" s="6" t="str">
        <f aca="false">IF(AND(X1505="processed",ISNUMBER(S1505)),S1505*O1505,"")</f>
        <v/>
      </c>
      <c r="Z1505" s="6" t="n">
        <f aca="false">IF(ISNUMBER(K1505),K1505*O1505,0)</f>
        <v>0</v>
      </c>
      <c r="AA1505" s="2" t="s">
        <v>31</v>
      </c>
      <c r="AB1505" s="6" t="n">
        <v>8614</v>
      </c>
      <c r="AC1505" s="6" t="n">
        <v>7106</v>
      </c>
      <c r="AD1505" s="6" t="n">
        <v>4902</v>
      </c>
      <c r="AE1505" s="6" t="n">
        <v>1811.06787109375</v>
      </c>
      <c r="AF1505" s="8" t="n">
        <v>261.538461538</v>
      </c>
      <c r="AG1505" s="11" t="n">
        <v>0.1068416854</v>
      </c>
      <c r="AH1505" s="12" t="n">
        <v>0.999999360522586</v>
      </c>
      <c r="AI1505" s="2" t="s">
        <v>317</v>
      </c>
      <c r="AJ1505" s="2" t="s">
        <v>3313</v>
      </c>
      <c r="AK1505" s="2" t="s">
        <v>3313</v>
      </c>
    </row>
    <row r="1506" customFormat="false" ht="15" hidden="false" customHeight="false" outlineLevel="0" collapsed="false">
      <c r="A1506" s="9"/>
      <c r="B1506" s="2" t="s">
        <v>3314</v>
      </c>
      <c r="C1506" s="2" t="s">
        <v>3315</v>
      </c>
      <c r="D1506" s="2" t="s">
        <v>1595</v>
      </c>
      <c r="E1506" s="2" t="s">
        <v>51</v>
      </c>
      <c r="F1506" s="2"/>
      <c r="G1506" s="2" t="s">
        <v>1596</v>
      </c>
      <c r="H1506" s="8" t="n">
        <v>221.55011649704</v>
      </c>
      <c r="I1506" s="2" t="s">
        <v>316</v>
      </c>
      <c r="J1506" s="8" t="n">
        <v>315420</v>
      </c>
      <c r="K1506" s="6" t="n">
        <v>25</v>
      </c>
      <c r="L1506" s="2"/>
      <c r="M1506" s="10" t="b">
        <f aca="false">TRUE()</f>
        <v>1</v>
      </c>
      <c r="N1506" s="9" t="str">
        <f aca="false">IF(H1506="","",IF(H1506&gt;=Assumptions!$B$5,1,IF(H1506&gt;=Assumptions!$B$6,2,IF(H1506&gt;=Assumptions!$B$7,3,""))))</f>
        <v/>
      </c>
      <c r="O1506" s="9" t="n">
        <f aca="false">IF(N1506=1,Assumptions!$B$8,IF(N1506=2,Assumptions!$B$9,IF(N1506=3,Assumptions!$B$10,0)))</f>
        <v>0</v>
      </c>
      <c r="P1506" s="6" t="s">
        <v>30</v>
      </c>
      <c r="Q1506" s="6" t="s">
        <v>30</v>
      </c>
      <c r="R1506" s="11" t="s">
        <v>30</v>
      </c>
      <c r="S1506" s="6" t="s">
        <v>30</v>
      </c>
      <c r="T1506" s="11" t="s">
        <v>30</v>
      </c>
      <c r="U1506" s="6" t="s">
        <v>30</v>
      </c>
      <c r="V1506" s="6" t="s">
        <v>30</v>
      </c>
      <c r="W1506" s="6" t="s">
        <v>30</v>
      </c>
      <c r="X1506" s="2" t="s">
        <v>30</v>
      </c>
      <c r="Y1506" s="6" t="str">
        <f aca="false">IF(AND(X1506="processed",ISNUMBER(S1506)),S1506*O1506,"")</f>
        <v/>
      </c>
      <c r="Z1506" s="6" t="n">
        <f aca="false">IF(ISNUMBER(K1506),K1506*O1506,0)</f>
        <v>0</v>
      </c>
      <c r="AA1506" s="2" t="s">
        <v>31</v>
      </c>
      <c r="AB1506" s="6" t="n">
        <v>3668</v>
      </c>
      <c r="AC1506" s="6" t="n">
        <v>2843</v>
      </c>
      <c r="AD1506" s="6" t="n">
        <v>2508</v>
      </c>
      <c r="AE1506" s="6" t="n">
        <v>1410.86682128906</v>
      </c>
      <c r="AF1506" s="8" t="n">
        <v>171.265363128</v>
      </c>
      <c r="AG1506" s="11" t="n">
        <v>-0.4454264432</v>
      </c>
      <c r="AH1506" s="12" t="n">
        <v>0.999920894901842</v>
      </c>
      <c r="AI1506" s="2" t="s">
        <v>1597</v>
      </c>
      <c r="AJ1506" s="2"/>
      <c r="AK1506" s="2" t="s">
        <v>3315</v>
      </c>
    </row>
    <row r="1507" customFormat="false" ht="15" hidden="false" customHeight="false" outlineLevel="0" collapsed="false">
      <c r="A1507" s="9"/>
      <c r="B1507" s="2" t="s">
        <v>3316</v>
      </c>
      <c r="C1507" s="2" t="s">
        <v>3317</v>
      </c>
      <c r="D1507" s="2" t="s">
        <v>3278</v>
      </c>
      <c r="E1507" s="2" t="s">
        <v>51</v>
      </c>
      <c r="F1507" s="2"/>
      <c r="G1507" s="2" t="s">
        <v>3280</v>
      </c>
      <c r="H1507" s="8" t="n">
        <v>265.522160523467</v>
      </c>
      <c r="I1507" s="2" t="s">
        <v>316</v>
      </c>
      <c r="J1507" s="8" t="n">
        <v>389600</v>
      </c>
      <c r="K1507" s="6" t="n">
        <v>15</v>
      </c>
      <c r="L1507" s="2"/>
      <c r="M1507" s="10" t="b">
        <f aca="false">TRUE()</f>
        <v>1</v>
      </c>
      <c r="N1507" s="9" t="str">
        <f aca="false">IF(H1507="","",IF(H1507&gt;=Assumptions!$B$5,1,IF(H1507&gt;=Assumptions!$B$6,2,IF(H1507&gt;=Assumptions!$B$7,3,""))))</f>
        <v/>
      </c>
      <c r="O1507" s="9" t="n">
        <f aca="false">IF(N1507=1,Assumptions!$B$8,IF(N1507=2,Assumptions!$B$9,IF(N1507=3,Assumptions!$B$10,0)))</f>
        <v>0</v>
      </c>
      <c r="P1507" s="6" t="s">
        <v>30</v>
      </c>
      <c r="Q1507" s="6" t="s">
        <v>30</v>
      </c>
      <c r="R1507" s="11" t="s">
        <v>30</v>
      </c>
      <c r="S1507" s="6" t="s">
        <v>30</v>
      </c>
      <c r="T1507" s="11" t="s">
        <v>30</v>
      </c>
      <c r="U1507" s="6" t="s">
        <v>30</v>
      </c>
      <c r="V1507" s="6" t="s">
        <v>30</v>
      </c>
      <c r="W1507" s="6" t="s">
        <v>30</v>
      </c>
      <c r="X1507" s="2" t="s">
        <v>30</v>
      </c>
      <c r="Y1507" s="6" t="str">
        <f aca="false">IF(AND(X1507="processed",ISNUMBER(S1507)),S1507*O1507,"")</f>
        <v/>
      </c>
      <c r="Z1507" s="6" t="n">
        <f aca="false">IF(ISNUMBER(K1507),K1507*O1507,0)</f>
        <v>0</v>
      </c>
      <c r="AA1507" s="2" t="s">
        <v>31</v>
      </c>
      <c r="AB1507" s="6" t="n">
        <v>3180</v>
      </c>
      <c r="AC1507" s="6" t="n">
        <v>2519</v>
      </c>
      <c r="AD1507" s="6" t="n">
        <v>2641</v>
      </c>
      <c r="AE1507" s="6" t="n">
        <v>1572.75964355469</v>
      </c>
      <c r="AF1507" s="8" t="n">
        <v>203.773584906</v>
      </c>
      <c r="AG1507" s="11" t="n">
        <v>-0.1812830189</v>
      </c>
      <c r="AH1507" s="12" t="n">
        <v>0.997752683636327</v>
      </c>
      <c r="AI1507" s="2" t="s">
        <v>317</v>
      </c>
      <c r="AJ1507" s="2" t="s">
        <v>3317</v>
      </c>
      <c r="AK1507" s="2" t="s">
        <v>3318</v>
      </c>
    </row>
    <row r="1508" customFormat="false" ht="15" hidden="false" customHeight="false" outlineLevel="0" collapsed="false">
      <c r="A1508" s="9"/>
      <c r="B1508" s="2" t="s">
        <v>3319</v>
      </c>
      <c r="C1508" s="2" t="s">
        <v>3320</v>
      </c>
      <c r="D1508" s="2" t="s">
        <v>3278</v>
      </c>
      <c r="E1508" s="2" t="s">
        <v>51</v>
      </c>
      <c r="F1508" s="2"/>
      <c r="G1508" s="2" t="s">
        <v>3280</v>
      </c>
      <c r="H1508" s="8" t="n">
        <v>216.496098719032</v>
      </c>
      <c r="I1508" s="2" t="s">
        <v>316</v>
      </c>
      <c r="J1508" s="8" t="n">
        <v>270419.35483871</v>
      </c>
      <c r="K1508" s="6" t="n">
        <v>31</v>
      </c>
      <c r="L1508" s="2"/>
      <c r="M1508" s="10" t="b">
        <f aca="false">TRUE()</f>
        <v>1</v>
      </c>
      <c r="N1508" s="9" t="str">
        <f aca="false">IF(H1508="","",IF(H1508&gt;=Assumptions!$B$5,1,IF(H1508&gt;=Assumptions!$B$6,2,IF(H1508&gt;=Assumptions!$B$7,3,""))))</f>
        <v/>
      </c>
      <c r="O1508" s="9" t="n">
        <f aca="false">IF(N1508=1,Assumptions!$B$8,IF(N1508=2,Assumptions!$B$9,IF(N1508=3,Assumptions!$B$10,0)))</f>
        <v>0</v>
      </c>
      <c r="P1508" s="6" t="s">
        <v>30</v>
      </c>
      <c r="Q1508" s="6" t="s">
        <v>30</v>
      </c>
      <c r="R1508" s="11" t="s">
        <v>30</v>
      </c>
      <c r="S1508" s="6" t="s">
        <v>30</v>
      </c>
      <c r="T1508" s="11" t="s">
        <v>30</v>
      </c>
      <c r="U1508" s="6" t="s">
        <v>30</v>
      </c>
      <c r="V1508" s="6" t="s">
        <v>30</v>
      </c>
      <c r="W1508" s="6" t="s">
        <v>30</v>
      </c>
      <c r="X1508" s="2" t="s">
        <v>30</v>
      </c>
      <c r="Y1508" s="6" t="str">
        <f aca="false">IF(AND(X1508="processed",ISNUMBER(S1508)),S1508*O1508,"")</f>
        <v/>
      </c>
      <c r="Z1508" s="6" t="n">
        <f aca="false">IF(ISNUMBER(K1508),K1508*O1508,0)</f>
        <v>0</v>
      </c>
      <c r="AA1508" s="2" t="s">
        <v>31</v>
      </c>
      <c r="AB1508" s="6" t="n">
        <v>1979</v>
      </c>
      <c r="AC1508" s="6" t="n">
        <v>1751</v>
      </c>
      <c r="AD1508" s="6" t="n">
        <v>1953</v>
      </c>
      <c r="AE1508" s="6" t="n">
        <v>1687.74401855469</v>
      </c>
      <c r="AF1508" s="8" t="n">
        <v>225.595564074</v>
      </c>
      <c r="AG1508" s="11" t="n">
        <v>0.06413001922</v>
      </c>
      <c r="AH1508" s="12" t="n">
        <v>1.00000000000001</v>
      </c>
      <c r="AI1508" s="2" t="s">
        <v>317</v>
      </c>
      <c r="AJ1508" s="2" t="s">
        <v>3320</v>
      </c>
      <c r="AK1508" s="2" t="s">
        <v>3320</v>
      </c>
    </row>
    <row r="1509" customFormat="false" ht="15" hidden="false" customHeight="false" outlineLevel="0" collapsed="false">
      <c r="A1509" s="9"/>
      <c r="B1509" s="2" t="s">
        <v>3321</v>
      </c>
      <c r="C1509" s="2" t="s">
        <v>3322</v>
      </c>
      <c r="D1509" s="2" t="s">
        <v>1595</v>
      </c>
      <c r="E1509" s="2" t="s">
        <v>51</v>
      </c>
      <c r="F1509" s="2"/>
      <c r="G1509" s="2" t="s">
        <v>1596</v>
      </c>
      <c r="H1509" s="8" t="n">
        <v>443.789587437889</v>
      </c>
      <c r="I1509" s="2" t="s">
        <v>316</v>
      </c>
      <c r="J1509" s="8" t="n">
        <v>633333.333333333</v>
      </c>
      <c r="K1509" s="6" t="n">
        <v>9</v>
      </c>
      <c r="L1509" s="2"/>
      <c r="M1509" s="10" t="b">
        <f aca="false">TRUE()</f>
        <v>1</v>
      </c>
      <c r="N1509" s="9" t="str">
        <f aca="false">IF(H1509="","",IF(H1509&gt;=Assumptions!$B$5,1,IF(H1509&gt;=Assumptions!$B$6,2,IF(H1509&gt;=Assumptions!$B$7,3,""))))</f>
        <v/>
      </c>
      <c r="O1509" s="9" t="n">
        <f aca="false">IF(N1509=1,Assumptions!$B$8,IF(N1509=2,Assumptions!$B$9,IF(N1509=3,Assumptions!$B$10,0)))</f>
        <v>0</v>
      </c>
      <c r="P1509" s="6" t="s">
        <v>30</v>
      </c>
      <c r="Q1509" s="6" t="s">
        <v>30</v>
      </c>
      <c r="R1509" s="11" t="s">
        <v>30</v>
      </c>
      <c r="S1509" s="6" t="s">
        <v>30</v>
      </c>
      <c r="T1509" s="11" t="s">
        <v>30</v>
      </c>
      <c r="U1509" s="6" t="s">
        <v>30</v>
      </c>
      <c r="V1509" s="6" t="s">
        <v>30</v>
      </c>
      <c r="W1509" s="6" t="s">
        <v>30</v>
      </c>
      <c r="X1509" s="2" t="s">
        <v>30</v>
      </c>
      <c r="Y1509" s="6" t="str">
        <f aca="false">IF(AND(X1509="processed",ISNUMBER(S1509)),S1509*O1509,"")</f>
        <v/>
      </c>
      <c r="Z1509" s="6" t="n">
        <f aca="false">IF(ISNUMBER(K1509),K1509*O1509,0)</f>
        <v>0</v>
      </c>
      <c r="AA1509" s="2" t="s">
        <v>31</v>
      </c>
      <c r="AB1509" s="6" t="n">
        <v>705</v>
      </c>
      <c r="AC1509" s="6" t="n">
        <v>591</v>
      </c>
      <c r="AD1509" s="6" t="n">
        <v>691</v>
      </c>
      <c r="AE1509" s="6" t="n">
        <v>1728.3291015625</v>
      </c>
      <c r="AF1509" s="8" t="n">
        <v>611.034482759</v>
      </c>
      <c r="AG1509" s="11" t="n">
        <v>0.1155061611</v>
      </c>
      <c r="AH1509" s="12" t="n">
        <v>0.962877664307948</v>
      </c>
      <c r="AI1509" s="2" t="s">
        <v>1597</v>
      </c>
      <c r="AJ1509" s="2"/>
      <c r="AK1509" s="2" t="s">
        <v>3322</v>
      </c>
    </row>
    <row r="1510" customFormat="false" ht="15" hidden="false" customHeight="false" outlineLevel="0" collapsed="false">
      <c r="A1510" s="9"/>
      <c r="B1510" s="2" t="s">
        <v>3323</v>
      </c>
      <c r="C1510" s="2" t="s">
        <v>1595</v>
      </c>
      <c r="D1510" s="2" t="s">
        <v>1595</v>
      </c>
      <c r="E1510" s="2" t="s">
        <v>51</v>
      </c>
      <c r="F1510" s="2" t="s">
        <v>3324</v>
      </c>
      <c r="G1510" s="2" t="s">
        <v>1596</v>
      </c>
      <c r="H1510" s="8" t="n">
        <v>497.437779130588</v>
      </c>
      <c r="I1510" s="2" t="s">
        <v>316</v>
      </c>
      <c r="J1510" s="8" t="n">
        <v>1050970.58823529</v>
      </c>
      <c r="K1510" s="6" t="n">
        <v>34</v>
      </c>
      <c r="L1510" s="2"/>
      <c r="M1510" s="10" t="b">
        <f aca="false">TRUE()</f>
        <v>1</v>
      </c>
      <c r="N1510" s="9" t="str">
        <f aca="false">IF(H1510="","",IF(H1510&gt;=Assumptions!$B$5,1,IF(H1510&gt;=Assumptions!$B$6,2,IF(H1510&gt;=Assumptions!$B$7,3,""))))</f>
        <v/>
      </c>
      <c r="O1510" s="9" t="n">
        <f aca="false">IF(N1510=1,Assumptions!$B$8,IF(N1510=2,Assumptions!$B$9,IF(N1510=3,Assumptions!$B$10,0)))</f>
        <v>0</v>
      </c>
      <c r="P1510" s="6" t="s">
        <v>30</v>
      </c>
      <c r="Q1510" s="6" t="s">
        <v>30</v>
      </c>
      <c r="R1510" s="11" t="s">
        <v>30</v>
      </c>
      <c r="S1510" s="6" t="s">
        <v>30</v>
      </c>
      <c r="T1510" s="11" t="s">
        <v>30</v>
      </c>
      <c r="U1510" s="6" t="s">
        <v>30</v>
      </c>
      <c r="V1510" s="6" t="s">
        <v>30</v>
      </c>
      <c r="W1510" s="6" t="s">
        <v>30</v>
      </c>
      <c r="X1510" s="2" t="s">
        <v>30</v>
      </c>
      <c r="Y1510" s="6" t="str">
        <f aca="false">IF(AND(X1510="processed",ISNUMBER(S1510)),S1510*O1510,"")</f>
        <v/>
      </c>
      <c r="Z1510" s="6" t="n">
        <f aca="false">IF(ISNUMBER(K1510),K1510*O1510,0)</f>
        <v>0</v>
      </c>
      <c r="AA1510" s="2" t="s">
        <v>31</v>
      </c>
      <c r="AB1510" s="6" t="n">
        <v>2679</v>
      </c>
      <c r="AC1510" s="6" t="n">
        <v>2146</v>
      </c>
      <c r="AD1510" s="6" t="n">
        <v>1332</v>
      </c>
      <c r="AE1510" s="6" t="n">
        <v>1597.40258789063</v>
      </c>
      <c r="AF1510" s="8" t="n">
        <v>642.123287671</v>
      </c>
      <c r="AG1510" s="11" t="n">
        <v>0.2207896857</v>
      </c>
      <c r="AH1510" s="12" t="n">
        <v>0.915204894859522</v>
      </c>
      <c r="AI1510" s="2" t="s">
        <v>1597</v>
      </c>
      <c r="AJ1510" s="2"/>
      <c r="AK1510" s="2" t="s">
        <v>1595</v>
      </c>
    </row>
    <row r="1511" customFormat="false" ht="15" hidden="false" customHeight="false" outlineLevel="0" collapsed="false">
      <c r="A1511" s="9"/>
      <c r="B1511" s="2" t="s">
        <v>3325</v>
      </c>
      <c r="C1511" s="2" t="s">
        <v>3326</v>
      </c>
      <c r="D1511" s="2" t="s">
        <v>3278</v>
      </c>
      <c r="E1511" s="2" t="s">
        <v>51</v>
      </c>
      <c r="F1511" s="2"/>
      <c r="G1511" s="2" t="s">
        <v>3280</v>
      </c>
      <c r="H1511" s="8" t="n">
        <v>255.807713804568</v>
      </c>
      <c r="I1511" s="2" t="s">
        <v>316</v>
      </c>
      <c r="J1511" s="8" t="n">
        <v>429756.756756757</v>
      </c>
      <c r="K1511" s="6" t="n">
        <v>37</v>
      </c>
      <c r="L1511" s="2"/>
      <c r="M1511" s="10" t="b">
        <f aca="false">TRUE()</f>
        <v>1</v>
      </c>
      <c r="N1511" s="9" t="str">
        <f aca="false">IF(H1511="","",IF(H1511&gt;=Assumptions!$B$5,1,IF(H1511&gt;=Assumptions!$B$6,2,IF(H1511&gt;=Assumptions!$B$7,3,""))))</f>
        <v/>
      </c>
      <c r="O1511" s="9" t="n">
        <f aca="false">IF(N1511=1,Assumptions!$B$8,IF(N1511=2,Assumptions!$B$9,IF(N1511=3,Assumptions!$B$10,0)))</f>
        <v>0</v>
      </c>
      <c r="P1511" s="6" t="s">
        <v>30</v>
      </c>
      <c r="Q1511" s="6" t="s">
        <v>30</v>
      </c>
      <c r="R1511" s="11" t="s">
        <v>30</v>
      </c>
      <c r="S1511" s="6" t="s">
        <v>30</v>
      </c>
      <c r="T1511" s="11" t="s">
        <v>30</v>
      </c>
      <c r="U1511" s="6" t="s">
        <v>30</v>
      </c>
      <c r="V1511" s="6" t="s">
        <v>30</v>
      </c>
      <c r="W1511" s="6" t="s">
        <v>30</v>
      </c>
      <c r="X1511" s="2" t="s">
        <v>30</v>
      </c>
      <c r="Y1511" s="6" t="str">
        <f aca="false">IF(AND(X1511="processed",ISNUMBER(S1511)),S1511*O1511,"")</f>
        <v/>
      </c>
      <c r="Z1511" s="6" t="n">
        <f aca="false">IF(ISNUMBER(K1511),K1511*O1511,0)</f>
        <v>0</v>
      </c>
      <c r="AA1511" s="2" t="s">
        <v>31</v>
      </c>
      <c r="AB1511" s="6" t="n">
        <v>2850</v>
      </c>
      <c r="AC1511" s="6" t="n">
        <v>2171</v>
      </c>
      <c r="AD1511" s="6" t="n">
        <v>1064</v>
      </c>
      <c r="AE1511" s="6" t="n">
        <v>1647.36413574219</v>
      </c>
      <c r="AF1511" s="8" t="n">
        <v>271.448632668</v>
      </c>
      <c r="AG1511" s="11" t="n">
        <v>0.109214904</v>
      </c>
      <c r="AH1511" s="12" t="n">
        <v>0.998802559802298</v>
      </c>
      <c r="AI1511" s="2" t="s">
        <v>3327</v>
      </c>
      <c r="AJ1511" s="2" t="s">
        <v>3328</v>
      </c>
      <c r="AK1511" s="2" t="s">
        <v>3326</v>
      </c>
    </row>
    <row r="1512" customFormat="false" ht="15" hidden="false" customHeight="false" outlineLevel="0" collapsed="false">
      <c r="A1512" s="9"/>
      <c r="B1512" s="2" t="s">
        <v>3329</v>
      </c>
      <c r="C1512" s="2" t="s">
        <v>3330</v>
      </c>
      <c r="D1512" s="2" t="s">
        <v>190</v>
      </c>
      <c r="E1512" s="2" t="s">
        <v>51</v>
      </c>
      <c r="F1512" s="2"/>
      <c r="G1512" s="2" t="s">
        <v>336</v>
      </c>
      <c r="H1512" s="8" t="n">
        <v>498.451718928632</v>
      </c>
      <c r="I1512" s="2" t="s">
        <v>316</v>
      </c>
      <c r="J1512" s="8" t="n">
        <v>552631.578947368</v>
      </c>
      <c r="K1512" s="6" t="n">
        <v>19</v>
      </c>
      <c r="L1512" s="2"/>
      <c r="M1512" s="10" t="b">
        <f aca="false">TRUE()</f>
        <v>1</v>
      </c>
      <c r="N1512" s="9" t="str">
        <f aca="false">IF(H1512="","",IF(H1512&gt;=Assumptions!$B$5,1,IF(H1512&gt;=Assumptions!$B$6,2,IF(H1512&gt;=Assumptions!$B$7,3,""))))</f>
        <v/>
      </c>
      <c r="O1512" s="9" t="n">
        <f aca="false">IF(N1512=1,Assumptions!$B$8,IF(N1512=2,Assumptions!$B$9,IF(N1512=3,Assumptions!$B$10,0)))</f>
        <v>0</v>
      </c>
      <c r="P1512" s="6" t="s">
        <v>30</v>
      </c>
      <c r="Q1512" s="6" t="s">
        <v>30</v>
      </c>
      <c r="R1512" s="11" t="s">
        <v>30</v>
      </c>
      <c r="S1512" s="6" t="s">
        <v>30</v>
      </c>
      <c r="T1512" s="11" t="s">
        <v>30</v>
      </c>
      <c r="U1512" s="6" t="s">
        <v>30</v>
      </c>
      <c r="V1512" s="6" t="s">
        <v>30</v>
      </c>
      <c r="W1512" s="6" t="s">
        <v>30</v>
      </c>
      <c r="X1512" s="2" t="s">
        <v>30</v>
      </c>
      <c r="Y1512" s="6" t="str">
        <f aca="false">IF(AND(X1512="processed",ISNUMBER(S1512)),S1512*O1512,"")</f>
        <v/>
      </c>
      <c r="Z1512" s="6" t="n">
        <f aca="false">IF(ISNUMBER(K1512),K1512*O1512,0)</f>
        <v>0</v>
      </c>
      <c r="AA1512" s="2" t="s">
        <v>31</v>
      </c>
      <c r="AB1512" s="6" t="n">
        <v>1137</v>
      </c>
      <c r="AC1512" s="6" t="n">
        <v>849</v>
      </c>
      <c r="AD1512" s="6" t="n">
        <v>74</v>
      </c>
      <c r="AE1512" s="6" t="n">
        <v>1291.93908691406</v>
      </c>
      <c r="AF1512" s="8" t="n">
        <v>509.950248756</v>
      </c>
      <c r="AG1512" s="11" t="n">
        <v>-0.1522529198</v>
      </c>
      <c r="AH1512" s="12" t="n">
        <v>0.999999999999998</v>
      </c>
      <c r="AI1512" s="2" t="s">
        <v>317</v>
      </c>
      <c r="AJ1512" s="2" t="s">
        <v>3330</v>
      </c>
      <c r="AK1512" s="2" t="s">
        <v>1795</v>
      </c>
    </row>
    <row r="1513" customFormat="false" ht="15" hidden="false" customHeight="false" outlineLevel="0" collapsed="false">
      <c r="A1513" s="9"/>
      <c r="B1513" s="2" t="s">
        <v>3331</v>
      </c>
      <c r="C1513" s="2" t="s">
        <v>3332</v>
      </c>
      <c r="D1513" s="2" t="s">
        <v>1595</v>
      </c>
      <c r="E1513" s="2" t="s">
        <v>51</v>
      </c>
      <c r="F1513" s="2"/>
      <c r="G1513" s="2" t="s">
        <v>1596</v>
      </c>
      <c r="H1513" s="8" t="n">
        <v>356.6034742605</v>
      </c>
      <c r="I1513" s="2" t="s">
        <v>316</v>
      </c>
      <c r="J1513" s="8" t="n">
        <v>693500</v>
      </c>
      <c r="K1513" s="6" t="n">
        <v>2</v>
      </c>
      <c r="L1513" s="2" t="s">
        <v>1664</v>
      </c>
      <c r="M1513" s="10" t="b">
        <f aca="false">TRUE()</f>
        <v>1</v>
      </c>
      <c r="N1513" s="9" t="str">
        <f aca="false">IF(H1513="","",IF(H1513&gt;=Assumptions!$B$5,1,IF(H1513&gt;=Assumptions!$B$6,2,IF(H1513&gt;=Assumptions!$B$7,3,""))))</f>
        <v/>
      </c>
      <c r="O1513" s="9" t="n">
        <f aca="false">IF(N1513=1,Assumptions!$B$8,IF(N1513=2,Assumptions!$B$9,IF(N1513=3,Assumptions!$B$10,0)))</f>
        <v>0</v>
      </c>
      <c r="P1513" s="6" t="s">
        <v>30</v>
      </c>
      <c r="Q1513" s="6" t="s">
        <v>30</v>
      </c>
      <c r="R1513" s="11" t="s">
        <v>30</v>
      </c>
      <c r="S1513" s="6" t="s">
        <v>30</v>
      </c>
      <c r="T1513" s="11" t="s">
        <v>30</v>
      </c>
      <c r="U1513" s="6" t="s">
        <v>30</v>
      </c>
      <c r="V1513" s="6" t="s">
        <v>30</v>
      </c>
      <c r="W1513" s="6" t="s">
        <v>30</v>
      </c>
      <c r="X1513" s="2" t="s">
        <v>30</v>
      </c>
      <c r="Y1513" s="6" t="str">
        <f aca="false">IF(AND(X1513="processed",ISNUMBER(S1513)),S1513*O1513,"")</f>
        <v/>
      </c>
      <c r="Z1513" s="6" t="n">
        <f aca="false">IF(ISNUMBER(K1513),K1513*O1513,0)</f>
        <v>0</v>
      </c>
      <c r="AA1513" s="2" t="s">
        <v>31</v>
      </c>
      <c r="AB1513" s="6" t="n">
        <v>159</v>
      </c>
      <c r="AC1513" s="6" t="n">
        <v>129</v>
      </c>
      <c r="AD1513" s="6" t="n">
        <v>154</v>
      </c>
      <c r="AE1513" s="6" t="n">
        <v>1405.67358398438</v>
      </c>
      <c r="AF1513" s="8" t="n">
        <v>370.349805664</v>
      </c>
      <c r="AG1513" s="11"/>
      <c r="AH1513" s="12" t="n">
        <v>0.999999999999997</v>
      </c>
      <c r="AI1513" s="2" t="s">
        <v>1597</v>
      </c>
      <c r="AJ1513" s="2"/>
      <c r="AK1513" s="2" t="s">
        <v>3332</v>
      </c>
    </row>
    <row r="1514" customFormat="false" ht="15" hidden="false" customHeight="false" outlineLevel="0" collapsed="false">
      <c r="A1514" s="9"/>
      <c r="B1514" s="2" t="s">
        <v>3333</v>
      </c>
      <c r="C1514" s="2" t="s">
        <v>3334</v>
      </c>
      <c r="D1514" s="2" t="s">
        <v>3278</v>
      </c>
      <c r="E1514" s="2" t="s">
        <v>51</v>
      </c>
      <c r="F1514" s="2"/>
      <c r="G1514" s="2" t="s">
        <v>3280</v>
      </c>
      <c r="H1514" s="8" t="n">
        <v>168.5502934054</v>
      </c>
      <c r="I1514" s="2" t="s">
        <v>316</v>
      </c>
      <c r="J1514" s="8" t="n">
        <v>223960</v>
      </c>
      <c r="K1514" s="6" t="n">
        <v>25</v>
      </c>
      <c r="L1514" s="2"/>
      <c r="M1514" s="10" t="b">
        <f aca="false">TRUE()</f>
        <v>1</v>
      </c>
      <c r="N1514" s="9" t="str">
        <f aca="false">IF(H1514="","",IF(H1514&gt;=Assumptions!$B$5,1,IF(H1514&gt;=Assumptions!$B$6,2,IF(H1514&gt;=Assumptions!$B$7,3,""))))</f>
        <v/>
      </c>
      <c r="O1514" s="9" t="n">
        <f aca="false">IF(N1514=1,Assumptions!$B$8,IF(N1514=2,Assumptions!$B$9,IF(N1514=3,Assumptions!$B$10,0)))</f>
        <v>0</v>
      </c>
      <c r="P1514" s="6" t="s">
        <v>30</v>
      </c>
      <c r="Q1514" s="6" t="s">
        <v>30</v>
      </c>
      <c r="R1514" s="11" t="s">
        <v>30</v>
      </c>
      <c r="S1514" s="6" t="s">
        <v>30</v>
      </c>
      <c r="T1514" s="11" t="s">
        <v>30</v>
      </c>
      <c r="U1514" s="6" t="s">
        <v>30</v>
      </c>
      <c r="V1514" s="6" t="s">
        <v>30</v>
      </c>
      <c r="W1514" s="6" t="s">
        <v>30</v>
      </c>
      <c r="X1514" s="2" t="s">
        <v>30</v>
      </c>
      <c r="Y1514" s="6" t="str">
        <f aca="false">IF(AND(X1514="processed",ISNUMBER(S1514)),S1514*O1514,"")</f>
        <v/>
      </c>
      <c r="Z1514" s="6" t="n">
        <f aca="false">IF(ISNUMBER(K1514),K1514*O1514,0)</f>
        <v>0</v>
      </c>
      <c r="AA1514" s="2" t="s">
        <v>31</v>
      </c>
      <c r="AB1514" s="6" t="n">
        <v>1526</v>
      </c>
      <c r="AC1514" s="6" t="n">
        <v>1308</v>
      </c>
      <c r="AD1514" s="6" t="n">
        <v>1459</v>
      </c>
      <c r="AE1514" s="6" t="n">
        <v>1578.28820800781</v>
      </c>
      <c r="AF1514" s="8" t="n">
        <v>240.700218818</v>
      </c>
      <c r="AG1514" s="11" t="n">
        <v>0.7400015818</v>
      </c>
      <c r="AH1514" s="12" t="n">
        <v>1</v>
      </c>
      <c r="AI1514" s="2" t="s">
        <v>317</v>
      </c>
      <c r="AJ1514" s="2" t="s">
        <v>3334</v>
      </c>
      <c r="AK1514" s="2" t="s">
        <v>3334</v>
      </c>
    </row>
    <row r="1515" customFormat="false" ht="15" hidden="false" customHeight="false" outlineLevel="0" collapsed="false">
      <c r="A1515" s="9"/>
      <c r="B1515" s="2" t="s">
        <v>3335</v>
      </c>
      <c r="C1515" s="2" t="s">
        <v>3336</v>
      </c>
      <c r="D1515" s="2" t="s">
        <v>3278</v>
      </c>
      <c r="E1515" s="2" t="s">
        <v>51</v>
      </c>
      <c r="F1515" s="2"/>
      <c r="G1515" s="2" t="s">
        <v>3280</v>
      </c>
      <c r="H1515" s="8" t="n">
        <v>207.611928475549</v>
      </c>
      <c r="I1515" s="2" t="s">
        <v>316</v>
      </c>
      <c r="J1515" s="8" t="n">
        <v>371348.039215686</v>
      </c>
      <c r="K1515" s="6" t="n">
        <v>102</v>
      </c>
      <c r="L1515" s="2"/>
      <c r="M1515" s="10" t="b">
        <f aca="false">TRUE()</f>
        <v>1</v>
      </c>
      <c r="N1515" s="9" t="str">
        <f aca="false">IF(H1515="","",IF(H1515&gt;=Assumptions!$B$5,1,IF(H1515&gt;=Assumptions!$B$6,2,IF(H1515&gt;=Assumptions!$B$7,3,""))))</f>
        <v/>
      </c>
      <c r="O1515" s="9" t="n">
        <f aca="false">IF(N1515=1,Assumptions!$B$8,IF(N1515=2,Assumptions!$B$9,IF(N1515=3,Assumptions!$B$10,0)))</f>
        <v>0</v>
      </c>
      <c r="P1515" s="6" t="s">
        <v>30</v>
      </c>
      <c r="Q1515" s="6" t="s">
        <v>30</v>
      </c>
      <c r="R1515" s="11" t="s">
        <v>30</v>
      </c>
      <c r="S1515" s="6" t="s">
        <v>30</v>
      </c>
      <c r="T1515" s="11" t="s">
        <v>30</v>
      </c>
      <c r="U1515" s="6" t="s">
        <v>30</v>
      </c>
      <c r="V1515" s="6" t="s">
        <v>30</v>
      </c>
      <c r="W1515" s="6" t="s">
        <v>30</v>
      </c>
      <c r="X1515" s="2" t="s">
        <v>30</v>
      </c>
      <c r="Y1515" s="6" t="str">
        <f aca="false">IF(AND(X1515="processed",ISNUMBER(S1515)),S1515*O1515,"")</f>
        <v/>
      </c>
      <c r="Z1515" s="6" t="n">
        <f aca="false">IF(ISNUMBER(K1515),K1515*O1515,0)</f>
        <v>0</v>
      </c>
      <c r="AA1515" s="2" t="s">
        <v>31</v>
      </c>
      <c r="AB1515" s="6" t="n">
        <v>3106</v>
      </c>
      <c r="AC1515" s="6" t="n">
        <v>2907</v>
      </c>
      <c r="AD1515" s="6" t="n">
        <v>198</v>
      </c>
      <c r="AE1515" s="6" t="n">
        <v>2599.71875</v>
      </c>
      <c r="AF1515" s="8" t="n">
        <v>204.791361972</v>
      </c>
      <c r="AG1515" s="11" t="n">
        <v>-0.09944311338</v>
      </c>
      <c r="AH1515" s="12" t="n">
        <v>1</v>
      </c>
      <c r="AI1515" s="2" t="s">
        <v>317</v>
      </c>
      <c r="AJ1515" s="2" t="s">
        <v>3336</v>
      </c>
      <c r="AK1515" s="2" t="s">
        <v>3336</v>
      </c>
    </row>
    <row r="1516" customFormat="false" ht="15" hidden="false" customHeight="false" outlineLevel="0" collapsed="false">
      <c r="A1516" s="9"/>
      <c r="B1516" s="2" t="s">
        <v>3337</v>
      </c>
      <c r="C1516" s="2" t="s">
        <v>3338</v>
      </c>
      <c r="D1516" s="2" t="s">
        <v>1595</v>
      </c>
      <c r="E1516" s="2" t="s">
        <v>51</v>
      </c>
      <c r="F1516" s="2"/>
      <c r="G1516" s="2" t="s">
        <v>1596</v>
      </c>
      <c r="H1516" s="8" t="n">
        <v>344.08403556</v>
      </c>
      <c r="I1516" s="2" t="s">
        <v>316</v>
      </c>
      <c r="J1516" s="8" t="n">
        <v>707500</v>
      </c>
      <c r="K1516" s="6" t="n">
        <v>2</v>
      </c>
      <c r="L1516" s="2" t="s">
        <v>1664</v>
      </c>
      <c r="M1516" s="10" t="b">
        <f aca="false">TRUE()</f>
        <v>1</v>
      </c>
      <c r="N1516" s="9" t="str">
        <f aca="false">IF(H1516="","",IF(H1516&gt;=Assumptions!$B$5,1,IF(H1516&gt;=Assumptions!$B$6,2,IF(H1516&gt;=Assumptions!$B$7,3,""))))</f>
        <v/>
      </c>
      <c r="O1516" s="9" t="n">
        <f aca="false">IF(N1516=1,Assumptions!$B$8,IF(N1516=2,Assumptions!$B$9,IF(N1516=3,Assumptions!$B$10,0)))</f>
        <v>0</v>
      </c>
      <c r="P1516" s="6" t="s">
        <v>30</v>
      </c>
      <c r="Q1516" s="6" t="s">
        <v>30</v>
      </c>
      <c r="R1516" s="11" t="s">
        <v>30</v>
      </c>
      <c r="S1516" s="6" t="s">
        <v>30</v>
      </c>
      <c r="T1516" s="11" t="s">
        <v>30</v>
      </c>
      <c r="U1516" s="6" t="s">
        <v>30</v>
      </c>
      <c r="V1516" s="6" t="s">
        <v>30</v>
      </c>
      <c r="W1516" s="6" t="s">
        <v>30</v>
      </c>
      <c r="X1516" s="2" t="s">
        <v>30</v>
      </c>
      <c r="Y1516" s="6" t="str">
        <f aca="false">IF(AND(X1516="processed",ISNUMBER(S1516)),S1516*O1516,"")</f>
        <v/>
      </c>
      <c r="Z1516" s="6" t="n">
        <f aca="false">IF(ISNUMBER(K1516),K1516*O1516,0)</f>
        <v>0</v>
      </c>
      <c r="AA1516" s="2" t="s">
        <v>31</v>
      </c>
      <c r="AB1516" s="6" t="n">
        <v>1111</v>
      </c>
      <c r="AC1516" s="6" t="n">
        <v>938</v>
      </c>
      <c r="AD1516" s="6" t="n">
        <v>694</v>
      </c>
      <c r="AE1516" s="6" t="n">
        <v>1567.61181640625</v>
      </c>
      <c r="AF1516" s="8" t="n">
        <v>302.480338778</v>
      </c>
      <c r="AG1516" s="11" t="n">
        <v>-0.4936145159</v>
      </c>
      <c r="AH1516" s="12" t="n">
        <v>0.95681748105573</v>
      </c>
      <c r="AI1516" s="2" t="s">
        <v>319</v>
      </c>
      <c r="AJ1516" s="2"/>
      <c r="AK1516" s="2" t="s">
        <v>3338</v>
      </c>
    </row>
    <row r="1517" customFormat="false" ht="15" hidden="false" customHeight="false" outlineLevel="0" collapsed="false">
      <c r="A1517" s="9"/>
      <c r="B1517" s="2" t="s">
        <v>3339</v>
      </c>
      <c r="C1517" s="2" t="s">
        <v>3340</v>
      </c>
      <c r="D1517" s="2" t="s">
        <v>1595</v>
      </c>
      <c r="E1517" s="2" t="s">
        <v>51</v>
      </c>
      <c r="F1517" s="2"/>
      <c r="G1517" s="2" t="s">
        <v>3280</v>
      </c>
      <c r="H1517" s="8" t="n">
        <v>296.4749860533</v>
      </c>
      <c r="I1517" s="2" t="s">
        <v>316</v>
      </c>
      <c r="J1517" s="8" t="n">
        <v>471950</v>
      </c>
      <c r="K1517" s="6" t="n">
        <v>10</v>
      </c>
      <c r="L1517" s="2"/>
      <c r="M1517" s="10" t="b">
        <f aca="false">TRUE()</f>
        <v>1</v>
      </c>
      <c r="N1517" s="9" t="str">
        <f aca="false">IF(H1517="","",IF(H1517&gt;=Assumptions!$B$5,1,IF(H1517&gt;=Assumptions!$B$6,2,IF(H1517&gt;=Assumptions!$B$7,3,""))))</f>
        <v/>
      </c>
      <c r="O1517" s="9" t="n">
        <f aca="false">IF(N1517=1,Assumptions!$B$8,IF(N1517=2,Assumptions!$B$9,IF(N1517=3,Assumptions!$B$10,0)))</f>
        <v>0</v>
      </c>
      <c r="P1517" s="6" t="s">
        <v>30</v>
      </c>
      <c r="Q1517" s="6" t="s">
        <v>30</v>
      </c>
      <c r="R1517" s="11" t="s">
        <v>30</v>
      </c>
      <c r="S1517" s="6" t="s">
        <v>30</v>
      </c>
      <c r="T1517" s="11" t="s">
        <v>30</v>
      </c>
      <c r="U1517" s="6" t="s">
        <v>30</v>
      </c>
      <c r="V1517" s="6" t="s">
        <v>30</v>
      </c>
      <c r="W1517" s="6" t="s">
        <v>30</v>
      </c>
      <c r="X1517" s="2" t="s">
        <v>30</v>
      </c>
      <c r="Y1517" s="6" t="str">
        <f aca="false">IF(AND(X1517="processed",ISNUMBER(S1517)),S1517*O1517,"")</f>
        <v/>
      </c>
      <c r="Z1517" s="6" t="n">
        <f aca="false">IF(ISNUMBER(K1517),K1517*O1517,0)</f>
        <v>0</v>
      </c>
      <c r="AA1517" s="2" t="s">
        <v>31</v>
      </c>
      <c r="AB1517" s="6" t="n">
        <v>2635</v>
      </c>
      <c r="AC1517" s="6" t="n">
        <v>2120</v>
      </c>
      <c r="AD1517" s="6" t="n">
        <v>1536</v>
      </c>
      <c r="AE1517" s="6" t="n">
        <v>1534.60302734375</v>
      </c>
      <c r="AF1517" s="8" t="n">
        <v>191.666666667</v>
      </c>
      <c r="AG1517" s="11" t="n">
        <v>-0.3697740113</v>
      </c>
      <c r="AH1517" s="12" t="n">
        <v>0.643481465554421</v>
      </c>
      <c r="AI1517" s="2" t="s">
        <v>317</v>
      </c>
      <c r="AJ1517" s="2" t="s">
        <v>3340</v>
      </c>
      <c r="AK1517" s="2" t="s">
        <v>3341</v>
      </c>
    </row>
    <row r="1518" customFormat="false" ht="15" hidden="false" customHeight="false" outlineLevel="0" collapsed="false">
      <c r="A1518" s="9"/>
      <c r="B1518" s="2" t="s">
        <v>3342</v>
      </c>
      <c r="C1518" s="2" t="s">
        <v>3343</v>
      </c>
      <c r="D1518" s="2" t="s">
        <v>1595</v>
      </c>
      <c r="E1518" s="2" t="s">
        <v>51</v>
      </c>
      <c r="F1518" s="2"/>
      <c r="G1518" s="2" t="s">
        <v>1596</v>
      </c>
      <c r="H1518" s="8" t="n">
        <v>349.90912693665</v>
      </c>
      <c r="I1518" s="2" t="s">
        <v>316</v>
      </c>
      <c r="J1518" s="8" t="n">
        <v>660975</v>
      </c>
      <c r="K1518" s="6" t="n">
        <v>20</v>
      </c>
      <c r="L1518" s="2"/>
      <c r="M1518" s="10" t="b">
        <f aca="false">TRUE()</f>
        <v>1</v>
      </c>
      <c r="N1518" s="9" t="str">
        <f aca="false">IF(H1518="","",IF(H1518&gt;=Assumptions!$B$5,1,IF(H1518&gt;=Assumptions!$B$6,2,IF(H1518&gt;=Assumptions!$B$7,3,""))))</f>
        <v/>
      </c>
      <c r="O1518" s="9" t="n">
        <f aca="false">IF(N1518=1,Assumptions!$B$8,IF(N1518=2,Assumptions!$B$9,IF(N1518=3,Assumptions!$B$10,0)))</f>
        <v>0</v>
      </c>
      <c r="P1518" s="6" t="s">
        <v>30</v>
      </c>
      <c r="Q1518" s="6" t="s">
        <v>30</v>
      </c>
      <c r="R1518" s="11" t="s">
        <v>30</v>
      </c>
      <c r="S1518" s="6" t="s">
        <v>30</v>
      </c>
      <c r="T1518" s="11" t="s">
        <v>30</v>
      </c>
      <c r="U1518" s="6" t="s">
        <v>30</v>
      </c>
      <c r="V1518" s="6" t="s">
        <v>30</v>
      </c>
      <c r="W1518" s="6" t="s">
        <v>30</v>
      </c>
      <c r="X1518" s="2" t="s">
        <v>30</v>
      </c>
      <c r="Y1518" s="6" t="str">
        <f aca="false">IF(AND(X1518="processed",ISNUMBER(S1518)),S1518*O1518,"")</f>
        <v/>
      </c>
      <c r="Z1518" s="6" t="n">
        <f aca="false">IF(ISNUMBER(K1518),K1518*O1518,0)</f>
        <v>0</v>
      </c>
      <c r="AA1518" s="2" t="s">
        <v>31</v>
      </c>
      <c r="AB1518" s="6" t="n">
        <v>5024</v>
      </c>
      <c r="AC1518" s="6" t="n">
        <v>4060</v>
      </c>
      <c r="AD1518" s="6" t="n">
        <v>4678</v>
      </c>
      <c r="AE1518" s="6" t="n">
        <v>1754.88439941406</v>
      </c>
      <c r="AF1518" s="8" t="n">
        <v>412.249845252</v>
      </c>
      <c r="AG1518" s="11" t="n">
        <v>0.1613465726</v>
      </c>
      <c r="AH1518" s="12" t="n">
        <v>1</v>
      </c>
      <c r="AI1518" s="2" t="s">
        <v>1597</v>
      </c>
      <c r="AJ1518" s="2"/>
      <c r="AK1518" s="2" t="s">
        <v>3343</v>
      </c>
    </row>
    <row r="1519" customFormat="false" ht="15" hidden="false" customHeight="false" outlineLevel="0" collapsed="false">
      <c r="A1519" s="9"/>
      <c r="B1519" s="2" t="s">
        <v>3344</v>
      </c>
      <c r="C1519" s="2" t="s">
        <v>3345</v>
      </c>
      <c r="D1519" s="2" t="s">
        <v>1595</v>
      </c>
      <c r="E1519" s="2" t="s">
        <v>51</v>
      </c>
      <c r="F1519" s="2" t="s">
        <v>3346</v>
      </c>
      <c r="G1519" s="2" t="s">
        <v>1596</v>
      </c>
      <c r="H1519" s="8" t="n">
        <v>334.498077745457</v>
      </c>
      <c r="I1519" s="2" t="s">
        <v>316</v>
      </c>
      <c r="J1519" s="8" t="n">
        <v>490075.144508671</v>
      </c>
      <c r="K1519" s="6" t="n">
        <v>173</v>
      </c>
      <c r="L1519" s="2"/>
      <c r="M1519" s="10" t="b">
        <f aca="false">TRUE()</f>
        <v>1</v>
      </c>
      <c r="N1519" s="9" t="str">
        <f aca="false">IF(H1519="","",IF(H1519&gt;=Assumptions!$B$5,1,IF(H1519&gt;=Assumptions!$B$6,2,IF(H1519&gt;=Assumptions!$B$7,3,""))))</f>
        <v/>
      </c>
      <c r="O1519" s="9" t="n">
        <f aca="false">IF(N1519=1,Assumptions!$B$8,IF(N1519=2,Assumptions!$B$9,IF(N1519=3,Assumptions!$B$10,0)))</f>
        <v>0</v>
      </c>
      <c r="P1519" s="6" t="s">
        <v>30</v>
      </c>
      <c r="Q1519" s="6" t="s">
        <v>30</v>
      </c>
      <c r="R1519" s="11" t="s">
        <v>30</v>
      </c>
      <c r="S1519" s="6" t="s">
        <v>30</v>
      </c>
      <c r="T1519" s="11" t="s">
        <v>30</v>
      </c>
      <c r="U1519" s="6" t="s">
        <v>30</v>
      </c>
      <c r="V1519" s="6" t="s">
        <v>30</v>
      </c>
      <c r="W1519" s="6" t="s">
        <v>30</v>
      </c>
      <c r="X1519" s="2" t="s">
        <v>30</v>
      </c>
      <c r="Y1519" s="6" t="str">
        <f aca="false">IF(AND(X1519="processed",ISNUMBER(S1519)),S1519*O1519,"")</f>
        <v/>
      </c>
      <c r="Z1519" s="6" t="n">
        <f aca="false">IF(ISNUMBER(K1519),K1519*O1519,0)</f>
        <v>0</v>
      </c>
      <c r="AA1519" s="2" t="s">
        <v>31</v>
      </c>
      <c r="AB1519" s="6" t="n">
        <v>15821</v>
      </c>
      <c r="AC1519" s="6" t="n">
        <v>13408</v>
      </c>
      <c r="AD1519" s="6" t="n">
        <v>11441</v>
      </c>
      <c r="AE1519" s="6" t="n">
        <v>1975.78588867188</v>
      </c>
      <c r="AF1519" s="8" t="n">
        <v>336.601266999</v>
      </c>
      <c r="AG1519" s="11" t="n">
        <v>0.06590401216</v>
      </c>
      <c r="AH1519" s="12" t="n">
        <v>0.999572952067107</v>
      </c>
      <c r="AI1519" s="2" t="s">
        <v>319</v>
      </c>
      <c r="AJ1519" s="2"/>
      <c r="AK1519" s="2" t="s">
        <v>3345</v>
      </c>
    </row>
    <row r="1520" customFormat="false" ht="15" hidden="false" customHeight="false" outlineLevel="0" collapsed="false">
      <c r="A1520" s="9"/>
      <c r="B1520" s="2" t="s">
        <v>3347</v>
      </c>
      <c r="C1520" s="2" t="s">
        <v>3348</v>
      </c>
      <c r="D1520" s="2" t="s">
        <v>3278</v>
      </c>
      <c r="E1520" s="2" t="s">
        <v>51</v>
      </c>
      <c r="F1520" s="2"/>
      <c r="G1520" s="2" t="s">
        <v>3280</v>
      </c>
      <c r="H1520" s="8" t="n">
        <v>270.390893710667</v>
      </c>
      <c r="I1520" s="2" t="s">
        <v>316</v>
      </c>
      <c r="J1520" s="8" t="n">
        <v>427111.111111111</v>
      </c>
      <c r="K1520" s="6" t="n">
        <v>18</v>
      </c>
      <c r="L1520" s="2"/>
      <c r="M1520" s="10" t="b">
        <f aca="false">TRUE()</f>
        <v>1</v>
      </c>
      <c r="N1520" s="9" t="str">
        <f aca="false">IF(H1520="","",IF(H1520&gt;=Assumptions!$B$5,1,IF(H1520&gt;=Assumptions!$B$6,2,IF(H1520&gt;=Assumptions!$B$7,3,""))))</f>
        <v/>
      </c>
      <c r="O1520" s="9" t="n">
        <f aca="false">IF(N1520=1,Assumptions!$B$8,IF(N1520=2,Assumptions!$B$9,IF(N1520=3,Assumptions!$B$10,0)))</f>
        <v>0</v>
      </c>
      <c r="P1520" s="6" t="s">
        <v>30</v>
      </c>
      <c r="Q1520" s="6" t="s">
        <v>30</v>
      </c>
      <c r="R1520" s="11" t="s">
        <v>30</v>
      </c>
      <c r="S1520" s="6" t="s">
        <v>30</v>
      </c>
      <c r="T1520" s="11" t="s">
        <v>30</v>
      </c>
      <c r="U1520" s="6" t="s">
        <v>30</v>
      </c>
      <c r="V1520" s="6" t="s">
        <v>30</v>
      </c>
      <c r="W1520" s="6" t="s">
        <v>30</v>
      </c>
      <c r="X1520" s="2" t="s">
        <v>30</v>
      </c>
      <c r="Y1520" s="6" t="str">
        <f aca="false">IF(AND(X1520="processed",ISNUMBER(S1520)),S1520*O1520,"")</f>
        <v/>
      </c>
      <c r="Z1520" s="6" t="n">
        <f aca="false">IF(ISNUMBER(K1520),K1520*O1520,0)</f>
        <v>0</v>
      </c>
      <c r="AA1520" s="2" t="s">
        <v>31</v>
      </c>
      <c r="AB1520" s="6" t="n">
        <v>2154</v>
      </c>
      <c r="AC1520" s="6" t="n">
        <v>1807</v>
      </c>
      <c r="AD1520" s="6" t="n">
        <v>1925</v>
      </c>
      <c r="AE1520" s="6" t="n">
        <v>1651.3076171875</v>
      </c>
      <c r="AF1520" s="8" t="n">
        <v>270.346005346</v>
      </c>
      <c r="AG1520" s="11" t="n">
        <v>-0.1695856491</v>
      </c>
      <c r="AH1520" s="12" t="n">
        <v>0.999565564365419</v>
      </c>
      <c r="AI1520" s="2" t="s">
        <v>317</v>
      </c>
      <c r="AJ1520" s="2" t="s">
        <v>3348</v>
      </c>
      <c r="AK1520" s="2" t="s">
        <v>3348</v>
      </c>
    </row>
    <row r="1521" customFormat="false" ht="15" hidden="false" customHeight="false" outlineLevel="0" collapsed="false">
      <c r="A1521" s="9"/>
      <c r="B1521" s="2" t="s">
        <v>3349</v>
      </c>
      <c r="C1521" s="2" t="s">
        <v>3350</v>
      </c>
      <c r="D1521" s="2" t="s">
        <v>1595</v>
      </c>
      <c r="E1521" s="2" t="s">
        <v>51</v>
      </c>
      <c r="F1521" s="2"/>
      <c r="G1521" s="2" t="s">
        <v>1596</v>
      </c>
      <c r="H1521" s="8" t="n">
        <v>476.575121163</v>
      </c>
      <c r="I1521" s="2" t="s">
        <v>316</v>
      </c>
      <c r="J1521" s="8" t="n">
        <v>590000</v>
      </c>
      <c r="K1521" s="6" t="n">
        <v>3</v>
      </c>
      <c r="L1521" s="2" t="s">
        <v>1664</v>
      </c>
      <c r="M1521" s="10" t="b">
        <f aca="false">TRUE()</f>
        <v>1</v>
      </c>
      <c r="N1521" s="9" t="str">
        <f aca="false">IF(H1521="","",IF(H1521&gt;=Assumptions!$B$5,1,IF(H1521&gt;=Assumptions!$B$6,2,IF(H1521&gt;=Assumptions!$B$7,3,""))))</f>
        <v/>
      </c>
      <c r="O1521" s="9" t="n">
        <f aca="false">IF(N1521=1,Assumptions!$B$8,IF(N1521=2,Assumptions!$B$9,IF(N1521=3,Assumptions!$B$10,0)))</f>
        <v>0</v>
      </c>
      <c r="P1521" s="6" t="s">
        <v>30</v>
      </c>
      <c r="Q1521" s="6" t="s">
        <v>30</v>
      </c>
      <c r="R1521" s="11" t="s">
        <v>30</v>
      </c>
      <c r="S1521" s="6" t="s">
        <v>30</v>
      </c>
      <c r="T1521" s="11" t="s">
        <v>30</v>
      </c>
      <c r="U1521" s="6" t="s">
        <v>30</v>
      </c>
      <c r="V1521" s="6" t="s">
        <v>30</v>
      </c>
      <c r="W1521" s="6" t="s">
        <v>30</v>
      </c>
      <c r="X1521" s="2" t="s">
        <v>30</v>
      </c>
      <c r="Y1521" s="6" t="str">
        <f aca="false">IF(AND(X1521="processed",ISNUMBER(S1521)),S1521*O1521,"")</f>
        <v/>
      </c>
      <c r="Z1521" s="6" t="n">
        <f aca="false">IF(ISNUMBER(K1521),K1521*O1521,0)</f>
        <v>0</v>
      </c>
      <c r="AA1521" s="2" t="s">
        <v>31</v>
      </c>
      <c r="AB1521" s="6" t="n">
        <v>308</v>
      </c>
      <c r="AC1521" s="6" t="n">
        <v>255</v>
      </c>
      <c r="AD1521" s="6" t="n">
        <v>261</v>
      </c>
      <c r="AE1521" s="6" t="n">
        <v>1379.85034179688</v>
      </c>
      <c r="AF1521" s="8" t="n">
        <v>476.575121163</v>
      </c>
      <c r="AG1521" s="11"/>
      <c r="AH1521" s="12" t="n">
        <v>0.962068536460661</v>
      </c>
      <c r="AI1521" s="2" t="s">
        <v>1597</v>
      </c>
      <c r="AJ1521" s="2"/>
      <c r="AK1521" s="2" t="s">
        <v>3350</v>
      </c>
    </row>
    <row r="1522" customFormat="false" ht="15" hidden="false" customHeight="false" outlineLevel="0" collapsed="false">
      <c r="A1522" s="9"/>
      <c r="B1522" s="2" t="s">
        <v>3351</v>
      </c>
      <c r="C1522" s="2" t="s">
        <v>3352</v>
      </c>
      <c r="D1522" s="2" t="s">
        <v>1595</v>
      </c>
      <c r="E1522" s="2" t="s">
        <v>51</v>
      </c>
      <c r="F1522" s="2" t="s">
        <v>3353</v>
      </c>
      <c r="G1522" s="2" t="s">
        <v>1596</v>
      </c>
      <c r="H1522" s="8" t="n">
        <v>226.953707106934</v>
      </c>
      <c r="I1522" s="2" t="s">
        <v>316</v>
      </c>
      <c r="J1522" s="8" t="n">
        <v>338056.557377049</v>
      </c>
      <c r="K1522" s="6" t="n">
        <v>122</v>
      </c>
      <c r="L1522" s="2"/>
      <c r="M1522" s="10" t="b">
        <f aca="false">TRUE()</f>
        <v>1</v>
      </c>
      <c r="N1522" s="9" t="str">
        <f aca="false">IF(H1522="","",IF(H1522&gt;=Assumptions!$B$5,1,IF(H1522&gt;=Assumptions!$B$6,2,IF(H1522&gt;=Assumptions!$B$7,3,""))))</f>
        <v/>
      </c>
      <c r="O1522" s="9" t="n">
        <f aca="false">IF(N1522=1,Assumptions!$B$8,IF(N1522=2,Assumptions!$B$9,IF(N1522=3,Assumptions!$B$10,0)))</f>
        <v>0</v>
      </c>
      <c r="P1522" s="6" t="s">
        <v>30</v>
      </c>
      <c r="Q1522" s="6" t="s">
        <v>30</v>
      </c>
      <c r="R1522" s="11" t="s">
        <v>30</v>
      </c>
      <c r="S1522" s="6" t="s">
        <v>30</v>
      </c>
      <c r="T1522" s="11" t="s">
        <v>30</v>
      </c>
      <c r="U1522" s="6" t="s">
        <v>30</v>
      </c>
      <c r="V1522" s="6" t="s">
        <v>30</v>
      </c>
      <c r="W1522" s="6" t="s">
        <v>30</v>
      </c>
      <c r="X1522" s="2" t="s">
        <v>30</v>
      </c>
      <c r="Y1522" s="6" t="str">
        <f aca="false">IF(AND(X1522="processed",ISNUMBER(S1522)),S1522*O1522,"")</f>
        <v/>
      </c>
      <c r="Z1522" s="6" t="n">
        <f aca="false">IF(ISNUMBER(K1522),K1522*O1522,0)</f>
        <v>0</v>
      </c>
      <c r="AA1522" s="2" t="s">
        <v>31</v>
      </c>
      <c r="AB1522" s="6" t="n">
        <v>9379</v>
      </c>
      <c r="AC1522" s="6" t="n">
        <v>7837</v>
      </c>
      <c r="AD1522" s="6" t="n">
        <v>5833</v>
      </c>
      <c r="AE1522" s="6" t="n">
        <v>1725.16186523438</v>
      </c>
      <c r="AF1522" s="8" t="n">
        <v>225.717439294</v>
      </c>
      <c r="AG1522" s="11" t="n">
        <v>-0.004021799117</v>
      </c>
      <c r="AH1522" s="12" t="n">
        <v>1</v>
      </c>
      <c r="AI1522" s="2" t="s">
        <v>319</v>
      </c>
      <c r="AJ1522" s="2"/>
      <c r="AK1522" s="2" t="s">
        <v>3352</v>
      </c>
    </row>
    <row r="1523" customFormat="false" ht="15" hidden="false" customHeight="false" outlineLevel="0" collapsed="false">
      <c r="A1523" s="9"/>
      <c r="B1523" s="2" t="s">
        <v>3354</v>
      </c>
      <c r="C1523" s="2" t="s">
        <v>1472</v>
      </c>
      <c r="D1523" s="2" t="s">
        <v>190</v>
      </c>
      <c r="E1523" s="2" t="s">
        <v>51</v>
      </c>
      <c r="F1523" s="2"/>
      <c r="G1523" s="2" t="s">
        <v>336</v>
      </c>
      <c r="H1523" s="8" t="n">
        <v>465.777088990974</v>
      </c>
      <c r="I1523" s="2" t="s">
        <v>316</v>
      </c>
      <c r="J1523" s="8" t="n">
        <v>847668.367346939</v>
      </c>
      <c r="K1523" s="6" t="n">
        <v>196</v>
      </c>
      <c r="L1523" s="2"/>
      <c r="M1523" s="10" t="b">
        <f aca="false">TRUE()</f>
        <v>1</v>
      </c>
      <c r="N1523" s="9" t="str">
        <f aca="false">IF(H1523="","",IF(H1523&gt;=Assumptions!$B$5,1,IF(H1523&gt;=Assumptions!$B$6,2,IF(H1523&gt;=Assumptions!$B$7,3,""))))</f>
        <v/>
      </c>
      <c r="O1523" s="9" t="n">
        <f aca="false">IF(N1523=1,Assumptions!$B$8,IF(N1523=2,Assumptions!$B$9,IF(N1523=3,Assumptions!$B$10,0)))</f>
        <v>0</v>
      </c>
      <c r="P1523" s="6" t="s">
        <v>30</v>
      </c>
      <c r="Q1523" s="6" t="s">
        <v>30</v>
      </c>
      <c r="R1523" s="11" t="s">
        <v>30</v>
      </c>
      <c r="S1523" s="6" t="s">
        <v>30</v>
      </c>
      <c r="T1523" s="11" t="s">
        <v>30</v>
      </c>
      <c r="U1523" s="6" t="s">
        <v>30</v>
      </c>
      <c r="V1523" s="6" t="s">
        <v>30</v>
      </c>
      <c r="W1523" s="6" t="s">
        <v>30</v>
      </c>
      <c r="X1523" s="2" t="s">
        <v>30</v>
      </c>
      <c r="Y1523" s="6" t="str">
        <f aca="false">IF(AND(X1523="processed",ISNUMBER(S1523)),S1523*O1523,"")</f>
        <v/>
      </c>
      <c r="Z1523" s="6" t="n">
        <f aca="false">IF(ISNUMBER(K1523),K1523*O1523,0)</f>
        <v>0</v>
      </c>
      <c r="AA1523" s="2" t="s">
        <v>31</v>
      </c>
      <c r="AB1523" s="6" t="n">
        <v>13011</v>
      </c>
      <c r="AC1523" s="6" t="n">
        <v>10318</v>
      </c>
      <c r="AD1523" s="6" t="n">
        <v>394</v>
      </c>
      <c r="AE1523" s="6" t="n">
        <v>2152.44970703125</v>
      </c>
      <c r="AF1523" s="8" t="n">
        <v>467.073515387</v>
      </c>
      <c r="AG1523" s="11" t="n">
        <v>-0.0378285583</v>
      </c>
      <c r="AH1523" s="12" t="n">
        <v>0.999999999999998</v>
      </c>
      <c r="AI1523" s="2" t="s">
        <v>317</v>
      </c>
      <c r="AJ1523" s="2" t="s">
        <v>1472</v>
      </c>
      <c r="AK1523" s="2" t="s">
        <v>1472</v>
      </c>
    </row>
    <row r="1524" customFormat="false" ht="15" hidden="false" customHeight="false" outlineLevel="0" collapsed="false">
      <c r="A1524" s="9"/>
      <c r="B1524" s="2" t="s">
        <v>3355</v>
      </c>
      <c r="C1524" s="2" t="s">
        <v>3356</v>
      </c>
      <c r="D1524" s="2" t="s">
        <v>3278</v>
      </c>
      <c r="E1524" s="2" t="s">
        <v>51</v>
      </c>
      <c r="F1524" s="2"/>
      <c r="G1524" s="2" t="s">
        <v>3280</v>
      </c>
      <c r="H1524" s="8" t="n">
        <v>153.75</v>
      </c>
      <c r="I1524" s="2" t="s">
        <v>316</v>
      </c>
      <c r="J1524" s="8" t="n">
        <v>615000</v>
      </c>
      <c r="K1524" s="6" t="n">
        <v>1</v>
      </c>
      <c r="L1524" s="2" t="s">
        <v>1664</v>
      </c>
      <c r="M1524" s="10" t="b">
        <f aca="false">TRUE()</f>
        <v>1</v>
      </c>
      <c r="N1524" s="9" t="str">
        <f aca="false">IF(H1524="","",IF(H1524&gt;=Assumptions!$B$5,1,IF(H1524&gt;=Assumptions!$B$6,2,IF(H1524&gt;=Assumptions!$B$7,3,""))))</f>
        <v/>
      </c>
      <c r="O1524" s="9" t="n">
        <f aca="false">IF(N1524=1,Assumptions!$B$8,IF(N1524=2,Assumptions!$B$9,IF(N1524=3,Assumptions!$B$10,0)))</f>
        <v>0</v>
      </c>
      <c r="P1524" s="6" t="s">
        <v>30</v>
      </c>
      <c r="Q1524" s="6" t="s">
        <v>30</v>
      </c>
      <c r="R1524" s="11" t="s">
        <v>30</v>
      </c>
      <c r="S1524" s="6" t="s">
        <v>30</v>
      </c>
      <c r="T1524" s="11" t="s">
        <v>30</v>
      </c>
      <c r="U1524" s="6" t="s">
        <v>30</v>
      </c>
      <c r="V1524" s="6" t="s">
        <v>30</v>
      </c>
      <c r="W1524" s="6" t="s">
        <v>30</v>
      </c>
      <c r="X1524" s="2" t="s">
        <v>30</v>
      </c>
      <c r="Y1524" s="6" t="str">
        <f aca="false">IF(AND(X1524="processed",ISNUMBER(S1524)),S1524*O1524,"")</f>
        <v/>
      </c>
      <c r="Z1524" s="6" t="n">
        <f aca="false">IF(ISNUMBER(K1524),K1524*O1524,0)</f>
        <v>0</v>
      </c>
      <c r="AA1524" s="2" t="s">
        <v>31</v>
      </c>
      <c r="AB1524" s="6" t="n">
        <v>313</v>
      </c>
      <c r="AC1524" s="6" t="n">
        <v>260</v>
      </c>
      <c r="AD1524" s="6" t="n">
        <v>310</v>
      </c>
      <c r="AE1524" s="6" t="n">
        <v>1737.8955078125</v>
      </c>
      <c r="AF1524" s="8" t="n">
        <v>153.75</v>
      </c>
      <c r="AG1524" s="11"/>
      <c r="AH1524" s="12" t="n">
        <v>0.999999999999999</v>
      </c>
      <c r="AI1524" s="2" t="s">
        <v>317</v>
      </c>
      <c r="AJ1524" s="2" t="s">
        <v>3356</v>
      </c>
      <c r="AK1524" s="2" t="s">
        <v>3357</v>
      </c>
    </row>
    <row r="1525" customFormat="false" ht="15" hidden="false" customHeight="false" outlineLevel="0" collapsed="false">
      <c r="A1525" s="9"/>
      <c r="B1525" s="2" t="s">
        <v>3358</v>
      </c>
      <c r="C1525" s="2" t="s">
        <v>3271</v>
      </c>
      <c r="D1525" s="2" t="s">
        <v>1595</v>
      </c>
      <c r="E1525" s="2" t="s">
        <v>51</v>
      </c>
      <c r="F1525" s="2"/>
      <c r="G1525" s="2" t="s">
        <v>1596</v>
      </c>
      <c r="H1525" s="8" t="n">
        <v>146.654445463</v>
      </c>
      <c r="I1525" s="2" t="s">
        <v>316</v>
      </c>
      <c r="J1525" s="8" t="n">
        <v>320000</v>
      </c>
      <c r="K1525" s="6" t="n">
        <v>1</v>
      </c>
      <c r="L1525" s="2" t="s">
        <v>1664</v>
      </c>
      <c r="M1525" s="10" t="b">
        <f aca="false">TRUE()</f>
        <v>1</v>
      </c>
      <c r="N1525" s="9" t="str">
        <f aca="false">IF(H1525="","",IF(H1525&gt;=Assumptions!$B$5,1,IF(H1525&gt;=Assumptions!$B$6,2,IF(H1525&gt;=Assumptions!$B$7,3,""))))</f>
        <v/>
      </c>
      <c r="O1525" s="9" t="n">
        <f aca="false">IF(N1525=1,Assumptions!$B$8,IF(N1525=2,Assumptions!$B$9,IF(N1525=3,Assumptions!$B$10,0)))</f>
        <v>0</v>
      </c>
      <c r="P1525" s="6" t="s">
        <v>30</v>
      </c>
      <c r="Q1525" s="6" t="s">
        <v>30</v>
      </c>
      <c r="R1525" s="11" t="s">
        <v>30</v>
      </c>
      <c r="S1525" s="6" t="s">
        <v>30</v>
      </c>
      <c r="T1525" s="11" t="s">
        <v>30</v>
      </c>
      <c r="U1525" s="6" t="s">
        <v>30</v>
      </c>
      <c r="V1525" s="6" t="s">
        <v>30</v>
      </c>
      <c r="W1525" s="6" t="s">
        <v>30</v>
      </c>
      <c r="X1525" s="2" t="s">
        <v>30</v>
      </c>
      <c r="Y1525" s="6" t="str">
        <f aca="false">IF(AND(X1525="processed",ISNUMBER(S1525)),S1525*O1525,"")</f>
        <v/>
      </c>
      <c r="Z1525" s="6" t="n">
        <f aca="false">IF(ISNUMBER(K1525),K1525*O1525,0)</f>
        <v>0</v>
      </c>
      <c r="AA1525" s="2" t="s">
        <v>31</v>
      </c>
      <c r="AB1525" s="6" t="n">
        <v>317</v>
      </c>
      <c r="AC1525" s="6" t="n">
        <v>269</v>
      </c>
      <c r="AD1525" s="6" t="n">
        <v>256</v>
      </c>
      <c r="AE1525" s="6" t="n">
        <v>1646.24255371094</v>
      </c>
      <c r="AF1525" s="8" t="n">
        <v>146.654445463</v>
      </c>
      <c r="AG1525" s="11"/>
      <c r="AH1525" s="12" t="n">
        <v>0.999411274642849</v>
      </c>
      <c r="AI1525" s="2" t="s">
        <v>319</v>
      </c>
      <c r="AJ1525" s="2"/>
      <c r="AK1525" s="2" t="s">
        <v>3271</v>
      </c>
    </row>
    <row r="1526" customFormat="false" ht="15" hidden="false" customHeight="false" outlineLevel="0" collapsed="false">
      <c r="A1526" s="9"/>
      <c r="B1526" s="2" t="s">
        <v>3359</v>
      </c>
      <c r="C1526" s="2" t="s">
        <v>3360</v>
      </c>
      <c r="D1526" s="2" t="s">
        <v>1740</v>
      </c>
      <c r="E1526" s="2" t="s">
        <v>51</v>
      </c>
      <c r="F1526" s="2" t="s">
        <v>3361</v>
      </c>
      <c r="G1526" s="2" t="s">
        <v>1741</v>
      </c>
      <c r="H1526" s="8" t="n">
        <v>288.578795963089</v>
      </c>
      <c r="I1526" s="2" t="s">
        <v>316</v>
      </c>
      <c r="J1526" s="8" t="n">
        <v>387189.873417722</v>
      </c>
      <c r="K1526" s="6" t="n">
        <v>158</v>
      </c>
      <c r="L1526" s="2"/>
      <c r="M1526" s="10" t="b">
        <f aca="false">TRUE()</f>
        <v>1</v>
      </c>
      <c r="N1526" s="9" t="str">
        <f aca="false">IF(H1526="","",IF(H1526&gt;=Assumptions!$B$5,1,IF(H1526&gt;=Assumptions!$B$6,2,IF(H1526&gt;=Assumptions!$B$7,3,""))))</f>
        <v/>
      </c>
      <c r="O1526" s="9" t="n">
        <f aca="false">IF(N1526=1,Assumptions!$B$8,IF(N1526=2,Assumptions!$B$9,IF(N1526=3,Assumptions!$B$10,0)))</f>
        <v>0</v>
      </c>
      <c r="P1526" s="6" t="s">
        <v>30</v>
      </c>
      <c r="Q1526" s="6" t="s">
        <v>30</v>
      </c>
      <c r="R1526" s="11" t="s">
        <v>30</v>
      </c>
      <c r="S1526" s="6" t="s">
        <v>30</v>
      </c>
      <c r="T1526" s="11" t="s">
        <v>30</v>
      </c>
      <c r="U1526" s="6" t="s">
        <v>30</v>
      </c>
      <c r="V1526" s="6" t="s">
        <v>30</v>
      </c>
      <c r="W1526" s="6" t="s">
        <v>30</v>
      </c>
      <c r="X1526" s="2" t="s">
        <v>30</v>
      </c>
      <c r="Y1526" s="6" t="str">
        <f aca="false">IF(AND(X1526="processed",ISNUMBER(S1526)),S1526*O1526,"")</f>
        <v/>
      </c>
      <c r="Z1526" s="6" t="n">
        <f aca="false">IF(ISNUMBER(K1526),K1526*O1526,0)</f>
        <v>0</v>
      </c>
      <c r="AA1526" s="2" t="s">
        <v>31</v>
      </c>
      <c r="AB1526" s="6" t="n">
        <v>10614</v>
      </c>
      <c r="AC1526" s="6" t="n">
        <v>9019</v>
      </c>
      <c r="AD1526" s="6" t="n">
        <v>1460</v>
      </c>
      <c r="AE1526" s="6" t="n">
        <v>1809.41528320313</v>
      </c>
      <c r="AF1526" s="8" t="n">
        <v>273.666835345</v>
      </c>
      <c r="AG1526" s="11" t="n">
        <v>-0.08483374907</v>
      </c>
      <c r="AH1526" s="12" t="n">
        <v>0.816512289218982</v>
      </c>
      <c r="AI1526" s="2" t="s">
        <v>317</v>
      </c>
      <c r="AJ1526" s="2" t="s">
        <v>3360</v>
      </c>
      <c r="AK1526" s="2" t="s">
        <v>3360</v>
      </c>
    </row>
    <row r="1527" customFormat="false" ht="15" hidden="false" customHeight="false" outlineLevel="0" collapsed="false">
      <c r="A1527" s="9"/>
      <c r="B1527" s="2" t="s">
        <v>3362</v>
      </c>
      <c r="C1527" s="2" t="s">
        <v>3360</v>
      </c>
      <c r="D1527" s="2" t="s">
        <v>1740</v>
      </c>
      <c r="E1527" s="2" t="s">
        <v>51</v>
      </c>
      <c r="F1527" s="2" t="s">
        <v>3363</v>
      </c>
      <c r="G1527" s="2" t="s">
        <v>1741</v>
      </c>
      <c r="H1527" s="8" t="n">
        <v>298.187977482972</v>
      </c>
      <c r="I1527" s="2" t="s">
        <v>316</v>
      </c>
      <c r="J1527" s="8" t="n">
        <v>428134.53815261</v>
      </c>
      <c r="K1527" s="6" t="n">
        <v>249</v>
      </c>
      <c r="L1527" s="2"/>
      <c r="M1527" s="10" t="b">
        <f aca="false">TRUE()</f>
        <v>1</v>
      </c>
      <c r="N1527" s="9" t="str">
        <f aca="false">IF(H1527="","",IF(H1527&gt;=Assumptions!$B$5,1,IF(H1527&gt;=Assumptions!$B$6,2,IF(H1527&gt;=Assumptions!$B$7,3,""))))</f>
        <v/>
      </c>
      <c r="O1527" s="9" t="n">
        <f aca="false">IF(N1527=1,Assumptions!$B$8,IF(N1527=2,Assumptions!$B$9,IF(N1527=3,Assumptions!$B$10,0)))</f>
        <v>0</v>
      </c>
      <c r="P1527" s="6" t="s">
        <v>30</v>
      </c>
      <c r="Q1527" s="6" t="s">
        <v>30</v>
      </c>
      <c r="R1527" s="11" t="s">
        <v>30</v>
      </c>
      <c r="S1527" s="6" t="s">
        <v>30</v>
      </c>
      <c r="T1527" s="11" t="s">
        <v>30</v>
      </c>
      <c r="U1527" s="6" t="s">
        <v>30</v>
      </c>
      <c r="V1527" s="6" t="s">
        <v>30</v>
      </c>
      <c r="W1527" s="6" t="s">
        <v>30</v>
      </c>
      <c r="X1527" s="2" t="s">
        <v>30</v>
      </c>
      <c r="Y1527" s="6" t="str">
        <f aca="false">IF(AND(X1527="processed",ISNUMBER(S1527)),S1527*O1527,"")</f>
        <v/>
      </c>
      <c r="Z1527" s="6" t="n">
        <f aca="false">IF(ISNUMBER(K1527),K1527*O1527,0)</f>
        <v>0</v>
      </c>
      <c r="AA1527" s="2" t="s">
        <v>31</v>
      </c>
      <c r="AB1527" s="6" t="n">
        <v>12026</v>
      </c>
      <c r="AC1527" s="6" t="n">
        <v>10920</v>
      </c>
      <c r="AD1527" s="6" t="n">
        <v>8560</v>
      </c>
      <c r="AE1527" s="6" t="n">
        <v>1933.68017578125</v>
      </c>
      <c r="AF1527" s="8" t="n">
        <v>282.167042889</v>
      </c>
      <c r="AG1527" s="11" t="n">
        <v>-0.1033567981</v>
      </c>
      <c r="AH1527" s="12" t="n">
        <v>0.967270861987757</v>
      </c>
      <c r="AI1527" s="2" t="s">
        <v>342</v>
      </c>
      <c r="AJ1527" s="2" t="s">
        <v>3360</v>
      </c>
      <c r="AK1527" s="2" t="s">
        <v>3360</v>
      </c>
    </row>
    <row r="1528" customFormat="false" ht="15" hidden="false" customHeight="false" outlineLevel="0" collapsed="false">
      <c r="A1528" s="9"/>
      <c r="B1528" s="2" t="s">
        <v>3364</v>
      </c>
      <c r="C1528" s="2" t="s">
        <v>3365</v>
      </c>
      <c r="D1528" s="2" t="s">
        <v>1740</v>
      </c>
      <c r="E1528" s="2" t="s">
        <v>51</v>
      </c>
      <c r="F1528" s="2"/>
      <c r="G1528" s="2" t="s">
        <v>1741</v>
      </c>
      <c r="H1528" s="8" t="n">
        <v>53.108878968</v>
      </c>
      <c r="I1528" s="2" t="s">
        <v>316</v>
      </c>
      <c r="J1528" s="8" t="n">
        <v>86250</v>
      </c>
      <c r="K1528" s="6" t="n">
        <v>4</v>
      </c>
      <c r="L1528" s="2" t="s">
        <v>1664</v>
      </c>
      <c r="M1528" s="10" t="b">
        <f aca="false">TRUE()</f>
        <v>1</v>
      </c>
      <c r="N1528" s="9" t="str">
        <f aca="false">IF(H1528="","",IF(H1528&gt;=Assumptions!$B$5,1,IF(H1528&gt;=Assumptions!$B$6,2,IF(H1528&gt;=Assumptions!$B$7,3,""))))</f>
        <v/>
      </c>
      <c r="O1528" s="9" t="n">
        <f aca="false">IF(N1528=1,Assumptions!$B$8,IF(N1528=2,Assumptions!$B$9,IF(N1528=3,Assumptions!$B$10,0)))</f>
        <v>0</v>
      </c>
      <c r="P1528" s="6" t="s">
        <v>30</v>
      </c>
      <c r="Q1528" s="6" t="s">
        <v>30</v>
      </c>
      <c r="R1528" s="11" t="s">
        <v>30</v>
      </c>
      <c r="S1528" s="6" t="s">
        <v>30</v>
      </c>
      <c r="T1528" s="11" t="s">
        <v>30</v>
      </c>
      <c r="U1528" s="6" t="s">
        <v>30</v>
      </c>
      <c r="V1528" s="6" t="s">
        <v>30</v>
      </c>
      <c r="W1528" s="6" t="s">
        <v>30</v>
      </c>
      <c r="X1528" s="2" t="s">
        <v>30</v>
      </c>
      <c r="Y1528" s="6" t="str">
        <f aca="false">IF(AND(X1528="processed",ISNUMBER(S1528)),S1528*O1528,"")</f>
        <v/>
      </c>
      <c r="Z1528" s="6" t="n">
        <f aca="false">IF(ISNUMBER(K1528),K1528*O1528,0)</f>
        <v>0</v>
      </c>
      <c r="AA1528" s="2" t="s">
        <v>31</v>
      </c>
      <c r="AB1528" s="6" t="n">
        <v>498</v>
      </c>
      <c r="AC1528" s="6" t="n">
        <v>387</v>
      </c>
      <c r="AD1528" s="6" t="n">
        <v>220</v>
      </c>
      <c r="AE1528" s="6" t="n">
        <v>1604.59167480469</v>
      </c>
      <c r="AF1528" s="8" t="n">
        <v>31.964285714</v>
      </c>
      <c r="AG1528" s="11" t="n">
        <v>-0.5738095238</v>
      </c>
      <c r="AH1528" s="12" t="n">
        <v>0.999570992064468</v>
      </c>
      <c r="AI1528" s="2" t="s">
        <v>1597</v>
      </c>
      <c r="AJ1528" s="2"/>
      <c r="AK1528" s="2" t="s">
        <v>3365</v>
      </c>
    </row>
    <row r="1529" customFormat="false" ht="15" hidden="false" customHeight="false" outlineLevel="0" collapsed="false">
      <c r="A1529" s="9"/>
      <c r="B1529" s="2" t="s">
        <v>3366</v>
      </c>
      <c r="C1529" s="2" t="s">
        <v>3367</v>
      </c>
      <c r="D1529" s="2" t="s">
        <v>1740</v>
      </c>
      <c r="E1529" s="2" t="s">
        <v>51</v>
      </c>
      <c r="F1529" s="2"/>
      <c r="G1529" s="2" t="s">
        <v>1741</v>
      </c>
      <c r="H1529" s="8" t="n">
        <v>63.428571429</v>
      </c>
      <c r="I1529" s="2" t="s">
        <v>316</v>
      </c>
      <c r="J1529" s="8" t="n">
        <v>135000</v>
      </c>
      <c r="K1529" s="6" t="n">
        <v>2</v>
      </c>
      <c r="L1529" s="2" t="s">
        <v>1664</v>
      </c>
      <c r="M1529" s="10" t="b">
        <f aca="false">TRUE()</f>
        <v>1</v>
      </c>
      <c r="N1529" s="9" t="str">
        <f aca="false">IF(H1529="","",IF(H1529&gt;=Assumptions!$B$5,1,IF(H1529&gt;=Assumptions!$B$6,2,IF(H1529&gt;=Assumptions!$B$7,3,""))))</f>
        <v/>
      </c>
      <c r="O1529" s="9" t="n">
        <f aca="false">IF(N1529=1,Assumptions!$B$8,IF(N1529=2,Assumptions!$B$9,IF(N1529=3,Assumptions!$B$10,0)))</f>
        <v>0</v>
      </c>
      <c r="P1529" s="6" t="s">
        <v>30</v>
      </c>
      <c r="Q1529" s="6" t="s">
        <v>30</v>
      </c>
      <c r="R1529" s="11" t="s">
        <v>30</v>
      </c>
      <c r="S1529" s="6" t="s">
        <v>30</v>
      </c>
      <c r="T1529" s="11" t="s">
        <v>30</v>
      </c>
      <c r="U1529" s="6" t="s">
        <v>30</v>
      </c>
      <c r="V1529" s="6" t="s">
        <v>30</v>
      </c>
      <c r="W1529" s="6" t="s">
        <v>30</v>
      </c>
      <c r="X1529" s="2" t="s">
        <v>30</v>
      </c>
      <c r="Y1529" s="6" t="str">
        <f aca="false">IF(AND(X1529="processed",ISNUMBER(S1529)),S1529*O1529,"")</f>
        <v/>
      </c>
      <c r="Z1529" s="6" t="n">
        <f aca="false">IF(ISNUMBER(K1529),K1529*O1529,0)</f>
        <v>0</v>
      </c>
      <c r="AA1529" s="2" t="s">
        <v>31</v>
      </c>
      <c r="AB1529" s="6" t="n">
        <v>428</v>
      </c>
      <c r="AC1529" s="6" t="n">
        <v>354</v>
      </c>
      <c r="AD1529" s="6" t="n">
        <v>258</v>
      </c>
      <c r="AE1529" s="6" t="n">
        <v>1646.72021484375</v>
      </c>
      <c r="AF1529" s="8" t="n">
        <v>63.428571429</v>
      </c>
      <c r="AG1529" s="11"/>
      <c r="AH1529" s="12" t="n">
        <v>0.999999999999999</v>
      </c>
      <c r="AI1529" s="2" t="s">
        <v>2197</v>
      </c>
      <c r="AJ1529" s="2" t="s">
        <v>3367</v>
      </c>
      <c r="AK1529" s="2" t="s">
        <v>3367</v>
      </c>
    </row>
    <row r="1530" customFormat="false" ht="15" hidden="false" customHeight="false" outlineLevel="0" collapsed="false">
      <c r="A1530" s="9"/>
      <c r="B1530" s="2" t="s">
        <v>3368</v>
      </c>
      <c r="C1530" s="2" t="s">
        <v>3369</v>
      </c>
      <c r="D1530" s="2" t="s">
        <v>1740</v>
      </c>
      <c r="E1530" s="2" t="s">
        <v>51</v>
      </c>
      <c r="F1530" s="2"/>
      <c r="G1530" s="2" t="s">
        <v>1741</v>
      </c>
      <c r="H1530" s="8" t="n">
        <v>319.948241030659</v>
      </c>
      <c r="I1530" s="2" t="s">
        <v>316</v>
      </c>
      <c r="J1530" s="8" t="n">
        <v>456851.648351648</v>
      </c>
      <c r="K1530" s="6" t="n">
        <v>182</v>
      </c>
      <c r="L1530" s="2"/>
      <c r="M1530" s="10" t="b">
        <f aca="false">TRUE()</f>
        <v>1</v>
      </c>
      <c r="N1530" s="9" t="str">
        <f aca="false">IF(H1530="","",IF(H1530&gt;=Assumptions!$B$5,1,IF(H1530&gt;=Assumptions!$B$6,2,IF(H1530&gt;=Assumptions!$B$7,3,""))))</f>
        <v/>
      </c>
      <c r="O1530" s="9" t="n">
        <f aca="false">IF(N1530=1,Assumptions!$B$8,IF(N1530=2,Assumptions!$B$9,IF(N1530=3,Assumptions!$B$10,0)))</f>
        <v>0</v>
      </c>
      <c r="P1530" s="6" t="s">
        <v>30</v>
      </c>
      <c r="Q1530" s="6" t="s">
        <v>30</v>
      </c>
      <c r="R1530" s="11" t="s">
        <v>30</v>
      </c>
      <c r="S1530" s="6" t="s">
        <v>30</v>
      </c>
      <c r="T1530" s="11" t="s">
        <v>30</v>
      </c>
      <c r="U1530" s="6" t="s">
        <v>30</v>
      </c>
      <c r="V1530" s="6" t="s">
        <v>30</v>
      </c>
      <c r="W1530" s="6" t="s">
        <v>30</v>
      </c>
      <c r="X1530" s="2" t="s">
        <v>30</v>
      </c>
      <c r="Y1530" s="6" t="str">
        <f aca="false">IF(AND(X1530="processed",ISNUMBER(S1530)),S1530*O1530,"")</f>
        <v/>
      </c>
      <c r="Z1530" s="6" t="n">
        <f aca="false">IF(ISNUMBER(K1530),K1530*O1530,0)</f>
        <v>0</v>
      </c>
      <c r="AA1530" s="2" t="s">
        <v>31</v>
      </c>
      <c r="AB1530" s="6" t="n">
        <v>9600</v>
      </c>
      <c r="AC1530" s="6" t="n">
        <v>8471</v>
      </c>
      <c r="AD1530" s="6" t="n">
        <v>1970</v>
      </c>
      <c r="AE1530" s="6" t="n">
        <v>2096.94799804688</v>
      </c>
      <c r="AF1530" s="8" t="n">
        <v>319.435420916</v>
      </c>
      <c r="AG1530" s="11" t="n">
        <v>-0.08509382398</v>
      </c>
      <c r="AH1530" s="12" t="n">
        <v>0.98844983495088</v>
      </c>
      <c r="AI1530" s="2" t="s">
        <v>665</v>
      </c>
      <c r="AJ1530" s="2" t="s">
        <v>3369</v>
      </c>
      <c r="AK1530" s="2" t="s">
        <v>3370</v>
      </c>
    </row>
    <row r="1531" customFormat="false" ht="15" hidden="false" customHeight="false" outlineLevel="0" collapsed="false">
      <c r="A1531" s="9"/>
      <c r="B1531" s="2" t="s">
        <v>3371</v>
      </c>
      <c r="C1531" s="2" t="s">
        <v>3370</v>
      </c>
      <c r="D1531" s="2" t="s">
        <v>1740</v>
      </c>
      <c r="E1531" s="2" t="s">
        <v>51</v>
      </c>
      <c r="F1531" s="2"/>
      <c r="G1531" s="2" t="s">
        <v>1741</v>
      </c>
      <c r="H1531" s="8" t="n">
        <v>357.448920290604</v>
      </c>
      <c r="I1531" s="2" t="s">
        <v>316</v>
      </c>
      <c r="J1531" s="8" t="n">
        <v>445642.24137931</v>
      </c>
      <c r="K1531" s="6" t="n">
        <v>116</v>
      </c>
      <c r="L1531" s="2"/>
      <c r="M1531" s="10" t="b">
        <f aca="false">TRUE()</f>
        <v>1</v>
      </c>
      <c r="N1531" s="9" t="str">
        <f aca="false">IF(H1531="","",IF(H1531&gt;=Assumptions!$B$5,1,IF(H1531&gt;=Assumptions!$B$6,2,IF(H1531&gt;=Assumptions!$B$7,3,""))))</f>
        <v/>
      </c>
      <c r="O1531" s="9" t="n">
        <f aca="false">IF(N1531=1,Assumptions!$B$8,IF(N1531=2,Assumptions!$B$9,IF(N1531=3,Assumptions!$B$10,0)))</f>
        <v>0</v>
      </c>
      <c r="P1531" s="6" t="s">
        <v>30</v>
      </c>
      <c r="Q1531" s="6" t="s">
        <v>30</v>
      </c>
      <c r="R1531" s="11" t="s">
        <v>30</v>
      </c>
      <c r="S1531" s="6" t="s">
        <v>30</v>
      </c>
      <c r="T1531" s="11" t="s">
        <v>30</v>
      </c>
      <c r="U1531" s="6" t="s">
        <v>30</v>
      </c>
      <c r="V1531" s="6" t="s">
        <v>30</v>
      </c>
      <c r="W1531" s="6" t="s">
        <v>30</v>
      </c>
      <c r="X1531" s="2" t="s">
        <v>30</v>
      </c>
      <c r="Y1531" s="6" t="str">
        <f aca="false">IF(AND(X1531="processed",ISNUMBER(S1531)),S1531*O1531,"")</f>
        <v/>
      </c>
      <c r="Z1531" s="6" t="n">
        <f aca="false">IF(ISNUMBER(K1531),K1531*O1531,0)</f>
        <v>0</v>
      </c>
      <c r="AA1531" s="2" t="s">
        <v>31</v>
      </c>
      <c r="AB1531" s="6" t="n">
        <v>8241</v>
      </c>
      <c r="AC1531" s="6" t="n">
        <v>7135</v>
      </c>
      <c r="AD1531" s="6" t="n">
        <v>3259</v>
      </c>
      <c r="AE1531" s="6" t="n">
        <v>1907.40930175781</v>
      </c>
      <c r="AF1531" s="8" t="n">
        <v>380.909090909</v>
      </c>
      <c r="AG1531" s="11" t="n">
        <v>0.1223214286</v>
      </c>
      <c r="AH1531" s="12" t="n">
        <v>0.771581997615511</v>
      </c>
      <c r="AI1531" s="2" t="s">
        <v>342</v>
      </c>
      <c r="AJ1531" s="2" t="s">
        <v>3370</v>
      </c>
      <c r="AK1531" s="2" t="s">
        <v>3370</v>
      </c>
    </row>
    <row r="1532" customFormat="false" ht="15" hidden="false" customHeight="false" outlineLevel="0" collapsed="false">
      <c r="A1532" s="9"/>
      <c r="B1532" s="2" t="s">
        <v>3372</v>
      </c>
      <c r="C1532" s="2" t="s">
        <v>3373</v>
      </c>
      <c r="D1532" s="2" t="s">
        <v>1740</v>
      </c>
      <c r="E1532" s="2" t="s">
        <v>51</v>
      </c>
      <c r="F1532" s="2"/>
      <c r="G1532" s="2" t="s">
        <v>1741</v>
      </c>
      <c r="H1532" s="8" t="n">
        <v>407.71218502555</v>
      </c>
      <c r="I1532" s="2" t="s">
        <v>316</v>
      </c>
      <c r="J1532" s="8" t="n">
        <v>706550</v>
      </c>
      <c r="K1532" s="6" t="n">
        <v>20</v>
      </c>
      <c r="L1532" s="2"/>
      <c r="M1532" s="10" t="b">
        <f aca="false">TRUE()</f>
        <v>1</v>
      </c>
      <c r="N1532" s="9" t="str">
        <f aca="false">IF(H1532="","",IF(H1532&gt;=Assumptions!$B$5,1,IF(H1532&gt;=Assumptions!$B$6,2,IF(H1532&gt;=Assumptions!$B$7,3,""))))</f>
        <v/>
      </c>
      <c r="O1532" s="9" t="n">
        <f aca="false">IF(N1532=1,Assumptions!$B$8,IF(N1532=2,Assumptions!$B$9,IF(N1532=3,Assumptions!$B$10,0)))</f>
        <v>0</v>
      </c>
      <c r="P1532" s="6" t="s">
        <v>30</v>
      </c>
      <c r="Q1532" s="6" t="s">
        <v>30</v>
      </c>
      <c r="R1532" s="11" t="s">
        <v>30</v>
      </c>
      <c r="S1532" s="6" t="s">
        <v>30</v>
      </c>
      <c r="T1532" s="11" t="s">
        <v>30</v>
      </c>
      <c r="U1532" s="6" t="s">
        <v>30</v>
      </c>
      <c r="V1532" s="6" t="s">
        <v>30</v>
      </c>
      <c r="W1532" s="6" t="s">
        <v>30</v>
      </c>
      <c r="X1532" s="2" t="s">
        <v>30</v>
      </c>
      <c r="Y1532" s="6" t="str">
        <f aca="false">IF(AND(X1532="processed",ISNUMBER(S1532)),S1532*O1532,"")</f>
        <v/>
      </c>
      <c r="Z1532" s="6" t="n">
        <f aca="false">IF(ISNUMBER(K1532),K1532*O1532,0)</f>
        <v>0</v>
      </c>
      <c r="AA1532" s="2" t="s">
        <v>31</v>
      </c>
      <c r="AB1532" s="6" t="n">
        <v>1164</v>
      </c>
      <c r="AC1532" s="6" t="n">
        <v>973</v>
      </c>
      <c r="AD1532" s="6" t="n">
        <v>1027</v>
      </c>
      <c r="AE1532" s="6" t="n">
        <v>1970.91491699219</v>
      </c>
      <c r="AF1532" s="8" t="n">
        <v>327.134986226</v>
      </c>
      <c r="AG1532" s="11" t="n">
        <v>-0.2713498623</v>
      </c>
      <c r="AH1532" s="12" t="n">
        <v>1</v>
      </c>
      <c r="AI1532" s="2" t="s">
        <v>435</v>
      </c>
      <c r="AJ1532" s="2" t="s">
        <v>3373</v>
      </c>
      <c r="AK1532" s="2" t="s">
        <v>3370</v>
      </c>
    </row>
    <row r="1533" customFormat="false" ht="15" hidden="false" customHeight="false" outlineLevel="0" collapsed="false">
      <c r="A1533" s="9"/>
      <c r="B1533" s="2" t="s">
        <v>3374</v>
      </c>
      <c r="C1533" s="2" t="s">
        <v>3375</v>
      </c>
      <c r="D1533" s="2" t="s">
        <v>1740</v>
      </c>
      <c r="E1533" s="2" t="s">
        <v>51</v>
      </c>
      <c r="F1533" s="2"/>
      <c r="G1533" s="2" t="s">
        <v>1741</v>
      </c>
      <c r="H1533" s="8" t="n">
        <v>320.973750922</v>
      </c>
      <c r="I1533" s="2" t="s">
        <v>316</v>
      </c>
      <c r="J1533" s="8" t="n">
        <v>433305.555555556</v>
      </c>
      <c r="K1533" s="6" t="n">
        <v>18</v>
      </c>
      <c r="L1533" s="2"/>
      <c r="M1533" s="10" t="b">
        <f aca="false">TRUE()</f>
        <v>1</v>
      </c>
      <c r="N1533" s="9" t="str">
        <f aca="false">IF(H1533="","",IF(H1533&gt;=Assumptions!$B$5,1,IF(H1533&gt;=Assumptions!$B$6,2,IF(H1533&gt;=Assumptions!$B$7,3,""))))</f>
        <v/>
      </c>
      <c r="O1533" s="9" t="n">
        <f aca="false">IF(N1533=1,Assumptions!$B$8,IF(N1533=2,Assumptions!$B$9,IF(N1533=3,Assumptions!$B$10,0)))</f>
        <v>0</v>
      </c>
      <c r="P1533" s="6" t="s">
        <v>30</v>
      </c>
      <c r="Q1533" s="6" t="s">
        <v>30</v>
      </c>
      <c r="R1533" s="11" t="s">
        <v>30</v>
      </c>
      <c r="S1533" s="6" t="s">
        <v>30</v>
      </c>
      <c r="T1533" s="11" t="s">
        <v>30</v>
      </c>
      <c r="U1533" s="6" t="s">
        <v>30</v>
      </c>
      <c r="V1533" s="6" t="s">
        <v>30</v>
      </c>
      <c r="W1533" s="6" t="s">
        <v>30</v>
      </c>
      <c r="X1533" s="2" t="s">
        <v>30</v>
      </c>
      <c r="Y1533" s="6" t="str">
        <f aca="false">IF(AND(X1533="processed",ISNUMBER(S1533)),S1533*O1533,"")</f>
        <v/>
      </c>
      <c r="Z1533" s="6" t="n">
        <f aca="false">IF(ISNUMBER(K1533),K1533*O1533,0)</f>
        <v>0</v>
      </c>
      <c r="AA1533" s="2" t="s">
        <v>31</v>
      </c>
      <c r="AB1533" s="6" t="n">
        <v>1338</v>
      </c>
      <c r="AC1533" s="6" t="n">
        <v>1085</v>
      </c>
      <c r="AD1533" s="6" t="n">
        <v>996</v>
      </c>
      <c r="AE1533" s="6" t="n">
        <v>1671.60192871094</v>
      </c>
      <c r="AF1533" s="8" t="n">
        <v>334.918478261</v>
      </c>
      <c r="AG1533" s="11" t="n">
        <v>0.9596293941</v>
      </c>
      <c r="AH1533" s="12" t="n">
        <v>1</v>
      </c>
      <c r="AI1533" s="2" t="s">
        <v>1558</v>
      </c>
      <c r="AJ1533" s="2" t="s">
        <v>3375</v>
      </c>
      <c r="AK1533" s="2" t="s">
        <v>3375</v>
      </c>
    </row>
    <row r="1534" customFormat="false" ht="15" hidden="false" customHeight="false" outlineLevel="0" collapsed="false">
      <c r="A1534" s="9"/>
      <c r="B1534" s="2" t="s">
        <v>3376</v>
      </c>
      <c r="C1534" s="2" t="s">
        <v>3377</v>
      </c>
      <c r="D1534" s="2" t="s">
        <v>1740</v>
      </c>
      <c r="E1534" s="2" t="s">
        <v>51</v>
      </c>
      <c r="F1534" s="2"/>
      <c r="G1534" s="2" t="s">
        <v>1741</v>
      </c>
      <c r="H1534" s="8" t="n">
        <v>186.062082353083</v>
      </c>
      <c r="I1534" s="2" t="s">
        <v>316</v>
      </c>
      <c r="J1534" s="8" t="n">
        <v>242000</v>
      </c>
      <c r="K1534" s="6" t="n">
        <v>12</v>
      </c>
      <c r="L1534" s="2"/>
      <c r="M1534" s="10" t="b">
        <f aca="false">TRUE()</f>
        <v>1</v>
      </c>
      <c r="N1534" s="9" t="str">
        <f aca="false">IF(H1534="","",IF(H1534&gt;=Assumptions!$B$5,1,IF(H1534&gt;=Assumptions!$B$6,2,IF(H1534&gt;=Assumptions!$B$7,3,""))))</f>
        <v/>
      </c>
      <c r="O1534" s="9" t="n">
        <f aca="false">IF(N1534=1,Assumptions!$B$8,IF(N1534=2,Assumptions!$B$9,IF(N1534=3,Assumptions!$B$10,0)))</f>
        <v>0</v>
      </c>
      <c r="P1534" s="6" t="s">
        <v>30</v>
      </c>
      <c r="Q1534" s="6" t="s">
        <v>30</v>
      </c>
      <c r="R1534" s="11" t="s">
        <v>30</v>
      </c>
      <c r="S1534" s="6" t="s">
        <v>30</v>
      </c>
      <c r="T1534" s="11" t="s">
        <v>30</v>
      </c>
      <c r="U1534" s="6" t="s">
        <v>30</v>
      </c>
      <c r="V1534" s="6" t="s">
        <v>30</v>
      </c>
      <c r="W1534" s="6" t="s">
        <v>30</v>
      </c>
      <c r="X1534" s="2" t="s">
        <v>30</v>
      </c>
      <c r="Y1534" s="6" t="str">
        <f aca="false">IF(AND(X1534="processed",ISNUMBER(S1534)),S1534*O1534,"")</f>
        <v/>
      </c>
      <c r="Z1534" s="6" t="n">
        <f aca="false">IF(ISNUMBER(K1534),K1534*O1534,0)</f>
        <v>0</v>
      </c>
      <c r="AA1534" s="2" t="s">
        <v>31</v>
      </c>
      <c r="AB1534" s="6" t="n">
        <v>908</v>
      </c>
      <c r="AC1534" s="6" t="n">
        <v>734</v>
      </c>
      <c r="AD1534" s="6" t="n">
        <v>897</v>
      </c>
      <c r="AE1534" s="6" t="n">
        <v>1501.72424316406</v>
      </c>
      <c r="AF1534" s="8" t="n">
        <v>318.181818182</v>
      </c>
      <c r="AG1534" s="11" t="n">
        <v>-0.2342424242</v>
      </c>
      <c r="AH1534" s="12" t="n">
        <v>0.999730712458953</v>
      </c>
      <c r="AI1534" s="2" t="s">
        <v>1597</v>
      </c>
      <c r="AJ1534" s="2"/>
      <c r="AK1534" s="2" t="s">
        <v>3377</v>
      </c>
    </row>
    <row r="1535" customFormat="false" ht="15" hidden="false" customHeight="false" outlineLevel="0" collapsed="false">
      <c r="A1535" s="9"/>
      <c r="B1535" s="2" t="s">
        <v>3378</v>
      </c>
      <c r="C1535" s="2" t="s">
        <v>3379</v>
      </c>
      <c r="D1535" s="2" t="s">
        <v>3380</v>
      </c>
      <c r="E1535" s="2" t="s">
        <v>51</v>
      </c>
      <c r="F1535" s="2"/>
      <c r="G1535" s="2"/>
      <c r="H1535" s="8"/>
      <c r="I1535" s="2"/>
      <c r="J1535" s="8"/>
      <c r="K1535" s="6"/>
      <c r="L1535" s="2"/>
      <c r="M1535" s="10" t="b">
        <f aca="false">TRUE()</f>
        <v>1</v>
      </c>
      <c r="N1535" s="9" t="str">
        <f aca="false">IF(H1535="","",IF(H1535&gt;=Assumptions!$B$5,1,IF(H1535&gt;=Assumptions!$B$6,2,IF(H1535&gt;=Assumptions!$B$7,3,""))))</f>
        <v/>
      </c>
      <c r="O1535" s="9" t="n">
        <f aca="false">IF(N1535=1,Assumptions!$B$8,IF(N1535=2,Assumptions!$B$9,IF(N1535=3,Assumptions!$B$10,0)))</f>
        <v>0</v>
      </c>
      <c r="P1535" s="6" t="s">
        <v>30</v>
      </c>
      <c r="Q1535" s="6" t="s">
        <v>30</v>
      </c>
      <c r="R1535" s="11" t="s">
        <v>30</v>
      </c>
      <c r="S1535" s="6" t="s">
        <v>30</v>
      </c>
      <c r="T1535" s="11" t="s">
        <v>30</v>
      </c>
      <c r="U1535" s="6" t="s">
        <v>30</v>
      </c>
      <c r="V1535" s="6" t="s">
        <v>30</v>
      </c>
      <c r="W1535" s="6" t="s">
        <v>30</v>
      </c>
      <c r="X1535" s="2" t="s">
        <v>30</v>
      </c>
      <c r="Y1535" s="6" t="str">
        <f aca="false">IF(AND(X1535="processed",ISNUMBER(S1535)),S1535*O1535,"")</f>
        <v/>
      </c>
      <c r="Z1535" s="6" t="n">
        <f aca="false">IF(ISNUMBER(K1535),K1535*O1535,0)</f>
        <v>0</v>
      </c>
      <c r="AA1535" s="2" t="s">
        <v>31</v>
      </c>
      <c r="AB1535" s="6" t="n">
        <v>754</v>
      </c>
      <c r="AC1535" s="6" t="n">
        <v>619</v>
      </c>
      <c r="AD1535" s="6" t="n">
        <v>358</v>
      </c>
      <c r="AE1535" s="6" t="n">
        <v>1551.43420410156</v>
      </c>
      <c r="AF1535" s="8"/>
      <c r="AG1535" s="11"/>
      <c r="AH1535" s="12" t="n">
        <v>0.998792092309777</v>
      </c>
      <c r="AI1535" s="2" t="s">
        <v>345</v>
      </c>
      <c r="AJ1535" s="2" t="s">
        <v>3381</v>
      </c>
      <c r="AK1535" s="2" t="s">
        <v>3382</v>
      </c>
    </row>
    <row r="1536" customFormat="false" ht="15" hidden="false" customHeight="false" outlineLevel="0" collapsed="false">
      <c r="A1536" s="9"/>
      <c r="B1536" s="2" t="s">
        <v>3383</v>
      </c>
      <c r="C1536" s="2" t="s">
        <v>3384</v>
      </c>
      <c r="D1536" s="2" t="s">
        <v>1740</v>
      </c>
      <c r="E1536" s="2" t="s">
        <v>51</v>
      </c>
      <c r="F1536" s="2"/>
      <c r="G1536" s="2" t="s">
        <v>1741</v>
      </c>
      <c r="H1536" s="8" t="n">
        <v>320.1130732474</v>
      </c>
      <c r="I1536" s="2" t="s">
        <v>316</v>
      </c>
      <c r="J1536" s="8" t="n">
        <v>372533.333333333</v>
      </c>
      <c r="K1536" s="6" t="n">
        <v>15</v>
      </c>
      <c r="L1536" s="2"/>
      <c r="M1536" s="10" t="b">
        <f aca="false">TRUE()</f>
        <v>1</v>
      </c>
      <c r="N1536" s="9" t="str">
        <f aca="false">IF(H1536="","",IF(H1536&gt;=Assumptions!$B$5,1,IF(H1536&gt;=Assumptions!$B$6,2,IF(H1536&gt;=Assumptions!$B$7,3,""))))</f>
        <v/>
      </c>
      <c r="O1536" s="9" t="n">
        <f aca="false">IF(N1536=1,Assumptions!$B$8,IF(N1536=2,Assumptions!$B$9,IF(N1536=3,Assumptions!$B$10,0)))</f>
        <v>0</v>
      </c>
      <c r="P1536" s="6" t="s">
        <v>30</v>
      </c>
      <c r="Q1536" s="6" t="s">
        <v>30</v>
      </c>
      <c r="R1536" s="11" t="s">
        <v>30</v>
      </c>
      <c r="S1536" s="6" t="s">
        <v>30</v>
      </c>
      <c r="T1536" s="11" t="s">
        <v>30</v>
      </c>
      <c r="U1536" s="6" t="s">
        <v>30</v>
      </c>
      <c r="V1536" s="6" t="s">
        <v>30</v>
      </c>
      <c r="W1536" s="6" t="s">
        <v>30</v>
      </c>
      <c r="X1536" s="2" t="s">
        <v>30</v>
      </c>
      <c r="Y1536" s="6" t="str">
        <f aca="false">IF(AND(X1536="processed",ISNUMBER(S1536)),S1536*O1536,"")</f>
        <v/>
      </c>
      <c r="Z1536" s="6" t="n">
        <f aca="false">IF(ISNUMBER(K1536),K1536*O1536,0)</f>
        <v>0</v>
      </c>
      <c r="AA1536" s="2" t="s">
        <v>31</v>
      </c>
      <c r="AB1536" s="6" t="n">
        <v>934</v>
      </c>
      <c r="AC1536" s="6" t="n">
        <v>782</v>
      </c>
      <c r="AD1536" s="6" t="n">
        <v>930</v>
      </c>
      <c r="AE1536" s="6" t="n">
        <v>1647.42016601563</v>
      </c>
      <c r="AF1536" s="8" t="n">
        <v>348.011363636</v>
      </c>
      <c r="AG1536" s="11" t="n">
        <v>0.9494197164</v>
      </c>
      <c r="AH1536" s="12" t="n">
        <v>0.999999999999995</v>
      </c>
      <c r="AI1536" s="2" t="s">
        <v>3385</v>
      </c>
      <c r="AJ1536" s="2" t="s">
        <v>3386</v>
      </c>
      <c r="AK1536" s="2" t="s">
        <v>3387</v>
      </c>
    </row>
    <row r="1537" customFormat="false" ht="15" hidden="false" customHeight="false" outlineLevel="0" collapsed="false">
      <c r="A1537" s="9"/>
      <c r="B1537" s="2" t="s">
        <v>3388</v>
      </c>
      <c r="C1537" s="2" t="s">
        <v>3389</v>
      </c>
      <c r="D1537" s="2" t="s">
        <v>3390</v>
      </c>
      <c r="E1537" s="2" t="s">
        <v>51</v>
      </c>
      <c r="F1537" s="2"/>
      <c r="G1537" s="2" t="s">
        <v>3391</v>
      </c>
      <c r="H1537" s="8" t="n">
        <v>243.822713338808</v>
      </c>
      <c r="I1537" s="2" t="s">
        <v>316</v>
      </c>
      <c r="J1537" s="8" t="n">
        <v>375540.372670808</v>
      </c>
      <c r="K1537" s="6" t="n">
        <v>161</v>
      </c>
      <c r="L1537" s="2"/>
      <c r="M1537" s="10" t="b">
        <f aca="false">TRUE()</f>
        <v>1</v>
      </c>
      <c r="N1537" s="9" t="str">
        <f aca="false">IF(H1537="","",IF(H1537&gt;=Assumptions!$B$5,1,IF(H1537&gt;=Assumptions!$B$6,2,IF(H1537&gt;=Assumptions!$B$7,3,""))))</f>
        <v/>
      </c>
      <c r="O1537" s="9" t="n">
        <f aca="false">IF(N1537=1,Assumptions!$B$8,IF(N1537=2,Assumptions!$B$9,IF(N1537=3,Assumptions!$B$10,0)))</f>
        <v>0</v>
      </c>
      <c r="P1537" s="6" t="s">
        <v>30</v>
      </c>
      <c r="Q1537" s="6" t="s">
        <v>30</v>
      </c>
      <c r="R1537" s="11" t="s">
        <v>30</v>
      </c>
      <c r="S1537" s="6" t="s">
        <v>30</v>
      </c>
      <c r="T1537" s="11" t="s">
        <v>30</v>
      </c>
      <c r="U1537" s="6" t="s">
        <v>30</v>
      </c>
      <c r="V1537" s="6" t="s">
        <v>30</v>
      </c>
      <c r="W1537" s="6" t="s">
        <v>30</v>
      </c>
      <c r="X1537" s="2" t="s">
        <v>30</v>
      </c>
      <c r="Y1537" s="6" t="str">
        <f aca="false">IF(AND(X1537="processed",ISNUMBER(S1537)),S1537*O1537,"")</f>
        <v/>
      </c>
      <c r="Z1537" s="6" t="n">
        <f aca="false">IF(ISNUMBER(K1537),K1537*O1537,0)</f>
        <v>0</v>
      </c>
      <c r="AA1537" s="2" t="s">
        <v>31</v>
      </c>
      <c r="AB1537" s="6" t="n">
        <v>11458</v>
      </c>
      <c r="AC1537" s="6" t="n">
        <v>10064</v>
      </c>
      <c r="AD1537" s="6" t="n">
        <v>8616</v>
      </c>
      <c r="AE1537" s="6" t="n">
        <v>1939.2802734375</v>
      </c>
      <c r="AF1537" s="8" t="n">
        <v>244.387617288</v>
      </c>
      <c r="AG1537" s="11" t="n">
        <v>-0.03154966299</v>
      </c>
      <c r="AH1537" s="12" t="n">
        <v>0.893900238927119</v>
      </c>
      <c r="AI1537" s="2" t="s">
        <v>317</v>
      </c>
      <c r="AJ1537" s="2" t="s">
        <v>3389</v>
      </c>
      <c r="AK1537" s="2" t="s">
        <v>3389</v>
      </c>
    </row>
    <row r="1538" customFormat="false" ht="15" hidden="false" customHeight="false" outlineLevel="0" collapsed="false">
      <c r="A1538" s="9"/>
      <c r="B1538" s="2" t="s">
        <v>3392</v>
      </c>
      <c r="C1538" s="2" t="s">
        <v>3393</v>
      </c>
      <c r="D1538" s="2" t="s">
        <v>1740</v>
      </c>
      <c r="E1538" s="2" t="s">
        <v>51</v>
      </c>
      <c r="F1538" s="2"/>
      <c r="G1538" s="2" t="s">
        <v>1741</v>
      </c>
      <c r="H1538" s="8" t="n">
        <v>298.324596965591</v>
      </c>
      <c r="I1538" s="2" t="s">
        <v>316</v>
      </c>
      <c r="J1538" s="8" t="n">
        <v>588272.727272727</v>
      </c>
      <c r="K1538" s="6" t="n">
        <v>22</v>
      </c>
      <c r="L1538" s="2"/>
      <c r="M1538" s="10" t="b">
        <f aca="false">TRUE()</f>
        <v>1</v>
      </c>
      <c r="N1538" s="9" t="str">
        <f aca="false">IF(H1538="","",IF(H1538&gt;=Assumptions!$B$5,1,IF(H1538&gt;=Assumptions!$B$6,2,IF(H1538&gt;=Assumptions!$B$7,3,""))))</f>
        <v/>
      </c>
      <c r="O1538" s="9" t="n">
        <f aca="false">IF(N1538=1,Assumptions!$B$8,IF(N1538=2,Assumptions!$B$9,IF(N1538=3,Assumptions!$B$10,0)))</f>
        <v>0</v>
      </c>
      <c r="P1538" s="6" t="s">
        <v>30</v>
      </c>
      <c r="Q1538" s="6" t="s">
        <v>30</v>
      </c>
      <c r="R1538" s="11" t="s">
        <v>30</v>
      </c>
      <c r="S1538" s="6" t="s">
        <v>30</v>
      </c>
      <c r="T1538" s="11" t="s">
        <v>30</v>
      </c>
      <c r="U1538" s="6" t="s">
        <v>30</v>
      </c>
      <c r="V1538" s="6" t="s">
        <v>30</v>
      </c>
      <c r="W1538" s="6" t="s">
        <v>30</v>
      </c>
      <c r="X1538" s="2" t="s">
        <v>30</v>
      </c>
      <c r="Y1538" s="6" t="str">
        <f aca="false">IF(AND(X1538="processed",ISNUMBER(S1538)),S1538*O1538,"")</f>
        <v/>
      </c>
      <c r="Z1538" s="6" t="n">
        <f aca="false">IF(ISNUMBER(K1538),K1538*O1538,0)</f>
        <v>0</v>
      </c>
      <c r="AA1538" s="2" t="s">
        <v>31</v>
      </c>
      <c r="AB1538" s="6" t="n">
        <v>2793</v>
      </c>
      <c r="AC1538" s="6" t="n">
        <v>2277</v>
      </c>
      <c r="AD1538" s="6" t="n">
        <v>2393</v>
      </c>
      <c r="AE1538" s="6" t="n">
        <v>1948.88024902344</v>
      </c>
      <c r="AF1538" s="8" t="n">
        <v>321.657051845</v>
      </c>
      <c r="AG1538" s="11" t="n">
        <v>0.02484103005</v>
      </c>
      <c r="AH1538" s="12" t="n">
        <v>0.979718527824328</v>
      </c>
      <c r="AI1538" s="2" t="s">
        <v>328</v>
      </c>
      <c r="AJ1538" s="2" t="s">
        <v>3393</v>
      </c>
      <c r="AK1538" s="2" t="s">
        <v>3393</v>
      </c>
    </row>
    <row r="1539" customFormat="false" ht="15" hidden="false" customHeight="false" outlineLevel="0" collapsed="false">
      <c r="A1539" s="9"/>
      <c r="B1539" s="2" t="s">
        <v>3394</v>
      </c>
      <c r="C1539" s="2" t="s">
        <v>3395</v>
      </c>
      <c r="D1539" s="2" t="s">
        <v>1740</v>
      </c>
      <c r="E1539" s="2" t="s">
        <v>51</v>
      </c>
      <c r="F1539" s="2"/>
      <c r="G1539" s="2" t="s">
        <v>1741</v>
      </c>
      <c r="H1539" s="8" t="n">
        <v>214.592274678</v>
      </c>
      <c r="I1539" s="2" t="s">
        <v>316</v>
      </c>
      <c r="J1539" s="8" t="n">
        <v>350000</v>
      </c>
      <c r="K1539" s="6" t="n">
        <v>1</v>
      </c>
      <c r="L1539" s="2" t="s">
        <v>1664</v>
      </c>
      <c r="M1539" s="10" t="b">
        <f aca="false">TRUE()</f>
        <v>1</v>
      </c>
      <c r="N1539" s="9" t="str">
        <f aca="false">IF(H1539="","",IF(H1539&gt;=Assumptions!$B$5,1,IF(H1539&gt;=Assumptions!$B$6,2,IF(H1539&gt;=Assumptions!$B$7,3,""))))</f>
        <v/>
      </c>
      <c r="O1539" s="9" t="n">
        <f aca="false">IF(N1539=1,Assumptions!$B$8,IF(N1539=2,Assumptions!$B$9,IF(N1539=3,Assumptions!$B$10,0)))</f>
        <v>0</v>
      </c>
      <c r="P1539" s="6" t="s">
        <v>30</v>
      </c>
      <c r="Q1539" s="6" t="s">
        <v>30</v>
      </c>
      <c r="R1539" s="11" t="s">
        <v>30</v>
      </c>
      <c r="S1539" s="6" t="s">
        <v>30</v>
      </c>
      <c r="T1539" s="11" t="s">
        <v>30</v>
      </c>
      <c r="U1539" s="6" t="s">
        <v>30</v>
      </c>
      <c r="V1539" s="6" t="s">
        <v>30</v>
      </c>
      <c r="W1539" s="6" t="s">
        <v>30</v>
      </c>
      <c r="X1539" s="2" t="s">
        <v>30</v>
      </c>
      <c r="Y1539" s="6" t="str">
        <f aca="false">IF(AND(X1539="processed",ISNUMBER(S1539)),S1539*O1539,"")</f>
        <v/>
      </c>
      <c r="Z1539" s="6" t="n">
        <f aca="false">IF(ISNUMBER(K1539),K1539*O1539,0)</f>
        <v>0</v>
      </c>
      <c r="AA1539" s="2" t="s">
        <v>31</v>
      </c>
      <c r="AB1539" s="6" t="n">
        <v>158</v>
      </c>
      <c r="AC1539" s="6" t="n">
        <v>140</v>
      </c>
      <c r="AD1539" s="6" t="n">
        <v>154</v>
      </c>
      <c r="AE1539" s="6" t="n">
        <v>1427.19970703125</v>
      </c>
      <c r="AF1539" s="8" t="n">
        <v>214.592274678</v>
      </c>
      <c r="AG1539" s="11"/>
      <c r="AH1539" s="12" t="n">
        <v>0.924616201365827</v>
      </c>
      <c r="AI1539" s="2" t="s">
        <v>1597</v>
      </c>
      <c r="AJ1539" s="2"/>
      <c r="AK1539" s="2" t="s">
        <v>3395</v>
      </c>
    </row>
    <row r="1540" customFormat="false" ht="15" hidden="false" customHeight="false" outlineLevel="0" collapsed="false">
      <c r="A1540" s="9"/>
      <c r="B1540" s="2" t="s">
        <v>3396</v>
      </c>
      <c r="C1540" s="2" t="s">
        <v>3397</v>
      </c>
      <c r="D1540" s="2" t="s">
        <v>1740</v>
      </c>
      <c r="E1540" s="2" t="s">
        <v>51</v>
      </c>
      <c r="F1540" s="2"/>
      <c r="G1540" s="2" t="s">
        <v>1741</v>
      </c>
      <c r="H1540" s="8" t="n">
        <v>277.985456485787</v>
      </c>
      <c r="I1540" s="2" t="s">
        <v>316</v>
      </c>
      <c r="J1540" s="8" t="n">
        <v>410161.290322581</v>
      </c>
      <c r="K1540" s="6" t="n">
        <v>155</v>
      </c>
      <c r="L1540" s="2"/>
      <c r="M1540" s="10" t="b">
        <f aca="false">TRUE()</f>
        <v>1</v>
      </c>
      <c r="N1540" s="9" t="str">
        <f aca="false">IF(H1540="","",IF(H1540&gt;=Assumptions!$B$5,1,IF(H1540&gt;=Assumptions!$B$6,2,IF(H1540&gt;=Assumptions!$B$7,3,""))))</f>
        <v/>
      </c>
      <c r="O1540" s="9" t="n">
        <f aca="false">IF(N1540=1,Assumptions!$B$8,IF(N1540=2,Assumptions!$B$9,IF(N1540=3,Assumptions!$B$10,0)))</f>
        <v>0</v>
      </c>
      <c r="P1540" s="6" t="s">
        <v>30</v>
      </c>
      <c r="Q1540" s="6" t="s">
        <v>30</v>
      </c>
      <c r="R1540" s="11" t="s">
        <v>30</v>
      </c>
      <c r="S1540" s="6" t="s">
        <v>30</v>
      </c>
      <c r="T1540" s="11" t="s">
        <v>30</v>
      </c>
      <c r="U1540" s="6" t="s">
        <v>30</v>
      </c>
      <c r="V1540" s="6" t="s">
        <v>30</v>
      </c>
      <c r="W1540" s="6" t="s">
        <v>30</v>
      </c>
      <c r="X1540" s="2" t="s">
        <v>30</v>
      </c>
      <c r="Y1540" s="6" t="str">
        <f aca="false">IF(AND(X1540="processed",ISNUMBER(S1540)),S1540*O1540,"")</f>
        <v/>
      </c>
      <c r="Z1540" s="6" t="n">
        <f aca="false">IF(ISNUMBER(K1540),K1540*O1540,0)</f>
        <v>0</v>
      </c>
      <c r="AA1540" s="2" t="s">
        <v>31</v>
      </c>
      <c r="AB1540" s="6" t="n">
        <v>7148</v>
      </c>
      <c r="AC1540" s="6" t="n">
        <v>6248</v>
      </c>
      <c r="AD1540" s="6" t="n">
        <v>6218</v>
      </c>
      <c r="AE1540" s="6" t="n">
        <v>2095.53686523438</v>
      </c>
      <c r="AF1540" s="8" t="n">
        <v>260.434782609</v>
      </c>
      <c r="AG1540" s="11" t="n">
        <v>-0.09037198951</v>
      </c>
      <c r="AH1540" s="12" t="n">
        <v>0.999999999999998</v>
      </c>
      <c r="AI1540" s="2" t="s">
        <v>582</v>
      </c>
      <c r="AJ1540" s="2" t="s">
        <v>3397</v>
      </c>
      <c r="AK1540" s="2" t="s">
        <v>3397</v>
      </c>
    </row>
    <row r="1541" customFormat="false" ht="15" hidden="false" customHeight="false" outlineLevel="0" collapsed="false">
      <c r="A1541" s="9"/>
      <c r="B1541" s="2" t="s">
        <v>3398</v>
      </c>
      <c r="C1541" s="2" t="s">
        <v>3399</v>
      </c>
      <c r="D1541" s="2" t="s">
        <v>1740</v>
      </c>
      <c r="E1541" s="2" t="s">
        <v>51</v>
      </c>
      <c r="F1541" s="2"/>
      <c r="G1541" s="2" t="s">
        <v>1741</v>
      </c>
      <c r="H1541" s="8" t="n">
        <v>206.153856246</v>
      </c>
      <c r="I1541" s="2" t="s">
        <v>316</v>
      </c>
      <c r="J1541" s="8" t="n">
        <v>289600</v>
      </c>
      <c r="K1541" s="6" t="n">
        <v>40</v>
      </c>
      <c r="L1541" s="2"/>
      <c r="M1541" s="10" t="b">
        <f aca="false">TRUE()</f>
        <v>1</v>
      </c>
      <c r="N1541" s="9" t="str">
        <f aca="false">IF(H1541="","",IF(H1541&gt;=Assumptions!$B$5,1,IF(H1541&gt;=Assumptions!$B$6,2,IF(H1541&gt;=Assumptions!$B$7,3,""))))</f>
        <v/>
      </c>
      <c r="O1541" s="9" t="n">
        <f aca="false">IF(N1541=1,Assumptions!$B$8,IF(N1541=2,Assumptions!$B$9,IF(N1541=3,Assumptions!$B$10,0)))</f>
        <v>0</v>
      </c>
      <c r="P1541" s="6" t="s">
        <v>30</v>
      </c>
      <c r="Q1541" s="6" t="s">
        <v>30</v>
      </c>
      <c r="R1541" s="11" t="s">
        <v>30</v>
      </c>
      <c r="S1541" s="6" t="s">
        <v>30</v>
      </c>
      <c r="T1541" s="11" t="s">
        <v>30</v>
      </c>
      <c r="U1541" s="6" t="s">
        <v>30</v>
      </c>
      <c r="V1541" s="6" t="s">
        <v>30</v>
      </c>
      <c r="W1541" s="6" t="s">
        <v>30</v>
      </c>
      <c r="X1541" s="2" t="s">
        <v>30</v>
      </c>
      <c r="Y1541" s="6" t="str">
        <f aca="false">IF(AND(X1541="processed",ISNUMBER(S1541)),S1541*O1541,"")</f>
        <v/>
      </c>
      <c r="Z1541" s="6" t="n">
        <f aca="false">IF(ISNUMBER(K1541),K1541*O1541,0)</f>
        <v>0</v>
      </c>
      <c r="AA1541" s="2" t="s">
        <v>31</v>
      </c>
      <c r="AB1541" s="6" t="n">
        <v>2986</v>
      </c>
      <c r="AC1541" s="6" t="n">
        <v>2446</v>
      </c>
      <c r="AD1541" s="6" t="n">
        <v>2159</v>
      </c>
      <c r="AE1541" s="6" t="n">
        <v>1576.49755859375</v>
      </c>
      <c r="AF1541" s="8" t="n">
        <v>143.987524722</v>
      </c>
      <c r="AG1541" s="11" t="n">
        <v>-0.3271610994</v>
      </c>
      <c r="AH1541" s="12" t="n">
        <v>0.999692224559338</v>
      </c>
      <c r="AI1541" s="2" t="s">
        <v>1597</v>
      </c>
      <c r="AJ1541" s="2"/>
      <c r="AK1541" s="2" t="s">
        <v>3399</v>
      </c>
    </row>
    <row r="1542" customFormat="false" ht="15" hidden="false" customHeight="false" outlineLevel="0" collapsed="false">
      <c r="A1542" s="9"/>
      <c r="B1542" s="2" t="s">
        <v>3400</v>
      </c>
      <c r="C1542" s="2" t="s">
        <v>3401</v>
      </c>
      <c r="D1542" s="2" t="s">
        <v>3390</v>
      </c>
      <c r="E1542" s="2" t="s">
        <v>51</v>
      </c>
      <c r="F1542" s="2"/>
      <c r="G1542" s="2" t="s">
        <v>3391</v>
      </c>
      <c r="H1542" s="8" t="n">
        <v>358.651080482</v>
      </c>
      <c r="I1542" s="2" t="s">
        <v>316</v>
      </c>
      <c r="J1542" s="8" t="n">
        <v>592227.5</v>
      </c>
      <c r="K1542" s="6" t="n">
        <v>2</v>
      </c>
      <c r="L1542" s="2" t="s">
        <v>1664</v>
      </c>
      <c r="M1542" s="10" t="b">
        <f aca="false">TRUE()</f>
        <v>1</v>
      </c>
      <c r="N1542" s="9" t="str">
        <f aca="false">IF(H1542="","",IF(H1542&gt;=Assumptions!$B$5,1,IF(H1542&gt;=Assumptions!$B$6,2,IF(H1542&gt;=Assumptions!$B$7,3,""))))</f>
        <v/>
      </c>
      <c r="O1542" s="9" t="n">
        <f aca="false">IF(N1542=1,Assumptions!$B$8,IF(N1542=2,Assumptions!$B$9,IF(N1542=3,Assumptions!$B$10,0)))</f>
        <v>0</v>
      </c>
      <c r="P1542" s="6" t="s">
        <v>30</v>
      </c>
      <c r="Q1542" s="6" t="s">
        <v>30</v>
      </c>
      <c r="R1542" s="11" t="s">
        <v>30</v>
      </c>
      <c r="S1542" s="6" t="s">
        <v>30</v>
      </c>
      <c r="T1542" s="11" t="s">
        <v>30</v>
      </c>
      <c r="U1542" s="6" t="s">
        <v>30</v>
      </c>
      <c r="V1542" s="6" t="s">
        <v>30</v>
      </c>
      <c r="W1542" s="6" t="s">
        <v>30</v>
      </c>
      <c r="X1542" s="2" t="s">
        <v>30</v>
      </c>
      <c r="Y1542" s="6" t="str">
        <f aca="false">IF(AND(X1542="processed",ISNUMBER(S1542)),S1542*O1542,"")</f>
        <v/>
      </c>
      <c r="Z1542" s="6" t="n">
        <f aca="false">IF(ISNUMBER(K1542),K1542*O1542,0)</f>
        <v>0</v>
      </c>
      <c r="AA1542" s="2" t="s">
        <v>31</v>
      </c>
      <c r="AB1542" s="6" t="n">
        <v>594</v>
      </c>
      <c r="AC1542" s="6" t="n">
        <v>513</v>
      </c>
      <c r="AD1542" s="6" t="n">
        <v>182</v>
      </c>
      <c r="AE1542" s="6" t="n">
        <v>1788.13049316406</v>
      </c>
      <c r="AF1542" s="8" t="n">
        <v>358.651080482</v>
      </c>
      <c r="AG1542" s="11" t="n">
        <v>0.2128927449</v>
      </c>
      <c r="AH1542" s="12" t="n">
        <v>0.999603242441171</v>
      </c>
      <c r="AI1542" s="2" t="s">
        <v>317</v>
      </c>
      <c r="AJ1542" s="2" t="s">
        <v>3401</v>
      </c>
      <c r="AK1542" s="2" t="s">
        <v>3401</v>
      </c>
    </row>
    <row r="1543" customFormat="false" ht="15" hidden="false" customHeight="false" outlineLevel="0" collapsed="false">
      <c r="A1543" s="9"/>
      <c r="B1543" s="2" t="s">
        <v>3402</v>
      </c>
      <c r="C1543" s="2" t="s">
        <v>3403</v>
      </c>
      <c r="D1543" s="2" t="s">
        <v>1740</v>
      </c>
      <c r="E1543" s="2" t="s">
        <v>51</v>
      </c>
      <c r="F1543" s="2"/>
      <c r="G1543" s="2"/>
      <c r="H1543" s="8"/>
      <c r="I1543" s="2"/>
      <c r="J1543" s="8"/>
      <c r="K1543" s="6"/>
      <c r="L1543" s="2"/>
      <c r="M1543" s="10" t="b">
        <f aca="false">TRUE()</f>
        <v>1</v>
      </c>
      <c r="N1543" s="9" t="str">
        <f aca="false">IF(H1543="","",IF(H1543&gt;=Assumptions!$B$5,1,IF(H1543&gt;=Assumptions!$B$6,2,IF(H1543&gt;=Assumptions!$B$7,3,""))))</f>
        <v/>
      </c>
      <c r="O1543" s="9" t="n">
        <f aca="false">IF(N1543=1,Assumptions!$B$8,IF(N1543=2,Assumptions!$B$9,IF(N1543=3,Assumptions!$B$10,0)))</f>
        <v>0</v>
      </c>
      <c r="P1543" s="6" t="s">
        <v>30</v>
      </c>
      <c r="Q1543" s="6" t="s">
        <v>30</v>
      </c>
      <c r="R1543" s="11" t="s">
        <v>30</v>
      </c>
      <c r="S1543" s="6" t="s">
        <v>30</v>
      </c>
      <c r="T1543" s="11" t="s">
        <v>30</v>
      </c>
      <c r="U1543" s="6" t="s">
        <v>30</v>
      </c>
      <c r="V1543" s="6" t="s">
        <v>30</v>
      </c>
      <c r="W1543" s="6" t="s">
        <v>30</v>
      </c>
      <c r="X1543" s="2" t="s">
        <v>30</v>
      </c>
      <c r="Y1543" s="6" t="str">
        <f aca="false">IF(AND(X1543="processed",ISNUMBER(S1543)),S1543*O1543,"")</f>
        <v/>
      </c>
      <c r="Z1543" s="6" t="n">
        <f aca="false">IF(ISNUMBER(K1543),K1543*O1543,0)</f>
        <v>0</v>
      </c>
      <c r="AA1543" s="2" t="s">
        <v>31</v>
      </c>
      <c r="AB1543" s="6" t="n">
        <v>350</v>
      </c>
      <c r="AC1543" s="6" t="n">
        <v>290</v>
      </c>
      <c r="AD1543" s="6" t="n">
        <v>340</v>
      </c>
      <c r="AE1543" s="6" t="n">
        <v>1654.32690429688</v>
      </c>
      <c r="AF1543" s="8"/>
      <c r="AG1543" s="11"/>
      <c r="AH1543" s="12" t="n">
        <v>0.999999999999999</v>
      </c>
      <c r="AI1543" s="2" t="s">
        <v>1597</v>
      </c>
      <c r="AJ1543" s="2"/>
      <c r="AK1543" s="2" t="s">
        <v>3403</v>
      </c>
    </row>
    <row r="1544" customFormat="false" ht="15" hidden="false" customHeight="false" outlineLevel="0" collapsed="false">
      <c r="A1544" s="9"/>
      <c r="B1544" s="2" t="s">
        <v>3404</v>
      </c>
      <c r="C1544" s="2" t="s">
        <v>3405</v>
      </c>
      <c r="D1544" s="2" t="s">
        <v>1740</v>
      </c>
      <c r="E1544" s="2" t="s">
        <v>51</v>
      </c>
      <c r="F1544" s="2"/>
      <c r="G1544" s="2" t="s">
        <v>1741</v>
      </c>
      <c r="H1544" s="8" t="n">
        <v>148.551058536667</v>
      </c>
      <c r="I1544" s="2" t="s">
        <v>316</v>
      </c>
      <c r="J1544" s="8" t="n">
        <v>210833.333333333</v>
      </c>
      <c r="K1544" s="6" t="n">
        <v>6</v>
      </c>
      <c r="L1544" s="2"/>
      <c r="M1544" s="10" t="b">
        <f aca="false">TRUE()</f>
        <v>1</v>
      </c>
      <c r="N1544" s="9" t="str">
        <f aca="false">IF(H1544="","",IF(H1544&gt;=Assumptions!$B$5,1,IF(H1544&gt;=Assumptions!$B$6,2,IF(H1544&gt;=Assumptions!$B$7,3,""))))</f>
        <v/>
      </c>
      <c r="O1544" s="9" t="n">
        <f aca="false">IF(N1544=1,Assumptions!$B$8,IF(N1544=2,Assumptions!$B$9,IF(N1544=3,Assumptions!$B$10,0)))</f>
        <v>0</v>
      </c>
      <c r="P1544" s="6" t="s">
        <v>30</v>
      </c>
      <c r="Q1544" s="6" t="s">
        <v>30</v>
      </c>
      <c r="R1544" s="11" t="s">
        <v>30</v>
      </c>
      <c r="S1544" s="6" t="s">
        <v>30</v>
      </c>
      <c r="T1544" s="11" t="s">
        <v>30</v>
      </c>
      <c r="U1544" s="6" t="s">
        <v>30</v>
      </c>
      <c r="V1544" s="6" t="s">
        <v>30</v>
      </c>
      <c r="W1544" s="6" t="s">
        <v>30</v>
      </c>
      <c r="X1544" s="2" t="s">
        <v>30</v>
      </c>
      <c r="Y1544" s="6" t="str">
        <f aca="false">IF(AND(X1544="processed",ISNUMBER(S1544)),S1544*O1544,"")</f>
        <v/>
      </c>
      <c r="Z1544" s="6" t="n">
        <f aca="false">IF(ISNUMBER(K1544),K1544*O1544,0)</f>
        <v>0</v>
      </c>
      <c r="AA1544" s="2" t="s">
        <v>31</v>
      </c>
      <c r="AB1544" s="6" t="n">
        <v>1611</v>
      </c>
      <c r="AC1544" s="6" t="n">
        <v>1416</v>
      </c>
      <c r="AD1544" s="6" t="n">
        <v>591</v>
      </c>
      <c r="AE1544" s="6" t="n">
        <v>1559.38610839844</v>
      </c>
      <c r="AF1544" s="8" t="n">
        <v>165.625</v>
      </c>
      <c r="AG1544" s="11"/>
      <c r="AH1544" s="12" t="n">
        <v>1</v>
      </c>
      <c r="AI1544" s="2" t="s">
        <v>1597</v>
      </c>
      <c r="AJ1544" s="2"/>
      <c r="AK1544" s="2" t="s">
        <v>3405</v>
      </c>
    </row>
    <row r="1545" customFormat="false" ht="15" hidden="false" customHeight="false" outlineLevel="0" collapsed="false">
      <c r="A1545" s="9"/>
      <c r="B1545" s="2" t="s">
        <v>3406</v>
      </c>
      <c r="C1545" s="2" t="s">
        <v>3407</v>
      </c>
      <c r="D1545" s="2" t="s">
        <v>1740</v>
      </c>
      <c r="E1545" s="2" t="s">
        <v>51</v>
      </c>
      <c r="F1545" s="2"/>
      <c r="G1545" s="2" t="s">
        <v>1741</v>
      </c>
      <c r="H1545" s="8" t="n">
        <v>310.612256212333</v>
      </c>
      <c r="I1545" s="2" t="s">
        <v>316</v>
      </c>
      <c r="J1545" s="8" t="n">
        <v>554333.333333333</v>
      </c>
      <c r="K1545" s="6" t="n">
        <v>9</v>
      </c>
      <c r="L1545" s="2"/>
      <c r="M1545" s="10" t="b">
        <f aca="false">TRUE()</f>
        <v>1</v>
      </c>
      <c r="N1545" s="9" t="str">
        <f aca="false">IF(H1545="","",IF(H1545&gt;=Assumptions!$B$5,1,IF(H1545&gt;=Assumptions!$B$6,2,IF(H1545&gt;=Assumptions!$B$7,3,""))))</f>
        <v/>
      </c>
      <c r="O1545" s="9" t="n">
        <f aca="false">IF(N1545=1,Assumptions!$B$8,IF(N1545=2,Assumptions!$B$9,IF(N1545=3,Assumptions!$B$10,0)))</f>
        <v>0</v>
      </c>
      <c r="P1545" s="6" t="s">
        <v>30</v>
      </c>
      <c r="Q1545" s="6" t="s">
        <v>30</v>
      </c>
      <c r="R1545" s="11" t="s">
        <v>30</v>
      </c>
      <c r="S1545" s="6" t="s">
        <v>30</v>
      </c>
      <c r="T1545" s="11" t="s">
        <v>30</v>
      </c>
      <c r="U1545" s="6" t="s">
        <v>30</v>
      </c>
      <c r="V1545" s="6" t="s">
        <v>30</v>
      </c>
      <c r="W1545" s="6" t="s">
        <v>30</v>
      </c>
      <c r="X1545" s="2" t="s">
        <v>30</v>
      </c>
      <c r="Y1545" s="6" t="str">
        <f aca="false">IF(AND(X1545="processed",ISNUMBER(S1545)),S1545*O1545,"")</f>
        <v/>
      </c>
      <c r="Z1545" s="6" t="n">
        <f aca="false">IF(ISNUMBER(K1545),K1545*O1545,0)</f>
        <v>0</v>
      </c>
      <c r="AA1545" s="2" t="s">
        <v>31</v>
      </c>
      <c r="AB1545" s="6" t="n">
        <v>999</v>
      </c>
      <c r="AC1545" s="6" t="n">
        <v>856</v>
      </c>
      <c r="AD1545" s="6" t="n">
        <v>991</v>
      </c>
      <c r="AE1545" s="6" t="n">
        <v>1841.49731445313</v>
      </c>
      <c r="AF1545" s="8" t="n">
        <v>303.378138586</v>
      </c>
      <c r="AG1545" s="11" t="n">
        <v>0.01382061502</v>
      </c>
      <c r="AH1545" s="12" t="n">
        <v>0.999999999999999</v>
      </c>
      <c r="AI1545" s="2" t="s">
        <v>321</v>
      </c>
      <c r="AJ1545" s="2" t="s">
        <v>3407</v>
      </c>
      <c r="AK1545" s="2" t="s">
        <v>3407</v>
      </c>
    </row>
    <row r="1546" customFormat="false" ht="15" hidden="false" customHeight="false" outlineLevel="0" collapsed="false">
      <c r="A1546" s="9"/>
      <c r="B1546" s="2" t="s">
        <v>3408</v>
      </c>
      <c r="C1546" s="2" t="s">
        <v>3409</v>
      </c>
      <c r="D1546" s="2" t="s">
        <v>3390</v>
      </c>
      <c r="E1546" s="2" t="s">
        <v>51</v>
      </c>
      <c r="F1546" s="2"/>
      <c r="G1546" s="2" t="s">
        <v>3391</v>
      </c>
      <c r="H1546" s="8" t="n">
        <v>163.415080697</v>
      </c>
      <c r="I1546" s="2" t="s">
        <v>316</v>
      </c>
      <c r="J1546" s="8" t="n">
        <v>262250</v>
      </c>
      <c r="K1546" s="6" t="n">
        <v>4</v>
      </c>
      <c r="L1546" s="2" t="s">
        <v>1664</v>
      </c>
      <c r="M1546" s="10" t="b">
        <f aca="false">TRUE()</f>
        <v>1</v>
      </c>
      <c r="N1546" s="9" t="str">
        <f aca="false">IF(H1546="","",IF(H1546&gt;=Assumptions!$B$5,1,IF(H1546&gt;=Assumptions!$B$6,2,IF(H1546&gt;=Assumptions!$B$7,3,""))))</f>
        <v/>
      </c>
      <c r="O1546" s="9" t="n">
        <f aca="false">IF(N1546=1,Assumptions!$B$8,IF(N1546=2,Assumptions!$B$9,IF(N1546=3,Assumptions!$B$10,0)))</f>
        <v>0</v>
      </c>
      <c r="P1546" s="6" t="s">
        <v>30</v>
      </c>
      <c r="Q1546" s="6" t="s">
        <v>30</v>
      </c>
      <c r="R1546" s="11" t="s">
        <v>30</v>
      </c>
      <c r="S1546" s="6" t="s">
        <v>30</v>
      </c>
      <c r="T1546" s="11" t="s">
        <v>30</v>
      </c>
      <c r="U1546" s="6" t="s">
        <v>30</v>
      </c>
      <c r="V1546" s="6" t="s">
        <v>30</v>
      </c>
      <c r="W1546" s="6" t="s">
        <v>30</v>
      </c>
      <c r="X1546" s="2" t="s">
        <v>30</v>
      </c>
      <c r="Y1546" s="6" t="str">
        <f aca="false">IF(AND(X1546="processed",ISNUMBER(S1546)),S1546*O1546,"")</f>
        <v/>
      </c>
      <c r="Z1546" s="6" t="n">
        <f aca="false">IF(ISNUMBER(K1546),K1546*O1546,0)</f>
        <v>0</v>
      </c>
      <c r="AA1546" s="2" t="s">
        <v>31</v>
      </c>
      <c r="AB1546" s="6" t="n">
        <v>906</v>
      </c>
      <c r="AC1546" s="6" t="n">
        <v>778</v>
      </c>
      <c r="AD1546" s="6" t="n">
        <v>214</v>
      </c>
      <c r="AE1546" s="6" t="n">
        <v>1643.43896484375</v>
      </c>
      <c r="AF1546" s="8" t="n">
        <v>130.161579892</v>
      </c>
      <c r="AG1546" s="11" t="n">
        <v>-0.1779268638</v>
      </c>
      <c r="AH1546" s="12" t="n">
        <v>0.922236177404114</v>
      </c>
      <c r="AI1546" s="2" t="s">
        <v>317</v>
      </c>
      <c r="AJ1546" s="2" t="s">
        <v>3409</v>
      </c>
      <c r="AK1546" s="2" t="s">
        <v>3410</v>
      </c>
    </row>
    <row r="1547" customFormat="false" ht="15" hidden="false" customHeight="false" outlineLevel="0" collapsed="false">
      <c r="A1547" s="9"/>
      <c r="B1547" s="2" t="s">
        <v>3411</v>
      </c>
      <c r="C1547" s="2" t="s">
        <v>3412</v>
      </c>
      <c r="D1547" s="2" t="s">
        <v>1740</v>
      </c>
      <c r="E1547" s="2" t="s">
        <v>51</v>
      </c>
      <c r="F1547" s="2"/>
      <c r="G1547" s="2" t="s">
        <v>1741</v>
      </c>
      <c r="H1547" s="8" t="n">
        <v>307.595263695833</v>
      </c>
      <c r="I1547" s="2" t="s">
        <v>316</v>
      </c>
      <c r="J1547" s="8" t="n">
        <v>556833.333333333</v>
      </c>
      <c r="K1547" s="6" t="n">
        <v>6</v>
      </c>
      <c r="L1547" s="2"/>
      <c r="M1547" s="10" t="b">
        <f aca="false">TRUE()</f>
        <v>1</v>
      </c>
      <c r="N1547" s="9" t="str">
        <f aca="false">IF(H1547="","",IF(H1547&gt;=Assumptions!$B$5,1,IF(H1547&gt;=Assumptions!$B$6,2,IF(H1547&gt;=Assumptions!$B$7,3,""))))</f>
        <v/>
      </c>
      <c r="O1547" s="9" t="n">
        <f aca="false">IF(N1547=1,Assumptions!$B$8,IF(N1547=2,Assumptions!$B$9,IF(N1547=3,Assumptions!$B$10,0)))</f>
        <v>0</v>
      </c>
      <c r="P1547" s="6" t="s">
        <v>30</v>
      </c>
      <c r="Q1547" s="6" t="s">
        <v>30</v>
      </c>
      <c r="R1547" s="11" t="s">
        <v>30</v>
      </c>
      <c r="S1547" s="6" t="s">
        <v>30</v>
      </c>
      <c r="T1547" s="11" t="s">
        <v>30</v>
      </c>
      <c r="U1547" s="6" t="s">
        <v>30</v>
      </c>
      <c r="V1547" s="6" t="s">
        <v>30</v>
      </c>
      <c r="W1547" s="6" t="s">
        <v>30</v>
      </c>
      <c r="X1547" s="2" t="s">
        <v>30</v>
      </c>
      <c r="Y1547" s="6" t="str">
        <f aca="false">IF(AND(X1547="processed",ISNUMBER(S1547)),S1547*O1547,"")</f>
        <v/>
      </c>
      <c r="Z1547" s="6" t="n">
        <f aca="false">IF(ISNUMBER(K1547),K1547*O1547,0)</f>
        <v>0</v>
      </c>
      <c r="AA1547" s="2" t="s">
        <v>31</v>
      </c>
      <c r="AB1547" s="6" t="n">
        <v>643</v>
      </c>
      <c r="AC1547" s="6" t="n">
        <v>573</v>
      </c>
      <c r="AD1547" s="6" t="n">
        <v>589</v>
      </c>
      <c r="AE1547" s="6" t="n">
        <v>1665.19409179688</v>
      </c>
      <c r="AF1547" s="8" t="n">
        <v>193.75</v>
      </c>
      <c r="AG1547" s="11" t="n">
        <v>-0.2673132184</v>
      </c>
      <c r="AH1547" s="12" t="n">
        <v>1.00000000000001</v>
      </c>
      <c r="AI1547" s="2" t="s">
        <v>660</v>
      </c>
      <c r="AJ1547" s="2" t="s">
        <v>3412</v>
      </c>
      <c r="AK1547" s="2" t="s">
        <v>3370</v>
      </c>
    </row>
    <row r="1548" customFormat="false" ht="15" hidden="false" customHeight="false" outlineLevel="0" collapsed="false">
      <c r="A1548" s="9"/>
      <c r="B1548" s="2" t="s">
        <v>3413</v>
      </c>
      <c r="C1548" s="2" t="s">
        <v>3414</v>
      </c>
      <c r="D1548" s="2" t="s">
        <v>1740</v>
      </c>
      <c r="E1548" s="2" t="s">
        <v>51</v>
      </c>
      <c r="F1548" s="2"/>
      <c r="G1548" s="2" t="s">
        <v>1741</v>
      </c>
      <c r="H1548" s="8" t="n">
        <v>275.600039786</v>
      </c>
      <c r="I1548" s="2" t="s">
        <v>316</v>
      </c>
      <c r="J1548" s="8" t="n">
        <v>382000</v>
      </c>
      <c r="K1548" s="6" t="n">
        <v>8</v>
      </c>
      <c r="L1548" s="2"/>
      <c r="M1548" s="10" t="b">
        <f aca="false">TRUE()</f>
        <v>1</v>
      </c>
      <c r="N1548" s="9" t="str">
        <f aca="false">IF(H1548="","",IF(H1548&gt;=Assumptions!$B$5,1,IF(H1548&gt;=Assumptions!$B$6,2,IF(H1548&gt;=Assumptions!$B$7,3,""))))</f>
        <v/>
      </c>
      <c r="O1548" s="9" t="n">
        <f aca="false">IF(N1548=1,Assumptions!$B$8,IF(N1548=2,Assumptions!$B$9,IF(N1548=3,Assumptions!$B$10,0)))</f>
        <v>0</v>
      </c>
      <c r="P1548" s="6" t="s">
        <v>30</v>
      </c>
      <c r="Q1548" s="6" t="s">
        <v>30</v>
      </c>
      <c r="R1548" s="11" t="s">
        <v>30</v>
      </c>
      <c r="S1548" s="6" t="s">
        <v>30</v>
      </c>
      <c r="T1548" s="11" t="s">
        <v>30</v>
      </c>
      <c r="U1548" s="6" t="s">
        <v>30</v>
      </c>
      <c r="V1548" s="6" t="s">
        <v>30</v>
      </c>
      <c r="W1548" s="6" t="s">
        <v>30</v>
      </c>
      <c r="X1548" s="2" t="s">
        <v>30</v>
      </c>
      <c r="Y1548" s="6" t="str">
        <f aca="false">IF(AND(X1548="processed",ISNUMBER(S1548)),S1548*O1548,"")</f>
        <v/>
      </c>
      <c r="Z1548" s="6" t="n">
        <f aca="false">IF(ISNUMBER(K1548),K1548*O1548,0)</f>
        <v>0</v>
      </c>
      <c r="AA1548" s="2" t="s">
        <v>31</v>
      </c>
      <c r="AB1548" s="6" t="n">
        <v>1138</v>
      </c>
      <c r="AC1548" s="6" t="n">
        <v>960</v>
      </c>
      <c r="AD1548" s="6" t="n">
        <v>922</v>
      </c>
      <c r="AE1548" s="6" t="n">
        <v>1882.83850097656</v>
      </c>
      <c r="AF1548" s="8" t="n">
        <v>269.892557089</v>
      </c>
      <c r="AG1548" s="11" t="n">
        <v>-0.08496732656</v>
      </c>
      <c r="AH1548" s="12" t="n">
        <v>0.778294118559149</v>
      </c>
      <c r="AI1548" s="2" t="s">
        <v>321</v>
      </c>
      <c r="AJ1548" s="2" t="s">
        <v>3414</v>
      </c>
      <c r="AK1548" s="2" t="s">
        <v>3415</v>
      </c>
    </row>
    <row r="1549" customFormat="false" ht="15" hidden="false" customHeight="false" outlineLevel="0" collapsed="false">
      <c r="A1549" s="9"/>
      <c r="B1549" s="2" t="s">
        <v>3416</v>
      </c>
      <c r="C1549" s="2" t="s">
        <v>3417</v>
      </c>
      <c r="D1549" s="2" t="s">
        <v>3380</v>
      </c>
      <c r="E1549" s="2" t="s">
        <v>51</v>
      </c>
      <c r="F1549" s="2"/>
      <c r="G1549" s="2"/>
      <c r="H1549" s="8"/>
      <c r="I1549" s="2"/>
      <c r="J1549" s="8"/>
      <c r="K1549" s="6"/>
      <c r="L1549" s="2"/>
      <c r="M1549" s="10" t="b">
        <f aca="false">TRUE()</f>
        <v>1</v>
      </c>
      <c r="N1549" s="9" t="str">
        <f aca="false">IF(H1549="","",IF(H1549&gt;=Assumptions!$B$5,1,IF(H1549&gt;=Assumptions!$B$6,2,IF(H1549&gt;=Assumptions!$B$7,3,""))))</f>
        <v/>
      </c>
      <c r="O1549" s="9" t="n">
        <f aca="false">IF(N1549=1,Assumptions!$B$8,IF(N1549=2,Assumptions!$B$9,IF(N1549=3,Assumptions!$B$10,0)))</f>
        <v>0</v>
      </c>
      <c r="P1549" s="6" t="s">
        <v>30</v>
      </c>
      <c r="Q1549" s="6" t="s">
        <v>30</v>
      </c>
      <c r="R1549" s="11" t="s">
        <v>30</v>
      </c>
      <c r="S1549" s="6" t="s">
        <v>30</v>
      </c>
      <c r="T1549" s="11" t="s">
        <v>30</v>
      </c>
      <c r="U1549" s="6" t="s">
        <v>30</v>
      </c>
      <c r="V1549" s="6" t="s">
        <v>30</v>
      </c>
      <c r="W1549" s="6" t="s">
        <v>30</v>
      </c>
      <c r="X1549" s="2" t="s">
        <v>30</v>
      </c>
      <c r="Y1549" s="6" t="str">
        <f aca="false">IF(AND(X1549="processed",ISNUMBER(S1549)),S1549*O1549,"")</f>
        <v/>
      </c>
      <c r="Z1549" s="6" t="n">
        <f aca="false">IF(ISNUMBER(K1549),K1549*O1549,0)</f>
        <v>0</v>
      </c>
      <c r="AA1549" s="2" t="s">
        <v>31</v>
      </c>
      <c r="AB1549" s="6" t="n">
        <v>977</v>
      </c>
      <c r="AC1549" s="6" t="n">
        <v>750</v>
      </c>
      <c r="AD1549" s="6" t="n">
        <v>719</v>
      </c>
      <c r="AE1549" s="6" t="n">
        <v>1372.32958984375</v>
      </c>
      <c r="AF1549" s="8"/>
      <c r="AG1549" s="11"/>
      <c r="AH1549" s="12" t="n">
        <v>0.999742872540181</v>
      </c>
      <c r="AI1549" s="2" t="s">
        <v>317</v>
      </c>
      <c r="AJ1549" s="2" t="s">
        <v>3417</v>
      </c>
      <c r="AK1549" s="2" t="s">
        <v>3418</v>
      </c>
    </row>
    <row r="1550" customFormat="false" ht="15" hidden="false" customHeight="false" outlineLevel="0" collapsed="false">
      <c r="A1550" s="9"/>
      <c r="B1550" s="2" t="s">
        <v>3419</v>
      </c>
      <c r="C1550" s="2" t="s">
        <v>3420</v>
      </c>
      <c r="D1550" s="2" t="s">
        <v>1740</v>
      </c>
      <c r="E1550" s="2" t="s">
        <v>51</v>
      </c>
      <c r="F1550" s="2"/>
      <c r="G1550" s="2"/>
      <c r="H1550" s="8"/>
      <c r="I1550" s="2"/>
      <c r="J1550" s="8"/>
      <c r="K1550" s="6"/>
      <c r="L1550" s="2"/>
      <c r="M1550" s="10" t="b">
        <f aca="false">TRUE()</f>
        <v>1</v>
      </c>
      <c r="N1550" s="9" t="str">
        <f aca="false">IF(H1550="","",IF(H1550&gt;=Assumptions!$B$5,1,IF(H1550&gt;=Assumptions!$B$6,2,IF(H1550&gt;=Assumptions!$B$7,3,""))))</f>
        <v/>
      </c>
      <c r="O1550" s="9" t="n">
        <f aca="false">IF(N1550=1,Assumptions!$B$8,IF(N1550=2,Assumptions!$B$9,IF(N1550=3,Assumptions!$B$10,0)))</f>
        <v>0</v>
      </c>
      <c r="P1550" s="6" t="s">
        <v>30</v>
      </c>
      <c r="Q1550" s="6" t="s">
        <v>30</v>
      </c>
      <c r="R1550" s="11" t="s">
        <v>30</v>
      </c>
      <c r="S1550" s="6" t="s">
        <v>30</v>
      </c>
      <c r="T1550" s="11" t="s">
        <v>30</v>
      </c>
      <c r="U1550" s="6" t="s">
        <v>30</v>
      </c>
      <c r="V1550" s="6" t="s">
        <v>30</v>
      </c>
      <c r="W1550" s="6" t="s">
        <v>30</v>
      </c>
      <c r="X1550" s="2" t="s">
        <v>30</v>
      </c>
      <c r="Y1550" s="6" t="str">
        <f aca="false">IF(AND(X1550="processed",ISNUMBER(S1550)),S1550*O1550,"")</f>
        <v/>
      </c>
      <c r="Z1550" s="6" t="n">
        <f aca="false">IF(ISNUMBER(K1550),K1550*O1550,0)</f>
        <v>0</v>
      </c>
      <c r="AA1550" s="2" t="s">
        <v>31</v>
      </c>
      <c r="AB1550" s="6" t="n">
        <v>826</v>
      </c>
      <c r="AC1550" s="6" t="n">
        <v>698</v>
      </c>
      <c r="AD1550" s="6" t="n">
        <v>776</v>
      </c>
      <c r="AE1550" s="6" t="n">
        <v>1561.49389648438</v>
      </c>
      <c r="AF1550" s="8"/>
      <c r="AG1550" s="11"/>
      <c r="AH1550" s="12" t="n">
        <v>1</v>
      </c>
      <c r="AI1550" s="2" t="s">
        <v>1597</v>
      </c>
      <c r="AJ1550" s="2"/>
      <c r="AK1550" s="2" t="s">
        <v>3420</v>
      </c>
    </row>
    <row r="1551" customFormat="false" ht="15" hidden="false" customHeight="false" outlineLevel="0" collapsed="false">
      <c r="A1551" s="9"/>
      <c r="B1551" s="2" t="s">
        <v>3421</v>
      </c>
      <c r="C1551" s="2" t="s">
        <v>3422</v>
      </c>
      <c r="D1551" s="2" t="s">
        <v>1740</v>
      </c>
      <c r="E1551" s="2" t="s">
        <v>51</v>
      </c>
      <c r="F1551" s="2"/>
      <c r="G1551" s="2" t="s">
        <v>1741</v>
      </c>
      <c r="H1551" s="8" t="n">
        <v>166.094301504857</v>
      </c>
      <c r="I1551" s="2" t="s">
        <v>316</v>
      </c>
      <c r="J1551" s="8" t="n">
        <v>173571.428571429</v>
      </c>
      <c r="K1551" s="6" t="n">
        <v>7</v>
      </c>
      <c r="L1551" s="2"/>
      <c r="M1551" s="10" t="b">
        <f aca="false">TRUE()</f>
        <v>1</v>
      </c>
      <c r="N1551" s="9" t="str">
        <f aca="false">IF(H1551="","",IF(H1551&gt;=Assumptions!$B$5,1,IF(H1551&gt;=Assumptions!$B$6,2,IF(H1551&gt;=Assumptions!$B$7,3,""))))</f>
        <v/>
      </c>
      <c r="O1551" s="9" t="n">
        <f aca="false">IF(N1551=1,Assumptions!$B$8,IF(N1551=2,Assumptions!$B$9,IF(N1551=3,Assumptions!$B$10,0)))</f>
        <v>0</v>
      </c>
      <c r="P1551" s="6" t="s">
        <v>30</v>
      </c>
      <c r="Q1551" s="6" t="s">
        <v>30</v>
      </c>
      <c r="R1551" s="11" t="s">
        <v>30</v>
      </c>
      <c r="S1551" s="6" t="s">
        <v>30</v>
      </c>
      <c r="T1551" s="11" t="s">
        <v>30</v>
      </c>
      <c r="U1551" s="6" t="s">
        <v>30</v>
      </c>
      <c r="V1551" s="6" t="s">
        <v>30</v>
      </c>
      <c r="W1551" s="6" t="s">
        <v>30</v>
      </c>
      <c r="X1551" s="2" t="s">
        <v>30</v>
      </c>
      <c r="Y1551" s="6" t="str">
        <f aca="false">IF(AND(X1551="processed",ISNUMBER(S1551)),S1551*O1551,"")</f>
        <v/>
      </c>
      <c r="Z1551" s="6" t="n">
        <f aca="false">IF(ISNUMBER(K1551),K1551*O1551,0)</f>
        <v>0</v>
      </c>
      <c r="AA1551" s="2" t="s">
        <v>31</v>
      </c>
      <c r="AB1551" s="6" t="n">
        <v>595</v>
      </c>
      <c r="AC1551" s="6" t="n">
        <v>472</v>
      </c>
      <c r="AD1551" s="6" t="n">
        <v>495</v>
      </c>
      <c r="AE1551" s="6" t="n">
        <v>1564.037109375</v>
      </c>
      <c r="AF1551" s="8" t="n">
        <v>191.330055267</v>
      </c>
      <c r="AG1551" s="11" t="n">
        <v>-0.08769774972</v>
      </c>
      <c r="AH1551" s="12" t="n">
        <v>1</v>
      </c>
      <c r="AI1551" s="2" t="s">
        <v>1597</v>
      </c>
      <c r="AJ1551" s="2"/>
      <c r="AK1551" s="2" t="s">
        <v>3422</v>
      </c>
    </row>
    <row r="1552" customFormat="false" ht="15" hidden="false" customHeight="false" outlineLevel="0" collapsed="false">
      <c r="A1552" s="9"/>
      <c r="B1552" s="2" t="s">
        <v>3423</v>
      </c>
      <c r="C1552" s="2" t="s">
        <v>3424</v>
      </c>
      <c r="D1552" s="2" t="s">
        <v>1740</v>
      </c>
      <c r="E1552" s="2" t="s">
        <v>51</v>
      </c>
      <c r="F1552" s="2" t="s">
        <v>3425</v>
      </c>
      <c r="G1552" s="2" t="s">
        <v>1741</v>
      </c>
      <c r="H1552" s="8" t="n">
        <v>184.963658389</v>
      </c>
      <c r="I1552" s="2" t="s">
        <v>316</v>
      </c>
      <c r="J1552" s="8" t="n">
        <v>167500</v>
      </c>
      <c r="K1552" s="6" t="n">
        <v>2</v>
      </c>
      <c r="L1552" s="2" t="s">
        <v>1664</v>
      </c>
      <c r="M1552" s="10" t="b">
        <f aca="false">TRUE()</f>
        <v>1</v>
      </c>
      <c r="N1552" s="9" t="str">
        <f aca="false">IF(H1552="","",IF(H1552&gt;=Assumptions!$B$5,1,IF(H1552&gt;=Assumptions!$B$6,2,IF(H1552&gt;=Assumptions!$B$7,3,""))))</f>
        <v/>
      </c>
      <c r="O1552" s="9" t="n">
        <f aca="false">IF(N1552=1,Assumptions!$B$8,IF(N1552=2,Assumptions!$B$9,IF(N1552=3,Assumptions!$B$10,0)))</f>
        <v>0</v>
      </c>
      <c r="P1552" s="6" t="s">
        <v>30</v>
      </c>
      <c r="Q1552" s="6" t="s">
        <v>30</v>
      </c>
      <c r="R1552" s="11" t="s">
        <v>30</v>
      </c>
      <c r="S1552" s="6" t="s">
        <v>30</v>
      </c>
      <c r="T1552" s="11" t="s">
        <v>30</v>
      </c>
      <c r="U1552" s="6" t="s">
        <v>30</v>
      </c>
      <c r="V1552" s="6" t="s">
        <v>30</v>
      </c>
      <c r="W1552" s="6" t="s">
        <v>30</v>
      </c>
      <c r="X1552" s="2" t="s">
        <v>30</v>
      </c>
      <c r="Y1552" s="6" t="str">
        <f aca="false">IF(AND(X1552="processed",ISNUMBER(S1552)),S1552*O1552,"")</f>
        <v/>
      </c>
      <c r="Z1552" s="6" t="n">
        <f aca="false">IF(ISNUMBER(K1552),K1552*O1552,0)</f>
        <v>0</v>
      </c>
      <c r="AA1552" s="2" t="s">
        <v>31</v>
      </c>
      <c r="AB1552" s="6" t="n">
        <v>478</v>
      </c>
      <c r="AC1552" s="6" t="n">
        <v>352</v>
      </c>
      <c r="AD1552" s="6" t="n">
        <v>106</v>
      </c>
      <c r="AE1552" s="6" t="n">
        <v>1466.47619628906</v>
      </c>
      <c r="AF1552" s="8" t="n">
        <v>173.076923077</v>
      </c>
      <c r="AG1552" s="11" t="n">
        <v>0.06957649092</v>
      </c>
      <c r="AH1552" s="12" t="n">
        <v>0.997373967453504</v>
      </c>
      <c r="AI1552" s="2" t="s">
        <v>317</v>
      </c>
      <c r="AJ1552" s="2" t="s">
        <v>3424</v>
      </c>
      <c r="AK1552" s="2" t="s">
        <v>3426</v>
      </c>
    </row>
    <row r="1553" customFormat="false" ht="15" hidden="false" customHeight="false" outlineLevel="0" collapsed="false">
      <c r="A1553" s="9"/>
      <c r="B1553" s="2" t="s">
        <v>3427</v>
      </c>
      <c r="C1553" s="2" t="s">
        <v>3428</v>
      </c>
      <c r="D1553" s="2" t="s">
        <v>1740</v>
      </c>
      <c r="E1553" s="2" t="s">
        <v>51</v>
      </c>
      <c r="F1553" s="2"/>
      <c r="G1553" s="2"/>
      <c r="H1553" s="8"/>
      <c r="I1553" s="2"/>
      <c r="J1553" s="8"/>
      <c r="K1553" s="6"/>
      <c r="L1553" s="2"/>
      <c r="M1553" s="10" t="b">
        <f aca="false">TRUE()</f>
        <v>1</v>
      </c>
      <c r="N1553" s="9" t="str">
        <f aca="false">IF(H1553="","",IF(H1553&gt;=Assumptions!$B$5,1,IF(H1553&gt;=Assumptions!$B$6,2,IF(H1553&gt;=Assumptions!$B$7,3,""))))</f>
        <v/>
      </c>
      <c r="O1553" s="9" t="n">
        <f aca="false">IF(N1553=1,Assumptions!$B$8,IF(N1553=2,Assumptions!$B$9,IF(N1553=3,Assumptions!$B$10,0)))</f>
        <v>0</v>
      </c>
      <c r="P1553" s="6" t="s">
        <v>30</v>
      </c>
      <c r="Q1553" s="6" t="s">
        <v>30</v>
      </c>
      <c r="R1553" s="11" t="s">
        <v>30</v>
      </c>
      <c r="S1553" s="6" t="s">
        <v>30</v>
      </c>
      <c r="T1553" s="11" t="s">
        <v>30</v>
      </c>
      <c r="U1553" s="6" t="s">
        <v>30</v>
      </c>
      <c r="V1553" s="6" t="s">
        <v>30</v>
      </c>
      <c r="W1553" s="6" t="s">
        <v>30</v>
      </c>
      <c r="X1553" s="2" t="s">
        <v>30</v>
      </c>
      <c r="Y1553" s="6" t="str">
        <f aca="false">IF(AND(X1553="processed",ISNUMBER(S1553)),S1553*O1553,"")</f>
        <v/>
      </c>
      <c r="Z1553" s="6" t="n">
        <f aca="false">IF(ISNUMBER(K1553),K1553*O1553,0)</f>
        <v>0</v>
      </c>
      <c r="AA1553" s="2" t="s">
        <v>31</v>
      </c>
      <c r="AB1553" s="6" t="n">
        <v>559</v>
      </c>
      <c r="AC1553" s="6" t="n">
        <v>468</v>
      </c>
      <c r="AD1553" s="6" t="n">
        <v>273</v>
      </c>
      <c r="AE1553" s="6" t="n">
        <v>1655.26904296875</v>
      </c>
      <c r="AF1553" s="8"/>
      <c r="AG1553" s="11"/>
      <c r="AH1553" s="12" t="n">
        <v>0.999210151737514</v>
      </c>
      <c r="AI1553" s="2" t="s">
        <v>321</v>
      </c>
      <c r="AJ1553" s="2" t="s">
        <v>3428</v>
      </c>
      <c r="AK1553" s="2" t="s">
        <v>3429</v>
      </c>
    </row>
    <row r="1554" customFormat="false" ht="15" hidden="false" customHeight="false" outlineLevel="0" collapsed="false">
      <c r="A1554" s="9"/>
      <c r="B1554" s="2" t="s">
        <v>3430</v>
      </c>
      <c r="C1554" s="2" t="s">
        <v>3431</v>
      </c>
      <c r="D1554" s="2" t="s">
        <v>1740</v>
      </c>
      <c r="E1554" s="2" t="s">
        <v>51</v>
      </c>
      <c r="F1554" s="2"/>
      <c r="G1554" s="2" t="s">
        <v>1741</v>
      </c>
      <c r="H1554" s="8" t="n">
        <v>147.879464286</v>
      </c>
      <c r="I1554" s="2" t="s">
        <v>316</v>
      </c>
      <c r="J1554" s="8" t="n">
        <v>265000</v>
      </c>
      <c r="K1554" s="6" t="n">
        <v>1</v>
      </c>
      <c r="L1554" s="2" t="s">
        <v>1664</v>
      </c>
      <c r="M1554" s="10" t="b">
        <f aca="false">TRUE()</f>
        <v>1</v>
      </c>
      <c r="N1554" s="9" t="str">
        <f aca="false">IF(H1554="","",IF(H1554&gt;=Assumptions!$B$5,1,IF(H1554&gt;=Assumptions!$B$6,2,IF(H1554&gt;=Assumptions!$B$7,3,""))))</f>
        <v/>
      </c>
      <c r="O1554" s="9" t="n">
        <f aca="false">IF(N1554=1,Assumptions!$B$8,IF(N1554=2,Assumptions!$B$9,IF(N1554=3,Assumptions!$B$10,0)))</f>
        <v>0</v>
      </c>
      <c r="P1554" s="6" t="s">
        <v>30</v>
      </c>
      <c r="Q1554" s="6" t="s">
        <v>30</v>
      </c>
      <c r="R1554" s="11" t="s">
        <v>30</v>
      </c>
      <c r="S1554" s="6" t="s">
        <v>30</v>
      </c>
      <c r="T1554" s="11" t="s">
        <v>30</v>
      </c>
      <c r="U1554" s="6" t="s">
        <v>30</v>
      </c>
      <c r="V1554" s="6" t="s">
        <v>30</v>
      </c>
      <c r="W1554" s="6" t="s">
        <v>30</v>
      </c>
      <c r="X1554" s="2" t="s">
        <v>30</v>
      </c>
      <c r="Y1554" s="6" t="str">
        <f aca="false">IF(AND(X1554="processed",ISNUMBER(S1554)),S1554*O1554,"")</f>
        <v/>
      </c>
      <c r="Z1554" s="6" t="n">
        <f aca="false">IF(ISNUMBER(K1554),K1554*O1554,0)</f>
        <v>0</v>
      </c>
      <c r="AA1554" s="2" t="s">
        <v>31</v>
      </c>
      <c r="AB1554" s="6" t="n">
        <v>816</v>
      </c>
      <c r="AC1554" s="6" t="n">
        <v>654</v>
      </c>
      <c r="AD1554" s="6" t="n">
        <v>678</v>
      </c>
      <c r="AE1554" s="6" t="n">
        <v>1605.14013671875</v>
      </c>
      <c r="AF1554" s="8" t="n">
        <v>147.879464286</v>
      </c>
      <c r="AG1554" s="11" t="n">
        <v>0.5168207908</v>
      </c>
      <c r="AH1554" s="12" t="n">
        <v>0.995367529083924</v>
      </c>
      <c r="AI1554" s="2" t="s">
        <v>426</v>
      </c>
      <c r="AJ1554" s="2" t="s">
        <v>3432</v>
      </c>
      <c r="AK1554" s="2" t="s">
        <v>3433</v>
      </c>
    </row>
    <row r="1555" customFormat="false" ht="15" hidden="false" customHeight="false" outlineLevel="0" collapsed="false">
      <c r="A1555" s="9"/>
      <c r="B1555" s="2" t="s">
        <v>3434</v>
      </c>
      <c r="C1555" s="2" t="s">
        <v>3435</v>
      </c>
      <c r="D1555" s="2" t="s">
        <v>1740</v>
      </c>
      <c r="E1555" s="2" t="s">
        <v>51</v>
      </c>
      <c r="F1555" s="2"/>
      <c r="G1555" s="2"/>
      <c r="H1555" s="8"/>
      <c r="I1555" s="2"/>
      <c r="J1555" s="8"/>
      <c r="K1555" s="6"/>
      <c r="L1555" s="2"/>
      <c r="M1555" s="10" t="b">
        <f aca="false">TRUE()</f>
        <v>1</v>
      </c>
      <c r="N1555" s="9" t="str">
        <f aca="false">IF(H1555="","",IF(H1555&gt;=Assumptions!$B$5,1,IF(H1555&gt;=Assumptions!$B$6,2,IF(H1555&gt;=Assumptions!$B$7,3,""))))</f>
        <v/>
      </c>
      <c r="O1555" s="9" t="n">
        <f aca="false">IF(N1555=1,Assumptions!$B$8,IF(N1555=2,Assumptions!$B$9,IF(N1555=3,Assumptions!$B$10,0)))</f>
        <v>0</v>
      </c>
      <c r="P1555" s="6" t="s">
        <v>30</v>
      </c>
      <c r="Q1555" s="6" t="s">
        <v>30</v>
      </c>
      <c r="R1555" s="11" t="s">
        <v>30</v>
      </c>
      <c r="S1555" s="6" t="s">
        <v>30</v>
      </c>
      <c r="T1555" s="11" t="s">
        <v>30</v>
      </c>
      <c r="U1555" s="6" t="s">
        <v>30</v>
      </c>
      <c r="V1555" s="6" t="s">
        <v>30</v>
      </c>
      <c r="W1555" s="6" t="s">
        <v>30</v>
      </c>
      <c r="X1555" s="2" t="s">
        <v>30</v>
      </c>
      <c r="Y1555" s="6" t="str">
        <f aca="false">IF(AND(X1555="processed",ISNUMBER(S1555)),S1555*O1555,"")</f>
        <v/>
      </c>
      <c r="Z1555" s="6" t="n">
        <f aca="false">IF(ISNUMBER(K1555),K1555*O1555,0)</f>
        <v>0</v>
      </c>
      <c r="AA1555" s="2" t="s">
        <v>31</v>
      </c>
      <c r="AB1555" s="6" t="n">
        <v>92</v>
      </c>
      <c r="AC1555" s="6" t="n">
        <v>77</v>
      </c>
      <c r="AD1555" s="6" t="n">
        <v>92</v>
      </c>
      <c r="AE1555" s="6" t="n">
        <v>1628.20275878906</v>
      </c>
      <c r="AF1555" s="8"/>
      <c r="AG1555" s="11"/>
      <c r="AH1555" s="12" t="n">
        <v>1</v>
      </c>
      <c r="AI1555" s="2" t="s">
        <v>1597</v>
      </c>
      <c r="AJ1555" s="2"/>
      <c r="AK1555" s="2" t="s">
        <v>3435</v>
      </c>
    </row>
    <row r="1556" customFormat="false" ht="15" hidden="false" customHeight="false" outlineLevel="0" collapsed="false">
      <c r="A1556" s="9"/>
      <c r="B1556" s="2" t="s">
        <v>3436</v>
      </c>
      <c r="C1556" s="2" t="s">
        <v>3437</v>
      </c>
      <c r="D1556" s="2" t="s">
        <v>1740</v>
      </c>
      <c r="E1556" s="2" t="s">
        <v>51</v>
      </c>
      <c r="F1556" s="2"/>
      <c r="G1556" s="2" t="s">
        <v>1741</v>
      </c>
      <c r="H1556" s="8" t="n">
        <v>171.26515728015</v>
      </c>
      <c r="I1556" s="2" t="s">
        <v>316</v>
      </c>
      <c r="J1556" s="8" t="n">
        <v>251350</v>
      </c>
      <c r="K1556" s="6" t="n">
        <v>20</v>
      </c>
      <c r="L1556" s="2"/>
      <c r="M1556" s="10" t="b">
        <f aca="false">TRUE()</f>
        <v>1</v>
      </c>
      <c r="N1556" s="9" t="str">
        <f aca="false">IF(H1556="","",IF(H1556&gt;=Assumptions!$B$5,1,IF(H1556&gt;=Assumptions!$B$6,2,IF(H1556&gt;=Assumptions!$B$7,3,""))))</f>
        <v/>
      </c>
      <c r="O1556" s="9" t="n">
        <f aca="false">IF(N1556=1,Assumptions!$B$8,IF(N1556=2,Assumptions!$B$9,IF(N1556=3,Assumptions!$B$10,0)))</f>
        <v>0</v>
      </c>
      <c r="P1556" s="6" t="s">
        <v>30</v>
      </c>
      <c r="Q1556" s="6" t="s">
        <v>30</v>
      </c>
      <c r="R1556" s="11" t="s">
        <v>30</v>
      </c>
      <c r="S1556" s="6" t="s">
        <v>30</v>
      </c>
      <c r="T1556" s="11" t="s">
        <v>30</v>
      </c>
      <c r="U1556" s="6" t="s">
        <v>30</v>
      </c>
      <c r="V1556" s="6" t="s">
        <v>30</v>
      </c>
      <c r="W1556" s="6" t="s">
        <v>30</v>
      </c>
      <c r="X1556" s="2" t="s">
        <v>30</v>
      </c>
      <c r="Y1556" s="6" t="str">
        <f aca="false">IF(AND(X1556="processed",ISNUMBER(S1556)),S1556*O1556,"")</f>
        <v/>
      </c>
      <c r="Z1556" s="6" t="n">
        <f aca="false">IF(ISNUMBER(K1556),K1556*O1556,0)</f>
        <v>0</v>
      </c>
      <c r="AA1556" s="2" t="s">
        <v>31</v>
      </c>
      <c r="AB1556" s="6" t="n">
        <v>1031</v>
      </c>
      <c r="AC1556" s="6" t="n">
        <v>863</v>
      </c>
      <c r="AD1556" s="6" t="n">
        <v>1021</v>
      </c>
      <c r="AE1556" s="6" t="n">
        <v>1710.57336425781</v>
      </c>
      <c r="AF1556" s="8" t="n">
        <v>190.064589666</v>
      </c>
      <c r="AG1556" s="11" t="n">
        <v>-0.3059927269</v>
      </c>
      <c r="AH1556" s="12" t="n">
        <v>1</v>
      </c>
      <c r="AI1556" s="2" t="s">
        <v>962</v>
      </c>
      <c r="AJ1556" s="2" t="s">
        <v>3438</v>
      </c>
      <c r="AK1556" s="2" t="s">
        <v>3437</v>
      </c>
    </row>
    <row r="1557" customFormat="false" ht="15" hidden="false" customHeight="false" outlineLevel="0" collapsed="false">
      <c r="A1557" s="9"/>
      <c r="B1557" s="2" t="s">
        <v>3439</v>
      </c>
      <c r="C1557" s="2" t="s">
        <v>3440</v>
      </c>
      <c r="D1557" s="2" t="s">
        <v>1740</v>
      </c>
      <c r="E1557" s="2" t="s">
        <v>51</v>
      </c>
      <c r="F1557" s="2"/>
      <c r="G1557" s="2" t="s">
        <v>1741</v>
      </c>
      <c r="H1557" s="8" t="n">
        <v>261.661801336361</v>
      </c>
      <c r="I1557" s="2" t="s">
        <v>316</v>
      </c>
      <c r="J1557" s="8" t="n">
        <v>317472.222222222</v>
      </c>
      <c r="K1557" s="6" t="n">
        <v>36</v>
      </c>
      <c r="L1557" s="2"/>
      <c r="M1557" s="10" t="b">
        <f aca="false">TRUE()</f>
        <v>1</v>
      </c>
      <c r="N1557" s="9" t="str">
        <f aca="false">IF(H1557="","",IF(H1557&gt;=Assumptions!$B$5,1,IF(H1557&gt;=Assumptions!$B$6,2,IF(H1557&gt;=Assumptions!$B$7,3,""))))</f>
        <v/>
      </c>
      <c r="O1557" s="9" t="n">
        <f aca="false">IF(N1557=1,Assumptions!$B$8,IF(N1557=2,Assumptions!$B$9,IF(N1557=3,Assumptions!$B$10,0)))</f>
        <v>0</v>
      </c>
      <c r="P1557" s="6" t="s">
        <v>30</v>
      </c>
      <c r="Q1557" s="6" t="s">
        <v>30</v>
      </c>
      <c r="R1557" s="11" t="s">
        <v>30</v>
      </c>
      <c r="S1557" s="6" t="s">
        <v>30</v>
      </c>
      <c r="T1557" s="11" t="s">
        <v>30</v>
      </c>
      <c r="U1557" s="6" t="s">
        <v>30</v>
      </c>
      <c r="V1557" s="6" t="s">
        <v>30</v>
      </c>
      <c r="W1557" s="6" t="s">
        <v>30</v>
      </c>
      <c r="X1557" s="2" t="s">
        <v>30</v>
      </c>
      <c r="Y1557" s="6" t="str">
        <f aca="false">IF(AND(X1557="processed",ISNUMBER(S1557)),S1557*O1557,"")</f>
        <v/>
      </c>
      <c r="Z1557" s="6" t="n">
        <f aca="false">IF(ISNUMBER(K1557),K1557*O1557,0)</f>
        <v>0</v>
      </c>
      <c r="AA1557" s="2" t="s">
        <v>31</v>
      </c>
      <c r="AB1557" s="6" t="n">
        <v>1903</v>
      </c>
      <c r="AC1557" s="6" t="n">
        <v>1611</v>
      </c>
      <c r="AD1557" s="6" t="n">
        <v>596</v>
      </c>
      <c r="AE1557" s="6" t="n">
        <v>1629.4267578125</v>
      </c>
      <c r="AF1557" s="8" t="n">
        <v>266.666666667</v>
      </c>
      <c r="AG1557" s="11" t="n">
        <v>0.02761898599</v>
      </c>
      <c r="AH1557" s="12" t="n">
        <v>1</v>
      </c>
      <c r="AI1557" s="2" t="s">
        <v>321</v>
      </c>
      <c r="AJ1557" s="2" t="s">
        <v>3440</v>
      </c>
      <c r="AK1557" s="2" t="s">
        <v>3440</v>
      </c>
    </row>
    <row r="1558" customFormat="false" ht="15" hidden="false" customHeight="false" outlineLevel="0" collapsed="false">
      <c r="A1558" s="9"/>
      <c r="B1558" s="2" t="s">
        <v>3441</v>
      </c>
      <c r="C1558" s="2" t="s">
        <v>3442</v>
      </c>
      <c r="D1558" s="2" t="s">
        <v>3380</v>
      </c>
      <c r="E1558" s="2" t="s">
        <v>51</v>
      </c>
      <c r="F1558" s="2"/>
      <c r="G1558" s="2"/>
      <c r="H1558" s="8"/>
      <c r="I1558" s="2"/>
      <c r="J1558" s="8"/>
      <c r="K1558" s="6"/>
      <c r="L1558" s="2"/>
      <c r="M1558" s="10" t="b">
        <f aca="false">TRUE()</f>
        <v>1</v>
      </c>
      <c r="N1558" s="9" t="str">
        <f aca="false">IF(H1558="","",IF(H1558&gt;=Assumptions!$B$5,1,IF(H1558&gt;=Assumptions!$B$6,2,IF(H1558&gt;=Assumptions!$B$7,3,""))))</f>
        <v/>
      </c>
      <c r="O1558" s="9" t="n">
        <f aca="false">IF(N1558=1,Assumptions!$B$8,IF(N1558=2,Assumptions!$B$9,IF(N1558=3,Assumptions!$B$10,0)))</f>
        <v>0</v>
      </c>
      <c r="P1558" s="6" t="s">
        <v>30</v>
      </c>
      <c r="Q1558" s="6" t="s">
        <v>30</v>
      </c>
      <c r="R1558" s="11" t="s">
        <v>30</v>
      </c>
      <c r="S1558" s="6" t="s">
        <v>30</v>
      </c>
      <c r="T1558" s="11" t="s">
        <v>30</v>
      </c>
      <c r="U1558" s="6" t="s">
        <v>30</v>
      </c>
      <c r="V1558" s="6" t="s">
        <v>30</v>
      </c>
      <c r="W1558" s="6" t="s">
        <v>30</v>
      </c>
      <c r="X1558" s="2" t="s">
        <v>30</v>
      </c>
      <c r="Y1558" s="6" t="str">
        <f aca="false">IF(AND(X1558="processed",ISNUMBER(S1558)),S1558*O1558,"")</f>
        <v/>
      </c>
      <c r="Z1558" s="6" t="n">
        <f aca="false">IF(ISNUMBER(K1558),K1558*O1558,0)</f>
        <v>0</v>
      </c>
      <c r="AA1558" s="2" t="s">
        <v>31</v>
      </c>
      <c r="AB1558" s="6" t="n">
        <v>617</v>
      </c>
      <c r="AC1558" s="6" t="n">
        <v>515</v>
      </c>
      <c r="AD1558" s="6" t="n">
        <v>537</v>
      </c>
      <c r="AE1558" s="6" t="n">
        <v>1501.5185546875</v>
      </c>
      <c r="AF1558" s="8"/>
      <c r="AG1558" s="11"/>
      <c r="AH1558" s="12" t="n">
        <v>0.996249232543645</v>
      </c>
      <c r="AI1558" s="2" t="s">
        <v>582</v>
      </c>
      <c r="AJ1558" s="2" t="s">
        <v>3442</v>
      </c>
      <c r="AK1558" s="2" t="s">
        <v>3382</v>
      </c>
    </row>
    <row r="1559" customFormat="false" ht="15" hidden="false" customHeight="false" outlineLevel="0" collapsed="false">
      <c r="A1559" s="9"/>
      <c r="B1559" s="2" t="s">
        <v>3443</v>
      </c>
      <c r="C1559" s="2" t="s">
        <v>3444</v>
      </c>
      <c r="D1559" s="2" t="s">
        <v>1740</v>
      </c>
      <c r="E1559" s="2" t="s">
        <v>51</v>
      </c>
      <c r="F1559" s="2"/>
      <c r="G1559" s="2" t="s">
        <v>1741</v>
      </c>
      <c r="H1559" s="8" t="n">
        <v>305.154320474091</v>
      </c>
      <c r="I1559" s="2" t="s">
        <v>316</v>
      </c>
      <c r="J1559" s="8" t="n">
        <v>363090.909090909</v>
      </c>
      <c r="K1559" s="6" t="n">
        <v>11</v>
      </c>
      <c r="L1559" s="2"/>
      <c r="M1559" s="10" t="b">
        <f aca="false">TRUE()</f>
        <v>1</v>
      </c>
      <c r="N1559" s="9" t="str">
        <f aca="false">IF(H1559="","",IF(H1559&gt;=Assumptions!$B$5,1,IF(H1559&gt;=Assumptions!$B$6,2,IF(H1559&gt;=Assumptions!$B$7,3,""))))</f>
        <v/>
      </c>
      <c r="O1559" s="9" t="n">
        <f aca="false">IF(N1559=1,Assumptions!$B$8,IF(N1559=2,Assumptions!$B$9,IF(N1559=3,Assumptions!$B$10,0)))</f>
        <v>0</v>
      </c>
      <c r="P1559" s="6" t="s">
        <v>30</v>
      </c>
      <c r="Q1559" s="6" t="s">
        <v>30</v>
      </c>
      <c r="R1559" s="11" t="s">
        <v>30</v>
      </c>
      <c r="S1559" s="6" t="s">
        <v>30</v>
      </c>
      <c r="T1559" s="11" t="s">
        <v>30</v>
      </c>
      <c r="U1559" s="6" t="s">
        <v>30</v>
      </c>
      <c r="V1559" s="6" t="s">
        <v>30</v>
      </c>
      <c r="W1559" s="6" t="s">
        <v>30</v>
      </c>
      <c r="X1559" s="2" t="s">
        <v>30</v>
      </c>
      <c r="Y1559" s="6" t="str">
        <f aca="false">IF(AND(X1559="processed",ISNUMBER(S1559)),S1559*O1559,"")</f>
        <v/>
      </c>
      <c r="Z1559" s="6" t="n">
        <f aca="false">IF(ISNUMBER(K1559),K1559*O1559,0)</f>
        <v>0</v>
      </c>
      <c r="AA1559" s="2" t="s">
        <v>31</v>
      </c>
      <c r="AB1559" s="6" t="n">
        <v>481</v>
      </c>
      <c r="AC1559" s="6" t="n">
        <v>292</v>
      </c>
      <c r="AD1559" s="6" t="n">
        <v>36</v>
      </c>
      <c r="AE1559" s="6" t="n">
        <v>1433.0390625</v>
      </c>
      <c r="AF1559" s="8" t="n">
        <v>347.368421053</v>
      </c>
      <c r="AG1559" s="11" t="n">
        <v>0.04488811754</v>
      </c>
      <c r="AH1559" s="12" t="n">
        <v>0.733840281092265</v>
      </c>
      <c r="AI1559" s="2" t="s">
        <v>582</v>
      </c>
      <c r="AJ1559" s="2" t="s">
        <v>3444</v>
      </c>
      <c r="AK1559" s="2" t="s">
        <v>3360</v>
      </c>
    </row>
    <row r="1560" customFormat="false" ht="15" hidden="false" customHeight="false" outlineLevel="0" collapsed="false">
      <c r="A1560" s="9"/>
      <c r="B1560" s="2" t="s">
        <v>3445</v>
      </c>
      <c r="C1560" s="2" t="s">
        <v>3446</v>
      </c>
      <c r="D1560" s="2" t="s">
        <v>1740</v>
      </c>
      <c r="E1560" s="2" t="s">
        <v>51</v>
      </c>
      <c r="F1560" s="2"/>
      <c r="G1560" s="2" t="s">
        <v>1741</v>
      </c>
      <c r="H1560" s="8" t="n">
        <v>216.197766171167</v>
      </c>
      <c r="I1560" s="2" t="s">
        <v>316</v>
      </c>
      <c r="J1560" s="8" t="n">
        <v>283566.666666667</v>
      </c>
      <c r="K1560" s="6" t="n">
        <v>6</v>
      </c>
      <c r="L1560" s="2"/>
      <c r="M1560" s="10" t="b">
        <f aca="false">TRUE()</f>
        <v>1</v>
      </c>
      <c r="N1560" s="9" t="str">
        <f aca="false">IF(H1560="","",IF(H1560&gt;=Assumptions!$B$5,1,IF(H1560&gt;=Assumptions!$B$6,2,IF(H1560&gt;=Assumptions!$B$7,3,""))))</f>
        <v/>
      </c>
      <c r="O1560" s="9" t="n">
        <f aca="false">IF(N1560=1,Assumptions!$B$8,IF(N1560=2,Assumptions!$B$9,IF(N1560=3,Assumptions!$B$10,0)))</f>
        <v>0</v>
      </c>
      <c r="P1560" s="6" t="s">
        <v>30</v>
      </c>
      <c r="Q1560" s="6" t="s">
        <v>30</v>
      </c>
      <c r="R1560" s="11" t="s">
        <v>30</v>
      </c>
      <c r="S1560" s="6" t="s">
        <v>30</v>
      </c>
      <c r="T1560" s="11" t="s">
        <v>30</v>
      </c>
      <c r="U1560" s="6" t="s">
        <v>30</v>
      </c>
      <c r="V1560" s="6" t="s">
        <v>30</v>
      </c>
      <c r="W1560" s="6" t="s">
        <v>30</v>
      </c>
      <c r="X1560" s="2" t="s">
        <v>30</v>
      </c>
      <c r="Y1560" s="6" t="str">
        <f aca="false">IF(AND(X1560="processed",ISNUMBER(S1560)),S1560*O1560,"")</f>
        <v/>
      </c>
      <c r="Z1560" s="6" t="n">
        <f aca="false">IF(ISNUMBER(K1560),K1560*O1560,0)</f>
        <v>0</v>
      </c>
      <c r="AA1560" s="2" t="s">
        <v>31</v>
      </c>
      <c r="AB1560" s="6" t="n">
        <v>644</v>
      </c>
      <c r="AC1560" s="6" t="n">
        <v>532</v>
      </c>
      <c r="AD1560" s="6" t="n">
        <v>116</v>
      </c>
      <c r="AE1560" s="6" t="n">
        <v>1639.30395507813</v>
      </c>
      <c r="AF1560" s="8" t="n">
        <v>201.126303662</v>
      </c>
      <c r="AG1560" s="11" t="n">
        <v>-0.070487052</v>
      </c>
      <c r="AH1560" s="12" t="n">
        <v>0.999999999999999</v>
      </c>
      <c r="AI1560" s="2" t="s">
        <v>2132</v>
      </c>
      <c r="AJ1560" s="2" t="s">
        <v>3447</v>
      </c>
      <c r="AK1560" s="2" t="s">
        <v>3440</v>
      </c>
    </row>
    <row r="1561" customFormat="false" ht="15" hidden="false" customHeight="false" outlineLevel="0" collapsed="false">
      <c r="A1561" s="9"/>
      <c r="B1561" s="2" t="s">
        <v>3448</v>
      </c>
      <c r="C1561" s="2" t="s">
        <v>3449</v>
      </c>
      <c r="D1561" s="2" t="s">
        <v>3390</v>
      </c>
      <c r="E1561" s="2" t="s">
        <v>51</v>
      </c>
      <c r="F1561" s="2"/>
      <c r="G1561" s="2" t="s">
        <v>3391</v>
      </c>
      <c r="H1561" s="8" t="n">
        <v>285.240579737111</v>
      </c>
      <c r="I1561" s="2" t="s">
        <v>316</v>
      </c>
      <c r="J1561" s="8" t="n">
        <v>741000</v>
      </c>
      <c r="K1561" s="6" t="n">
        <v>9</v>
      </c>
      <c r="L1561" s="2"/>
      <c r="M1561" s="10" t="b">
        <f aca="false">TRUE()</f>
        <v>1</v>
      </c>
      <c r="N1561" s="9" t="str">
        <f aca="false">IF(H1561="","",IF(H1561&gt;=Assumptions!$B$5,1,IF(H1561&gt;=Assumptions!$B$6,2,IF(H1561&gt;=Assumptions!$B$7,3,""))))</f>
        <v/>
      </c>
      <c r="O1561" s="9" t="n">
        <f aca="false">IF(N1561=1,Assumptions!$B$8,IF(N1561=2,Assumptions!$B$9,IF(N1561=3,Assumptions!$B$10,0)))</f>
        <v>0</v>
      </c>
      <c r="P1561" s="6" t="s">
        <v>30</v>
      </c>
      <c r="Q1561" s="6" t="s">
        <v>30</v>
      </c>
      <c r="R1561" s="11" t="s">
        <v>30</v>
      </c>
      <c r="S1561" s="6" t="s">
        <v>30</v>
      </c>
      <c r="T1561" s="11" t="s">
        <v>30</v>
      </c>
      <c r="U1561" s="6" t="s">
        <v>30</v>
      </c>
      <c r="V1561" s="6" t="s">
        <v>30</v>
      </c>
      <c r="W1561" s="6" t="s">
        <v>30</v>
      </c>
      <c r="X1561" s="2" t="s">
        <v>30</v>
      </c>
      <c r="Y1561" s="6" t="str">
        <f aca="false">IF(AND(X1561="processed",ISNUMBER(S1561)),S1561*O1561,"")</f>
        <v/>
      </c>
      <c r="Z1561" s="6" t="n">
        <f aca="false">IF(ISNUMBER(K1561),K1561*O1561,0)</f>
        <v>0</v>
      </c>
      <c r="AA1561" s="2" t="s">
        <v>31</v>
      </c>
      <c r="AB1561" s="6" t="n">
        <v>1433</v>
      </c>
      <c r="AC1561" s="6" t="n">
        <v>1226</v>
      </c>
      <c r="AD1561" s="6" t="n">
        <v>1104</v>
      </c>
      <c r="AE1561" s="6" t="n">
        <v>1895.4501953125</v>
      </c>
      <c r="AF1561" s="8" t="n">
        <v>523.054040654</v>
      </c>
      <c r="AG1561" s="11" t="n">
        <v>1.181803037</v>
      </c>
      <c r="AH1561" s="12" t="n">
        <v>0.9428788780577</v>
      </c>
      <c r="AI1561" s="2" t="s">
        <v>317</v>
      </c>
      <c r="AJ1561" s="2" t="s">
        <v>3449</v>
      </c>
      <c r="AK1561" s="2" t="s">
        <v>3449</v>
      </c>
    </row>
    <row r="1562" customFormat="false" ht="15" hidden="false" customHeight="false" outlineLevel="0" collapsed="false">
      <c r="A1562" s="9"/>
      <c r="B1562" s="2" t="s">
        <v>3450</v>
      </c>
      <c r="C1562" s="2" t="s">
        <v>3451</v>
      </c>
      <c r="D1562" s="2" t="s">
        <v>3452</v>
      </c>
      <c r="E1562" s="2" t="s">
        <v>51</v>
      </c>
      <c r="F1562" s="2"/>
      <c r="G1562" s="2"/>
      <c r="H1562" s="8"/>
      <c r="I1562" s="2"/>
      <c r="J1562" s="8"/>
      <c r="K1562" s="6"/>
      <c r="L1562" s="2"/>
      <c r="M1562" s="10" t="b">
        <f aca="false">TRUE()</f>
        <v>1</v>
      </c>
      <c r="N1562" s="9" t="str">
        <f aca="false">IF(H1562="","",IF(H1562&gt;=Assumptions!$B$5,1,IF(H1562&gt;=Assumptions!$B$6,2,IF(H1562&gt;=Assumptions!$B$7,3,""))))</f>
        <v/>
      </c>
      <c r="O1562" s="9" t="n">
        <f aca="false">IF(N1562=1,Assumptions!$B$8,IF(N1562=2,Assumptions!$B$9,IF(N1562=3,Assumptions!$B$10,0)))</f>
        <v>0</v>
      </c>
      <c r="P1562" s="6" t="s">
        <v>30</v>
      </c>
      <c r="Q1562" s="6" t="s">
        <v>30</v>
      </c>
      <c r="R1562" s="11" t="s">
        <v>30</v>
      </c>
      <c r="S1562" s="6" t="s">
        <v>30</v>
      </c>
      <c r="T1562" s="11" t="s">
        <v>30</v>
      </c>
      <c r="U1562" s="6" t="s">
        <v>30</v>
      </c>
      <c r="V1562" s="6" t="s">
        <v>30</v>
      </c>
      <c r="W1562" s="6" t="s">
        <v>30</v>
      </c>
      <c r="X1562" s="2" t="s">
        <v>30</v>
      </c>
      <c r="Y1562" s="6" t="str">
        <f aca="false">IF(AND(X1562="processed",ISNUMBER(S1562)),S1562*O1562,"")</f>
        <v/>
      </c>
      <c r="Z1562" s="6" t="n">
        <f aca="false">IF(ISNUMBER(K1562),K1562*O1562,0)</f>
        <v>0</v>
      </c>
      <c r="AA1562" s="2" t="s">
        <v>31</v>
      </c>
      <c r="AB1562" s="6" t="n">
        <v>141</v>
      </c>
      <c r="AC1562" s="6" t="n">
        <v>107</v>
      </c>
      <c r="AD1562" s="6" t="n">
        <v>60</v>
      </c>
      <c r="AE1562" s="6" t="n">
        <v>1306.34838867188</v>
      </c>
      <c r="AF1562" s="8"/>
      <c r="AG1562" s="11"/>
      <c r="AH1562" s="12" t="n">
        <v>0.999964510275813</v>
      </c>
      <c r="AI1562" s="2" t="s">
        <v>2111</v>
      </c>
      <c r="AJ1562" s="2" t="s">
        <v>3453</v>
      </c>
      <c r="AK1562" s="2" t="s">
        <v>3451</v>
      </c>
    </row>
    <row r="1563" customFormat="false" ht="15" hidden="false" customHeight="false" outlineLevel="0" collapsed="false">
      <c r="A1563" s="9"/>
      <c r="B1563" s="2" t="s">
        <v>3454</v>
      </c>
      <c r="C1563" s="2" t="s">
        <v>3455</v>
      </c>
      <c r="D1563" s="2" t="s">
        <v>1740</v>
      </c>
      <c r="E1563" s="2" t="s">
        <v>51</v>
      </c>
      <c r="F1563" s="2"/>
      <c r="G1563" s="2" t="s">
        <v>1741</v>
      </c>
      <c r="H1563" s="8" t="n">
        <v>286.867204696</v>
      </c>
      <c r="I1563" s="2" t="s">
        <v>316</v>
      </c>
      <c r="J1563" s="8" t="n">
        <v>391000</v>
      </c>
      <c r="K1563" s="6" t="n">
        <v>1</v>
      </c>
      <c r="L1563" s="2" t="s">
        <v>1664</v>
      </c>
      <c r="M1563" s="10" t="b">
        <f aca="false">TRUE()</f>
        <v>1</v>
      </c>
      <c r="N1563" s="9" t="str">
        <f aca="false">IF(H1563="","",IF(H1563&gt;=Assumptions!$B$5,1,IF(H1563&gt;=Assumptions!$B$6,2,IF(H1563&gt;=Assumptions!$B$7,3,""))))</f>
        <v/>
      </c>
      <c r="O1563" s="9" t="n">
        <f aca="false">IF(N1563=1,Assumptions!$B$8,IF(N1563=2,Assumptions!$B$9,IF(N1563=3,Assumptions!$B$10,0)))</f>
        <v>0</v>
      </c>
      <c r="P1563" s="6" t="s">
        <v>30</v>
      </c>
      <c r="Q1563" s="6" t="s">
        <v>30</v>
      </c>
      <c r="R1563" s="11" t="s">
        <v>30</v>
      </c>
      <c r="S1563" s="6" t="s">
        <v>30</v>
      </c>
      <c r="T1563" s="11" t="s">
        <v>30</v>
      </c>
      <c r="U1563" s="6" t="s">
        <v>30</v>
      </c>
      <c r="V1563" s="6" t="s">
        <v>30</v>
      </c>
      <c r="W1563" s="6" t="s">
        <v>30</v>
      </c>
      <c r="X1563" s="2" t="s">
        <v>30</v>
      </c>
      <c r="Y1563" s="6" t="str">
        <f aca="false">IF(AND(X1563="processed",ISNUMBER(S1563)),S1563*O1563,"")</f>
        <v/>
      </c>
      <c r="Z1563" s="6" t="n">
        <f aca="false">IF(ISNUMBER(K1563),K1563*O1563,0)</f>
        <v>0</v>
      </c>
      <c r="AA1563" s="2" t="s">
        <v>31</v>
      </c>
      <c r="AB1563" s="6" t="n">
        <v>345</v>
      </c>
      <c r="AC1563" s="6" t="n">
        <v>283</v>
      </c>
      <c r="AD1563" s="6" t="n">
        <v>343</v>
      </c>
      <c r="AE1563" s="6" t="n">
        <v>1632.0654296875</v>
      </c>
      <c r="AF1563" s="8" t="n">
        <v>286.867204696</v>
      </c>
      <c r="AG1563" s="11"/>
      <c r="AH1563" s="12" t="n">
        <v>1</v>
      </c>
      <c r="AI1563" s="2" t="s">
        <v>1597</v>
      </c>
      <c r="AJ1563" s="2"/>
      <c r="AK1563" s="2" t="s">
        <v>3455</v>
      </c>
    </row>
    <row r="1564" customFormat="false" ht="15" hidden="false" customHeight="false" outlineLevel="0" collapsed="false">
      <c r="A1564" s="9"/>
      <c r="B1564" s="2" t="s">
        <v>3456</v>
      </c>
      <c r="C1564" s="2" t="s">
        <v>3457</v>
      </c>
      <c r="D1564" s="2" t="s">
        <v>1740</v>
      </c>
      <c r="E1564" s="2" t="s">
        <v>51</v>
      </c>
      <c r="F1564" s="2"/>
      <c r="G1564" s="2" t="s">
        <v>1741</v>
      </c>
      <c r="H1564" s="8" t="n">
        <v>483.425344022954</v>
      </c>
      <c r="I1564" s="2" t="s">
        <v>316</v>
      </c>
      <c r="J1564" s="8" t="n">
        <v>889772.727272727</v>
      </c>
      <c r="K1564" s="6" t="n">
        <v>22</v>
      </c>
      <c r="L1564" s="2"/>
      <c r="M1564" s="10" t="b">
        <f aca="false">TRUE()</f>
        <v>1</v>
      </c>
      <c r="N1564" s="9" t="str">
        <f aca="false">IF(H1564="","",IF(H1564&gt;=Assumptions!$B$5,1,IF(H1564&gt;=Assumptions!$B$6,2,IF(H1564&gt;=Assumptions!$B$7,3,""))))</f>
        <v/>
      </c>
      <c r="O1564" s="9" t="n">
        <f aca="false">IF(N1564=1,Assumptions!$B$8,IF(N1564=2,Assumptions!$B$9,IF(N1564=3,Assumptions!$B$10,0)))</f>
        <v>0</v>
      </c>
      <c r="P1564" s="6" t="s">
        <v>30</v>
      </c>
      <c r="Q1564" s="6" t="s">
        <v>30</v>
      </c>
      <c r="R1564" s="11" t="s">
        <v>30</v>
      </c>
      <c r="S1564" s="6" t="s">
        <v>30</v>
      </c>
      <c r="T1564" s="11" t="s">
        <v>30</v>
      </c>
      <c r="U1564" s="6" t="s">
        <v>30</v>
      </c>
      <c r="V1564" s="6" t="s">
        <v>30</v>
      </c>
      <c r="W1564" s="6" t="s">
        <v>30</v>
      </c>
      <c r="X1564" s="2" t="s">
        <v>30</v>
      </c>
      <c r="Y1564" s="6" t="str">
        <f aca="false">IF(AND(X1564="processed",ISNUMBER(S1564)),S1564*O1564,"")</f>
        <v/>
      </c>
      <c r="Z1564" s="6" t="n">
        <f aca="false">IF(ISNUMBER(K1564),K1564*O1564,0)</f>
        <v>0</v>
      </c>
      <c r="AA1564" s="2" t="s">
        <v>31</v>
      </c>
      <c r="AB1564" s="6" t="n">
        <v>1813</v>
      </c>
      <c r="AC1564" s="6" t="n">
        <v>1499</v>
      </c>
      <c r="AD1564" s="6" t="n">
        <v>1309</v>
      </c>
      <c r="AE1564" s="6" t="n">
        <v>1545.61242675781</v>
      </c>
      <c r="AF1564" s="8" t="n">
        <v>428.571428571</v>
      </c>
      <c r="AG1564" s="11" t="n">
        <v>0.5672997523</v>
      </c>
      <c r="AH1564" s="12" t="n">
        <v>0.775745670728558</v>
      </c>
      <c r="AI1564" s="2" t="s">
        <v>319</v>
      </c>
      <c r="AJ1564" s="2"/>
      <c r="AK1564" s="2" t="s">
        <v>3457</v>
      </c>
    </row>
    <row r="1565" customFormat="false" ht="15" hidden="false" customHeight="false" outlineLevel="0" collapsed="false">
      <c r="A1565" s="9"/>
      <c r="B1565" s="2" t="s">
        <v>3458</v>
      </c>
      <c r="C1565" s="2" t="s">
        <v>3459</v>
      </c>
      <c r="D1565" s="2" t="s">
        <v>1740</v>
      </c>
      <c r="E1565" s="2" t="s">
        <v>51</v>
      </c>
      <c r="F1565" s="2"/>
      <c r="G1565" s="2" t="s">
        <v>1741</v>
      </c>
      <c r="H1565" s="8" t="n">
        <v>131.195279233333</v>
      </c>
      <c r="I1565" s="2" t="s">
        <v>316</v>
      </c>
      <c r="J1565" s="8" t="n">
        <v>202500</v>
      </c>
      <c r="K1565" s="6" t="n">
        <v>3</v>
      </c>
      <c r="L1565" s="2" t="s">
        <v>1664</v>
      </c>
      <c r="M1565" s="10" t="b">
        <f aca="false">TRUE()</f>
        <v>1</v>
      </c>
      <c r="N1565" s="9" t="str">
        <f aca="false">IF(H1565="","",IF(H1565&gt;=Assumptions!$B$5,1,IF(H1565&gt;=Assumptions!$B$6,2,IF(H1565&gt;=Assumptions!$B$7,3,""))))</f>
        <v/>
      </c>
      <c r="O1565" s="9" t="n">
        <f aca="false">IF(N1565=1,Assumptions!$B$8,IF(N1565=2,Assumptions!$B$9,IF(N1565=3,Assumptions!$B$10,0)))</f>
        <v>0</v>
      </c>
      <c r="P1565" s="6" t="s">
        <v>30</v>
      </c>
      <c r="Q1565" s="6" t="s">
        <v>30</v>
      </c>
      <c r="R1565" s="11" t="s">
        <v>30</v>
      </c>
      <c r="S1565" s="6" t="s">
        <v>30</v>
      </c>
      <c r="T1565" s="11" t="s">
        <v>30</v>
      </c>
      <c r="U1565" s="6" t="s">
        <v>30</v>
      </c>
      <c r="V1565" s="6" t="s">
        <v>30</v>
      </c>
      <c r="W1565" s="6" t="s">
        <v>30</v>
      </c>
      <c r="X1565" s="2" t="s">
        <v>30</v>
      </c>
      <c r="Y1565" s="6" t="str">
        <f aca="false">IF(AND(X1565="processed",ISNUMBER(S1565)),S1565*O1565,"")</f>
        <v/>
      </c>
      <c r="Z1565" s="6" t="n">
        <f aca="false">IF(ISNUMBER(K1565),K1565*O1565,0)</f>
        <v>0</v>
      </c>
      <c r="AA1565" s="2" t="s">
        <v>31</v>
      </c>
      <c r="AB1565" s="6" t="n">
        <v>165</v>
      </c>
      <c r="AC1565" s="6" t="n">
        <v>147</v>
      </c>
      <c r="AD1565" s="6" t="n">
        <v>164</v>
      </c>
      <c r="AE1565" s="6" t="n">
        <v>1350.14624023438</v>
      </c>
      <c r="AF1565" s="8" t="n">
        <v>269.054441261</v>
      </c>
      <c r="AG1565" s="11"/>
      <c r="AH1565" s="12" t="n">
        <v>1</v>
      </c>
      <c r="AI1565" s="2" t="s">
        <v>1597</v>
      </c>
      <c r="AJ1565" s="2"/>
      <c r="AK1565" s="2" t="s">
        <v>3459</v>
      </c>
    </row>
    <row r="1566" customFormat="false" ht="15" hidden="false" customHeight="false" outlineLevel="0" collapsed="false">
      <c r="A1566" s="9"/>
      <c r="B1566" s="2" t="s">
        <v>3460</v>
      </c>
      <c r="C1566" s="2" t="s">
        <v>3461</v>
      </c>
      <c r="D1566" s="2" t="s">
        <v>1740</v>
      </c>
      <c r="E1566" s="2" t="s">
        <v>51</v>
      </c>
      <c r="F1566" s="2"/>
      <c r="G1566" s="2" t="s">
        <v>1741</v>
      </c>
      <c r="H1566" s="8" t="n">
        <v>200.834265854219</v>
      </c>
      <c r="I1566" s="2" t="s">
        <v>316</v>
      </c>
      <c r="J1566" s="8" t="n">
        <v>255843.75</v>
      </c>
      <c r="K1566" s="6" t="n">
        <v>32</v>
      </c>
      <c r="L1566" s="2"/>
      <c r="M1566" s="10" t="b">
        <f aca="false">TRUE()</f>
        <v>1</v>
      </c>
      <c r="N1566" s="9" t="str">
        <f aca="false">IF(H1566="","",IF(H1566&gt;=Assumptions!$B$5,1,IF(H1566&gt;=Assumptions!$B$6,2,IF(H1566&gt;=Assumptions!$B$7,3,""))))</f>
        <v/>
      </c>
      <c r="O1566" s="9" t="n">
        <f aca="false">IF(N1566=1,Assumptions!$B$8,IF(N1566=2,Assumptions!$B$9,IF(N1566=3,Assumptions!$B$10,0)))</f>
        <v>0</v>
      </c>
      <c r="P1566" s="6" t="s">
        <v>30</v>
      </c>
      <c r="Q1566" s="6" t="s">
        <v>30</v>
      </c>
      <c r="R1566" s="11" t="s">
        <v>30</v>
      </c>
      <c r="S1566" s="6" t="s">
        <v>30</v>
      </c>
      <c r="T1566" s="11" t="s">
        <v>30</v>
      </c>
      <c r="U1566" s="6" t="s">
        <v>30</v>
      </c>
      <c r="V1566" s="6" t="s">
        <v>30</v>
      </c>
      <c r="W1566" s="6" t="s">
        <v>30</v>
      </c>
      <c r="X1566" s="2" t="s">
        <v>30</v>
      </c>
      <c r="Y1566" s="6" t="str">
        <f aca="false">IF(AND(X1566="processed",ISNUMBER(S1566)),S1566*O1566,"")</f>
        <v/>
      </c>
      <c r="Z1566" s="6" t="n">
        <f aca="false">IF(ISNUMBER(K1566),K1566*O1566,0)</f>
        <v>0</v>
      </c>
      <c r="AA1566" s="2" t="s">
        <v>31</v>
      </c>
      <c r="AB1566" s="6" t="n">
        <v>1780</v>
      </c>
      <c r="AC1566" s="6" t="n">
        <v>1474</v>
      </c>
      <c r="AD1566" s="6" t="n">
        <v>1498</v>
      </c>
      <c r="AE1566" s="6" t="n">
        <v>1626.3408203125</v>
      </c>
      <c r="AF1566" s="8" t="n">
        <v>154.545454545</v>
      </c>
      <c r="AG1566" s="11" t="n">
        <v>-0.227589261</v>
      </c>
      <c r="AH1566" s="12" t="n">
        <v>0.999832236752555</v>
      </c>
      <c r="AI1566" s="2" t="s">
        <v>317</v>
      </c>
      <c r="AJ1566" s="2" t="s">
        <v>3461</v>
      </c>
      <c r="AK1566" s="2" t="s">
        <v>3461</v>
      </c>
    </row>
    <row r="1567" customFormat="false" ht="15" hidden="false" customHeight="false" outlineLevel="0" collapsed="false">
      <c r="A1567" s="9"/>
      <c r="B1567" s="2" t="s">
        <v>3462</v>
      </c>
      <c r="C1567" s="2" t="s">
        <v>3463</v>
      </c>
      <c r="D1567" s="2" t="s">
        <v>1595</v>
      </c>
      <c r="E1567" s="2" t="s">
        <v>51</v>
      </c>
      <c r="F1567" s="2" t="s">
        <v>3464</v>
      </c>
      <c r="G1567" s="2"/>
      <c r="H1567" s="8"/>
      <c r="I1567" s="2"/>
      <c r="J1567" s="8"/>
      <c r="K1567" s="6"/>
      <c r="L1567" s="2"/>
      <c r="M1567" s="10" t="b">
        <f aca="false">TRUE()</f>
        <v>1</v>
      </c>
      <c r="N1567" s="9" t="str">
        <f aca="false">IF(H1567="","",IF(H1567&gt;=Assumptions!$B$5,1,IF(H1567&gt;=Assumptions!$B$6,2,IF(H1567&gt;=Assumptions!$B$7,3,""))))</f>
        <v/>
      </c>
      <c r="O1567" s="9" t="n">
        <f aca="false">IF(N1567=1,Assumptions!$B$8,IF(N1567=2,Assumptions!$B$9,IF(N1567=3,Assumptions!$B$10,0)))</f>
        <v>0</v>
      </c>
      <c r="P1567" s="6" t="s">
        <v>30</v>
      </c>
      <c r="Q1567" s="6" t="s">
        <v>30</v>
      </c>
      <c r="R1567" s="11" t="s">
        <v>30</v>
      </c>
      <c r="S1567" s="6" t="s">
        <v>30</v>
      </c>
      <c r="T1567" s="11" t="s">
        <v>30</v>
      </c>
      <c r="U1567" s="6" t="s">
        <v>30</v>
      </c>
      <c r="V1567" s="6" t="s">
        <v>30</v>
      </c>
      <c r="W1567" s="6" t="s">
        <v>30</v>
      </c>
      <c r="X1567" s="2" t="s">
        <v>30</v>
      </c>
      <c r="Y1567" s="6" t="str">
        <f aca="false">IF(AND(X1567="processed",ISNUMBER(S1567)),S1567*O1567,"")</f>
        <v/>
      </c>
      <c r="Z1567" s="6" t="n">
        <f aca="false">IF(ISNUMBER(K1567),K1567*O1567,0)</f>
        <v>0</v>
      </c>
      <c r="AA1567" s="2" t="s">
        <v>31</v>
      </c>
      <c r="AB1567" s="6" t="n">
        <v>489</v>
      </c>
      <c r="AC1567" s="6" t="n">
        <v>394</v>
      </c>
      <c r="AD1567" s="6" t="n">
        <v>218</v>
      </c>
      <c r="AE1567" s="6" t="n">
        <v>1462.57641601563</v>
      </c>
      <c r="AF1567" s="8"/>
      <c r="AG1567" s="11"/>
      <c r="AH1567" s="12" t="n">
        <v>1</v>
      </c>
      <c r="AI1567" s="2" t="s">
        <v>1597</v>
      </c>
      <c r="AJ1567" s="2"/>
      <c r="AK1567" s="2" t="s">
        <v>3463</v>
      </c>
    </row>
    <row r="1568" customFormat="false" ht="15" hidden="false" customHeight="false" outlineLevel="0" collapsed="false">
      <c r="A1568" s="9"/>
      <c r="B1568" s="2" t="s">
        <v>3465</v>
      </c>
      <c r="C1568" s="2" t="s">
        <v>3466</v>
      </c>
      <c r="D1568" s="2" t="s">
        <v>1595</v>
      </c>
      <c r="E1568" s="2" t="s">
        <v>51</v>
      </c>
      <c r="F1568" s="2"/>
      <c r="G1568" s="2" t="s">
        <v>1596</v>
      </c>
      <c r="H1568" s="8" t="n">
        <v>424.242424242</v>
      </c>
      <c r="I1568" s="2" t="s">
        <v>316</v>
      </c>
      <c r="J1568" s="8" t="n">
        <v>490000</v>
      </c>
      <c r="K1568" s="6" t="n">
        <v>1</v>
      </c>
      <c r="L1568" s="2" t="s">
        <v>1664</v>
      </c>
      <c r="M1568" s="10" t="b">
        <f aca="false">TRUE()</f>
        <v>1</v>
      </c>
      <c r="N1568" s="9" t="str">
        <f aca="false">IF(H1568="","",IF(H1568&gt;=Assumptions!$B$5,1,IF(H1568&gt;=Assumptions!$B$6,2,IF(H1568&gt;=Assumptions!$B$7,3,""))))</f>
        <v/>
      </c>
      <c r="O1568" s="9" t="n">
        <f aca="false">IF(N1568=1,Assumptions!$B$8,IF(N1568=2,Assumptions!$B$9,IF(N1568=3,Assumptions!$B$10,0)))</f>
        <v>0</v>
      </c>
      <c r="P1568" s="6" t="s">
        <v>30</v>
      </c>
      <c r="Q1568" s="6" t="s">
        <v>30</v>
      </c>
      <c r="R1568" s="11" t="s">
        <v>30</v>
      </c>
      <c r="S1568" s="6" t="s">
        <v>30</v>
      </c>
      <c r="T1568" s="11" t="s">
        <v>30</v>
      </c>
      <c r="U1568" s="6" t="s">
        <v>30</v>
      </c>
      <c r="V1568" s="6" t="s">
        <v>30</v>
      </c>
      <c r="W1568" s="6" t="s">
        <v>30</v>
      </c>
      <c r="X1568" s="2" t="s">
        <v>30</v>
      </c>
      <c r="Y1568" s="6" t="str">
        <f aca="false">IF(AND(X1568="processed",ISNUMBER(S1568)),S1568*O1568,"")</f>
        <v/>
      </c>
      <c r="Z1568" s="6" t="n">
        <f aca="false">IF(ISNUMBER(K1568),K1568*O1568,0)</f>
        <v>0</v>
      </c>
      <c r="AA1568" s="2" t="s">
        <v>31</v>
      </c>
      <c r="AB1568" s="6" t="n">
        <v>262</v>
      </c>
      <c r="AC1568" s="6" t="n">
        <v>205</v>
      </c>
      <c r="AD1568" s="6" t="n">
        <v>100</v>
      </c>
      <c r="AE1568" s="6" t="n">
        <v>1399.08935546875</v>
      </c>
      <c r="AF1568" s="8" t="n">
        <v>424.242424242</v>
      </c>
      <c r="AG1568" s="11"/>
      <c r="AH1568" s="12" t="n">
        <v>0.997983305145146</v>
      </c>
      <c r="AI1568" s="2" t="s">
        <v>1597</v>
      </c>
      <c r="AJ1568" s="2"/>
      <c r="AK1568" s="2" t="s">
        <v>3466</v>
      </c>
    </row>
    <row r="1569" customFormat="false" ht="15" hidden="false" customHeight="false" outlineLevel="0" collapsed="false">
      <c r="A1569" s="9"/>
      <c r="B1569" s="2" t="s">
        <v>3467</v>
      </c>
      <c r="C1569" s="2" t="s">
        <v>3468</v>
      </c>
      <c r="D1569" s="2" t="s">
        <v>1740</v>
      </c>
      <c r="E1569" s="2" t="s">
        <v>51</v>
      </c>
      <c r="F1569" s="2"/>
      <c r="G1569" s="2" t="s">
        <v>1741</v>
      </c>
      <c r="H1569" s="8" t="n">
        <v>274.575692671733</v>
      </c>
      <c r="I1569" s="2" t="s">
        <v>316</v>
      </c>
      <c r="J1569" s="8" t="n">
        <v>433781.666666667</v>
      </c>
      <c r="K1569" s="6" t="n">
        <v>30</v>
      </c>
      <c r="L1569" s="2"/>
      <c r="M1569" s="10" t="b">
        <f aca="false">TRUE()</f>
        <v>1</v>
      </c>
      <c r="N1569" s="9" t="str">
        <f aca="false">IF(H1569="","",IF(H1569&gt;=Assumptions!$B$5,1,IF(H1569&gt;=Assumptions!$B$6,2,IF(H1569&gt;=Assumptions!$B$7,3,""))))</f>
        <v/>
      </c>
      <c r="O1569" s="9" t="n">
        <f aca="false">IF(N1569=1,Assumptions!$B$8,IF(N1569=2,Assumptions!$B$9,IF(N1569=3,Assumptions!$B$10,0)))</f>
        <v>0</v>
      </c>
      <c r="P1569" s="6" t="s">
        <v>30</v>
      </c>
      <c r="Q1569" s="6" t="s">
        <v>30</v>
      </c>
      <c r="R1569" s="11" t="s">
        <v>30</v>
      </c>
      <c r="S1569" s="6" t="s">
        <v>30</v>
      </c>
      <c r="T1569" s="11" t="s">
        <v>30</v>
      </c>
      <c r="U1569" s="6" t="s">
        <v>30</v>
      </c>
      <c r="V1569" s="6" t="s">
        <v>30</v>
      </c>
      <c r="W1569" s="6" t="s">
        <v>30</v>
      </c>
      <c r="X1569" s="2" t="s">
        <v>30</v>
      </c>
      <c r="Y1569" s="6" t="str">
        <f aca="false">IF(AND(X1569="processed",ISNUMBER(S1569)),S1569*O1569,"")</f>
        <v/>
      </c>
      <c r="Z1569" s="6" t="n">
        <f aca="false">IF(ISNUMBER(K1569),K1569*O1569,0)</f>
        <v>0</v>
      </c>
      <c r="AA1569" s="2" t="s">
        <v>31</v>
      </c>
      <c r="AB1569" s="6" t="n">
        <v>1706</v>
      </c>
      <c r="AC1569" s="6" t="n">
        <v>1469</v>
      </c>
      <c r="AD1569" s="6" t="n">
        <v>1118</v>
      </c>
      <c r="AE1569" s="6" t="n">
        <v>1555.796875</v>
      </c>
      <c r="AF1569" s="8" t="n">
        <v>267.437108346</v>
      </c>
      <c r="AG1569" s="11" t="n">
        <v>-0.1828310578</v>
      </c>
      <c r="AH1569" s="12" t="n">
        <v>0.688486930685005</v>
      </c>
      <c r="AI1569" s="2" t="s">
        <v>347</v>
      </c>
      <c r="AJ1569" s="2" t="s">
        <v>3468</v>
      </c>
      <c r="AK1569" s="2" t="s">
        <v>3469</v>
      </c>
    </row>
    <row r="1570" customFormat="false" ht="15" hidden="false" customHeight="false" outlineLevel="0" collapsed="false">
      <c r="A1570" s="9"/>
      <c r="B1570" s="2" t="s">
        <v>3470</v>
      </c>
      <c r="C1570" s="2" t="s">
        <v>3471</v>
      </c>
      <c r="D1570" s="2" t="s">
        <v>3380</v>
      </c>
      <c r="E1570" s="2" t="s">
        <v>51</v>
      </c>
      <c r="F1570" s="2"/>
      <c r="G1570" s="2"/>
      <c r="H1570" s="8"/>
      <c r="I1570" s="2"/>
      <c r="J1570" s="8"/>
      <c r="K1570" s="6"/>
      <c r="L1570" s="2"/>
      <c r="M1570" s="10" t="b">
        <f aca="false">TRUE()</f>
        <v>1</v>
      </c>
      <c r="N1570" s="9" t="str">
        <f aca="false">IF(H1570="","",IF(H1570&gt;=Assumptions!$B$5,1,IF(H1570&gt;=Assumptions!$B$6,2,IF(H1570&gt;=Assumptions!$B$7,3,""))))</f>
        <v/>
      </c>
      <c r="O1570" s="9" t="n">
        <f aca="false">IF(N1570=1,Assumptions!$B$8,IF(N1570=2,Assumptions!$B$9,IF(N1570=3,Assumptions!$B$10,0)))</f>
        <v>0</v>
      </c>
      <c r="P1570" s="6" t="s">
        <v>30</v>
      </c>
      <c r="Q1570" s="6" t="s">
        <v>30</v>
      </c>
      <c r="R1570" s="11" t="s">
        <v>30</v>
      </c>
      <c r="S1570" s="6" t="s">
        <v>30</v>
      </c>
      <c r="T1570" s="11" t="s">
        <v>30</v>
      </c>
      <c r="U1570" s="6" t="s">
        <v>30</v>
      </c>
      <c r="V1570" s="6" t="s">
        <v>30</v>
      </c>
      <c r="W1570" s="6" t="s">
        <v>30</v>
      </c>
      <c r="X1570" s="2" t="s">
        <v>30</v>
      </c>
      <c r="Y1570" s="6" t="str">
        <f aca="false">IF(AND(X1570="processed",ISNUMBER(S1570)),S1570*O1570,"")</f>
        <v/>
      </c>
      <c r="Z1570" s="6" t="n">
        <f aca="false">IF(ISNUMBER(K1570),K1570*O1570,0)</f>
        <v>0</v>
      </c>
      <c r="AA1570" s="2" t="s">
        <v>31</v>
      </c>
      <c r="AB1570" s="6" t="n">
        <v>578</v>
      </c>
      <c r="AC1570" s="6" t="n">
        <v>465</v>
      </c>
      <c r="AD1570" s="6" t="n">
        <v>344</v>
      </c>
      <c r="AE1570" s="6" t="n">
        <v>1602.48681640625</v>
      </c>
      <c r="AF1570" s="8"/>
      <c r="AG1570" s="11"/>
      <c r="AH1570" s="12" t="n">
        <v>0.999907486532822</v>
      </c>
      <c r="AI1570" s="2" t="s">
        <v>3327</v>
      </c>
      <c r="AJ1570" s="2" t="s">
        <v>3472</v>
      </c>
      <c r="AK1570" s="2" t="s">
        <v>3473</v>
      </c>
    </row>
    <row r="1571" customFormat="false" ht="15" hidden="false" customHeight="false" outlineLevel="0" collapsed="false">
      <c r="A1571" s="9"/>
      <c r="B1571" s="2" t="s">
        <v>3474</v>
      </c>
      <c r="C1571" s="2" t="s">
        <v>3475</v>
      </c>
      <c r="D1571" s="2" t="s">
        <v>3476</v>
      </c>
      <c r="E1571" s="2" t="s">
        <v>51</v>
      </c>
      <c r="F1571" s="2"/>
      <c r="G1571" s="2"/>
      <c r="H1571" s="8"/>
      <c r="I1571" s="2"/>
      <c r="J1571" s="8"/>
      <c r="K1571" s="6"/>
      <c r="L1571" s="2"/>
      <c r="M1571" s="10" t="b">
        <f aca="false">TRUE()</f>
        <v>1</v>
      </c>
      <c r="N1571" s="9" t="str">
        <f aca="false">IF(H1571="","",IF(H1571&gt;=Assumptions!$B$5,1,IF(H1571&gt;=Assumptions!$B$6,2,IF(H1571&gt;=Assumptions!$B$7,3,""))))</f>
        <v/>
      </c>
      <c r="O1571" s="9" t="n">
        <f aca="false">IF(N1571=1,Assumptions!$B$8,IF(N1571=2,Assumptions!$B$9,IF(N1571=3,Assumptions!$B$10,0)))</f>
        <v>0</v>
      </c>
      <c r="P1571" s="6" t="s">
        <v>30</v>
      </c>
      <c r="Q1571" s="6" t="s">
        <v>30</v>
      </c>
      <c r="R1571" s="11" t="s">
        <v>30</v>
      </c>
      <c r="S1571" s="6" t="s">
        <v>30</v>
      </c>
      <c r="T1571" s="11" t="s">
        <v>30</v>
      </c>
      <c r="U1571" s="6" t="s">
        <v>30</v>
      </c>
      <c r="V1571" s="6" t="s">
        <v>30</v>
      </c>
      <c r="W1571" s="6" t="s">
        <v>30</v>
      </c>
      <c r="X1571" s="2" t="s">
        <v>30</v>
      </c>
      <c r="Y1571" s="6" t="str">
        <f aca="false">IF(AND(X1571="processed",ISNUMBER(S1571)),S1571*O1571,"")</f>
        <v/>
      </c>
      <c r="Z1571" s="6" t="n">
        <f aca="false">IF(ISNUMBER(K1571),K1571*O1571,0)</f>
        <v>0</v>
      </c>
      <c r="AA1571" s="2" t="s">
        <v>31</v>
      </c>
      <c r="AB1571" s="6" t="n">
        <v>195</v>
      </c>
      <c r="AC1571" s="6" t="n">
        <v>158</v>
      </c>
      <c r="AD1571" s="6" t="n">
        <v>111</v>
      </c>
      <c r="AE1571" s="6" t="n">
        <v>1775.12158203125</v>
      </c>
      <c r="AF1571" s="8"/>
      <c r="AG1571" s="11"/>
      <c r="AH1571" s="12" t="n">
        <v>1</v>
      </c>
      <c r="AI1571" s="2" t="s">
        <v>317</v>
      </c>
      <c r="AJ1571" s="2" t="s">
        <v>3475</v>
      </c>
      <c r="AK1571" s="2" t="s">
        <v>3475</v>
      </c>
    </row>
    <row r="1572" customFormat="false" ht="15" hidden="false" customHeight="false" outlineLevel="0" collapsed="false">
      <c r="A1572" s="9"/>
      <c r="B1572" s="2" t="s">
        <v>3477</v>
      </c>
      <c r="C1572" s="2" t="s">
        <v>3478</v>
      </c>
      <c r="D1572" s="2" t="s">
        <v>50</v>
      </c>
      <c r="E1572" s="2" t="s">
        <v>51</v>
      </c>
      <c r="F1572" s="2"/>
      <c r="G1572" s="2" t="s">
        <v>323</v>
      </c>
      <c r="H1572" s="8" t="n">
        <v>338.714961052369</v>
      </c>
      <c r="I1572" s="2" t="s">
        <v>316</v>
      </c>
      <c r="J1572" s="8" t="n">
        <v>723281.115879828</v>
      </c>
      <c r="K1572" s="6" t="n">
        <v>233</v>
      </c>
      <c r="L1572" s="2"/>
      <c r="M1572" s="10" t="b">
        <f aca="false">TRUE()</f>
        <v>1</v>
      </c>
      <c r="N1572" s="9" t="str">
        <f aca="false">IF(H1572="","",IF(H1572&gt;=Assumptions!$B$5,1,IF(H1572&gt;=Assumptions!$B$6,2,IF(H1572&gt;=Assumptions!$B$7,3,""))))</f>
        <v/>
      </c>
      <c r="O1572" s="9" t="n">
        <f aca="false">IF(N1572=1,Assumptions!$B$8,IF(N1572=2,Assumptions!$B$9,IF(N1572=3,Assumptions!$B$10,0)))</f>
        <v>0</v>
      </c>
      <c r="P1572" s="6" t="s">
        <v>30</v>
      </c>
      <c r="Q1572" s="6" t="s">
        <v>30</v>
      </c>
      <c r="R1572" s="11" t="s">
        <v>30</v>
      </c>
      <c r="S1572" s="6" t="s">
        <v>30</v>
      </c>
      <c r="T1572" s="11" t="s">
        <v>30</v>
      </c>
      <c r="U1572" s="6" t="s">
        <v>30</v>
      </c>
      <c r="V1572" s="6" t="s">
        <v>30</v>
      </c>
      <c r="W1572" s="6" t="s">
        <v>30</v>
      </c>
      <c r="X1572" s="2" t="s">
        <v>30</v>
      </c>
      <c r="Y1572" s="6" t="str">
        <f aca="false">IF(AND(X1572="processed",ISNUMBER(S1572)),S1572*O1572,"")</f>
        <v/>
      </c>
      <c r="Z1572" s="6" t="n">
        <f aca="false">IF(ISNUMBER(K1572),K1572*O1572,0)</f>
        <v>0</v>
      </c>
      <c r="AA1572" s="2" t="s">
        <v>31</v>
      </c>
      <c r="AB1572" s="6" t="n">
        <v>9402</v>
      </c>
      <c r="AC1572" s="6" t="n">
        <v>8261</v>
      </c>
      <c r="AD1572" s="6" t="n">
        <v>8281</v>
      </c>
      <c r="AE1572" s="6" t="n">
        <v>2478.65844726563</v>
      </c>
      <c r="AF1572" s="8" t="n">
        <v>347.677595628</v>
      </c>
      <c r="AG1572" s="11" t="n">
        <v>0.005519186467</v>
      </c>
      <c r="AH1572" s="12" t="n">
        <v>0.785824709081262</v>
      </c>
      <c r="AI1572" s="2" t="s">
        <v>317</v>
      </c>
      <c r="AJ1572" s="2" t="s">
        <v>3478</v>
      </c>
      <c r="AK1572" s="2" t="s">
        <v>3478</v>
      </c>
    </row>
    <row r="1573" customFormat="false" ht="15" hidden="false" customHeight="false" outlineLevel="0" collapsed="false">
      <c r="A1573" s="9"/>
      <c r="B1573" s="2" t="s">
        <v>3479</v>
      </c>
      <c r="C1573" s="2" t="s">
        <v>3478</v>
      </c>
      <c r="D1573" s="2" t="s">
        <v>50</v>
      </c>
      <c r="E1573" s="2" t="s">
        <v>51</v>
      </c>
      <c r="F1573" s="2"/>
      <c r="G1573" s="2" t="s">
        <v>323</v>
      </c>
      <c r="H1573" s="8" t="n">
        <v>347.556670049882</v>
      </c>
      <c r="I1573" s="2" t="s">
        <v>316</v>
      </c>
      <c r="J1573" s="8" t="n">
        <v>653753.937007874</v>
      </c>
      <c r="K1573" s="6" t="n">
        <v>254</v>
      </c>
      <c r="L1573" s="2"/>
      <c r="M1573" s="10" t="b">
        <f aca="false">TRUE()</f>
        <v>1</v>
      </c>
      <c r="N1573" s="9" t="str">
        <f aca="false">IF(H1573="","",IF(H1573&gt;=Assumptions!$B$5,1,IF(H1573&gt;=Assumptions!$B$6,2,IF(H1573&gt;=Assumptions!$B$7,3,""))))</f>
        <v/>
      </c>
      <c r="O1573" s="9" t="n">
        <f aca="false">IF(N1573=1,Assumptions!$B$8,IF(N1573=2,Assumptions!$B$9,IF(N1573=3,Assumptions!$B$10,0)))</f>
        <v>0</v>
      </c>
      <c r="P1573" s="6" t="s">
        <v>30</v>
      </c>
      <c r="Q1573" s="6" t="s">
        <v>30</v>
      </c>
      <c r="R1573" s="11" t="s">
        <v>30</v>
      </c>
      <c r="S1573" s="6" t="s">
        <v>30</v>
      </c>
      <c r="T1573" s="11" t="s">
        <v>30</v>
      </c>
      <c r="U1573" s="6" t="s">
        <v>30</v>
      </c>
      <c r="V1573" s="6" t="s">
        <v>30</v>
      </c>
      <c r="W1573" s="6" t="s">
        <v>30</v>
      </c>
      <c r="X1573" s="2" t="s">
        <v>30</v>
      </c>
      <c r="Y1573" s="6" t="str">
        <f aca="false">IF(AND(X1573="processed",ISNUMBER(S1573)),S1573*O1573,"")</f>
        <v/>
      </c>
      <c r="Z1573" s="6" t="n">
        <f aca="false">IF(ISNUMBER(K1573),K1573*O1573,0)</f>
        <v>0</v>
      </c>
      <c r="AA1573" s="2" t="s">
        <v>31</v>
      </c>
      <c r="AB1573" s="6" t="n">
        <v>14624</v>
      </c>
      <c r="AC1573" s="6" t="n">
        <v>12890</v>
      </c>
      <c r="AD1573" s="6" t="n">
        <v>11804</v>
      </c>
      <c r="AE1573" s="6" t="n">
        <v>2291.71655273438</v>
      </c>
      <c r="AF1573" s="8" t="n">
        <v>352.65853167</v>
      </c>
      <c r="AG1573" s="11" t="n">
        <v>-0.04991885306</v>
      </c>
      <c r="AH1573" s="12" t="n">
        <v>0.9994049252262</v>
      </c>
      <c r="AI1573" s="2" t="s">
        <v>317</v>
      </c>
      <c r="AJ1573" s="2" t="s">
        <v>3478</v>
      </c>
      <c r="AK1573" s="2" t="s">
        <v>3478</v>
      </c>
    </row>
    <row r="1574" customFormat="false" ht="15" hidden="false" customHeight="false" outlineLevel="0" collapsed="false">
      <c r="A1574" s="9"/>
      <c r="B1574" s="2" t="s">
        <v>3480</v>
      </c>
      <c r="C1574" s="2" t="s">
        <v>1416</v>
      </c>
      <c r="D1574" s="2" t="s">
        <v>50</v>
      </c>
      <c r="E1574" s="2" t="s">
        <v>51</v>
      </c>
      <c r="F1574" s="2"/>
      <c r="G1574" s="2"/>
      <c r="H1574" s="8"/>
      <c r="I1574" s="2"/>
      <c r="J1574" s="8"/>
      <c r="K1574" s="6"/>
      <c r="L1574" s="2"/>
      <c r="M1574" s="10" t="b">
        <f aca="false">TRUE()</f>
        <v>1</v>
      </c>
      <c r="N1574" s="9" t="str">
        <f aca="false">IF(H1574="","",IF(H1574&gt;=Assumptions!$B$5,1,IF(H1574&gt;=Assumptions!$B$6,2,IF(H1574&gt;=Assumptions!$B$7,3,""))))</f>
        <v/>
      </c>
      <c r="O1574" s="9" t="n">
        <f aca="false">IF(N1574=1,Assumptions!$B$8,IF(N1574=2,Assumptions!$B$9,IF(N1574=3,Assumptions!$B$10,0)))</f>
        <v>0</v>
      </c>
      <c r="P1574" s="6" t="s">
        <v>30</v>
      </c>
      <c r="Q1574" s="6" t="s">
        <v>30</v>
      </c>
      <c r="R1574" s="11" t="s">
        <v>30</v>
      </c>
      <c r="S1574" s="6" t="s">
        <v>30</v>
      </c>
      <c r="T1574" s="11" t="s">
        <v>30</v>
      </c>
      <c r="U1574" s="6" t="s">
        <v>30</v>
      </c>
      <c r="V1574" s="6" t="s">
        <v>30</v>
      </c>
      <c r="W1574" s="6" t="s">
        <v>30</v>
      </c>
      <c r="X1574" s="2" t="s">
        <v>30</v>
      </c>
      <c r="Y1574" s="6" t="str">
        <f aca="false">IF(AND(X1574="processed",ISNUMBER(S1574)),S1574*O1574,"")</f>
        <v/>
      </c>
      <c r="Z1574" s="6" t="n">
        <f aca="false">IF(ISNUMBER(K1574),K1574*O1574,0)</f>
        <v>0</v>
      </c>
      <c r="AA1574" s="2" t="s">
        <v>31</v>
      </c>
      <c r="AB1574" s="6" t="n">
        <v>121</v>
      </c>
      <c r="AC1574" s="6" t="n">
        <v>116</v>
      </c>
      <c r="AD1574" s="6" t="n">
        <v>121</v>
      </c>
      <c r="AE1574" s="6" t="n">
        <v>1409.35620117188</v>
      </c>
      <c r="AF1574" s="8"/>
      <c r="AG1574" s="11"/>
      <c r="AH1574" s="12" t="n">
        <v>0.999999999999999</v>
      </c>
      <c r="AI1574" s="2" t="s">
        <v>1597</v>
      </c>
      <c r="AJ1574" s="2"/>
      <c r="AK1574" s="2" t="s">
        <v>1416</v>
      </c>
    </row>
    <row r="1575" customFormat="false" ht="15" hidden="false" customHeight="false" outlineLevel="0" collapsed="false">
      <c r="A1575" s="9"/>
      <c r="B1575" s="2" t="s">
        <v>3481</v>
      </c>
      <c r="C1575" s="2" t="s">
        <v>3482</v>
      </c>
      <c r="D1575" s="2" t="s">
        <v>1800</v>
      </c>
      <c r="E1575" s="2" t="s">
        <v>51</v>
      </c>
      <c r="F1575" s="2"/>
      <c r="G1575" s="2" t="s">
        <v>323</v>
      </c>
      <c r="H1575" s="8" t="n">
        <v>321.386264467246</v>
      </c>
      <c r="I1575" s="2" t="s">
        <v>316</v>
      </c>
      <c r="J1575" s="8" t="n">
        <v>428028.985507246</v>
      </c>
      <c r="K1575" s="6" t="n">
        <v>69</v>
      </c>
      <c r="L1575" s="2"/>
      <c r="M1575" s="10" t="b">
        <f aca="false">TRUE()</f>
        <v>1</v>
      </c>
      <c r="N1575" s="9" t="str">
        <f aca="false">IF(H1575="","",IF(H1575&gt;=Assumptions!$B$5,1,IF(H1575&gt;=Assumptions!$B$6,2,IF(H1575&gt;=Assumptions!$B$7,3,""))))</f>
        <v/>
      </c>
      <c r="O1575" s="9" t="n">
        <f aca="false">IF(N1575=1,Assumptions!$B$8,IF(N1575=2,Assumptions!$B$9,IF(N1575=3,Assumptions!$B$10,0)))</f>
        <v>0</v>
      </c>
      <c r="P1575" s="6" t="s">
        <v>30</v>
      </c>
      <c r="Q1575" s="6" t="s">
        <v>30</v>
      </c>
      <c r="R1575" s="11" t="s">
        <v>30</v>
      </c>
      <c r="S1575" s="6" t="s">
        <v>30</v>
      </c>
      <c r="T1575" s="11" t="s">
        <v>30</v>
      </c>
      <c r="U1575" s="6" t="s">
        <v>30</v>
      </c>
      <c r="V1575" s="6" t="s">
        <v>30</v>
      </c>
      <c r="W1575" s="6" t="s">
        <v>30</v>
      </c>
      <c r="X1575" s="2" t="s">
        <v>30</v>
      </c>
      <c r="Y1575" s="6" t="str">
        <f aca="false">IF(AND(X1575="processed",ISNUMBER(S1575)),S1575*O1575,"")</f>
        <v/>
      </c>
      <c r="Z1575" s="6" t="n">
        <f aca="false">IF(ISNUMBER(K1575),K1575*O1575,0)</f>
        <v>0</v>
      </c>
      <c r="AA1575" s="2" t="s">
        <v>31</v>
      </c>
      <c r="AB1575" s="6" t="n">
        <v>4510</v>
      </c>
      <c r="AC1575" s="6" t="n">
        <v>3900</v>
      </c>
      <c r="AD1575" s="6" t="n">
        <v>155</v>
      </c>
      <c r="AE1575" s="6" t="n">
        <v>1963.00549316406</v>
      </c>
      <c r="AF1575" s="8" t="n">
        <v>314.162784679</v>
      </c>
      <c r="AG1575" s="11" t="n">
        <v>-0.09644051276</v>
      </c>
      <c r="AH1575" s="12" t="n">
        <v>0.996564641096795</v>
      </c>
      <c r="AI1575" s="2" t="s">
        <v>317</v>
      </c>
      <c r="AJ1575" s="2" t="s">
        <v>3482</v>
      </c>
      <c r="AK1575" s="2" t="s">
        <v>3482</v>
      </c>
    </row>
    <row r="1576" customFormat="false" ht="15" hidden="false" customHeight="false" outlineLevel="0" collapsed="false">
      <c r="A1576" s="9"/>
      <c r="B1576" s="2" t="s">
        <v>3483</v>
      </c>
      <c r="C1576" s="2" t="s">
        <v>3484</v>
      </c>
      <c r="D1576" s="2" t="s">
        <v>1800</v>
      </c>
      <c r="E1576" s="2" t="s">
        <v>51</v>
      </c>
      <c r="F1576" s="2"/>
      <c r="G1576" s="2" t="s">
        <v>323</v>
      </c>
      <c r="H1576" s="8" t="n">
        <v>329.9479166665</v>
      </c>
      <c r="I1576" s="2" t="s">
        <v>316</v>
      </c>
      <c r="J1576" s="8" t="n">
        <v>617500</v>
      </c>
      <c r="K1576" s="6" t="n">
        <v>2</v>
      </c>
      <c r="L1576" s="2" t="s">
        <v>1664</v>
      </c>
      <c r="M1576" s="10" t="b">
        <f aca="false">TRUE()</f>
        <v>1</v>
      </c>
      <c r="N1576" s="9" t="str">
        <f aca="false">IF(H1576="","",IF(H1576&gt;=Assumptions!$B$5,1,IF(H1576&gt;=Assumptions!$B$6,2,IF(H1576&gt;=Assumptions!$B$7,3,""))))</f>
        <v/>
      </c>
      <c r="O1576" s="9" t="n">
        <f aca="false">IF(N1576=1,Assumptions!$B$8,IF(N1576=2,Assumptions!$B$9,IF(N1576=3,Assumptions!$B$10,0)))</f>
        <v>0</v>
      </c>
      <c r="P1576" s="6" t="s">
        <v>30</v>
      </c>
      <c r="Q1576" s="6" t="s">
        <v>30</v>
      </c>
      <c r="R1576" s="11" t="s">
        <v>30</v>
      </c>
      <c r="S1576" s="6" t="s">
        <v>30</v>
      </c>
      <c r="T1576" s="11" t="s">
        <v>30</v>
      </c>
      <c r="U1576" s="6" t="s">
        <v>30</v>
      </c>
      <c r="V1576" s="6" t="s">
        <v>30</v>
      </c>
      <c r="W1576" s="6" t="s">
        <v>30</v>
      </c>
      <c r="X1576" s="2" t="s">
        <v>30</v>
      </c>
      <c r="Y1576" s="6" t="str">
        <f aca="false">IF(AND(X1576="processed",ISNUMBER(S1576)),S1576*O1576,"")</f>
        <v/>
      </c>
      <c r="Z1576" s="6" t="n">
        <f aca="false">IF(ISNUMBER(K1576),K1576*O1576,0)</f>
        <v>0</v>
      </c>
      <c r="AA1576" s="2" t="s">
        <v>31</v>
      </c>
      <c r="AB1576" s="6" t="n">
        <v>381</v>
      </c>
      <c r="AC1576" s="6" t="n">
        <v>286</v>
      </c>
      <c r="AD1576" s="6" t="n">
        <v>41</v>
      </c>
      <c r="AE1576" s="6" t="n">
        <v>1892.55627441406</v>
      </c>
      <c r="AF1576" s="8" t="n">
        <v>100</v>
      </c>
      <c r="AG1576" s="11"/>
      <c r="AH1576" s="12" t="n">
        <v>0.985046263000706</v>
      </c>
      <c r="AI1576" s="2" t="s">
        <v>582</v>
      </c>
      <c r="AJ1576" s="2" t="s">
        <v>3484</v>
      </c>
      <c r="AK1576" s="2" t="s">
        <v>3485</v>
      </c>
    </row>
    <row r="1577" customFormat="false" ht="15" hidden="false" customHeight="false" outlineLevel="0" collapsed="false">
      <c r="A1577" s="9"/>
      <c r="B1577" s="2" t="s">
        <v>3486</v>
      </c>
      <c r="C1577" s="2" t="s">
        <v>3487</v>
      </c>
      <c r="D1577" s="2" t="s">
        <v>1800</v>
      </c>
      <c r="E1577" s="2" t="s">
        <v>51</v>
      </c>
      <c r="F1577" s="2"/>
      <c r="G1577" s="2" t="s">
        <v>323</v>
      </c>
      <c r="H1577" s="8" t="n">
        <v>449.617346939</v>
      </c>
      <c r="I1577" s="2" t="s">
        <v>316</v>
      </c>
      <c r="J1577" s="8" t="n">
        <v>705000</v>
      </c>
      <c r="K1577" s="6" t="n">
        <v>1</v>
      </c>
      <c r="L1577" s="2" t="s">
        <v>1664</v>
      </c>
      <c r="M1577" s="10" t="b">
        <f aca="false">TRUE()</f>
        <v>1</v>
      </c>
      <c r="N1577" s="9" t="str">
        <f aca="false">IF(H1577="","",IF(H1577&gt;=Assumptions!$B$5,1,IF(H1577&gt;=Assumptions!$B$6,2,IF(H1577&gt;=Assumptions!$B$7,3,""))))</f>
        <v/>
      </c>
      <c r="O1577" s="9" t="n">
        <f aca="false">IF(N1577=1,Assumptions!$B$8,IF(N1577=2,Assumptions!$B$9,IF(N1577=3,Assumptions!$B$10,0)))</f>
        <v>0</v>
      </c>
      <c r="P1577" s="6" t="s">
        <v>30</v>
      </c>
      <c r="Q1577" s="6" t="s">
        <v>30</v>
      </c>
      <c r="R1577" s="11" t="s">
        <v>30</v>
      </c>
      <c r="S1577" s="6" t="s">
        <v>30</v>
      </c>
      <c r="T1577" s="11" t="s">
        <v>30</v>
      </c>
      <c r="U1577" s="6" t="s">
        <v>30</v>
      </c>
      <c r="V1577" s="6" t="s">
        <v>30</v>
      </c>
      <c r="W1577" s="6" t="s">
        <v>30</v>
      </c>
      <c r="X1577" s="2" t="s">
        <v>30</v>
      </c>
      <c r="Y1577" s="6" t="str">
        <f aca="false">IF(AND(X1577="processed",ISNUMBER(S1577)),S1577*O1577,"")</f>
        <v/>
      </c>
      <c r="Z1577" s="6" t="n">
        <f aca="false">IF(ISNUMBER(K1577),K1577*O1577,0)</f>
        <v>0</v>
      </c>
      <c r="AA1577" s="2" t="s">
        <v>31</v>
      </c>
      <c r="AB1577" s="6" t="n">
        <v>761</v>
      </c>
      <c r="AC1577" s="6" t="n">
        <v>584</v>
      </c>
      <c r="AD1577" s="6" t="n">
        <v>99</v>
      </c>
      <c r="AE1577" s="6" t="n">
        <v>1689.5498046875</v>
      </c>
      <c r="AF1577" s="8" t="n">
        <v>449.617346939</v>
      </c>
      <c r="AG1577" s="11"/>
      <c r="AH1577" s="12" t="n">
        <v>0.997216713734444</v>
      </c>
      <c r="AI1577" s="2" t="s">
        <v>321</v>
      </c>
      <c r="AJ1577" s="2" t="s">
        <v>3487</v>
      </c>
      <c r="AK1577" s="2" t="s">
        <v>3484</v>
      </c>
    </row>
    <row r="1578" customFormat="false" ht="15" hidden="false" customHeight="false" outlineLevel="0" collapsed="false">
      <c r="A1578" s="9"/>
      <c r="B1578" s="2" t="s">
        <v>3488</v>
      </c>
      <c r="C1578" s="2" t="s">
        <v>3489</v>
      </c>
      <c r="D1578" s="2" t="s">
        <v>976</v>
      </c>
      <c r="E1578" s="2" t="s">
        <v>976</v>
      </c>
      <c r="F1578" s="2" t="s">
        <v>3489</v>
      </c>
      <c r="G1578" s="2" t="s">
        <v>323</v>
      </c>
      <c r="H1578" s="8" t="n">
        <v>351.549531112191</v>
      </c>
      <c r="I1578" s="2" t="s">
        <v>316</v>
      </c>
      <c r="J1578" s="8" t="n">
        <v>579930.555555556</v>
      </c>
      <c r="K1578" s="6" t="n">
        <v>504</v>
      </c>
      <c r="L1578" s="2"/>
      <c r="M1578" s="10" t="b">
        <f aca="false">TRUE()</f>
        <v>1</v>
      </c>
      <c r="N1578" s="9" t="str">
        <f aca="false">IF(H1578="","",IF(H1578&gt;=Assumptions!$B$5,1,IF(H1578&gt;=Assumptions!$B$6,2,IF(H1578&gt;=Assumptions!$B$7,3,""))))</f>
        <v/>
      </c>
      <c r="O1578" s="9" t="n">
        <f aca="false">IF(N1578=1,Assumptions!$B$8,IF(N1578=2,Assumptions!$B$9,IF(N1578=3,Assumptions!$B$10,0)))</f>
        <v>0</v>
      </c>
      <c r="P1578" s="6" t="s">
        <v>30</v>
      </c>
      <c r="Q1578" s="6" t="s">
        <v>30</v>
      </c>
      <c r="R1578" s="11" t="s">
        <v>30</v>
      </c>
      <c r="S1578" s="6" t="s">
        <v>30</v>
      </c>
      <c r="T1578" s="11" t="s">
        <v>30</v>
      </c>
      <c r="U1578" s="6" t="s">
        <v>30</v>
      </c>
      <c r="V1578" s="6" t="s">
        <v>30</v>
      </c>
      <c r="W1578" s="6" t="s">
        <v>30</v>
      </c>
      <c r="X1578" s="2" t="s">
        <v>30</v>
      </c>
      <c r="Y1578" s="6" t="str">
        <f aca="false">IF(AND(X1578="processed",ISNUMBER(S1578)),S1578*O1578,"")</f>
        <v/>
      </c>
      <c r="Z1578" s="6" t="n">
        <f aca="false">IF(ISNUMBER(K1578),K1578*O1578,0)</f>
        <v>0</v>
      </c>
      <c r="AA1578" s="2" t="s">
        <v>31</v>
      </c>
      <c r="AB1578" s="6" t="n">
        <v>20848</v>
      </c>
      <c r="AC1578" s="6" t="n">
        <v>19066</v>
      </c>
      <c r="AD1578" s="6" t="n">
        <v>8808</v>
      </c>
      <c r="AE1578" s="6" t="n">
        <v>2827.8310546875</v>
      </c>
      <c r="AF1578" s="8" t="n">
        <v>361.271676301</v>
      </c>
      <c r="AG1578" s="11" t="n">
        <v>0.005913528046</v>
      </c>
      <c r="AH1578" s="12" t="n">
        <v>0.999999999999999</v>
      </c>
      <c r="AI1578" s="2" t="s">
        <v>317</v>
      </c>
      <c r="AJ1578" s="2" t="s">
        <v>3489</v>
      </c>
      <c r="AK1578" s="2" t="s">
        <v>3489</v>
      </c>
    </row>
    <row r="1579" customFormat="false" ht="15" hidden="false" customHeight="false" outlineLevel="0" collapsed="false">
      <c r="A1579" s="9"/>
      <c r="B1579" s="2" t="s">
        <v>3490</v>
      </c>
      <c r="C1579" s="2"/>
      <c r="D1579" s="2" t="s">
        <v>1190</v>
      </c>
      <c r="E1579" s="2" t="s">
        <v>1191</v>
      </c>
      <c r="F1579" s="2"/>
      <c r="G1579" s="2" t="s">
        <v>323</v>
      </c>
      <c r="H1579" s="8" t="n">
        <v>414.176918571</v>
      </c>
      <c r="I1579" s="2" t="s">
        <v>316</v>
      </c>
      <c r="J1579" s="8" t="n">
        <v>707000</v>
      </c>
      <c r="K1579" s="6" t="n">
        <v>1</v>
      </c>
      <c r="L1579" s="2" t="s">
        <v>1664</v>
      </c>
      <c r="M1579" s="10" t="b">
        <f aca="false">FALSE()</f>
        <v>0</v>
      </c>
      <c r="N1579" s="9" t="str">
        <f aca="false">IF(H1579="","",IF(H1579&gt;=Assumptions!$B$5,1,IF(H1579&gt;=Assumptions!$B$6,2,IF(H1579&gt;=Assumptions!$B$7,3,""))))</f>
        <v/>
      </c>
      <c r="O1579" s="9" t="n">
        <f aca="false">IF(N1579=1,Assumptions!$B$8,IF(N1579=2,Assumptions!$B$9,IF(N1579=3,Assumptions!$B$10,0)))</f>
        <v>0</v>
      </c>
      <c r="P1579" s="6" t="s">
        <v>30</v>
      </c>
      <c r="Q1579" s="6" t="s">
        <v>30</v>
      </c>
      <c r="R1579" s="11" t="s">
        <v>30</v>
      </c>
      <c r="S1579" s="6" t="s">
        <v>30</v>
      </c>
      <c r="T1579" s="11" t="s">
        <v>30</v>
      </c>
      <c r="U1579" s="6" t="s">
        <v>30</v>
      </c>
      <c r="V1579" s="6" t="s">
        <v>30</v>
      </c>
      <c r="W1579" s="6" t="s">
        <v>30</v>
      </c>
      <c r="X1579" s="2" t="s">
        <v>30</v>
      </c>
      <c r="Y1579" s="6" t="str">
        <f aca="false">IF(AND(X1579="processed",ISNUMBER(S1579)),S1579*O1579,"")</f>
        <v/>
      </c>
      <c r="Z1579" s="6" t="n">
        <f aca="false">IF(ISNUMBER(K1579),K1579*O1579,0)</f>
        <v>0</v>
      </c>
      <c r="AA1579" s="2" t="s">
        <v>31</v>
      </c>
      <c r="AB1579" s="6"/>
      <c r="AC1579" s="6"/>
      <c r="AD1579" s="6"/>
      <c r="AE1579" s="6"/>
      <c r="AF1579" s="8" t="n">
        <v>414.176918571</v>
      </c>
      <c r="AG1579" s="11" t="n">
        <v>0.4450945932</v>
      </c>
      <c r="AH1579" s="12"/>
      <c r="AI1579" s="2"/>
      <c r="AJ1579" s="2"/>
      <c r="AK1579" s="2"/>
    </row>
    <row r="1580" customFormat="false" ht="15" hidden="false" customHeight="false" outlineLevel="0" collapsed="false">
      <c r="A1580" s="9"/>
      <c r="B1580" s="2" t="s">
        <v>3491</v>
      </c>
      <c r="C1580" s="2" t="s">
        <v>3492</v>
      </c>
      <c r="D1580" s="2" t="s">
        <v>976</v>
      </c>
      <c r="E1580" s="2" t="s">
        <v>976</v>
      </c>
      <c r="F1580" s="2"/>
      <c r="G1580" s="2" t="s">
        <v>323</v>
      </c>
      <c r="H1580" s="8" t="n">
        <v>327.822516499551</v>
      </c>
      <c r="I1580" s="2" t="s">
        <v>316</v>
      </c>
      <c r="J1580" s="8" t="n">
        <v>521413.043478261</v>
      </c>
      <c r="K1580" s="6" t="n">
        <v>276</v>
      </c>
      <c r="L1580" s="2"/>
      <c r="M1580" s="10" t="b">
        <f aca="false">TRUE()</f>
        <v>1</v>
      </c>
      <c r="N1580" s="9" t="str">
        <f aca="false">IF(H1580="","",IF(H1580&gt;=Assumptions!$B$5,1,IF(H1580&gt;=Assumptions!$B$6,2,IF(H1580&gt;=Assumptions!$B$7,3,""))))</f>
        <v/>
      </c>
      <c r="O1580" s="9" t="n">
        <f aca="false">IF(N1580=1,Assumptions!$B$8,IF(N1580=2,Assumptions!$B$9,IF(N1580=3,Assumptions!$B$10,0)))</f>
        <v>0</v>
      </c>
      <c r="P1580" s="6" t="s">
        <v>30</v>
      </c>
      <c r="Q1580" s="6" t="s">
        <v>30</v>
      </c>
      <c r="R1580" s="11" t="s">
        <v>30</v>
      </c>
      <c r="S1580" s="6" t="s">
        <v>30</v>
      </c>
      <c r="T1580" s="11" t="s">
        <v>30</v>
      </c>
      <c r="U1580" s="6" t="s">
        <v>30</v>
      </c>
      <c r="V1580" s="6" t="s">
        <v>30</v>
      </c>
      <c r="W1580" s="6" t="s">
        <v>30</v>
      </c>
      <c r="X1580" s="2" t="s">
        <v>30</v>
      </c>
      <c r="Y1580" s="6" t="str">
        <f aca="false">IF(AND(X1580="processed",ISNUMBER(S1580)),S1580*O1580,"")</f>
        <v/>
      </c>
      <c r="Z1580" s="6" t="n">
        <f aca="false">IF(ISNUMBER(K1580),K1580*O1580,0)</f>
        <v>0</v>
      </c>
      <c r="AA1580" s="2" t="s">
        <v>31</v>
      </c>
      <c r="AB1580" s="6" t="n">
        <v>14631</v>
      </c>
      <c r="AC1580" s="6" t="n">
        <v>13348</v>
      </c>
      <c r="AD1580" s="6" t="n">
        <v>3252</v>
      </c>
      <c r="AE1580" s="6" t="n">
        <v>2436.75146484375</v>
      </c>
      <c r="AF1580" s="8" t="n">
        <v>349.21612542</v>
      </c>
      <c r="AG1580" s="11" t="n">
        <v>0.007082786396</v>
      </c>
      <c r="AH1580" s="12" t="n">
        <v>0.999982082108897</v>
      </c>
      <c r="AI1580" s="2" t="s">
        <v>317</v>
      </c>
      <c r="AJ1580" s="2" t="s">
        <v>3492</v>
      </c>
      <c r="AK1580" s="2" t="s">
        <v>3492</v>
      </c>
    </row>
    <row r="1581" customFormat="false" ht="15" hidden="false" customHeight="false" outlineLevel="0" collapsed="false">
      <c r="A1581" s="9"/>
      <c r="B1581" s="2" t="s">
        <v>3493</v>
      </c>
      <c r="C1581" s="2" t="s">
        <v>3494</v>
      </c>
      <c r="D1581" s="2" t="s">
        <v>1800</v>
      </c>
      <c r="E1581" s="2" t="s">
        <v>51</v>
      </c>
      <c r="F1581" s="2"/>
      <c r="G1581" s="2" t="s">
        <v>323</v>
      </c>
      <c r="H1581" s="8" t="n">
        <v>353.2258994694</v>
      </c>
      <c r="I1581" s="2" t="s">
        <v>316</v>
      </c>
      <c r="J1581" s="8" t="n">
        <v>929600</v>
      </c>
      <c r="K1581" s="6" t="n">
        <v>10</v>
      </c>
      <c r="L1581" s="2"/>
      <c r="M1581" s="10" t="b">
        <f aca="false">TRUE()</f>
        <v>1</v>
      </c>
      <c r="N1581" s="9" t="str">
        <f aca="false">IF(H1581="","",IF(H1581&gt;=Assumptions!$B$5,1,IF(H1581&gt;=Assumptions!$B$6,2,IF(H1581&gt;=Assumptions!$B$7,3,""))))</f>
        <v/>
      </c>
      <c r="O1581" s="9" t="n">
        <f aca="false">IF(N1581=1,Assumptions!$B$8,IF(N1581=2,Assumptions!$B$9,IF(N1581=3,Assumptions!$B$10,0)))</f>
        <v>0</v>
      </c>
      <c r="P1581" s="6" t="s">
        <v>30</v>
      </c>
      <c r="Q1581" s="6" t="s">
        <v>30</v>
      </c>
      <c r="R1581" s="11" t="s">
        <v>30</v>
      </c>
      <c r="S1581" s="6" t="s">
        <v>30</v>
      </c>
      <c r="T1581" s="11" t="s">
        <v>30</v>
      </c>
      <c r="U1581" s="6" t="s">
        <v>30</v>
      </c>
      <c r="V1581" s="6" t="s">
        <v>30</v>
      </c>
      <c r="W1581" s="6" t="s">
        <v>30</v>
      </c>
      <c r="X1581" s="2" t="s">
        <v>30</v>
      </c>
      <c r="Y1581" s="6" t="str">
        <f aca="false">IF(AND(X1581="processed",ISNUMBER(S1581)),S1581*O1581,"")</f>
        <v/>
      </c>
      <c r="Z1581" s="6" t="n">
        <f aca="false">IF(ISNUMBER(K1581),K1581*O1581,0)</f>
        <v>0</v>
      </c>
      <c r="AA1581" s="2" t="s">
        <v>31</v>
      </c>
      <c r="AB1581" s="6" t="n">
        <v>1157</v>
      </c>
      <c r="AC1581" s="6" t="n">
        <v>946</v>
      </c>
      <c r="AD1581" s="6" t="n">
        <v>162</v>
      </c>
      <c r="AE1581" s="6" t="n">
        <v>2014.6826171875</v>
      </c>
      <c r="AF1581" s="8" t="n">
        <v>370.636059302</v>
      </c>
      <c r="AG1581" s="11" t="n">
        <v>0.2320609813</v>
      </c>
      <c r="AH1581" s="12" t="n">
        <v>0.947575803305412</v>
      </c>
      <c r="AI1581" s="2" t="s">
        <v>317</v>
      </c>
      <c r="AJ1581" s="2" t="s">
        <v>3494</v>
      </c>
      <c r="AK1581" s="2" t="s">
        <v>976</v>
      </c>
    </row>
    <row r="1582" customFormat="false" ht="15" hidden="false" customHeight="false" outlineLevel="0" collapsed="false">
      <c r="A1582" s="9"/>
      <c r="B1582" s="2" t="s">
        <v>3495</v>
      </c>
      <c r="C1582" s="2" t="s">
        <v>3496</v>
      </c>
      <c r="D1582" s="2" t="s">
        <v>1207</v>
      </c>
      <c r="E1582" s="2" t="s">
        <v>51</v>
      </c>
      <c r="F1582" s="2"/>
      <c r="G1582" s="2" t="s">
        <v>323</v>
      </c>
      <c r="H1582" s="8" t="n">
        <v>277.201024936881</v>
      </c>
      <c r="I1582" s="2" t="s">
        <v>316</v>
      </c>
      <c r="J1582" s="8" t="n">
        <v>559237.288135593</v>
      </c>
      <c r="K1582" s="6" t="n">
        <v>59</v>
      </c>
      <c r="L1582" s="2"/>
      <c r="M1582" s="10" t="b">
        <f aca="false">TRUE()</f>
        <v>1</v>
      </c>
      <c r="N1582" s="9" t="str">
        <f aca="false">IF(H1582="","",IF(H1582&gt;=Assumptions!$B$5,1,IF(H1582&gt;=Assumptions!$B$6,2,IF(H1582&gt;=Assumptions!$B$7,3,""))))</f>
        <v/>
      </c>
      <c r="O1582" s="9" t="n">
        <f aca="false">IF(N1582=1,Assumptions!$B$8,IF(N1582=2,Assumptions!$B$9,IF(N1582=3,Assumptions!$B$10,0)))</f>
        <v>0</v>
      </c>
      <c r="P1582" s="6" t="s">
        <v>30</v>
      </c>
      <c r="Q1582" s="6" t="s">
        <v>30</v>
      </c>
      <c r="R1582" s="11" t="s">
        <v>30</v>
      </c>
      <c r="S1582" s="6" t="s">
        <v>30</v>
      </c>
      <c r="T1582" s="11" t="s">
        <v>30</v>
      </c>
      <c r="U1582" s="6" t="s">
        <v>30</v>
      </c>
      <c r="V1582" s="6" t="s">
        <v>30</v>
      </c>
      <c r="W1582" s="6" t="s">
        <v>30</v>
      </c>
      <c r="X1582" s="2" t="s">
        <v>30</v>
      </c>
      <c r="Y1582" s="6" t="str">
        <f aca="false">IF(AND(X1582="processed",ISNUMBER(S1582)),S1582*O1582,"")</f>
        <v/>
      </c>
      <c r="Z1582" s="6" t="n">
        <f aca="false">IF(ISNUMBER(K1582),K1582*O1582,0)</f>
        <v>0</v>
      </c>
      <c r="AA1582" s="2" t="s">
        <v>31</v>
      </c>
      <c r="AB1582" s="6" t="n">
        <v>2714</v>
      </c>
      <c r="AC1582" s="6" t="n">
        <v>2424</v>
      </c>
      <c r="AD1582" s="6" t="n">
        <v>2688</v>
      </c>
      <c r="AE1582" s="6" t="n">
        <v>2382.44702148438</v>
      </c>
      <c r="AF1582" s="8" t="n">
        <v>283.687943262</v>
      </c>
      <c r="AG1582" s="11" t="n">
        <v>-0.04422404302</v>
      </c>
      <c r="AH1582" s="12" t="n">
        <v>0.999477179538406</v>
      </c>
      <c r="AI1582" s="2" t="s">
        <v>1597</v>
      </c>
      <c r="AJ1582" s="2"/>
      <c r="AK1582" s="2" t="s">
        <v>3496</v>
      </c>
    </row>
    <row r="1583" customFormat="false" ht="15" hidden="false" customHeight="false" outlineLevel="0" collapsed="false">
      <c r="A1583" s="9"/>
      <c r="B1583" s="2" t="s">
        <v>3497</v>
      </c>
      <c r="C1583" s="2" t="s">
        <v>3498</v>
      </c>
      <c r="D1583" s="2" t="s">
        <v>976</v>
      </c>
      <c r="E1583" s="2" t="s">
        <v>976</v>
      </c>
      <c r="F1583" s="2"/>
      <c r="G1583" s="2" t="s">
        <v>323</v>
      </c>
      <c r="H1583" s="8" t="n">
        <v>342.440545162</v>
      </c>
      <c r="I1583" s="2" t="s">
        <v>316</v>
      </c>
      <c r="J1583" s="8" t="n">
        <v>606142.857142857</v>
      </c>
      <c r="K1583" s="6" t="n">
        <v>7</v>
      </c>
      <c r="L1583" s="2"/>
      <c r="M1583" s="10" t="b">
        <f aca="false">TRUE()</f>
        <v>1</v>
      </c>
      <c r="N1583" s="9" t="str">
        <f aca="false">IF(H1583="","",IF(H1583&gt;=Assumptions!$B$5,1,IF(H1583&gt;=Assumptions!$B$6,2,IF(H1583&gt;=Assumptions!$B$7,3,""))))</f>
        <v/>
      </c>
      <c r="O1583" s="9" t="n">
        <f aca="false">IF(N1583=1,Assumptions!$B$8,IF(N1583=2,Assumptions!$B$9,IF(N1583=3,Assumptions!$B$10,0)))</f>
        <v>0</v>
      </c>
      <c r="P1583" s="6" t="s">
        <v>30</v>
      </c>
      <c r="Q1583" s="6" t="s">
        <v>30</v>
      </c>
      <c r="R1583" s="11" t="s">
        <v>30</v>
      </c>
      <c r="S1583" s="6" t="s">
        <v>30</v>
      </c>
      <c r="T1583" s="11" t="s">
        <v>30</v>
      </c>
      <c r="U1583" s="6" t="s">
        <v>30</v>
      </c>
      <c r="V1583" s="6" t="s">
        <v>30</v>
      </c>
      <c r="W1583" s="6" t="s">
        <v>30</v>
      </c>
      <c r="X1583" s="2" t="s">
        <v>30</v>
      </c>
      <c r="Y1583" s="6" t="str">
        <f aca="false">IF(AND(X1583="processed",ISNUMBER(S1583)),S1583*O1583,"")</f>
        <v/>
      </c>
      <c r="Z1583" s="6" t="n">
        <f aca="false">IF(ISNUMBER(K1583),K1583*O1583,0)</f>
        <v>0</v>
      </c>
      <c r="AA1583" s="2" t="s">
        <v>31</v>
      </c>
      <c r="AB1583" s="6" t="n">
        <v>583</v>
      </c>
      <c r="AC1583" s="6" t="n">
        <v>479</v>
      </c>
      <c r="AD1583" s="6" t="n">
        <v>395</v>
      </c>
      <c r="AE1583" s="6" t="n">
        <v>1721.81982421875</v>
      </c>
      <c r="AF1583" s="8" t="n">
        <v>311.120091004</v>
      </c>
      <c r="AG1583" s="11" t="n">
        <v>0.08431795031</v>
      </c>
      <c r="AH1583" s="12" t="n">
        <v>0.94307516009439</v>
      </c>
      <c r="AI1583" s="2" t="s">
        <v>317</v>
      </c>
      <c r="AJ1583" s="2" t="s">
        <v>3498</v>
      </c>
      <c r="AK1583" s="2" t="s">
        <v>3499</v>
      </c>
    </row>
    <row r="1584" customFormat="false" ht="15" hidden="false" customHeight="false" outlineLevel="0" collapsed="false">
      <c r="A1584" s="9"/>
      <c r="B1584" s="2" t="s">
        <v>3500</v>
      </c>
      <c r="C1584" s="2" t="s">
        <v>3501</v>
      </c>
      <c r="D1584" s="2" t="s">
        <v>1800</v>
      </c>
      <c r="E1584" s="2" t="s">
        <v>51</v>
      </c>
      <c r="F1584" s="2" t="s">
        <v>3502</v>
      </c>
      <c r="G1584" s="2" t="s">
        <v>323</v>
      </c>
      <c r="H1584" s="8" t="n">
        <v>495.24199201942</v>
      </c>
      <c r="I1584" s="2" t="s">
        <v>316</v>
      </c>
      <c r="J1584" s="8" t="n">
        <v>903946.341463415</v>
      </c>
      <c r="K1584" s="6" t="n">
        <v>205</v>
      </c>
      <c r="L1584" s="2"/>
      <c r="M1584" s="10" t="b">
        <f aca="false">TRUE()</f>
        <v>1</v>
      </c>
      <c r="N1584" s="9" t="str">
        <f aca="false">IF(H1584="","",IF(H1584&gt;=Assumptions!$B$5,1,IF(H1584&gt;=Assumptions!$B$6,2,IF(H1584&gt;=Assumptions!$B$7,3,""))))</f>
        <v/>
      </c>
      <c r="O1584" s="9" t="n">
        <f aca="false">IF(N1584=1,Assumptions!$B$8,IF(N1584=2,Assumptions!$B$9,IF(N1584=3,Assumptions!$B$10,0)))</f>
        <v>0</v>
      </c>
      <c r="P1584" s="6" t="s">
        <v>30</v>
      </c>
      <c r="Q1584" s="6" t="s">
        <v>30</v>
      </c>
      <c r="R1584" s="11" t="s">
        <v>30</v>
      </c>
      <c r="S1584" s="6" t="s">
        <v>30</v>
      </c>
      <c r="T1584" s="11" t="s">
        <v>30</v>
      </c>
      <c r="U1584" s="6" t="s">
        <v>30</v>
      </c>
      <c r="V1584" s="6" t="s">
        <v>30</v>
      </c>
      <c r="W1584" s="6" t="s">
        <v>30</v>
      </c>
      <c r="X1584" s="2" t="s">
        <v>30</v>
      </c>
      <c r="Y1584" s="6" t="str">
        <f aca="false">IF(AND(X1584="processed",ISNUMBER(S1584)),S1584*O1584,"")</f>
        <v/>
      </c>
      <c r="Z1584" s="6" t="n">
        <f aca="false">IF(ISNUMBER(K1584),K1584*O1584,0)</f>
        <v>0</v>
      </c>
      <c r="AA1584" s="2" t="s">
        <v>31</v>
      </c>
      <c r="AB1584" s="6" t="n">
        <v>12615</v>
      </c>
      <c r="AC1584" s="6" t="n">
        <v>10646</v>
      </c>
      <c r="AD1584" s="6" t="n">
        <v>572</v>
      </c>
      <c r="AE1584" s="6" t="n">
        <v>2515.77563476563</v>
      </c>
      <c r="AF1584" s="8" t="n">
        <v>498.808388942</v>
      </c>
      <c r="AG1584" s="11" t="n">
        <v>-0.05827686162</v>
      </c>
      <c r="AH1584" s="12" t="n">
        <v>0.997421970838756</v>
      </c>
      <c r="AI1584" s="2" t="s">
        <v>317</v>
      </c>
      <c r="AJ1584" s="2" t="s">
        <v>3501</v>
      </c>
      <c r="AK1584" s="2" t="s">
        <v>3501</v>
      </c>
    </row>
    <row r="1585" customFormat="false" ht="15" hidden="false" customHeight="false" outlineLevel="0" collapsed="false">
      <c r="A1585" s="9"/>
      <c r="B1585" s="2" t="s">
        <v>3503</v>
      </c>
      <c r="C1585" s="2" t="s">
        <v>3501</v>
      </c>
      <c r="D1585" s="2" t="s">
        <v>1800</v>
      </c>
      <c r="E1585" s="2" t="s">
        <v>51</v>
      </c>
      <c r="F1585" s="2" t="s">
        <v>3504</v>
      </c>
      <c r="G1585" s="2" t="s">
        <v>323</v>
      </c>
      <c r="H1585" s="8" t="n">
        <v>477.526198407783</v>
      </c>
      <c r="I1585" s="2" t="s">
        <v>316</v>
      </c>
      <c r="J1585" s="8" t="n">
        <v>813738.853503185</v>
      </c>
      <c r="K1585" s="6" t="n">
        <v>157</v>
      </c>
      <c r="L1585" s="2"/>
      <c r="M1585" s="10" t="b">
        <f aca="false">TRUE()</f>
        <v>1</v>
      </c>
      <c r="N1585" s="9" t="str">
        <f aca="false">IF(H1585="","",IF(H1585&gt;=Assumptions!$B$5,1,IF(H1585&gt;=Assumptions!$B$6,2,IF(H1585&gt;=Assumptions!$B$7,3,""))))</f>
        <v/>
      </c>
      <c r="O1585" s="9" t="n">
        <f aca="false">IF(N1585=1,Assumptions!$B$8,IF(N1585=2,Assumptions!$B$9,IF(N1585=3,Assumptions!$B$10,0)))</f>
        <v>0</v>
      </c>
      <c r="P1585" s="6" t="s">
        <v>30</v>
      </c>
      <c r="Q1585" s="6" t="s">
        <v>30</v>
      </c>
      <c r="R1585" s="11" t="s">
        <v>30</v>
      </c>
      <c r="S1585" s="6" t="s">
        <v>30</v>
      </c>
      <c r="T1585" s="11" t="s">
        <v>30</v>
      </c>
      <c r="U1585" s="6" t="s">
        <v>30</v>
      </c>
      <c r="V1585" s="6" t="s">
        <v>30</v>
      </c>
      <c r="W1585" s="6" t="s">
        <v>30</v>
      </c>
      <c r="X1585" s="2" t="s">
        <v>30</v>
      </c>
      <c r="Y1585" s="6" t="str">
        <f aca="false">IF(AND(X1585="processed",ISNUMBER(S1585)),S1585*O1585,"")</f>
        <v/>
      </c>
      <c r="Z1585" s="6" t="n">
        <f aca="false">IF(ISNUMBER(K1585),K1585*O1585,0)</f>
        <v>0</v>
      </c>
      <c r="AA1585" s="2" t="s">
        <v>31</v>
      </c>
      <c r="AB1585" s="6" t="n">
        <v>8599</v>
      </c>
      <c r="AC1585" s="6" t="n">
        <v>7666</v>
      </c>
      <c r="AD1585" s="6" t="n">
        <v>497</v>
      </c>
      <c r="AE1585" s="6" t="n">
        <v>2388.365234375</v>
      </c>
      <c r="AF1585" s="8" t="n">
        <v>484.913793103</v>
      </c>
      <c r="AG1585" s="11" t="n">
        <v>-0.0536647798</v>
      </c>
      <c r="AH1585" s="12" t="n">
        <v>0.750667474000013</v>
      </c>
      <c r="AI1585" s="2" t="s">
        <v>582</v>
      </c>
      <c r="AJ1585" s="2" t="s">
        <v>3501</v>
      </c>
      <c r="AK1585" s="2" t="s">
        <v>3501</v>
      </c>
    </row>
    <row r="1586" customFormat="false" ht="15" hidden="false" customHeight="false" outlineLevel="0" collapsed="false">
      <c r="A1586" s="9"/>
      <c r="B1586" s="2" t="s">
        <v>3505</v>
      </c>
      <c r="C1586" s="2" t="s">
        <v>1207</v>
      </c>
      <c r="D1586" s="2" t="s">
        <v>1207</v>
      </c>
      <c r="E1586" s="2" t="s">
        <v>51</v>
      </c>
      <c r="F1586" s="2" t="s">
        <v>2966</v>
      </c>
      <c r="G1586" s="2" t="s">
        <v>323</v>
      </c>
      <c r="H1586" s="8" t="n">
        <v>329.133414922772</v>
      </c>
      <c r="I1586" s="2" t="s">
        <v>316</v>
      </c>
      <c r="J1586" s="8" t="n">
        <v>482357.142857143</v>
      </c>
      <c r="K1586" s="6" t="n">
        <v>35</v>
      </c>
      <c r="L1586" s="2"/>
      <c r="M1586" s="10" t="b">
        <f aca="false">TRUE()</f>
        <v>1</v>
      </c>
      <c r="N1586" s="9" t="str">
        <f aca="false">IF(H1586="","",IF(H1586&gt;=Assumptions!$B$5,1,IF(H1586&gt;=Assumptions!$B$6,2,IF(H1586&gt;=Assumptions!$B$7,3,""))))</f>
        <v/>
      </c>
      <c r="O1586" s="9" t="n">
        <f aca="false">IF(N1586=1,Assumptions!$B$8,IF(N1586=2,Assumptions!$B$9,IF(N1586=3,Assumptions!$B$10,0)))</f>
        <v>0</v>
      </c>
      <c r="P1586" s="6" t="s">
        <v>30</v>
      </c>
      <c r="Q1586" s="6" t="s">
        <v>30</v>
      </c>
      <c r="R1586" s="11" t="s">
        <v>30</v>
      </c>
      <c r="S1586" s="6" t="s">
        <v>30</v>
      </c>
      <c r="T1586" s="11" t="s">
        <v>30</v>
      </c>
      <c r="U1586" s="6" t="s">
        <v>30</v>
      </c>
      <c r="V1586" s="6" t="s">
        <v>30</v>
      </c>
      <c r="W1586" s="6" t="s">
        <v>30</v>
      </c>
      <c r="X1586" s="2" t="s">
        <v>30</v>
      </c>
      <c r="Y1586" s="6" t="str">
        <f aca="false">IF(AND(X1586="processed",ISNUMBER(S1586)),S1586*O1586,"")</f>
        <v/>
      </c>
      <c r="Z1586" s="6" t="n">
        <f aca="false">IF(ISNUMBER(K1586),K1586*O1586,0)</f>
        <v>0</v>
      </c>
      <c r="AA1586" s="2" t="s">
        <v>31</v>
      </c>
      <c r="AB1586" s="6" t="n">
        <v>2580</v>
      </c>
      <c r="AC1586" s="6" t="n">
        <v>2300</v>
      </c>
      <c r="AD1586" s="6" t="n">
        <v>1176</v>
      </c>
      <c r="AE1586" s="6" t="n">
        <v>2039.93420410156</v>
      </c>
      <c r="AF1586" s="8" t="n">
        <v>386.283114969</v>
      </c>
      <c r="AG1586" s="11" t="n">
        <v>0.1186115204</v>
      </c>
      <c r="AH1586" s="12" t="n">
        <v>0.999999999999999</v>
      </c>
      <c r="AI1586" s="2" t="s">
        <v>1597</v>
      </c>
      <c r="AJ1586" s="2"/>
      <c r="AK1586" s="2" t="s">
        <v>1207</v>
      </c>
    </row>
    <row r="1587" customFormat="false" ht="15" hidden="false" customHeight="false" outlineLevel="0" collapsed="false">
      <c r="A1587" s="9"/>
      <c r="B1587" s="2" t="s">
        <v>3506</v>
      </c>
      <c r="C1587" s="2" t="s">
        <v>3507</v>
      </c>
      <c r="D1587" s="2" t="s">
        <v>2922</v>
      </c>
      <c r="E1587" s="2" t="s">
        <v>51</v>
      </c>
      <c r="F1587" s="2"/>
      <c r="G1587" s="2" t="s">
        <v>2923</v>
      </c>
      <c r="H1587" s="8" t="n">
        <v>326.532179690942</v>
      </c>
      <c r="I1587" s="2" t="s">
        <v>316</v>
      </c>
      <c r="J1587" s="8" t="n">
        <v>592557.692307692</v>
      </c>
      <c r="K1587" s="6" t="n">
        <v>260</v>
      </c>
      <c r="L1587" s="2"/>
      <c r="M1587" s="10" t="b">
        <f aca="false">TRUE()</f>
        <v>1</v>
      </c>
      <c r="N1587" s="9" t="str">
        <f aca="false">IF(H1587="","",IF(H1587&gt;=Assumptions!$B$5,1,IF(H1587&gt;=Assumptions!$B$6,2,IF(H1587&gt;=Assumptions!$B$7,3,""))))</f>
        <v/>
      </c>
      <c r="O1587" s="9" t="n">
        <f aca="false">IF(N1587=1,Assumptions!$B$8,IF(N1587=2,Assumptions!$B$9,IF(N1587=3,Assumptions!$B$10,0)))</f>
        <v>0</v>
      </c>
      <c r="P1587" s="6" t="s">
        <v>30</v>
      </c>
      <c r="Q1587" s="6" t="s">
        <v>30</v>
      </c>
      <c r="R1587" s="11" t="s">
        <v>30</v>
      </c>
      <c r="S1587" s="6" t="s">
        <v>30</v>
      </c>
      <c r="T1587" s="11" t="s">
        <v>30</v>
      </c>
      <c r="U1587" s="6" t="s">
        <v>30</v>
      </c>
      <c r="V1587" s="6" t="s">
        <v>30</v>
      </c>
      <c r="W1587" s="6" t="s">
        <v>30</v>
      </c>
      <c r="X1587" s="2" t="s">
        <v>30</v>
      </c>
      <c r="Y1587" s="6" t="str">
        <f aca="false">IF(AND(X1587="processed",ISNUMBER(S1587)),S1587*O1587,"")</f>
        <v/>
      </c>
      <c r="Z1587" s="6" t="n">
        <f aca="false">IF(ISNUMBER(K1587),K1587*O1587,0)</f>
        <v>0</v>
      </c>
      <c r="AA1587" s="2" t="s">
        <v>31</v>
      </c>
      <c r="AB1587" s="6" t="n">
        <v>10086</v>
      </c>
      <c r="AC1587" s="6" t="n">
        <v>8844</v>
      </c>
      <c r="AD1587" s="6" t="n">
        <v>1940</v>
      </c>
      <c r="AE1587" s="6" t="n">
        <v>2376.30834960938</v>
      </c>
      <c r="AF1587" s="8" t="n">
        <v>329.615767384</v>
      </c>
      <c r="AG1587" s="11" t="n">
        <v>0.01425387055</v>
      </c>
      <c r="AH1587" s="12" t="n">
        <v>0.738542281588508</v>
      </c>
      <c r="AI1587" s="2" t="s">
        <v>317</v>
      </c>
      <c r="AJ1587" s="2" t="s">
        <v>3507</v>
      </c>
      <c r="AK1587" s="2" t="s">
        <v>3507</v>
      </c>
    </row>
    <row r="1588" customFormat="false" ht="15" hidden="false" customHeight="false" outlineLevel="0" collapsed="false">
      <c r="A1588" s="9"/>
      <c r="B1588" s="2" t="s">
        <v>3508</v>
      </c>
      <c r="C1588" s="2" t="s">
        <v>3492</v>
      </c>
      <c r="D1588" s="2" t="s">
        <v>976</v>
      </c>
      <c r="E1588" s="2" t="s">
        <v>976</v>
      </c>
      <c r="F1588" s="2"/>
      <c r="G1588" s="2" t="s">
        <v>323</v>
      </c>
      <c r="H1588" s="8" t="n">
        <v>341.530268780425</v>
      </c>
      <c r="I1588" s="2" t="s">
        <v>316</v>
      </c>
      <c r="J1588" s="8" t="n">
        <v>472175</v>
      </c>
      <c r="K1588" s="6" t="n">
        <v>320</v>
      </c>
      <c r="L1588" s="2"/>
      <c r="M1588" s="10" t="b">
        <f aca="false">TRUE()</f>
        <v>1</v>
      </c>
      <c r="N1588" s="9" t="str">
        <f aca="false">IF(H1588="","",IF(H1588&gt;=Assumptions!$B$5,1,IF(H1588&gt;=Assumptions!$B$6,2,IF(H1588&gt;=Assumptions!$B$7,3,""))))</f>
        <v/>
      </c>
      <c r="O1588" s="9" t="n">
        <f aca="false">IF(N1588=1,Assumptions!$B$8,IF(N1588=2,Assumptions!$B$9,IF(N1588=3,Assumptions!$B$10,0)))</f>
        <v>0</v>
      </c>
      <c r="P1588" s="6" t="s">
        <v>30</v>
      </c>
      <c r="Q1588" s="6" t="s">
        <v>30</v>
      </c>
      <c r="R1588" s="11" t="s">
        <v>30</v>
      </c>
      <c r="S1588" s="6" t="s">
        <v>30</v>
      </c>
      <c r="T1588" s="11" t="s">
        <v>30</v>
      </c>
      <c r="U1588" s="6" t="s">
        <v>30</v>
      </c>
      <c r="V1588" s="6" t="s">
        <v>30</v>
      </c>
      <c r="W1588" s="6" t="s">
        <v>30</v>
      </c>
      <c r="X1588" s="2" t="s">
        <v>30</v>
      </c>
      <c r="Y1588" s="6" t="str">
        <f aca="false">IF(AND(X1588="processed",ISNUMBER(S1588)),S1588*O1588,"")</f>
        <v/>
      </c>
      <c r="Z1588" s="6" t="n">
        <f aca="false">IF(ISNUMBER(K1588),K1588*O1588,0)</f>
        <v>0</v>
      </c>
      <c r="AA1588" s="2" t="s">
        <v>31</v>
      </c>
      <c r="AB1588" s="6" t="n">
        <v>13911</v>
      </c>
      <c r="AC1588" s="6" t="n">
        <v>13312</v>
      </c>
      <c r="AD1588" s="6" t="n">
        <v>1436</v>
      </c>
      <c r="AE1588" s="6" t="n">
        <v>2476.25830078125</v>
      </c>
      <c r="AF1588" s="8" t="n">
        <v>343.377559861</v>
      </c>
      <c r="AG1588" s="11" t="n">
        <v>0.00912605239</v>
      </c>
      <c r="AH1588" s="12" t="n">
        <v>0.999649999235128</v>
      </c>
      <c r="AI1588" s="2" t="s">
        <v>317</v>
      </c>
      <c r="AJ1588" s="2" t="s">
        <v>3492</v>
      </c>
      <c r="AK1588" s="2" t="s">
        <v>3492</v>
      </c>
    </row>
    <row r="1589" customFormat="false" ht="15" hidden="false" customHeight="false" outlineLevel="0" collapsed="false">
      <c r="A1589" s="9"/>
      <c r="B1589" s="2" t="s">
        <v>3509</v>
      </c>
      <c r="C1589" s="2" t="s">
        <v>3510</v>
      </c>
      <c r="D1589" s="2" t="s">
        <v>1207</v>
      </c>
      <c r="E1589" s="2" t="s">
        <v>51</v>
      </c>
      <c r="F1589" s="2"/>
      <c r="G1589" s="2" t="s">
        <v>323</v>
      </c>
      <c r="H1589" s="8" t="n">
        <v>325.938474393381</v>
      </c>
      <c r="I1589" s="2" t="s">
        <v>316</v>
      </c>
      <c r="J1589" s="8" t="n">
        <v>560738.095238095</v>
      </c>
      <c r="K1589" s="6" t="n">
        <v>42</v>
      </c>
      <c r="L1589" s="2"/>
      <c r="M1589" s="10" t="b">
        <f aca="false">TRUE()</f>
        <v>1</v>
      </c>
      <c r="N1589" s="9" t="str">
        <f aca="false">IF(H1589="","",IF(H1589&gt;=Assumptions!$B$5,1,IF(H1589&gt;=Assumptions!$B$6,2,IF(H1589&gt;=Assumptions!$B$7,3,""))))</f>
        <v/>
      </c>
      <c r="O1589" s="9" t="n">
        <f aca="false">IF(N1589=1,Assumptions!$B$8,IF(N1589=2,Assumptions!$B$9,IF(N1589=3,Assumptions!$B$10,0)))</f>
        <v>0</v>
      </c>
      <c r="P1589" s="6" t="s">
        <v>30</v>
      </c>
      <c r="Q1589" s="6" t="s">
        <v>30</v>
      </c>
      <c r="R1589" s="11" t="s">
        <v>30</v>
      </c>
      <c r="S1589" s="6" t="s">
        <v>30</v>
      </c>
      <c r="T1589" s="11" t="s">
        <v>30</v>
      </c>
      <c r="U1589" s="6" t="s">
        <v>30</v>
      </c>
      <c r="V1589" s="6" t="s">
        <v>30</v>
      </c>
      <c r="W1589" s="6" t="s">
        <v>30</v>
      </c>
      <c r="X1589" s="2" t="s">
        <v>30</v>
      </c>
      <c r="Y1589" s="6" t="str">
        <f aca="false">IF(AND(X1589="processed",ISNUMBER(S1589)),S1589*O1589,"")</f>
        <v/>
      </c>
      <c r="Z1589" s="6" t="n">
        <f aca="false">IF(ISNUMBER(K1589),K1589*O1589,0)</f>
        <v>0</v>
      </c>
      <c r="AA1589" s="2" t="s">
        <v>31</v>
      </c>
      <c r="AB1589" s="6" t="n">
        <v>2578</v>
      </c>
      <c r="AC1589" s="6" t="n">
        <v>2234</v>
      </c>
      <c r="AD1589" s="6" t="n">
        <v>2223</v>
      </c>
      <c r="AE1589" s="6" t="n">
        <v>2047.23754882813</v>
      </c>
      <c r="AF1589" s="8" t="n">
        <v>350.729517396</v>
      </c>
      <c r="AG1589" s="11" t="n">
        <v>0.1639068357</v>
      </c>
      <c r="AH1589" s="12" t="n">
        <v>0.999325581243355</v>
      </c>
      <c r="AI1589" s="2" t="s">
        <v>1597</v>
      </c>
      <c r="AJ1589" s="2"/>
      <c r="AK1589" s="2" t="s">
        <v>3510</v>
      </c>
    </row>
    <row r="1590" customFormat="false" ht="15" hidden="false" customHeight="false" outlineLevel="0" collapsed="false">
      <c r="A1590" s="9"/>
      <c r="B1590" s="2" t="s">
        <v>3511</v>
      </c>
      <c r="C1590" s="2" t="s">
        <v>3512</v>
      </c>
      <c r="D1590" s="2" t="s">
        <v>976</v>
      </c>
      <c r="E1590" s="2" t="s">
        <v>976</v>
      </c>
      <c r="F1590" s="2"/>
      <c r="G1590" s="2" t="s">
        <v>323</v>
      </c>
      <c r="H1590" s="8" t="n">
        <v>317.401823818216</v>
      </c>
      <c r="I1590" s="2" t="s">
        <v>316</v>
      </c>
      <c r="J1590" s="8" t="n">
        <v>632122.794117647</v>
      </c>
      <c r="K1590" s="6" t="n">
        <v>408</v>
      </c>
      <c r="L1590" s="2"/>
      <c r="M1590" s="10" t="b">
        <f aca="false">TRUE()</f>
        <v>1</v>
      </c>
      <c r="N1590" s="9" t="str">
        <f aca="false">IF(H1590="","",IF(H1590&gt;=Assumptions!$B$5,1,IF(H1590&gt;=Assumptions!$B$6,2,IF(H1590&gt;=Assumptions!$B$7,3,""))))</f>
        <v/>
      </c>
      <c r="O1590" s="9" t="n">
        <f aca="false">IF(N1590=1,Assumptions!$B$8,IF(N1590=2,Assumptions!$B$9,IF(N1590=3,Assumptions!$B$10,0)))</f>
        <v>0</v>
      </c>
      <c r="P1590" s="6" t="s">
        <v>30</v>
      </c>
      <c r="Q1590" s="6" t="s">
        <v>30</v>
      </c>
      <c r="R1590" s="11" t="s">
        <v>30</v>
      </c>
      <c r="S1590" s="6" t="s">
        <v>30</v>
      </c>
      <c r="T1590" s="11" t="s">
        <v>30</v>
      </c>
      <c r="U1590" s="6" t="s">
        <v>30</v>
      </c>
      <c r="V1590" s="6" t="s">
        <v>30</v>
      </c>
      <c r="W1590" s="6" t="s">
        <v>30</v>
      </c>
      <c r="X1590" s="2" t="s">
        <v>30</v>
      </c>
      <c r="Y1590" s="6" t="str">
        <f aca="false">IF(AND(X1590="processed",ISNUMBER(S1590)),S1590*O1590,"")</f>
        <v/>
      </c>
      <c r="Z1590" s="6" t="n">
        <f aca="false">IF(ISNUMBER(K1590),K1590*O1590,0)</f>
        <v>0</v>
      </c>
      <c r="AA1590" s="2" t="s">
        <v>31</v>
      </c>
      <c r="AB1590" s="6" t="n">
        <v>24275</v>
      </c>
      <c r="AC1590" s="6" t="n">
        <v>21894</v>
      </c>
      <c r="AD1590" s="6" t="n">
        <v>5020</v>
      </c>
      <c r="AE1590" s="6" t="n">
        <v>2572.6611328125</v>
      </c>
      <c r="AF1590" s="8" t="n">
        <v>319.14049141</v>
      </c>
      <c r="AG1590" s="11" t="n">
        <v>-0.00116883005</v>
      </c>
      <c r="AH1590" s="12" t="n">
        <v>1</v>
      </c>
      <c r="AI1590" s="2" t="s">
        <v>317</v>
      </c>
      <c r="AJ1590" s="2" t="s">
        <v>3512</v>
      </c>
      <c r="AK1590" s="2" t="s">
        <v>3512</v>
      </c>
    </row>
    <row r="1591" customFormat="false" ht="15" hidden="false" customHeight="false" outlineLevel="0" collapsed="false">
      <c r="A1591" s="9"/>
      <c r="B1591" s="2" t="s">
        <v>3513</v>
      </c>
      <c r="C1591" s="2" t="s">
        <v>3514</v>
      </c>
      <c r="D1591" s="2" t="s">
        <v>2922</v>
      </c>
      <c r="E1591" s="2" t="s">
        <v>51</v>
      </c>
      <c r="F1591" s="2"/>
      <c r="G1591" s="2"/>
      <c r="H1591" s="8"/>
      <c r="I1591" s="2"/>
      <c r="J1591" s="8"/>
      <c r="K1591" s="6"/>
      <c r="L1591" s="2"/>
      <c r="M1591" s="10" t="b">
        <f aca="false">TRUE()</f>
        <v>1</v>
      </c>
      <c r="N1591" s="9" t="str">
        <f aca="false">IF(H1591="","",IF(H1591&gt;=Assumptions!$B$5,1,IF(H1591&gt;=Assumptions!$B$6,2,IF(H1591&gt;=Assumptions!$B$7,3,""))))</f>
        <v/>
      </c>
      <c r="O1591" s="9" t="n">
        <f aca="false">IF(N1591=1,Assumptions!$B$8,IF(N1591=2,Assumptions!$B$9,IF(N1591=3,Assumptions!$B$10,0)))</f>
        <v>0</v>
      </c>
      <c r="P1591" s="6" t="s">
        <v>30</v>
      </c>
      <c r="Q1591" s="6" t="s">
        <v>30</v>
      </c>
      <c r="R1591" s="11" t="s">
        <v>30</v>
      </c>
      <c r="S1591" s="6" t="s">
        <v>30</v>
      </c>
      <c r="T1591" s="11" t="s">
        <v>30</v>
      </c>
      <c r="U1591" s="6" t="s">
        <v>30</v>
      </c>
      <c r="V1591" s="6" t="s">
        <v>30</v>
      </c>
      <c r="W1591" s="6" t="s">
        <v>30</v>
      </c>
      <c r="X1591" s="2" t="s">
        <v>30</v>
      </c>
      <c r="Y1591" s="6" t="str">
        <f aca="false">IF(AND(X1591="processed",ISNUMBER(S1591)),S1591*O1591,"")</f>
        <v/>
      </c>
      <c r="Z1591" s="6" t="n">
        <f aca="false">IF(ISNUMBER(K1591),K1591*O1591,0)</f>
        <v>0</v>
      </c>
      <c r="AA1591" s="2" t="s">
        <v>31</v>
      </c>
      <c r="AB1591" s="6" t="n">
        <v>131</v>
      </c>
      <c r="AC1591" s="6" t="n">
        <v>107</v>
      </c>
      <c r="AD1591" s="6" t="n">
        <v>73</v>
      </c>
      <c r="AE1591" s="6" t="n">
        <v>1602.18469238281</v>
      </c>
      <c r="AF1591" s="8"/>
      <c r="AG1591" s="11"/>
      <c r="AH1591" s="12" t="n">
        <v>1</v>
      </c>
      <c r="AI1591" s="2" t="s">
        <v>317</v>
      </c>
      <c r="AJ1591" s="2" t="s">
        <v>3514</v>
      </c>
      <c r="AK1591" s="2" t="s">
        <v>3515</v>
      </c>
    </row>
    <row r="1592" customFormat="false" ht="15" hidden="false" customHeight="false" outlineLevel="0" collapsed="false">
      <c r="A1592" s="9"/>
      <c r="B1592" s="2" t="s">
        <v>3516</v>
      </c>
      <c r="C1592" s="2" t="s">
        <v>3517</v>
      </c>
      <c r="D1592" s="2" t="s">
        <v>976</v>
      </c>
      <c r="E1592" s="2" t="s">
        <v>976</v>
      </c>
      <c r="F1592" s="2"/>
      <c r="G1592" s="2" t="s">
        <v>323</v>
      </c>
      <c r="H1592" s="8" t="n">
        <v>356.434293484674</v>
      </c>
      <c r="I1592" s="2" t="s">
        <v>316</v>
      </c>
      <c r="J1592" s="8" t="n">
        <v>577348.837209302</v>
      </c>
      <c r="K1592" s="6" t="n">
        <v>43</v>
      </c>
      <c r="L1592" s="2"/>
      <c r="M1592" s="10" t="b">
        <f aca="false">TRUE()</f>
        <v>1</v>
      </c>
      <c r="N1592" s="9" t="str">
        <f aca="false">IF(H1592="","",IF(H1592&gt;=Assumptions!$B$5,1,IF(H1592&gt;=Assumptions!$B$6,2,IF(H1592&gt;=Assumptions!$B$7,3,""))))</f>
        <v/>
      </c>
      <c r="O1592" s="9" t="n">
        <f aca="false">IF(N1592=1,Assumptions!$B$8,IF(N1592=2,Assumptions!$B$9,IF(N1592=3,Assumptions!$B$10,0)))</f>
        <v>0</v>
      </c>
      <c r="P1592" s="6" t="s">
        <v>30</v>
      </c>
      <c r="Q1592" s="6" t="s">
        <v>30</v>
      </c>
      <c r="R1592" s="11" t="s">
        <v>30</v>
      </c>
      <c r="S1592" s="6" t="s">
        <v>30</v>
      </c>
      <c r="T1592" s="11" t="s">
        <v>30</v>
      </c>
      <c r="U1592" s="6" t="s">
        <v>30</v>
      </c>
      <c r="V1592" s="6" t="s">
        <v>30</v>
      </c>
      <c r="W1592" s="6" t="s">
        <v>30</v>
      </c>
      <c r="X1592" s="2" t="s">
        <v>30</v>
      </c>
      <c r="Y1592" s="6" t="str">
        <f aca="false">IF(AND(X1592="processed",ISNUMBER(S1592)),S1592*O1592,"")</f>
        <v/>
      </c>
      <c r="Z1592" s="6" t="n">
        <f aca="false">IF(ISNUMBER(K1592),K1592*O1592,0)</f>
        <v>0</v>
      </c>
      <c r="AA1592" s="2" t="s">
        <v>31</v>
      </c>
      <c r="AB1592" s="6" t="n">
        <v>3857</v>
      </c>
      <c r="AC1592" s="6" t="n">
        <v>3221</v>
      </c>
      <c r="AD1592" s="6" t="n">
        <v>555</v>
      </c>
      <c r="AE1592" s="6" t="n">
        <v>1985.98754882813</v>
      </c>
      <c r="AF1592" s="8" t="n">
        <v>391.317345717</v>
      </c>
      <c r="AG1592" s="11" t="n">
        <v>0.01489257674</v>
      </c>
      <c r="AH1592" s="12" t="n">
        <v>0.610311408962115</v>
      </c>
      <c r="AI1592" s="2" t="s">
        <v>317</v>
      </c>
      <c r="AJ1592" s="2" t="s">
        <v>3517</v>
      </c>
      <c r="AK1592" s="2" t="s">
        <v>1760</v>
      </c>
    </row>
    <row r="1593" customFormat="false" ht="15" hidden="false" customHeight="false" outlineLevel="0" collapsed="false">
      <c r="A1593" s="9"/>
      <c r="B1593" s="2" t="s">
        <v>3518</v>
      </c>
      <c r="C1593" s="2" t="s">
        <v>3519</v>
      </c>
      <c r="D1593" s="2" t="s">
        <v>1800</v>
      </c>
      <c r="E1593" s="2" t="s">
        <v>51</v>
      </c>
      <c r="F1593" s="2"/>
      <c r="G1593" s="2" t="s">
        <v>323</v>
      </c>
      <c r="H1593" s="8" t="n">
        <v>385.422522568733</v>
      </c>
      <c r="I1593" s="2" t="s">
        <v>316</v>
      </c>
      <c r="J1593" s="8" t="n">
        <v>578000</v>
      </c>
      <c r="K1593" s="6" t="n">
        <v>15</v>
      </c>
      <c r="L1593" s="2"/>
      <c r="M1593" s="10" t="b">
        <f aca="false">TRUE()</f>
        <v>1</v>
      </c>
      <c r="N1593" s="9" t="str">
        <f aca="false">IF(H1593="","",IF(H1593&gt;=Assumptions!$B$5,1,IF(H1593&gt;=Assumptions!$B$6,2,IF(H1593&gt;=Assumptions!$B$7,3,""))))</f>
        <v/>
      </c>
      <c r="O1593" s="9" t="n">
        <f aca="false">IF(N1593=1,Assumptions!$B$8,IF(N1593=2,Assumptions!$B$9,IF(N1593=3,Assumptions!$B$10,0)))</f>
        <v>0</v>
      </c>
      <c r="P1593" s="6" t="s">
        <v>30</v>
      </c>
      <c r="Q1593" s="6" t="s">
        <v>30</v>
      </c>
      <c r="R1593" s="11" t="s">
        <v>30</v>
      </c>
      <c r="S1593" s="6" t="s">
        <v>30</v>
      </c>
      <c r="T1593" s="11" t="s">
        <v>30</v>
      </c>
      <c r="U1593" s="6" t="s">
        <v>30</v>
      </c>
      <c r="V1593" s="6" t="s">
        <v>30</v>
      </c>
      <c r="W1593" s="6" t="s">
        <v>30</v>
      </c>
      <c r="X1593" s="2" t="s">
        <v>30</v>
      </c>
      <c r="Y1593" s="6" t="str">
        <f aca="false">IF(AND(X1593="processed",ISNUMBER(S1593)),S1593*O1593,"")</f>
        <v/>
      </c>
      <c r="Z1593" s="6" t="n">
        <f aca="false">IF(ISNUMBER(K1593),K1593*O1593,0)</f>
        <v>0</v>
      </c>
      <c r="AA1593" s="2" t="s">
        <v>31</v>
      </c>
      <c r="AB1593" s="6" t="n">
        <v>2067</v>
      </c>
      <c r="AC1593" s="6" t="n">
        <v>1747</v>
      </c>
      <c r="AD1593" s="6" t="n">
        <v>232</v>
      </c>
      <c r="AE1593" s="6" t="n">
        <v>2064.18701171875</v>
      </c>
      <c r="AF1593" s="8" t="n">
        <v>364.238410596</v>
      </c>
      <c r="AG1593" s="11" t="n">
        <v>0.2308133131</v>
      </c>
      <c r="AH1593" s="12" t="n">
        <v>1</v>
      </c>
      <c r="AI1593" s="2" t="s">
        <v>317</v>
      </c>
      <c r="AJ1593" s="2" t="s">
        <v>3519</v>
      </c>
      <c r="AK1593" s="2" t="s">
        <v>3520</v>
      </c>
    </row>
    <row r="1594" customFormat="false" ht="15" hidden="false" customHeight="false" outlineLevel="0" collapsed="false">
      <c r="A1594" s="9"/>
      <c r="B1594" s="2" t="s">
        <v>3521</v>
      </c>
      <c r="C1594" s="2" t="s">
        <v>3522</v>
      </c>
      <c r="D1594" s="2" t="s">
        <v>976</v>
      </c>
      <c r="E1594" s="2" t="s">
        <v>976</v>
      </c>
      <c r="F1594" s="2" t="s">
        <v>3522</v>
      </c>
      <c r="G1594" s="2" t="s">
        <v>323</v>
      </c>
      <c r="H1594" s="8" t="n">
        <v>336.684090895747</v>
      </c>
      <c r="I1594" s="2" t="s">
        <v>316</v>
      </c>
      <c r="J1594" s="8" t="n">
        <v>642718.894009217</v>
      </c>
      <c r="K1594" s="6" t="n">
        <v>434</v>
      </c>
      <c r="L1594" s="2"/>
      <c r="M1594" s="10" t="b">
        <f aca="false">TRUE()</f>
        <v>1</v>
      </c>
      <c r="N1594" s="9" t="str">
        <f aca="false">IF(H1594="","",IF(H1594&gt;=Assumptions!$B$5,1,IF(H1594&gt;=Assumptions!$B$6,2,IF(H1594&gt;=Assumptions!$B$7,3,""))))</f>
        <v/>
      </c>
      <c r="O1594" s="9" t="n">
        <f aca="false">IF(N1594=1,Assumptions!$B$8,IF(N1594=2,Assumptions!$B$9,IF(N1594=3,Assumptions!$B$10,0)))</f>
        <v>0</v>
      </c>
      <c r="P1594" s="6" t="s">
        <v>30</v>
      </c>
      <c r="Q1594" s="6" t="s">
        <v>30</v>
      </c>
      <c r="R1594" s="11" t="s">
        <v>30</v>
      </c>
      <c r="S1594" s="6" t="s">
        <v>30</v>
      </c>
      <c r="T1594" s="11" t="s">
        <v>30</v>
      </c>
      <c r="U1594" s="6" t="s">
        <v>30</v>
      </c>
      <c r="V1594" s="6" t="s">
        <v>30</v>
      </c>
      <c r="W1594" s="6" t="s">
        <v>30</v>
      </c>
      <c r="X1594" s="2" t="s">
        <v>30</v>
      </c>
      <c r="Y1594" s="6" t="str">
        <f aca="false">IF(AND(X1594="processed",ISNUMBER(S1594)),S1594*O1594,"")</f>
        <v/>
      </c>
      <c r="Z1594" s="6" t="n">
        <f aca="false">IF(ISNUMBER(K1594),K1594*O1594,0)</f>
        <v>0</v>
      </c>
      <c r="AA1594" s="2" t="s">
        <v>31</v>
      </c>
      <c r="AB1594" s="6" t="n">
        <v>16735</v>
      </c>
      <c r="AC1594" s="6" t="n">
        <v>15513</v>
      </c>
      <c r="AD1594" s="6" t="n">
        <v>5395</v>
      </c>
      <c r="AE1594" s="6" t="n">
        <v>2748.37719726563</v>
      </c>
      <c r="AF1594" s="8" t="n">
        <v>341.970522492</v>
      </c>
      <c r="AG1594" s="11" t="n">
        <v>-0.02606795194</v>
      </c>
      <c r="AH1594" s="12" t="n">
        <v>0.999999999999999</v>
      </c>
      <c r="AI1594" s="2" t="s">
        <v>317</v>
      </c>
      <c r="AJ1594" s="2" t="s">
        <v>3522</v>
      </c>
      <c r="AK1594" s="2" t="s">
        <v>3522</v>
      </c>
    </row>
    <row r="1595" customFormat="false" ht="15" hidden="false" customHeight="false" outlineLevel="0" collapsed="false">
      <c r="A1595" s="9"/>
      <c r="B1595" s="2" t="s">
        <v>3523</v>
      </c>
      <c r="C1595" s="2" t="s">
        <v>3524</v>
      </c>
      <c r="D1595" s="2" t="s">
        <v>3476</v>
      </c>
      <c r="E1595" s="2" t="s">
        <v>51</v>
      </c>
      <c r="F1595" s="2"/>
      <c r="G1595" s="2"/>
      <c r="H1595" s="8"/>
      <c r="I1595" s="2"/>
      <c r="J1595" s="8"/>
      <c r="K1595" s="6"/>
      <c r="L1595" s="2"/>
      <c r="M1595" s="10" t="b">
        <f aca="false">TRUE()</f>
        <v>1</v>
      </c>
      <c r="N1595" s="9" t="str">
        <f aca="false">IF(H1595="","",IF(H1595&gt;=Assumptions!$B$5,1,IF(H1595&gt;=Assumptions!$B$6,2,IF(H1595&gt;=Assumptions!$B$7,3,""))))</f>
        <v/>
      </c>
      <c r="O1595" s="9" t="n">
        <f aca="false">IF(N1595=1,Assumptions!$B$8,IF(N1595=2,Assumptions!$B$9,IF(N1595=3,Assumptions!$B$10,0)))</f>
        <v>0</v>
      </c>
      <c r="P1595" s="6" t="s">
        <v>30</v>
      </c>
      <c r="Q1595" s="6" t="s">
        <v>30</v>
      </c>
      <c r="R1595" s="11" t="s">
        <v>30</v>
      </c>
      <c r="S1595" s="6" t="s">
        <v>30</v>
      </c>
      <c r="T1595" s="11" t="s">
        <v>30</v>
      </c>
      <c r="U1595" s="6" t="s">
        <v>30</v>
      </c>
      <c r="V1595" s="6" t="s">
        <v>30</v>
      </c>
      <c r="W1595" s="6" t="s">
        <v>30</v>
      </c>
      <c r="X1595" s="2" t="s">
        <v>30</v>
      </c>
      <c r="Y1595" s="6" t="str">
        <f aca="false">IF(AND(X1595="processed",ISNUMBER(S1595)),S1595*O1595,"")</f>
        <v/>
      </c>
      <c r="Z1595" s="6" t="n">
        <f aca="false">IF(ISNUMBER(K1595),K1595*O1595,0)</f>
        <v>0</v>
      </c>
      <c r="AA1595" s="2" t="s">
        <v>31</v>
      </c>
      <c r="AB1595" s="6" t="n">
        <v>920</v>
      </c>
      <c r="AC1595" s="6" t="n">
        <v>770</v>
      </c>
      <c r="AD1595" s="6" t="n">
        <v>899</v>
      </c>
      <c r="AE1595" s="6" t="n">
        <v>1721.57250976563</v>
      </c>
      <c r="AF1595" s="8"/>
      <c r="AG1595" s="11"/>
      <c r="AH1595" s="12" t="n">
        <v>0.563677131779136</v>
      </c>
      <c r="AI1595" s="2" t="s">
        <v>317</v>
      </c>
      <c r="AJ1595" s="2" t="s">
        <v>3524</v>
      </c>
      <c r="AK1595" s="2" t="s">
        <v>3525</v>
      </c>
    </row>
    <row r="1596" customFormat="false" ht="15" hidden="false" customHeight="false" outlineLevel="0" collapsed="false">
      <c r="A1596" s="9"/>
      <c r="B1596" s="2" t="s">
        <v>3526</v>
      </c>
      <c r="C1596" s="2" t="s">
        <v>3527</v>
      </c>
      <c r="D1596" s="2" t="s">
        <v>976</v>
      </c>
      <c r="E1596" s="2" t="s">
        <v>976</v>
      </c>
      <c r="F1596" s="2" t="s">
        <v>3528</v>
      </c>
      <c r="G1596" s="2" t="s">
        <v>323</v>
      </c>
      <c r="H1596" s="8" t="n">
        <v>377.881553479295</v>
      </c>
      <c r="I1596" s="2" t="s">
        <v>316</v>
      </c>
      <c r="J1596" s="8" t="n">
        <v>773493.798657718</v>
      </c>
      <c r="K1596" s="6" t="n">
        <v>745</v>
      </c>
      <c r="L1596" s="2"/>
      <c r="M1596" s="10" t="b">
        <f aca="false">TRUE()</f>
        <v>1</v>
      </c>
      <c r="N1596" s="9" t="str">
        <f aca="false">IF(H1596="","",IF(H1596&gt;=Assumptions!$B$5,1,IF(H1596&gt;=Assumptions!$B$6,2,IF(H1596&gt;=Assumptions!$B$7,3,""))))</f>
        <v/>
      </c>
      <c r="O1596" s="9" t="n">
        <f aca="false">IF(N1596=1,Assumptions!$B$8,IF(N1596=2,Assumptions!$B$9,IF(N1596=3,Assumptions!$B$10,0)))</f>
        <v>0</v>
      </c>
      <c r="P1596" s="6" t="s">
        <v>30</v>
      </c>
      <c r="Q1596" s="6" t="s">
        <v>30</v>
      </c>
      <c r="R1596" s="11" t="s">
        <v>30</v>
      </c>
      <c r="S1596" s="6" t="s">
        <v>30</v>
      </c>
      <c r="T1596" s="11" t="s">
        <v>30</v>
      </c>
      <c r="U1596" s="6" t="s">
        <v>30</v>
      </c>
      <c r="V1596" s="6" t="s">
        <v>30</v>
      </c>
      <c r="W1596" s="6" t="s">
        <v>30</v>
      </c>
      <c r="X1596" s="2" t="s">
        <v>30</v>
      </c>
      <c r="Y1596" s="6" t="str">
        <f aca="false">IF(AND(X1596="processed",ISNUMBER(S1596)),S1596*O1596,"")</f>
        <v/>
      </c>
      <c r="Z1596" s="6" t="n">
        <f aca="false">IF(ISNUMBER(K1596),K1596*O1596,0)</f>
        <v>0</v>
      </c>
      <c r="AA1596" s="2" t="s">
        <v>31</v>
      </c>
      <c r="AB1596" s="6" t="n">
        <v>27746</v>
      </c>
      <c r="AC1596" s="6" t="n">
        <v>25466</v>
      </c>
      <c r="AD1596" s="6" t="n">
        <v>15221</v>
      </c>
      <c r="AE1596" s="6" t="n">
        <v>2611.9423828125</v>
      </c>
      <c r="AF1596" s="8" t="n">
        <v>385.157350869</v>
      </c>
      <c r="AG1596" s="11" t="n">
        <v>0.02304123745</v>
      </c>
      <c r="AH1596" s="12" t="n">
        <v>0.99961268843367</v>
      </c>
      <c r="AI1596" s="2" t="s">
        <v>317</v>
      </c>
      <c r="AJ1596" s="2" t="s">
        <v>3527</v>
      </c>
      <c r="AK1596" s="2" t="s">
        <v>3527</v>
      </c>
    </row>
    <row r="1597" customFormat="false" ht="15" hidden="false" customHeight="false" outlineLevel="0" collapsed="false">
      <c r="A1597" s="9"/>
      <c r="B1597" s="2" t="s">
        <v>3529</v>
      </c>
      <c r="C1597" s="2" t="s">
        <v>3530</v>
      </c>
      <c r="D1597" s="2" t="s">
        <v>50</v>
      </c>
      <c r="E1597" s="2" t="s">
        <v>51</v>
      </c>
      <c r="F1597" s="2" t="s">
        <v>3531</v>
      </c>
      <c r="G1597" s="2" t="s">
        <v>323</v>
      </c>
      <c r="H1597" s="8" t="n">
        <v>273.250337419908</v>
      </c>
      <c r="I1597" s="2" t="s">
        <v>316</v>
      </c>
      <c r="J1597" s="8" t="n">
        <v>488197.368421053</v>
      </c>
      <c r="K1597" s="6" t="n">
        <v>76</v>
      </c>
      <c r="L1597" s="2"/>
      <c r="M1597" s="10" t="b">
        <f aca="false">TRUE()</f>
        <v>1</v>
      </c>
      <c r="N1597" s="9" t="str">
        <f aca="false">IF(H1597="","",IF(H1597&gt;=Assumptions!$B$5,1,IF(H1597&gt;=Assumptions!$B$6,2,IF(H1597&gt;=Assumptions!$B$7,3,""))))</f>
        <v/>
      </c>
      <c r="O1597" s="9" t="n">
        <f aca="false">IF(N1597=1,Assumptions!$B$8,IF(N1597=2,Assumptions!$B$9,IF(N1597=3,Assumptions!$B$10,0)))</f>
        <v>0</v>
      </c>
      <c r="P1597" s="6" t="s">
        <v>30</v>
      </c>
      <c r="Q1597" s="6" t="s">
        <v>30</v>
      </c>
      <c r="R1597" s="11" t="s">
        <v>30</v>
      </c>
      <c r="S1597" s="6" t="s">
        <v>30</v>
      </c>
      <c r="T1597" s="11" t="s">
        <v>30</v>
      </c>
      <c r="U1597" s="6" t="s">
        <v>30</v>
      </c>
      <c r="V1597" s="6" t="s">
        <v>30</v>
      </c>
      <c r="W1597" s="6" t="s">
        <v>30</v>
      </c>
      <c r="X1597" s="2" t="s">
        <v>30</v>
      </c>
      <c r="Y1597" s="6" t="str">
        <f aca="false">IF(AND(X1597="processed",ISNUMBER(S1597)),S1597*O1597,"")</f>
        <v/>
      </c>
      <c r="Z1597" s="6" t="n">
        <f aca="false">IF(ISNUMBER(K1597),K1597*O1597,0)</f>
        <v>0</v>
      </c>
      <c r="AA1597" s="2" t="s">
        <v>31</v>
      </c>
      <c r="AB1597" s="6" t="n">
        <v>3110</v>
      </c>
      <c r="AC1597" s="6" t="n">
        <v>2843</v>
      </c>
      <c r="AD1597" s="6" t="n">
        <v>1982</v>
      </c>
      <c r="AE1597" s="6" t="n">
        <v>2033.64025878906</v>
      </c>
      <c r="AF1597" s="8" t="n">
        <v>255.53462082</v>
      </c>
      <c r="AG1597" s="11" t="n">
        <v>-0.1044700007</v>
      </c>
      <c r="AH1597" s="12" t="n">
        <v>0.999449855315032</v>
      </c>
      <c r="AI1597" s="2" t="s">
        <v>321</v>
      </c>
      <c r="AJ1597" s="2" t="s">
        <v>3530</v>
      </c>
      <c r="AK1597" s="2" t="s">
        <v>3532</v>
      </c>
    </row>
    <row r="1598" customFormat="false" ht="15" hidden="false" customHeight="false" outlineLevel="0" collapsed="false">
      <c r="A1598" s="9"/>
      <c r="B1598" s="2" t="s">
        <v>3533</v>
      </c>
      <c r="C1598" s="2" t="s">
        <v>3534</v>
      </c>
      <c r="D1598" s="2" t="s">
        <v>976</v>
      </c>
      <c r="E1598" s="2" t="s">
        <v>976</v>
      </c>
      <c r="F1598" s="2"/>
      <c r="G1598" s="2" t="s">
        <v>323</v>
      </c>
      <c r="H1598" s="8" t="n">
        <v>312.627510161473</v>
      </c>
      <c r="I1598" s="2" t="s">
        <v>316</v>
      </c>
      <c r="J1598" s="8" t="n">
        <v>551200</v>
      </c>
      <c r="K1598" s="6" t="n">
        <v>260</v>
      </c>
      <c r="L1598" s="2"/>
      <c r="M1598" s="10" t="b">
        <f aca="false">TRUE()</f>
        <v>1</v>
      </c>
      <c r="N1598" s="9" t="str">
        <f aca="false">IF(H1598="","",IF(H1598&gt;=Assumptions!$B$5,1,IF(H1598&gt;=Assumptions!$B$6,2,IF(H1598&gt;=Assumptions!$B$7,3,""))))</f>
        <v/>
      </c>
      <c r="O1598" s="9" t="n">
        <f aca="false">IF(N1598=1,Assumptions!$B$8,IF(N1598=2,Assumptions!$B$9,IF(N1598=3,Assumptions!$B$10,0)))</f>
        <v>0</v>
      </c>
      <c r="P1598" s="6" t="s">
        <v>30</v>
      </c>
      <c r="Q1598" s="6" t="s">
        <v>30</v>
      </c>
      <c r="R1598" s="11" t="s">
        <v>30</v>
      </c>
      <c r="S1598" s="6" t="s">
        <v>30</v>
      </c>
      <c r="T1598" s="11" t="s">
        <v>30</v>
      </c>
      <c r="U1598" s="6" t="s">
        <v>30</v>
      </c>
      <c r="V1598" s="6" t="s">
        <v>30</v>
      </c>
      <c r="W1598" s="6" t="s">
        <v>30</v>
      </c>
      <c r="X1598" s="2" t="s">
        <v>30</v>
      </c>
      <c r="Y1598" s="6" t="str">
        <f aca="false">IF(AND(X1598="processed",ISNUMBER(S1598)),S1598*O1598,"")</f>
        <v/>
      </c>
      <c r="Z1598" s="6" t="n">
        <f aca="false">IF(ISNUMBER(K1598),K1598*O1598,0)</f>
        <v>0</v>
      </c>
      <c r="AA1598" s="2" t="s">
        <v>31</v>
      </c>
      <c r="AB1598" s="6" t="n">
        <v>14130</v>
      </c>
      <c r="AC1598" s="6" t="n">
        <v>12458</v>
      </c>
      <c r="AD1598" s="6" t="n">
        <v>4080</v>
      </c>
      <c r="AE1598" s="6" t="n">
        <v>2427.35815429688</v>
      </c>
      <c r="AF1598" s="8" t="n">
        <v>311.471392499</v>
      </c>
      <c r="AG1598" s="11" t="n">
        <v>-0.03263871223</v>
      </c>
      <c r="AH1598" s="12" t="n">
        <v>0.676251514497006</v>
      </c>
      <c r="AI1598" s="2" t="s">
        <v>317</v>
      </c>
      <c r="AJ1598" s="2" t="s">
        <v>3534</v>
      </c>
      <c r="AK1598" s="2" t="s">
        <v>3534</v>
      </c>
    </row>
    <row r="1599" customFormat="false" ht="15" hidden="false" customHeight="false" outlineLevel="0" collapsed="false">
      <c r="A1599" s="9"/>
      <c r="B1599" s="2" t="s">
        <v>3535</v>
      </c>
      <c r="C1599" s="2" t="s">
        <v>3536</v>
      </c>
      <c r="D1599" s="2" t="s">
        <v>1207</v>
      </c>
      <c r="E1599" s="2" t="s">
        <v>51</v>
      </c>
      <c r="F1599" s="2"/>
      <c r="G1599" s="2" t="s">
        <v>323</v>
      </c>
      <c r="H1599" s="8" t="n">
        <v>278.321364702833</v>
      </c>
      <c r="I1599" s="2" t="s">
        <v>316</v>
      </c>
      <c r="J1599" s="8" t="n">
        <v>473666.666666667</v>
      </c>
      <c r="K1599" s="6" t="n">
        <v>36</v>
      </c>
      <c r="L1599" s="2"/>
      <c r="M1599" s="10" t="b">
        <f aca="false">TRUE()</f>
        <v>1</v>
      </c>
      <c r="N1599" s="9" t="str">
        <f aca="false">IF(H1599="","",IF(H1599&gt;=Assumptions!$B$5,1,IF(H1599&gt;=Assumptions!$B$6,2,IF(H1599&gt;=Assumptions!$B$7,3,""))))</f>
        <v/>
      </c>
      <c r="O1599" s="9" t="n">
        <f aca="false">IF(N1599=1,Assumptions!$B$8,IF(N1599=2,Assumptions!$B$9,IF(N1599=3,Assumptions!$B$10,0)))</f>
        <v>0</v>
      </c>
      <c r="P1599" s="6" t="s">
        <v>30</v>
      </c>
      <c r="Q1599" s="6" t="s">
        <v>30</v>
      </c>
      <c r="R1599" s="11" t="s">
        <v>30</v>
      </c>
      <c r="S1599" s="6" t="s">
        <v>30</v>
      </c>
      <c r="T1599" s="11" t="s">
        <v>30</v>
      </c>
      <c r="U1599" s="6" t="s">
        <v>30</v>
      </c>
      <c r="V1599" s="6" t="s">
        <v>30</v>
      </c>
      <c r="W1599" s="6" t="s">
        <v>30</v>
      </c>
      <c r="X1599" s="2" t="s">
        <v>30</v>
      </c>
      <c r="Y1599" s="6" t="str">
        <f aca="false">IF(AND(X1599="processed",ISNUMBER(S1599)),S1599*O1599,"")</f>
        <v/>
      </c>
      <c r="Z1599" s="6" t="n">
        <f aca="false">IF(ISNUMBER(K1599),K1599*O1599,0)</f>
        <v>0</v>
      </c>
      <c r="AA1599" s="2" t="s">
        <v>31</v>
      </c>
      <c r="AB1599" s="6" t="n">
        <v>2651</v>
      </c>
      <c r="AC1599" s="6" t="n">
        <v>2231</v>
      </c>
      <c r="AD1599" s="6" t="n">
        <v>2452</v>
      </c>
      <c r="AE1599" s="6" t="n">
        <v>1664.77136230469</v>
      </c>
      <c r="AF1599" s="8" t="n">
        <v>279.672754947</v>
      </c>
      <c r="AG1599" s="11" t="n">
        <v>-0.1241701076</v>
      </c>
      <c r="AH1599" s="12" t="n">
        <v>0.999999999999999</v>
      </c>
      <c r="AI1599" s="2" t="s">
        <v>1597</v>
      </c>
      <c r="AJ1599" s="2"/>
      <c r="AK1599" s="2" t="s">
        <v>3536</v>
      </c>
    </row>
    <row r="1600" customFormat="false" ht="15" hidden="false" customHeight="false" outlineLevel="0" collapsed="false">
      <c r="A1600" s="9"/>
      <c r="B1600" s="2" t="s">
        <v>3537</v>
      </c>
      <c r="C1600" s="2" t="s">
        <v>3538</v>
      </c>
      <c r="D1600" s="2" t="s">
        <v>1207</v>
      </c>
      <c r="E1600" s="2" t="s">
        <v>51</v>
      </c>
      <c r="F1600" s="2"/>
      <c r="G1600" s="2" t="s">
        <v>323</v>
      </c>
      <c r="H1600" s="8" t="n">
        <v>268.212837620167</v>
      </c>
      <c r="I1600" s="2" t="s">
        <v>316</v>
      </c>
      <c r="J1600" s="8" t="n">
        <v>431666.666666667</v>
      </c>
      <c r="K1600" s="6" t="n">
        <v>24</v>
      </c>
      <c r="L1600" s="2"/>
      <c r="M1600" s="10" t="b">
        <f aca="false">TRUE()</f>
        <v>1</v>
      </c>
      <c r="N1600" s="9" t="str">
        <f aca="false">IF(H1600="","",IF(H1600&gt;=Assumptions!$B$5,1,IF(H1600&gt;=Assumptions!$B$6,2,IF(H1600&gt;=Assumptions!$B$7,3,""))))</f>
        <v/>
      </c>
      <c r="O1600" s="9" t="n">
        <f aca="false">IF(N1600=1,Assumptions!$B$8,IF(N1600=2,Assumptions!$B$9,IF(N1600=3,Assumptions!$B$10,0)))</f>
        <v>0</v>
      </c>
      <c r="P1600" s="6" t="s">
        <v>30</v>
      </c>
      <c r="Q1600" s="6" t="s">
        <v>30</v>
      </c>
      <c r="R1600" s="11" t="s">
        <v>30</v>
      </c>
      <c r="S1600" s="6" t="s">
        <v>30</v>
      </c>
      <c r="T1600" s="11" t="s">
        <v>30</v>
      </c>
      <c r="U1600" s="6" t="s">
        <v>30</v>
      </c>
      <c r="V1600" s="6" t="s">
        <v>30</v>
      </c>
      <c r="W1600" s="6" t="s">
        <v>30</v>
      </c>
      <c r="X1600" s="2" t="s">
        <v>30</v>
      </c>
      <c r="Y1600" s="6" t="str">
        <f aca="false">IF(AND(X1600="processed",ISNUMBER(S1600)),S1600*O1600,"")</f>
        <v/>
      </c>
      <c r="Z1600" s="6" t="n">
        <f aca="false">IF(ISNUMBER(K1600),K1600*O1600,0)</f>
        <v>0</v>
      </c>
      <c r="AA1600" s="2" t="s">
        <v>31</v>
      </c>
      <c r="AB1600" s="6" t="n">
        <v>2336</v>
      </c>
      <c r="AC1600" s="6" t="n">
        <v>2004</v>
      </c>
      <c r="AD1600" s="6" t="n">
        <v>1861</v>
      </c>
      <c r="AE1600" s="6" t="n">
        <v>1643.82250976563</v>
      </c>
      <c r="AF1600" s="8" t="n">
        <v>265.730232805</v>
      </c>
      <c r="AG1600" s="11" t="n">
        <v>0.03174191724</v>
      </c>
      <c r="AH1600" s="12" t="n">
        <v>0.999222480122502</v>
      </c>
      <c r="AI1600" s="2" t="s">
        <v>1597</v>
      </c>
      <c r="AJ1600" s="2"/>
      <c r="AK1600" s="2" t="s">
        <v>3538</v>
      </c>
    </row>
    <row r="1601" customFormat="false" ht="15" hidden="false" customHeight="false" outlineLevel="0" collapsed="false">
      <c r="A1601" s="9"/>
      <c r="B1601" s="2" t="s">
        <v>3539</v>
      </c>
      <c r="C1601" s="2" t="s">
        <v>3540</v>
      </c>
      <c r="D1601" s="2" t="s">
        <v>1207</v>
      </c>
      <c r="E1601" s="2" t="s">
        <v>51</v>
      </c>
      <c r="F1601" s="2"/>
      <c r="G1601" s="2" t="s">
        <v>323</v>
      </c>
      <c r="H1601" s="8" t="n">
        <v>282.492326180286</v>
      </c>
      <c r="I1601" s="2" t="s">
        <v>316</v>
      </c>
      <c r="J1601" s="8" t="n">
        <v>487321.428571429</v>
      </c>
      <c r="K1601" s="6" t="n">
        <v>14</v>
      </c>
      <c r="L1601" s="2"/>
      <c r="M1601" s="10" t="b">
        <f aca="false">TRUE()</f>
        <v>1</v>
      </c>
      <c r="N1601" s="9" t="str">
        <f aca="false">IF(H1601="","",IF(H1601&gt;=Assumptions!$B$5,1,IF(H1601&gt;=Assumptions!$B$6,2,IF(H1601&gt;=Assumptions!$B$7,3,""))))</f>
        <v/>
      </c>
      <c r="O1601" s="9" t="n">
        <f aca="false">IF(N1601=1,Assumptions!$B$8,IF(N1601=2,Assumptions!$B$9,IF(N1601=3,Assumptions!$B$10,0)))</f>
        <v>0</v>
      </c>
      <c r="P1601" s="6" t="s">
        <v>30</v>
      </c>
      <c r="Q1601" s="6" t="s">
        <v>30</v>
      </c>
      <c r="R1601" s="11" t="s">
        <v>30</v>
      </c>
      <c r="S1601" s="6" t="s">
        <v>30</v>
      </c>
      <c r="T1601" s="11" t="s">
        <v>30</v>
      </c>
      <c r="U1601" s="6" t="s">
        <v>30</v>
      </c>
      <c r="V1601" s="6" t="s">
        <v>30</v>
      </c>
      <c r="W1601" s="6" t="s">
        <v>30</v>
      </c>
      <c r="X1601" s="2" t="s">
        <v>30</v>
      </c>
      <c r="Y1601" s="6" t="str">
        <f aca="false">IF(AND(X1601="processed",ISNUMBER(S1601)),S1601*O1601,"")</f>
        <v/>
      </c>
      <c r="Z1601" s="6" t="n">
        <f aca="false">IF(ISNUMBER(K1601),K1601*O1601,0)</f>
        <v>0</v>
      </c>
      <c r="AA1601" s="2" t="s">
        <v>31</v>
      </c>
      <c r="AB1601" s="6" t="n">
        <v>1024</v>
      </c>
      <c r="AC1601" s="6" t="n">
        <v>851</v>
      </c>
      <c r="AD1601" s="6" t="n">
        <v>999</v>
      </c>
      <c r="AE1601" s="6" t="n">
        <v>1608.23657226563</v>
      </c>
      <c r="AF1601" s="8" t="n">
        <v>287.432913819</v>
      </c>
      <c r="AG1601" s="11" t="n">
        <v>-0.1951878413</v>
      </c>
      <c r="AH1601" s="12" t="n">
        <v>0.999812924742519</v>
      </c>
      <c r="AI1601" s="2" t="s">
        <v>1597</v>
      </c>
      <c r="AJ1601" s="2"/>
      <c r="AK1601" s="2" t="s">
        <v>3540</v>
      </c>
    </row>
    <row r="1602" customFormat="false" ht="15" hidden="false" customHeight="false" outlineLevel="0" collapsed="false">
      <c r="A1602" s="9"/>
      <c r="B1602" s="2" t="s">
        <v>3541</v>
      </c>
      <c r="C1602" s="2" t="s">
        <v>3542</v>
      </c>
      <c r="D1602" s="2" t="s">
        <v>1207</v>
      </c>
      <c r="E1602" s="2" t="s">
        <v>51</v>
      </c>
      <c r="F1602" s="2"/>
      <c r="G1602" s="2" t="s">
        <v>323</v>
      </c>
      <c r="H1602" s="8" t="n">
        <v>233.017079659</v>
      </c>
      <c r="I1602" s="2" t="s">
        <v>316</v>
      </c>
      <c r="J1602" s="8" t="n">
        <v>311227.272727273</v>
      </c>
      <c r="K1602" s="6" t="n">
        <v>11</v>
      </c>
      <c r="L1602" s="2"/>
      <c r="M1602" s="10" t="b">
        <f aca="false">TRUE()</f>
        <v>1</v>
      </c>
      <c r="N1602" s="9" t="str">
        <f aca="false">IF(H1602="","",IF(H1602&gt;=Assumptions!$B$5,1,IF(H1602&gt;=Assumptions!$B$6,2,IF(H1602&gt;=Assumptions!$B$7,3,""))))</f>
        <v/>
      </c>
      <c r="O1602" s="9" t="n">
        <f aca="false">IF(N1602=1,Assumptions!$B$8,IF(N1602=2,Assumptions!$B$9,IF(N1602=3,Assumptions!$B$10,0)))</f>
        <v>0</v>
      </c>
      <c r="P1602" s="6" t="s">
        <v>30</v>
      </c>
      <c r="Q1602" s="6" t="s">
        <v>30</v>
      </c>
      <c r="R1602" s="11" t="s">
        <v>30</v>
      </c>
      <c r="S1602" s="6" t="s">
        <v>30</v>
      </c>
      <c r="T1602" s="11" t="s">
        <v>30</v>
      </c>
      <c r="U1602" s="6" t="s">
        <v>30</v>
      </c>
      <c r="V1602" s="6" t="s">
        <v>30</v>
      </c>
      <c r="W1602" s="6" t="s">
        <v>30</v>
      </c>
      <c r="X1602" s="2" t="s">
        <v>30</v>
      </c>
      <c r="Y1602" s="6" t="str">
        <f aca="false">IF(AND(X1602="processed",ISNUMBER(S1602)),S1602*O1602,"")</f>
        <v/>
      </c>
      <c r="Z1602" s="6" t="n">
        <f aca="false">IF(ISNUMBER(K1602),K1602*O1602,0)</f>
        <v>0</v>
      </c>
      <c r="AA1602" s="2" t="s">
        <v>31</v>
      </c>
      <c r="AB1602" s="6" t="n">
        <v>458</v>
      </c>
      <c r="AC1602" s="6" t="n">
        <v>406</v>
      </c>
      <c r="AD1602" s="6" t="n">
        <v>311</v>
      </c>
      <c r="AE1602" s="6" t="n">
        <v>1769.26123046875</v>
      </c>
      <c r="AF1602" s="8" t="n">
        <v>221.116394928</v>
      </c>
      <c r="AG1602" s="11" t="n">
        <v>-0.1074938241</v>
      </c>
      <c r="AH1602" s="12" t="n">
        <v>0.999907070773715</v>
      </c>
      <c r="AI1602" s="2" t="s">
        <v>1597</v>
      </c>
      <c r="AJ1602" s="2"/>
      <c r="AK1602" s="2" t="s">
        <v>3542</v>
      </c>
    </row>
    <row r="1603" customFormat="false" ht="15" hidden="false" customHeight="false" outlineLevel="0" collapsed="false">
      <c r="A1603" s="9"/>
      <c r="B1603" s="2" t="s">
        <v>3543</v>
      </c>
      <c r="C1603" s="2" t="s">
        <v>3544</v>
      </c>
      <c r="D1603" s="2" t="s">
        <v>976</v>
      </c>
      <c r="E1603" s="2" t="s">
        <v>976</v>
      </c>
      <c r="F1603" s="2"/>
      <c r="G1603" s="2" t="s">
        <v>323</v>
      </c>
      <c r="H1603" s="8" t="n">
        <v>356.989013762667</v>
      </c>
      <c r="I1603" s="2" t="s">
        <v>316</v>
      </c>
      <c r="J1603" s="8" t="n">
        <v>850444.444444445</v>
      </c>
      <c r="K1603" s="6" t="n">
        <v>9</v>
      </c>
      <c r="L1603" s="2"/>
      <c r="M1603" s="10" t="b">
        <f aca="false">TRUE()</f>
        <v>1</v>
      </c>
      <c r="N1603" s="9" t="str">
        <f aca="false">IF(H1603="","",IF(H1603&gt;=Assumptions!$B$5,1,IF(H1603&gt;=Assumptions!$B$6,2,IF(H1603&gt;=Assumptions!$B$7,3,""))))</f>
        <v/>
      </c>
      <c r="O1603" s="9" t="n">
        <f aca="false">IF(N1603=1,Assumptions!$B$8,IF(N1603=2,Assumptions!$B$9,IF(N1603=3,Assumptions!$B$10,0)))</f>
        <v>0</v>
      </c>
      <c r="P1603" s="6" t="s">
        <v>30</v>
      </c>
      <c r="Q1603" s="6" t="s">
        <v>30</v>
      </c>
      <c r="R1603" s="11" t="s">
        <v>30</v>
      </c>
      <c r="S1603" s="6" t="s">
        <v>30</v>
      </c>
      <c r="T1603" s="11" t="s">
        <v>30</v>
      </c>
      <c r="U1603" s="6" t="s">
        <v>30</v>
      </c>
      <c r="V1603" s="6" t="s">
        <v>30</v>
      </c>
      <c r="W1603" s="6" t="s">
        <v>30</v>
      </c>
      <c r="X1603" s="2" t="s">
        <v>30</v>
      </c>
      <c r="Y1603" s="6" t="str">
        <f aca="false">IF(AND(X1603="processed",ISNUMBER(S1603)),S1603*O1603,"")</f>
        <v/>
      </c>
      <c r="Z1603" s="6" t="n">
        <f aca="false">IF(ISNUMBER(K1603),K1603*O1603,0)</f>
        <v>0</v>
      </c>
      <c r="AA1603" s="2" t="s">
        <v>31</v>
      </c>
      <c r="AB1603" s="6" t="n">
        <v>2420</v>
      </c>
      <c r="AC1603" s="6" t="n">
        <v>1967</v>
      </c>
      <c r="AD1603" s="6" t="n">
        <v>2223</v>
      </c>
      <c r="AE1603" s="6" t="n">
        <v>1950.85095214844</v>
      </c>
      <c r="AF1603" s="8" t="n">
        <v>351.729862094</v>
      </c>
      <c r="AG1603" s="11" t="n">
        <v>-0.2366947982</v>
      </c>
      <c r="AH1603" s="12" t="n">
        <v>0.999351586068831</v>
      </c>
      <c r="AI1603" s="2" t="s">
        <v>317</v>
      </c>
      <c r="AJ1603" s="2" t="s">
        <v>3544</v>
      </c>
      <c r="AK1603" s="2" t="s">
        <v>3545</v>
      </c>
    </row>
    <row r="1604" customFormat="false" ht="15" hidden="false" customHeight="false" outlineLevel="0" collapsed="false">
      <c r="A1604" s="9"/>
      <c r="B1604" s="2" t="s">
        <v>3546</v>
      </c>
      <c r="C1604" s="2" t="s">
        <v>3547</v>
      </c>
      <c r="D1604" s="2" t="s">
        <v>976</v>
      </c>
      <c r="E1604" s="2" t="s">
        <v>976</v>
      </c>
      <c r="F1604" s="2"/>
      <c r="G1604" s="2" t="s">
        <v>323</v>
      </c>
      <c r="H1604" s="8" t="n">
        <v>473.1385671795</v>
      </c>
      <c r="I1604" s="2" t="s">
        <v>316</v>
      </c>
      <c r="J1604" s="8" t="n">
        <v>507000</v>
      </c>
      <c r="K1604" s="6" t="n">
        <v>2</v>
      </c>
      <c r="L1604" s="2" t="s">
        <v>1664</v>
      </c>
      <c r="M1604" s="10" t="b">
        <f aca="false">TRUE()</f>
        <v>1</v>
      </c>
      <c r="N1604" s="9" t="str">
        <f aca="false">IF(H1604="","",IF(H1604&gt;=Assumptions!$B$5,1,IF(H1604&gt;=Assumptions!$B$6,2,IF(H1604&gt;=Assumptions!$B$7,3,""))))</f>
        <v/>
      </c>
      <c r="O1604" s="9" t="n">
        <f aca="false">IF(N1604=1,Assumptions!$B$8,IF(N1604=2,Assumptions!$B$9,IF(N1604=3,Assumptions!$B$10,0)))</f>
        <v>0</v>
      </c>
      <c r="P1604" s="6" t="s">
        <v>30</v>
      </c>
      <c r="Q1604" s="6" t="s">
        <v>30</v>
      </c>
      <c r="R1604" s="11" t="s">
        <v>30</v>
      </c>
      <c r="S1604" s="6" t="s">
        <v>30</v>
      </c>
      <c r="T1604" s="11" t="s">
        <v>30</v>
      </c>
      <c r="U1604" s="6" t="s">
        <v>30</v>
      </c>
      <c r="V1604" s="6" t="s">
        <v>30</v>
      </c>
      <c r="W1604" s="6" t="s">
        <v>30</v>
      </c>
      <c r="X1604" s="2" t="s">
        <v>30</v>
      </c>
      <c r="Y1604" s="6" t="str">
        <f aca="false">IF(AND(X1604="processed",ISNUMBER(S1604)),S1604*O1604,"")</f>
        <v/>
      </c>
      <c r="Z1604" s="6" t="n">
        <f aca="false">IF(ISNUMBER(K1604),K1604*O1604,0)</f>
        <v>0</v>
      </c>
      <c r="AA1604" s="2" t="s">
        <v>31</v>
      </c>
      <c r="AB1604" s="6" t="n">
        <v>165</v>
      </c>
      <c r="AC1604" s="6" t="n">
        <v>132</v>
      </c>
      <c r="AD1604" s="6" t="n">
        <v>17</v>
      </c>
      <c r="AE1604" s="6" t="n">
        <v>1392.87780761719</v>
      </c>
      <c r="AF1604" s="8" t="n">
        <v>352.074235808</v>
      </c>
      <c r="AG1604" s="11"/>
      <c r="AH1604" s="12" t="n">
        <v>0.999693039008636</v>
      </c>
      <c r="AI1604" s="2" t="s">
        <v>317</v>
      </c>
      <c r="AJ1604" s="2" t="s">
        <v>3547</v>
      </c>
      <c r="AK1604" s="2" t="s">
        <v>3547</v>
      </c>
    </row>
    <row r="1605" customFormat="false" ht="15" hidden="false" customHeight="false" outlineLevel="0" collapsed="false">
      <c r="A1605" s="9"/>
      <c r="B1605" s="2" t="s">
        <v>3548</v>
      </c>
      <c r="C1605" s="2" t="s">
        <v>3549</v>
      </c>
      <c r="D1605" s="2" t="s">
        <v>3476</v>
      </c>
      <c r="E1605" s="2" t="s">
        <v>51</v>
      </c>
      <c r="F1605" s="2"/>
      <c r="G1605" s="2"/>
      <c r="H1605" s="8"/>
      <c r="I1605" s="2"/>
      <c r="J1605" s="8"/>
      <c r="K1605" s="6"/>
      <c r="L1605" s="2"/>
      <c r="M1605" s="10" t="b">
        <f aca="false">TRUE()</f>
        <v>1</v>
      </c>
      <c r="N1605" s="9" t="str">
        <f aca="false">IF(H1605="","",IF(H1605&gt;=Assumptions!$B$5,1,IF(H1605&gt;=Assumptions!$B$6,2,IF(H1605&gt;=Assumptions!$B$7,3,""))))</f>
        <v/>
      </c>
      <c r="O1605" s="9" t="n">
        <f aca="false">IF(N1605=1,Assumptions!$B$8,IF(N1605=2,Assumptions!$B$9,IF(N1605=3,Assumptions!$B$10,0)))</f>
        <v>0</v>
      </c>
      <c r="P1605" s="6" t="s">
        <v>30</v>
      </c>
      <c r="Q1605" s="6" t="s">
        <v>30</v>
      </c>
      <c r="R1605" s="11" t="s">
        <v>30</v>
      </c>
      <c r="S1605" s="6" t="s">
        <v>30</v>
      </c>
      <c r="T1605" s="11" t="s">
        <v>30</v>
      </c>
      <c r="U1605" s="6" t="s">
        <v>30</v>
      </c>
      <c r="V1605" s="6" t="s">
        <v>30</v>
      </c>
      <c r="W1605" s="6" t="s">
        <v>30</v>
      </c>
      <c r="X1605" s="2" t="s">
        <v>30</v>
      </c>
      <c r="Y1605" s="6" t="str">
        <f aca="false">IF(AND(X1605="processed",ISNUMBER(S1605)),S1605*O1605,"")</f>
        <v/>
      </c>
      <c r="Z1605" s="6" t="n">
        <f aca="false">IF(ISNUMBER(K1605),K1605*O1605,0)</f>
        <v>0</v>
      </c>
      <c r="AA1605" s="2" t="s">
        <v>31</v>
      </c>
      <c r="AB1605" s="6" t="n">
        <v>5668</v>
      </c>
      <c r="AC1605" s="6" t="n">
        <v>4886</v>
      </c>
      <c r="AD1605" s="6" t="n">
        <v>4545</v>
      </c>
      <c r="AE1605" s="6" t="n">
        <v>2289.81689453125</v>
      </c>
      <c r="AF1605" s="8"/>
      <c r="AG1605" s="11"/>
      <c r="AH1605" s="12" t="n">
        <v>0.999922092094458</v>
      </c>
      <c r="AI1605" s="2" t="s">
        <v>317</v>
      </c>
      <c r="AJ1605" s="2" t="s">
        <v>3549</v>
      </c>
      <c r="AK1605" s="2" t="s">
        <v>3549</v>
      </c>
    </row>
    <row r="1606" customFormat="false" ht="15" hidden="false" customHeight="false" outlineLevel="0" collapsed="false">
      <c r="A1606" s="9"/>
      <c r="B1606" s="2" t="s">
        <v>3550</v>
      </c>
      <c r="C1606" s="2" t="s">
        <v>3551</v>
      </c>
      <c r="D1606" s="2" t="s">
        <v>976</v>
      </c>
      <c r="E1606" s="2" t="s">
        <v>976</v>
      </c>
      <c r="F1606" s="2"/>
      <c r="G1606" s="2" t="s">
        <v>323</v>
      </c>
      <c r="H1606" s="8" t="n">
        <v>259.08061452848</v>
      </c>
      <c r="I1606" s="2" t="s">
        <v>316</v>
      </c>
      <c r="J1606" s="8" t="n">
        <v>428920</v>
      </c>
      <c r="K1606" s="6" t="n">
        <v>25</v>
      </c>
      <c r="L1606" s="2"/>
      <c r="M1606" s="10" t="b">
        <f aca="false">TRUE()</f>
        <v>1</v>
      </c>
      <c r="N1606" s="9" t="str">
        <f aca="false">IF(H1606="","",IF(H1606&gt;=Assumptions!$B$5,1,IF(H1606&gt;=Assumptions!$B$6,2,IF(H1606&gt;=Assumptions!$B$7,3,""))))</f>
        <v/>
      </c>
      <c r="O1606" s="9" t="n">
        <f aca="false">IF(N1606=1,Assumptions!$B$8,IF(N1606=2,Assumptions!$B$9,IF(N1606=3,Assumptions!$B$10,0)))</f>
        <v>0</v>
      </c>
      <c r="P1606" s="6" t="s">
        <v>30</v>
      </c>
      <c r="Q1606" s="6" t="s">
        <v>30</v>
      </c>
      <c r="R1606" s="11" t="s">
        <v>30</v>
      </c>
      <c r="S1606" s="6" t="s">
        <v>30</v>
      </c>
      <c r="T1606" s="11" t="s">
        <v>30</v>
      </c>
      <c r="U1606" s="6" t="s">
        <v>30</v>
      </c>
      <c r="V1606" s="6" t="s">
        <v>30</v>
      </c>
      <c r="W1606" s="6" t="s">
        <v>30</v>
      </c>
      <c r="X1606" s="2" t="s">
        <v>30</v>
      </c>
      <c r="Y1606" s="6" t="str">
        <f aca="false">IF(AND(X1606="processed",ISNUMBER(S1606)),S1606*O1606,"")</f>
        <v/>
      </c>
      <c r="Z1606" s="6" t="n">
        <f aca="false">IF(ISNUMBER(K1606),K1606*O1606,0)</f>
        <v>0</v>
      </c>
      <c r="AA1606" s="2" t="s">
        <v>31</v>
      </c>
      <c r="AB1606" s="6" t="n">
        <v>1407</v>
      </c>
      <c r="AC1606" s="6" t="n">
        <v>1157</v>
      </c>
      <c r="AD1606" s="6" t="n">
        <v>809</v>
      </c>
      <c r="AE1606" s="6" t="n">
        <v>1843.75122070313</v>
      </c>
      <c r="AF1606" s="8" t="n">
        <v>216.363636364</v>
      </c>
      <c r="AG1606" s="11" t="n">
        <v>-0.317120797</v>
      </c>
      <c r="AH1606" s="12" t="n">
        <v>0.789724460277016</v>
      </c>
      <c r="AI1606" s="2" t="s">
        <v>317</v>
      </c>
      <c r="AJ1606" s="2" t="s">
        <v>3551</v>
      </c>
      <c r="AK1606" s="2" t="s">
        <v>3551</v>
      </c>
    </row>
    <row r="1607" customFormat="false" ht="15" hidden="false" customHeight="false" outlineLevel="0" collapsed="false">
      <c r="A1607" s="9"/>
      <c r="B1607" s="2" t="s">
        <v>3552</v>
      </c>
      <c r="C1607" s="2" t="s">
        <v>3553</v>
      </c>
      <c r="D1607" s="2" t="s">
        <v>3476</v>
      </c>
      <c r="E1607" s="2" t="s">
        <v>51</v>
      </c>
      <c r="F1607" s="2"/>
      <c r="G1607" s="2"/>
      <c r="H1607" s="8"/>
      <c r="I1607" s="2"/>
      <c r="J1607" s="8"/>
      <c r="K1607" s="6"/>
      <c r="L1607" s="2"/>
      <c r="M1607" s="10" t="b">
        <f aca="false">TRUE()</f>
        <v>1</v>
      </c>
      <c r="N1607" s="9" t="str">
        <f aca="false">IF(H1607="","",IF(H1607&gt;=Assumptions!$B$5,1,IF(H1607&gt;=Assumptions!$B$6,2,IF(H1607&gt;=Assumptions!$B$7,3,""))))</f>
        <v/>
      </c>
      <c r="O1607" s="9" t="n">
        <f aca="false">IF(N1607=1,Assumptions!$B$8,IF(N1607=2,Assumptions!$B$9,IF(N1607=3,Assumptions!$B$10,0)))</f>
        <v>0</v>
      </c>
      <c r="P1607" s="6" t="s">
        <v>30</v>
      </c>
      <c r="Q1607" s="6" t="s">
        <v>30</v>
      </c>
      <c r="R1607" s="11" t="s">
        <v>30</v>
      </c>
      <c r="S1607" s="6" t="s">
        <v>30</v>
      </c>
      <c r="T1607" s="11" t="s">
        <v>30</v>
      </c>
      <c r="U1607" s="6" t="s">
        <v>30</v>
      </c>
      <c r="V1607" s="6" t="s">
        <v>30</v>
      </c>
      <c r="W1607" s="6" t="s">
        <v>30</v>
      </c>
      <c r="X1607" s="2" t="s">
        <v>30</v>
      </c>
      <c r="Y1607" s="6" t="str">
        <f aca="false">IF(AND(X1607="processed",ISNUMBER(S1607)),S1607*O1607,"")</f>
        <v/>
      </c>
      <c r="Z1607" s="6" t="n">
        <f aca="false">IF(ISNUMBER(K1607),K1607*O1607,0)</f>
        <v>0</v>
      </c>
      <c r="AA1607" s="2" t="s">
        <v>31</v>
      </c>
      <c r="AB1607" s="6" t="n">
        <v>4703</v>
      </c>
      <c r="AC1607" s="6" t="n">
        <v>4050</v>
      </c>
      <c r="AD1607" s="6" t="n">
        <v>4079</v>
      </c>
      <c r="AE1607" s="6" t="n">
        <v>2105.3173828125</v>
      </c>
      <c r="AF1607" s="8"/>
      <c r="AG1607" s="11"/>
      <c r="AH1607" s="12" t="n">
        <v>0.999141027957447</v>
      </c>
      <c r="AI1607" s="2" t="s">
        <v>317</v>
      </c>
      <c r="AJ1607" s="2" t="s">
        <v>3553</v>
      </c>
      <c r="AK1607" s="2" t="s">
        <v>3553</v>
      </c>
    </row>
    <row r="1608" customFormat="false" ht="15" hidden="false" customHeight="false" outlineLevel="0" collapsed="false">
      <c r="A1608" s="9"/>
      <c r="B1608" s="2" t="s">
        <v>3554</v>
      </c>
      <c r="C1608" s="2" t="s">
        <v>3555</v>
      </c>
      <c r="D1608" s="2" t="s">
        <v>1758</v>
      </c>
      <c r="E1608" s="2" t="s">
        <v>51</v>
      </c>
      <c r="F1608" s="2"/>
      <c r="G1608" s="2" t="s">
        <v>323</v>
      </c>
      <c r="H1608" s="8" t="n">
        <v>313.123645464</v>
      </c>
      <c r="I1608" s="2" t="s">
        <v>316</v>
      </c>
      <c r="J1608" s="8" t="n">
        <v>353500</v>
      </c>
      <c r="K1608" s="6" t="n">
        <v>4</v>
      </c>
      <c r="L1608" s="2" t="s">
        <v>1664</v>
      </c>
      <c r="M1608" s="10" t="b">
        <f aca="false">TRUE()</f>
        <v>1</v>
      </c>
      <c r="N1608" s="9" t="str">
        <f aca="false">IF(H1608="","",IF(H1608&gt;=Assumptions!$B$5,1,IF(H1608&gt;=Assumptions!$B$6,2,IF(H1608&gt;=Assumptions!$B$7,3,""))))</f>
        <v/>
      </c>
      <c r="O1608" s="9" t="n">
        <f aca="false">IF(N1608=1,Assumptions!$B$8,IF(N1608=2,Assumptions!$B$9,IF(N1608=3,Assumptions!$B$10,0)))</f>
        <v>0</v>
      </c>
      <c r="P1608" s="6" t="s">
        <v>30</v>
      </c>
      <c r="Q1608" s="6" t="s">
        <v>30</v>
      </c>
      <c r="R1608" s="11" t="s">
        <v>30</v>
      </c>
      <c r="S1608" s="6" t="s">
        <v>30</v>
      </c>
      <c r="T1608" s="11" t="s">
        <v>30</v>
      </c>
      <c r="U1608" s="6" t="s">
        <v>30</v>
      </c>
      <c r="V1608" s="6" t="s">
        <v>30</v>
      </c>
      <c r="W1608" s="6" t="s">
        <v>30</v>
      </c>
      <c r="X1608" s="2" t="s">
        <v>30</v>
      </c>
      <c r="Y1608" s="6" t="str">
        <f aca="false">IF(AND(X1608="processed",ISNUMBER(S1608)),S1608*O1608,"")</f>
        <v/>
      </c>
      <c r="Z1608" s="6" t="n">
        <f aca="false">IF(ISNUMBER(K1608),K1608*O1608,0)</f>
        <v>0</v>
      </c>
      <c r="AA1608" s="2" t="s">
        <v>31</v>
      </c>
      <c r="AB1608" s="6" t="n">
        <v>1225</v>
      </c>
      <c r="AC1608" s="6" t="n">
        <v>985</v>
      </c>
      <c r="AD1608" s="6" t="n">
        <v>571</v>
      </c>
      <c r="AE1608" s="6" t="n">
        <v>1902.2724609375</v>
      </c>
      <c r="AF1608" s="8" t="n">
        <v>525.946704067</v>
      </c>
      <c r="AG1608" s="11"/>
      <c r="AH1608" s="12" t="n">
        <v>0.423243130051012</v>
      </c>
      <c r="AI1608" s="2" t="s">
        <v>317</v>
      </c>
      <c r="AJ1608" s="2" t="s">
        <v>3555</v>
      </c>
      <c r="AK1608" s="2" t="s">
        <v>3555</v>
      </c>
    </row>
    <row r="1609" customFormat="false" ht="15" hidden="false" customHeight="false" outlineLevel="0" collapsed="false">
      <c r="A1609" s="9"/>
      <c r="B1609" s="2" t="s">
        <v>3556</v>
      </c>
      <c r="C1609" s="2" t="s">
        <v>3557</v>
      </c>
      <c r="D1609" s="2" t="s">
        <v>50</v>
      </c>
      <c r="E1609" s="2" t="s">
        <v>51</v>
      </c>
      <c r="F1609" s="2"/>
      <c r="G1609" s="2" t="s">
        <v>323</v>
      </c>
      <c r="H1609" s="8" t="n">
        <v>342.026628328135</v>
      </c>
      <c r="I1609" s="2" t="s">
        <v>316</v>
      </c>
      <c r="J1609" s="8" t="n">
        <v>627813.883299799</v>
      </c>
      <c r="K1609" s="6" t="n">
        <v>994</v>
      </c>
      <c r="L1609" s="2"/>
      <c r="M1609" s="10" t="b">
        <f aca="false">TRUE()</f>
        <v>1</v>
      </c>
      <c r="N1609" s="9" t="str">
        <f aca="false">IF(H1609="","",IF(H1609&gt;=Assumptions!$B$5,1,IF(H1609&gt;=Assumptions!$B$6,2,IF(H1609&gt;=Assumptions!$B$7,3,""))))</f>
        <v/>
      </c>
      <c r="O1609" s="9" t="n">
        <f aca="false">IF(N1609=1,Assumptions!$B$8,IF(N1609=2,Assumptions!$B$9,IF(N1609=3,Assumptions!$B$10,0)))</f>
        <v>0</v>
      </c>
      <c r="P1609" s="6" t="s">
        <v>30</v>
      </c>
      <c r="Q1609" s="6" t="s">
        <v>30</v>
      </c>
      <c r="R1609" s="11" t="s">
        <v>30</v>
      </c>
      <c r="S1609" s="6" t="s">
        <v>30</v>
      </c>
      <c r="T1609" s="11" t="s">
        <v>30</v>
      </c>
      <c r="U1609" s="6" t="s">
        <v>30</v>
      </c>
      <c r="V1609" s="6" t="s">
        <v>30</v>
      </c>
      <c r="W1609" s="6" t="s">
        <v>30</v>
      </c>
      <c r="X1609" s="2" t="s">
        <v>30</v>
      </c>
      <c r="Y1609" s="6" t="str">
        <f aca="false">IF(AND(X1609="processed",ISNUMBER(S1609)),S1609*O1609,"")</f>
        <v/>
      </c>
      <c r="Z1609" s="6" t="n">
        <f aca="false">IF(ISNUMBER(K1609),K1609*O1609,0)</f>
        <v>0</v>
      </c>
      <c r="AA1609" s="2" t="s">
        <v>31</v>
      </c>
      <c r="AB1609" s="6" t="n">
        <v>27594</v>
      </c>
      <c r="AC1609" s="6" t="n">
        <v>25291</v>
      </c>
      <c r="AD1609" s="6" t="n">
        <v>2974</v>
      </c>
      <c r="AE1609" s="6" t="n">
        <v>2699.47534179688</v>
      </c>
      <c r="AF1609" s="8" t="n">
        <v>345.830639948</v>
      </c>
      <c r="AG1609" s="11" t="n">
        <v>-0.002645936812</v>
      </c>
      <c r="AH1609" s="12" t="n">
        <v>0.999479339309596</v>
      </c>
      <c r="AI1609" s="2" t="s">
        <v>328</v>
      </c>
      <c r="AJ1609" s="2" t="s">
        <v>3557</v>
      </c>
      <c r="AK1609" s="2" t="s">
        <v>3557</v>
      </c>
    </row>
    <row r="1610" customFormat="false" ht="15" hidden="false" customHeight="false" outlineLevel="0" collapsed="false">
      <c r="A1610" s="9"/>
      <c r="B1610" s="2" t="s">
        <v>3558</v>
      </c>
      <c r="C1610" s="2" t="s">
        <v>3559</v>
      </c>
      <c r="D1610" s="2" t="s">
        <v>50</v>
      </c>
      <c r="E1610" s="2" t="s">
        <v>51</v>
      </c>
      <c r="F1610" s="2"/>
      <c r="G1610" s="2" t="s">
        <v>323</v>
      </c>
      <c r="H1610" s="8" t="n">
        <v>455.052863969916</v>
      </c>
      <c r="I1610" s="2" t="s">
        <v>316</v>
      </c>
      <c r="J1610" s="8" t="n">
        <v>888591.549295775</v>
      </c>
      <c r="K1610" s="6" t="n">
        <v>142</v>
      </c>
      <c r="L1610" s="2"/>
      <c r="M1610" s="10" t="b">
        <f aca="false">TRUE()</f>
        <v>1</v>
      </c>
      <c r="N1610" s="9" t="str">
        <f aca="false">IF(H1610="","",IF(H1610&gt;=Assumptions!$B$5,1,IF(H1610&gt;=Assumptions!$B$6,2,IF(H1610&gt;=Assumptions!$B$7,3,""))))</f>
        <v/>
      </c>
      <c r="O1610" s="9" t="n">
        <f aca="false">IF(N1610=1,Assumptions!$B$8,IF(N1610=2,Assumptions!$B$9,IF(N1610=3,Assumptions!$B$10,0)))</f>
        <v>0</v>
      </c>
      <c r="P1610" s="6" t="s">
        <v>30</v>
      </c>
      <c r="Q1610" s="6" t="s">
        <v>30</v>
      </c>
      <c r="R1610" s="11" t="s">
        <v>30</v>
      </c>
      <c r="S1610" s="6" t="s">
        <v>30</v>
      </c>
      <c r="T1610" s="11" t="s">
        <v>30</v>
      </c>
      <c r="U1610" s="6" t="s">
        <v>30</v>
      </c>
      <c r="V1610" s="6" t="s">
        <v>30</v>
      </c>
      <c r="W1610" s="6" t="s">
        <v>30</v>
      </c>
      <c r="X1610" s="2" t="s">
        <v>30</v>
      </c>
      <c r="Y1610" s="6" t="str">
        <f aca="false">IF(AND(X1610="processed",ISNUMBER(S1610)),S1610*O1610,"")</f>
        <v/>
      </c>
      <c r="Z1610" s="6" t="n">
        <f aca="false">IF(ISNUMBER(K1610),K1610*O1610,0)</f>
        <v>0</v>
      </c>
      <c r="AA1610" s="2" t="s">
        <v>31</v>
      </c>
      <c r="AB1610" s="6" t="n">
        <v>8946</v>
      </c>
      <c r="AC1610" s="6" t="n">
        <v>7367</v>
      </c>
      <c r="AD1610" s="6" t="n">
        <v>5343</v>
      </c>
      <c r="AE1610" s="6" t="n">
        <v>2423.53881835938</v>
      </c>
      <c r="AF1610" s="8" t="n">
        <v>447.115384615</v>
      </c>
      <c r="AG1610" s="11" t="n">
        <v>0.05765915119</v>
      </c>
      <c r="AH1610" s="12" t="n">
        <v>0.999976661876188</v>
      </c>
      <c r="AI1610" s="2" t="s">
        <v>347</v>
      </c>
      <c r="AJ1610" s="2" t="s">
        <v>3559</v>
      </c>
      <c r="AK1610" s="2" t="s">
        <v>3559</v>
      </c>
    </row>
    <row r="1611" customFormat="false" ht="15" hidden="false" customHeight="false" outlineLevel="0" collapsed="false">
      <c r="A1611" s="9"/>
      <c r="B1611" s="2" t="s">
        <v>3560</v>
      </c>
      <c r="C1611" s="2" t="s">
        <v>3561</v>
      </c>
      <c r="D1611" s="2" t="s">
        <v>1207</v>
      </c>
      <c r="E1611" s="2" t="s">
        <v>51</v>
      </c>
      <c r="F1611" s="2"/>
      <c r="G1611" s="2" t="s">
        <v>323</v>
      </c>
      <c r="H1611" s="8" t="n">
        <v>335.8797470965</v>
      </c>
      <c r="I1611" s="2" t="s">
        <v>316</v>
      </c>
      <c r="J1611" s="8" t="n">
        <v>1021250</v>
      </c>
      <c r="K1611" s="6" t="n">
        <v>4</v>
      </c>
      <c r="L1611" s="2" t="s">
        <v>1664</v>
      </c>
      <c r="M1611" s="10" t="b">
        <f aca="false">TRUE()</f>
        <v>1</v>
      </c>
      <c r="N1611" s="9" t="str">
        <f aca="false">IF(H1611="","",IF(H1611&gt;=Assumptions!$B$5,1,IF(H1611&gt;=Assumptions!$B$6,2,IF(H1611&gt;=Assumptions!$B$7,3,""))))</f>
        <v/>
      </c>
      <c r="O1611" s="9" t="n">
        <f aca="false">IF(N1611=1,Assumptions!$B$8,IF(N1611=2,Assumptions!$B$9,IF(N1611=3,Assumptions!$B$10,0)))</f>
        <v>0</v>
      </c>
      <c r="P1611" s="6" t="s">
        <v>30</v>
      </c>
      <c r="Q1611" s="6" t="s">
        <v>30</v>
      </c>
      <c r="R1611" s="11" t="s">
        <v>30</v>
      </c>
      <c r="S1611" s="6" t="s">
        <v>30</v>
      </c>
      <c r="T1611" s="11" t="s">
        <v>30</v>
      </c>
      <c r="U1611" s="6" t="s">
        <v>30</v>
      </c>
      <c r="V1611" s="6" t="s">
        <v>30</v>
      </c>
      <c r="W1611" s="6" t="s">
        <v>30</v>
      </c>
      <c r="X1611" s="2" t="s">
        <v>30</v>
      </c>
      <c r="Y1611" s="6" t="str">
        <f aca="false">IF(AND(X1611="processed",ISNUMBER(S1611)),S1611*O1611,"")</f>
        <v/>
      </c>
      <c r="Z1611" s="6" t="n">
        <f aca="false">IF(ISNUMBER(K1611),K1611*O1611,0)</f>
        <v>0</v>
      </c>
      <c r="AA1611" s="2" t="s">
        <v>31</v>
      </c>
      <c r="AB1611" s="6" t="n">
        <v>593</v>
      </c>
      <c r="AC1611" s="6" t="n">
        <v>467</v>
      </c>
      <c r="AD1611" s="6" t="n">
        <v>532</v>
      </c>
      <c r="AE1611" s="6" t="n">
        <v>1758.50659179688</v>
      </c>
      <c r="AF1611" s="8" t="n">
        <v>353.628318584</v>
      </c>
      <c r="AG1611" s="11"/>
      <c r="AH1611" s="12" t="n">
        <v>0.999999999999999</v>
      </c>
      <c r="AI1611" s="2" t="s">
        <v>1597</v>
      </c>
      <c r="AJ1611" s="2"/>
      <c r="AK1611" s="2" t="s">
        <v>3561</v>
      </c>
    </row>
    <row r="1612" customFormat="false" ht="15" hidden="false" customHeight="false" outlineLevel="0" collapsed="false">
      <c r="A1612" s="9"/>
      <c r="B1612" s="2" t="s">
        <v>3562</v>
      </c>
      <c r="C1612" s="2" t="s">
        <v>3563</v>
      </c>
      <c r="D1612" s="2" t="s">
        <v>976</v>
      </c>
      <c r="E1612" s="2" t="s">
        <v>976</v>
      </c>
      <c r="F1612" s="2"/>
      <c r="G1612" s="2"/>
      <c r="H1612" s="8"/>
      <c r="I1612" s="2"/>
      <c r="J1612" s="8"/>
      <c r="K1612" s="6"/>
      <c r="L1612" s="2"/>
      <c r="M1612" s="10" t="b">
        <f aca="false">TRUE()</f>
        <v>1</v>
      </c>
      <c r="N1612" s="9" t="str">
        <f aca="false">IF(H1612="","",IF(H1612&gt;=Assumptions!$B$5,1,IF(H1612&gt;=Assumptions!$B$6,2,IF(H1612&gt;=Assumptions!$B$7,3,""))))</f>
        <v/>
      </c>
      <c r="O1612" s="9" t="n">
        <f aca="false">IF(N1612=1,Assumptions!$B$8,IF(N1612=2,Assumptions!$B$9,IF(N1612=3,Assumptions!$B$10,0)))</f>
        <v>0</v>
      </c>
      <c r="P1612" s="6" t="s">
        <v>30</v>
      </c>
      <c r="Q1612" s="6" t="s">
        <v>30</v>
      </c>
      <c r="R1612" s="11" t="s">
        <v>30</v>
      </c>
      <c r="S1612" s="6" t="s">
        <v>30</v>
      </c>
      <c r="T1612" s="11" t="s">
        <v>30</v>
      </c>
      <c r="U1612" s="6" t="s">
        <v>30</v>
      </c>
      <c r="V1612" s="6" t="s">
        <v>30</v>
      </c>
      <c r="W1612" s="6" t="s">
        <v>30</v>
      </c>
      <c r="X1612" s="2" t="s">
        <v>30</v>
      </c>
      <c r="Y1612" s="6" t="str">
        <f aca="false">IF(AND(X1612="processed",ISNUMBER(S1612)),S1612*O1612,"")</f>
        <v/>
      </c>
      <c r="Z1612" s="6" t="n">
        <f aca="false">IF(ISNUMBER(K1612),K1612*O1612,0)</f>
        <v>0</v>
      </c>
      <c r="AA1612" s="2" t="s">
        <v>31</v>
      </c>
      <c r="AB1612" s="6" t="n">
        <v>492</v>
      </c>
      <c r="AC1612" s="6" t="n">
        <v>276</v>
      </c>
      <c r="AD1612" s="6" t="n">
        <v>43</v>
      </c>
      <c r="AE1612" s="6" t="n">
        <v>2110.37939453125</v>
      </c>
      <c r="AF1612" s="8"/>
      <c r="AG1612" s="11"/>
      <c r="AH1612" s="12" t="n">
        <v>0.999999999999998</v>
      </c>
      <c r="AI1612" s="2" t="s">
        <v>962</v>
      </c>
      <c r="AJ1612" s="2" t="s">
        <v>3564</v>
      </c>
      <c r="AK1612" s="2" t="s">
        <v>976</v>
      </c>
    </row>
    <row r="1613" customFormat="false" ht="15" hidden="false" customHeight="false" outlineLevel="0" collapsed="false">
      <c r="A1613" s="9"/>
      <c r="B1613" s="2" t="s">
        <v>3565</v>
      </c>
      <c r="C1613" s="2" t="s">
        <v>3520</v>
      </c>
      <c r="D1613" s="2" t="s">
        <v>1800</v>
      </c>
      <c r="E1613" s="2" t="s">
        <v>51</v>
      </c>
      <c r="F1613" s="2"/>
      <c r="G1613" s="2"/>
      <c r="H1613" s="8"/>
      <c r="I1613" s="2"/>
      <c r="J1613" s="8"/>
      <c r="K1613" s="6"/>
      <c r="L1613" s="2"/>
      <c r="M1613" s="10" t="b">
        <f aca="false">TRUE()</f>
        <v>1</v>
      </c>
      <c r="N1613" s="9" t="str">
        <f aca="false">IF(H1613="","",IF(H1613&gt;=Assumptions!$B$5,1,IF(H1613&gt;=Assumptions!$B$6,2,IF(H1613&gt;=Assumptions!$B$7,3,""))))</f>
        <v/>
      </c>
      <c r="O1613" s="9" t="n">
        <f aca="false">IF(N1613=1,Assumptions!$B$8,IF(N1613=2,Assumptions!$B$9,IF(N1613=3,Assumptions!$B$10,0)))</f>
        <v>0</v>
      </c>
      <c r="P1613" s="6" t="s">
        <v>30</v>
      </c>
      <c r="Q1613" s="6" t="s">
        <v>30</v>
      </c>
      <c r="R1613" s="11" t="s">
        <v>30</v>
      </c>
      <c r="S1613" s="6" t="s">
        <v>30</v>
      </c>
      <c r="T1613" s="11" t="s">
        <v>30</v>
      </c>
      <c r="U1613" s="6" t="s">
        <v>30</v>
      </c>
      <c r="V1613" s="6" t="s">
        <v>30</v>
      </c>
      <c r="W1613" s="6" t="s">
        <v>30</v>
      </c>
      <c r="X1613" s="2" t="s">
        <v>30</v>
      </c>
      <c r="Y1613" s="6" t="str">
        <f aca="false">IF(AND(X1613="processed",ISNUMBER(S1613)),S1613*O1613,"")</f>
        <v/>
      </c>
      <c r="Z1613" s="6" t="n">
        <f aca="false">IF(ISNUMBER(K1613),K1613*O1613,0)</f>
        <v>0</v>
      </c>
      <c r="AA1613" s="2" t="s">
        <v>31</v>
      </c>
      <c r="AB1613" s="6" t="n">
        <v>287</v>
      </c>
      <c r="AC1613" s="6" t="n">
        <v>253</v>
      </c>
      <c r="AD1613" s="6" t="n">
        <v>18</v>
      </c>
      <c r="AE1613" s="6" t="n">
        <v>1965.33923339844</v>
      </c>
      <c r="AF1613" s="8"/>
      <c r="AG1613" s="11"/>
      <c r="AH1613" s="12" t="n">
        <v>1</v>
      </c>
      <c r="AI1613" s="2" t="s">
        <v>321</v>
      </c>
      <c r="AJ1613" s="2" t="s">
        <v>3520</v>
      </c>
      <c r="AK1613" s="2" t="s">
        <v>3520</v>
      </c>
    </row>
    <row r="1614" customFormat="false" ht="15" hidden="false" customHeight="false" outlineLevel="0" collapsed="false">
      <c r="A1614" s="9"/>
      <c r="B1614" s="2" t="s">
        <v>3566</v>
      </c>
      <c r="C1614" s="2" t="s">
        <v>3567</v>
      </c>
      <c r="D1614" s="2" t="s">
        <v>976</v>
      </c>
      <c r="E1614" s="2" t="s">
        <v>976</v>
      </c>
      <c r="F1614" s="2"/>
      <c r="G1614" s="2" t="s">
        <v>323</v>
      </c>
      <c r="H1614" s="8" t="n">
        <v>281.914722093769</v>
      </c>
      <c r="I1614" s="2" t="s">
        <v>316</v>
      </c>
      <c r="J1614" s="8" t="n">
        <v>560788.461538462</v>
      </c>
      <c r="K1614" s="6" t="n">
        <v>26</v>
      </c>
      <c r="L1614" s="2"/>
      <c r="M1614" s="10" t="b">
        <f aca="false">TRUE()</f>
        <v>1</v>
      </c>
      <c r="N1614" s="9" t="str">
        <f aca="false">IF(H1614="","",IF(H1614&gt;=Assumptions!$B$5,1,IF(H1614&gt;=Assumptions!$B$6,2,IF(H1614&gt;=Assumptions!$B$7,3,""))))</f>
        <v/>
      </c>
      <c r="O1614" s="9" t="n">
        <f aca="false">IF(N1614=1,Assumptions!$B$8,IF(N1614=2,Assumptions!$B$9,IF(N1614=3,Assumptions!$B$10,0)))</f>
        <v>0</v>
      </c>
      <c r="P1614" s="6" t="s">
        <v>30</v>
      </c>
      <c r="Q1614" s="6" t="s">
        <v>30</v>
      </c>
      <c r="R1614" s="11" t="s">
        <v>30</v>
      </c>
      <c r="S1614" s="6" t="s">
        <v>30</v>
      </c>
      <c r="T1614" s="11" t="s">
        <v>30</v>
      </c>
      <c r="U1614" s="6" t="s">
        <v>30</v>
      </c>
      <c r="V1614" s="6" t="s">
        <v>30</v>
      </c>
      <c r="W1614" s="6" t="s">
        <v>30</v>
      </c>
      <c r="X1614" s="2" t="s">
        <v>30</v>
      </c>
      <c r="Y1614" s="6" t="str">
        <f aca="false">IF(AND(X1614="processed",ISNUMBER(S1614)),S1614*O1614,"")</f>
        <v/>
      </c>
      <c r="Z1614" s="6" t="n">
        <f aca="false">IF(ISNUMBER(K1614),K1614*O1614,0)</f>
        <v>0</v>
      </c>
      <c r="AA1614" s="2" t="s">
        <v>31</v>
      </c>
      <c r="AB1614" s="6" t="n">
        <v>1700</v>
      </c>
      <c r="AC1614" s="6" t="n">
        <v>1417</v>
      </c>
      <c r="AD1614" s="6" t="n">
        <v>95</v>
      </c>
      <c r="AE1614" s="6" t="n">
        <v>2227.57958984375</v>
      </c>
      <c r="AF1614" s="8" t="n">
        <v>260.337927968</v>
      </c>
      <c r="AG1614" s="11" t="n">
        <v>-0.3553806523</v>
      </c>
      <c r="AH1614" s="12" t="n">
        <v>0.999999999999999</v>
      </c>
      <c r="AI1614" s="2" t="s">
        <v>317</v>
      </c>
      <c r="AJ1614" s="2" t="s">
        <v>3567</v>
      </c>
      <c r="AK1614" s="2" t="s">
        <v>3568</v>
      </c>
    </row>
    <row r="1615" customFormat="false" ht="15" hidden="false" customHeight="false" outlineLevel="0" collapsed="false">
      <c r="A1615" s="9"/>
      <c r="B1615" s="2" t="s">
        <v>3569</v>
      </c>
      <c r="C1615" s="2"/>
      <c r="D1615" s="2" t="s">
        <v>1190</v>
      </c>
      <c r="E1615" s="2" t="s">
        <v>1191</v>
      </c>
      <c r="F1615" s="2"/>
      <c r="G1615" s="2" t="s">
        <v>323</v>
      </c>
      <c r="H1615" s="8" t="n">
        <v>235.239852399</v>
      </c>
      <c r="I1615" s="2" t="s">
        <v>316</v>
      </c>
      <c r="J1615" s="8" t="n">
        <v>255000</v>
      </c>
      <c r="K1615" s="6" t="n">
        <v>1</v>
      </c>
      <c r="L1615" s="2" t="s">
        <v>1664</v>
      </c>
      <c r="M1615" s="10" t="b">
        <f aca="false">FALSE()</f>
        <v>0</v>
      </c>
      <c r="N1615" s="9" t="str">
        <f aca="false">IF(H1615="","",IF(H1615&gt;=Assumptions!$B$5,1,IF(H1615&gt;=Assumptions!$B$6,2,IF(H1615&gt;=Assumptions!$B$7,3,""))))</f>
        <v/>
      </c>
      <c r="O1615" s="9" t="n">
        <f aca="false">IF(N1615=1,Assumptions!$B$8,IF(N1615=2,Assumptions!$B$9,IF(N1615=3,Assumptions!$B$10,0)))</f>
        <v>0</v>
      </c>
      <c r="P1615" s="6" t="s">
        <v>30</v>
      </c>
      <c r="Q1615" s="6" t="s">
        <v>30</v>
      </c>
      <c r="R1615" s="11" t="s">
        <v>30</v>
      </c>
      <c r="S1615" s="6" t="s">
        <v>30</v>
      </c>
      <c r="T1615" s="11" t="s">
        <v>30</v>
      </c>
      <c r="U1615" s="6" t="s">
        <v>30</v>
      </c>
      <c r="V1615" s="6" t="s">
        <v>30</v>
      </c>
      <c r="W1615" s="6" t="s">
        <v>30</v>
      </c>
      <c r="X1615" s="2" t="s">
        <v>30</v>
      </c>
      <c r="Y1615" s="6" t="str">
        <f aca="false">IF(AND(X1615="processed",ISNUMBER(S1615)),S1615*O1615,"")</f>
        <v/>
      </c>
      <c r="Z1615" s="6" t="n">
        <f aca="false">IF(ISNUMBER(K1615),K1615*O1615,0)</f>
        <v>0</v>
      </c>
      <c r="AA1615" s="2" t="s">
        <v>31</v>
      </c>
      <c r="AB1615" s="6"/>
      <c r="AC1615" s="6"/>
      <c r="AD1615" s="6"/>
      <c r="AE1615" s="6"/>
      <c r="AF1615" s="8" t="n">
        <v>235.239852399</v>
      </c>
      <c r="AG1615" s="11"/>
      <c r="AH1615" s="12"/>
      <c r="AI1615" s="2"/>
      <c r="AJ1615" s="2"/>
      <c r="AK1615" s="2"/>
    </row>
    <row r="1616" customFormat="false" ht="15" hidden="false" customHeight="false" outlineLevel="0" collapsed="false">
      <c r="A1616" s="9"/>
      <c r="B1616" s="2" t="s">
        <v>3570</v>
      </c>
      <c r="C1616" s="2" t="s">
        <v>3571</v>
      </c>
      <c r="D1616" s="2" t="s">
        <v>50</v>
      </c>
      <c r="E1616" s="2" t="s">
        <v>51</v>
      </c>
      <c r="F1616" s="2"/>
      <c r="G1616" s="2" t="s">
        <v>323</v>
      </c>
      <c r="H1616" s="8" t="n">
        <v>446.502257359571</v>
      </c>
      <c r="I1616" s="2" t="s">
        <v>316</v>
      </c>
      <c r="J1616" s="8" t="n">
        <v>1178214.28571429</v>
      </c>
      <c r="K1616" s="6" t="n">
        <v>63</v>
      </c>
      <c r="L1616" s="2"/>
      <c r="M1616" s="10" t="b">
        <f aca="false">TRUE()</f>
        <v>1</v>
      </c>
      <c r="N1616" s="9" t="str">
        <f aca="false">IF(H1616="","",IF(H1616&gt;=Assumptions!$B$5,1,IF(H1616&gt;=Assumptions!$B$6,2,IF(H1616&gt;=Assumptions!$B$7,3,""))))</f>
        <v/>
      </c>
      <c r="O1616" s="9" t="n">
        <f aca="false">IF(N1616=1,Assumptions!$B$8,IF(N1616=2,Assumptions!$B$9,IF(N1616=3,Assumptions!$B$10,0)))</f>
        <v>0</v>
      </c>
      <c r="P1616" s="6" t="s">
        <v>30</v>
      </c>
      <c r="Q1616" s="6" t="s">
        <v>30</v>
      </c>
      <c r="R1616" s="11" t="s">
        <v>30</v>
      </c>
      <c r="S1616" s="6" t="s">
        <v>30</v>
      </c>
      <c r="T1616" s="11" t="s">
        <v>30</v>
      </c>
      <c r="U1616" s="6" t="s">
        <v>30</v>
      </c>
      <c r="V1616" s="6" t="s">
        <v>30</v>
      </c>
      <c r="W1616" s="6" t="s">
        <v>30</v>
      </c>
      <c r="X1616" s="2" t="s">
        <v>30</v>
      </c>
      <c r="Y1616" s="6" t="str">
        <f aca="false">IF(AND(X1616="processed",ISNUMBER(S1616)),S1616*O1616,"")</f>
        <v/>
      </c>
      <c r="Z1616" s="6" t="n">
        <f aca="false">IF(ISNUMBER(K1616),K1616*O1616,0)</f>
        <v>0</v>
      </c>
      <c r="AA1616" s="2" t="s">
        <v>31</v>
      </c>
      <c r="AB1616" s="6" t="n">
        <v>5493</v>
      </c>
      <c r="AC1616" s="6" t="n">
        <v>4620</v>
      </c>
      <c r="AD1616" s="6" t="n">
        <v>4210</v>
      </c>
      <c r="AE1616" s="6" t="n">
        <v>2059.01806640625</v>
      </c>
      <c r="AF1616" s="8" t="n">
        <v>445.656261753</v>
      </c>
      <c r="AG1616" s="11" t="n">
        <v>0.02651613553</v>
      </c>
      <c r="AH1616" s="12" t="n">
        <v>0.999797479527678</v>
      </c>
      <c r="AI1616" s="2" t="s">
        <v>347</v>
      </c>
      <c r="AJ1616" s="2" t="s">
        <v>3571</v>
      </c>
      <c r="AK1616" s="2" t="s">
        <v>3478</v>
      </c>
    </row>
    <row r="1617" customFormat="false" ht="15" hidden="false" customHeight="false" outlineLevel="0" collapsed="false">
      <c r="A1617" s="9"/>
      <c r="B1617" s="2" t="s">
        <v>3572</v>
      </c>
      <c r="C1617" s="2" t="s">
        <v>3573</v>
      </c>
      <c r="D1617" s="2" t="s">
        <v>1758</v>
      </c>
      <c r="E1617" s="2" t="s">
        <v>51</v>
      </c>
      <c r="F1617" s="2"/>
      <c r="G1617" s="2" t="s">
        <v>1759</v>
      </c>
      <c r="H1617" s="8" t="n">
        <v>143.629604596</v>
      </c>
      <c r="I1617" s="2" t="s">
        <v>316</v>
      </c>
      <c r="J1617" s="8" t="n">
        <v>850000</v>
      </c>
      <c r="K1617" s="6" t="n">
        <v>1</v>
      </c>
      <c r="L1617" s="2" t="s">
        <v>1664</v>
      </c>
      <c r="M1617" s="10" t="b">
        <f aca="false">TRUE()</f>
        <v>1</v>
      </c>
      <c r="N1617" s="9" t="str">
        <f aca="false">IF(H1617="","",IF(H1617&gt;=Assumptions!$B$5,1,IF(H1617&gt;=Assumptions!$B$6,2,IF(H1617&gt;=Assumptions!$B$7,3,""))))</f>
        <v/>
      </c>
      <c r="O1617" s="9" t="n">
        <f aca="false">IF(N1617=1,Assumptions!$B$8,IF(N1617=2,Assumptions!$B$9,IF(N1617=3,Assumptions!$B$10,0)))</f>
        <v>0</v>
      </c>
      <c r="P1617" s="6" t="s">
        <v>30</v>
      </c>
      <c r="Q1617" s="6" t="s">
        <v>30</v>
      </c>
      <c r="R1617" s="11" t="s">
        <v>30</v>
      </c>
      <c r="S1617" s="6" t="s">
        <v>30</v>
      </c>
      <c r="T1617" s="11" t="s">
        <v>30</v>
      </c>
      <c r="U1617" s="6" t="s">
        <v>30</v>
      </c>
      <c r="V1617" s="6" t="s">
        <v>30</v>
      </c>
      <c r="W1617" s="6" t="s">
        <v>30</v>
      </c>
      <c r="X1617" s="2" t="s">
        <v>30</v>
      </c>
      <c r="Y1617" s="6" t="str">
        <f aca="false">IF(AND(X1617="processed",ISNUMBER(S1617)),S1617*O1617,"")</f>
        <v/>
      </c>
      <c r="Z1617" s="6" t="n">
        <f aca="false">IF(ISNUMBER(K1617),K1617*O1617,0)</f>
        <v>0</v>
      </c>
      <c r="AA1617" s="2" t="s">
        <v>31</v>
      </c>
      <c r="AB1617" s="6" t="n">
        <v>773</v>
      </c>
      <c r="AC1617" s="6" t="n">
        <v>606</v>
      </c>
      <c r="AD1617" s="6" t="n">
        <v>464</v>
      </c>
      <c r="AE1617" s="6" t="n">
        <v>1865.7021484375</v>
      </c>
      <c r="AF1617" s="8" t="n">
        <v>143.629604596</v>
      </c>
      <c r="AG1617" s="11"/>
      <c r="AH1617" s="12" t="n">
        <v>0.999172708633971</v>
      </c>
      <c r="AI1617" s="2" t="s">
        <v>317</v>
      </c>
      <c r="AJ1617" s="2" t="s">
        <v>3573</v>
      </c>
      <c r="AK1617" s="2" t="s">
        <v>3574</v>
      </c>
    </row>
    <row r="1618" customFormat="false" ht="15" hidden="false" customHeight="false" outlineLevel="0" collapsed="false">
      <c r="A1618" s="9"/>
      <c r="B1618" s="2" t="s">
        <v>3575</v>
      </c>
      <c r="C1618" s="2" t="s">
        <v>3576</v>
      </c>
      <c r="D1618" s="2" t="s">
        <v>976</v>
      </c>
      <c r="E1618" s="2" t="s">
        <v>976</v>
      </c>
      <c r="F1618" s="2"/>
      <c r="G1618" s="2" t="s">
        <v>323</v>
      </c>
      <c r="H1618" s="8" t="n">
        <v>336.951406831466</v>
      </c>
      <c r="I1618" s="2" t="s">
        <v>316</v>
      </c>
      <c r="J1618" s="8" t="n">
        <v>392728.50678733</v>
      </c>
      <c r="K1618" s="6" t="n">
        <v>221</v>
      </c>
      <c r="L1618" s="2"/>
      <c r="M1618" s="10" t="b">
        <f aca="false">TRUE()</f>
        <v>1</v>
      </c>
      <c r="N1618" s="9" t="str">
        <f aca="false">IF(H1618="","",IF(H1618&gt;=Assumptions!$B$5,1,IF(H1618&gt;=Assumptions!$B$6,2,IF(H1618&gt;=Assumptions!$B$7,3,""))))</f>
        <v/>
      </c>
      <c r="O1618" s="9" t="n">
        <f aca="false">IF(N1618=1,Assumptions!$B$8,IF(N1618=2,Assumptions!$B$9,IF(N1618=3,Assumptions!$B$10,0)))</f>
        <v>0</v>
      </c>
      <c r="P1618" s="6" t="s">
        <v>30</v>
      </c>
      <c r="Q1618" s="6" t="s">
        <v>30</v>
      </c>
      <c r="R1618" s="11" t="s">
        <v>30</v>
      </c>
      <c r="S1618" s="6" t="s">
        <v>30</v>
      </c>
      <c r="T1618" s="11" t="s">
        <v>30</v>
      </c>
      <c r="U1618" s="6" t="s">
        <v>30</v>
      </c>
      <c r="V1618" s="6" t="s">
        <v>30</v>
      </c>
      <c r="W1618" s="6" t="s">
        <v>30</v>
      </c>
      <c r="X1618" s="2" t="s">
        <v>30</v>
      </c>
      <c r="Y1618" s="6" t="str">
        <f aca="false">IF(AND(X1618="processed",ISNUMBER(S1618)),S1618*O1618,"")</f>
        <v/>
      </c>
      <c r="Z1618" s="6" t="n">
        <f aca="false">IF(ISNUMBER(K1618),K1618*O1618,0)</f>
        <v>0</v>
      </c>
      <c r="AA1618" s="2" t="s">
        <v>31</v>
      </c>
      <c r="AB1618" s="6" t="n">
        <v>10623</v>
      </c>
      <c r="AC1618" s="6" t="n">
        <v>9747</v>
      </c>
      <c r="AD1618" s="6" t="n">
        <v>7806</v>
      </c>
      <c r="AE1618" s="6" t="n">
        <v>2093.93432617188</v>
      </c>
      <c r="AF1618" s="8" t="n">
        <v>334.674422</v>
      </c>
      <c r="AG1618" s="11" t="n">
        <v>-0.01010743182</v>
      </c>
      <c r="AH1618" s="12" t="n">
        <v>1</v>
      </c>
      <c r="AI1618" s="2" t="s">
        <v>317</v>
      </c>
      <c r="AJ1618" s="2" t="s">
        <v>3576</v>
      </c>
      <c r="AK1618" s="2" t="s">
        <v>976</v>
      </c>
    </row>
    <row r="1619" customFormat="false" ht="15" hidden="false" customHeight="false" outlineLevel="0" collapsed="false">
      <c r="A1619" s="9"/>
      <c r="B1619" s="2" t="s">
        <v>3577</v>
      </c>
      <c r="C1619" s="2" t="s">
        <v>1760</v>
      </c>
      <c r="D1619" s="2" t="s">
        <v>50</v>
      </c>
      <c r="E1619" s="2" t="s">
        <v>51</v>
      </c>
      <c r="F1619" s="2"/>
      <c r="G1619" s="2" t="s">
        <v>323</v>
      </c>
      <c r="H1619" s="8" t="n">
        <v>353.915130857837</v>
      </c>
      <c r="I1619" s="2" t="s">
        <v>316</v>
      </c>
      <c r="J1619" s="8" t="n">
        <v>712093.023255814</v>
      </c>
      <c r="K1619" s="6" t="n">
        <v>258</v>
      </c>
      <c r="L1619" s="2"/>
      <c r="M1619" s="10" t="b">
        <f aca="false">TRUE()</f>
        <v>1</v>
      </c>
      <c r="N1619" s="9" t="str">
        <f aca="false">IF(H1619="","",IF(H1619&gt;=Assumptions!$B$5,1,IF(H1619&gt;=Assumptions!$B$6,2,IF(H1619&gt;=Assumptions!$B$7,3,""))))</f>
        <v/>
      </c>
      <c r="O1619" s="9" t="n">
        <f aca="false">IF(N1619=1,Assumptions!$B$8,IF(N1619=2,Assumptions!$B$9,IF(N1619=3,Assumptions!$B$10,0)))</f>
        <v>0</v>
      </c>
      <c r="P1619" s="6" t="s">
        <v>30</v>
      </c>
      <c r="Q1619" s="6" t="s">
        <v>30</v>
      </c>
      <c r="R1619" s="11" t="s">
        <v>30</v>
      </c>
      <c r="S1619" s="6" t="s">
        <v>30</v>
      </c>
      <c r="T1619" s="11" t="s">
        <v>30</v>
      </c>
      <c r="U1619" s="6" t="s">
        <v>30</v>
      </c>
      <c r="V1619" s="6" t="s">
        <v>30</v>
      </c>
      <c r="W1619" s="6" t="s">
        <v>30</v>
      </c>
      <c r="X1619" s="2" t="s">
        <v>30</v>
      </c>
      <c r="Y1619" s="6" t="str">
        <f aca="false">IF(AND(X1619="processed",ISNUMBER(S1619)),S1619*O1619,"")</f>
        <v/>
      </c>
      <c r="Z1619" s="6" t="n">
        <f aca="false">IF(ISNUMBER(K1619),K1619*O1619,0)</f>
        <v>0</v>
      </c>
      <c r="AA1619" s="2" t="s">
        <v>31</v>
      </c>
      <c r="AB1619" s="6" t="n">
        <v>10954</v>
      </c>
      <c r="AC1619" s="6" t="n">
        <v>9980</v>
      </c>
      <c r="AD1619" s="6" t="n">
        <v>992</v>
      </c>
      <c r="AE1619" s="6" t="n">
        <v>2856.24291992188</v>
      </c>
      <c r="AF1619" s="8" t="n">
        <v>366.034505826</v>
      </c>
      <c r="AG1619" s="11" t="n">
        <v>0.02802511636</v>
      </c>
      <c r="AH1619" s="12" t="n">
        <v>0.997925172016042</v>
      </c>
      <c r="AI1619" s="2" t="s">
        <v>328</v>
      </c>
      <c r="AJ1619" s="2" t="s">
        <v>1760</v>
      </c>
      <c r="AK1619" s="2" t="s">
        <v>1760</v>
      </c>
    </row>
    <row r="1620" customFormat="false" ht="15" hidden="false" customHeight="false" outlineLevel="0" collapsed="false">
      <c r="A1620" s="9"/>
      <c r="B1620" s="2" t="s">
        <v>3578</v>
      </c>
      <c r="C1620" s="2" t="s">
        <v>3579</v>
      </c>
      <c r="D1620" s="2" t="s">
        <v>976</v>
      </c>
      <c r="E1620" s="2" t="s">
        <v>976</v>
      </c>
      <c r="F1620" s="2" t="s">
        <v>3579</v>
      </c>
      <c r="G1620" s="2" t="s">
        <v>323</v>
      </c>
      <c r="H1620" s="8" t="n">
        <v>373.471303411635</v>
      </c>
      <c r="I1620" s="2" t="s">
        <v>316</v>
      </c>
      <c r="J1620" s="8" t="n">
        <v>558866.920152091</v>
      </c>
      <c r="K1620" s="6" t="n">
        <v>263</v>
      </c>
      <c r="L1620" s="2"/>
      <c r="M1620" s="10" t="b">
        <f aca="false">TRUE()</f>
        <v>1</v>
      </c>
      <c r="N1620" s="9" t="str">
        <f aca="false">IF(H1620="","",IF(H1620&gt;=Assumptions!$B$5,1,IF(H1620&gt;=Assumptions!$B$6,2,IF(H1620&gt;=Assumptions!$B$7,3,""))))</f>
        <v/>
      </c>
      <c r="O1620" s="9" t="n">
        <f aca="false">IF(N1620=1,Assumptions!$B$8,IF(N1620=2,Assumptions!$B$9,IF(N1620=3,Assumptions!$B$10,0)))</f>
        <v>0</v>
      </c>
      <c r="P1620" s="6" t="s">
        <v>30</v>
      </c>
      <c r="Q1620" s="6" t="s">
        <v>30</v>
      </c>
      <c r="R1620" s="11" t="s">
        <v>30</v>
      </c>
      <c r="S1620" s="6" t="s">
        <v>30</v>
      </c>
      <c r="T1620" s="11" t="s">
        <v>30</v>
      </c>
      <c r="U1620" s="6" t="s">
        <v>30</v>
      </c>
      <c r="V1620" s="6" t="s">
        <v>30</v>
      </c>
      <c r="W1620" s="6" t="s">
        <v>30</v>
      </c>
      <c r="X1620" s="2" t="s">
        <v>30</v>
      </c>
      <c r="Y1620" s="6" t="str">
        <f aca="false">IF(AND(X1620="processed",ISNUMBER(S1620)),S1620*O1620,"")</f>
        <v/>
      </c>
      <c r="Z1620" s="6" t="n">
        <f aca="false">IF(ISNUMBER(K1620),K1620*O1620,0)</f>
        <v>0</v>
      </c>
      <c r="AA1620" s="2" t="s">
        <v>31</v>
      </c>
      <c r="AB1620" s="6" t="n">
        <v>13853</v>
      </c>
      <c r="AC1620" s="6" t="n">
        <v>12621</v>
      </c>
      <c r="AD1620" s="6" t="n">
        <v>8000</v>
      </c>
      <c r="AE1620" s="6" t="n">
        <v>2462.783203125</v>
      </c>
      <c r="AF1620" s="8" t="n">
        <v>373.826878175</v>
      </c>
      <c r="AG1620" s="11" t="n">
        <v>-0.02204705739</v>
      </c>
      <c r="AH1620" s="12" t="n">
        <v>0.99996591469932</v>
      </c>
      <c r="AI1620" s="2" t="s">
        <v>317</v>
      </c>
      <c r="AJ1620" s="2" t="s">
        <v>3579</v>
      </c>
      <c r="AK1620" s="2" t="s">
        <v>3527</v>
      </c>
    </row>
    <row r="1621" customFormat="false" ht="15" hidden="false" customHeight="false" outlineLevel="0" collapsed="false">
      <c r="A1621" s="9"/>
      <c r="B1621" s="2" t="s">
        <v>3580</v>
      </c>
      <c r="C1621" s="2" t="s">
        <v>3581</v>
      </c>
      <c r="D1621" s="2" t="s">
        <v>50</v>
      </c>
      <c r="E1621" s="2" t="s">
        <v>51</v>
      </c>
      <c r="F1621" s="2"/>
      <c r="G1621" s="2" t="s">
        <v>323</v>
      </c>
      <c r="H1621" s="8" t="n">
        <v>462.713359760333</v>
      </c>
      <c r="I1621" s="2" t="s">
        <v>316</v>
      </c>
      <c r="J1621" s="8" t="n">
        <v>1077619.04761905</v>
      </c>
      <c r="K1621" s="6" t="n">
        <v>21</v>
      </c>
      <c r="L1621" s="2"/>
      <c r="M1621" s="10" t="b">
        <f aca="false">TRUE()</f>
        <v>1</v>
      </c>
      <c r="N1621" s="9" t="str">
        <f aca="false">IF(H1621="","",IF(H1621&gt;=Assumptions!$B$5,1,IF(H1621&gt;=Assumptions!$B$6,2,IF(H1621&gt;=Assumptions!$B$7,3,""))))</f>
        <v/>
      </c>
      <c r="O1621" s="9" t="n">
        <f aca="false">IF(N1621=1,Assumptions!$B$8,IF(N1621=2,Assumptions!$B$9,IF(N1621=3,Assumptions!$B$10,0)))</f>
        <v>0</v>
      </c>
      <c r="P1621" s="6" t="s">
        <v>30</v>
      </c>
      <c r="Q1621" s="6" t="s">
        <v>30</v>
      </c>
      <c r="R1621" s="11" t="s">
        <v>30</v>
      </c>
      <c r="S1621" s="6" t="s">
        <v>30</v>
      </c>
      <c r="T1621" s="11" t="s">
        <v>30</v>
      </c>
      <c r="U1621" s="6" t="s">
        <v>30</v>
      </c>
      <c r="V1621" s="6" t="s">
        <v>30</v>
      </c>
      <c r="W1621" s="6" t="s">
        <v>30</v>
      </c>
      <c r="X1621" s="2" t="s">
        <v>30</v>
      </c>
      <c r="Y1621" s="6" t="str">
        <f aca="false">IF(AND(X1621="processed",ISNUMBER(S1621)),S1621*O1621,"")</f>
        <v/>
      </c>
      <c r="Z1621" s="6" t="n">
        <f aca="false">IF(ISNUMBER(K1621),K1621*O1621,0)</f>
        <v>0</v>
      </c>
      <c r="AA1621" s="2" t="s">
        <v>31</v>
      </c>
      <c r="AB1621" s="6" t="n">
        <v>2131</v>
      </c>
      <c r="AC1621" s="6" t="n">
        <v>1739</v>
      </c>
      <c r="AD1621" s="6" t="n">
        <v>1271</v>
      </c>
      <c r="AE1621" s="6" t="n">
        <v>2137.23217773438</v>
      </c>
      <c r="AF1621" s="8" t="n">
        <v>455.891900665</v>
      </c>
      <c r="AG1621" s="11" t="n">
        <v>0.3307963228</v>
      </c>
      <c r="AH1621" s="12" t="n">
        <v>0.999999999999998</v>
      </c>
      <c r="AI1621" s="2" t="s">
        <v>317</v>
      </c>
      <c r="AJ1621" s="2" t="s">
        <v>3581</v>
      </c>
      <c r="AK1621" s="2" t="s">
        <v>3582</v>
      </c>
    </row>
    <row r="1622" customFormat="false" ht="15" hidden="false" customHeight="false" outlineLevel="0" collapsed="false">
      <c r="A1622" s="9"/>
      <c r="B1622" s="2" t="s">
        <v>3583</v>
      </c>
      <c r="C1622" s="2" t="s">
        <v>3527</v>
      </c>
      <c r="D1622" s="2" t="s">
        <v>1207</v>
      </c>
      <c r="E1622" s="2" t="s">
        <v>51</v>
      </c>
      <c r="F1622" s="2"/>
      <c r="G1622" s="2" t="s">
        <v>323</v>
      </c>
      <c r="H1622" s="8" t="n">
        <v>301.770403981</v>
      </c>
      <c r="I1622" s="2" t="s">
        <v>316</v>
      </c>
      <c r="J1622" s="8" t="n">
        <v>656562.5</v>
      </c>
      <c r="K1622" s="6" t="n">
        <v>16</v>
      </c>
      <c r="L1622" s="2"/>
      <c r="M1622" s="10" t="b">
        <f aca="false">TRUE()</f>
        <v>1</v>
      </c>
      <c r="N1622" s="9" t="str">
        <f aca="false">IF(H1622="","",IF(H1622&gt;=Assumptions!$B$5,1,IF(H1622&gt;=Assumptions!$B$6,2,IF(H1622&gt;=Assumptions!$B$7,3,""))))</f>
        <v/>
      </c>
      <c r="O1622" s="9" t="n">
        <f aca="false">IF(N1622=1,Assumptions!$B$8,IF(N1622=2,Assumptions!$B$9,IF(N1622=3,Assumptions!$B$10,0)))</f>
        <v>0</v>
      </c>
      <c r="P1622" s="6" t="s">
        <v>30</v>
      </c>
      <c r="Q1622" s="6" t="s">
        <v>30</v>
      </c>
      <c r="R1622" s="11" t="s">
        <v>30</v>
      </c>
      <c r="S1622" s="6" t="s">
        <v>30</v>
      </c>
      <c r="T1622" s="11" t="s">
        <v>30</v>
      </c>
      <c r="U1622" s="6" t="s">
        <v>30</v>
      </c>
      <c r="V1622" s="6" t="s">
        <v>30</v>
      </c>
      <c r="W1622" s="6" t="s">
        <v>30</v>
      </c>
      <c r="X1622" s="2" t="s">
        <v>30</v>
      </c>
      <c r="Y1622" s="6" t="str">
        <f aca="false">IF(AND(X1622="processed",ISNUMBER(S1622)),S1622*O1622,"")</f>
        <v/>
      </c>
      <c r="Z1622" s="6" t="n">
        <f aca="false">IF(ISNUMBER(K1622),K1622*O1622,0)</f>
        <v>0</v>
      </c>
      <c r="AA1622" s="2" t="s">
        <v>31</v>
      </c>
      <c r="AB1622" s="6" t="n">
        <v>1350</v>
      </c>
      <c r="AC1622" s="6" t="n">
        <v>1081</v>
      </c>
      <c r="AD1622" s="6" t="n">
        <v>1268</v>
      </c>
      <c r="AE1622" s="6" t="n">
        <v>1853.10241699219</v>
      </c>
      <c r="AF1622" s="8" t="n">
        <v>248.281130634</v>
      </c>
      <c r="AG1622" s="11" t="n">
        <v>-0.2750190985</v>
      </c>
      <c r="AH1622" s="12" t="n">
        <v>0.99930611161282</v>
      </c>
      <c r="AI1622" s="2" t="s">
        <v>319</v>
      </c>
      <c r="AJ1622" s="2"/>
      <c r="AK1622" s="2" t="s">
        <v>3527</v>
      </c>
    </row>
    <row r="1623" customFormat="false" ht="15" hidden="false" customHeight="false" outlineLevel="0" collapsed="false">
      <c r="A1623" s="9"/>
      <c r="B1623" s="2" t="s">
        <v>3584</v>
      </c>
      <c r="C1623" s="2" t="s">
        <v>3585</v>
      </c>
      <c r="D1623" s="2" t="s">
        <v>3476</v>
      </c>
      <c r="E1623" s="2" t="s">
        <v>51</v>
      </c>
      <c r="F1623" s="2"/>
      <c r="G1623" s="2"/>
      <c r="H1623" s="8"/>
      <c r="I1623" s="2"/>
      <c r="J1623" s="8"/>
      <c r="K1623" s="6"/>
      <c r="L1623" s="2"/>
      <c r="M1623" s="10" t="b">
        <f aca="false">TRUE()</f>
        <v>1</v>
      </c>
      <c r="N1623" s="9" t="str">
        <f aca="false">IF(H1623="","",IF(H1623&gt;=Assumptions!$B$5,1,IF(H1623&gt;=Assumptions!$B$6,2,IF(H1623&gt;=Assumptions!$B$7,3,""))))</f>
        <v/>
      </c>
      <c r="O1623" s="9" t="n">
        <f aca="false">IF(N1623=1,Assumptions!$B$8,IF(N1623=2,Assumptions!$B$9,IF(N1623=3,Assumptions!$B$10,0)))</f>
        <v>0</v>
      </c>
      <c r="P1623" s="6" t="s">
        <v>30</v>
      </c>
      <c r="Q1623" s="6" t="s">
        <v>30</v>
      </c>
      <c r="R1623" s="11" t="s">
        <v>30</v>
      </c>
      <c r="S1623" s="6" t="s">
        <v>30</v>
      </c>
      <c r="T1623" s="11" t="s">
        <v>30</v>
      </c>
      <c r="U1623" s="6" t="s">
        <v>30</v>
      </c>
      <c r="V1623" s="6" t="s">
        <v>30</v>
      </c>
      <c r="W1623" s="6" t="s">
        <v>30</v>
      </c>
      <c r="X1623" s="2" t="s">
        <v>30</v>
      </c>
      <c r="Y1623" s="6" t="str">
        <f aca="false">IF(AND(X1623="processed",ISNUMBER(S1623)),S1623*O1623,"")</f>
        <v/>
      </c>
      <c r="Z1623" s="6" t="n">
        <f aca="false">IF(ISNUMBER(K1623),K1623*O1623,0)</f>
        <v>0</v>
      </c>
      <c r="AA1623" s="2" t="s">
        <v>31</v>
      </c>
      <c r="AB1623" s="6" t="n">
        <v>2647</v>
      </c>
      <c r="AC1623" s="6" t="n">
        <v>2341</v>
      </c>
      <c r="AD1623" s="6" t="n">
        <v>2407</v>
      </c>
      <c r="AE1623" s="6" t="n">
        <v>2001.80419921875</v>
      </c>
      <c r="AF1623" s="8"/>
      <c r="AG1623" s="11"/>
      <c r="AH1623" s="12" t="n">
        <v>0.998716448382597</v>
      </c>
      <c r="AI1623" s="2" t="s">
        <v>317</v>
      </c>
      <c r="AJ1623" s="2" t="s">
        <v>3585</v>
      </c>
      <c r="AK1623" s="2" t="s">
        <v>3586</v>
      </c>
    </row>
    <row r="1624" customFormat="false" ht="15" hidden="false" customHeight="false" outlineLevel="0" collapsed="false">
      <c r="A1624" s="9"/>
      <c r="B1624" s="2" t="s">
        <v>3587</v>
      </c>
      <c r="C1624" s="2" t="s">
        <v>3588</v>
      </c>
      <c r="D1624" s="2" t="s">
        <v>3476</v>
      </c>
      <c r="E1624" s="2" t="s">
        <v>51</v>
      </c>
      <c r="F1624" s="2"/>
      <c r="G1624" s="2"/>
      <c r="H1624" s="8"/>
      <c r="I1624" s="2"/>
      <c r="J1624" s="8"/>
      <c r="K1624" s="6"/>
      <c r="L1624" s="2"/>
      <c r="M1624" s="10" t="b">
        <f aca="false">TRUE()</f>
        <v>1</v>
      </c>
      <c r="N1624" s="9" t="str">
        <f aca="false">IF(H1624="","",IF(H1624&gt;=Assumptions!$B$5,1,IF(H1624&gt;=Assumptions!$B$6,2,IF(H1624&gt;=Assumptions!$B$7,3,""))))</f>
        <v/>
      </c>
      <c r="O1624" s="9" t="n">
        <f aca="false">IF(N1624=1,Assumptions!$B$8,IF(N1624=2,Assumptions!$B$9,IF(N1624=3,Assumptions!$B$10,0)))</f>
        <v>0</v>
      </c>
      <c r="P1624" s="6" t="s">
        <v>30</v>
      </c>
      <c r="Q1624" s="6" t="s">
        <v>30</v>
      </c>
      <c r="R1624" s="11" t="s">
        <v>30</v>
      </c>
      <c r="S1624" s="6" t="s">
        <v>30</v>
      </c>
      <c r="T1624" s="11" t="s">
        <v>30</v>
      </c>
      <c r="U1624" s="6" t="s">
        <v>30</v>
      </c>
      <c r="V1624" s="6" t="s">
        <v>30</v>
      </c>
      <c r="W1624" s="6" t="s">
        <v>30</v>
      </c>
      <c r="X1624" s="2" t="s">
        <v>30</v>
      </c>
      <c r="Y1624" s="6" t="str">
        <f aca="false">IF(AND(X1624="processed",ISNUMBER(S1624)),S1624*O1624,"")</f>
        <v/>
      </c>
      <c r="Z1624" s="6" t="n">
        <f aca="false">IF(ISNUMBER(K1624),K1624*O1624,0)</f>
        <v>0</v>
      </c>
      <c r="AA1624" s="2" t="s">
        <v>31</v>
      </c>
      <c r="AB1624" s="6" t="n">
        <v>3619</v>
      </c>
      <c r="AC1624" s="6" t="n">
        <v>3232</v>
      </c>
      <c r="AD1624" s="6" t="n">
        <v>2080</v>
      </c>
      <c r="AE1624" s="6" t="n">
        <v>1744.41577148438</v>
      </c>
      <c r="AF1624" s="8"/>
      <c r="AG1624" s="11"/>
      <c r="AH1624" s="12" t="n">
        <v>0.996136017047174</v>
      </c>
      <c r="AI1624" s="2" t="s">
        <v>317</v>
      </c>
      <c r="AJ1624" s="2" t="s">
        <v>3588</v>
      </c>
      <c r="AK1624" s="2" t="s">
        <v>3589</v>
      </c>
    </row>
    <row r="1625" customFormat="false" ht="15" hidden="false" customHeight="false" outlineLevel="0" collapsed="false">
      <c r="A1625" s="9"/>
      <c r="B1625" s="2" t="s">
        <v>3590</v>
      </c>
      <c r="C1625" s="2" t="s">
        <v>3591</v>
      </c>
      <c r="D1625" s="2" t="s">
        <v>1207</v>
      </c>
      <c r="E1625" s="2" t="s">
        <v>51</v>
      </c>
      <c r="F1625" s="2" t="s">
        <v>3592</v>
      </c>
      <c r="G1625" s="2" t="s">
        <v>323</v>
      </c>
      <c r="H1625" s="8" t="n">
        <v>312.170512975269</v>
      </c>
      <c r="I1625" s="2" t="s">
        <v>316</v>
      </c>
      <c r="J1625" s="8" t="n">
        <v>553204.314720812</v>
      </c>
      <c r="K1625" s="6" t="n">
        <v>394</v>
      </c>
      <c r="L1625" s="2"/>
      <c r="M1625" s="10" t="b">
        <f aca="false">TRUE()</f>
        <v>1</v>
      </c>
      <c r="N1625" s="9" t="str">
        <f aca="false">IF(H1625="","",IF(H1625&gt;=Assumptions!$B$5,1,IF(H1625&gt;=Assumptions!$B$6,2,IF(H1625&gt;=Assumptions!$B$7,3,""))))</f>
        <v/>
      </c>
      <c r="O1625" s="9" t="n">
        <f aca="false">IF(N1625=1,Assumptions!$B$8,IF(N1625=2,Assumptions!$B$9,IF(N1625=3,Assumptions!$B$10,0)))</f>
        <v>0</v>
      </c>
      <c r="P1625" s="6" t="s">
        <v>30</v>
      </c>
      <c r="Q1625" s="6" t="s">
        <v>30</v>
      </c>
      <c r="R1625" s="11" t="s">
        <v>30</v>
      </c>
      <c r="S1625" s="6" t="s">
        <v>30</v>
      </c>
      <c r="T1625" s="11" t="s">
        <v>30</v>
      </c>
      <c r="U1625" s="6" t="s">
        <v>30</v>
      </c>
      <c r="V1625" s="6" t="s">
        <v>30</v>
      </c>
      <c r="W1625" s="6" t="s">
        <v>30</v>
      </c>
      <c r="X1625" s="2" t="s">
        <v>30</v>
      </c>
      <c r="Y1625" s="6" t="str">
        <f aca="false">IF(AND(X1625="processed",ISNUMBER(S1625)),S1625*O1625,"")</f>
        <v/>
      </c>
      <c r="Z1625" s="6" t="n">
        <f aca="false">IF(ISNUMBER(K1625),K1625*O1625,0)</f>
        <v>0</v>
      </c>
      <c r="AA1625" s="2" t="s">
        <v>31</v>
      </c>
      <c r="AB1625" s="6" t="n">
        <v>22203</v>
      </c>
      <c r="AC1625" s="6" t="n">
        <v>19434</v>
      </c>
      <c r="AD1625" s="6" t="n">
        <v>17830</v>
      </c>
      <c r="AE1625" s="6" t="n">
        <v>2022.4775390625</v>
      </c>
      <c r="AF1625" s="8" t="n">
        <v>309.413580247</v>
      </c>
      <c r="AG1625" s="11" t="n">
        <v>-0.04014465068</v>
      </c>
      <c r="AH1625" s="12" t="n">
        <v>1</v>
      </c>
      <c r="AI1625" s="2" t="s">
        <v>319</v>
      </c>
      <c r="AJ1625" s="2"/>
      <c r="AK1625" s="2" t="s">
        <v>3591</v>
      </c>
    </row>
    <row r="1626" customFormat="false" ht="15" hidden="false" customHeight="false" outlineLevel="0" collapsed="false">
      <c r="A1626" s="9"/>
      <c r="B1626" s="2" t="s">
        <v>3593</v>
      </c>
      <c r="C1626" s="2" t="s">
        <v>3594</v>
      </c>
      <c r="D1626" s="2" t="s">
        <v>3476</v>
      </c>
      <c r="E1626" s="2" t="s">
        <v>51</v>
      </c>
      <c r="F1626" s="2"/>
      <c r="G1626" s="2"/>
      <c r="H1626" s="8"/>
      <c r="I1626" s="2"/>
      <c r="J1626" s="8"/>
      <c r="K1626" s="6"/>
      <c r="L1626" s="2"/>
      <c r="M1626" s="10" t="b">
        <f aca="false">TRUE()</f>
        <v>1</v>
      </c>
      <c r="N1626" s="9" t="str">
        <f aca="false">IF(H1626="","",IF(H1626&gt;=Assumptions!$B$5,1,IF(H1626&gt;=Assumptions!$B$6,2,IF(H1626&gt;=Assumptions!$B$7,3,""))))</f>
        <v/>
      </c>
      <c r="O1626" s="9" t="n">
        <f aca="false">IF(N1626=1,Assumptions!$B$8,IF(N1626=2,Assumptions!$B$9,IF(N1626=3,Assumptions!$B$10,0)))</f>
        <v>0</v>
      </c>
      <c r="P1626" s="6" t="s">
        <v>30</v>
      </c>
      <c r="Q1626" s="6" t="s">
        <v>30</v>
      </c>
      <c r="R1626" s="11" t="s">
        <v>30</v>
      </c>
      <c r="S1626" s="6" t="s">
        <v>30</v>
      </c>
      <c r="T1626" s="11" t="s">
        <v>30</v>
      </c>
      <c r="U1626" s="6" t="s">
        <v>30</v>
      </c>
      <c r="V1626" s="6" t="s">
        <v>30</v>
      </c>
      <c r="W1626" s="6" t="s">
        <v>30</v>
      </c>
      <c r="X1626" s="2" t="s">
        <v>30</v>
      </c>
      <c r="Y1626" s="6" t="str">
        <f aca="false">IF(AND(X1626="processed",ISNUMBER(S1626)),S1626*O1626,"")</f>
        <v/>
      </c>
      <c r="Z1626" s="6" t="n">
        <f aca="false">IF(ISNUMBER(K1626),K1626*O1626,0)</f>
        <v>0</v>
      </c>
      <c r="AA1626" s="2" t="s">
        <v>31</v>
      </c>
      <c r="AB1626" s="6" t="n">
        <v>2517</v>
      </c>
      <c r="AC1626" s="6" t="n">
        <v>2064</v>
      </c>
      <c r="AD1626" s="6" t="n">
        <v>2324</v>
      </c>
      <c r="AE1626" s="6" t="n">
        <v>1990.42626953125</v>
      </c>
      <c r="AF1626" s="8"/>
      <c r="AG1626" s="11"/>
      <c r="AH1626" s="12" t="n">
        <v>0.999634011758191</v>
      </c>
      <c r="AI1626" s="2" t="s">
        <v>317</v>
      </c>
      <c r="AJ1626" s="2" t="s">
        <v>3594</v>
      </c>
      <c r="AK1626" s="2" t="s">
        <v>3594</v>
      </c>
    </row>
    <row r="1627" customFormat="false" ht="15" hidden="false" customHeight="false" outlineLevel="0" collapsed="false">
      <c r="A1627" s="9"/>
      <c r="B1627" s="2" t="s">
        <v>3595</v>
      </c>
      <c r="C1627" s="2" t="s">
        <v>3568</v>
      </c>
      <c r="D1627" s="2" t="s">
        <v>976</v>
      </c>
      <c r="E1627" s="2" t="s">
        <v>976</v>
      </c>
      <c r="F1627" s="2" t="s">
        <v>3596</v>
      </c>
      <c r="G1627" s="2" t="s">
        <v>323</v>
      </c>
      <c r="H1627" s="8" t="n">
        <v>330.338040755475</v>
      </c>
      <c r="I1627" s="2" t="s">
        <v>316</v>
      </c>
      <c r="J1627" s="8" t="n">
        <v>503053.299492386</v>
      </c>
      <c r="K1627" s="6" t="n">
        <v>394</v>
      </c>
      <c r="L1627" s="2"/>
      <c r="M1627" s="10" t="b">
        <f aca="false">TRUE()</f>
        <v>1</v>
      </c>
      <c r="N1627" s="9" t="str">
        <f aca="false">IF(H1627="","",IF(H1627&gt;=Assumptions!$B$5,1,IF(H1627&gt;=Assumptions!$B$6,2,IF(H1627&gt;=Assumptions!$B$7,3,""))))</f>
        <v/>
      </c>
      <c r="O1627" s="9" t="n">
        <f aca="false">IF(N1627=1,Assumptions!$B$8,IF(N1627=2,Assumptions!$B$9,IF(N1627=3,Assumptions!$B$10,0)))</f>
        <v>0</v>
      </c>
      <c r="P1627" s="6" t="s">
        <v>30</v>
      </c>
      <c r="Q1627" s="6" t="s">
        <v>30</v>
      </c>
      <c r="R1627" s="11" t="s">
        <v>30</v>
      </c>
      <c r="S1627" s="6" t="s">
        <v>30</v>
      </c>
      <c r="T1627" s="11" t="s">
        <v>30</v>
      </c>
      <c r="U1627" s="6" t="s">
        <v>30</v>
      </c>
      <c r="V1627" s="6" t="s">
        <v>30</v>
      </c>
      <c r="W1627" s="6" t="s">
        <v>30</v>
      </c>
      <c r="X1627" s="2" t="s">
        <v>30</v>
      </c>
      <c r="Y1627" s="6" t="str">
        <f aca="false">IF(AND(X1627="processed",ISNUMBER(S1627)),S1627*O1627,"")</f>
        <v/>
      </c>
      <c r="Z1627" s="6" t="n">
        <f aca="false">IF(ISNUMBER(K1627),K1627*O1627,0)</f>
        <v>0</v>
      </c>
      <c r="AA1627" s="2" t="s">
        <v>31</v>
      </c>
      <c r="AB1627" s="6" t="n">
        <v>16704</v>
      </c>
      <c r="AC1627" s="6" t="n">
        <v>15459</v>
      </c>
      <c r="AD1627" s="6" t="n">
        <v>13873</v>
      </c>
      <c r="AE1627" s="6" t="n">
        <v>2452.11694335938</v>
      </c>
      <c r="AF1627" s="8" t="n">
        <v>338.028169014</v>
      </c>
      <c r="AG1627" s="11" t="n">
        <v>-0.02591975277</v>
      </c>
      <c r="AH1627" s="12" t="n">
        <v>1</v>
      </c>
      <c r="AI1627" s="2" t="s">
        <v>2197</v>
      </c>
      <c r="AJ1627" s="2" t="s">
        <v>3597</v>
      </c>
      <c r="AK1627" s="2" t="s">
        <v>3568</v>
      </c>
    </row>
    <row r="1628" customFormat="false" ht="15" hidden="false" customHeight="false" outlineLevel="0" collapsed="false">
      <c r="A1628" s="9"/>
      <c r="B1628" s="2" t="s">
        <v>3598</v>
      </c>
      <c r="C1628" s="2" t="s">
        <v>3599</v>
      </c>
      <c r="D1628" s="2" t="s">
        <v>1207</v>
      </c>
      <c r="E1628" s="2" t="s">
        <v>51</v>
      </c>
      <c r="F1628" s="2"/>
      <c r="G1628" s="2" t="s">
        <v>323</v>
      </c>
      <c r="H1628" s="8" t="n">
        <v>340.023860687077</v>
      </c>
      <c r="I1628" s="2" t="s">
        <v>316</v>
      </c>
      <c r="J1628" s="8" t="n">
        <v>865442.307692308</v>
      </c>
      <c r="K1628" s="6" t="n">
        <v>52</v>
      </c>
      <c r="L1628" s="2"/>
      <c r="M1628" s="10" t="b">
        <f aca="false">TRUE()</f>
        <v>1</v>
      </c>
      <c r="N1628" s="9" t="str">
        <f aca="false">IF(H1628="","",IF(H1628&gt;=Assumptions!$B$5,1,IF(H1628&gt;=Assumptions!$B$6,2,IF(H1628&gt;=Assumptions!$B$7,3,""))))</f>
        <v/>
      </c>
      <c r="O1628" s="9" t="n">
        <f aca="false">IF(N1628=1,Assumptions!$B$8,IF(N1628=2,Assumptions!$B$9,IF(N1628=3,Assumptions!$B$10,0)))</f>
        <v>0</v>
      </c>
      <c r="P1628" s="6" t="s">
        <v>30</v>
      </c>
      <c r="Q1628" s="6" t="s">
        <v>30</v>
      </c>
      <c r="R1628" s="11" t="s">
        <v>30</v>
      </c>
      <c r="S1628" s="6" t="s">
        <v>30</v>
      </c>
      <c r="T1628" s="11" t="s">
        <v>30</v>
      </c>
      <c r="U1628" s="6" t="s">
        <v>30</v>
      </c>
      <c r="V1628" s="6" t="s">
        <v>30</v>
      </c>
      <c r="W1628" s="6" t="s">
        <v>30</v>
      </c>
      <c r="X1628" s="2" t="s">
        <v>30</v>
      </c>
      <c r="Y1628" s="6" t="str">
        <f aca="false">IF(AND(X1628="processed",ISNUMBER(S1628)),S1628*O1628,"")</f>
        <v/>
      </c>
      <c r="Z1628" s="6" t="n">
        <f aca="false">IF(ISNUMBER(K1628),K1628*O1628,0)</f>
        <v>0</v>
      </c>
      <c r="AA1628" s="2" t="s">
        <v>31</v>
      </c>
      <c r="AB1628" s="6" t="n">
        <v>3184</v>
      </c>
      <c r="AC1628" s="6" t="n">
        <v>2739</v>
      </c>
      <c r="AD1628" s="6" t="n">
        <v>3070</v>
      </c>
      <c r="AE1628" s="6" t="n">
        <v>2752.96655273438</v>
      </c>
      <c r="AF1628" s="8" t="n">
        <v>379.032738095</v>
      </c>
      <c r="AG1628" s="11" t="n">
        <v>0.003530381205</v>
      </c>
      <c r="AH1628" s="12" t="n">
        <v>1</v>
      </c>
      <c r="AI1628" s="2" t="s">
        <v>1597</v>
      </c>
      <c r="AJ1628" s="2"/>
      <c r="AK1628" s="2" t="s">
        <v>3599</v>
      </c>
    </row>
    <row r="1629" customFormat="false" ht="15" hidden="false" customHeight="false" outlineLevel="0" collapsed="false">
      <c r="A1629" s="9"/>
      <c r="B1629" s="2" t="s">
        <v>3600</v>
      </c>
      <c r="C1629" s="2" t="s">
        <v>3601</v>
      </c>
      <c r="D1629" s="2" t="s">
        <v>976</v>
      </c>
      <c r="E1629" s="2" t="s">
        <v>976</v>
      </c>
      <c r="F1629" s="2"/>
      <c r="G1629" s="2" t="s">
        <v>323</v>
      </c>
      <c r="H1629" s="8" t="n">
        <v>353.464800689911</v>
      </c>
      <c r="I1629" s="2" t="s">
        <v>316</v>
      </c>
      <c r="J1629" s="8" t="n">
        <v>447782.178217822</v>
      </c>
      <c r="K1629" s="6" t="n">
        <v>101</v>
      </c>
      <c r="L1629" s="2"/>
      <c r="M1629" s="10" t="b">
        <f aca="false">TRUE()</f>
        <v>1</v>
      </c>
      <c r="N1629" s="9" t="str">
        <f aca="false">IF(H1629="","",IF(H1629&gt;=Assumptions!$B$5,1,IF(H1629&gt;=Assumptions!$B$6,2,IF(H1629&gt;=Assumptions!$B$7,3,""))))</f>
        <v/>
      </c>
      <c r="O1629" s="9" t="n">
        <f aca="false">IF(N1629=1,Assumptions!$B$8,IF(N1629=2,Assumptions!$B$9,IF(N1629=3,Assumptions!$B$10,0)))</f>
        <v>0</v>
      </c>
      <c r="P1629" s="6" t="s">
        <v>30</v>
      </c>
      <c r="Q1629" s="6" t="s">
        <v>30</v>
      </c>
      <c r="R1629" s="11" t="s">
        <v>30</v>
      </c>
      <c r="S1629" s="6" t="s">
        <v>30</v>
      </c>
      <c r="T1629" s="11" t="s">
        <v>30</v>
      </c>
      <c r="U1629" s="6" t="s">
        <v>30</v>
      </c>
      <c r="V1629" s="6" t="s">
        <v>30</v>
      </c>
      <c r="W1629" s="6" t="s">
        <v>30</v>
      </c>
      <c r="X1629" s="2" t="s">
        <v>30</v>
      </c>
      <c r="Y1629" s="6" t="str">
        <f aca="false">IF(AND(X1629="processed",ISNUMBER(S1629)),S1629*O1629,"")</f>
        <v/>
      </c>
      <c r="Z1629" s="6" t="n">
        <f aca="false">IF(ISNUMBER(K1629),K1629*O1629,0)</f>
        <v>0</v>
      </c>
      <c r="AA1629" s="2" t="s">
        <v>31</v>
      </c>
      <c r="AB1629" s="6" t="n">
        <v>8664</v>
      </c>
      <c r="AC1629" s="6" t="n">
        <v>7466</v>
      </c>
      <c r="AD1629" s="6" t="n">
        <v>1145</v>
      </c>
      <c r="AE1629" s="6" t="n">
        <v>1997.03759765625</v>
      </c>
      <c r="AF1629" s="8" t="n">
        <v>355.699272433</v>
      </c>
      <c r="AG1629" s="11" t="n">
        <v>0.03250877339</v>
      </c>
      <c r="AH1629" s="12" t="n">
        <v>0.999999999999999</v>
      </c>
      <c r="AI1629" s="2" t="s">
        <v>317</v>
      </c>
      <c r="AJ1629" s="2" t="s">
        <v>3601</v>
      </c>
      <c r="AK1629" s="2" t="s">
        <v>976</v>
      </c>
    </row>
    <row r="1630" customFormat="false" ht="15" hidden="false" customHeight="false" outlineLevel="0" collapsed="false">
      <c r="A1630" s="9"/>
      <c r="B1630" s="2" t="s">
        <v>3602</v>
      </c>
      <c r="C1630" s="2" t="s">
        <v>3603</v>
      </c>
      <c r="D1630" s="2" t="s">
        <v>1758</v>
      </c>
      <c r="E1630" s="2" t="s">
        <v>51</v>
      </c>
      <c r="F1630" s="2"/>
      <c r="G1630" s="2" t="s">
        <v>1759</v>
      </c>
      <c r="H1630" s="8" t="n">
        <v>446.25</v>
      </c>
      <c r="I1630" s="2" t="s">
        <v>316</v>
      </c>
      <c r="J1630" s="8" t="n">
        <v>945000</v>
      </c>
      <c r="K1630" s="6" t="n">
        <v>4</v>
      </c>
      <c r="L1630" s="2" t="s">
        <v>1664</v>
      </c>
      <c r="M1630" s="10" t="b">
        <f aca="false">TRUE()</f>
        <v>1</v>
      </c>
      <c r="N1630" s="9" t="str">
        <f aca="false">IF(H1630="","",IF(H1630&gt;=Assumptions!$B$5,1,IF(H1630&gt;=Assumptions!$B$6,2,IF(H1630&gt;=Assumptions!$B$7,3,""))))</f>
        <v/>
      </c>
      <c r="O1630" s="9" t="n">
        <f aca="false">IF(N1630=1,Assumptions!$B$8,IF(N1630=2,Assumptions!$B$9,IF(N1630=3,Assumptions!$B$10,0)))</f>
        <v>0</v>
      </c>
      <c r="P1630" s="6" t="s">
        <v>30</v>
      </c>
      <c r="Q1630" s="6" t="s">
        <v>30</v>
      </c>
      <c r="R1630" s="11" t="s">
        <v>30</v>
      </c>
      <c r="S1630" s="6" t="s">
        <v>30</v>
      </c>
      <c r="T1630" s="11" t="s">
        <v>30</v>
      </c>
      <c r="U1630" s="6" t="s">
        <v>30</v>
      </c>
      <c r="V1630" s="6" t="s">
        <v>30</v>
      </c>
      <c r="W1630" s="6" t="s">
        <v>30</v>
      </c>
      <c r="X1630" s="2" t="s">
        <v>30</v>
      </c>
      <c r="Y1630" s="6" t="str">
        <f aca="false">IF(AND(X1630="processed",ISNUMBER(S1630)),S1630*O1630,"")</f>
        <v/>
      </c>
      <c r="Z1630" s="6" t="n">
        <f aca="false">IF(ISNUMBER(K1630),K1630*O1630,0)</f>
        <v>0</v>
      </c>
      <c r="AA1630" s="2" t="s">
        <v>31</v>
      </c>
      <c r="AB1630" s="6" t="n">
        <v>900</v>
      </c>
      <c r="AC1630" s="6" t="n">
        <v>737</v>
      </c>
      <c r="AD1630" s="6" t="n">
        <v>738</v>
      </c>
      <c r="AE1630" s="6" t="n">
        <v>1866.01306152344</v>
      </c>
      <c r="AF1630" s="8" t="n">
        <v>420</v>
      </c>
      <c r="AG1630" s="11" t="n">
        <v>0.2398708104</v>
      </c>
      <c r="AH1630" s="12" t="n">
        <v>0.998922933653471</v>
      </c>
      <c r="AI1630" s="2" t="s">
        <v>317</v>
      </c>
      <c r="AJ1630" s="2" t="s">
        <v>3603</v>
      </c>
      <c r="AK1630" s="2" t="s">
        <v>3603</v>
      </c>
    </row>
    <row r="1631" customFormat="false" ht="15" hidden="false" customHeight="false" outlineLevel="0" collapsed="false">
      <c r="A1631" s="9"/>
      <c r="B1631" s="2" t="s">
        <v>3604</v>
      </c>
      <c r="C1631" s="2" t="s">
        <v>3605</v>
      </c>
      <c r="D1631" s="2" t="s">
        <v>3476</v>
      </c>
      <c r="E1631" s="2" t="s">
        <v>51</v>
      </c>
      <c r="F1631" s="2"/>
      <c r="G1631" s="2"/>
      <c r="H1631" s="8"/>
      <c r="I1631" s="2"/>
      <c r="J1631" s="8"/>
      <c r="K1631" s="6"/>
      <c r="L1631" s="2"/>
      <c r="M1631" s="10" t="b">
        <f aca="false">TRUE()</f>
        <v>1</v>
      </c>
      <c r="N1631" s="9" t="str">
        <f aca="false">IF(H1631="","",IF(H1631&gt;=Assumptions!$B$5,1,IF(H1631&gt;=Assumptions!$B$6,2,IF(H1631&gt;=Assumptions!$B$7,3,""))))</f>
        <v/>
      </c>
      <c r="O1631" s="9" t="n">
        <f aca="false">IF(N1631=1,Assumptions!$B$8,IF(N1631=2,Assumptions!$B$9,IF(N1631=3,Assumptions!$B$10,0)))</f>
        <v>0</v>
      </c>
      <c r="P1631" s="6" t="s">
        <v>30</v>
      </c>
      <c r="Q1631" s="6" t="s">
        <v>30</v>
      </c>
      <c r="R1631" s="11" t="s">
        <v>30</v>
      </c>
      <c r="S1631" s="6" t="s">
        <v>30</v>
      </c>
      <c r="T1631" s="11" t="s">
        <v>30</v>
      </c>
      <c r="U1631" s="6" t="s">
        <v>30</v>
      </c>
      <c r="V1631" s="6" t="s">
        <v>30</v>
      </c>
      <c r="W1631" s="6" t="s">
        <v>30</v>
      </c>
      <c r="X1631" s="2" t="s">
        <v>30</v>
      </c>
      <c r="Y1631" s="6" t="str">
        <f aca="false">IF(AND(X1631="processed",ISNUMBER(S1631)),S1631*O1631,"")</f>
        <v/>
      </c>
      <c r="Z1631" s="6" t="n">
        <f aca="false">IF(ISNUMBER(K1631),K1631*O1631,0)</f>
        <v>0</v>
      </c>
      <c r="AA1631" s="2" t="s">
        <v>31</v>
      </c>
      <c r="AB1631" s="6" t="n">
        <v>183</v>
      </c>
      <c r="AC1631" s="6" t="n">
        <v>159</v>
      </c>
      <c r="AD1631" s="6" t="n">
        <v>183</v>
      </c>
      <c r="AE1631" s="6" t="n">
        <v>1241.52758789063</v>
      </c>
      <c r="AF1631" s="8"/>
      <c r="AG1631" s="11"/>
      <c r="AH1631" s="12" t="n">
        <v>0.999125756592736</v>
      </c>
      <c r="AI1631" s="2" t="s">
        <v>317</v>
      </c>
      <c r="AJ1631" s="2" t="s">
        <v>3605</v>
      </c>
      <c r="AK1631" s="2" t="s">
        <v>3605</v>
      </c>
    </row>
    <row r="1632" customFormat="false" ht="15" hidden="false" customHeight="false" outlineLevel="0" collapsed="false">
      <c r="A1632" s="9"/>
      <c r="B1632" s="2" t="s">
        <v>3606</v>
      </c>
      <c r="C1632" s="2"/>
      <c r="D1632" s="2" t="s">
        <v>1190</v>
      </c>
      <c r="E1632" s="2" t="s">
        <v>1191</v>
      </c>
      <c r="F1632" s="2"/>
      <c r="G1632" s="2" t="s">
        <v>1759</v>
      </c>
      <c r="H1632" s="8" t="n">
        <v>266.435986159</v>
      </c>
      <c r="I1632" s="2" t="s">
        <v>316</v>
      </c>
      <c r="J1632" s="8" t="n">
        <v>385000</v>
      </c>
      <c r="K1632" s="6" t="n">
        <v>1</v>
      </c>
      <c r="L1632" s="2" t="s">
        <v>1664</v>
      </c>
      <c r="M1632" s="10" t="b">
        <f aca="false">FALSE()</f>
        <v>0</v>
      </c>
      <c r="N1632" s="9" t="str">
        <f aca="false">IF(H1632="","",IF(H1632&gt;=Assumptions!$B$5,1,IF(H1632&gt;=Assumptions!$B$6,2,IF(H1632&gt;=Assumptions!$B$7,3,""))))</f>
        <v/>
      </c>
      <c r="O1632" s="9" t="n">
        <f aca="false">IF(N1632=1,Assumptions!$B$8,IF(N1632=2,Assumptions!$B$9,IF(N1632=3,Assumptions!$B$10,0)))</f>
        <v>0</v>
      </c>
      <c r="P1632" s="6" t="s">
        <v>30</v>
      </c>
      <c r="Q1632" s="6" t="s">
        <v>30</v>
      </c>
      <c r="R1632" s="11" t="s">
        <v>30</v>
      </c>
      <c r="S1632" s="6" t="s">
        <v>30</v>
      </c>
      <c r="T1632" s="11" t="s">
        <v>30</v>
      </c>
      <c r="U1632" s="6" t="s">
        <v>30</v>
      </c>
      <c r="V1632" s="6" t="s">
        <v>30</v>
      </c>
      <c r="W1632" s="6" t="s">
        <v>30</v>
      </c>
      <c r="X1632" s="2" t="s">
        <v>30</v>
      </c>
      <c r="Y1632" s="6" t="str">
        <f aca="false">IF(AND(X1632="processed",ISNUMBER(S1632)),S1632*O1632,"")</f>
        <v/>
      </c>
      <c r="Z1632" s="6" t="n">
        <f aca="false">IF(ISNUMBER(K1632),K1632*O1632,0)</f>
        <v>0</v>
      </c>
      <c r="AA1632" s="2" t="s">
        <v>31</v>
      </c>
      <c r="AB1632" s="6"/>
      <c r="AC1632" s="6"/>
      <c r="AD1632" s="6"/>
      <c r="AE1632" s="6"/>
      <c r="AF1632" s="8" t="n">
        <v>266.435986159</v>
      </c>
      <c r="AG1632" s="11"/>
      <c r="AH1632" s="12"/>
      <c r="AI1632" s="2"/>
      <c r="AJ1632" s="2"/>
      <c r="AK1632" s="2"/>
    </row>
    <row r="1633" customFormat="false" ht="15" hidden="false" customHeight="false" outlineLevel="0" collapsed="false">
      <c r="A1633" s="9"/>
      <c r="B1633" s="2" t="s">
        <v>3607</v>
      </c>
      <c r="C1633" s="2" t="s">
        <v>3582</v>
      </c>
      <c r="D1633" s="2" t="s">
        <v>50</v>
      </c>
      <c r="E1633" s="2" t="s">
        <v>51</v>
      </c>
      <c r="F1633" s="2"/>
      <c r="G1633" s="2" t="s">
        <v>323</v>
      </c>
      <c r="H1633" s="8" t="n">
        <v>347.930147700725</v>
      </c>
      <c r="I1633" s="2" t="s">
        <v>316</v>
      </c>
      <c r="J1633" s="8" t="n">
        <v>666483.047210301</v>
      </c>
      <c r="K1633" s="6" t="n">
        <v>233</v>
      </c>
      <c r="L1633" s="2"/>
      <c r="M1633" s="10" t="b">
        <f aca="false">TRUE()</f>
        <v>1</v>
      </c>
      <c r="N1633" s="9" t="str">
        <f aca="false">IF(H1633="","",IF(H1633&gt;=Assumptions!$B$5,1,IF(H1633&gt;=Assumptions!$B$6,2,IF(H1633&gt;=Assumptions!$B$7,3,""))))</f>
        <v/>
      </c>
      <c r="O1633" s="9" t="n">
        <f aca="false">IF(N1633=1,Assumptions!$B$8,IF(N1633=2,Assumptions!$B$9,IF(N1633=3,Assumptions!$B$10,0)))</f>
        <v>0</v>
      </c>
      <c r="P1633" s="6" t="s">
        <v>30</v>
      </c>
      <c r="Q1633" s="6" t="s">
        <v>30</v>
      </c>
      <c r="R1633" s="11" t="s">
        <v>30</v>
      </c>
      <c r="S1633" s="6" t="s">
        <v>30</v>
      </c>
      <c r="T1633" s="11" t="s">
        <v>30</v>
      </c>
      <c r="U1633" s="6" t="s">
        <v>30</v>
      </c>
      <c r="V1633" s="6" t="s">
        <v>30</v>
      </c>
      <c r="W1633" s="6" t="s">
        <v>30</v>
      </c>
      <c r="X1633" s="2" t="s">
        <v>30</v>
      </c>
      <c r="Y1633" s="6" t="str">
        <f aca="false">IF(AND(X1633="processed",ISNUMBER(S1633)),S1633*O1633,"")</f>
        <v/>
      </c>
      <c r="Z1633" s="6" t="n">
        <f aca="false">IF(ISNUMBER(K1633),K1633*O1633,0)</f>
        <v>0</v>
      </c>
      <c r="AA1633" s="2" t="s">
        <v>31</v>
      </c>
      <c r="AB1633" s="6" t="n">
        <v>9962</v>
      </c>
      <c r="AC1633" s="6" t="n">
        <v>8970</v>
      </c>
      <c r="AD1633" s="6" t="n">
        <v>752</v>
      </c>
      <c r="AE1633" s="6" t="n">
        <v>2672.8837890625</v>
      </c>
      <c r="AF1633" s="8" t="n">
        <v>357.416666667</v>
      </c>
      <c r="AG1633" s="11" t="n">
        <v>-0.04667336492</v>
      </c>
      <c r="AH1633" s="12" t="n">
        <v>1</v>
      </c>
      <c r="AI1633" s="2" t="s">
        <v>317</v>
      </c>
      <c r="AJ1633" s="2" t="s">
        <v>3582</v>
      </c>
      <c r="AK1633" s="2" t="s">
        <v>3582</v>
      </c>
    </row>
    <row r="1634" customFormat="false" ht="15" hidden="false" customHeight="false" outlineLevel="0" collapsed="false">
      <c r="A1634" s="9"/>
      <c r="B1634" s="2" t="s">
        <v>3608</v>
      </c>
      <c r="C1634" s="2" t="s">
        <v>1760</v>
      </c>
      <c r="D1634" s="2" t="s">
        <v>50</v>
      </c>
      <c r="E1634" s="2" t="s">
        <v>51</v>
      </c>
      <c r="F1634" s="2"/>
      <c r="G1634" s="2" t="s">
        <v>323</v>
      </c>
      <c r="H1634" s="8" t="n">
        <v>344.428536486017</v>
      </c>
      <c r="I1634" s="2" t="s">
        <v>316</v>
      </c>
      <c r="J1634" s="8" t="n">
        <v>576568.965517241</v>
      </c>
      <c r="K1634" s="6" t="n">
        <v>290</v>
      </c>
      <c r="L1634" s="2"/>
      <c r="M1634" s="10" t="b">
        <f aca="false">TRUE()</f>
        <v>1</v>
      </c>
      <c r="N1634" s="9" t="str">
        <f aca="false">IF(H1634="","",IF(H1634&gt;=Assumptions!$B$5,1,IF(H1634&gt;=Assumptions!$B$6,2,IF(H1634&gt;=Assumptions!$B$7,3,""))))</f>
        <v/>
      </c>
      <c r="O1634" s="9" t="n">
        <f aca="false">IF(N1634=1,Assumptions!$B$8,IF(N1634=2,Assumptions!$B$9,IF(N1634=3,Assumptions!$B$10,0)))</f>
        <v>0</v>
      </c>
      <c r="P1634" s="6" t="s">
        <v>30</v>
      </c>
      <c r="Q1634" s="6" t="s">
        <v>30</v>
      </c>
      <c r="R1634" s="11" t="s">
        <v>30</v>
      </c>
      <c r="S1634" s="6" t="s">
        <v>30</v>
      </c>
      <c r="T1634" s="11" t="s">
        <v>30</v>
      </c>
      <c r="U1634" s="6" t="s">
        <v>30</v>
      </c>
      <c r="V1634" s="6" t="s">
        <v>30</v>
      </c>
      <c r="W1634" s="6" t="s">
        <v>30</v>
      </c>
      <c r="X1634" s="2" t="s">
        <v>30</v>
      </c>
      <c r="Y1634" s="6" t="str">
        <f aca="false">IF(AND(X1634="processed",ISNUMBER(S1634)),S1634*O1634,"")</f>
        <v/>
      </c>
      <c r="Z1634" s="6" t="n">
        <f aca="false">IF(ISNUMBER(K1634),K1634*O1634,0)</f>
        <v>0</v>
      </c>
      <c r="AA1634" s="2" t="s">
        <v>31</v>
      </c>
      <c r="AB1634" s="6" t="n">
        <v>15090</v>
      </c>
      <c r="AC1634" s="6" t="n">
        <v>13344</v>
      </c>
      <c r="AD1634" s="6" t="n">
        <v>2023</v>
      </c>
      <c r="AE1634" s="6" t="n">
        <v>2353.3935546875</v>
      </c>
      <c r="AF1634" s="8" t="n">
        <v>363.120567376</v>
      </c>
      <c r="AG1634" s="11" t="n">
        <v>0.02297240921</v>
      </c>
      <c r="AH1634" s="12" t="n">
        <v>0.999914293018972</v>
      </c>
      <c r="AI1634" s="2" t="s">
        <v>317</v>
      </c>
      <c r="AJ1634" s="2" t="s">
        <v>1760</v>
      </c>
      <c r="AK1634" s="2" t="s">
        <v>1760</v>
      </c>
    </row>
    <row r="1635" customFormat="false" ht="15" hidden="false" customHeight="false" outlineLevel="0" collapsed="false">
      <c r="A1635" s="9"/>
      <c r="B1635" s="2" t="s">
        <v>3609</v>
      </c>
      <c r="C1635" s="2" t="s">
        <v>3610</v>
      </c>
      <c r="D1635" s="2" t="s">
        <v>1800</v>
      </c>
      <c r="E1635" s="2" t="s">
        <v>51</v>
      </c>
      <c r="F1635" s="2"/>
      <c r="G1635" s="2"/>
      <c r="H1635" s="8"/>
      <c r="I1635" s="2"/>
      <c r="J1635" s="8"/>
      <c r="K1635" s="6"/>
      <c r="L1635" s="2"/>
      <c r="M1635" s="10" t="b">
        <f aca="false">TRUE()</f>
        <v>1</v>
      </c>
      <c r="N1635" s="9" t="str">
        <f aca="false">IF(H1635="","",IF(H1635&gt;=Assumptions!$B$5,1,IF(H1635&gt;=Assumptions!$B$6,2,IF(H1635&gt;=Assumptions!$B$7,3,""))))</f>
        <v/>
      </c>
      <c r="O1635" s="9" t="n">
        <f aca="false">IF(N1635=1,Assumptions!$B$8,IF(N1635=2,Assumptions!$B$9,IF(N1635=3,Assumptions!$B$10,0)))</f>
        <v>0</v>
      </c>
      <c r="P1635" s="6" t="s">
        <v>30</v>
      </c>
      <c r="Q1635" s="6" t="s">
        <v>30</v>
      </c>
      <c r="R1635" s="11" t="s">
        <v>30</v>
      </c>
      <c r="S1635" s="6" t="s">
        <v>30</v>
      </c>
      <c r="T1635" s="11" t="s">
        <v>30</v>
      </c>
      <c r="U1635" s="6" t="s">
        <v>30</v>
      </c>
      <c r="V1635" s="6" t="s">
        <v>30</v>
      </c>
      <c r="W1635" s="6" t="s">
        <v>30</v>
      </c>
      <c r="X1635" s="2" t="s">
        <v>30</v>
      </c>
      <c r="Y1635" s="6" t="str">
        <f aca="false">IF(AND(X1635="processed",ISNUMBER(S1635)),S1635*O1635,"")</f>
        <v/>
      </c>
      <c r="Z1635" s="6" t="n">
        <f aca="false">IF(ISNUMBER(K1635),K1635*O1635,0)</f>
        <v>0</v>
      </c>
      <c r="AA1635" s="2" t="s">
        <v>31</v>
      </c>
      <c r="AB1635" s="6" t="n">
        <v>119</v>
      </c>
      <c r="AC1635" s="6" t="n">
        <v>93</v>
      </c>
      <c r="AD1635" s="6" t="n">
        <v>13</v>
      </c>
      <c r="AE1635" s="6" t="n">
        <v>1554.75439453125</v>
      </c>
      <c r="AF1635" s="8"/>
      <c r="AG1635" s="11"/>
      <c r="AH1635" s="12" t="n">
        <v>0.998805736631869</v>
      </c>
      <c r="AI1635" s="2" t="s">
        <v>317</v>
      </c>
      <c r="AJ1635" s="2" t="s">
        <v>3610</v>
      </c>
      <c r="AK1635" s="2" t="s">
        <v>3611</v>
      </c>
    </row>
    <row r="1636" customFormat="false" ht="15" hidden="false" customHeight="false" outlineLevel="0" collapsed="false">
      <c r="A1636" s="9"/>
      <c r="B1636" s="2" t="s">
        <v>3612</v>
      </c>
      <c r="C1636" s="2" t="s">
        <v>3613</v>
      </c>
      <c r="D1636" s="2" t="s">
        <v>976</v>
      </c>
      <c r="E1636" s="2" t="s">
        <v>976</v>
      </c>
      <c r="F1636" s="2"/>
      <c r="G1636" s="2"/>
      <c r="H1636" s="8"/>
      <c r="I1636" s="2"/>
      <c r="J1636" s="8"/>
      <c r="K1636" s="6"/>
      <c r="L1636" s="2"/>
      <c r="M1636" s="10" t="b">
        <f aca="false">TRUE()</f>
        <v>1</v>
      </c>
      <c r="N1636" s="9" t="str">
        <f aca="false">IF(H1636="","",IF(H1636&gt;=Assumptions!$B$5,1,IF(H1636&gt;=Assumptions!$B$6,2,IF(H1636&gt;=Assumptions!$B$7,3,""))))</f>
        <v/>
      </c>
      <c r="O1636" s="9" t="n">
        <f aca="false">IF(N1636=1,Assumptions!$B$8,IF(N1636=2,Assumptions!$B$9,IF(N1636=3,Assumptions!$B$10,0)))</f>
        <v>0</v>
      </c>
      <c r="P1636" s="6" t="s">
        <v>30</v>
      </c>
      <c r="Q1636" s="6" t="s">
        <v>30</v>
      </c>
      <c r="R1636" s="11" t="s">
        <v>30</v>
      </c>
      <c r="S1636" s="6" t="s">
        <v>30</v>
      </c>
      <c r="T1636" s="11" t="s">
        <v>30</v>
      </c>
      <c r="U1636" s="6" t="s">
        <v>30</v>
      </c>
      <c r="V1636" s="6" t="s">
        <v>30</v>
      </c>
      <c r="W1636" s="6" t="s">
        <v>30</v>
      </c>
      <c r="X1636" s="2" t="s">
        <v>30</v>
      </c>
      <c r="Y1636" s="6" t="str">
        <f aca="false">IF(AND(X1636="processed",ISNUMBER(S1636)),S1636*O1636,"")</f>
        <v/>
      </c>
      <c r="Z1636" s="6" t="n">
        <f aca="false">IF(ISNUMBER(K1636),K1636*O1636,0)</f>
        <v>0</v>
      </c>
      <c r="AA1636" s="2" t="s">
        <v>31</v>
      </c>
      <c r="AB1636" s="6" t="n">
        <v>84</v>
      </c>
      <c r="AC1636" s="6" t="n">
        <v>72</v>
      </c>
      <c r="AD1636" s="6" t="n">
        <v>40</v>
      </c>
      <c r="AE1636" s="6" t="n">
        <v>1563.48974609375</v>
      </c>
      <c r="AF1636" s="8"/>
      <c r="AG1636" s="11"/>
      <c r="AH1636" s="12" t="n">
        <v>0.999387904836623</v>
      </c>
      <c r="AI1636" s="2" t="s">
        <v>317</v>
      </c>
      <c r="AJ1636" s="2" t="s">
        <v>3613</v>
      </c>
      <c r="AK1636" s="2" t="s">
        <v>3614</v>
      </c>
    </row>
    <row r="1637" customFormat="false" ht="15" hidden="false" customHeight="false" outlineLevel="0" collapsed="false">
      <c r="A1637" s="9"/>
      <c r="B1637" s="2" t="s">
        <v>3615</v>
      </c>
      <c r="C1637" s="2" t="s">
        <v>1795</v>
      </c>
      <c r="D1637" s="2" t="s">
        <v>50</v>
      </c>
      <c r="E1637" s="2" t="s">
        <v>51</v>
      </c>
      <c r="F1637" s="2"/>
      <c r="G1637" s="2" t="s">
        <v>323</v>
      </c>
      <c r="H1637" s="8" t="n">
        <v>302.234548761572</v>
      </c>
      <c r="I1637" s="2" t="s">
        <v>316</v>
      </c>
      <c r="J1637" s="8" t="n">
        <v>378571.428571429</v>
      </c>
      <c r="K1637" s="6" t="n">
        <v>7</v>
      </c>
      <c r="L1637" s="2"/>
      <c r="M1637" s="10" t="b">
        <f aca="false">TRUE()</f>
        <v>1</v>
      </c>
      <c r="N1637" s="9" t="str">
        <f aca="false">IF(H1637="","",IF(H1637&gt;=Assumptions!$B$5,1,IF(H1637&gt;=Assumptions!$B$6,2,IF(H1637&gt;=Assumptions!$B$7,3,""))))</f>
        <v/>
      </c>
      <c r="O1637" s="9" t="n">
        <f aca="false">IF(N1637=1,Assumptions!$B$8,IF(N1637=2,Assumptions!$B$9,IF(N1637=3,Assumptions!$B$10,0)))</f>
        <v>0</v>
      </c>
      <c r="P1637" s="6" t="s">
        <v>30</v>
      </c>
      <c r="Q1637" s="6" t="s">
        <v>30</v>
      </c>
      <c r="R1637" s="11" t="s">
        <v>30</v>
      </c>
      <c r="S1637" s="6" t="s">
        <v>30</v>
      </c>
      <c r="T1637" s="11" t="s">
        <v>30</v>
      </c>
      <c r="U1637" s="6" t="s">
        <v>30</v>
      </c>
      <c r="V1637" s="6" t="s">
        <v>30</v>
      </c>
      <c r="W1637" s="6" t="s">
        <v>30</v>
      </c>
      <c r="X1637" s="2" t="s">
        <v>30</v>
      </c>
      <c r="Y1637" s="6" t="str">
        <f aca="false">IF(AND(X1637="processed",ISNUMBER(S1637)),S1637*O1637,"")</f>
        <v/>
      </c>
      <c r="Z1637" s="6" t="n">
        <f aca="false">IF(ISNUMBER(K1637),K1637*O1637,0)</f>
        <v>0</v>
      </c>
      <c r="AA1637" s="2" t="s">
        <v>31</v>
      </c>
      <c r="AB1637" s="6" t="n">
        <v>1018</v>
      </c>
      <c r="AC1637" s="6" t="n">
        <v>857</v>
      </c>
      <c r="AD1637" s="6" t="n">
        <v>776</v>
      </c>
      <c r="AE1637" s="6" t="n">
        <v>1902.6943359375</v>
      </c>
      <c r="AF1637" s="8" t="n">
        <v>323.624595469</v>
      </c>
      <c r="AG1637" s="11" t="n">
        <v>-0.3162860659</v>
      </c>
      <c r="AH1637" s="12" t="n">
        <v>0.999231485101935</v>
      </c>
      <c r="AI1637" s="2" t="s">
        <v>321</v>
      </c>
      <c r="AJ1637" s="2" t="s">
        <v>1795</v>
      </c>
      <c r="AK1637" s="2" t="s">
        <v>3616</v>
      </c>
    </row>
    <row r="1638" customFormat="false" ht="15" hidden="false" customHeight="false" outlineLevel="0" collapsed="false">
      <c r="A1638" s="9"/>
      <c r="B1638" s="2" t="s">
        <v>3617</v>
      </c>
      <c r="C1638" s="2" t="s">
        <v>3618</v>
      </c>
      <c r="D1638" s="2" t="s">
        <v>1207</v>
      </c>
      <c r="E1638" s="2" t="s">
        <v>51</v>
      </c>
      <c r="F1638" s="2"/>
      <c r="G1638" s="2" t="s">
        <v>323</v>
      </c>
      <c r="H1638" s="8" t="n">
        <v>334.141930719783</v>
      </c>
      <c r="I1638" s="2" t="s">
        <v>316</v>
      </c>
      <c r="J1638" s="8" t="n">
        <v>705871.710526316</v>
      </c>
      <c r="K1638" s="6" t="n">
        <v>304</v>
      </c>
      <c r="L1638" s="2"/>
      <c r="M1638" s="10" t="b">
        <f aca="false">TRUE()</f>
        <v>1</v>
      </c>
      <c r="N1638" s="9" t="str">
        <f aca="false">IF(H1638="","",IF(H1638&gt;=Assumptions!$B$5,1,IF(H1638&gt;=Assumptions!$B$6,2,IF(H1638&gt;=Assumptions!$B$7,3,""))))</f>
        <v/>
      </c>
      <c r="O1638" s="9" t="n">
        <f aca="false">IF(N1638=1,Assumptions!$B$8,IF(N1638=2,Assumptions!$B$9,IF(N1638=3,Assumptions!$B$10,0)))</f>
        <v>0</v>
      </c>
      <c r="P1638" s="6" t="s">
        <v>30</v>
      </c>
      <c r="Q1638" s="6" t="s">
        <v>30</v>
      </c>
      <c r="R1638" s="11" t="s">
        <v>30</v>
      </c>
      <c r="S1638" s="6" t="s">
        <v>30</v>
      </c>
      <c r="T1638" s="11" t="s">
        <v>30</v>
      </c>
      <c r="U1638" s="6" t="s">
        <v>30</v>
      </c>
      <c r="V1638" s="6" t="s">
        <v>30</v>
      </c>
      <c r="W1638" s="6" t="s">
        <v>30</v>
      </c>
      <c r="X1638" s="2" t="s">
        <v>30</v>
      </c>
      <c r="Y1638" s="6" t="str">
        <f aca="false">IF(AND(X1638="processed",ISNUMBER(S1638)),S1638*O1638,"")</f>
        <v/>
      </c>
      <c r="Z1638" s="6" t="n">
        <f aca="false">IF(ISNUMBER(K1638),K1638*O1638,0)</f>
        <v>0</v>
      </c>
      <c r="AA1638" s="2" t="s">
        <v>31</v>
      </c>
      <c r="AB1638" s="6" t="n">
        <v>14177</v>
      </c>
      <c r="AC1638" s="6" t="n">
        <v>12464</v>
      </c>
      <c r="AD1638" s="6" t="n">
        <v>13047</v>
      </c>
      <c r="AE1638" s="6" t="n">
        <v>2658.04931640625</v>
      </c>
      <c r="AF1638" s="8" t="n">
        <v>339.828897338</v>
      </c>
      <c r="AG1638" s="11" t="n">
        <v>-0.04531788841</v>
      </c>
      <c r="AH1638" s="12" t="n">
        <v>0.998959364730214</v>
      </c>
      <c r="AI1638" s="2" t="s">
        <v>1597</v>
      </c>
      <c r="AJ1638" s="2"/>
      <c r="AK1638" s="2" t="s">
        <v>3618</v>
      </c>
    </row>
    <row r="1639" customFormat="false" ht="15" hidden="false" customHeight="false" outlineLevel="0" collapsed="false">
      <c r="A1639" s="9"/>
      <c r="B1639" s="2" t="s">
        <v>3619</v>
      </c>
      <c r="C1639" s="2" t="s">
        <v>3620</v>
      </c>
      <c r="D1639" s="2" t="s">
        <v>976</v>
      </c>
      <c r="E1639" s="2" t="s">
        <v>976</v>
      </c>
      <c r="F1639" s="2"/>
      <c r="G1639" s="2" t="s">
        <v>323</v>
      </c>
      <c r="H1639" s="8" t="n">
        <v>311.669445871948</v>
      </c>
      <c r="I1639" s="2" t="s">
        <v>316</v>
      </c>
      <c r="J1639" s="8" t="n">
        <v>734543.103448276</v>
      </c>
      <c r="K1639" s="6" t="n">
        <v>116</v>
      </c>
      <c r="L1639" s="2"/>
      <c r="M1639" s="10" t="b">
        <f aca="false">TRUE()</f>
        <v>1</v>
      </c>
      <c r="N1639" s="9" t="str">
        <f aca="false">IF(H1639="","",IF(H1639&gt;=Assumptions!$B$5,1,IF(H1639&gt;=Assumptions!$B$6,2,IF(H1639&gt;=Assumptions!$B$7,3,""))))</f>
        <v/>
      </c>
      <c r="O1639" s="9" t="n">
        <f aca="false">IF(N1639=1,Assumptions!$B$8,IF(N1639=2,Assumptions!$B$9,IF(N1639=3,Assumptions!$B$10,0)))</f>
        <v>0</v>
      </c>
      <c r="P1639" s="6" t="s">
        <v>30</v>
      </c>
      <c r="Q1639" s="6" t="s">
        <v>30</v>
      </c>
      <c r="R1639" s="11" t="s">
        <v>30</v>
      </c>
      <c r="S1639" s="6" t="s">
        <v>30</v>
      </c>
      <c r="T1639" s="11" t="s">
        <v>30</v>
      </c>
      <c r="U1639" s="6" t="s">
        <v>30</v>
      </c>
      <c r="V1639" s="6" t="s">
        <v>30</v>
      </c>
      <c r="W1639" s="6" t="s">
        <v>30</v>
      </c>
      <c r="X1639" s="2" t="s">
        <v>30</v>
      </c>
      <c r="Y1639" s="6" t="str">
        <f aca="false">IF(AND(X1639="processed",ISNUMBER(S1639)),S1639*O1639,"")</f>
        <v/>
      </c>
      <c r="Z1639" s="6" t="n">
        <f aca="false">IF(ISNUMBER(K1639),K1639*O1639,0)</f>
        <v>0</v>
      </c>
      <c r="AA1639" s="2" t="s">
        <v>31</v>
      </c>
      <c r="AB1639" s="6" t="n">
        <v>3429</v>
      </c>
      <c r="AC1639" s="6" t="n">
        <v>3038</v>
      </c>
      <c r="AD1639" s="6" t="n">
        <v>3204</v>
      </c>
      <c r="AE1639" s="6" t="n">
        <v>3004.3720703125</v>
      </c>
      <c r="AF1639" s="8" t="n">
        <v>294.834548888</v>
      </c>
      <c r="AG1639" s="11" t="n">
        <v>-0.1137460286</v>
      </c>
      <c r="AH1639" s="12" t="n">
        <v>0.999855233842605</v>
      </c>
      <c r="AI1639" s="2" t="s">
        <v>435</v>
      </c>
      <c r="AJ1639" s="2" t="s">
        <v>3620</v>
      </c>
      <c r="AK1639" s="2" t="s">
        <v>3568</v>
      </c>
    </row>
    <row r="1640" customFormat="false" ht="15" hidden="false" customHeight="false" outlineLevel="0" collapsed="false">
      <c r="A1640" s="9"/>
      <c r="B1640" s="2" t="s">
        <v>3621</v>
      </c>
      <c r="C1640" s="2" t="s">
        <v>3622</v>
      </c>
      <c r="D1640" s="2" t="s">
        <v>1207</v>
      </c>
      <c r="E1640" s="2" t="s">
        <v>51</v>
      </c>
      <c r="F1640" s="2"/>
      <c r="G1640" s="2" t="s">
        <v>323</v>
      </c>
      <c r="H1640" s="8" t="n">
        <v>289.048321955483</v>
      </c>
      <c r="I1640" s="2" t="s">
        <v>316</v>
      </c>
      <c r="J1640" s="8" t="n">
        <v>504448.275862069</v>
      </c>
      <c r="K1640" s="6" t="n">
        <v>29</v>
      </c>
      <c r="L1640" s="2"/>
      <c r="M1640" s="10" t="b">
        <f aca="false">TRUE()</f>
        <v>1</v>
      </c>
      <c r="N1640" s="9" t="str">
        <f aca="false">IF(H1640="","",IF(H1640&gt;=Assumptions!$B$5,1,IF(H1640&gt;=Assumptions!$B$6,2,IF(H1640&gt;=Assumptions!$B$7,3,""))))</f>
        <v/>
      </c>
      <c r="O1640" s="9" t="n">
        <f aca="false">IF(N1640=1,Assumptions!$B$8,IF(N1640=2,Assumptions!$B$9,IF(N1640=3,Assumptions!$B$10,0)))</f>
        <v>0</v>
      </c>
      <c r="P1640" s="6" t="s">
        <v>30</v>
      </c>
      <c r="Q1640" s="6" t="s">
        <v>30</v>
      </c>
      <c r="R1640" s="11" t="s">
        <v>30</v>
      </c>
      <c r="S1640" s="6" t="s">
        <v>30</v>
      </c>
      <c r="T1640" s="11" t="s">
        <v>30</v>
      </c>
      <c r="U1640" s="6" t="s">
        <v>30</v>
      </c>
      <c r="V1640" s="6" t="s">
        <v>30</v>
      </c>
      <c r="W1640" s="6" t="s">
        <v>30</v>
      </c>
      <c r="X1640" s="2" t="s">
        <v>30</v>
      </c>
      <c r="Y1640" s="6" t="str">
        <f aca="false">IF(AND(X1640="processed",ISNUMBER(S1640)),S1640*O1640,"")</f>
        <v/>
      </c>
      <c r="Z1640" s="6" t="n">
        <f aca="false">IF(ISNUMBER(K1640),K1640*O1640,0)</f>
        <v>0</v>
      </c>
      <c r="AA1640" s="2" t="s">
        <v>31</v>
      </c>
      <c r="AB1640" s="6" t="n">
        <v>3171</v>
      </c>
      <c r="AC1640" s="6" t="n">
        <v>2673</v>
      </c>
      <c r="AD1640" s="6" t="n">
        <v>2668</v>
      </c>
      <c r="AE1640" s="6" t="n">
        <v>1666.66442871094</v>
      </c>
      <c r="AF1640" s="8" t="n">
        <v>274.933890795</v>
      </c>
      <c r="AG1640" s="11" t="n">
        <v>-0.01711033279</v>
      </c>
      <c r="AH1640" s="12" t="n">
        <v>0.999747618964507</v>
      </c>
      <c r="AI1640" s="2" t="s">
        <v>1597</v>
      </c>
      <c r="AJ1640" s="2"/>
      <c r="AK1640" s="2" t="s">
        <v>3622</v>
      </c>
    </row>
    <row r="1641" customFormat="false" ht="15" hidden="false" customHeight="false" outlineLevel="0" collapsed="false">
      <c r="A1641" s="9"/>
      <c r="B1641" s="2" t="s">
        <v>3623</v>
      </c>
      <c r="C1641" s="2" t="s">
        <v>3624</v>
      </c>
      <c r="D1641" s="2" t="s">
        <v>3476</v>
      </c>
      <c r="E1641" s="2" t="s">
        <v>51</v>
      </c>
      <c r="F1641" s="2"/>
      <c r="G1641" s="2"/>
      <c r="H1641" s="8"/>
      <c r="I1641" s="2"/>
      <c r="J1641" s="8"/>
      <c r="K1641" s="6"/>
      <c r="L1641" s="2"/>
      <c r="M1641" s="10" t="b">
        <f aca="false">TRUE()</f>
        <v>1</v>
      </c>
      <c r="N1641" s="9" t="str">
        <f aca="false">IF(H1641="","",IF(H1641&gt;=Assumptions!$B$5,1,IF(H1641&gt;=Assumptions!$B$6,2,IF(H1641&gt;=Assumptions!$B$7,3,""))))</f>
        <v/>
      </c>
      <c r="O1641" s="9" t="n">
        <f aca="false">IF(N1641=1,Assumptions!$B$8,IF(N1641=2,Assumptions!$B$9,IF(N1641=3,Assumptions!$B$10,0)))</f>
        <v>0</v>
      </c>
      <c r="P1641" s="6" t="s">
        <v>30</v>
      </c>
      <c r="Q1641" s="6" t="s">
        <v>30</v>
      </c>
      <c r="R1641" s="11" t="s">
        <v>30</v>
      </c>
      <c r="S1641" s="6" t="s">
        <v>30</v>
      </c>
      <c r="T1641" s="11" t="s">
        <v>30</v>
      </c>
      <c r="U1641" s="6" t="s">
        <v>30</v>
      </c>
      <c r="V1641" s="6" t="s">
        <v>30</v>
      </c>
      <c r="W1641" s="6" t="s">
        <v>30</v>
      </c>
      <c r="X1641" s="2" t="s">
        <v>30</v>
      </c>
      <c r="Y1641" s="6" t="str">
        <f aca="false">IF(AND(X1641="processed",ISNUMBER(S1641)),S1641*O1641,"")</f>
        <v/>
      </c>
      <c r="Z1641" s="6" t="n">
        <f aca="false">IF(ISNUMBER(K1641),K1641*O1641,0)</f>
        <v>0</v>
      </c>
      <c r="AA1641" s="2" t="s">
        <v>31</v>
      </c>
      <c r="AB1641" s="6" t="n">
        <v>3451</v>
      </c>
      <c r="AC1641" s="6" t="n">
        <v>2947</v>
      </c>
      <c r="AD1641" s="6" t="n">
        <v>1854</v>
      </c>
      <c r="AE1641" s="6" t="n">
        <v>2078.69018554688</v>
      </c>
      <c r="AF1641" s="8"/>
      <c r="AG1641" s="11"/>
      <c r="AH1641" s="12" t="n">
        <v>1</v>
      </c>
      <c r="AI1641" s="2" t="s">
        <v>317</v>
      </c>
      <c r="AJ1641" s="2" t="s">
        <v>3624</v>
      </c>
      <c r="AK1641" s="2" t="s">
        <v>3624</v>
      </c>
    </row>
    <row r="1642" customFormat="false" ht="15" hidden="false" customHeight="false" outlineLevel="0" collapsed="false">
      <c r="A1642" s="9"/>
      <c r="B1642" s="2" t="s">
        <v>3625</v>
      </c>
      <c r="C1642" s="2" t="s">
        <v>3626</v>
      </c>
      <c r="D1642" s="2" t="s">
        <v>2837</v>
      </c>
      <c r="E1642" s="2" t="s">
        <v>51</v>
      </c>
      <c r="F1642" s="2"/>
      <c r="G1642" s="2" t="s">
        <v>3032</v>
      </c>
      <c r="H1642" s="8" t="n">
        <v>323.764954727</v>
      </c>
      <c r="I1642" s="2" t="s">
        <v>316</v>
      </c>
      <c r="J1642" s="8" t="n">
        <v>433000</v>
      </c>
      <c r="K1642" s="6" t="n">
        <v>2</v>
      </c>
      <c r="L1642" s="2" t="s">
        <v>1664</v>
      </c>
      <c r="M1642" s="10" t="b">
        <f aca="false">TRUE()</f>
        <v>1</v>
      </c>
      <c r="N1642" s="9" t="str">
        <f aca="false">IF(H1642="","",IF(H1642&gt;=Assumptions!$B$5,1,IF(H1642&gt;=Assumptions!$B$6,2,IF(H1642&gt;=Assumptions!$B$7,3,""))))</f>
        <v/>
      </c>
      <c r="O1642" s="9" t="n">
        <f aca="false">IF(N1642=1,Assumptions!$B$8,IF(N1642=2,Assumptions!$B$9,IF(N1642=3,Assumptions!$B$10,0)))</f>
        <v>0</v>
      </c>
      <c r="P1642" s="6" t="s">
        <v>30</v>
      </c>
      <c r="Q1642" s="6" t="s">
        <v>30</v>
      </c>
      <c r="R1642" s="11" t="s">
        <v>30</v>
      </c>
      <c r="S1642" s="6" t="s">
        <v>30</v>
      </c>
      <c r="T1642" s="11" t="s">
        <v>30</v>
      </c>
      <c r="U1642" s="6" t="s">
        <v>30</v>
      </c>
      <c r="V1642" s="6" t="s">
        <v>30</v>
      </c>
      <c r="W1642" s="6" t="s">
        <v>30</v>
      </c>
      <c r="X1642" s="2" t="s">
        <v>30</v>
      </c>
      <c r="Y1642" s="6" t="str">
        <f aca="false">IF(AND(X1642="processed",ISNUMBER(S1642)),S1642*O1642,"")</f>
        <v/>
      </c>
      <c r="Z1642" s="6" t="n">
        <f aca="false">IF(ISNUMBER(K1642),K1642*O1642,0)</f>
        <v>0</v>
      </c>
      <c r="AA1642" s="2" t="s">
        <v>31</v>
      </c>
      <c r="AB1642" s="6" t="n">
        <v>700</v>
      </c>
      <c r="AC1642" s="6" t="n">
        <v>583</v>
      </c>
      <c r="AD1642" s="6" t="n">
        <v>158</v>
      </c>
      <c r="AE1642" s="6" t="n">
        <v>1731.30322265625</v>
      </c>
      <c r="AF1642" s="8" t="n">
        <v>371.145374449</v>
      </c>
      <c r="AG1642" s="11"/>
      <c r="AH1642" s="12" t="n">
        <v>0.998089171282986</v>
      </c>
      <c r="AI1642" s="2" t="s">
        <v>317</v>
      </c>
      <c r="AJ1642" s="2" t="s">
        <v>3626</v>
      </c>
      <c r="AK1642" s="2" t="s">
        <v>3627</v>
      </c>
    </row>
    <row r="1643" customFormat="false" ht="15" hidden="false" customHeight="false" outlineLevel="0" collapsed="false">
      <c r="A1643" s="9"/>
      <c r="B1643" s="2" t="s">
        <v>3628</v>
      </c>
      <c r="C1643" s="2" t="s">
        <v>3515</v>
      </c>
      <c r="D1643" s="2" t="s">
        <v>2922</v>
      </c>
      <c r="E1643" s="2" t="s">
        <v>51</v>
      </c>
      <c r="F1643" s="2" t="s">
        <v>3629</v>
      </c>
      <c r="G1643" s="2" t="s">
        <v>2923</v>
      </c>
      <c r="H1643" s="8" t="n">
        <v>342.055115241169</v>
      </c>
      <c r="I1643" s="2" t="s">
        <v>316</v>
      </c>
      <c r="J1643" s="8" t="n">
        <v>614942.879499218</v>
      </c>
      <c r="K1643" s="6" t="n">
        <v>639</v>
      </c>
      <c r="L1643" s="2"/>
      <c r="M1643" s="10" t="b">
        <f aca="false">TRUE()</f>
        <v>1</v>
      </c>
      <c r="N1643" s="9" t="str">
        <f aca="false">IF(H1643="","",IF(H1643&gt;=Assumptions!$B$5,1,IF(H1643&gt;=Assumptions!$B$6,2,IF(H1643&gt;=Assumptions!$B$7,3,""))))</f>
        <v/>
      </c>
      <c r="O1643" s="9" t="n">
        <f aca="false">IF(N1643=1,Assumptions!$B$8,IF(N1643=2,Assumptions!$B$9,IF(N1643=3,Assumptions!$B$10,0)))</f>
        <v>0</v>
      </c>
      <c r="P1643" s="6" t="s">
        <v>30</v>
      </c>
      <c r="Q1643" s="6" t="s">
        <v>30</v>
      </c>
      <c r="R1643" s="11" t="s">
        <v>30</v>
      </c>
      <c r="S1643" s="6" t="s">
        <v>30</v>
      </c>
      <c r="T1643" s="11" t="s">
        <v>30</v>
      </c>
      <c r="U1643" s="6" t="s">
        <v>30</v>
      </c>
      <c r="V1643" s="6" t="s">
        <v>30</v>
      </c>
      <c r="W1643" s="6" t="s">
        <v>30</v>
      </c>
      <c r="X1643" s="2" t="s">
        <v>30</v>
      </c>
      <c r="Y1643" s="6" t="str">
        <f aca="false">IF(AND(X1643="processed",ISNUMBER(S1643)),S1643*O1643,"")</f>
        <v/>
      </c>
      <c r="Z1643" s="6" t="n">
        <f aca="false">IF(ISNUMBER(K1643),K1643*O1643,0)</f>
        <v>0</v>
      </c>
      <c r="AA1643" s="2" t="s">
        <v>31</v>
      </c>
      <c r="AB1643" s="6" t="n">
        <v>22556</v>
      </c>
      <c r="AC1643" s="6" t="n">
        <v>21017</v>
      </c>
      <c r="AD1643" s="6" t="n">
        <v>4695</v>
      </c>
      <c r="AE1643" s="6" t="n">
        <v>2241.875</v>
      </c>
      <c r="AF1643" s="8" t="n">
        <v>343.098759077</v>
      </c>
      <c r="AG1643" s="11" t="n">
        <v>-0.02729119171</v>
      </c>
      <c r="AH1643" s="12" t="n">
        <v>1</v>
      </c>
      <c r="AI1643" s="2" t="s">
        <v>317</v>
      </c>
      <c r="AJ1643" s="2" t="s">
        <v>3515</v>
      </c>
      <c r="AK1643" s="2" t="s">
        <v>3515</v>
      </c>
    </row>
    <row r="1644" customFormat="false" ht="15" hidden="false" customHeight="false" outlineLevel="0" collapsed="false">
      <c r="A1644" s="9"/>
      <c r="B1644" s="2" t="s">
        <v>3630</v>
      </c>
      <c r="C1644" s="2" t="s">
        <v>3515</v>
      </c>
      <c r="D1644" s="2" t="s">
        <v>2922</v>
      </c>
      <c r="E1644" s="2" t="s">
        <v>51</v>
      </c>
      <c r="F1644" s="2"/>
      <c r="G1644" s="2" t="s">
        <v>2923</v>
      </c>
      <c r="H1644" s="8" t="n">
        <v>365.237369624435</v>
      </c>
      <c r="I1644" s="2" t="s">
        <v>316</v>
      </c>
      <c r="J1644" s="8" t="n">
        <v>670808.306709265</v>
      </c>
      <c r="K1644" s="6" t="n">
        <v>313</v>
      </c>
      <c r="L1644" s="2"/>
      <c r="M1644" s="10" t="b">
        <f aca="false">TRUE()</f>
        <v>1</v>
      </c>
      <c r="N1644" s="9" t="str">
        <f aca="false">IF(H1644="","",IF(H1644&gt;=Assumptions!$B$5,1,IF(H1644&gt;=Assumptions!$B$6,2,IF(H1644&gt;=Assumptions!$B$7,3,""))))</f>
        <v/>
      </c>
      <c r="O1644" s="9" t="n">
        <f aca="false">IF(N1644=1,Assumptions!$B$8,IF(N1644=2,Assumptions!$B$9,IF(N1644=3,Assumptions!$B$10,0)))</f>
        <v>0</v>
      </c>
      <c r="P1644" s="6" t="s">
        <v>30</v>
      </c>
      <c r="Q1644" s="6" t="s">
        <v>30</v>
      </c>
      <c r="R1644" s="11" t="s">
        <v>30</v>
      </c>
      <c r="S1644" s="6" t="s">
        <v>30</v>
      </c>
      <c r="T1644" s="11" t="s">
        <v>30</v>
      </c>
      <c r="U1644" s="6" t="s">
        <v>30</v>
      </c>
      <c r="V1644" s="6" t="s">
        <v>30</v>
      </c>
      <c r="W1644" s="6" t="s">
        <v>30</v>
      </c>
      <c r="X1644" s="2" t="s">
        <v>30</v>
      </c>
      <c r="Y1644" s="6" t="str">
        <f aca="false">IF(AND(X1644="processed",ISNUMBER(S1644)),S1644*O1644,"")</f>
        <v/>
      </c>
      <c r="Z1644" s="6" t="n">
        <f aca="false">IF(ISNUMBER(K1644),K1644*O1644,0)</f>
        <v>0</v>
      </c>
      <c r="AA1644" s="2" t="s">
        <v>31</v>
      </c>
      <c r="AB1644" s="6" t="n">
        <v>17714</v>
      </c>
      <c r="AC1644" s="6" t="n">
        <v>15728</v>
      </c>
      <c r="AD1644" s="6" t="n">
        <v>6010</v>
      </c>
      <c r="AE1644" s="6" t="n">
        <v>2272.7705078125</v>
      </c>
      <c r="AF1644" s="8" t="n">
        <v>373.720714736</v>
      </c>
      <c r="AG1644" s="11" t="n">
        <v>-0.02778577959</v>
      </c>
      <c r="AH1644" s="12" t="n">
        <v>0.999747049467039</v>
      </c>
      <c r="AI1644" s="2" t="s">
        <v>317</v>
      </c>
      <c r="AJ1644" s="2" t="s">
        <v>3515</v>
      </c>
      <c r="AK1644" s="2" t="s">
        <v>3515</v>
      </c>
    </row>
    <row r="1645" customFormat="false" ht="15" hidden="false" customHeight="false" outlineLevel="0" collapsed="false">
      <c r="A1645" s="9"/>
      <c r="B1645" s="2" t="s">
        <v>3631</v>
      </c>
      <c r="C1645" s="2" t="s">
        <v>3632</v>
      </c>
      <c r="D1645" s="2" t="s">
        <v>3476</v>
      </c>
      <c r="E1645" s="2" t="s">
        <v>51</v>
      </c>
      <c r="F1645" s="2"/>
      <c r="G1645" s="2"/>
      <c r="H1645" s="8"/>
      <c r="I1645" s="2"/>
      <c r="J1645" s="8"/>
      <c r="K1645" s="6"/>
      <c r="L1645" s="2"/>
      <c r="M1645" s="10" t="b">
        <f aca="false">TRUE()</f>
        <v>1</v>
      </c>
      <c r="N1645" s="9" t="str">
        <f aca="false">IF(H1645="","",IF(H1645&gt;=Assumptions!$B$5,1,IF(H1645&gt;=Assumptions!$B$6,2,IF(H1645&gt;=Assumptions!$B$7,3,""))))</f>
        <v/>
      </c>
      <c r="O1645" s="9" t="n">
        <f aca="false">IF(N1645=1,Assumptions!$B$8,IF(N1645=2,Assumptions!$B$9,IF(N1645=3,Assumptions!$B$10,0)))</f>
        <v>0</v>
      </c>
      <c r="P1645" s="6" t="s">
        <v>30</v>
      </c>
      <c r="Q1645" s="6" t="s">
        <v>30</v>
      </c>
      <c r="R1645" s="11" t="s">
        <v>30</v>
      </c>
      <c r="S1645" s="6" t="s">
        <v>30</v>
      </c>
      <c r="T1645" s="11" t="s">
        <v>30</v>
      </c>
      <c r="U1645" s="6" t="s">
        <v>30</v>
      </c>
      <c r="V1645" s="6" t="s">
        <v>30</v>
      </c>
      <c r="W1645" s="6" t="s">
        <v>30</v>
      </c>
      <c r="X1645" s="2" t="s">
        <v>30</v>
      </c>
      <c r="Y1645" s="6" t="str">
        <f aca="false">IF(AND(X1645="processed",ISNUMBER(S1645)),S1645*O1645,"")</f>
        <v/>
      </c>
      <c r="Z1645" s="6" t="n">
        <f aca="false">IF(ISNUMBER(K1645),K1645*O1645,0)</f>
        <v>0</v>
      </c>
      <c r="AA1645" s="2" t="s">
        <v>31</v>
      </c>
      <c r="AB1645" s="6" t="n">
        <v>1012</v>
      </c>
      <c r="AC1645" s="6" t="n">
        <v>902</v>
      </c>
      <c r="AD1645" s="6" t="n">
        <v>865</v>
      </c>
      <c r="AE1645" s="6" t="n">
        <v>1828.02685546875</v>
      </c>
      <c r="AF1645" s="8"/>
      <c r="AG1645" s="11"/>
      <c r="AH1645" s="12" t="n">
        <v>0.999214133677229</v>
      </c>
      <c r="AI1645" s="2" t="s">
        <v>317</v>
      </c>
      <c r="AJ1645" s="2" t="s">
        <v>3632</v>
      </c>
      <c r="AK1645" s="2" t="s">
        <v>3632</v>
      </c>
    </row>
    <row r="1646" customFormat="false" ht="15" hidden="false" customHeight="false" outlineLevel="0" collapsed="false">
      <c r="A1646" s="9"/>
      <c r="B1646" s="2" t="s">
        <v>3633</v>
      </c>
      <c r="C1646" s="2" t="s">
        <v>3634</v>
      </c>
      <c r="D1646" s="2" t="s">
        <v>976</v>
      </c>
      <c r="E1646" s="2" t="s">
        <v>976</v>
      </c>
      <c r="F1646" s="2"/>
      <c r="G1646" s="2" t="s">
        <v>323</v>
      </c>
      <c r="H1646" s="8" t="n">
        <v>315.011796418071</v>
      </c>
      <c r="I1646" s="2" t="s">
        <v>316</v>
      </c>
      <c r="J1646" s="8" t="n">
        <v>450214.285714286</v>
      </c>
      <c r="K1646" s="6" t="n">
        <v>14</v>
      </c>
      <c r="L1646" s="2"/>
      <c r="M1646" s="10" t="b">
        <f aca="false">TRUE()</f>
        <v>1</v>
      </c>
      <c r="N1646" s="9" t="str">
        <f aca="false">IF(H1646="","",IF(H1646&gt;=Assumptions!$B$5,1,IF(H1646&gt;=Assumptions!$B$6,2,IF(H1646&gt;=Assumptions!$B$7,3,""))))</f>
        <v/>
      </c>
      <c r="O1646" s="9" t="n">
        <f aca="false">IF(N1646=1,Assumptions!$B$8,IF(N1646=2,Assumptions!$B$9,IF(N1646=3,Assumptions!$B$10,0)))</f>
        <v>0</v>
      </c>
      <c r="P1646" s="6" t="s">
        <v>30</v>
      </c>
      <c r="Q1646" s="6" t="s">
        <v>30</v>
      </c>
      <c r="R1646" s="11" t="s">
        <v>30</v>
      </c>
      <c r="S1646" s="6" t="s">
        <v>30</v>
      </c>
      <c r="T1646" s="11" t="s">
        <v>30</v>
      </c>
      <c r="U1646" s="6" t="s">
        <v>30</v>
      </c>
      <c r="V1646" s="6" t="s">
        <v>30</v>
      </c>
      <c r="W1646" s="6" t="s">
        <v>30</v>
      </c>
      <c r="X1646" s="2" t="s">
        <v>30</v>
      </c>
      <c r="Y1646" s="6" t="str">
        <f aca="false">IF(AND(X1646="processed",ISNUMBER(S1646)),S1646*O1646,"")</f>
        <v/>
      </c>
      <c r="Z1646" s="6" t="n">
        <f aca="false">IF(ISNUMBER(K1646),K1646*O1646,0)</f>
        <v>0</v>
      </c>
      <c r="AA1646" s="2" t="s">
        <v>31</v>
      </c>
      <c r="AB1646" s="6" t="n">
        <v>1593</v>
      </c>
      <c r="AC1646" s="6" t="n">
        <v>1330</v>
      </c>
      <c r="AD1646" s="6" t="n">
        <v>619</v>
      </c>
      <c r="AE1646" s="6" t="n">
        <v>1701.22265625</v>
      </c>
      <c r="AF1646" s="8" t="n">
        <v>359.899328859</v>
      </c>
      <c r="AG1646" s="11" t="n">
        <v>-0.303691021</v>
      </c>
      <c r="AH1646" s="12" t="n">
        <v>0.672983655473579</v>
      </c>
      <c r="AI1646" s="2" t="s">
        <v>317</v>
      </c>
      <c r="AJ1646" s="2" t="s">
        <v>3634</v>
      </c>
      <c r="AK1646" s="2" t="s">
        <v>3551</v>
      </c>
    </row>
    <row r="1647" customFormat="false" ht="15" hidden="false" customHeight="false" outlineLevel="0" collapsed="false">
      <c r="A1647" s="9"/>
      <c r="B1647" s="2" t="s">
        <v>3635</v>
      </c>
      <c r="C1647" s="2" t="s">
        <v>3482</v>
      </c>
      <c r="D1647" s="2" t="s">
        <v>1800</v>
      </c>
      <c r="E1647" s="2" t="s">
        <v>51</v>
      </c>
      <c r="F1647" s="2"/>
      <c r="G1647" s="2" t="s">
        <v>323</v>
      </c>
      <c r="H1647" s="8" t="n">
        <v>314.977097315707</v>
      </c>
      <c r="I1647" s="2" t="s">
        <v>316</v>
      </c>
      <c r="J1647" s="8" t="n">
        <v>575382.239382239</v>
      </c>
      <c r="K1647" s="6" t="n">
        <v>259</v>
      </c>
      <c r="L1647" s="2"/>
      <c r="M1647" s="10" t="b">
        <f aca="false">TRUE()</f>
        <v>1</v>
      </c>
      <c r="N1647" s="9" t="str">
        <f aca="false">IF(H1647="","",IF(H1647&gt;=Assumptions!$B$5,1,IF(H1647&gt;=Assumptions!$B$6,2,IF(H1647&gt;=Assumptions!$B$7,3,""))))</f>
        <v/>
      </c>
      <c r="O1647" s="9" t="n">
        <f aca="false">IF(N1647=1,Assumptions!$B$8,IF(N1647=2,Assumptions!$B$9,IF(N1647=3,Assumptions!$B$10,0)))</f>
        <v>0</v>
      </c>
      <c r="P1647" s="6" t="s">
        <v>30</v>
      </c>
      <c r="Q1647" s="6" t="s">
        <v>30</v>
      </c>
      <c r="R1647" s="11" t="s">
        <v>30</v>
      </c>
      <c r="S1647" s="6" t="s">
        <v>30</v>
      </c>
      <c r="T1647" s="11" t="s">
        <v>30</v>
      </c>
      <c r="U1647" s="6" t="s">
        <v>30</v>
      </c>
      <c r="V1647" s="6" t="s">
        <v>30</v>
      </c>
      <c r="W1647" s="6" t="s">
        <v>30</v>
      </c>
      <c r="X1647" s="2" t="s">
        <v>30</v>
      </c>
      <c r="Y1647" s="6" t="str">
        <f aca="false">IF(AND(X1647="processed",ISNUMBER(S1647)),S1647*O1647,"")</f>
        <v/>
      </c>
      <c r="Z1647" s="6" t="n">
        <f aca="false">IF(ISNUMBER(K1647),K1647*O1647,0)</f>
        <v>0</v>
      </c>
      <c r="AA1647" s="2" t="s">
        <v>31</v>
      </c>
      <c r="AB1647" s="6" t="n">
        <v>14871</v>
      </c>
      <c r="AC1647" s="6" t="n">
        <v>13058</v>
      </c>
      <c r="AD1647" s="6" t="n">
        <v>779</v>
      </c>
      <c r="AE1647" s="6" t="n">
        <v>2220.1474609375</v>
      </c>
      <c r="AF1647" s="8" t="n">
        <v>304.671631686</v>
      </c>
      <c r="AG1647" s="11" t="n">
        <v>-0.1169436961</v>
      </c>
      <c r="AH1647" s="12" t="n">
        <v>0.992618426616007</v>
      </c>
      <c r="AI1647" s="2" t="s">
        <v>317</v>
      </c>
      <c r="AJ1647" s="2" t="s">
        <v>3482</v>
      </c>
      <c r="AK1647" s="2" t="s">
        <v>3482</v>
      </c>
    </row>
    <row r="1648" customFormat="false" ht="15" hidden="false" customHeight="false" outlineLevel="0" collapsed="false">
      <c r="A1648" s="9"/>
      <c r="B1648" s="2" t="s">
        <v>3636</v>
      </c>
      <c r="C1648" s="2" t="s">
        <v>3637</v>
      </c>
      <c r="D1648" s="2" t="s">
        <v>3638</v>
      </c>
      <c r="E1648" s="2" t="s">
        <v>51</v>
      </c>
      <c r="F1648" s="2"/>
      <c r="G1648" s="2" t="s">
        <v>1759</v>
      </c>
      <c r="H1648" s="8" t="n">
        <v>287.48500298831</v>
      </c>
      <c r="I1648" s="2" t="s">
        <v>316</v>
      </c>
      <c r="J1648" s="8" t="n">
        <v>484465.517241379</v>
      </c>
      <c r="K1648" s="6" t="n">
        <v>58</v>
      </c>
      <c r="L1648" s="2"/>
      <c r="M1648" s="10" t="b">
        <f aca="false">TRUE()</f>
        <v>1</v>
      </c>
      <c r="N1648" s="9" t="str">
        <f aca="false">IF(H1648="","",IF(H1648&gt;=Assumptions!$B$5,1,IF(H1648&gt;=Assumptions!$B$6,2,IF(H1648&gt;=Assumptions!$B$7,3,""))))</f>
        <v/>
      </c>
      <c r="O1648" s="9" t="n">
        <f aca="false">IF(N1648=1,Assumptions!$B$8,IF(N1648=2,Assumptions!$B$9,IF(N1648=3,Assumptions!$B$10,0)))</f>
        <v>0</v>
      </c>
      <c r="P1648" s="6" t="s">
        <v>30</v>
      </c>
      <c r="Q1648" s="6" t="s">
        <v>30</v>
      </c>
      <c r="R1648" s="11" t="s">
        <v>30</v>
      </c>
      <c r="S1648" s="6" t="s">
        <v>30</v>
      </c>
      <c r="T1648" s="11" t="s">
        <v>30</v>
      </c>
      <c r="U1648" s="6" t="s">
        <v>30</v>
      </c>
      <c r="V1648" s="6" t="s">
        <v>30</v>
      </c>
      <c r="W1648" s="6" t="s">
        <v>30</v>
      </c>
      <c r="X1648" s="2" t="s">
        <v>30</v>
      </c>
      <c r="Y1648" s="6" t="str">
        <f aca="false">IF(AND(X1648="processed",ISNUMBER(S1648)),S1648*O1648,"")</f>
        <v/>
      </c>
      <c r="Z1648" s="6" t="n">
        <f aca="false">IF(ISNUMBER(K1648),K1648*O1648,0)</f>
        <v>0</v>
      </c>
      <c r="AA1648" s="2" t="s">
        <v>31</v>
      </c>
      <c r="AB1648" s="6" t="n">
        <v>2862</v>
      </c>
      <c r="AC1648" s="6" t="n">
        <v>2490</v>
      </c>
      <c r="AD1648" s="6" t="n">
        <v>1098</v>
      </c>
      <c r="AE1648" s="6" t="n">
        <v>2320.80712890625</v>
      </c>
      <c r="AF1648" s="8" t="n">
        <v>305.555555556</v>
      </c>
      <c r="AG1648" s="11" t="n">
        <v>0.0201136124</v>
      </c>
      <c r="AH1648" s="12" t="n">
        <v>0.977953410879864</v>
      </c>
      <c r="AI1648" s="2" t="s">
        <v>3327</v>
      </c>
      <c r="AJ1648" s="2" t="s">
        <v>3639</v>
      </c>
      <c r="AK1648" s="2" t="s">
        <v>3616</v>
      </c>
    </row>
    <row r="1649" customFormat="false" ht="15" hidden="false" customHeight="false" outlineLevel="0" collapsed="false">
      <c r="A1649" s="9"/>
      <c r="B1649" s="2" t="s">
        <v>3640</v>
      </c>
      <c r="C1649" s="2" t="s">
        <v>3641</v>
      </c>
      <c r="D1649" s="2" t="s">
        <v>976</v>
      </c>
      <c r="E1649" s="2" t="s">
        <v>976</v>
      </c>
      <c r="F1649" s="2"/>
      <c r="G1649" s="2" t="s">
        <v>323</v>
      </c>
      <c r="H1649" s="8" t="n">
        <v>427.114212835585</v>
      </c>
      <c r="I1649" s="2" t="s">
        <v>316</v>
      </c>
      <c r="J1649" s="8" t="n">
        <v>925283.018867925</v>
      </c>
      <c r="K1649" s="6" t="n">
        <v>53</v>
      </c>
      <c r="L1649" s="2"/>
      <c r="M1649" s="10" t="b">
        <f aca="false">TRUE()</f>
        <v>1</v>
      </c>
      <c r="N1649" s="9" t="str">
        <f aca="false">IF(H1649="","",IF(H1649&gt;=Assumptions!$B$5,1,IF(H1649&gt;=Assumptions!$B$6,2,IF(H1649&gt;=Assumptions!$B$7,3,""))))</f>
        <v/>
      </c>
      <c r="O1649" s="9" t="n">
        <f aca="false">IF(N1649=1,Assumptions!$B$8,IF(N1649=2,Assumptions!$B$9,IF(N1649=3,Assumptions!$B$10,0)))</f>
        <v>0</v>
      </c>
      <c r="P1649" s="6" t="s">
        <v>30</v>
      </c>
      <c r="Q1649" s="6" t="s">
        <v>30</v>
      </c>
      <c r="R1649" s="11" t="s">
        <v>30</v>
      </c>
      <c r="S1649" s="6" t="s">
        <v>30</v>
      </c>
      <c r="T1649" s="11" t="s">
        <v>30</v>
      </c>
      <c r="U1649" s="6" t="s">
        <v>30</v>
      </c>
      <c r="V1649" s="6" t="s">
        <v>30</v>
      </c>
      <c r="W1649" s="6" t="s">
        <v>30</v>
      </c>
      <c r="X1649" s="2" t="s">
        <v>30</v>
      </c>
      <c r="Y1649" s="6" t="str">
        <f aca="false">IF(AND(X1649="processed",ISNUMBER(S1649)),S1649*O1649,"")</f>
        <v/>
      </c>
      <c r="Z1649" s="6" t="n">
        <f aca="false">IF(ISNUMBER(K1649),K1649*O1649,0)</f>
        <v>0</v>
      </c>
      <c r="AA1649" s="2" t="s">
        <v>31</v>
      </c>
      <c r="AB1649" s="6" t="n">
        <v>6687</v>
      </c>
      <c r="AC1649" s="6" t="n">
        <v>5317</v>
      </c>
      <c r="AD1649" s="6" t="n">
        <v>6610</v>
      </c>
      <c r="AE1649" s="6" t="n">
        <v>2050.67822265625</v>
      </c>
      <c r="AF1649" s="8" t="n">
        <v>404.45026178</v>
      </c>
      <c r="AG1649" s="11" t="n">
        <v>0.03077038145</v>
      </c>
      <c r="AH1649" s="12" t="n">
        <v>1</v>
      </c>
      <c r="AI1649" s="2" t="s">
        <v>317</v>
      </c>
      <c r="AJ1649" s="2" t="s">
        <v>3641</v>
      </c>
      <c r="AK1649" s="2" t="s">
        <v>3642</v>
      </c>
    </row>
    <row r="1650" customFormat="false" ht="15" hidden="false" customHeight="false" outlineLevel="0" collapsed="false">
      <c r="A1650" s="9"/>
      <c r="B1650" s="2" t="s">
        <v>3643</v>
      </c>
      <c r="C1650" s="2" t="s">
        <v>3644</v>
      </c>
      <c r="D1650" s="2" t="s">
        <v>1800</v>
      </c>
      <c r="E1650" s="2" t="s">
        <v>51</v>
      </c>
      <c r="F1650" s="2"/>
      <c r="G1650" s="2" t="s">
        <v>323</v>
      </c>
      <c r="H1650" s="8" t="n">
        <v>338.536328388175</v>
      </c>
      <c r="I1650" s="2" t="s">
        <v>316</v>
      </c>
      <c r="J1650" s="8" t="n">
        <v>658523.80952381</v>
      </c>
      <c r="K1650" s="6" t="n">
        <v>63</v>
      </c>
      <c r="L1650" s="2"/>
      <c r="M1650" s="10" t="b">
        <f aca="false">TRUE()</f>
        <v>1</v>
      </c>
      <c r="N1650" s="9" t="str">
        <f aca="false">IF(H1650="","",IF(H1650&gt;=Assumptions!$B$5,1,IF(H1650&gt;=Assumptions!$B$6,2,IF(H1650&gt;=Assumptions!$B$7,3,""))))</f>
        <v/>
      </c>
      <c r="O1650" s="9" t="n">
        <f aca="false">IF(N1650=1,Assumptions!$B$8,IF(N1650=2,Assumptions!$B$9,IF(N1650=3,Assumptions!$B$10,0)))</f>
        <v>0</v>
      </c>
      <c r="P1650" s="6" t="s">
        <v>30</v>
      </c>
      <c r="Q1650" s="6" t="s">
        <v>30</v>
      </c>
      <c r="R1650" s="11" t="s">
        <v>30</v>
      </c>
      <c r="S1650" s="6" t="s">
        <v>30</v>
      </c>
      <c r="T1650" s="11" t="s">
        <v>30</v>
      </c>
      <c r="U1650" s="6" t="s">
        <v>30</v>
      </c>
      <c r="V1650" s="6" t="s">
        <v>30</v>
      </c>
      <c r="W1650" s="6" t="s">
        <v>30</v>
      </c>
      <c r="X1650" s="2" t="s">
        <v>30</v>
      </c>
      <c r="Y1650" s="6" t="str">
        <f aca="false">IF(AND(X1650="processed",ISNUMBER(S1650)),S1650*O1650,"")</f>
        <v/>
      </c>
      <c r="Z1650" s="6" t="n">
        <f aca="false">IF(ISNUMBER(K1650),K1650*O1650,0)</f>
        <v>0</v>
      </c>
      <c r="AA1650" s="2" t="s">
        <v>31</v>
      </c>
      <c r="AB1650" s="6" t="n">
        <v>5659</v>
      </c>
      <c r="AC1650" s="6" t="n">
        <v>4767</v>
      </c>
      <c r="AD1650" s="6" t="n">
        <v>1239</v>
      </c>
      <c r="AE1650" s="6" t="n">
        <v>2101.62036132813</v>
      </c>
      <c r="AF1650" s="8" t="n">
        <v>331.462729842</v>
      </c>
      <c r="AG1650" s="11" t="n">
        <v>0.08730643019</v>
      </c>
      <c r="AH1650" s="12" t="n">
        <v>0.729277434861564</v>
      </c>
      <c r="AI1650" s="2" t="s">
        <v>317</v>
      </c>
      <c r="AJ1650" s="2" t="s">
        <v>3644</v>
      </c>
      <c r="AK1650" s="2" t="s">
        <v>3644</v>
      </c>
    </row>
    <row r="1651" customFormat="false" ht="15" hidden="false" customHeight="false" outlineLevel="0" collapsed="false">
      <c r="A1651" s="9"/>
      <c r="B1651" s="2" t="s">
        <v>3645</v>
      </c>
      <c r="C1651" s="2" t="s">
        <v>3646</v>
      </c>
      <c r="D1651" s="2" t="s">
        <v>1800</v>
      </c>
      <c r="E1651" s="2" t="s">
        <v>51</v>
      </c>
      <c r="F1651" s="2"/>
      <c r="G1651" s="2" t="s">
        <v>323</v>
      </c>
      <c r="H1651" s="8" t="n">
        <v>340.08697402545</v>
      </c>
      <c r="I1651" s="2" t="s">
        <v>316</v>
      </c>
      <c r="J1651" s="8" t="n">
        <v>517478.991596639</v>
      </c>
      <c r="K1651" s="6" t="n">
        <v>238</v>
      </c>
      <c r="L1651" s="2"/>
      <c r="M1651" s="10" t="b">
        <f aca="false">TRUE()</f>
        <v>1</v>
      </c>
      <c r="N1651" s="9" t="str">
        <f aca="false">IF(H1651="","",IF(H1651&gt;=Assumptions!$B$5,1,IF(H1651&gt;=Assumptions!$B$6,2,IF(H1651&gt;=Assumptions!$B$7,3,""))))</f>
        <v/>
      </c>
      <c r="O1651" s="9" t="n">
        <f aca="false">IF(N1651=1,Assumptions!$B$8,IF(N1651=2,Assumptions!$B$9,IF(N1651=3,Assumptions!$B$10,0)))</f>
        <v>0</v>
      </c>
      <c r="P1651" s="6" t="s">
        <v>30</v>
      </c>
      <c r="Q1651" s="6" t="s">
        <v>30</v>
      </c>
      <c r="R1651" s="11" t="s">
        <v>30</v>
      </c>
      <c r="S1651" s="6" t="s">
        <v>30</v>
      </c>
      <c r="T1651" s="11" t="s">
        <v>30</v>
      </c>
      <c r="U1651" s="6" t="s">
        <v>30</v>
      </c>
      <c r="V1651" s="6" t="s">
        <v>30</v>
      </c>
      <c r="W1651" s="6" t="s">
        <v>30</v>
      </c>
      <c r="X1651" s="2" t="s">
        <v>30</v>
      </c>
      <c r="Y1651" s="6" t="str">
        <f aca="false">IF(AND(X1651="processed",ISNUMBER(S1651)),S1651*O1651,"")</f>
        <v/>
      </c>
      <c r="Z1651" s="6" t="n">
        <f aca="false">IF(ISNUMBER(K1651),K1651*O1651,0)</f>
        <v>0</v>
      </c>
      <c r="AA1651" s="2" t="s">
        <v>31</v>
      </c>
      <c r="AB1651" s="6" t="n">
        <v>16056</v>
      </c>
      <c r="AC1651" s="6" t="n">
        <v>13695</v>
      </c>
      <c r="AD1651" s="6" t="n">
        <v>1134</v>
      </c>
      <c r="AE1651" s="6" t="n">
        <v>2282.04614257813</v>
      </c>
      <c r="AF1651" s="8" t="n">
        <v>337.56574622</v>
      </c>
      <c r="AG1651" s="11" t="n">
        <v>-0.006208277726</v>
      </c>
      <c r="AH1651" s="12" t="n">
        <v>0.999999999999997</v>
      </c>
      <c r="AI1651" s="2" t="s">
        <v>317</v>
      </c>
      <c r="AJ1651" s="2" t="s">
        <v>3646</v>
      </c>
      <c r="AK1651" s="2" t="s">
        <v>3646</v>
      </c>
    </row>
    <row r="1652" customFormat="false" ht="15" hidden="false" customHeight="false" outlineLevel="0" collapsed="false">
      <c r="A1652" s="9"/>
      <c r="B1652" s="2" t="s">
        <v>3647</v>
      </c>
      <c r="C1652" s="2"/>
      <c r="D1652" s="2" t="s">
        <v>1190</v>
      </c>
      <c r="E1652" s="2" t="s">
        <v>1191</v>
      </c>
      <c r="F1652" s="2"/>
      <c r="G1652" s="2" t="s">
        <v>2923</v>
      </c>
      <c r="H1652" s="8" t="n">
        <v>266.8042779228</v>
      </c>
      <c r="I1652" s="2" t="s">
        <v>337</v>
      </c>
      <c r="J1652" s="8" t="n">
        <v>364000</v>
      </c>
      <c r="K1652" s="6" t="n">
        <v>5</v>
      </c>
      <c r="L1652" s="2"/>
      <c r="M1652" s="10" t="b">
        <f aca="false">FALSE()</f>
        <v>0</v>
      </c>
      <c r="N1652" s="9" t="str">
        <f aca="false">IF(H1652="","",IF(H1652&gt;=Assumptions!$B$5,1,IF(H1652&gt;=Assumptions!$B$6,2,IF(H1652&gt;=Assumptions!$B$7,3,""))))</f>
        <v/>
      </c>
      <c r="O1652" s="9" t="n">
        <f aca="false">IF(N1652=1,Assumptions!$B$8,IF(N1652=2,Assumptions!$B$9,IF(N1652=3,Assumptions!$B$10,0)))</f>
        <v>0</v>
      </c>
      <c r="P1652" s="6" t="s">
        <v>30</v>
      </c>
      <c r="Q1652" s="6" t="s">
        <v>30</v>
      </c>
      <c r="R1652" s="11" t="s">
        <v>30</v>
      </c>
      <c r="S1652" s="6" t="s">
        <v>30</v>
      </c>
      <c r="T1652" s="11" t="s">
        <v>30</v>
      </c>
      <c r="U1652" s="6" t="s">
        <v>30</v>
      </c>
      <c r="V1652" s="6" t="s">
        <v>30</v>
      </c>
      <c r="W1652" s="6" t="s">
        <v>30</v>
      </c>
      <c r="X1652" s="2" t="s">
        <v>30</v>
      </c>
      <c r="Y1652" s="6" t="str">
        <f aca="false">IF(AND(X1652="processed",ISNUMBER(S1652)),S1652*O1652,"")</f>
        <v/>
      </c>
      <c r="Z1652" s="6" t="n">
        <f aca="false">IF(ISNUMBER(K1652),K1652*O1652,0)</f>
        <v>0</v>
      </c>
      <c r="AA1652" s="2" t="s">
        <v>31</v>
      </c>
      <c r="AB1652" s="6"/>
      <c r="AC1652" s="6"/>
      <c r="AD1652" s="6"/>
      <c r="AE1652" s="6"/>
      <c r="AF1652" s="8"/>
      <c r="AG1652" s="11"/>
      <c r="AH1652" s="12"/>
      <c r="AI1652" s="2"/>
      <c r="AJ1652" s="2"/>
      <c r="AK1652" s="2"/>
    </row>
    <row r="1653" customFormat="false" ht="15" hidden="false" customHeight="false" outlineLevel="0" collapsed="false">
      <c r="A1653" s="9"/>
      <c r="B1653" s="2" t="s">
        <v>3648</v>
      </c>
      <c r="C1653" s="2" t="s">
        <v>3649</v>
      </c>
      <c r="D1653" s="2" t="s">
        <v>1800</v>
      </c>
      <c r="E1653" s="2" t="s">
        <v>51</v>
      </c>
      <c r="F1653" s="2"/>
      <c r="G1653" s="2"/>
      <c r="H1653" s="8"/>
      <c r="I1653" s="2"/>
      <c r="J1653" s="8"/>
      <c r="K1653" s="6"/>
      <c r="L1653" s="2"/>
      <c r="M1653" s="10" t="b">
        <f aca="false">TRUE()</f>
        <v>1</v>
      </c>
      <c r="N1653" s="9" t="str">
        <f aca="false">IF(H1653="","",IF(H1653&gt;=Assumptions!$B$5,1,IF(H1653&gt;=Assumptions!$B$6,2,IF(H1653&gt;=Assumptions!$B$7,3,""))))</f>
        <v/>
      </c>
      <c r="O1653" s="9" t="n">
        <f aca="false">IF(N1653=1,Assumptions!$B$8,IF(N1653=2,Assumptions!$B$9,IF(N1653=3,Assumptions!$B$10,0)))</f>
        <v>0</v>
      </c>
      <c r="P1653" s="6" t="s">
        <v>30</v>
      </c>
      <c r="Q1653" s="6" t="s">
        <v>30</v>
      </c>
      <c r="R1653" s="11" t="s">
        <v>30</v>
      </c>
      <c r="S1653" s="6" t="s">
        <v>30</v>
      </c>
      <c r="T1653" s="11" t="s">
        <v>30</v>
      </c>
      <c r="U1653" s="6" t="s">
        <v>30</v>
      </c>
      <c r="V1653" s="6" t="s">
        <v>30</v>
      </c>
      <c r="W1653" s="6" t="s">
        <v>30</v>
      </c>
      <c r="X1653" s="2" t="s">
        <v>30</v>
      </c>
      <c r="Y1653" s="6" t="str">
        <f aca="false">IF(AND(X1653="processed",ISNUMBER(S1653)),S1653*O1653,"")</f>
        <v/>
      </c>
      <c r="Z1653" s="6" t="n">
        <f aca="false">IF(ISNUMBER(K1653),K1653*O1653,0)</f>
        <v>0</v>
      </c>
      <c r="AA1653" s="2" t="s">
        <v>31</v>
      </c>
      <c r="AB1653" s="6" t="n">
        <v>340</v>
      </c>
      <c r="AC1653" s="6" t="n">
        <v>279</v>
      </c>
      <c r="AD1653" s="6" t="n">
        <v>35</v>
      </c>
      <c r="AE1653" s="6" t="n">
        <v>2043.33435058594</v>
      </c>
      <c r="AF1653" s="8"/>
      <c r="AG1653" s="11"/>
      <c r="AH1653" s="12" t="n">
        <v>1</v>
      </c>
      <c r="AI1653" s="2" t="s">
        <v>317</v>
      </c>
      <c r="AJ1653" s="2" t="s">
        <v>3649</v>
      </c>
      <c r="AK1653" s="2" t="s">
        <v>3649</v>
      </c>
    </row>
    <row r="1654" customFormat="false" ht="15" hidden="false" customHeight="false" outlineLevel="0" collapsed="false">
      <c r="A1654" s="9"/>
      <c r="B1654" s="2" t="s">
        <v>3650</v>
      </c>
      <c r="C1654" s="2" t="s">
        <v>3651</v>
      </c>
      <c r="D1654" s="2" t="s">
        <v>3476</v>
      </c>
      <c r="E1654" s="2" t="s">
        <v>51</v>
      </c>
      <c r="F1654" s="2"/>
      <c r="G1654" s="2"/>
      <c r="H1654" s="8"/>
      <c r="I1654" s="2"/>
      <c r="J1654" s="8"/>
      <c r="K1654" s="6"/>
      <c r="L1654" s="2"/>
      <c r="M1654" s="10" t="b">
        <f aca="false">TRUE()</f>
        <v>1</v>
      </c>
      <c r="N1654" s="9" t="str">
        <f aca="false">IF(H1654="","",IF(H1654&gt;=Assumptions!$B$5,1,IF(H1654&gt;=Assumptions!$B$6,2,IF(H1654&gt;=Assumptions!$B$7,3,""))))</f>
        <v/>
      </c>
      <c r="O1654" s="9" t="n">
        <f aca="false">IF(N1654=1,Assumptions!$B$8,IF(N1654=2,Assumptions!$B$9,IF(N1654=3,Assumptions!$B$10,0)))</f>
        <v>0</v>
      </c>
      <c r="P1654" s="6" t="s">
        <v>30</v>
      </c>
      <c r="Q1654" s="6" t="s">
        <v>30</v>
      </c>
      <c r="R1654" s="11" t="s">
        <v>30</v>
      </c>
      <c r="S1654" s="6" t="s">
        <v>30</v>
      </c>
      <c r="T1654" s="11" t="s">
        <v>30</v>
      </c>
      <c r="U1654" s="6" t="s">
        <v>30</v>
      </c>
      <c r="V1654" s="6" t="s">
        <v>30</v>
      </c>
      <c r="W1654" s="6" t="s">
        <v>30</v>
      </c>
      <c r="X1654" s="2" t="s">
        <v>30</v>
      </c>
      <c r="Y1654" s="6" t="str">
        <f aca="false">IF(AND(X1654="processed",ISNUMBER(S1654)),S1654*O1654,"")</f>
        <v/>
      </c>
      <c r="Z1654" s="6" t="n">
        <f aca="false">IF(ISNUMBER(K1654),K1654*O1654,0)</f>
        <v>0</v>
      </c>
      <c r="AA1654" s="2" t="s">
        <v>31</v>
      </c>
      <c r="AB1654" s="6" t="n">
        <v>140</v>
      </c>
      <c r="AC1654" s="6" t="n">
        <v>117</v>
      </c>
      <c r="AD1654" s="6" t="n">
        <v>136</v>
      </c>
      <c r="AE1654" s="6" t="n">
        <v>1771.75317382813</v>
      </c>
      <c r="AF1654" s="8"/>
      <c r="AG1654" s="11"/>
      <c r="AH1654" s="12" t="n">
        <v>0.999999999999999</v>
      </c>
      <c r="AI1654" s="2" t="s">
        <v>328</v>
      </c>
      <c r="AJ1654" s="2" t="s">
        <v>3651</v>
      </c>
      <c r="AK1654" s="2" t="s">
        <v>3651</v>
      </c>
    </row>
    <row r="1655" customFormat="false" ht="15" hidden="false" customHeight="false" outlineLevel="0" collapsed="false">
      <c r="A1655" s="9"/>
      <c r="B1655" s="2" t="s">
        <v>3652</v>
      </c>
      <c r="C1655" s="2" t="s">
        <v>3653</v>
      </c>
      <c r="D1655" s="2" t="s">
        <v>50</v>
      </c>
      <c r="E1655" s="2" t="s">
        <v>51</v>
      </c>
      <c r="F1655" s="2" t="s">
        <v>3654</v>
      </c>
      <c r="G1655" s="2" t="s">
        <v>323</v>
      </c>
      <c r="H1655" s="8" t="n">
        <v>272.9526373976</v>
      </c>
      <c r="I1655" s="2" t="s">
        <v>316</v>
      </c>
      <c r="J1655" s="8" t="n">
        <v>457400</v>
      </c>
      <c r="K1655" s="6" t="n">
        <v>10</v>
      </c>
      <c r="L1655" s="2"/>
      <c r="M1655" s="10" t="b">
        <f aca="false">TRUE()</f>
        <v>1</v>
      </c>
      <c r="N1655" s="9" t="str">
        <f aca="false">IF(H1655="","",IF(H1655&gt;=Assumptions!$B$5,1,IF(H1655&gt;=Assumptions!$B$6,2,IF(H1655&gt;=Assumptions!$B$7,3,""))))</f>
        <v/>
      </c>
      <c r="O1655" s="9" t="n">
        <f aca="false">IF(N1655=1,Assumptions!$B$8,IF(N1655=2,Assumptions!$B$9,IF(N1655=3,Assumptions!$B$10,0)))</f>
        <v>0</v>
      </c>
      <c r="P1655" s="6" t="s">
        <v>30</v>
      </c>
      <c r="Q1655" s="6" t="s">
        <v>30</v>
      </c>
      <c r="R1655" s="11" t="s">
        <v>30</v>
      </c>
      <c r="S1655" s="6" t="s">
        <v>30</v>
      </c>
      <c r="T1655" s="11" t="s">
        <v>30</v>
      </c>
      <c r="U1655" s="6" t="s">
        <v>30</v>
      </c>
      <c r="V1655" s="6" t="s">
        <v>30</v>
      </c>
      <c r="W1655" s="6" t="s">
        <v>30</v>
      </c>
      <c r="X1655" s="2" t="s">
        <v>30</v>
      </c>
      <c r="Y1655" s="6" t="str">
        <f aca="false">IF(AND(X1655="processed",ISNUMBER(S1655)),S1655*O1655,"")</f>
        <v/>
      </c>
      <c r="Z1655" s="6" t="n">
        <f aca="false">IF(ISNUMBER(K1655),K1655*O1655,0)</f>
        <v>0</v>
      </c>
      <c r="AA1655" s="2" t="s">
        <v>31</v>
      </c>
      <c r="AB1655" s="6" t="n">
        <v>792</v>
      </c>
      <c r="AC1655" s="6" t="n">
        <v>657</v>
      </c>
      <c r="AD1655" s="6" t="n">
        <v>390</v>
      </c>
      <c r="AE1655" s="6" t="n">
        <v>1541.58190917969</v>
      </c>
      <c r="AF1655" s="8" t="n">
        <v>264.705882353</v>
      </c>
      <c r="AG1655" s="11" t="n">
        <v>-0.2913406987</v>
      </c>
      <c r="AH1655" s="12" t="n">
        <v>0.998780991055437</v>
      </c>
      <c r="AI1655" s="2" t="s">
        <v>317</v>
      </c>
      <c r="AJ1655" s="2" t="s">
        <v>3653</v>
      </c>
      <c r="AK1655" s="2" t="s">
        <v>3655</v>
      </c>
    </row>
    <row r="1656" customFormat="false" ht="15" hidden="false" customHeight="false" outlineLevel="0" collapsed="false">
      <c r="A1656" s="9"/>
      <c r="B1656" s="2" t="s">
        <v>3656</v>
      </c>
      <c r="C1656" s="2" t="s">
        <v>3657</v>
      </c>
      <c r="D1656" s="2" t="s">
        <v>50</v>
      </c>
      <c r="E1656" s="2" t="s">
        <v>51</v>
      </c>
      <c r="F1656" s="2"/>
      <c r="G1656" s="2" t="s">
        <v>323</v>
      </c>
      <c r="H1656" s="8" t="n">
        <v>294.811761134</v>
      </c>
      <c r="I1656" s="2" t="s">
        <v>316</v>
      </c>
      <c r="J1656" s="8" t="n">
        <v>552761.904761905</v>
      </c>
      <c r="K1656" s="6" t="n">
        <v>21</v>
      </c>
      <c r="L1656" s="2"/>
      <c r="M1656" s="10" t="b">
        <f aca="false">TRUE()</f>
        <v>1</v>
      </c>
      <c r="N1656" s="9" t="str">
        <f aca="false">IF(H1656="","",IF(H1656&gt;=Assumptions!$B$5,1,IF(H1656&gt;=Assumptions!$B$6,2,IF(H1656&gt;=Assumptions!$B$7,3,""))))</f>
        <v/>
      </c>
      <c r="O1656" s="9" t="n">
        <f aca="false">IF(N1656=1,Assumptions!$B$8,IF(N1656=2,Assumptions!$B$9,IF(N1656=3,Assumptions!$B$10,0)))</f>
        <v>0</v>
      </c>
      <c r="P1656" s="6" t="s">
        <v>30</v>
      </c>
      <c r="Q1656" s="6" t="s">
        <v>30</v>
      </c>
      <c r="R1656" s="11" t="s">
        <v>30</v>
      </c>
      <c r="S1656" s="6" t="s">
        <v>30</v>
      </c>
      <c r="T1656" s="11" t="s">
        <v>30</v>
      </c>
      <c r="U1656" s="6" t="s">
        <v>30</v>
      </c>
      <c r="V1656" s="6" t="s">
        <v>30</v>
      </c>
      <c r="W1656" s="6" t="s">
        <v>30</v>
      </c>
      <c r="X1656" s="2" t="s">
        <v>30</v>
      </c>
      <c r="Y1656" s="6" t="str">
        <f aca="false">IF(AND(X1656="processed",ISNUMBER(S1656)),S1656*O1656,"")</f>
        <v/>
      </c>
      <c r="Z1656" s="6" t="n">
        <f aca="false">IF(ISNUMBER(K1656),K1656*O1656,0)</f>
        <v>0</v>
      </c>
      <c r="AA1656" s="2" t="s">
        <v>31</v>
      </c>
      <c r="AB1656" s="6" t="n">
        <v>485</v>
      </c>
      <c r="AC1656" s="6" t="n">
        <v>430</v>
      </c>
      <c r="AD1656" s="6" t="n">
        <v>477</v>
      </c>
      <c r="AE1656" s="6" t="n">
        <v>2053.4560546875</v>
      </c>
      <c r="AF1656" s="8" t="n">
        <v>260.300153715</v>
      </c>
      <c r="AG1656" s="11" t="n">
        <v>0.04730642094</v>
      </c>
      <c r="AH1656" s="12" t="n">
        <v>1</v>
      </c>
      <c r="AI1656" s="2" t="s">
        <v>317</v>
      </c>
      <c r="AJ1656" s="2" t="s">
        <v>3657</v>
      </c>
      <c r="AK1656" s="2" t="s">
        <v>3657</v>
      </c>
    </row>
    <row r="1657" customFormat="false" ht="15" hidden="false" customHeight="false" outlineLevel="0" collapsed="false">
      <c r="A1657" s="9"/>
      <c r="B1657" s="2" t="s">
        <v>3658</v>
      </c>
      <c r="C1657" s="2" t="s">
        <v>3659</v>
      </c>
      <c r="D1657" s="2" t="s">
        <v>1207</v>
      </c>
      <c r="E1657" s="2" t="s">
        <v>51</v>
      </c>
      <c r="F1657" s="2"/>
      <c r="G1657" s="2" t="s">
        <v>323</v>
      </c>
      <c r="H1657" s="8" t="n">
        <v>289.017536008831</v>
      </c>
      <c r="I1657" s="2" t="s">
        <v>316</v>
      </c>
      <c r="J1657" s="8" t="n">
        <v>518543.076923077</v>
      </c>
      <c r="K1657" s="6" t="n">
        <v>65</v>
      </c>
      <c r="L1657" s="2"/>
      <c r="M1657" s="10" t="b">
        <f aca="false">TRUE()</f>
        <v>1</v>
      </c>
      <c r="N1657" s="9" t="str">
        <f aca="false">IF(H1657="","",IF(H1657&gt;=Assumptions!$B$5,1,IF(H1657&gt;=Assumptions!$B$6,2,IF(H1657&gt;=Assumptions!$B$7,3,""))))</f>
        <v/>
      </c>
      <c r="O1657" s="9" t="n">
        <f aca="false">IF(N1657=1,Assumptions!$B$8,IF(N1657=2,Assumptions!$B$9,IF(N1657=3,Assumptions!$B$10,0)))</f>
        <v>0</v>
      </c>
      <c r="P1657" s="6" t="s">
        <v>30</v>
      </c>
      <c r="Q1657" s="6" t="s">
        <v>30</v>
      </c>
      <c r="R1657" s="11" t="s">
        <v>30</v>
      </c>
      <c r="S1657" s="6" t="s">
        <v>30</v>
      </c>
      <c r="T1657" s="11" t="s">
        <v>30</v>
      </c>
      <c r="U1657" s="6" t="s">
        <v>30</v>
      </c>
      <c r="V1657" s="6" t="s">
        <v>30</v>
      </c>
      <c r="W1657" s="6" t="s">
        <v>30</v>
      </c>
      <c r="X1657" s="2" t="s">
        <v>30</v>
      </c>
      <c r="Y1657" s="6" t="str">
        <f aca="false">IF(AND(X1657="processed",ISNUMBER(S1657)),S1657*O1657,"")</f>
        <v/>
      </c>
      <c r="Z1657" s="6" t="n">
        <f aca="false">IF(ISNUMBER(K1657),K1657*O1657,0)</f>
        <v>0</v>
      </c>
      <c r="AA1657" s="2" t="s">
        <v>31</v>
      </c>
      <c r="AB1657" s="6" t="n">
        <v>2426</v>
      </c>
      <c r="AC1657" s="6" t="n">
        <v>2200</v>
      </c>
      <c r="AD1657" s="6" t="n">
        <v>1645</v>
      </c>
      <c r="AE1657" s="6" t="n">
        <v>2026.03344726563</v>
      </c>
      <c r="AF1657" s="8" t="n">
        <v>307.547689778</v>
      </c>
      <c r="AG1657" s="11" t="n">
        <v>0.001125935224</v>
      </c>
      <c r="AH1657" s="12" t="n">
        <v>0.999999999999999</v>
      </c>
      <c r="AI1657" s="2" t="s">
        <v>1597</v>
      </c>
      <c r="AJ1657" s="2"/>
      <c r="AK1657" s="2" t="s">
        <v>3659</v>
      </c>
    </row>
    <row r="1658" customFormat="false" ht="15" hidden="false" customHeight="false" outlineLevel="0" collapsed="false">
      <c r="A1658" s="9"/>
      <c r="B1658" s="2" t="s">
        <v>3660</v>
      </c>
      <c r="C1658" s="2" t="s">
        <v>3661</v>
      </c>
      <c r="D1658" s="2" t="s">
        <v>50</v>
      </c>
      <c r="E1658" s="2" t="s">
        <v>51</v>
      </c>
      <c r="F1658" s="2" t="s">
        <v>3662</v>
      </c>
      <c r="G1658" s="2" t="s">
        <v>323</v>
      </c>
      <c r="H1658" s="8" t="n">
        <v>282.398648140143</v>
      </c>
      <c r="I1658" s="2" t="s">
        <v>316</v>
      </c>
      <c r="J1658" s="8" t="n">
        <v>524888.392857143</v>
      </c>
      <c r="K1658" s="6" t="n">
        <v>112</v>
      </c>
      <c r="L1658" s="2"/>
      <c r="M1658" s="10" t="b">
        <f aca="false">TRUE()</f>
        <v>1</v>
      </c>
      <c r="N1658" s="9" t="str">
        <f aca="false">IF(H1658="","",IF(H1658&gt;=Assumptions!$B$5,1,IF(H1658&gt;=Assumptions!$B$6,2,IF(H1658&gt;=Assumptions!$B$7,3,""))))</f>
        <v/>
      </c>
      <c r="O1658" s="9" t="n">
        <f aca="false">IF(N1658=1,Assumptions!$B$8,IF(N1658=2,Assumptions!$B$9,IF(N1658=3,Assumptions!$B$10,0)))</f>
        <v>0</v>
      </c>
      <c r="P1658" s="6" t="s">
        <v>30</v>
      </c>
      <c r="Q1658" s="6" t="s">
        <v>30</v>
      </c>
      <c r="R1658" s="11" t="s">
        <v>30</v>
      </c>
      <c r="S1658" s="6" t="s">
        <v>30</v>
      </c>
      <c r="T1658" s="11" t="s">
        <v>30</v>
      </c>
      <c r="U1658" s="6" t="s">
        <v>30</v>
      </c>
      <c r="V1658" s="6" t="s">
        <v>30</v>
      </c>
      <c r="W1658" s="6" t="s">
        <v>30</v>
      </c>
      <c r="X1658" s="2" t="s">
        <v>30</v>
      </c>
      <c r="Y1658" s="6" t="str">
        <f aca="false">IF(AND(X1658="processed",ISNUMBER(S1658)),S1658*O1658,"")</f>
        <v/>
      </c>
      <c r="Z1658" s="6" t="n">
        <f aca="false">IF(ISNUMBER(K1658),K1658*O1658,0)</f>
        <v>0</v>
      </c>
      <c r="AA1658" s="2" t="s">
        <v>31</v>
      </c>
      <c r="AB1658" s="6" t="n">
        <v>5338</v>
      </c>
      <c r="AC1658" s="6" t="n">
        <v>4718</v>
      </c>
      <c r="AD1658" s="6" t="n">
        <v>4420</v>
      </c>
      <c r="AE1658" s="6" t="n">
        <v>1880.95764160156</v>
      </c>
      <c r="AF1658" s="8" t="n">
        <v>298.25308905</v>
      </c>
      <c r="AG1658" s="11" t="n">
        <v>-0.07081765639</v>
      </c>
      <c r="AH1658" s="12" t="n">
        <v>0.999565584666301</v>
      </c>
      <c r="AI1658" s="2" t="s">
        <v>3663</v>
      </c>
      <c r="AJ1658" s="2" t="s">
        <v>3664</v>
      </c>
      <c r="AK1658" s="2" t="s">
        <v>3661</v>
      </c>
    </row>
    <row r="1659" customFormat="false" ht="15" hidden="false" customHeight="false" outlineLevel="0" collapsed="false">
      <c r="A1659" s="9"/>
      <c r="B1659" s="2" t="s">
        <v>3665</v>
      </c>
      <c r="C1659" s="2" t="s">
        <v>3666</v>
      </c>
      <c r="D1659" s="2" t="s">
        <v>50</v>
      </c>
      <c r="E1659" s="2" t="s">
        <v>51</v>
      </c>
      <c r="F1659" s="2"/>
      <c r="G1659" s="2" t="s">
        <v>323</v>
      </c>
      <c r="H1659" s="8" t="n">
        <v>300.579877112</v>
      </c>
      <c r="I1659" s="2" t="s">
        <v>316</v>
      </c>
      <c r="J1659" s="8" t="n">
        <v>350000</v>
      </c>
      <c r="K1659" s="6" t="n">
        <v>4</v>
      </c>
      <c r="L1659" s="2" t="s">
        <v>1664</v>
      </c>
      <c r="M1659" s="10" t="b">
        <f aca="false">TRUE()</f>
        <v>1</v>
      </c>
      <c r="N1659" s="9" t="str">
        <f aca="false">IF(H1659="","",IF(H1659&gt;=Assumptions!$B$5,1,IF(H1659&gt;=Assumptions!$B$6,2,IF(H1659&gt;=Assumptions!$B$7,3,""))))</f>
        <v/>
      </c>
      <c r="O1659" s="9" t="n">
        <f aca="false">IF(N1659=1,Assumptions!$B$8,IF(N1659=2,Assumptions!$B$9,IF(N1659=3,Assumptions!$B$10,0)))</f>
        <v>0</v>
      </c>
      <c r="P1659" s="6" t="s">
        <v>30</v>
      </c>
      <c r="Q1659" s="6" t="s">
        <v>30</v>
      </c>
      <c r="R1659" s="11" t="s">
        <v>30</v>
      </c>
      <c r="S1659" s="6" t="s">
        <v>30</v>
      </c>
      <c r="T1659" s="11" t="s">
        <v>30</v>
      </c>
      <c r="U1659" s="6" t="s">
        <v>30</v>
      </c>
      <c r="V1659" s="6" t="s">
        <v>30</v>
      </c>
      <c r="W1659" s="6" t="s">
        <v>30</v>
      </c>
      <c r="X1659" s="2" t="s">
        <v>30</v>
      </c>
      <c r="Y1659" s="6" t="str">
        <f aca="false">IF(AND(X1659="processed",ISNUMBER(S1659)),S1659*O1659,"")</f>
        <v/>
      </c>
      <c r="Z1659" s="6" t="n">
        <f aca="false">IF(ISNUMBER(K1659),K1659*O1659,0)</f>
        <v>0</v>
      </c>
      <c r="AA1659" s="2" t="s">
        <v>31</v>
      </c>
      <c r="AB1659" s="6" t="n">
        <v>299</v>
      </c>
      <c r="AC1659" s="6" t="n">
        <v>250</v>
      </c>
      <c r="AD1659" s="6" t="n">
        <v>118</v>
      </c>
      <c r="AE1659" s="6" t="n">
        <v>1383.45532226563</v>
      </c>
      <c r="AF1659" s="8" t="n">
        <v>300.579877112</v>
      </c>
      <c r="AG1659" s="11" t="n">
        <v>-0.2164199615</v>
      </c>
      <c r="AH1659" s="12" t="n">
        <v>0.995464541061468</v>
      </c>
      <c r="AI1659" s="2" t="s">
        <v>317</v>
      </c>
      <c r="AJ1659" s="2" t="s">
        <v>3666</v>
      </c>
      <c r="AK1659" s="2" t="s">
        <v>3666</v>
      </c>
    </row>
    <row r="1660" customFormat="false" ht="15" hidden="false" customHeight="false" outlineLevel="0" collapsed="false">
      <c r="A1660" s="9"/>
      <c r="B1660" s="2" t="s">
        <v>3667</v>
      </c>
      <c r="C1660" s="2" t="s">
        <v>3668</v>
      </c>
      <c r="D1660" s="2" t="s">
        <v>50</v>
      </c>
      <c r="E1660" s="2" t="s">
        <v>51</v>
      </c>
      <c r="F1660" s="2" t="s">
        <v>3669</v>
      </c>
      <c r="G1660" s="2" t="s">
        <v>323</v>
      </c>
      <c r="H1660" s="8" t="n">
        <v>325.564834765667</v>
      </c>
      <c r="I1660" s="2" t="s">
        <v>316</v>
      </c>
      <c r="J1660" s="8" t="n">
        <v>479000</v>
      </c>
      <c r="K1660" s="6" t="n">
        <v>3</v>
      </c>
      <c r="L1660" s="2" t="s">
        <v>1664</v>
      </c>
      <c r="M1660" s="10" t="b">
        <f aca="false">TRUE()</f>
        <v>1</v>
      </c>
      <c r="N1660" s="9" t="str">
        <f aca="false">IF(H1660="","",IF(H1660&gt;=Assumptions!$B$5,1,IF(H1660&gt;=Assumptions!$B$6,2,IF(H1660&gt;=Assumptions!$B$7,3,""))))</f>
        <v/>
      </c>
      <c r="O1660" s="9" t="n">
        <f aca="false">IF(N1660=1,Assumptions!$B$8,IF(N1660=2,Assumptions!$B$9,IF(N1660=3,Assumptions!$B$10,0)))</f>
        <v>0</v>
      </c>
      <c r="P1660" s="6" t="s">
        <v>30</v>
      </c>
      <c r="Q1660" s="6" t="s">
        <v>30</v>
      </c>
      <c r="R1660" s="11" t="s">
        <v>30</v>
      </c>
      <c r="S1660" s="6" t="s">
        <v>30</v>
      </c>
      <c r="T1660" s="11" t="s">
        <v>30</v>
      </c>
      <c r="U1660" s="6" t="s">
        <v>30</v>
      </c>
      <c r="V1660" s="6" t="s">
        <v>30</v>
      </c>
      <c r="W1660" s="6" t="s">
        <v>30</v>
      </c>
      <c r="X1660" s="2" t="s">
        <v>30</v>
      </c>
      <c r="Y1660" s="6" t="str">
        <f aca="false">IF(AND(X1660="processed",ISNUMBER(S1660)),S1660*O1660,"")</f>
        <v/>
      </c>
      <c r="Z1660" s="6" t="n">
        <f aca="false">IF(ISNUMBER(K1660),K1660*O1660,0)</f>
        <v>0</v>
      </c>
      <c r="AA1660" s="2" t="s">
        <v>31</v>
      </c>
      <c r="AB1660" s="6" t="n">
        <v>219</v>
      </c>
      <c r="AC1660" s="6" t="n">
        <v>173</v>
      </c>
      <c r="AD1660" s="6" t="n">
        <v>32</v>
      </c>
      <c r="AE1660" s="6" t="n">
        <v>1261.64501953125</v>
      </c>
      <c r="AF1660" s="8" t="n">
        <v>365.384615385</v>
      </c>
      <c r="AG1660" s="11" t="n">
        <v>0.05230769231</v>
      </c>
      <c r="AH1660" s="12" t="n">
        <v>0.755055981151105</v>
      </c>
      <c r="AI1660" s="2" t="s">
        <v>317</v>
      </c>
      <c r="AJ1660" s="2" t="s">
        <v>3668</v>
      </c>
      <c r="AK1660" s="2" t="s">
        <v>3670</v>
      </c>
    </row>
    <row r="1661" customFormat="false" ht="15" hidden="false" customHeight="false" outlineLevel="0" collapsed="false">
      <c r="A1661" s="9"/>
      <c r="B1661" s="2" t="s">
        <v>3671</v>
      </c>
      <c r="C1661" s="2" t="s">
        <v>3672</v>
      </c>
      <c r="D1661" s="2" t="s">
        <v>50</v>
      </c>
      <c r="E1661" s="2" t="s">
        <v>51</v>
      </c>
      <c r="F1661" s="2"/>
      <c r="G1661" s="2" t="s">
        <v>323</v>
      </c>
      <c r="H1661" s="8" t="n">
        <v>270.669291339</v>
      </c>
      <c r="I1661" s="2" t="s">
        <v>316</v>
      </c>
      <c r="J1661" s="8" t="n">
        <v>550000</v>
      </c>
      <c r="K1661" s="6" t="n">
        <v>1</v>
      </c>
      <c r="L1661" s="2" t="s">
        <v>1664</v>
      </c>
      <c r="M1661" s="10" t="b">
        <f aca="false">TRUE()</f>
        <v>1</v>
      </c>
      <c r="N1661" s="9" t="str">
        <f aca="false">IF(H1661="","",IF(H1661&gt;=Assumptions!$B$5,1,IF(H1661&gt;=Assumptions!$B$6,2,IF(H1661&gt;=Assumptions!$B$7,3,""))))</f>
        <v/>
      </c>
      <c r="O1661" s="9" t="n">
        <f aca="false">IF(N1661=1,Assumptions!$B$8,IF(N1661=2,Assumptions!$B$9,IF(N1661=3,Assumptions!$B$10,0)))</f>
        <v>0</v>
      </c>
      <c r="P1661" s="6" t="s">
        <v>30</v>
      </c>
      <c r="Q1661" s="6" t="s">
        <v>30</v>
      </c>
      <c r="R1661" s="11" t="s">
        <v>30</v>
      </c>
      <c r="S1661" s="6" t="s">
        <v>30</v>
      </c>
      <c r="T1661" s="11" t="s">
        <v>30</v>
      </c>
      <c r="U1661" s="6" t="s">
        <v>30</v>
      </c>
      <c r="V1661" s="6" t="s">
        <v>30</v>
      </c>
      <c r="W1661" s="6" t="s">
        <v>30</v>
      </c>
      <c r="X1661" s="2" t="s">
        <v>30</v>
      </c>
      <c r="Y1661" s="6" t="str">
        <f aca="false">IF(AND(X1661="processed",ISNUMBER(S1661)),S1661*O1661,"")</f>
        <v/>
      </c>
      <c r="Z1661" s="6" t="n">
        <f aca="false">IF(ISNUMBER(K1661),K1661*O1661,0)</f>
        <v>0</v>
      </c>
      <c r="AA1661" s="2" t="s">
        <v>31</v>
      </c>
      <c r="AB1661" s="6" t="n">
        <v>158</v>
      </c>
      <c r="AC1661" s="6" t="n">
        <v>138</v>
      </c>
      <c r="AD1661" s="6" t="n">
        <v>91</v>
      </c>
      <c r="AE1661" s="6" t="n">
        <v>1444.99621582031</v>
      </c>
      <c r="AF1661" s="8" t="n">
        <v>270.669291339</v>
      </c>
      <c r="AG1661" s="11"/>
      <c r="AH1661" s="12" t="n">
        <v>0.998399679100461</v>
      </c>
      <c r="AI1661" s="2" t="s">
        <v>321</v>
      </c>
      <c r="AJ1661" s="2" t="s">
        <v>3672</v>
      </c>
      <c r="AK1661" s="2" t="s">
        <v>3673</v>
      </c>
    </row>
    <row r="1662" customFormat="false" ht="15" hidden="false" customHeight="false" outlineLevel="0" collapsed="false">
      <c r="A1662" s="9"/>
      <c r="B1662" s="2" t="s">
        <v>3674</v>
      </c>
      <c r="C1662" s="2" t="s">
        <v>3675</v>
      </c>
      <c r="D1662" s="2" t="s">
        <v>1207</v>
      </c>
      <c r="E1662" s="2" t="s">
        <v>51</v>
      </c>
      <c r="F1662" s="2" t="s">
        <v>3676</v>
      </c>
      <c r="G1662" s="2" t="s">
        <v>323</v>
      </c>
      <c r="H1662" s="8" t="n">
        <v>386.901525105143</v>
      </c>
      <c r="I1662" s="2" t="s">
        <v>316</v>
      </c>
      <c r="J1662" s="8" t="n">
        <v>454714.285714286</v>
      </c>
      <c r="K1662" s="6" t="n">
        <v>7</v>
      </c>
      <c r="L1662" s="2"/>
      <c r="M1662" s="10" t="b">
        <f aca="false">TRUE()</f>
        <v>1</v>
      </c>
      <c r="N1662" s="9" t="str">
        <f aca="false">IF(H1662="","",IF(H1662&gt;=Assumptions!$B$5,1,IF(H1662&gt;=Assumptions!$B$6,2,IF(H1662&gt;=Assumptions!$B$7,3,""))))</f>
        <v/>
      </c>
      <c r="O1662" s="9" t="n">
        <f aca="false">IF(N1662=1,Assumptions!$B$8,IF(N1662=2,Assumptions!$B$9,IF(N1662=3,Assumptions!$B$10,0)))</f>
        <v>0</v>
      </c>
      <c r="P1662" s="6" t="s">
        <v>30</v>
      </c>
      <c r="Q1662" s="6" t="s">
        <v>30</v>
      </c>
      <c r="R1662" s="11" t="s">
        <v>30</v>
      </c>
      <c r="S1662" s="6" t="s">
        <v>30</v>
      </c>
      <c r="T1662" s="11" t="s">
        <v>30</v>
      </c>
      <c r="U1662" s="6" t="s">
        <v>30</v>
      </c>
      <c r="V1662" s="6" t="s">
        <v>30</v>
      </c>
      <c r="W1662" s="6" t="s">
        <v>30</v>
      </c>
      <c r="X1662" s="2" t="s">
        <v>30</v>
      </c>
      <c r="Y1662" s="6" t="str">
        <f aca="false">IF(AND(X1662="processed",ISNUMBER(S1662)),S1662*O1662,"")</f>
        <v/>
      </c>
      <c r="Z1662" s="6" t="n">
        <f aca="false">IF(ISNUMBER(K1662),K1662*O1662,0)</f>
        <v>0</v>
      </c>
      <c r="AA1662" s="2" t="s">
        <v>31</v>
      </c>
      <c r="AB1662" s="6" t="n">
        <v>199</v>
      </c>
      <c r="AC1662" s="6" t="n">
        <v>154</v>
      </c>
      <c r="AD1662" s="6" t="n">
        <v>70</v>
      </c>
      <c r="AE1662" s="6" t="n">
        <v>1159.45776367188</v>
      </c>
      <c r="AF1662" s="8" t="n">
        <v>446.428571429</v>
      </c>
      <c r="AG1662" s="11"/>
      <c r="AH1662" s="12" t="n">
        <v>0.999999547693417</v>
      </c>
      <c r="AI1662" s="2" t="s">
        <v>1597</v>
      </c>
      <c r="AJ1662" s="2"/>
      <c r="AK1662" s="2" t="s">
        <v>3675</v>
      </c>
    </row>
    <row r="1663" customFormat="false" ht="15" hidden="false" customHeight="false" outlineLevel="0" collapsed="false">
      <c r="A1663" s="9"/>
      <c r="B1663" s="2" t="s">
        <v>3677</v>
      </c>
      <c r="C1663" s="2" t="s">
        <v>3678</v>
      </c>
      <c r="D1663" s="2" t="s">
        <v>50</v>
      </c>
      <c r="E1663" s="2" t="s">
        <v>51</v>
      </c>
      <c r="F1663" s="2"/>
      <c r="G1663" s="2" t="s">
        <v>323</v>
      </c>
      <c r="H1663" s="8" t="n">
        <v>362.500485008054</v>
      </c>
      <c r="I1663" s="2" t="s">
        <v>316</v>
      </c>
      <c r="J1663" s="8" t="n">
        <v>732000</v>
      </c>
      <c r="K1663" s="6" t="n">
        <v>74</v>
      </c>
      <c r="L1663" s="2"/>
      <c r="M1663" s="10" t="b">
        <f aca="false">TRUE()</f>
        <v>1</v>
      </c>
      <c r="N1663" s="9" t="str">
        <f aca="false">IF(H1663="","",IF(H1663&gt;=Assumptions!$B$5,1,IF(H1663&gt;=Assumptions!$B$6,2,IF(H1663&gt;=Assumptions!$B$7,3,""))))</f>
        <v/>
      </c>
      <c r="O1663" s="9" t="n">
        <f aca="false">IF(N1663=1,Assumptions!$B$8,IF(N1663=2,Assumptions!$B$9,IF(N1663=3,Assumptions!$B$10,0)))</f>
        <v>0</v>
      </c>
      <c r="P1663" s="6" t="s">
        <v>30</v>
      </c>
      <c r="Q1663" s="6" t="s">
        <v>30</v>
      </c>
      <c r="R1663" s="11" t="s">
        <v>30</v>
      </c>
      <c r="S1663" s="6" t="s">
        <v>30</v>
      </c>
      <c r="T1663" s="11" t="s">
        <v>30</v>
      </c>
      <c r="U1663" s="6" t="s">
        <v>30</v>
      </c>
      <c r="V1663" s="6" t="s">
        <v>30</v>
      </c>
      <c r="W1663" s="6" t="s">
        <v>30</v>
      </c>
      <c r="X1663" s="2" t="s">
        <v>30</v>
      </c>
      <c r="Y1663" s="6" t="str">
        <f aca="false">IF(AND(X1663="processed",ISNUMBER(S1663)),S1663*O1663,"")</f>
        <v/>
      </c>
      <c r="Z1663" s="6" t="n">
        <f aca="false">IF(ISNUMBER(K1663),K1663*O1663,0)</f>
        <v>0</v>
      </c>
      <c r="AA1663" s="2" t="s">
        <v>31</v>
      </c>
      <c r="AB1663" s="6" t="n">
        <v>2672</v>
      </c>
      <c r="AC1663" s="6" t="n">
        <v>2293</v>
      </c>
      <c r="AD1663" s="6" t="n">
        <v>2579</v>
      </c>
      <c r="AE1663" s="6" t="n">
        <v>2295.25830078125</v>
      </c>
      <c r="AF1663" s="8" t="n">
        <v>357.672349889</v>
      </c>
      <c r="AG1663" s="11" t="n">
        <v>0.09686187299</v>
      </c>
      <c r="AH1663" s="12" t="n">
        <v>0.997988384599883</v>
      </c>
      <c r="AI1663" s="2" t="s">
        <v>317</v>
      </c>
      <c r="AJ1663" s="2" t="s">
        <v>3678</v>
      </c>
      <c r="AK1663" s="2" t="s">
        <v>3678</v>
      </c>
    </row>
    <row r="1664" customFormat="false" ht="15" hidden="false" customHeight="false" outlineLevel="0" collapsed="false">
      <c r="A1664" s="9"/>
      <c r="B1664" s="2" t="s">
        <v>3679</v>
      </c>
      <c r="C1664" s="2" t="s">
        <v>3680</v>
      </c>
      <c r="D1664" s="2" t="s">
        <v>1207</v>
      </c>
      <c r="E1664" s="2" t="s">
        <v>51</v>
      </c>
      <c r="F1664" s="2" t="s">
        <v>3681</v>
      </c>
      <c r="G1664" s="2" t="s">
        <v>323</v>
      </c>
      <c r="H1664" s="8" t="n">
        <v>250.128013496504</v>
      </c>
      <c r="I1664" s="2" t="s">
        <v>316</v>
      </c>
      <c r="J1664" s="8" t="n">
        <v>388248.226950355</v>
      </c>
      <c r="K1664" s="6" t="n">
        <v>141</v>
      </c>
      <c r="L1664" s="2"/>
      <c r="M1664" s="10" t="b">
        <f aca="false">TRUE()</f>
        <v>1</v>
      </c>
      <c r="N1664" s="9" t="str">
        <f aca="false">IF(H1664="","",IF(H1664&gt;=Assumptions!$B$5,1,IF(H1664&gt;=Assumptions!$B$6,2,IF(H1664&gt;=Assumptions!$B$7,3,""))))</f>
        <v/>
      </c>
      <c r="O1664" s="9" t="n">
        <f aca="false">IF(N1664=1,Assumptions!$B$8,IF(N1664=2,Assumptions!$B$9,IF(N1664=3,Assumptions!$B$10,0)))</f>
        <v>0</v>
      </c>
      <c r="P1664" s="6" t="s">
        <v>30</v>
      </c>
      <c r="Q1664" s="6" t="s">
        <v>30</v>
      </c>
      <c r="R1664" s="11" t="s">
        <v>30</v>
      </c>
      <c r="S1664" s="6" t="s">
        <v>30</v>
      </c>
      <c r="T1664" s="11" t="s">
        <v>30</v>
      </c>
      <c r="U1664" s="6" t="s">
        <v>30</v>
      </c>
      <c r="V1664" s="6" t="s">
        <v>30</v>
      </c>
      <c r="W1664" s="6" t="s">
        <v>30</v>
      </c>
      <c r="X1664" s="2" t="s">
        <v>30</v>
      </c>
      <c r="Y1664" s="6" t="str">
        <f aca="false">IF(AND(X1664="processed",ISNUMBER(S1664)),S1664*O1664,"")</f>
        <v/>
      </c>
      <c r="Z1664" s="6" t="n">
        <f aca="false">IF(ISNUMBER(K1664),K1664*O1664,0)</f>
        <v>0</v>
      </c>
      <c r="AA1664" s="2" t="s">
        <v>31</v>
      </c>
      <c r="AB1664" s="6" t="n">
        <v>3411</v>
      </c>
      <c r="AC1664" s="6" t="n">
        <v>3097</v>
      </c>
      <c r="AD1664" s="6" t="n">
        <v>2234</v>
      </c>
      <c r="AE1664" s="6" t="n">
        <v>1830.12658691406</v>
      </c>
      <c r="AF1664" s="8" t="n">
        <v>256.034399466</v>
      </c>
      <c r="AG1664" s="11" t="n">
        <v>-0.07659863908</v>
      </c>
      <c r="AH1664" s="12" t="n">
        <v>0.999564971864</v>
      </c>
      <c r="AI1664" s="2" t="s">
        <v>1597</v>
      </c>
      <c r="AJ1664" s="2"/>
      <c r="AK1664" s="2" t="s">
        <v>3680</v>
      </c>
    </row>
    <row r="1665" customFormat="false" ht="15" hidden="false" customHeight="false" outlineLevel="0" collapsed="false">
      <c r="A1665" s="9"/>
      <c r="B1665" s="2" t="s">
        <v>3682</v>
      </c>
      <c r="C1665" s="2" t="s">
        <v>3683</v>
      </c>
      <c r="D1665" s="2" t="s">
        <v>1207</v>
      </c>
      <c r="E1665" s="2" t="s">
        <v>51</v>
      </c>
      <c r="F1665" s="2" t="s">
        <v>3684</v>
      </c>
      <c r="G1665" s="2" t="s">
        <v>323</v>
      </c>
      <c r="H1665" s="8" t="n">
        <v>301.829802234333</v>
      </c>
      <c r="I1665" s="2" t="s">
        <v>316</v>
      </c>
      <c r="J1665" s="8" t="n">
        <v>314444.444444444</v>
      </c>
      <c r="K1665" s="6" t="n">
        <v>9</v>
      </c>
      <c r="L1665" s="2"/>
      <c r="M1665" s="10" t="b">
        <f aca="false">TRUE()</f>
        <v>1</v>
      </c>
      <c r="N1665" s="9" t="str">
        <f aca="false">IF(H1665="","",IF(H1665&gt;=Assumptions!$B$5,1,IF(H1665&gt;=Assumptions!$B$6,2,IF(H1665&gt;=Assumptions!$B$7,3,""))))</f>
        <v/>
      </c>
      <c r="O1665" s="9" t="n">
        <f aca="false">IF(N1665=1,Assumptions!$B$8,IF(N1665=2,Assumptions!$B$9,IF(N1665=3,Assumptions!$B$10,0)))</f>
        <v>0</v>
      </c>
      <c r="P1665" s="6" t="s">
        <v>30</v>
      </c>
      <c r="Q1665" s="6" t="s">
        <v>30</v>
      </c>
      <c r="R1665" s="11" t="s">
        <v>30</v>
      </c>
      <c r="S1665" s="6" t="s">
        <v>30</v>
      </c>
      <c r="T1665" s="11" t="s">
        <v>30</v>
      </c>
      <c r="U1665" s="6" t="s">
        <v>30</v>
      </c>
      <c r="V1665" s="6" t="s">
        <v>30</v>
      </c>
      <c r="W1665" s="6" t="s">
        <v>30</v>
      </c>
      <c r="X1665" s="2" t="s">
        <v>30</v>
      </c>
      <c r="Y1665" s="6" t="str">
        <f aca="false">IF(AND(X1665="processed",ISNUMBER(S1665)),S1665*O1665,"")</f>
        <v/>
      </c>
      <c r="Z1665" s="6" t="n">
        <f aca="false">IF(ISNUMBER(K1665),K1665*O1665,0)</f>
        <v>0</v>
      </c>
      <c r="AA1665" s="2" t="s">
        <v>31</v>
      </c>
      <c r="AB1665" s="6" t="n">
        <v>325</v>
      </c>
      <c r="AC1665" s="6" t="n">
        <v>291</v>
      </c>
      <c r="AD1665" s="6" t="n">
        <v>17</v>
      </c>
      <c r="AE1665" s="6" t="n">
        <v>1136.28039550781</v>
      </c>
      <c r="AF1665" s="8" t="n">
        <v>345.894263217</v>
      </c>
      <c r="AG1665" s="11" t="n">
        <v>0.136509722</v>
      </c>
      <c r="AH1665" s="12" t="n">
        <v>0.999999999999999</v>
      </c>
      <c r="AI1665" s="2" t="s">
        <v>1597</v>
      </c>
      <c r="AJ1665" s="2"/>
      <c r="AK1665" s="2" t="s">
        <v>3683</v>
      </c>
    </row>
    <row r="1666" customFormat="false" ht="15" hidden="false" customHeight="false" outlineLevel="0" collapsed="false">
      <c r="A1666" s="9"/>
      <c r="B1666" s="2" t="s">
        <v>3685</v>
      </c>
      <c r="C1666" s="2" t="s">
        <v>3657</v>
      </c>
      <c r="D1666" s="2" t="s">
        <v>50</v>
      </c>
      <c r="E1666" s="2" t="s">
        <v>51</v>
      </c>
      <c r="F1666" s="2"/>
      <c r="G1666" s="2"/>
      <c r="H1666" s="8"/>
      <c r="I1666" s="2"/>
      <c r="J1666" s="8"/>
      <c r="K1666" s="6"/>
      <c r="L1666" s="2"/>
      <c r="M1666" s="10" t="b">
        <f aca="false">TRUE()</f>
        <v>1</v>
      </c>
      <c r="N1666" s="9" t="str">
        <f aca="false">IF(H1666="","",IF(H1666&gt;=Assumptions!$B$5,1,IF(H1666&gt;=Assumptions!$B$6,2,IF(H1666&gt;=Assumptions!$B$7,3,""))))</f>
        <v/>
      </c>
      <c r="O1666" s="9" t="n">
        <f aca="false">IF(N1666=1,Assumptions!$B$8,IF(N1666=2,Assumptions!$B$9,IF(N1666=3,Assumptions!$B$10,0)))</f>
        <v>0</v>
      </c>
      <c r="P1666" s="6" t="s">
        <v>30</v>
      </c>
      <c r="Q1666" s="6" t="s">
        <v>30</v>
      </c>
      <c r="R1666" s="11" t="s">
        <v>30</v>
      </c>
      <c r="S1666" s="6" t="s">
        <v>30</v>
      </c>
      <c r="T1666" s="11" t="s">
        <v>30</v>
      </c>
      <c r="U1666" s="6" t="s">
        <v>30</v>
      </c>
      <c r="V1666" s="6" t="s">
        <v>30</v>
      </c>
      <c r="W1666" s="6" t="s">
        <v>30</v>
      </c>
      <c r="X1666" s="2" t="s">
        <v>30</v>
      </c>
      <c r="Y1666" s="6" t="str">
        <f aca="false">IF(AND(X1666="processed",ISNUMBER(S1666)),S1666*O1666,"")</f>
        <v/>
      </c>
      <c r="Z1666" s="6" t="n">
        <f aca="false">IF(ISNUMBER(K1666),K1666*O1666,0)</f>
        <v>0</v>
      </c>
      <c r="AA1666" s="2" t="s">
        <v>31</v>
      </c>
      <c r="AB1666" s="6" t="n">
        <v>72</v>
      </c>
      <c r="AC1666" s="6" t="n">
        <v>54</v>
      </c>
      <c r="AD1666" s="6" t="n">
        <v>62</v>
      </c>
      <c r="AE1666" s="6" t="n">
        <v>2283.306640625</v>
      </c>
      <c r="AF1666" s="8"/>
      <c r="AG1666" s="11"/>
      <c r="AH1666" s="12" t="n">
        <v>1</v>
      </c>
      <c r="AI1666" s="2" t="s">
        <v>3686</v>
      </c>
      <c r="AJ1666" s="2" t="s">
        <v>3687</v>
      </c>
      <c r="AK1666" s="2" t="s">
        <v>3688</v>
      </c>
    </row>
    <row r="1667" customFormat="false" ht="15" hidden="false" customHeight="false" outlineLevel="0" collapsed="false">
      <c r="A1667" s="9"/>
      <c r="B1667" s="2" t="s">
        <v>3689</v>
      </c>
      <c r="C1667" s="2" t="s">
        <v>3568</v>
      </c>
      <c r="D1667" s="2" t="s">
        <v>976</v>
      </c>
      <c r="E1667" s="2" t="s">
        <v>976</v>
      </c>
      <c r="F1667" s="2"/>
      <c r="G1667" s="2" t="s">
        <v>323</v>
      </c>
      <c r="H1667" s="8" t="n">
        <v>277.075409958196</v>
      </c>
      <c r="I1667" s="2" t="s">
        <v>316</v>
      </c>
      <c r="J1667" s="8" t="n">
        <v>597239.131403118</v>
      </c>
      <c r="K1667" s="6" t="n">
        <v>449</v>
      </c>
      <c r="L1667" s="2"/>
      <c r="M1667" s="10" t="b">
        <f aca="false">TRUE()</f>
        <v>1</v>
      </c>
      <c r="N1667" s="9" t="str">
        <f aca="false">IF(H1667="","",IF(H1667&gt;=Assumptions!$B$5,1,IF(H1667&gt;=Assumptions!$B$6,2,IF(H1667&gt;=Assumptions!$B$7,3,""))))</f>
        <v/>
      </c>
      <c r="O1667" s="9" t="n">
        <f aca="false">IF(N1667=1,Assumptions!$B$8,IF(N1667=2,Assumptions!$B$9,IF(N1667=3,Assumptions!$B$10,0)))</f>
        <v>0</v>
      </c>
      <c r="P1667" s="6" t="s">
        <v>30</v>
      </c>
      <c r="Q1667" s="6" t="s">
        <v>30</v>
      </c>
      <c r="R1667" s="11" t="s">
        <v>30</v>
      </c>
      <c r="S1667" s="6" t="s">
        <v>30</v>
      </c>
      <c r="T1667" s="11" t="s">
        <v>30</v>
      </c>
      <c r="U1667" s="6" t="s">
        <v>30</v>
      </c>
      <c r="V1667" s="6" t="s">
        <v>30</v>
      </c>
      <c r="W1667" s="6" t="s">
        <v>30</v>
      </c>
      <c r="X1667" s="2" t="s">
        <v>30</v>
      </c>
      <c r="Y1667" s="6" t="str">
        <f aca="false">IF(AND(X1667="processed",ISNUMBER(S1667)),S1667*O1667,"")</f>
        <v/>
      </c>
      <c r="Z1667" s="6" t="n">
        <f aca="false">IF(ISNUMBER(K1667),K1667*O1667,0)</f>
        <v>0</v>
      </c>
      <c r="AA1667" s="2" t="s">
        <v>31</v>
      </c>
      <c r="AB1667" s="6" t="n">
        <v>7646</v>
      </c>
      <c r="AC1667" s="6" t="n">
        <v>6529</v>
      </c>
      <c r="AD1667" s="6" t="n">
        <v>5888</v>
      </c>
      <c r="AE1667" s="6" t="n">
        <v>2627.255859375</v>
      </c>
      <c r="AF1667" s="8" t="n">
        <v>278.959220914</v>
      </c>
      <c r="AG1667" s="11" t="n">
        <v>-0.007911943668</v>
      </c>
      <c r="AH1667" s="12" t="n">
        <v>1</v>
      </c>
      <c r="AI1667" s="2" t="s">
        <v>317</v>
      </c>
      <c r="AJ1667" s="2" t="s">
        <v>3568</v>
      </c>
      <c r="AK1667" s="2" t="s">
        <v>3568</v>
      </c>
    </row>
    <row r="1668" customFormat="false" ht="15" hidden="false" customHeight="false" outlineLevel="0" collapsed="false">
      <c r="A1668" s="9"/>
      <c r="B1668" s="2" t="s">
        <v>3690</v>
      </c>
      <c r="C1668" s="2" t="s">
        <v>3691</v>
      </c>
      <c r="D1668" s="2" t="s">
        <v>50</v>
      </c>
      <c r="E1668" s="2" t="s">
        <v>51</v>
      </c>
      <c r="F1668" s="2" t="s">
        <v>3692</v>
      </c>
      <c r="G1668" s="2" t="s">
        <v>323</v>
      </c>
      <c r="H1668" s="8" t="n">
        <v>415.781190645917</v>
      </c>
      <c r="I1668" s="2" t="s">
        <v>316</v>
      </c>
      <c r="J1668" s="8" t="n">
        <v>1249277.97833935</v>
      </c>
      <c r="K1668" s="6" t="n">
        <v>277</v>
      </c>
      <c r="L1668" s="2"/>
      <c r="M1668" s="10" t="b">
        <f aca="false">TRUE()</f>
        <v>1</v>
      </c>
      <c r="N1668" s="9" t="str">
        <f aca="false">IF(H1668="","",IF(H1668&gt;=Assumptions!$B$5,1,IF(H1668&gt;=Assumptions!$B$6,2,IF(H1668&gt;=Assumptions!$B$7,3,""))))</f>
        <v/>
      </c>
      <c r="O1668" s="9" t="n">
        <f aca="false">IF(N1668=1,Assumptions!$B$8,IF(N1668=2,Assumptions!$B$9,IF(N1668=3,Assumptions!$B$10,0)))</f>
        <v>0</v>
      </c>
      <c r="P1668" s="6" t="s">
        <v>30</v>
      </c>
      <c r="Q1668" s="6" t="s">
        <v>30</v>
      </c>
      <c r="R1668" s="11" t="s">
        <v>30</v>
      </c>
      <c r="S1668" s="6" t="s">
        <v>30</v>
      </c>
      <c r="T1668" s="11" t="s">
        <v>30</v>
      </c>
      <c r="U1668" s="6" t="s">
        <v>30</v>
      </c>
      <c r="V1668" s="6" t="s">
        <v>30</v>
      </c>
      <c r="W1668" s="6" t="s">
        <v>30</v>
      </c>
      <c r="X1668" s="2" t="s">
        <v>30</v>
      </c>
      <c r="Y1668" s="6" t="str">
        <f aca="false">IF(AND(X1668="processed",ISNUMBER(S1668)),S1668*O1668,"")</f>
        <v/>
      </c>
      <c r="Z1668" s="6" t="n">
        <f aca="false">IF(ISNUMBER(K1668),K1668*O1668,0)</f>
        <v>0</v>
      </c>
      <c r="AA1668" s="2" t="s">
        <v>31</v>
      </c>
      <c r="AB1668" s="6" t="n">
        <v>10230</v>
      </c>
      <c r="AC1668" s="6" t="n">
        <v>8765</v>
      </c>
      <c r="AD1668" s="6" t="n">
        <v>5968</v>
      </c>
      <c r="AE1668" s="6" t="n">
        <v>3220.50708007813</v>
      </c>
      <c r="AF1668" s="8" t="n">
        <v>438.208965999</v>
      </c>
      <c r="AG1668" s="11" t="n">
        <v>0.02333325376</v>
      </c>
      <c r="AH1668" s="12" t="n">
        <v>0.999174420799722</v>
      </c>
      <c r="AI1668" s="2" t="s">
        <v>335</v>
      </c>
      <c r="AJ1668" s="2" t="s">
        <v>3693</v>
      </c>
      <c r="AK1668" s="2" t="s">
        <v>1760</v>
      </c>
    </row>
    <row r="1669" customFormat="false" ht="15" hidden="false" customHeight="false" outlineLevel="0" collapsed="false">
      <c r="A1669" s="9"/>
      <c r="B1669" s="2" t="s">
        <v>3694</v>
      </c>
      <c r="C1669" s="2" t="s">
        <v>1760</v>
      </c>
      <c r="D1669" s="2" t="s">
        <v>50</v>
      </c>
      <c r="E1669" s="2" t="s">
        <v>51</v>
      </c>
      <c r="F1669" s="2" t="s">
        <v>3695</v>
      </c>
      <c r="G1669" s="2" t="s">
        <v>323</v>
      </c>
      <c r="H1669" s="8" t="n">
        <v>318.098570812989</v>
      </c>
      <c r="I1669" s="2" t="s">
        <v>316</v>
      </c>
      <c r="J1669" s="8" t="n">
        <v>644093.849525201</v>
      </c>
      <c r="K1669" s="6" t="n">
        <v>1369</v>
      </c>
      <c r="L1669" s="2"/>
      <c r="M1669" s="10" t="b">
        <f aca="false">TRUE()</f>
        <v>1</v>
      </c>
      <c r="N1669" s="9" t="str">
        <f aca="false">IF(H1669="","",IF(H1669&gt;=Assumptions!$B$5,1,IF(H1669&gt;=Assumptions!$B$6,2,IF(H1669&gt;=Assumptions!$B$7,3,""))))</f>
        <v/>
      </c>
      <c r="O1669" s="9" t="n">
        <f aca="false">IF(N1669=1,Assumptions!$B$8,IF(N1669=2,Assumptions!$B$9,IF(N1669=3,Assumptions!$B$10,0)))</f>
        <v>0</v>
      </c>
      <c r="P1669" s="6" t="s">
        <v>30</v>
      </c>
      <c r="Q1669" s="6" t="s">
        <v>30</v>
      </c>
      <c r="R1669" s="11" t="s">
        <v>30</v>
      </c>
      <c r="S1669" s="6" t="s">
        <v>30</v>
      </c>
      <c r="T1669" s="11" t="s">
        <v>30</v>
      </c>
      <c r="U1669" s="6" t="s">
        <v>30</v>
      </c>
      <c r="V1669" s="6" t="s">
        <v>30</v>
      </c>
      <c r="W1669" s="6" t="s">
        <v>30</v>
      </c>
      <c r="X1669" s="2" t="s">
        <v>30</v>
      </c>
      <c r="Y1669" s="6" t="str">
        <f aca="false">IF(AND(X1669="processed",ISNUMBER(S1669)),S1669*O1669,"")</f>
        <v/>
      </c>
      <c r="Z1669" s="6" t="n">
        <f aca="false">IF(ISNUMBER(K1669),K1669*O1669,0)</f>
        <v>0</v>
      </c>
      <c r="AA1669" s="2" t="s">
        <v>31</v>
      </c>
      <c r="AB1669" s="6" t="n">
        <v>31634</v>
      </c>
      <c r="AC1669" s="6" t="n">
        <v>29878</v>
      </c>
      <c r="AD1669" s="6" t="n">
        <v>1795</v>
      </c>
      <c r="AE1669" s="6" t="n">
        <v>2606.07299804688</v>
      </c>
      <c r="AF1669" s="8" t="n">
        <v>322.311913884</v>
      </c>
      <c r="AG1669" s="11" t="n">
        <v>-0.01832921782</v>
      </c>
      <c r="AH1669" s="12" t="n">
        <v>0.999381324831473</v>
      </c>
      <c r="AI1669" s="2" t="s">
        <v>582</v>
      </c>
      <c r="AJ1669" s="2" t="s">
        <v>1760</v>
      </c>
      <c r="AK1669" s="2" t="s">
        <v>1760</v>
      </c>
    </row>
    <row r="1670" customFormat="false" ht="15" hidden="false" customHeight="false" outlineLevel="0" collapsed="false">
      <c r="A1670" s="9"/>
      <c r="B1670" s="2" t="s">
        <v>3696</v>
      </c>
      <c r="C1670" s="2" t="s">
        <v>3512</v>
      </c>
      <c r="D1670" s="2" t="s">
        <v>976</v>
      </c>
      <c r="E1670" s="2" t="s">
        <v>976</v>
      </c>
      <c r="F1670" s="2" t="s">
        <v>3697</v>
      </c>
      <c r="G1670" s="2" t="s">
        <v>323</v>
      </c>
      <c r="H1670" s="8" t="n">
        <v>305.009828906632</v>
      </c>
      <c r="I1670" s="2" t="s">
        <v>316</v>
      </c>
      <c r="J1670" s="8" t="n">
        <v>686816.875457875</v>
      </c>
      <c r="K1670" s="6" t="n">
        <v>546</v>
      </c>
      <c r="L1670" s="2"/>
      <c r="M1670" s="10" t="b">
        <f aca="false">TRUE()</f>
        <v>1</v>
      </c>
      <c r="N1670" s="9" t="str">
        <f aca="false">IF(H1670="","",IF(H1670&gt;=Assumptions!$B$5,1,IF(H1670&gt;=Assumptions!$B$6,2,IF(H1670&gt;=Assumptions!$B$7,3,""))))</f>
        <v/>
      </c>
      <c r="O1670" s="9" t="n">
        <f aca="false">IF(N1670=1,Assumptions!$B$8,IF(N1670=2,Assumptions!$B$9,IF(N1670=3,Assumptions!$B$10,0)))</f>
        <v>0</v>
      </c>
      <c r="P1670" s="6" t="s">
        <v>30</v>
      </c>
      <c r="Q1670" s="6" t="s">
        <v>30</v>
      </c>
      <c r="R1670" s="11" t="s">
        <v>30</v>
      </c>
      <c r="S1670" s="6" t="s">
        <v>30</v>
      </c>
      <c r="T1670" s="11" t="s">
        <v>30</v>
      </c>
      <c r="U1670" s="6" t="s">
        <v>30</v>
      </c>
      <c r="V1670" s="6" t="s">
        <v>30</v>
      </c>
      <c r="W1670" s="6" t="s">
        <v>30</v>
      </c>
      <c r="X1670" s="2" t="s">
        <v>30</v>
      </c>
      <c r="Y1670" s="6" t="str">
        <f aca="false">IF(AND(X1670="processed",ISNUMBER(S1670)),S1670*O1670,"")</f>
        <v/>
      </c>
      <c r="Z1670" s="6" t="n">
        <f aca="false">IF(ISNUMBER(K1670),K1670*O1670,0)</f>
        <v>0</v>
      </c>
      <c r="AA1670" s="2" t="s">
        <v>31</v>
      </c>
      <c r="AB1670" s="6" t="n">
        <v>17658</v>
      </c>
      <c r="AC1670" s="6" t="n">
        <v>16571</v>
      </c>
      <c r="AD1670" s="6" t="n">
        <v>2170</v>
      </c>
      <c r="AE1670" s="6" t="n">
        <v>2620.93969726563</v>
      </c>
      <c r="AF1670" s="8" t="n">
        <v>307.568720564</v>
      </c>
      <c r="AG1670" s="11" t="n">
        <v>-0.01856993604</v>
      </c>
      <c r="AH1670" s="12" t="n">
        <v>1</v>
      </c>
      <c r="AI1670" s="2" t="s">
        <v>317</v>
      </c>
      <c r="AJ1670" s="2" t="s">
        <v>3512</v>
      </c>
      <c r="AK1670" s="2" t="s">
        <v>3512</v>
      </c>
    </row>
    <row r="1671" customFormat="false" ht="15" hidden="false" customHeight="false" outlineLevel="0" collapsed="false">
      <c r="A1671" s="9"/>
      <c r="B1671" s="2" t="s">
        <v>3698</v>
      </c>
      <c r="C1671" s="2" t="s">
        <v>3512</v>
      </c>
      <c r="D1671" s="2" t="s">
        <v>976</v>
      </c>
      <c r="E1671" s="2" t="s">
        <v>976</v>
      </c>
      <c r="F1671" s="2" t="s">
        <v>3699</v>
      </c>
      <c r="G1671" s="2" t="s">
        <v>323</v>
      </c>
      <c r="H1671" s="8" t="n">
        <v>330.061776996039</v>
      </c>
      <c r="I1671" s="2" t="s">
        <v>316</v>
      </c>
      <c r="J1671" s="8" t="n">
        <v>577817.708333333</v>
      </c>
      <c r="K1671" s="6" t="n">
        <v>384</v>
      </c>
      <c r="L1671" s="2"/>
      <c r="M1671" s="10" t="b">
        <f aca="false">TRUE()</f>
        <v>1</v>
      </c>
      <c r="N1671" s="9" t="str">
        <f aca="false">IF(H1671="","",IF(H1671&gt;=Assumptions!$B$5,1,IF(H1671&gt;=Assumptions!$B$6,2,IF(H1671&gt;=Assumptions!$B$7,3,""))))</f>
        <v/>
      </c>
      <c r="O1671" s="9" t="n">
        <f aca="false">IF(N1671=1,Assumptions!$B$8,IF(N1671=2,Assumptions!$B$9,IF(N1671=3,Assumptions!$B$10,0)))</f>
        <v>0</v>
      </c>
      <c r="P1671" s="6" t="s">
        <v>30</v>
      </c>
      <c r="Q1671" s="6" t="s">
        <v>30</v>
      </c>
      <c r="R1671" s="11" t="s">
        <v>30</v>
      </c>
      <c r="S1671" s="6" t="s">
        <v>30</v>
      </c>
      <c r="T1671" s="11" t="s">
        <v>30</v>
      </c>
      <c r="U1671" s="6" t="s">
        <v>30</v>
      </c>
      <c r="V1671" s="6" t="s">
        <v>30</v>
      </c>
      <c r="W1671" s="6" t="s">
        <v>30</v>
      </c>
      <c r="X1671" s="2" t="s">
        <v>30</v>
      </c>
      <c r="Y1671" s="6" t="str">
        <f aca="false">IF(AND(X1671="processed",ISNUMBER(S1671)),S1671*O1671,"")</f>
        <v/>
      </c>
      <c r="Z1671" s="6" t="n">
        <f aca="false">IF(ISNUMBER(K1671),K1671*O1671,0)</f>
        <v>0</v>
      </c>
      <c r="AA1671" s="2" t="s">
        <v>31</v>
      </c>
      <c r="AB1671" s="6" t="n">
        <v>20356</v>
      </c>
      <c r="AC1671" s="6" t="n">
        <v>18987</v>
      </c>
      <c r="AD1671" s="6" t="n">
        <v>4534</v>
      </c>
      <c r="AE1671" s="6" t="n">
        <v>2290.04907226563</v>
      </c>
      <c r="AF1671" s="8" t="n">
        <v>334.419817471</v>
      </c>
      <c r="AG1671" s="11" t="n">
        <v>-0.03908793602</v>
      </c>
      <c r="AH1671" s="12" t="n">
        <v>1</v>
      </c>
      <c r="AI1671" s="2" t="s">
        <v>317</v>
      </c>
      <c r="AJ1671" s="2" t="s">
        <v>3512</v>
      </c>
      <c r="AK1671" s="2" t="s">
        <v>3512</v>
      </c>
    </row>
    <row r="1672" customFormat="false" ht="15" hidden="false" customHeight="false" outlineLevel="0" collapsed="false">
      <c r="A1672" s="9"/>
      <c r="B1672" s="2" t="s">
        <v>3700</v>
      </c>
      <c r="C1672" s="2"/>
      <c r="D1672" s="2" t="s">
        <v>1190</v>
      </c>
      <c r="E1672" s="2" t="s">
        <v>1191</v>
      </c>
      <c r="F1672" s="2"/>
      <c r="G1672" s="2" t="s">
        <v>323</v>
      </c>
      <c r="H1672" s="8" t="n">
        <v>332.317073171</v>
      </c>
      <c r="I1672" s="2" t="s">
        <v>316</v>
      </c>
      <c r="J1672" s="8" t="n">
        <v>545000</v>
      </c>
      <c r="K1672" s="6" t="n">
        <v>1</v>
      </c>
      <c r="L1672" s="2" t="s">
        <v>1664</v>
      </c>
      <c r="M1672" s="10" t="b">
        <f aca="false">FALSE()</f>
        <v>0</v>
      </c>
      <c r="N1672" s="9" t="str">
        <f aca="false">IF(H1672="","",IF(H1672&gt;=Assumptions!$B$5,1,IF(H1672&gt;=Assumptions!$B$6,2,IF(H1672&gt;=Assumptions!$B$7,3,""))))</f>
        <v/>
      </c>
      <c r="O1672" s="9" t="n">
        <f aca="false">IF(N1672=1,Assumptions!$B$8,IF(N1672=2,Assumptions!$B$9,IF(N1672=3,Assumptions!$B$10,0)))</f>
        <v>0</v>
      </c>
      <c r="P1672" s="6" t="s">
        <v>30</v>
      </c>
      <c r="Q1672" s="6" t="s">
        <v>30</v>
      </c>
      <c r="R1672" s="11" t="s">
        <v>30</v>
      </c>
      <c r="S1672" s="6" t="s">
        <v>30</v>
      </c>
      <c r="T1672" s="11" t="s">
        <v>30</v>
      </c>
      <c r="U1672" s="6" t="s">
        <v>30</v>
      </c>
      <c r="V1672" s="6" t="s">
        <v>30</v>
      </c>
      <c r="W1672" s="6" t="s">
        <v>30</v>
      </c>
      <c r="X1672" s="2" t="s">
        <v>30</v>
      </c>
      <c r="Y1672" s="6" t="str">
        <f aca="false">IF(AND(X1672="processed",ISNUMBER(S1672)),S1672*O1672,"")</f>
        <v/>
      </c>
      <c r="Z1672" s="6" t="n">
        <f aca="false">IF(ISNUMBER(K1672),K1672*O1672,0)</f>
        <v>0</v>
      </c>
      <c r="AA1672" s="2" t="s">
        <v>31</v>
      </c>
      <c r="AB1672" s="6"/>
      <c r="AC1672" s="6"/>
      <c r="AD1672" s="6"/>
      <c r="AE1672" s="6"/>
      <c r="AF1672" s="8" t="n">
        <v>332.317073171</v>
      </c>
      <c r="AG1672" s="11"/>
      <c r="AH1672" s="12"/>
      <c r="AI1672" s="2"/>
      <c r="AJ1672" s="2"/>
      <c r="AK1672" s="2"/>
    </row>
    <row r="1673" customFormat="false" ht="15" hidden="false" customHeight="false" outlineLevel="0" collapsed="false">
      <c r="A1673" s="9"/>
      <c r="B1673" s="2" t="s">
        <v>3701</v>
      </c>
      <c r="C1673" s="2" t="s">
        <v>3527</v>
      </c>
      <c r="D1673" s="2" t="s">
        <v>1207</v>
      </c>
      <c r="E1673" s="2" t="s">
        <v>51</v>
      </c>
      <c r="F1673" s="2" t="s">
        <v>3702</v>
      </c>
      <c r="G1673" s="2" t="s">
        <v>323</v>
      </c>
      <c r="H1673" s="8" t="n">
        <v>355.942824023917</v>
      </c>
      <c r="I1673" s="2" t="s">
        <v>316</v>
      </c>
      <c r="J1673" s="8" t="n">
        <v>937465.960665658</v>
      </c>
      <c r="K1673" s="6" t="n">
        <v>661</v>
      </c>
      <c r="L1673" s="2"/>
      <c r="M1673" s="10" t="b">
        <f aca="false">TRUE()</f>
        <v>1</v>
      </c>
      <c r="N1673" s="9" t="str">
        <f aca="false">IF(H1673="","",IF(H1673&gt;=Assumptions!$B$5,1,IF(H1673&gt;=Assumptions!$B$6,2,IF(H1673&gt;=Assumptions!$B$7,3,""))))</f>
        <v/>
      </c>
      <c r="O1673" s="9" t="n">
        <f aca="false">IF(N1673=1,Assumptions!$B$8,IF(N1673=2,Assumptions!$B$9,IF(N1673=3,Assumptions!$B$10,0)))</f>
        <v>0</v>
      </c>
      <c r="P1673" s="6" t="s">
        <v>30</v>
      </c>
      <c r="Q1673" s="6" t="s">
        <v>30</v>
      </c>
      <c r="R1673" s="11" t="s">
        <v>30</v>
      </c>
      <c r="S1673" s="6" t="s">
        <v>30</v>
      </c>
      <c r="T1673" s="11" t="s">
        <v>30</v>
      </c>
      <c r="U1673" s="6" t="s">
        <v>30</v>
      </c>
      <c r="V1673" s="6" t="s">
        <v>30</v>
      </c>
      <c r="W1673" s="6" t="s">
        <v>30</v>
      </c>
      <c r="X1673" s="2" t="s">
        <v>30</v>
      </c>
      <c r="Y1673" s="6" t="str">
        <f aca="false">IF(AND(X1673="processed",ISNUMBER(S1673)),S1673*O1673,"")</f>
        <v/>
      </c>
      <c r="Z1673" s="6" t="n">
        <f aca="false">IF(ISNUMBER(K1673),K1673*O1673,0)</f>
        <v>0</v>
      </c>
      <c r="AA1673" s="2" t="s">
        <v>31</v>
      </c>
      <c r="AB1673" s="6" t="n">
        <v>18543</v>
      </c>
      <c r="AC1673" s="6" t="n">
        <v>16658</v>
      </c>
      <c r="AD1673" s="6" t="n">
        <v>16219</v>
      </c>
      <c r="AE1673" s="6" t="n">
        <v>3148.5703125</v>
      </c>
      <c r="AF1673" s="8" t="n">
        <v>365.174877774</v>
      </c>
      <c r="AG1673" s="11" t="n">
        <v>-0.003160281742</v>
      </c>
      <c r="AH1673" s="12" t="n">
        <v>0.994488082900759</v>
      </c>
      <c r="AI1673" s="2" t="s">
        <v>319</v>
      </c>
      <c r="AJ1673" s="2"/>
      <c r="AK1673" s="2" t="s">
        <v>3527</v>
      </c>
    </row>
    <row r="1674" customFormat="false" ht="15" hidden="false" customHeight="false" outlineLevel="0" collapsed="false">
      <c r="A1674" s="9"/>
      <c r="B1674" s="2" t="s">
        <v>3703</v>
      </c>
      <c r="C1674" s="2" t="s">
        <v>3582</v>
      </c>
      <c r="D1674" s="2" t="s">
        <v>50</v>
      </c>
      <c r="E1674" s="2" t="s">
        <v>51</v>
      </c>
      <c r="F1674" s="2"/>
      <c r="G1674" s="2" t="s">
        <v>323</v>
      </c>
      <c r="H1674" s="8" t="n">
        <v>329.720310256249</v>
      </c>
      <c r="I1674" s="2" t="s">
        <v>316</v>
      </c>
      <c r="J1674" s="8" t="n">
        <v>726802.663438257</v>
      </c>
      <c r="K1674" s="6" t="n">
        <v>413</v>
      </c>
      <c r="L1674" s="2"/>
      <c r="M1674" s="10" t="b">
        <f aca="false">TRUE()</f>
        <v>1</v>
      </c>
      <c r="N1674" s="9" t="str">
        <f aca="false">IF(H1674="","",IF(H1674&gt;=Assumptions!$B$5,1,IF(H1674&gt;=Assumptions!$B$6,2,IF(H1674&gt;=Assumptions!$B$7,3,""))))</f>
        <v/>
      </c>
      <c r="O1674" s="9" t="n">
        <f aca="false">IF(N1674=1,Assumptions!$B$8,IF(N1674=2,Assumptions!$B$9,IF(N1674=3,Assumptions!$B$10,0)))</f>
        <v>0</v>
      </c>
      <c r="P1674" s="6" t="s">
        <v>30</v>
      </c>
      <c r="Q1674" s="6" t="s">
        <v>30</v>
      </c>
      <c r="R1674" s="11" t="s">
        <v>30</v>
      </c>
      <c r="S1674" s="6" t="s">
        <v>30</v>
      </c>
      <c r="T1674" s="11" t="s">
        <v>30</v>
      </c>
      <c r="U1674" s="6" t="s">
        <v>30</v>
      </c>
      <c r="V1674" s="6" t="s">
        <v>30</v>
      </c>
      <c r="W1674" s="6" t="s">
        <v>30</v>
      </c>
      <c r="X1674" s="2" t="s">
        <v>30</v>
      </c>
      <c r="Y1674" s="6" t="str">
        <f aca="false">IF(AND(X1674="processed",ISNUMBER(S1674)),S1674*O1674,"")</f>
        <v/>
      </c>
      <c r="Z1674" s="6" t="n">
        <f aca="false">IF(ISNUMBER(K1674),K1674*O1674,0)</f>
        <v>0</v>
      </c>
      <c r="AA1674" s="2" t="s">
        <v>31</v>
      </c>
      <c r="AB1674" s="6" t="n">
        <v>13193</v>
      </c>
      <c r="AC1674" s="6" t="n">
        <v>12315</v>
      </c>
      <c r="AD1674" s="6" t="n">
        <v>424</v>
      </c>
      <c r="AE1674" s="6" t="n">
        <v>2604.92724609375</v>
      </c>
      <c r="AF1674" s="8" t="n">
        <v>329.153605016</v>
      </c>
      <c r="AG1674" s="11" t="n">
        <v>-0.02138211763</v>
      </c>
      <c r="AH1674" s="12" t="n">
        <v>1</v>
      </c>
      <c r="AI1674" s="2" t="s">
        <v>317</v>
      </c>
      <c r="AJ1674" s="2" t="s">
        <v>3582</v>
      </c>
      <c r="AK1674" s="2" t="s">
        <v>3582</v>
      </c>
    </row>
    <row r="1675" customFormat="false" ht="15" hidden="false" customHeight="false" outlineLevel="0" collapsed="false">
      <c r="A1675" s="9"/>
      <c r="B1675" s="2" t="s">
        <v>3704</v>
      </c>
      <c r="C1675" s="2" t="s">
        <v>3646</v>
      </c>
      <c r="D1675" s="2" t="s">
        <v>1800</v>
      </c>
      <c r="E1675" s="2" t="s">
        <v>51</v>
      </c>
      <c r="F1675" s="2"/>
      <c r="G1675" s="2" t="s">
        <v>323</v>
      </c>
      <c r="H1675" s="8" t="n">
        <v>309.279209339308</v>
      </c>
      <c r="I1675" s="2" t="s">
        <v>316</v>
      </c>
      <c r="J1675" s="8" t="n">
        <v>616255.924170616</v>
      </c>
      <c r="K1675" s="6" t="n">
        <v>211</v>
      </c>
      <c r="L1675" s="2"/>
      <c r="M1675" s="10" t="b">
        <f aca="false">TRUE()</f>
        <v>1</v>
      </c>
      <c r="N1675" s="9" t="str">
        <f aca="false">IF(H1675="","",IF(H1675&gt;=Assumptions!$B$5,1,IF(H1675&gt;=Assumptions!$B$6,2,IF(H1675&gt;=Assumptions!$B$7,3,""))))</f>
        <v/>
      </c>
      <c r="O1675" s="9" t="n">
        <f aca="false">IF(N1675=1,Assumptions!$B$8,IF(N1675=2,Assumptions!$B$9,IF(N1675=3,Assumptions!$B$10,0)))</f>
        <v>0</v>
      </c>
      <c r="P1675" s="6" t="s">
        <v>30</v>
      </c>
      <c r="Q1675" s="6" t="s">
        <v>30</v>
      </c>
      <c r="R1675" s="11" t="s">
        <v>30</v>
      </c>
      <c r="S1675" s="6" t="s">
        <v>30</v>
      </c>
      <c r="T1675" s="11" t="s">
        <v>30</v>
      </c>
      <c r="U1675" s="6" t="s">
        <v>30</v>
      </c>
      <c r="V1675" s="6" t="s">
        <v>30</v>
      </c>
      <c r="W1675" s="6" t="s">
        <v>30</v>
      </c>
      <c r="X1675" s="2" t="s">
        <v>30</v>
      </c>
      <c r="Y1675" s="6" t="str">
        <f aca="false">IF(AND(X1675="processed",ISNUMBER(S1675)),S1675*O1675,"")</f>
        <v/>
      </c>
      <c r="Z1675" s="6" t="n">
        <f aca="false">IF(ISNUMBER(K1675),K1675*O1675,0)</f>
        <v>0</v>
      </c>
      <c r="AA1675" s="2" t="s">
        <v>31</v>
      </c>
      <c r="AB1675" s="6" t="n">
        <v>10277</v>
      </c>
      <c r="AC1675" s="6" t="n">
        <v>9054</v>
      </c>
      <c r="AD1675" s="6" t="n">
        <v>531</v>
      </c>
      <c r="AE1675" s="6" t="n">
        <v>2265.4150390625</v>
      </c>
      <c r="AF1675" s="8" t="n">
        <v>314.744441492</v>
      </c>
      <c r="AG1675" s="11" t="n">
        <v>-0.01435293322</v>
      </c>
      <c r="AH1675" s="12" t="n">
        <v>0.999578155307437</v>
      </c>
      <c r="AI1675" s="2" t="s">
        <v>317</v>
      </c>
      <c r="AJ1675" s="2" t="s">
        <v>3646</v>
      </c>
      <c r="AK1675" s="2" t="s">
        <v>3646</v>
      </c>
    </row>
    <row r="1676" customFormat="false" ht="15" hidden="false" customHeight="false" outlineLevel="0" collapsed="false">
      <c r="A1676" s="9"/>
      <c r="B1676" s="2" t="s">
        <v>3705</v>
      </c>
      <c r="C1676" s="2" t="s">
        <v>976</v>
      </c>
      <c r="D1676" s="2" t="s">
        <v>976</v>
      </c>
      <c r="E1676" s="2" t="s">
        <v>976</v>
      </c>
      <c r="F1676" s="2" t="s">
        <v>3706</v>
      </c>
      <c r="G1676" s="2" t="s">
        <v>323</v>
      </c>
      <c r="H1676" s="8" t="n">
        <v>414.166947819083</v>
      </c>
      <c r="I1676" s="2" t="s">
        <v>316</v>
      </c>
      <c r="J1676" s="8" t="n">
        <v>767333.333333333</v>
      </c>
      <c r="K1676" s="6" t="n">
        <v>24</v>
      </c>
      <c r="L1676" s="2"/>
      <c r="M1676" s="10" t="b">
        <f aca="false">TRUE()</f>
        <v>1</v>
      </c>
      <c r="N1676" s="9" t="str">
        <f aca="false">IF(H1676="","",IF(H1676&gt;=Assumptions!$B$5,1,IF(H1676&gt;=Assumptions!$B$6,2,IF(H1676&gt;=Assumptions!$B$7,3,""))))</f>
        <v/>
      </c>
      <c r="O1676" s="9" t="n">
        <f aca="false">IF(N1676=1,Assumptions!$B$8,IF(N1676=2,Assumptions!$B$9,IF(N1676=3,Assumptions!$B$10,0)))</f>
        <v>0</v>
      </c>
      <c r="P1676" s="6" t="s">
        <v>30</v>
      </c>
      <c r="Q1676" s="6" t="s">
        <v>30</v>
      </c>
      <c r="R1676" s="11" t="s">
        <v>30</v>
      </c>
      <c r="S1676" s="6" t="s">
        <v>30</v>
      </c>
      <c r="T1676" s="11" t="s">
        <v>30</v>
      </c>
      <c r="U1676" s="6" t="s">
        <v>30</v>
      </c>
      <c r="V1676" s="6" t="s">
        <v>30</v>
      </c>
      <c r="W1676" s="6" t="s">
        <v>30</v>
      </c>
      <c r="X1676" s="2" t="s">
        <v>30</v>
      </c>
      <c r="Y1676" s="6" t="str">
        <f aca="false">IF(AND(X1676="processed",ISNUMBER(S1676)),S1676*O1676,"")</f>
        <v/>
      </c>
      <c r="Z1676" s="6" t="n">
        <f aca="false">IF(ISNUMBER(K1676),K1676*O1676,0)</f>
        <v>0</v>
      </c>
      <c r="AA1676" s="2" t="s">
        <v>31</v>
      </c>
      <c r="AB1676" s="6" t="n">
        <v>2449</v>
      </c>
      <c r="AC1676" s="6" t="n">
        <v>1723</v>
      </c>
      <c r="AD1676" s="6" t="n">
        <v>191</v>
      </c>
      <c r="AE1676" s="6" t="n">
        <v>1698.35424804688</v>
      </c>
      <c r="AF1676" s="8" t="n">
        <v>392.088014981</v>
      </c>
      <c r="AG1676" s="11" t="n">
        <v>-0.13424794</v>
      </c>
      <c r="AH1676" s="12" t="n">
        <v>0.998193748806709</v>
      </c>
      <c r="AI1676" s="2" t="s">
        <v>317</v>
      </c>
      <c r="AJ1676" s="2" t="s">
        <v>976</v>
      </c>
      <c r="AK1676" s="2" t="s">
        <v>976</v>
      </c>
    </row>
    <row r="1677" customFormat="false" ht="15" hidden="false" customHeight="false" outlineLevel="0" collapsed="false">
      <c r="A1677" s="9"/>
      <c r="B1677" s="2" t="s">
        <v>3707</v>
      </c>
      <c r="C1677" s="2" t="s">
        <v>976</v>
      </c>
      <c r="D1677" s="2" t="s">
        <v>976</v>
      </c>
      <c r="E1677" s="2" t="s">
        <v>976</v>
      </c>
      <c r="F1677" s="2" t="s">
        <v>3708</v>
      </c>
      <c r="G1677" s="2" t="s">
        <v>323</v>
      </c>
      <c r="H1677" s="8" t="n">
        <v>402.5286078908</v>
      </c>
      <c r="I1677" s="2" t="s">
        <v>316</v>
      </c>
      <c r="J1677" s="8" t="n">
        <v>777650</v>
      </c>
      <c r="K1677" s="6" t="n">
        <v>10</v>
      </c>
      <c r="L1677" s="2"/>
      <c r="M1677" s="10" t="b">
        <f aca="false">TRUE()</f>
        <v>1</v>
      </c>
      <c r="N1677" s="9" t="str">
        <f aca="false">IF(H1677="","",IF(H1677&gt;=Assumptions!$B$5,1,IF(H1677&gt;=Assumptions!$B$6,2,IF(H1677&gt;=Assumptions!$B$7,3,""))))</f>
        <v/>
      </c>
      <c r="O1677" s="9" t="n">
        <f aca="false">IF(N1677=1,Assumptions!$B$8,IF(N1677=2,Assumptions!$B$9,IF(N1677=3,Assumptions!$B$10,0)))</f>
        <v>0</v>
      </c>
      <c r="P1677" s="6" t="s">
        <v>30</v>
      </c>
      <c r="Q1677" s="6" t="s">
        <v>30</v>
      </c>
      <c r="R1677" s="11" t="s">
        <v>30</v>
      </c>
      <c r="S1677" s="6" t="s">
        <v>30</v>
      </c>
      <c r="T1677" s="11" t="s">
        <v>30</v>
      </c>
      <c r="U1677" s="6" t="s">
        <v>30</v>
      </c>
      <c r="V1677" s="6" t="s">
        <v>30</v>
      </c>
      <c r="W1677" s="6" t="s">
        <v>30</v>
      </c>
      <c r="X1677" s="2" t="s">
        <v>30</v>
      </c>
      <c r="Y1677" s="6" t="str">
        <f aca="false">IF(AND(X1677="processed",ISNUMBER(S1677)),S1677*O1677,"")</f>
        <v/>
      </c>
      <c r="Z1677" s="6" t="n">
        <f aca="false">IF(ISNUMBER(K1677),K1677*O1677,0)</f>
        <v>0</v>
      </c>
      <c r="AA1677" s="2" t="s">
        <v>31</v>
      </c>
      <c r="AB1677" s="6" t="n">
        <v>1624</v>
      </c>
      <c r="AC1677" s="6" t="n">
        <v>1137</v>
      </c>
      <c r="AD1677" s="6" t="n">
        <v>38</v>
      </c>
      <c r="AE1677" s="6" t="n">
        <v>1548.15795898438</v>
      </c>
      <c r="AF1677" s="8" t="n">
        <v>413.870246085</v>
      </c>
      <c r="AG1677" s="11" t="n">
        <v>-0.04354224654</v>
      </c>
      <c r="AH1677" s="12" t="n">
        <v>0.99588017982884</v>
      </c>
      <c r="AI1677" s="2" t="s">
        <v>317</v>
      </c>
      <c r="AJ1677" s="2" t="s">
        <v>976</v>
      </c>
      <c r="AK1677" s="2" t="s">
        <v>976</v>
      </c>
    </row>
    <row r="1678" customFormat="false" ht="15" hidden="false" customHeight="false" outlineLevel="0" collapsed="false">
      <c r="A1678" s="9"/>
      <c r="B1678" s="2" t="s">
        <v>3709</v>
      </c>
      <c r="C1678" s="2" t="s">
        <v>976</v>
      </c>
      <c r="D1678" s="2" t="s">
        <v>976</v>
      </c>
      <c r="E1678" s="2" t="s">
        <v>976</v>
      </c>
      <c r="F1678" s="2" t="s">
        <v>3710</v>
      </c>
      <c r="G1678" s="2" t="s">
        <v>323</v>
      </c>
      <c r="H1678" s="8" t="n">
        <v>335.529809640669</v>
      </c>
      <c r="I1678" s="2" t="s">
        <v>316</v>
      </c>
      <c r="J1678" s="8" t="n">
        <v>346118.110236221</v>
      </c>
      <c r="K1678" s="6" t="n">
        <v>127</v>
      </c>
      <c r="L1678" s="2"/>
      <c r="M1678" s="10" t="b">
        <f aca="false">TRUE()</f>
        <v>1</v>
      </c>
      <c r="N1678" s="9" t="str">
        <f aca="false">IF(H1678="","",IF(H1678&gt;=Assumptions!$B$5,1,IF(H1678&gt;=Assumptions!$B$6,2,IF(H1678&gt;=Assumptions!$B$7,3,""))))</f>
        <v/>
      </c>
      <c r="O1678" s="9" t="n">
        <f aca="false">IF(N1678=1,Assumptions!$B$8,IF(N1678=2,Assumptions!$B$9,IF(N1678=3,Assumptions!$B$10,0)))</f>
        <v>0</v>
      </c>
      <c r="P1678" s="6" t="s">
        <v>30</v>
      </c>
      <c r="Q1678" s="6" t="s">
        <v>30</v>
      </c>
      <c r="R1678" s="11" t="s">
        <v>30</v>
      </c>
      <c r="S1678" s="6" t="s">
        <v>30</v>
      </c>
      <c r="T1678" s="11" t="s">
        <v>30</v>
      </c>
      <c r="U1678" s="6" t="s">
        <v>30</v>
      </c>
      <c r="V1678" s="6" t="s">
        <v>30</v>
      </c>
      <c r="W1678" s="6" t="s">
        <v>30</v>
      </c>
      <c r="X1678" s="2" t="s">
        <v>30</v>
      </c>
      <c r="Y1678" s="6" t="str">
        <f aca="false">IF(AND(X1678="processed",ISNUMBER(S1678)),S1678*O1678,"")</f>
        <v/>
      </c>
      <c r="Z1678" s="6" t="n">
        <f aca="false">IF(ISNUMBER(K1678),K1678*O1678,0)</f>
        <v>0</v>
      </c>
      <c r="AA1678" s="2" t="s">
        <v>31</v>
      </c>
      <c r="AB1678" s="6" t="n">
        <v>9443</v>
      </c>
      <c r="AC1678" s="6" t="n">
        <v>7485</v>
      </c>
      <c r="AD1678" s="6" t="n">
        <v>794</v>
      </c>
      <c r="AE1678" s="6" t="n">
        <v>1599.66967773438</v>
      </c>
      <c r="AF1678" s="8" t="n">
        <v>313.25280112</v>
      </c>
      <c r="AG1678" s="11" t="n">
        <v>-0.1073144805</v>
      </c>
      <c r="AH1678" s="12" t="n">
        <v>0.999999999999999</v>
      </c>
      <c r="AI1678" s="2" t="s">
        <v>317</v>
      </c>
      <c r="AJ1678" s="2" t="s">
        <v>976</v>
      </c>
      <c r="AK1678" s="2" t="s">
        <v>976</v>
      </c>
    </row>
    <row r="1679" customFormat="false" ht="15" hidden="false" customHeight="false" outlineLevel="0" collapsed="false">
      <c r="A1679" s="9"/>
      <c r="B1679" s="2" t="s">
        <v>3711</v>
      </c>
      <c r="C1679" s="2" t="s">
        <v>976</v>
      </c>
      <c r="D1679" s="2" t="s">
        <v>976</v>
      </c>
      <c r="E1679" s="2" t="s">
        <v>976</v>
      </c>
      <c r="F1679" s="2" t="s">
        <v>3712</v>
      </c>
      <c r="G1679" s="2" t="s">
        <v>323</v>
      </c>
      <c r="H1679" s="8" t="n">
        <v>427.152652502713</v>
      </c>
      <c r="I1679" s="2" t="s">
        <v>316</v>
      </c>
      <c r="J1679" s="8" t="n">
        <v>506512.295081967</v>
      </c>
      <c r="K1679" s="6" t="n">
        <v>122</v>
      </c>
      <c r="L1679" s="2"/>
      <c r="M1679" s="10" t="b">
        <f aca="false">TRUE()</f>
        <v>1</v>
      </c>
      <c r="N1679" s="9" t="str">
        <f aca="false">IF(H1679="","",IF(H1679&gt;=Assumptions!$B$5,1,IF(H1679&gt;=Assumptions!$B$6,2,IF(H1679&gt;=Assumptions!$B$7,3,""))))</f>
        <v/>
      </c>
      <c r="O1679" s="9" t="n">
        <f aca="false">IF(N1679=1,Assumptions!$B$8,IF(N1679=2,Assumptions!$B$9,IF(N1679=3,Assumptions!$B$10,0)))</f>
        <v>0</v>
      </c>
      <c r="P1679" s="6" t="s">
        <v>30</v>
      </c>
      <c r="Q1679" s="6" t="s">
        <v>30</v>
      </c>
      <c r="R1679" s="11" t="s">
        <v>30</v>
      </c>
      <c r="S1679" s="6" t="s">
        <v>30</v>
      </c>
      <c r="T1679" s="11" t="s">
        <v>30</v>
      </c>
      <c r="U1679" s="6" t="s">
        <v>30</v>
      </c>
      <c r="V1679" s="6" t="s">
        <v>30</v>
      </c>
      <c r="W1679" s="6" t="s">
        <v>30</v>
      </c>
      <c r="X1679" s="2" t="s">
        <v>30</v>
      </c>
      <c r="Y1679" s="6" t="str">
        <f aca="false">IF(AND(X1679="processed",ISNUMBER(S1679)),S1679*O1679,"")</f>
        <v/>
      </c>
      <c r="Z1679" s="6" t="n">
        <f aca="false">IF(ISNUMBER(K1679),K1679*O1679,0)</f>
        <v>0</v>
      </c>
      <c r="AA1679" s="2" t="s">
        <v>31</v>
      </c>
      <c r="AB1679" s="6" t="n">
        <v>6087</v>
      </c>
      <c r="AC1679" s="6" t="n">
        <v>5076</v>
      </c>
      <c r="AD1679" s="6" t="n">
        <v>4108</v>
      </c>
      <c r="AE1679" s="6" t="n">
        <v>1451.86791992188</v>
      </c>
      <c r="AF1679" s="8" t="n">
        <v>430.748359414</v>
      </c>
      <c r="AG1679" s="11" t="n">
        <v>0.006564019273</v>
      </c>
      <c r="AH1679" s="12" t="n">
        <v>1</v>
      </c>
      <c r="AI1679" s="2" t="s">
        <v>317</v>
      </c>
      <c r="AJ1679" s="2" t="s">
        <v>976</v>
      </c>
      <c r="AK1679" s="2" t="s">
        <v>976</v>
      </c>
    </row>
    <row r="1680" customFormat="false" ht="15" hidden="false" customHeight="false" outlineLevel="0" collapsed="false">
      <c r="A1680" s="9"/>
      <c r="B1680" s="2" t="s">
        <v>3713</v>
      </c>
      <c r="C1680" s="2" t="s">
        <v>976</v>
      </c>
      <c r="D1680" s="2" t="s">
        <v>976</v>
      </c>
      <c r="E1680" s="2" t="s">
        <v>976</v>
      </c>
      <c r="F1680" s="2" t="s">
        <v>3714</v>
      </c>
      <c r="G1680" s="2" t="s">
        <v>323</v>
      </c>
      <c r="H1680" s="8" t="n">
        <v>366.540597316481</v>
      </c>
      <c r="I1680" s="2" t="s">
        <v>316</v>
      </c>
      <c r="J1680" s="8" t="n">
        <v>404961.290322581</v>
      </c>
      <c r="K1680" s="6" t="n">
        <v>310</v>
      </c>
      <c r="L1680" s="2"/>
      <c r="M1680" s="10" t="b">
        <f aca="false">TRUE()</f>
        <v>1</v>
      </c>
      <c r="N1680" s="9" t="str">
        <f aca="false">IF(H1680="","",IF(H1680&gt;=Assumptions!$B$5,1,IF(H1680&gt;=Assumptions!$B$6,2,IF(H1680&gt;=Assumptions!$B$7,3,""))))</f>
        <v/>
      </c>
      <c r="O1680" s="9" t="n">
        <f aca="false">IF(N1680=1,Assumptions!$B$8,IF(N1680=2,Assumptions!$B$9,IF(N1680=3,Assumptions!$B$10,0)))</f>
        <v>0</v>
      </c>
      <c r="P1680" s="6" t="s">
        <v>30</v>
      </c>
      <c r="Q1680" s="6" t="s">
        <v>30</v>
      </c>
      <c r="R1680" s="11" t="s">
        <v>30</v>
      </c>
      <c r="S1680" s="6" t="s">
        <v>30</v>
      </c>
      <c r="T1680" s="11" t="s">
        <v>30</v>
      </c>
      <c r="U1680" s="6" t="s">
        <v>30</v>
      </c>
      <c r="V1680" s="6" t="s">
        <v>30</v>
      </c>
      <c r="W1680" s="6" t="s">
        <v>30</v>
      </c>
      <c r="X1680" s="2" t="s">
        <v>30</v>
      </c>
      <c r="Y1680" s="6" t="str">
        <f aca="false">IF(AND(X1680="processed",ISNUMBER(S1680)),S1680*O1680,"")</f>
        <v/>
      </c>
      <c r="Z1680" s="6" t="n">
        <f aca="false">IF(ISNUMBER(K1680),K1680*O1680,0)</f>
        <v>0</v>
      </c>
      <c r="AA1680" s="2" t="s">
        <v>31</v>
      </c>
      <c r="AB1680" s="6" t="n">
        <v>14653</v>
      </c>
      <c r="AC1680" s="6" t="n">
        <v>12997</v>
      </c>
      <c r="AD1680" s="6" t="n">
        <v>8603</v>
      </c>
      <c r="AE1680" s="6" t="n">
        <v>1704.703125</v>
      </c>
      <c r="AF1680" s="8" t="n">
        <v>373.137856851</v>
      </c>
      <c r="AG1680" s="11" t="n">
        <v>-0.07577450879</v>
      </c>
      <c r="AH1680" s="12" t="n">
        <v>0.999999999999999</v>
      </c>
      <c r="AI1680" s="2" t="s">
        <v>317</v>
      </c>
      <c r="AJ1680" s="2" t="s">
        <v>976</v>
      </c>
      <c r="AK1680" s="2" t="s">
        <v>976</v>
      </c>
    </row>
    <row r="1681" customFormat="false" ht="15" hidden="false" customHeight="false" outlineLevel="0" collapsed="false">
      <c r="A1681" s="9"/>
      <c r="B1681" s="2" t="s">
        <v>3715</v>
      </c>
      <c r="C1681" s="2" t="s">
        <v>976</v>
      </c>
      <c r="D1681" s="2" t="s">
        <v>976</v>
      </c>
      <c r="E1681" s="2" t="s">
        <v>976</v>
      </c>
      <c r="F1681" s="2" t="s">
        <v>3716</v>
      </c>
      <c r="G1681" s="2" t="s">
        <v>323</v>
      </c>
      <c r="H1681" s="8" t="n">
        <v>331.859026083202</v>
      </c>
      <c r="I1681" s="2" t="s">
        <v>316</v>
      </c>
      <c r="J1681" s="8" t="n">
        <v>529220.588235294</v>
      </c>
      <c r="K1681" s="6" t="n">
        <v>238</v>
      </c>
      <c r="L1681" s="2"/>
      <c r="M1681" s="10" t="b">
        <f aca="false">TRUE()</f>
        <v>1</v>
      </c>
      <c r="N1681" s="9" t="str">
        <f aca="false">IF(H1681="","",IF(H1681&gt;=Assumptions!$B$5,1,IF(H1681&gt;=Assumptions!$B$6,2,IF(H1681&gt;=Assumptions!$B$7,3,""))))</f>
        <v/>
      </c>
      <c r="O1681" s="9" t="n">
        <f aca="false">IF(N1681=1,Assumptions!$B$8,IF(N1681=2,Assumptions!$B$9,IF(N1681=3,Assumptions!$B$10,0)))</f>
        <v>0</v>
      </c>
      <c r="P1681" s="6" t="s">
        <v>30</v>
      </c>
      <c r="Q1681" s="6" t="s">
        <v>30</v>
      </c>
      <c r="R1681" s="11" t="s">
        <v>30</v>
      </c>
      <c r="S1681" s="6" t="s">
        <v>30</v>
      </c>
      <c r="T1681" s="11" t="s">
        <v>30</v>
      </c>
      <c r="U1681" s="6" t="s">
        <v>30</v>
      </c>
      <c r="V1681" s="6" t="s">
        <v>30</v>
      </c>
      <c r="W1681" s="6" t="s">
        <v>30</v>
      </c>
      <c r="X1681" s="2" t="s">
        <v>30</v>
      </c>
      <c r="Y1681" s="6" t="str">
        <f aca="false">IF(AND(X1681="processed",ISNUMBER(S1681)),S1681*O1681,"")</f>
        <v/>
      </c>
      <c r="Z1681" s="6" t="n">
        <f aca="false">IF(ISNUMBER(K1681),K1681*O1681,0)</f>
        <v>0</v>
      </c>
      <c r="AA1681" s="2" t="s">
        <v>31</v>
      </c>
      <c r="AB1681" s="6" t="n">
        <v>11034</v>
      </c>
      <c r="AC1681" s="6" t="n">
        <v>9941</v>
      </c>
      <c r="AD1681" s="6" t="n">
        <v>6002</v>
      </c>
      <c r="AE1681" s="6" t="n">
        <v>2425.2216796875</v>
      </c>
      <c r="AF1681" s="8" t="n">
        <v>335.144927536</v>
      </c>
      <c r="AG1681" s="11" t="n">
        <v>0.005070980061</v>
      </c>
      <c r="AH1681" s="12" t="n">
        <v>1</v>
      </c>
      <c r="AI1681" s="2" t="s">
        <v>317</v>
      </c>
      <c r="AJ1681" s="2" t="s">
        <v>976</v>
      </c>
      <c r="AK1681" s="2" t="s">
        <v>976</v>
      </c>
    </row>
    <row r="1682" customFormat="false" ht="15" hidden="false" customHeight="false" outlineLevel="0" collapsed="false">
      <c r="A1682" s="9"/>
      <c r="B1682" s="2" t="s">
        <v>3717</v>
      </c>
      <c r="C1682" s="2" t="s">
        <v>976</v>
      </c>
      <c r="D1682" s="2" t="s">
        <v>976</v>
      </c>
      <c r="E1682" s="2" t="s">
        <v>976</v>
      </c>
      <c r="F1682" s="2" t="s">
        <v>3718</v>
      </c>
      <c r="G1682" s="2" t="s">
        <v>323</v>
      </c>
      <c r="H1682" s="8" t="n">
        <v>355.030116070539</v>
      </c>
      <c r="I1682" s="2" t="s">
        <v>316</v>
      </c>
      <c r="J1682" s="8" t="n">
        <v>443639.931740614</v>
      </c>
      <c r="K1682" s="6" t="n">
        <v>293</v>
      </c>
      <c r="L1682" s="2"/>
      <c r="M1682" s="10" t="b">
        <f aca="false">TRUE()</f>
        <v>1</v>
      </c>
      <c r="N1682" s="9" t="str">
        <f aca="false">IF(H1682="","",IF(H1682&gt;=Assumptions!$B$5,1,IF(H1682&gt;=Assumptions!$B$6,2,IF(H1682&gt;=Assumptions!$B$7,3,""))))</f>
        <v/>
      </c>
      <c r="O1682" s="9" t="n">
        <f aca="false">IF(N1682=1,Assumptions!$B$8,IF(N1682=2,Assumptions!$B$9,IF(N1682=3,Assumptions!$B$10,0)))</f>
        <v>0</v>
      </c>
      <c r="P1682" s="6" t="s">
        <v>30</v>
      </c>
      <c r="Q1682" s="6" t="s">
        <v>30</v>
      </c>
      <c r="R1682" s="11" t="s">
        <v>30</v>
      </c>
      <c r="S1682" s="6" t="s">
        <v>30</v>
      </c>
      <c r="T1682" s="11" t="s">
        <v>30</v>
      </c>
      <c r="U1682" s="6" t="s">
        <v>30</v>
      </c>
      <c r="V1682" s="6" t="s">
        <v>30</v>
      </c>
      <c r="W1682" s="6" t="s">
        <v>30</v>
      </c>
      <c r="X1682" s="2" t="s">
        <v>30</v>
      </c>
      <c r="Y1682" s="6" t="str">
        <f aca="false">IF(AND(X1682="processed",ISNUMBER(S1682)),S1682*O1682,"")</f>
        <v/>
      </c>
      <c r="Z1682" s="6" t="n">
        <f aca="false">IF(ISNUMBER(K1682),K1682*O1682,0)</f>
        <v>0</v>
      </c>
      <c r="AA1682" s="2" t="s">
        <v>31</v>
      </c>
      <c r="AB1682" s="6" t="n">
        <v>16012</v>
      </c>
      <c r="AC1682" s="6" t="n">
        <v>14671</v>
      </c>
      <c r="AD1682" s="6" t="n">
        <v>5558</v>
      </c>
      <c r="AE1682" s="6" t="n">
        <v>2269.89477539063</v>
      </c>
      <c r="AF1682" s="8" t="n">
        <v>362.622036262</v>
      </c>
      <c r="AG1682" s="11" t="n">
        <v>0.03899096477</v>
      </c>
      <c r="AH1682" s="12" t="n">
        <v>0.995377874867654</v>
      </c>
      <c r="AI1682" s="2" t="s">
        <v>317</v>
      </c>
      <c r="AJ1682" s="2" t="s">
        <v>976</v>
      </c>
      <c r="AK1682" s="2" t="s">
        <v>976</v>
      </c>
    </row>
    <row r="1683" customFormat="false" ht="15" hidden="false" customHeight="false" outlineLevel="0" collapsed="false">
      <c r="A1683" s="9"/>
      <c r="B1683" s="2" t="s">
        <v>3719</v>
      </c>
      <c r="C1683" s="2" t="s">
        <v>976</v>
      </c>
      <c r="D1683" s="2" t="s">
        <v>976</v>
      </c>
      <c r="E1683" s="2" t="s">
        <v>976</v>
      </c>
      <c r="F1683" s="2" t="s">
        <v>3720</v>
      </c>
      <c r="G1683" s="2" t="s">
        <v>323</v>
      </c>
      <c r="H1683" s="8" t="n">
        <v>310.568788721759</v>
      </c>
      <c r="I1683" s="2" t="s">
        <v>316</v>
      </c>
      <c r="J1683" s="8" t="n">
        <v>436026.178010471</v>
      </c>
      <c r="K1683" s="6" t="n">
        <v>382</v>
      </c>
      <c r="L1683" s="2"/>
      <c r="M1683" s="10" t="b">
        <f aca="false">TRUE()</f>
        <v>1</v>
      </c>
      <c r="N1683" s="9" t="str">
        <f aca="false">IF(H1683="","",IF(H1683&gt;=Assumptions!$B$5,1,IF(H1683&gt;=Assumptions!$B$6,2,IF(H1683&gt;=Assumptions!$B$7,3,""))))</f>
        <v/>
      </c>
      <c r="O1683" s="9" t="n">
        <f aca="false">IF(N1683=1,Assumptions!$B$8,IF(N1683=2,Assumptions!$B$9,IF(N1683=3,Assumptions!$B$10,0)))</f>
        <v>0</v>
      </c>
      <c r="P1683" s="6" t="s">
        <v>30</v>
      </c>
      <c r="Q1683" s="6" t="s">
        <v>30</v>
      </c>
      <c r="R1683" s="11" t="s">
        <v>30</v>
      </c>
      <c r="S1683" s="6" t="s">
        <v>30</v>
      </c>
      <c r="T1683" s="11" t="s">
        <v>30</v>
      </c>
      <c r="U1683" s="6" t="s">
        <v>30</v>
      </c>
      <c r="V1683" s="6" t="s">
        <v>30</v>
      </c>
      <c r="W1683" s="6" t="s">
        <v>30</v>
      </c>
      <c r="X1683" s="2" t="s">
        <v>30</v>
      </c>
      <c r="Y1683" s="6" t="str">
        <f aca="false">IF(AND(X1683="processed",ISNUMBER(S1683)),S1683*O1683,"")</f>
        <v/>
      </c>
      <c r="Z1683" s="6" t="n">
        <f aca="false">IF(ISNUMBER(K1683),K1683*O1683,0)</f>
        <v>0</v>
      </c>
      <c r="AA1683" s="2" t="s">
        <v>31</v>
      </c>
      <c r="AB1683" s="6" t="n">
        <v>19506</v>
      </c>
      <c r="AC1683" s="6" t="n">
        <v>18151</v>
      </c>
      <c r="AD1683" s="6" t="n">
        <v>2918</v>
      </c>
      <c r="AE1683" s="6" t="n">
        <v>2268.33081054688</v>
      </c>
      <c r="AF1683" s="8" t="n">
        <v>322.931363696</v>
      </c>
      <c r="AG1683" s="11" t="n">
        <v>-0.01772086295</v>
      </c>
      <c r="AH1683" s="12" t="n">
        <v>1</v>
      </c>
      <c r="AI1683" s="2" t="s">
        <v>317</v>
      </c>
      <c r="AJ1683" s="2" t="s">
        <v>976</v>
      </c>
      <c r="AK1683" s="2" t="s">
        <v>976</v>
      </c>
    </row>
    <row r="1684" customFormat="false" ht="15" hidden="false" customHeight="false" outlineLevel="0" collapsed="false">
      <c r="A1684" s="9"/>
      <c r="B1684" s="2" t="s">
        <v>3721</v>
      </c>
      <c r="C1684" s="2" t="s">
        <v>976</v>
      </c>
      <c r="D1684" s="2" t="s">
        <v>976</v>
      </c>
      <c r="E1684" s="2" t="s">
        <v>976</v>
      </c>
      <c r="F1684" s="2" t="s">
        <v>3722</v>
      </c>
      <c r="G1684" s="2" t="s">
        <v>323</v>
      </c>
      <c r="H1684" s="8" t="n">
        <v>333.476537114855</v>
      </c>
      <c r="I1684" s="2" t="s">
        <v>316</v>
      </c>
      <c r="J1684" s="8" t="n">
        <v>372504.032258065</v>
      </c>
      <c r="K1684" s="6" t="n">
        <v>124</v>
      </c>
      <c r="L1684" s="2"/>
      <c r="M1684" s="10" t="b">
        <f aca="false">TRUE()</f>
        <v>1</v>
      </c>
      <c r="N1684" s="9" t="str">
        <f aca="false">IF(H1684="","",IF(H1684&gt;=Assumptions!$B$5,1,IF(H1684&gt;=Assumptions!$B$6,2,IF(H1684&gt;=Assumptions!$B$7,3,""))))</f>
        <v/>
      </c>
      <c r="O1684" s="9" t="n">
        <f aca="false">IF(N1684=1,Assumptions!$B$8,IF(N1684=2,Assumptions!$B$9,IF(N1684=3,Assumptions!$B$10,0)))</f>
        <v>0</v>
      </c>
      <c r="P1684" s="6" t="s">
        <v>30</v>
      </c>
      <c r="Q1684" s="6" t="s">
        <v>30</v>
      </c>
      <c r="R1684" s="11" t="s">
        <v>30</v>
      </c>
      <c r="S1684" s="6" t="s">
        <v>30</v>
      </c>
      <c r="T1684" s="11" t="s">
        <v>30</v>
      </c>
      <c r="U1684" s="6" t="s">
        <v>30</v>
      </c>
      <c r="V1684" s="6" t="s">
        <v>30</v>
      </c>
      <c r="W1684" s="6" t="s">
        <v>30</v>
      </c>
      <c r="X1684" s="2" t="s">
        <v>30</v>
      </c>
      <c r="Y1684" s="6" t="str">
        <f aca="false">IF(AND(X1684="processed",ISNUMBER(S1684)),S1684*O1684,"")</f>
        <v/>
      </c>
      <c r="Z1684" s="6" t="n">
        <f aca="false">IF(ISNUMBER(K1684),K1684*O1684,0)</f>
        <v>0</v>
      </c>
      <c r="AA1684" s="2" t="s">
        <v>31</v>
      </c>
      <c r="AB1684" s="6" t="n">
        <v>8537</v>
      </c>
      <c r="AC1684" s="6" t="n">
        <v>7790</v>
      </c>
      <c r="AD1684" s="6" t="n">
        <v>2972</v>
      </c>
      <c r="AE1684" s="6" t="n">
        <v>1933.14624023438</v>
      </c>
      <c r="AF1684" s="8" t="n">
        <v>349.345634433</v>
      </c>
      <c r="AG1684" s="11" t="n">
        <v>0.0362598307</v>
      </c>
      <c r="AH1684" s="12" t="n">
        <v>0.999999999999999</v>
      </c>
      <c r="AI1684" s="2" t="s">
        <v>317</v>
      </c>
      <c r="AJ1684" s="2" t="s">
        <v>976</v>
      </c>
      <c r="AK1684" s="2" t="s">
        <v>976</v>
      </c>
    </row>
    <row r="1685" customFormat="false" ht="15" hidden="false" customHeight="false" outlineLevel="0" collapsed="false">
      <c r="A1685" s="9"/>
      <c r="B1685" s="2" t="s">
        <v>3723</v>
      </c>
      <c r="C1685" s="2" t="s">
        <v>976</v>
      </c>
      <c r="D1685" s="2" t="s">
        <v>976</v>
      </c>
      <c r="E1685" s="2" t="s">
        <v>976</v>
      </c>
      <c r="F1685" s="2" t="s">
        <v>3724</v>
      </c>
      <c r="G1685" s="2" t="s">
        <v>323</v>
      </c>
      <c r="H1685" s="8" t="n">
        <v>335.09852260118</v>
      </c>
      <c r="I1685" s="2" t="s">
        <v>316</v>
      </c>
      <c r="J1685" s="8" t="n">
        <v>501608.108108108</v>
      </c>
      <c r="K1685" s="6" t="n">
        <v>111</v>
      </c>
      <c r="L1685" s="2"/>
      <c r="M1685" s="10" t="b">
        <f aca="false">TRUE()</f>
        <v>1</v>
      </c>
      <c r="N1685" s="9" t="str">
        <f aca="false">IF(H1685="","",IF(H1685&gt;=Assumptions!$B$5,1,IF(H1685&gt;=Assumptions!$B$6,2,IF(H1685&gt;=Assumptions!$B$7,3,""))))</f>
        <v/>
      </c>
      <c r="O1685" s="9" t="n">
        <f aca="false">IF(N1685=1,Assumptions!$B$8,IF(N1685=2,Assumptions!$B$9,IF(N1685=3,Assumptions!$B$10,0)))</f>
        <v>0</v>
      </c>
      <c r="P1685" s="6" t="s">
        <v>30</v>
      </c>
      <c r="Q1685" s="6" t="s">
        <v>30</v>
      </c>
      <c r="R1685" s="11" t="s">
        <v>30</v>
      </c>
      <c r="S1685" s="6" t="s">
        <v>30</v>
      </c>
      <c r="T1685" s="11" t="s">
        <v>30</v>
      </c>
      <c r="U1685" s="6" t="s">
        <v>30</v>
      </c>
      <c r="V1685" s="6" t="s">
        <v>30</v>
      </c>
      <c r="W1685" s="6" t="s">
        <v>30</v>
      </c>
      <c r="X1685" s="2" t="s">
        <v>30</v>
      </c>
      <c r="Y1685" s="6" t="str">
        <f aca="false">IF(AND(X1685="processed",ISNUMBER(S1685)),S1685*O1685,"")</f>
        <v/>
      </c>
      <c r="Z1685" s="6" t="n">
        <f aca="false">IF(ISNUMBER(K1685),K1685*O1685,0)</f>
        <v>0</v>
      </c>
      <c r="AA1685" s="2" t="s">
        <v>31</v>
      </c>
      <c r="AB1685" s="6" t="n">
        <v>6832</v>
      </c>
      <c r="AC1685" s="6" t="n">
        <v>5376</v>
      </c>
      <c r="AD1685" s="6" t="n">
        <v>3760</v>
      </c>
      <c r="AE1685" s="6" t="n">
        <v>2374.849609375</v>
      </c>
      <c r="AF1685" s="8" t="n">
        <v>327.695560254</v>
      </c>
      <c r="AG1685" s="11" t="n">
        <v>-0.01294926004</v>
      </c>
      <c r="AH1685" s="12" t="n">
        <v>1</v>
      </c>
      <c r="AI1685" s="2" t="s">
        <v>317</v>
      </c>
      <c r="AJ1685" s="2" t="s">
        <v>976</v>
      </c>
      <c r="AK1685" s="2" t="s">
        <v>976</v>
      </c>
    </row>
    <row r="1686" customFormat="false" ht="15" hidden="false" customHeight="false" outlineLevel="0" collapsed="false">
      <c r="A1686" s="9"/>
      <c r="B1686" s="2" t="s">
        <v>3725</v>
      </c>
      <c r="C1686" s="2" t="s">
        <v>976</v>
      </c>
      <c r="D1686" s="2" t="s">
        <v>976</v>
      </c>
      <c r="E1686" s="2" t="s">
        <v>976</v>
      </c>
      <c r="F1686" s="2" t="s">
        <v>3726</v>
      </c>
      <c r="G1686" s="2" t="s">
        <v>323</v>
      </c>
      <c r="H1686" s="8" t="n">
        <v>347.514956559413</v>
      </c>
      <c r="I1686" s="2" t="s">
        <v>316</v>
      </c>
      <c r="J1686" s="8" t="n">
        <v>484895.520833333</v>
      </c>
      <c r="K1686" s="6" t="n">
        <v>240</v>
      </c>
      <c r="L1686" s="2"/>
      <c r="M1686" s="10" t="b">
        <f aca="false">TRUE()</f>
        <v>1</v>
      </c>
      <c r="N1686" s="9" t="str">
        <f aca="false">IF(H1686="","",IF(H1686&gt;=Assumptions!$B$5,1,IF(H1686&gt;=Assumptions!$B$6,2,IF(H1686&gt;=Assumptions!$B$7,3,""))))</f>
        <v/>
      </c>
      <c r="O1686" s="9" t="n">
        <f aca="false">IF(N1686=1,Assumptions!$B$8,IF(N1686=2,Assumptions!$B$9,IF(N1686=3,Assumptions!$B$10,0)))</f>
        <v>0</v>
      </c>
      <c r="P1686" s="6" t="s">
        <v>30</v>
      </c>
      <c r="Q1686" s="6" t="s">
        <v>30</v>
      </c>
      <c r="R1686" s="11" t="s">
        <v>30</v>
      </c>
      <c r="S1686" s="6" t="s">
        <v>30</v>
      </c>
      <c r="T1686" s="11" t="s">
        <v>30</v>
      </c>
      <c r="U1686" s="6" t="s">
        <v>30</v>
      </c>
      <c r="V1686" s="6" t="s">
        <v>30</v>
      </c>
      <c r="W1686" s="6" t="s">
        <v>30</v>
      </c>
      <c r="X1686" s="2" t="s">
        <v>30</v>
      </c>
      <c r="Y1686" s="6" t="str">
        <f aca="false">IF(AND(X1686="processed",ISNUMBER(S1686)),S1686*O1686,"")</f>
        <v/>
      </c>
      <c r="Z1686" s="6" t="n">
        <f aca="false">IF(ISNUMBER(K1686),K1686*O1686,0)</f>
        <v>0</v>
      </c>
      <c r="AA1686" s="2" t="s">
        <v>31</v>
      </c>
      <c r="AB1686" s="6" t="n">
        <v>12642</v>
      </c>
      <c r="AC1686" s="6" t="n">
        <v>11466</v>
      </c>
      <c r="AD1686" s="6" t="n">
        <v>9288</v>
      </c>
      <c r="AE1686" s="6" t="n">
        <v>2383.287109375</v>
      </c>
      <c r="AF1686" s="8" t="n">
        <v>355.46875</v>
      </c>
      <c r="AG1686" s="11" t="n">
        <v>-0.008127520161</v>
      </c>
      <c r="AH1686" s="12" t="n">
        <v>1</v>
      </c>
      <c r="AI1686" s="2" t="s">
        <v>317</v>
      </c>
      <c r="AJ1686" s="2" t="s">
        <v>976</v>
      </c>
      <c r="AK1686" s="2" t="s">
        <v>976</v>
      </c>
    </row>
    <row r="1687" customFormat="false" ht="15" hidden="false" customHeight="false" outlineLevel="0" collapsed="false">
      <c r="A1687" s="9"/>
      <c r="B1687" s="2" t="s">
        <v>3727</v>
      </c>
      <c r="C1687" s="2" t="s">
        <v>976</v>
      </c>
      <c r="D1687" s="2" t="s">
        <v>976</v>
      </c>
      <c r="E1687" s="2" t="s">
        <v>976</v>
      </c>
      <c r="F1687" s="2"/>
      <c r="G1687" s="2" t="s">
        <v>323</v>
      </c>
      <c r="H1687" s="8" t="n">
        <v>326.916909660179</v>
      </c>
      <c r="I1687" s="2" t="s">
        <v>316</v>
      </c>
      <c r="J1687" s="8" t="n">
        <v>469195.12195122</v>
      </c>
      <c r="K1687" s="6" t="n">
        <v>123</v>
      </c>
      <c r="L1687" s="2"/>
      <c r="M1687" s="10" t="b">
        <f aca="false">TRUE()</f>
        <v>1</v>
      </c>
      <c r="N1687" s="9" t="str">
        <f aca="false">IF(H1687="","",IF(H1687&gt;=Assumptions!$B$5,1,IF(H1687&gt;=Assumptions!$B$6,2,IF(H1687&gt;=Assumptions!$B$7,3,""))))</f>
        <v/>
      </c>
      <c r="O1687" s="9" t="n">
        <f aca="false">IF(N1687=1,Assumptions!$B$8,IF(N1687=2,Assumptions!$B$9,IF(N1687=3,Assumptions!$B$10,0)))</f>
        <v>0</v>
      </c>
      <c r="P1687" s="6" t="s">
        <v>30</v>
      </c>
      <c r="Q1687" s="6" t="s">
        <v>30</v>
      </c>
      <c r="R1687" s="11" t="s">
        <v>30</v>
      </c>
      <c r="S1687" s="6" t="s">
        <v>30</v>
      </c>
      <c r="T1687" s="11" t="s">
        <v>30</v>
      </c>
      <c r="U1687" s="6" t="s">
        <v>30</v>
      </c>
      <c r="V1687" s="6" t="s">
        <v>30</v>
      </c>
      <c r="W1687" s="6" t="s">
        <v>30</v>
      </c>
      <c r="X1687" s="2" t="s">
        <v>30</v>
      </c>
      <c r="Y1687" s="6" t="str">
        <f aca="false">IF(AND(X1687="processed",ISNUMBER(S1687)),S1687*O1687,"")</f>
        <v/>
      </c>
      <c r="Z1687" s="6" t="n">
        <f aca="false">IF(ISNUMBER(K1687),K1687*O1687,0)</f>
        <v>0</v>
      </c>
      <c r="AA1687" s="2" t="s">
        <v>31</v>
      </c>
      <c r="AB1687" s="6" t="n">
        <v>7173</v>
      </c>
      <c r="AC1687" s="6" t="n">
        <v>6500</v>
      </c>
      <c r="AD1687" s="6" t="n">
        <v>3141</v>
      </c>
      <c r="AE1687" s="6" t="n">
        <v>2365.46411132813</v>
      </c>
      <c r="AF1687" s="8" t="n">
        <v>318.12189507</v>
      </c>
      <c r="AG1687" s="11" t="n">
        <v>-0.002254056371</v>
      </c>
      <c r="AH1687" s="12" t="n">
        <v>1</v>
      </c>
      <c r="AI1687" s="2" t="s">
        <v>317</v>
      </c>
      <c r="AJ1687" s="2" t="s">
        <v>976</v>
      </c>
      <c r="AK1687" s="2" t="s">
        <v>3568</v>
      </c>
    </row>
    <row r="1688" customFormat="false" ht="15" hidden="false" customHeight="false" outlineLevel="0" collapsed="false">
      <c r="A1688" s="9"/>
      <c r="B1688" s="2" t="s">
        <v>3728</v>
      </c>
      <c r="C1688" s="2" t="s">
        <v>976</v>
      </c>
      <c r="D1688" s="2" t="s">
        <v>976</v>
      </c>
      <c r="E1688" s="2" t="s">
        <v>976</v>
      </c>
      <c r="F1688" s="2" t="s">
        <v>3729</v>
      </c>
      <c r="G1688" s="2" t="s">
        <v>323</v>
      </c>
      <c r="H1688" s="8" t="n">
        <v>303.013888154997</v>
      </c>
      <c r="I1688" s="2" t="s">
        <v>316</v>
      </c>
      <c r="J1688" s="8" t="n">
        <v>457188.087774295</v>
      </c>
      <c r="K1688" s="6" t="n">
        <v>319</v>
      </c>
      <c r="L1688" s="2"/>
      <c r="M1688" s="10" t="b">
        <f aca="false">TRUE()</f>
        <v>1</v>
      </c>
      <c r="N1688" s="9" t="str">
        <f aca="false">IF(H1688="","",IF(H1688&gt;=Assumptions!$B$5,1,IF(H1688&gt;=Assumptions!$B$6,2,IF(H1688&gt;=Assumptions!$B$7,3,""))))</f>
        <v/>
      </c>
      <c r="O1688" s="9" t="n">
        <f aca="false">IF(N1688=1,Assumptions!$B$8,IF(N1688=2,Assumptions!$B$9,IF(N1688=3,Assumptions!$B$10,0)))</f>
        <v>0</v>
      </c>
      <c r="P1688" s="6" t="s">
        <v>30</v>
      </c>
      <c r="Q1688" s="6" t="s">
        <v>30</v>
      </c>
      <c r="R1688" s="11" t="s">
        <v>30</v>
      </c>
      <c r="S1688" s="6" t="s">
        <v>30</v>
      </c>
      <c r="T1688" s="11" t="s">
        <v>30</v>
      </c>
      <c r="U1688" s="6" t="s">
        <v>30</v>
      </c>
      <c r="V1688" s="6" t="s">
        <v>30</v>
      </c>
      <c r="W1688" s="6" t="s">
        <v>30</v>
      </c>
      <c r="X1688" s="2" t="s">
        <v>30</v>
      </c>
      <c r="Y1688" s="6" t="str">
        <f aca="false">IF(AND(X1688="processed",ISNUMBER(S1688)),S1688*O1688,"")</f>
        <v/>
      </c>
      <c r="Z1688" s="6" t="n">
        <f aca="false">IF(ISNUMBER(K1688),K1688*O1688,0)</f>
        <v>0</v>
      </c>
      <c r="AA1688" s="2" t="s">
        <v>31</v>
      </c>
      <c r="AB1688" s="6" t="n">
        <v>19128</v>
      </c>
      <c r="AC1688" s="6" t="n">
        <v>17715</v>
      </c>
      <c r="AD1688" s="6" t="n">
        <v>3770</v>
      </c>
      <c r="AE1688" s="6" t="n">
        <v>2313.53662109375</v>
      </c>
      <c r="AF1688" s="8" t="n">
        <v>303.464659315</v>
      </c>
      <c r="AG1688" s="11" t="n">
        <v>-0.02891309019</v>
      </c>
      <c r="AH1688" s="12" t="n">
        <v>1</v>
      </c>
      <c r="AI1688" s="2" t="s">
        <v>317</v>
      </c>
      <c r="AJ1688" s="2" t="s">
        <v>976</v>
      </c>
      <c r="AK1688" s="2" t="s">
        <v>976</v>
      </c>
    </row>
    <row r="1689" customFormat="false" ht="15" hidden="false" customHeight="false" outlineLevel="0" collapsed="false">
      <c r="A1689" s="9"/>
      <c r="B1689" s="2" t="s">
        <v>3730</v>
      </c>
      <c r="C1689" s="2" t="s">
        <v>976</v>
      </c>
      <c r="D1689" s="2" t="s">
        <v>976</v>
      </c>
      <c r="E1689" s="2" t="s">
        <v>976</v>
      </c>
      <c r="F1689" s="2"/>
      <c r="G1689" s="2" t="s">
        <v>323</v>
      </c>
      <c r="H1689" s="8" t="n">
        <v>302.722976702599</v>
      </c>
      <c r="I1689" s="2" t="s">
        <v>316</v>
      </c>
      <c r="J1689" s="8" t="n">
        <v>598741.641337386</v>
      </c>
      <c r="K1689" s="6" t="n">
        <v>329</v>
      </c>
      <c r="L1689" s="2"/>
      <c r="M1689" s="10" t="b">
        <f aca="false">TRUE()</f>
        <v>1</v>
      </c>
      <c r="N1689" s="9" t="str">
        <f aca="false">IF(H1689="","",IF(H1689&gt;=Assumptions!$B$5,1,IF(H1689&gt;=Assumptions!$B$6,2,IF(H1689&gt;=Assumptions!$B$7,3,""))))</f>
        <v/>
      </c>
      <c r="O1689" s="9" t="n">
        <f aca="false">IF(N1689=1,Assumptions!$B$8,IF(N1689=2,Assumptions!$B$9,IF(N1689=3,Assumptions!$B$10,0)))</f>
        <v>0</v>
      </c>
      <c r="P1689" s="6" t="s">
        <v>30</v>
      </c>
      <c r="Q1689" s="6" t="s">
        <v>30</v>
      </c>
      <c r="R1689" s="11" t="s">
        <v>30</v>
      </c>
      <c r="S1689" s="6" t="s">
        <v>30</v>
      </c>
      <c r="T1689" s="11" t="s">
        <v>30</v>
      </c>
      <c r="U1689" s="6" t="s">
        <v>30</v>
      </c>
      <c r="V1689" s="6" t="s">
        <v>30</v>
      </c>
      <c r="W1689" s="6" t="s">
        <v>30</v>
      </c>
      <c r="X1689" s="2" t="s">
        <v>30</v>
      </c>
      <c r="Y1689" s="6" t="str">
        <f aca="false">IF(AND(X1689="processed",ISNUMBER(S1689)),S1689*O1689,"")</f>
        <v/>
      </c>
      <c r="Z1689" s="6" t="n">
        <f aca="false">IF(ISNUMBER(K1689),K1689*O1689,0)</f>
        <v>0</v>
      </c>
      <c r="AA1689" s="2" t="s">
        <v>31</v>
      </c>
      <c r="AB1689" s="6" t="n">
        <v>11902</v>
      </c>
      <c r="AC1689" s="6" t="n">
        <v>10843</v>
      </c>
      <c r="AD1689" s="6" t="n">
        <v>7796</v>
      </c>
      <c r="AE1689" s="6" t="n">
        <v>2462.95849609375</v>
      </c>
      <c r="AF1689" s="8" t="n">
        <v>301.383399209</v>
      </c>
      <c r="AG1689" s="11" t="n">
        <v>-0.03425508671</v>
      </c>
      <c r="AH1689" s="12" t="n">
        <v>1</v>
      </c>
      <c r="AI1689" s="2" t="s">
        <v>317</v>
      </c>
      <c r="AJ1689" s="2" t="s">
        <v>976</v>
      </c>
      <c r="AK1689" s="2" t="s">
        <v>976</v>
      </c>
    </row>
    <row r="1690" customFormat="false" ht="15" hidden="false" customHeight="false" outlineLevel="0" collapsed="false">
      <c r="A1690" s="9"/>
      <c r="B1690" s="2" t="s">
        <v>3731</v>
      </c>
      <c r="C1690" s="2" t="s">
        <v>976</v>
      </c>
      <c r="D1690" s="2" t="s">
        <v>976</v>
      </c>
      <c r="E1690" s="2" t="s">
        <v>976</v>
      </c>
      <c r="F1690" s="2"/>
      <c r="G1690" s="2" t="s">
        <v>323</v>
      </c>
      <c r="H1690" s="8" t="n">
        <v>448.34989264425</v>
      </c>
      <c r="I1690" s="2" t="s">
        <v>316</v>
      </c>
      <c r="J1690" s="8" t="n">
        <v>928000</v>
      </c>
      <c r="K1690" s="6" t="n">
        <v>4</v>
      </c>
      <c r="L1690" s="2" t="s">
        <v>1664</v>
      </c>
      <c r="M1690" s="10" t="b">
        <f aca="false">TRUE()</f>
        <v>1</v>
      </c>
      <c r="N1690" s="9" t="str">
        <f aca="false">IF(H1690="","",IF(H1690&gt;=Assumptions!$B$5,1,IF(H1690&gt;=Assumptions!$B$6,2,IF(H1690&gt;=Assumptions!$B$7,3,""))))</f>
        <v/>
      </c>
      <c r="O1690" s="9" t="n">
        <f aca="false">IF(N1690=1,Assumptions!$B$8,IF(N1690=2,Assumptions!$B$9,IF(N1690=3,Assumptions!$B$10,0)))</f>
        <v>0</v>
      </c>
      <c r="P1690" s="6" t="s">
        <v>30</v>
      </c>
      <c r="Q1690" s="6" t="s">
        <v>30</v>
      </c>
      <c r="R1690" s="11" t="s">
        <v>30</v>
      </c>
      <c r="S1690" s="6" t="s">
        <v>30</v>
      </c>
      <c r="T1690" s="11" t="s">
        <v>30</v>
      </c>
      <c r="U1690" s="6" t="s">
        <v>30</v>
      </c>
      <c r="V1690" s="6" t="s">
        <v>30</v>
      </c>
      <c r="W1690" s="6" t="s">
        <v>30</v>
      </c>
      <c r="X1690" s="2" t="s">
        <v>30</v>
      </c>
      <c r="Y1690" s="6" t="str">
        <f aca="false">IF(AND(X1690="processed",ISNUMBER(S1690)),S1690*O1690,"")</f>
        <v/>
      </c>
      <c r="Z1690" s="6" t="n">
        <f aca="false">IF(ISNUMBER(K1690),K1690*O1690,0)</f>
        <v>0</v>
      </c>
      <c r="AA1690" s="2" t="s">
        <v>31</v>
      </c>
      <c r="AB1690" s="6" t="n">
        <v>687</v>
      </c>
      <c r="AC1690" s="6" t="n">
        <v>549</v>
      </c>
      <c r="AD1690" s="6" t="n">
        <v>636</v>
      </c>
      <c r="AE1690" s="6" t="n">
        <v>2020.25842285156</v>
      </c>
      <c r="AF1690" s="8" t="n">
        <v>517.354289456</v>
      </c>
      <c r="AG1690" s="11" t="n">
        <v>-0.08562901429</v>
      </c>
      <c r="AH1690" s="12" t="n">
        <v>1</v>
      </c>
      <c r="AI1690" s="2" t="s">
        <v>317</v>
      </c>
      <c r="AJ1690" s="2" t="s">
        <v>976</v>
      </c>
      <c r="AK1690" s="2" t="s">
        <v>3512</v>
      </c>
    </row>
    <row r="1691" customFormat="false" ht="15" hidden="false" customHeight="false" outlineLevel="0" collapsed="false">
      <c r="A1691" s="9"/>
      <c r="B1691" s="2" t="s">
        <v>3732</v>
      </c>
      <c r="C1691" s="2" t="s">
        <v>976</v>
      </c>
      <c r="D1691" s="2" t="s">
        <v>976</v>
      </c>
      <c r="E1691" s="2" t="s">
        <v>976</v>
      </c>
      <c r="F1691" s="2" t="s">
        <v>3733</v>
      </c>
      <c r="G1691" s="2" t="s">
        <v>323</v>
      </c>
      <c r="H1691" s="8" t="n">
        <v>353.896416022312</v>
      </c>
      <c r="I1691" s="2" t="s">
        <v>316</v>
      </c>
      <c r="J1691" s="8" t="n">
        <v>655200.854700855</v>
      </c>
      <c r="K1691" s="6" t="n">
        <v>234</v>
      </c>
      <c r="L1691" s="2"/>
      <c r="M1691" s="10" t="b">
        <f aca="false">TRUE()</f>
        <v>1</v>
      </c>
      <c r="N1691" s="9" t="str">
        <f aca="false">IF(H1691="","",IF(H1691&gt;=Assumptions!$B$5,1,IF(H1691&gt;=Assumptions!$B$6,2,IF(H1691&gt;=Assumptions!$B$7,3,""))))</f>
        <v/>
      </c>
      <c r="O1691" s="9" t="n">
        <f aca="false">IF(N1691=1,Assumptions!$B$8,IF(N1691=2,Assumptions!$B$9,IF(N1691=3,Assumptions!$B$10,0)))</f>
        <v>0</v>
      </c>
      <c r="P1691" s="6" t="s">
        <v>30</v>
      </c>
      <c r="Q1691" s="6" t="s">
        <v>30</v>
      </c>
      <c r="R1691" s="11" t="s">
        <v>30</v>
      </c>
      <c r="S1691" s="6" t="s">
        <v>30</v>
      </c>
      <c r="T1691" s="11" t="s">
        <v>30</v>
      </c>
      <c r="U1691" s="6" t="s">
        <v>30</v>
      </c>
      <c r="V1691" s="6" t="s">
        <v>30</v>
      </c>
      <c r="W1691" s="6" t="s">
        <v>30</v>
      </c>
      <c r="X1691" s="2" t="s">
        <v>30</v>
      </c>
      <c r="Y1691" s="6" t="str">
        <f aca="false">IF(AND(X1691="processed",ISNUMBER(S1691)),S1691*O1691,"")</f>
        <v/>
      </c>
      <c r="Z1691" s="6" t="n">
        <f aca="false">IF(ISNUMBER(K1691),K1691*O1691,0)</f>
        <v>0</v>
      </c>
      <c r="AA1691" s="2" t="s">
        <v>31</v>
      </c>
      <c r="AB1691" s="6" t="n">
        <v>13653</v>
      </c>
      <c r="AC1691" s="6" t="n">
        <v>13003</v>
      </c>
      <c r="AD1691" s="6" t="n">
        <v>9177</v>
      </c>
      <c r="AE1691" s="6" t="n">
        <v>3007.3701171875</v>
      </c>
      <c r="AF1691" s="8" t="n">
        <v>365</v>
      </c>
      <c r="AG1691" s="11" t="n">
        <v>0.01030809429</v>
      </c>
      <c r="AH1691" s="12" t="n">
        <v>0.991024320464374</v>
      </c>
      <c r="AI1691" s="2" t="s">
        <v>317</v>
      </c>
      <c r="AJ1691" s="2" t="s">
        <v>976</v>
      </c>
      <c r="AK1691" s="2" t="s">
        <v>976</v>
      </c>
    </row>
    <row r="1692" customFormat="false" ht="15" hidden="false" customHeight="false" outlineLevel="0" collapsed="false">
      <c r="A1692" s="9"/>
      <c r="B1692" s="2" t="s">
        <v>3734</v>
      </c>
      <c r="C1692" s="2" t="s">
        <v>976</v>
      </c>
      <c r="D1692" s="2" t="s">
        <v>976</v>
      </c>
      <c r="E1692" s="2" t="s">
        <v>976</v>
      </c>
      <c r="F1692" s="2"/>
      <c r="G1692" s="2" t="s">
        <v>323</v>
      </c>
      <c r="H1692" s="8" t="n">
        <v>293.951813387719</v>
      </c>
      <c r="I1692" s="2" t="s">
        <v>316</v>
      </c>
      <c r="J1692" s="8" t="n">
        <v>477282.685393258</v>
      </c>
      <c r="K1692" s="6" t="n">
        <v>89</v>
      </c>
      <c r="L1692" s="2"/>
      <c r="M1692" s="10" t="b">
        <f aca="false">TRUE()</f>
        <v>1</v>
      </c>
      <c r="N1692" s="9" t="str">
        <f aca="false">IF(H1692="","",IF(H1692&gt;=Assumptions!$B$5,1,IF(H1692&gt;=Assumptions!$B$6,2,IF(H1692&gt;=Assumptions!$B$7,3,""))))</f>
        <v/>
      </c>
      <c r="O1692" s="9" t="n">
        <f aca="false">IF(N1692=1,Assumptions!$B$8,IF(N1692=2,Assumptions!$B$9,IF(N1692=3,Assumptions!$B$10,0)))</f>
        <v>0</v>
      </c>
      <c r="P1692" s="6" t="s">
        <v>30</v>
      </c>
      <c r="Q1692" s="6" t="s">
        <v>30</v>
      </c>
      <c r="R1692" s="11" t="s">
        <v>30</v>
      </c>
      <c r="S1692" s="6" t="s">
        <v>30</v>
      </c>
      <c r="T1692" s="11" t="s">
        <v>30</v>
      </c>
      <c r="U1692" s="6" t="s">
        <v>30</v>
      </c>
      <c r="V1692" s="6" t="s">
        <v>30</v>
      </c>
      <c r="W1692" s="6" t="s">
        <v>30</v>
      </c>
      <c r="X1692" s="2" t="s">
        <v>30</v>
      </c>
      <c r="Y1692" s="6" t="str">
        <f aca="false">IF(AND(X1692="processed",ISNUMBER(S1692)),S1692*O1692,"")</f>
        <v/>
      </c>
      <c r="Z1692" s="6" t="n">
        <f aca="false">IF(ISNUMBER(K1692),K1692*O1692,0)</f>
        <v>0</v>
      </c>
      <c r="AA1692" s="2" t="s">
        <v>31</v>
      </c>
      <c r="AB1692" s="6" t="n">
        <v>3174</v>
      </c>
      <c r="AC1692" s="6" t="n">
        <v>2973</v>
      </c>
      <c r="AD1692" s="6" t="n">
        <v>967</v>
      </c>
      <c r="AE1692" s="6" t="n">
        <v>2253.86962890625</v>
      </c>
      <c r="AF1692" s="8" t="n">
        <v>296.393298969</v>
      </c>
      <c r="AG1692" s="11" t="n">
        <v>-0.05775405393</v>
      </c>
      <c r="AH1692" s="12" t="n">
        <v>0.999594159605253</v>
      </c>
      <c r="AI1692" s="2" t="s">
        <v>317</v>
      </c>
      <c r="AJ1692" s="2" t="s">
        <v>976</v>
      </c>
      <c r="AK1692" s="2" t="s">
        <v>976</v>
      </c>
    </row>
    <row r="1693" customFormat="false" ht="15" hidden="false" customHeight="false" outlineLevel="0" collapsed="false">
      <c r="A1693" s="9"/>
      <c r="B1693" s="2" t="s">
        <v>3735</v>
      </c>
      <c r="C1693" s="2" t="s">
        <v>976</v>
      </c>
      <c r="D1693" s="2" t="s">
        <v>976</v>
      </c>
      <c r="E1693" s="2" t="s">
        <v>976</v>
      </c>
      <c r="F1693" s="2" t="s">
        <v>3736</v>
      </c>
      <c r="G1693" s="2" t="s">
        <v>323</v>
      </c>
      <c r="H1693" s="8" t="n">
        <v>324.122043531991</v>
      </c>
      <c r="I1693" s="2" t="s">
        <v>316</v>
      </c>
      <c r="J1693" s="8" t="n">
        <v>470018.348623853</v>
      </c>
      <c r="K1693" s="6" t="n">
        <v>218</v>
      </c>
      <c r="L1693" s="2"/>
      <c r="M1693" s="10" t="b">
        <f aca="false">TRUE()</f>
        <v>1</v>
      </c>
      <c r="N1693" s="9" t="str">
        <f aca="false">IF(H1693="","",IF(H1693&gt;=Assumptions!$B$5,1,IF(H1693&gt;=Assumptions!$B$6,2,IF(H1693&gt;=Assumptions!$B$7,3,""))))</f>
        <v/>
      </c>
      <c r="O1693" s="9" t="n">
        <f aca="false">IF(N1693=1,Assumptions!$B$8,IF(N1693=2,Assumptions!$B$9,IF(N1693=3,Assumptions!$B$10,0)))</f>
        <v>0</v>
      </c>
      <c r="P1693" s="6" t="s">
        <v>30</v>
      </c>
      <c r="Q1693" s="6" t="s">
        <v>30</v>
      </c>
      <c r="R1693" s="11" t="s">
        <v>30</v>
      </c>
      <c r="S1693" s="6" t="s">
        <v>30</v>
      </c>
      <c r="T1693" s="11" t="s">
        <v>30</v>
      </c>
      <c r="U1693" s="6" t="s">
        <v>30</v>
      </c>
      <c r="V1693" s="6" t="s">
        <v>30</v>
      </c>
      <c r="W1693" s="6" t="s">
        <v>30</v>
      </c>
      <c r="X1693" s="2" t="s">
        <v>30</v>
      </c>
      <c r="Y1693" s="6" t="str">
        <f aca="false">IF(AND(X1693="processed",ISNUMBER(S1693)),S1693*O1693,"")</f>
        <v/>
      </c>
      <c r="Z1693" s="6" t="n">
        <f aca="false">IF(ISNUMBER(K1693),K1693*O1693,0)</f>
        <v>0</v>
      </c>
      <c r="AA1693" s="2" t="s">
        <v>31</v>
      </c>
      <c r="AB1693" s="6" t="n">
        <v>10622</v>
      </c>
      <c r="AC1693" s="6" t="n">
        <v>9712</v>
      </c>
      <c r="AD1693" s="6" t="n">
        <v>3203</v>
      </c>
      <c r="AE1693" s="6" t="n">
        <v>2173.11547851563</v>
      </c>
      <c r="AF1693" s="8" t="n">
        <v>327.978687417</v>
      </c>
      <c r="AG1693" s="11" t="n">
        <v>0.01408894158</v>
      </c>
      <c r="AH1693" s="12" t="n">
        <v>0.994667293015724</v>
      </c>
      <c r="AI1693" s="2" t="s">
        <v>317</v>
      </c>
      <c r="AJ1693" s="2" t="s">
        <v>976</v>
      </c>
      <c r="AK1693" s="2" t="s">
        <v>976</v>
      </c>
    </row>
    <row r="1694" customFormat="false" ht="15" hidden="false" customHeight="false" outlineLevel="0" collapsed="false">
      <c r="A1694" s="9"/>
      <c r="B1694" s="2" t="s">
        <v>3737</v>
      </c>
      <c r="C1694" s="2" t="s">
        <v>976</v>
      </c>
      <c r="D1694" s="2" t="s">
        <v>976</v>
      </c>
      <c r="E1694" s="2" t="s">
        <v>976</v>
      </c>
      <c r="F1694" s="2" t="s">
        <v>3738</v>
      </c>
      <c r="G1694" s="2" t="s">
        <v>323</v>
      </c>
      <c r="H1694" s="8" t="n">
        <v>301.169567518383</v>
      </c>
      <c r="I1694" s="2" t="s">
        <v>316</v>
      </c>
      <c r="J1694" s="8" t="n">
        <v>498078.125</v>
      </c>
      <c r="K1694" s="6" t="n">
        <v>256</v>
      </c>
      <c r="L1694" s="2"/>
      <c r="M1694" s="10" t="b">
        <f aca="false">TRUE()</f>
        <v>1</v>
      </c>
      <c r="N1694" s="9" t="str">
        <f aca="false">IF(H1694="","",IF(H1694&gt;=Assumptions!$B$5,1,IF(H1694&gt;=Assumptions!$B$6,2,IF(H1694&gt;=Assumptions!$B$7,3,""))))</f>
        <v/>
      </c>
      <c r="O1694" s="9" t="n">
        <f aca="false">IF(N1694=1,Assumptions!$B$8,IF(N1694=2,Assumptions!$B$9,IF(N1694=3,Assumptions!$B$10,0)))</f>
        <v>0</v>
      </c>
      <c r="P1694" s="6" t="s">
        <v>30</v>
      </c>
      <c r="Q1694" s="6" t="s">
        <v>30</v>
      </c>
      <c r="R1694" s="11" t="s">
        <v>30</v>
      </c>
      <c r="S1694" s="6" t="s">
        <v>30</v>
      </c>
      <c r="T1694" s="11" t="s">
        <v>30</v>
      </c>
      <c r="U1694" s="6" t="s">
        <v>30</v>
      </c>
      <c r="V1694" s="6" t="s">
        <v>30</v>
      </c>
      <c r="W1694" s="6" t="s">
        <v>30</v>
      </c>
      <c r="X1694" s="2" t="s">
        <v>30</v>
      </c>
      <c r="Y1694" s="6" t="str">
        <f aca="false">IF(AND(X1694="processed",ISNUMBER(S1694)),S1694*O1694,"")</f>
        <v/>
      </c>
      <c r="Z1694" s="6" t="n">
        <f aca="false">IF(ISNUMBER(K1694),K1694*O1694,0)</f>
        <v>0</v>
      </c>
      <c r="AA1694" s="2" t="s">
        <v>31</v>
      </c>
      <c r="AB1694" s="6" t="n">
        <v>10577</v>
      </c>
      <c r="AC1694" s="6" t="n">
        <v>9526</v>
      </c>
      <c r="AD1694" s="6" t="n">
        <v>2510</v>
      </c>
      <c r="AE1694" s="6" t="n">
        <v>1958.58325195313</v>
      </c>
      <c r="AF1694" s="8" t="n">
        <v>310.018203954</v>
      </c>
      <c r="AG1694" s="11" t="n">
        <v>0.01787612666</v>
      </c>
      <c r="AH1694" s="12" t="n">
        <v>0.995999515642111</v>
      </c>
      <c r="AI1694" s="2" t="s">
        <v>317</v>
      </c>
      <c r="AJ1694" s="2" t="s">
        <v>976</v>
      </c>
      <c r="AK1694" s="2" t="s">
        <v>976</v>
      </c>
    </row>
    <row r="1695" customFormat="false" ht="15" hidden="false" customHeight="false" outlineLevel="0" collapsed="false">
      <c r="A1695" s="9"/>
      <c r="B1695" s="2" t="s">
        <v>3739</v>
      </c>
      <c r="C1695" s="2" t="s">
        <v>976</v>
      </c>
      <c r="D1695" s="2" t="s">
        <v>976</v>
      </c>
      <c r="E1695" s="2" t="s">
        <v>976</v>
      </c>
      <c r="F1695" s="2" t="s">
        <v>3740</v>
      </c>
      <c r="G1695" s="2" t="s">
        <v>323</v>
      </c>
      <c r="H1695" s="8" t="n">
        <v>286.650711580414</v>
      </c>
      <c r="I1695" s="2" t="s">
        <v>316</v>
      </c>
      <c r="J1695" s="8" t="n">
        <v>564583.64116095</v>
      </c>
      <c r="K1695" s="6" t="n">
        <v>379</v>
      </c>
      <c r="L1695" s="2"/>
      <c r="M1695" s="10" t="b">
        <f aca="false">TRUE()</f>
        <v>1</v>
      </c>
      <c r="N1695" s="9" t="str">
        <f aca="false">IF(H1695="","",IF(H1695&gt;=Assumptions!$B$5,1,IF(H1695&gt;=Assumptions!$B$6,2,IF(H1695&gt;=Assumptions!$B$7,3,""))))</f>
        <v/>
      </c>
      <c r="O1695" s="9" t="n">
        <f aca="false">IF(N1695=1,Assumptions!$B$8,IF(N1695=2,Assumptions!$B$9,IF(N1695=3,Assumptions!$B$10,0)))</f>
        <v>0</v>
      </c>
      <c r="P1695" s="6" t="s">
        <v>30</v>
      </c>
      <c r="Q1695" s="6" t="s">
        <v>30</v>
      </c>
      <c r="R1695" s="11" t="s">
        <v>30</v>
      </c>
      <c r="S1695" s="6" t="s">
        <v>30</v>
      </c>
      <c r="T1695" s="11" t="s">
        <v>30</v>
      </c>
      <c r="U1695" s="6" t="s">
        <v>30</v>
      </c>
      <c r="V1695" s="6" t="s">
        <v>30</v>
      </c>
      <c r="W1695" s="6" t="s">
        <v>30</v>
      </c>
      <c r="X1695" s="2" t="s">
        <v>30</v>
      </c>
      <c r="Y1695" s="6" t="str">
        <f aca="false">IF(AND(X1695="processed",ISNUMBER(S1695)),S1695*O1695,"")</f>
        <v/>
      </c>
      <c r="Z1695" s="6" t="n">
        <f aca="false">IF(ISNUMBER(K1695),K1695*O1695,0)</f>
        <v>0</v>
      </c>
      <c r="AA1695" s="2" t="s">
        <v>31</v>
      </c>
      <c r="AB1695" s="6" t="n">
        <v>12906</v>
      </c>
      <c r="AC1695" s="6" t="n">
        <v>12311</v>
      </c>
      <c r="AD1695" s="6" t="n">
        <v>651</v>
      </c>
      <c r="AE1695" s="6" t="n">
        <v>2340.240234375</v>
      </c>
      <c r="AF1695" s="8" t="n">
        <v>288.442125966</v>
      </c>
      <c r="AG1695" s="11" t="n">
        <v>-0.02753797531</v>
      </c>
      <c r="AH1695" s="12" t="n">
        <v>1</v>
      </c>
      <c r="AI1695" s="2" t="s">
        <v>317</v>
      </c>
      <c r="AJ1695" s="2" t="s">
        <v>976</v>
      </c>
      <c r="AK1695" s="2" t="s">
        <v>976</v>
      </c>
    </row>
    <row r="1696" customFormat="false" ht="15" hidden="false" customHeight="false" outlineLevel="0" collapsed="false">
      <c r="A1696" s="9"/>
      <c r="B1696" s="2" t="s">
        <v>3741</v>
      </c>
      <c r="C1696" s="2" t="s">
        <v>976</v>
      </c>
      <c r="D1696" s="2" t="s">
        <v>976</v>
      </c>
      <c r="E1696" s="2" t="s">
        <v>976</v>
      </c>
      <c r="F1696" s="2"/>
      <c r="G1696" s="2" t="s">
        <v>323</v>
      </c>
      <c r="H1696" s="8" t="n">
        <v>359.5426866808</v>
      </c>
      <c r="I1696" s="2" t="s">
        <v>316</v>
      </c>
      <c r="J1696" s="8" t="n">
        <v>1072000</v>
      </c>
      <c r="K1696" s="6" t="n">
        <v>5</v>
      </c>
      <c r="L1696" s="2"/>
      <c r="M1696" s="10" t="b">
        <f aca="false">TRUE()</f>
        <v>1</v>
      </c>
      <c r="N1696" s="9" t="str">
        <f aca="false">IF(H1696="","",IF(H1696&gt;=Assumptions!$B$5,1,IF(H1696&gt;=Assumptions!$B$6,2,IF(H1696&gt;=Assumptions!$B$7,3,""))))</f>
        <v/>
      </c>
      <c r="O1696" s="9" t="n">
        <f aca="false">IF(N1696=1,Assumptions!$B$8,IF(N1696=2,Assumptions!$B$9,IF(N1696=3,Assumptions!$B$10,0)))</f>
        <v>0</v>
      </c>
      <c r="P1696" s="6" t="s">
        <v>30</v>
      </c>
      <c r="Q1696" s="6" t="s">
        <v>30</v>
      </c>
      <c r="R1696" s="11" t="s">
        <v>30</v>
      </c>
      <c r="S1696" s="6" t="s">
        <v>30</v>
      </c>
      <c r="T1696" s="11" t="s">
        <v>30</v>
      </c>
      <c r="U1696" s="6" t="s">
        <v>30</v>
      </c>
      <c r="V1696" s="6" t="s">
        <v>30</v>
      </c>
      <c r="W1696" s="6" t="s">
        <v>30</v>
      </c>
      <c r="X1696" s="2" t="s">
        <v>30</v>
      </c>
      <c r="Y1696" s="6" t="str">
        <f aca="false">IF(AND(X1696="processed",ISNUMBER(S1696)),S1696*O1696,"")</f>
        <v/>
      </c>
      <c r="Z1696" s="6" t="n">
        <f aca="false">IF(ISNUMBER(K1696),K1696*O1696,0)</f>
        <v>0</v>
      </c>
      <c r="AA1696" s="2" t="s">
        <v>31</v>
      </c>
      <c r="AB1696" s="6" t="n">
        <v>326</v>
      </c>
      <c r="AC1696" s="6" t="n">
        <v>238</v>
      </c>
      <c r="AD1696" s="6" t="n">
        <v>70</v>
      </c>
      <c r="AE1696" s="6" t="n">
        <v>2025.84057617188</v>
      </c>
      <c r="AF1696" s="8" t="n">
        <v>212.013452222</v>
      </c>
      <c r="AG1696" s="11"/>
      <c r="AH1696" s="12" t="n">
        <v>0.778376953164837</v>
      </c>
      <c r="AI1696" s="2" t="s">
        <v>317</v>
      </c>
      <c r="AJ1696" s="2" t="s">
        <v>976</v>
      </c>
      <c r="AK1696" s="2" t="s">
        <v>976</v>
      </c>
    </row>
    <row r="1697" customFormat="false" ht="15" hidden="false" customHeight="false" outlineLevel="0" collapsed="false">
      <c r="A1697" s="9"/>
      <c r="B1697" s="2" t="s">
        <v>3742</v>
      </c>
      <c r="C1697" s="2" t="s">
        <v>976</v>
      </c>
      <c r="D1697" s="2" t="s">
        <v>976</v>
      </c>
      <c r="E1697" s="2" t="s">
        <v>976</v>
      </c>
      <c r="F1697" s="2"/>
      <c r="G1697" s="2" t="s">
        <v>323</v>
      </c>
      <c r="H1697" s="8" t="n">
        <v>320.166005437948</v>
      </c>
      <c r="I1697" s="2" t="s">
        <v>316</v>
      </c>
      <c r="J1697" s="8" t="n">
        <v>388238.007380074</v>
      </c>
      <c r="K1697" s="6" t="n">
        <v>271</v>
      </c>
      <c r="L1697" s="2"/>
      <c r="M1697" s="10" t="b">
        <f aca="false">TRUE()</f>
        <v>1</v>
      </c>
      <c r="N1697" s="9" t="str">
        <f aca="false">IF(H1697="","",IF(H1697&gt;=Assumptions!$B$5,1,IF(H1697&gt;=Assumptions!$B$6,2,IF(H1697&gt;=Assumptions!$B$7,3,""))))</f>
        <v/>
      </c>
      <c r="O1697" s="9" t="n">
        <f aca="false">IF(N1697=1,Assumptions!$B$8,IF(N1697=2,Assumptions!$B$9,IF(N1697=3,Assumptions!$B$10,0)))</f>
        <v>0</v>
      </c>
      <c r="P1697" s="6" t="s">
        <v>30</v>
      </c>
      <c r="Q1697" s="6" t="s">
        <v>30</v>
      </c>
      <c r="R1697" s="11" t="s">
        <v>30</v>
      </c>
      <c r="S1697" s="6" t="s">
        <v>30</v>
      </c>
      <c r="T1697" s="11" t="s">
        <v>30</v>
      </c>
      <c r="U1697" s="6" t="s">
        <v>30</v>
      </c>
      <c r="V1697" s="6" t="s">
        <v>30</v>
      </c>
      <c r="W1697" s="6" t="s">
        <v>30</v>
      </c>
      <c r="X1697" s="2" t="s">
        <v>30</v>
      </c>
      <c r="Y1697" s="6" t="str">
        <f aca="false">IF(AND(X1697="processed",ISNUMBER(S1697)),S1697*O1697,"")</f>
        <v/>
      </c>
      <c r="Z1697" s="6" t="n">
        <f aca="false">IF(ISNUMBER(K1697),K1697*O1697,0)</f>
        <v>0</v>
      </c>
      <c r="AA1697" s="2" t="s">
        <v>31</v>
      </c>
      <c r="AB1697" s="6" t="n">
        <v>12751</v>
      </c>
      <c r="AC1697" s="6" t="n">
        <v>11457</v>
      </c>
      <c r="AD1697" s="6" t="n">
        <v>732</v>
      </c>
      <c r="AE1697" s="6" t="n">
        <v>1947.57885742188</v>
      </c>
      <c r="AF1697" s="8" t="n">
        <v>320.482915815</v>
      </c>
      <c r="AG1697" s="11" t="n">
        <v>0.03035189159</v>
      </c>
      <c r="AH1697" s="12" t="n">
        <v>1</v>
      </c>
      <c r="AI1697" s="2" t="s">
        <v>317</v>
      </c>
      <c r="AJ1697" s="2" t="s">
        <v>976</v>
      </c>
      <c r="AK1697" s="2" t="s">
        <v>976</v>
      </c>
    </row>
    <row r="1698" customFormat="false" ht="15" hidden="false" customHeight="false" outlineLevel="0" collapsed="false">
      <c r="A1698" s="9"/>
      <c r="B1698" s="2" t="s">
        <v>3743</v>
      </c>
      <c r="C1698" s="2" t="s">
        <v>976</v>
      </c>
      <c r="D1698" s="2" t="s">
        <v>976</v>
      </c>
      <c r="E1698" s="2" t="s">
        <v>976</v>
      </c>
      <c r="F1698" s="2"/>
      <c r="G1698" s="2" t="s">
        <v>323</v>
      </c>
      <c r="H1698" s="8" t="n">
        <v>317.494126749901</v>
      </c>
      <c r="I1698" s="2" t="s">
        <v>316</v>
      </c>
      <c r="J1698" s="8" t="n">
        <v>465604.938271605</v>
      </c>
      <c r="K1698" s="6" t="n">
        <v>81</v>
      </c>
      <c r="L1698" s="2"/>
      <c r="M1698" s="10" t="b">
        <f aca="false">TRUE()</f>
        <v>1</v>
      </c>
      <c r="N1698" s="9" t="str">
        <f aca="false">IF(H1698="","",IF(H1698&gt;=Assumptions!$B$5,1,IF(H1698&gt;=Assumptions!$B$6,2,IF(H1698&gt;=Assumptions!$B$7,3,""))))</f>
        <v/>
      </c>
      <c r="O1698" s="9" t="n">
        <f aca="false">IF(N1698=1,Assumptions!$B$8,IF(N1698=2,Assumptions!$B$9,IF(N1698=3,Assumptions!$B$10,0)))</f>
        <v>0</v>
      </c>
      <c r="P1698" s="6" t="s">
        <v>30</v>
      </c>
      <c r="Q1698" s="6" t="s">
        <v>30</v>
      </c>
      <c r="R1698" s="11" t="s">
        <v>30</v>
      </c>
      <c r="S1698" s="6" t="s">
        <v>30</v>
      </c>
      <c r="T1698" s="11" t="s">
        <v>30</v>
      </c>
      <c r="U1698" s="6" t="s">
        <v>30</v>
      </c>
      <c r="V1698" s="6" t="s">
        <v>30</v>
      </c>
      <c r="W1698" s="6" t="s">
        <v>30</v>
      </c>
      <c r="X1698" s="2" t="s">
        <v>30</v>
      </c>
      <c r="Y1698" s="6" t="str">
        <f aca="false">IF(AND(X1698="processed",ISNUMBER(S1698)),S1698*O1698,"")</f>
        <v/>
      </c>
      <c r="Z1698" s="6" t="n">
        <f aca="false">IF(ISNUMBER(K1698),K1698*O1698,0)</f>
        <v>0</v>
      </c>
      <c r="AA1698" s="2" t="s">
        <v>31</v>
      </c>
      <c r="AB1698" s="6" t="n">
        <v>5757</v>
      </c>
      <c r="AC1698" s="6" t="n">
        <v>5026</v>
      </c>
      <c r="AD1698" s="6" t="n">
        <v>1346</v>
      </c>
      <c r="AE1698" s="6" t="n">
        <v>2762.94580078125</v>
      </c>
      <c r="AF1698" s="8" t="n">
        <v>316.032887975</v>
      </c>
      <c r="AG1698" s="11" t="n">
        <v>-0.02650665486</v>
      </c>
      <c r="AH1698" s="12" t="n">
        <v>1</v>
      </c>
      <c r="AI1698" s="2" t="s">
        <v>317</v>
      </c>
      <c r="AJ1698" s="2" t="s">
        <v>976</v>
      </c>
      <c r="AK1698" s="2" t="s">
        <v>3489</v>
      </c>
    </row>
    <row r="1699" customFormat="false" ht="15" hidden="false" customHeight="false" outlineLevel="0" collapsed="false">
      <c r="A1699" s="9"/>
      <c r="B1699" s="2" t="s">
        <v>3744</v>
      </c>
      <c r="C1699" s="2" t="s">
        <v>976</v>
      </c>
      <c r="D1699" s="2" t="s">
        <v>976</v>
      </c>
      <c r="E1699" s="2" t="s">
        <v>976</v>
      </c>
      <c r="F1699" s="2"/>
      <c r="G1699" s="2" t="s">
        <v>323</v>
      </c>
      <c r="H1699" s="8" t="n">
        <v>341.723084202235</v>
      </c>
      <c r="I1699" s="2" t="s">
        <v>316</v>
      </c>
      <c r="J1699" s="8" t="n">
        <v>433210.784313726</v>
      </c>
      <c r="K1699" s="6" t="n">
        <v>204</v>
      </c>
      <c r="L1699" s="2"/>
      <c r="M1699" s="10" t="b">
        <f aca="false">TRUE()</f>
        <v>1</v>
      </c>
      <c r="N1699" s="9" t="str">
        <f aca="false">IF(H1699="","",IF(H1699&gt;=Assumptions!$B$5,1,IF(H1699&gt;=Assumptions!$B$6,2,IF(H1699&gt;=Assumptions!$B$7,3,""))))</f>
        <v/>
      </c>
      <c r="O1699" s="9" t="n">
        <f aca="false">IF(N1699=1,Assumptions!$B$8,IF(N1699=2,Assumptions!$B$9,IF(N1699=3,Assumptions!$B$10,0)))</f>
        <v>0</v>
      </c>
      <c r="P1699" s="6" t="s">
        <v>30</v>
      </c>
      <c r="Q1699" s="6" t="s">
        <v>30</v>
      </c>
      <c r="R1699" s="11" t="s">
        <v>30</v>
      </c>
      <c r="S1699" s="6" t="s">
        <v>30</v>
      </c>
      <c r="T1699" s="11" t="s">
        <v>30</v>
      </c>
      <c r="U1699" s="6" t="s">
        <v>30</v>
      </c>
      <c r="V1699" s="6" t="s">
        <v>30</v>
      </c>
      <c r="W1699" s="6" t="s">
        <v>30</v>
      </c>
      <c r="X1699" s="2" t="s">
        <v>30</v>
      </c>
      <c r="Y1699" s="6" t="str">
        <f aca="false">IF(AND(X1699="processed",ISNUMBER(S1699)),S1699*O1699,"")</f>
        <v/>
      </c>
      <c r="Z1699" s="6" t="n">
        <f aca="false">IF(ISNUMBER(K1699),K1699*O1699,0)</f>
        <v>0</v>
      </c>
      <c r="AA1699" s="2" t="s">
        <v>31</v>
      </c>
      <c r="AB1699" s="6" t="n">
        <v>8609</v>
      </c>
      <c r="AC1699" s="6" t="n">
        <v>8202</v>
      </c>
      <c r="AD1699" s="6" t="n">
        <v>1333</v>
      </c>
      <c r="AE1699" s="6" t="n">
        <v>2341.2177734375</v>
      </c>
      <c r="AF1699" s="8" t="n">
        <v>344.109822642</v>
      </c>
      <c r="AG1699" s="11" t="n">
        <v>-0.009402999926</v>
      </c>
      <c r="AH1699" s="12" t="n">
        <v>1</v>
      </c>
      <c r="AI1699" s="2" t="s">
        <v>321</v>
      </c>
      <c r="AJ1699" s="2" t="s">
        <v>976</v>
      </c>
      <c r="AK1699" s="2" t="s">
        <v>3492</v>
      </c>
    </row>
    <row r="1700" customFormat="false" ht="15" hidden="false" customHeight="false" outlineLevel="0" collapsed="false">
      <c r="A1700" s="9"/>
      <c r="B1700" s="2" t="s">
        <v>3745</v>
      </c>
      <c r="C1700" s="2" t="s">
        <v>3746</v>
      </c>
      <c r="D1700" s="2" t="s">
        <v>976</v>
      </c>
      <c r="E1700" s="2" t="s">
        <v>976</v>
      </c>
      <c r="F1700" s="2"/>
      <c r="G1700" s="2" t="s">
        <v>323</v>
      </c>
      <c r="H1700" s="8" t="n">
        <v>305.921555120795</v>
      </c>
      <c r="I1700" s="2" t="s">
        <v>316</v>
      </c>
      <c r="J1700" s="8" t="n">
        <v>508498.516320475</v>
      </c>
      <c r="K1700" s="6" t="n">
        <v>337</v>
      </c>
      <c r="L1700" s="2"/>
      <c r="M1700" s="10" t="b">
        <f aca="false">TRUE()</f>
        <v>1</v>
      </c>
      <c r="N1700" s="9" t="str">
        <f aca="false">IF(H1700="","",IF(H1700&gt;=Assumptions!$B$5,1,IF(H1700&gt;=Assumptions!$B$6,2,IF(H1700&gt;=Assumptions!$B$7,3,""))))</f>
        <v/>
      </c>
      <c r="O1700" s="9" t="n">
        <f aca="false">IF(N1700=1,Assumptions!$B$8,IF(N1700=2,Assumptions!$B$9,IF(N1700=3,Assumptions!$B$10,0)))</f>
        <v>0</v>
      </c>
      <c r="P1700" s="6" t="s">
        <v>30</v>
      </c>
      <c r="Q1700" s="6" t="s">
        <v>30</v>
      </c>
      <c r="R1700" s="11" t="s">
        <v>30</v>
      </c>
      <c r="S1700" s="6" t="s">
        <v>30</v>
      </c>
      <c r="T1700" s="11" t="s">
        <v>30</v>
      </c>
      <c r="U1700" s="6" t="s">
        <v>30</v>
      </c>
      <c r="V1700" s="6" t="s">
        <v>30</v>
      </c>
      <c r="W1700" s="6" t="s">
        <v>30</v>
      </c>
      <c r="X1700" s="2" t="s">
        <v>30</v>
      </c>
      <c r="Y1700" s="6" t="str">
        <f aca="false">IF(AND(X1700="processed",ISNUMBER(S1700)),S1700*O1700,"")</f>
        <v/>
      </c>
      <c r="Z1700" s="6" t="n">
        <f aca="false">IF(ISNUMBER(K1700),K1700*O1700,0)</f>
        <v>0</v>
      </c>
      <c r="AA1700" s="2" t="s">
        <v>31</v>
      </c>
      <c r="AB1700" s="6" t="n">
        <v>13456</v>
      </c>
      <c r="AC1700" s="6" t="n">
        <v>13043</v>
      </c>
      <c r="AD1700" s="6" t="n">
        <v>813</v>
      </c>
      <c r="AE1700" s="6" t="n">
        <v>2348.26684570313</v>
      </c>
      <c r="AF1700" s="8" t="n">
        <v>317.284460902</v>
      </c>
      <c r="AG1700" s="11" t="n">
        <v>0.03835070913</v>
      </c>
      <c r="AH1700" s="12" t="n">
        <v>0.99975664611759</v>
      </c>
      <c r="AI1700" s="2" t="s">
        <v>317</v>
      </c>
      <c r="AJ1700" s="2" t="s">
        <v>3746</v>
      </c>
      <c r="AK1700" s="2" t="s">
        <v>1760</v>
      </c>
    </row>
    <row r="1701" customFormat="false" ht="15" hidden="false" customHeight="false" outlineLevel="0" collapsed="false">
      <c r="A1701" s="9"/>
      <c r="B1701" s="2" t="s">
        <v>3747</v>
      </c>
      <c r="C1701" s="2" t="s">
        <v>976</v>
      </c>
      <c r="D1701" s="2" t="s">
        <v>976</v>
      </c>
      <c r="E1701" s="2" t="s">
        <v>976</v>
      </c>
      <c r="F1701" s="2" t="s">
        <v>3748</v>
      </c>
      <c r="G1701" s="2" t="s">
        <v>323</v>
      </c>
      <c r="H1701" s="8" t="n">
        <v>408.633304888326</v>
      </c>
      <c r="I1701" s="2" t="s">
        <v>316</v>
      </c>
      <c r="J1701" s="8" t="n">
        <v>834319.923371648</v>
      </c>
      <c r="K1701" s="6" t="n">
        <v>261</v>
      </c>
      <c r="L1701" s="2"/>
      <c r="M1701" s="10" t="b">
        <f aca="false">TRUE()</f>
        <v>1</v>
      </c>
      <c r="N1701" s="9" t="str">
        <f aca="false">IF(H1701="","",IF(H1701&gt;=Assumptions!$B$5,1,IF(H1701&gt;=Assumptions!$B$6,2,IF(H1701&gt;=Assumptions!$B$7,3,""))))</f>
        <v/>
      </c>
      <c r="O1701" s="9" t="n">
        <f aca="false">IF(N1701=1,Assumptions!$B$8,IF(N1701=2,Assumptions!$B$9,IF(N1701=3,Assumptions!$B$10,0)))</f>
        <v>0</v>
      </c>
      <c r="P1701" s="6" t="s">
        <v>30</v>
      </c>
      <c r="Q1701" s="6" t="s">
        <v>30</v>
      </c>
      <c r="R1701" s="11" t="s">
        <v>30</v>
      </c>
      <c r="S1701" s="6" t="s">
        <v>30</v>
      </c>
      <c r="T1701" s="11" t="s">
        <v>30</v>
      </c>
      <c r="U1701" s="6" t="s">
        <v>30</v>
      </c>
      <c r="V1701" s="6" t="s">
        <v>30</v>
      </c>
      <c r="W1701" s="6" t="s">
        <v>30</v>
      </c>
      <c r="X1701" s="2" t="s">
        <v>30</v>
      </c>
      <c r="Y1701" s="6" t="str">
        <f aca="false">IF(AND(X1701="processed",ISNUMBER(S1701)),S1701*O1701,"")</f>
        <v/>
      </c>
      <c r="Z1701" s="6" t="n">
        <f aca="false">IF(ISNUMBER(K1701),K1701*O1701,0)</f>
        <v>0</v>
      </c>
      <c r="AA1701" s="2" t="s">
        <v>31</v>
      </c>
      <c r="AB1701" s="6" t="n">
        <v>10301</v>
      </c>
      <c r="AC1701" s="6" t="n">
        <v>9353</v>
      </c>
      <c r="AD1701" s="6" t="n">
        <v>4321</v>
      </c>
      <c r="AE1701" s="6" t="n">
        <v>2798.7734375</v>
      </c>
      <c r="AF1701" s="8" t="n">
        <v>404.157532882</v>
      </c>
      <c r="AG1701" s="11" t="n">
        <v>-0.02699196135</v>
      </c>
      <c r="AH1701" s="12" t="n">
        <v>1</v>
      </c>
      <c r="AI1701" s="2" t="s">
        <v>317</v>
      </c>
      <c r="AJ1701" s="2" t="s">
        <v>976</v>
      </c>
      <c r="AK1701" s="2" t="s">
        <v>976</v>
      </c>
    </row>
    <row r="1702" customFormat="false" ht="15" hidden="false" customHeight="false" outlineLevel="0" collapsed="false">
      <c r="A1702" s="9"/>
      <c r="B1702" s="2" t="s">
        <v>3749</v>
      </c>
      <c r="C1702" s="2" t="s">
        <v>3750</v>
      </c>
      <c r="D1702" s="2" t="s">
        <v>3638</v>
      </c>
      <c r="E1702" s="2" t="s">
        <v>51</v>
      </c>
      <c r="F1702" s="2"/>
      <c r="G1702" s="2" t="s">
        <v>1759</v>
      </c>
      <c r="H1702" s="8" t="n">
        <v>271.353404002392</v>
      </c>
      <c r="I1702" s="2" t="s">
        <v>316</v>
      </c>
      <c r="J1702" s="8" t="n">
        <v>415288.316151203</v>
      </c>
      <c r="K1702" s="6" t="n">
        <v>291</v>
      </c>
      <c r="L1702" s="2"/>
      <c r="M1702" s="10" t="b">
        <f aca="false">TRUE()</f>
        <v>1</v>
      </c>
      <c r="N1702" s="9" t="str">
        <f aca="false">IF(H1702="","",IF(H1702&gt;=Assumptions!$B$5,1,IF(H1702&gt;=Assumptions!$B$6,2,IF(H1702&gt;=Assumptions!$B$7,3,""))))</f>
        <v/>
      </c>
      <c r="O1702" s="9" t="n">
        <f aca="false">IF(N1702=1,Assumptions!$B$8,IF(N1702=2,Assumptions!$B$9,IF(N1702=3,Assumptions!$B$10,0)))</f>
        <v>0</v>
      </c>
      <c r="P1702" s="6" t="s">
        <v>30</v>
      </c>
      <c r="Q1702" s="6" t="s">
        <v>30</v>
      </c>
      <c r="R1702" s="11" t="s">
        <v>30</v>
      </c>
      <c r="S1702" s="6" t="s">
        <v>30</v>
      </c>
      <c r="T1702" s="11" t="s">
        <v>30</v>
      </c>
      <c r="U1702" s="6" t="s">
        <v>30</v>
      </c>
      <c r="V1702" s="6" t="s">
        <v>30</v>
      </c>
      <c r="W1702" s="6" t="s">
        <v>30</v>
      </c>
      <c r="X1702" s="2" t="s">
        <v>30</v>
      </c>
      <c r="Y1702" s="6" t="str">
        <f aca="false">IF(AND(X1702="processed",ISNUMBER(S1702)),S1702*O1702,"")</f>
        <v/>
      </c>
      <c r="Z1702" s="6" t="n">
        <f aca="false">IF(ISNUMBER(K1702),K1702*O1702,0)</f>
        <v>0</v>
      </c>
      <c r="AA1702" s="2" t="s">
        <v>31</v>
      </c>
      <c r="AB1702" s="6" t="n">
        <v>15511</v>
      </c>
      <c r="AC1702" s="6" t="n">
        <v>13443</v>
      </c>
      <c r="AD1702" s="6" t="n">
        <v>11204</v>
      </c>
      <c r="AE1702" s="6" t="n">
        <v>2110.5478515625</v>
      </c>
      <c r="AF1702" s="8" t="n">
        <v>287.412177986</v>
      </c>
      <c r="AG1702" s="11" t="n">
        <v>0.01942534526</v>
      </c>
      <c r="AH1702" s="12" t="n">
        <v>0.96991399598518</v>
      </c>
      <c r="AI1702" s="2" t="s">
        <v>319</v>
      </c>
      <c r="AJ1702" s="2"/>
      <c r="AK1702" s="2" t="s">
        <v>3750</v>
      </c>
    </row>
    <row r="1703" customFormat="false" ht="15" hidden="false" customHeight="false" outlineLevel="0" collapsed="false">
      <c r="A1703" s="9"/>
      <c r="B1703" s="2" t="s">
        <v>3751</v>
      </c>
      <c r="C1703" s="2" t="s">
        <v>3752</v>
      </c>
      <c r="D1703" s="2" t="s">
        <v>3638</v>
      </c>
      <c r="E1703" s="2" t="s">
        <v>51</v>
      </c>
      <c r="F1703" s="2"/>
      <c r="G1703" s="2"/>
      <c r="H1703" s="8"/>
      <c r="I1703" s="2"/>
      <c r="J1703" s="8"/>
      <c r="K1703" s="6"/>
      <c r="L1703" s="2"/>
      <c r="M1703" s="10" t="b">
        <f aca="false">TRUE()</f>
        <v>1</v>
      </c>
      <c r="N1703" s="9" t="str">
        <f aca="false">IF(H1703="","",IF(H1703&gt;=Assumptions!$B$5,1,IF(H1703&gt;=Assumptions!$B$6,2,IF(H1703&gt;=Assumptions!$B$7,3,""))))</f>
        <v/>
      </c>
      <c r="O1703" s="9" t="n">
        <f aca="false">IF(N1703=1,Assumptions!$B$8,IF(N1703=2,Assumptions!$B$9,IF(N1703=3,Assumptions!$B$10,0)))</f>
        <v>0</v>
      </c>
      <c r="P1703" s="6" t="s">
        <v>30</v>
      </c>
      <c r="Q1703" s="6" t="s">
        <v>30</v>
      </c>
      <c r="R1703" s="11" t="s">
        <v>30</v>
      </c>
      <c r="S1703" s="6" t="s">
        <v>30</v>
      </c>
      <c r="T1703" s="11" t="s">
        <v>30</v>
      </c>
      <c r="U1703" s="6" t="s">
        <v>30</v>
      </c>
      <c r="V1703" s="6" t="s">
        <v>30</v>
      </c>
      <c r="W1703" s="6" t="s">
        <v>30</v>
      </c>
      <c r="X1703" s="2" t="s">
        <v>30</v>
      </c>
      <c r="Y1703" s="6" t="str">
        <f aca="false">IF(AND(X1703="processed",ISNUMBER(S1703)),S1703*O1703,"")</f>
        <v/>
      </c>
      <c r="Z1703" s="6" t="n">
        <f aca="false">IF(ISNUMBER(K1703),K1703*O1703,0)</f>
        <v>0</v>
      </c>
      <c r="AA1703" s="2" t="s">
        <v>31</v>
      </c>
      <c r="AB1703" s="6" t="n">
        <v>574</v>
      </c>
      <c r="AC1703" s="6" t="n">
        <v>484</v>
      </c>
      <c r="AD1703" s="6" t="n">
        <v>63</v>
      </c>
      <c r="AE1703" s="6" t="n">
        <v>2278.05126953125</v>
      </c>
      <c r="AF1703" s="8"/>
      <c r="AG1703" s="11"/>
      <c r="AH1703" s="12" t="n">
        <v>1</v>
      </c>
      <c r="AI1703" s="2" t="s">
        <v>317</v>
      </c>
      <c r="AJ1703" s="2" t="s">
        <v>3752</v>
      </c>
      <c r="AK1703" s="2" t="s">
        <v>3753</v>
      </c>
    </row>
    <row r="1704" customFormat="false" ht="15" hidden="false" customHeight="false" outlineLevel="0" collapsed="false">
      <c r="A1704" s="9"/>
      <c r="B1704" s="2" t="s">
        <v>3754</v>
      </c>
      <c r="C1704" s="2" t="s">
        <v>3755</v>
      </c>
      <c r="D1704" s="2" t="s">
        <v>3756</v>
      </c>
      <c r="E1704" s="2" t="s">
        <v>51</v>
      </c>
      <c r="F1704" s="2"/>
      <c r="G1704" s="2"/>
      <c r="H1704" s="8"/>
      <c r="I1704" s="2"/>
      <c r="J1704" s="8"/>
      <c r="K1704" s="6"/>
      <c r="L1704" s="2"/>
      <c r="M1704" s="10" t="b">
        <f aca="false">TRUE()</f>
        <v>1</v>
      </c>
      <c r="N1704" s="9" t="str">
        <f aca="false">IF(H1704="","",IF(H1704&gt;=Assumptions!$B$5,1,IF(H1704&gt;=Assumptions!$B$6,2,IF(H1704&gt;=Assumptions!$B$7,3,""))))</f>
        <v/>
      </c>
      <c r="O1704" s="9" t="n">
        <f aca="false">IF(N1704=1,Assumptions!$B$8,IF(N1704=2,Assumptions!$B$9,IF(N1704=3,Assumptions!$B$10,0)))</f>
        <v>0</v>
      </c>
      <c r="P1704" s="6" t="s">
        <v>30</v>
      </c>
      <c r="Q1704" s="6" t="s">
        <v>30</v>
      </c>
      <c r="R1704" s="11" t="s">
        <v>30</v>
      </c>
      <c r="S1704" s="6" t="s">
        <v>30</v>
      </c>
      <c r="T1704" s="11" t="s">
        <v>30</v>
      </c>
      <c r="U1704" s="6" t="s">
        <v>30</v>
      </c>
      <c r="V1704" s="6" t="s">
        <v>30</v>
      </c>
      <c r="W1704" s="6" t="s">
        <v>30</v>
      </c>
      <c r="X1704" s="2" t="s">
        <v>30</v>
      </c>
      <c r="Y1704" s="6" t="str">
        <f aca="false">IF(AND(X1704="processed",ISNUMBER(S1704)),S1704*O1704,"")</f>
        <v/>
      </c>
      <c r="Z1704" s="6" t="n">
        <f aca="false">IF(ISNUMBER(K1704),K1704*O1704,0)</f>
        <v>0</v>
      </c>
      <c r="AA1704" s="2" t="s">
        <v>31</v>
      </c>
      <c r="AB1704" s="6" t="n">
        <v>124</v>
      </c>
      <c r="AC1704" s="6" t="n">
        <v>93</v>
      </c>
      <c r="AD1704" s="6" t="n">
        <v>24</v>
      </c>
      <c r="AE1704" s="6" t="n">
        <v>1135.43017578125</v>
      </c>
      <c r="AF1704" s="8"/>
      <c r="AG1704" s="11"/>
      <c r="AH1704" s="12" t="n">
        <v>0.999240025526573</v>
      </c>
      <c r="AI1704" s="2" t="s">
        <v>328</v>
      </c>
      <c r="AJ1704" s="2" t="s">
        <v>3755</v>
      </c>
      <c r="AK1704" s="2" t="s">
        <v>3755</v>
      </c>
    </row>
    <row r="1705" customFormat="false" ht="15" hidden="false" customHeight="false" outlineLevel="0" collapsed="false">
      <c r="A1705" s="9"/>
      <c r="B1705" s="2" t="s">
        <v>3757</v>
      </c>
      <c r="C1705" s="2" t="s">
        <v>3758</v>
      </c>
      <c r="D1705" s="2" t="s">
        <v>3759</v>
      </c>
      <c r="E1705" s="2" t="s">
        <v>51</v>
      </c>
      <c r="F1705" s="2"/>
      <c r="G1705" s="2"/>
      <c r="H1705" s="8"/>
      <c r="I1705" s="2"/>
      <c r="J1705" s="8"/>
      <c r="K1705" s="6"/>
      <c r="L1705" s="2"/>
      <c r="M1705" s="10" t="b">
        <f aca="false">TRUE()</f>
        <v>1</v>
      </c>
      <c r="N1705" s="9" t="str">
        <f aca="false">IF(H1705="","",IF(H1705&gt;=Assumptions!$B$5,1,IF(H1705&gt;=Assumptions!$B$6,2,IF(H1705&gt;=Assumptions!$B$7,3,""))))</f>
        <v/>
      </c>
      <c r="O1705" s="9" t="n">
        <f aca="false">IF(N1705=1,Assumptions!$B$8,IF(N1705=2,Assumptions!$B$9,IF(N1705=3,Assumptions!$B$10,0)))</f>
        <v>0</v>
      </c>
      <c r="P1705" s="6" t="s">
        <v>30</v>
      </c>
      <c r="Q1705" s="6" t="s">
        <v>30</v>
      </c>
      <c r="R1705" s="11" t="s">
        <v>30</v>
      </c>
      <c r="S1705" s="6" t="s">
        <v>30</v>
      </c>
      <c r="T1705" s="11" t="s">
        <v>30</v>
      </c>
      <c r="U1705" s="6" t="s">
        <v>30</v>
      </c>
      <c r="V1705" s="6" t="s">
        <v>30</v>
      </c>
      <c r="W1705" s="6" t="s">
        <v>30</v>
      </c>
      <c r="X1705" s="2" t="s">
        <v>30</v>
      </c>
      <c r="Y1705" s="6" t="str">
        <f aca="false">IF(AND(X1705="processed",ISNUMBER(S1705)),S1705*O1705,"")</f>
        <v/>
      </c>
      <c r="Z1705" s="6" t="n">
        <f aca="false">IF(ISNUMBER(K1705),K1705*O1705,0)</f>
        <v>0</v>
      </c>
      <c r="AA1705" s="2" t="s">
        <v>31</v>
      </c>
      <c r="AB1705" s="6" t="n">
        <v>3263</v>
      </c>
      <c r="AC1705" s="6" t="n">
        <v>2624</v>
      </c>
      <c r="AD1705" s="6" t="n">
        <v>1570</v>
      </c>
      <c r="AE1705" s="6" t="n">
        <v>1939.666015625</v>
      </c>
      <c r="AF1705" s="8"/>
      <c r="AG1705" s="11"/>
      <c r="AH1705" s="12" t="n">
        <v>0.999640382540875</v>
      </c>
      <c r="AI1705" s="2" t="s">
        <v>1558</v>
      </c>
      <c r="AJ1705" s="2" t="s">
        <v>3758</v>
      </c>
      <c r="AK1705" s="2" t="s">
        <v>3760</v>
      </c>
    </row>
    <row r="1706" customFormat="false" ht="15" hidden="false" customHeight="false" outlineLevel="0" collapsed="false">
      <c r="A1706" s="9"/>
      <c r="B1706" s="2" t="s">
        <v>3761</v>
      </c>
      <c r="C1706" s="2" t="s">
        <v>3762</v>
      </c>
      <c r="D1706" s="2" t="s">
        <v>3763</v>
      </c>
      <c r="E1706" s="2" t="s">
        <v>51</v>
      </c>
      <c r="F1706" s="2"/>
      <c r="G1706" s="2" t="s">
        <v>3764</v>
      </c>
      <c r="H1706" s="8" t="n">
        <v>242.91692003</v>
      </c>
      <c r="I1706" s="2" t="s">
        <v>316</v>
      </c>
      <c r="J1706" s="8" t="n">
        <v>337590</v>
      </c>
      <c r="K1706" s="6" t="n">
        <v>4</v>
      </c>
      <c r="L1706" s="2" t="s">
        <v>1664</v>
      </c>
      <c r="M1706" s="10" t="b">
        <f aca="false">TRUE()</f>
        <v>1</v>
      </c>
      <c r="N1706" s="9" t="str">
        <f aca="false">IF(H1706="","",IF(H1706&gt;=Assumptions!$B$5,1,IF(H1706&gt;=Assumptions!$B$6,2,IF(H1706&gt;=Assumptions!$B$7,3,""))))</f>
        <v/>
      </c>
      <c r="O1706" s="9" t="n">
        <f aca="false">IF(N1706=1,Assumptions!$B$8,IF(N1706=2,Assumptions!$B$9,IF(N1706=3,Assumptions!$B$10,0)))</f>
        <v>0</v>
      </c>
      <c r="P1706" s="6" t="s">
        <v>30</v>
      </c>
      <c r="Q1706" s="6" t="s">
        <v>30</v>
      </c>
      <c r="R1706" s="11" t="s">
        <v>30</v>
      </c>
      <c r="S1706" s="6" t="s">
        <v>30</v>
      </c>
      <c r="T1706" s="11" t="s">
        <v>30</v>
      </c>
      <c r="U1706" s="6" t="s">
        <v>30</v>
      </c>
      <c r="V1706" s="6" t="s">
        <v>30</v>
      </c>
      <c r="W1706" s="6" t="s">
        <v>30</v>
      </c>
      <c r="X1706" s="2" t="s">
        <v>30</v>
      </c>
      <c r="Y1706" s="6" t="str">
        <f aca="false">IF(AND(X1706="processed",ISNUMBER(S1706)),S1706*O1706,"")</f>
        <v/>
      </c>
      <c r="Z1706" s="6" t="n">
        <f aca="false">IF(ISNUMBER(K1706),K1706*O1706,0)</f>
        <v>0</v>
      </c>
      <c r="AA1706" s="2" t="s">
        <v>31</v>
      </c>
      <c r="AB1706" s="6" t="n">
        <v>602</v>
      </c>
      <c r="AC1706" s="6" t="n">
        <v>472</v>
      </c>
      <c r="AD1706" s="6" t="n">
        <v>588</v>
      </c>
      <c r="AE1706" s="6" t="n">
        <v>1727.69262695313</v>
      </c>
      <c r="AF1706" s="8" t="n">
        <v>270.102426412</v>
      </c>
      <c r="AG1706" s="11" t="n">
        <v>0.2930801163</v>
      </c>
      <c r="AH1706" s="12" t="n">
        <v>0.600316661211823</v>
      </c>
      <c r="AI1706" s="2" t="s">
        <v>2683</v>
      </c>
      <c r="AJ1706" s="2" t="s">
        <v>3765</v>
      </c>
      <c r="AK1706" s="2" t="s">
        <v>3766</v>
      </c>
    </row>
    <row r="1707" customFormat="false" ht="15" hidden="false" customHeight="false" outlineLevel="0" collapsed="false">
      <c r="A1707" s="9"/>
      <c r="B1707" s="2" t="s">
        <v>3767</v>
      </c>
      <c r="C1707" s="2" t="s">
        <v>3768</v>
      </c>
      <c r="D1707" s="2" t="s">
        <v>3769</v>
      </c>
      <c r="E1707" s="2" t="s">
        <v>51</v>
      </c>
      <c r="F1707" s="2"/>
      <c r="G1707" s="2"/>
      <c r="H1707" s="8"/>
      <c r="I1707" s="2"/>
      <c r="J1707" s="8"/>
      <c r="K1707" s="6"/>
      <c r="L1707" s="2"/>
      <c r="M1707" s="10" t="b">
        <f aca="false">TRUE()</f>
        <v>1</v>
      </c>
      <c r="N1707" s="9" t="str">
        <f aca="false">IF(H1707="","",IF(H1707&gt;=Assumptions!$B$5,1,IF(H1707&gt;=Assumptions!$B$6,2,IF(H1707&gt;=Assumptions!$B$7,3,""))))</f>
        <v/>
      </c>
      <c r="O1707" s="9" t="n">
        <f aca="false">IF(N1707=1,Assumptions!$B$8,IF(N1707=2,Assumptions!$B$9,IF(N1707=3,Assumptions!$B$10,0)))</f>
        <v>0</v>
      </c>
      <c r="P1707" s="6" t="s">
        <v>30</v>
      </c>
      <c r="Q1707" s="6" t="s">
        <v>30</v>
      </c>
      <c r="R1707" s="11" t="s">
        <v>30</v>
      </c>
      <c r="S1707" s="6" t="s">
        <v>30</v>
      </c>
      <c r="T1707" s="11" t="s">
        <v>30</v>
      </c>
      <c r="U1707" s="6" t="s">
        <v>30</v>
      </c>
      <c r="V1707" s="6" t="s">
        <v>30</v>
      </c>
      <c r="W1707" s="6" t="s">
        <v>30</v>
      </c>
      <c r="X1707" s="2" t="s">
        <v>30</v>
      </c>
      <c r="Y1707" s="6" t="str">
        <f aca="false">IF(AND(X1707="processed",ISNUMBER(S1707)),S1707*O1707,"")</f>
        <v/>
      </c>
      <c r="Z1707" s="6" t="n">
        <f aca="false">IF(ISNUMBER(K1707),K1707*O1707,0)</f>
        <v>0</v>
      </c>
      <c r="AA1707" s="2" t="s">
        <v>31</v>
      </c>
      <c r="AB1707" s="6" t="n">
        <v>77</v>
      </c>
      <c r="AC1707" s="6" t="n">
        <v>61</v>
      </c>
      <c r="AD1707" s="6" t="n">
        <v>62</v>
      </c>
      <c r="AE1707" s="6" t="n">
        <v>1174.74877929688</v>
      </c>
      <c r="AF1707" s="8"/>
      <c r="AG1707" s="11"/>
      <c r="AH1707" s="12" t="n">
        <v>0.999999999999999</v>
      </c>
      <c r="AI1707" s="2" t="s">
        <v>1597</v>
      </c>
      <c r="AJ1707" s="2"/>
      <c r="AK1707" s="2" t="s">
        <v>3768</v>
      </c>
    </row>
    <row r="1708" customFormat="false" ht="15" hidden="false" customHeight="false" outlineLevel="0" collapsed="false">
      <c r="A1708" s="9"/>
      <c r="B1708" s="2" t="s">
        <v>3770</v>
      </c>
      <c r="C1708" s="2" t="s">
        <v>3771</v>
      </c>
      <c r="D1708" s="2" t="s">
        <v>3763</v>
      </c>
      <c r="E1708" s="2" t="s">
        <v>51</v>
      </c>
      <c r="F1708" s="2"/>
      <c r="G1708" s="2" t="s">
        <v>3764</v>
      </c>
      <c r="H1708" s="8" t="n">
        <v>153.34692029</v>
      </c>
      <c r="I1708" s="2" t="s">
        <v>316</v>
      </c>
      <c r="J1708" s="8" t="n">
        <v>169166.666666667</v>
      </c>
      <c r="K1708" s="6" t="n">
        <v>6</v>
      </c>
      <c r="L1708" s="2"/>
      <c r="M1708" s="10" t="b">
        <f aca="false">TRUE()</f>
        <v>1</v>
      </c>
      <c r="N1708" s="9" t="str">
        <f aca="false">IF(H1708="","",IF(H1708&gt;=Assumptions!$B$5,1,IF(H1708&gt;=Assumptions!$B$6,2,IF(H1708&gt;=Assumptions!$B$7,3,""))))</f>
        <v/>
      </c>
      <c r="O1708" s="9" t="n">
        <f aca="false">IF(N1708=1,Assumptions!$B$8,IF(N1708=2,Assumptions!$B$9,IF(N1708=3,Assumptions!$B$10,0)))</f>
        <v>0</v>
      </c>
      <c r="P1708" s="6" t="s">
        <v>30</v>
      </c>
      <c r="Q1708" s="6" t="s">
        <v>30</v>
      </c>
      <c r="R1708" s="11" t="s">
        <v>30</v>
      </c>
      <c r="S1708" s="6" t="s">
        <v>30</v>
      </c>
      <c r="T1708" s="11" t="s">
        <v>30</v>
      </c>
      <c r="U1708" s="6" t="s">
        <v>30</v>
      </c>
      <c r="V1708" s="6" t="s">
        <v>30</v>
      </c>
      <c r="W1708" s="6" t="s">
        <v>30</v>
      </c>
      <c r="X1708" s="2" t="s">
        <v>30</v>
      </c>
      <c r="Y1708" s="6" t="str">
        <f aca="false">IF(AND(X1708="processed",ISNUMBER(S1708)),S1708*O1708,"")</f>
        <v/>
      </c>
      <c r="Z1708" s="6" t="n">
        <f aca="false">IF(ISNUMBER(K1708),K1708*O1708,0)</f>
        <v>0</v>
      </c>
      <c r="AA1708" s="2" t="s">
        <v>31</v>
      </c>
      <c r="AB1708" s="6" t="n">
        <v>1107</v>
      </c>
      <c r="AC1708" s="6" t="n">
        <v>898</v>
      </c>
      <c r="AD1708" s="6" t="n">
        <v>707</v>
      </c>
      <c r="AE1708" s="6" t="n">
        <v>1796.63537597656</v>
      </c>
      <c r="AF1708" s="8" t="n">
        <v>88.541666667</v>
      </c>
      <c r="AG1708" s="11" t="n">
        <v>-0.6458333333</v>
      </c>
      <c r="AH1708" s="12" t="n">
        <v>0.99942392249937</v>
      </c>
      <c r="AI1708" s="2" t="s">
        <v>317</v>
      </c>
      <c r="AJ1708" s="2" t="s">
        <v>3771</v>
      </c>
      <c r="AK1708" s="2" t="s">
        <v>3772</v>
      </c>
    </row>
    <row r="1709" customFormat="false" ht="15" hidden="false" customHeight="false" outlineLevel="0" collapsed="false">
      <c r="A1709" s="9"/>
      <c r="B1709" s="2" t="s">
        <v>3773</v>
      </c>
      <c r="C1709" s="2" t="s">
        <v>3774</v>
      </c>
      <c r="D1709" s="2" t="s">
        <v>3763</v>
      </c>
      <c r="E1709" s="2" t="s">
        <v>51</v>
      </c>
      <c r="F1709" s="2"/>
      <c r="G1709" s="2" t="s">
        <v>3764</v>
      </c>
      <c r="H1709" s="8" t="n">
        <v>273.7618078079</v>
      </c>
      <c r="I1709" s="2" t="s">
        <v>316</v>
      </c>
      <c r="J1709" s="8" t="n">
        <v>310100</v>
      </c>
      <c r="K1709" s="6" t="n">
        <v>30</v>
      </c>
      <c r="L1709" s="2"/>
      <c r="M1709" s="10" t="b">
        <f aca="false">TRUE()</f>
        <v>1</v>
      </c>
      <c r="N1709" s="9" t="str">
        <f aca="false">IF(H1709="","",IF(H1709&gt;=Assumptions!$B$5,1,IF(H1709&gt;=Assumptions!$B$6,2,IF(H1709&gt;=Assumptions!$B$7,3,""))))</f>
        <v/>
      </c>
      <c r="O1709" s="9" t="n">
        <f aca="false">IF(N1709=1,Assumptions!$B$8,IF(N1709=2,Assumptions!$B$9,IF(N1709=3,Assumptions!$B$10,0)))</f>
        <v>0</v>
      </c>
      <c r="P1709" s="6" t="s">
        <v>30</v>
      </c>
      <c r="Q1709" s="6" t="s">
        <v>30</v>
      </c>
      <c r="R1709" s="11" t="s">
        <v>30</v>
      </c>
      <c r="S1709" s="6" t="s">
        <v>30</v>
      </c>
      <c r="T1709" s="11" t="s">
        <v>30</v>
      </c>
      <c r="U1709" s="6" t="s">
        <v>30</v>
      </c>
      <c r="V1709" s="6" t="s">
        <v>30</v>
      </c>
      <c r="W1709" s="6" t="s">
        <v>30</v>
      </c>
      <c r="X1709" s="2" t="s">
        <v>30</v>
      </c>
      <c r="Y1709" s="6" t="str">
        <f aca="false">IF(AND(X1709="processed",ISNUMBER(S1709)),S1709*O1709,"")</f>
        <v/>
      </c>
      <c r="Z1709" s="6" t="n">
        <f aca="false">IF(ISNUMBER(K1709),K1709*O1709,0)</f>
        <v>0</v>
      </c>
      <c r="AA1709" s="2" t="s">
        <v>31</v>
      </c>
      <c r="AB1709" s="6" t="n">
        <v>2440</v>
      </c>
      <c r="AC1709" s="6" t="n">
        <v>1987</v>
      </c>
      <c r="AD1709" s="6" t="n">
        <v>1800</v>
      </c>
      <c r="AE1709" s="6" t="n">
        <v>1974.77429199219</v>
      </c>
      <c r="AF1709" s="8" t="n">
        <v>251.061897005</v>
      </c>
      <c r="AG1709" s="11" t="n">
        <v>-0.1466348077</v>
      </c>
      <c r="AH1709" s="12" t="n">
        <v>0.999665904666782</v>
      </c>
      <c r="AI1709" s="2" t="s">
        <v>317</v>
      </c>
      <c r="AJ1709" s="2" t="s">
        <v>3774</v>
      </c>
      <c r="AK1709" s="2" t="s">
        <v>3774</v>
      </c>
    </row>
    <row r="1710" customFormat="false" ht="15" hidden="false" customHeight="false" outlineLevel="0" collapsed="false">
      <c r="A1710" s="9"/>
      <c r="B1710" s="2" t="s">
        <v>3775</v>
      </c>
      <c r="C1710" s="2" t="s">
        <v>3776</v>
      </c>
      <c r="D1710" s="2" t="s">
        <v>3638</v>
      </c>
      <c r="E1710" s="2" t="s">
        <v>51</v>
      </c>
      <c r="F1710" s="2"/>
      <c r="G1710" s="2" t="s">
        <v>1759</v>
      </c>
      <c r="H1710" s="8" t="n">
        <v>281.495180275724</v>
      </c>
      <c r="I1710" s="2" t="s">
        <v>316</v>
      </c>
      <c r="J1710" s="8" t="n">
        <v>507137.931034483</v>
      </c>
      <c r="K1710" s="6" t="n">
        <v>29</v>
      </c>
      <c r="L1710" s="2"/>
      <c r="M1710" s="10" t="b">
        <f aca="false">TRUE()</f>
        <v>1</v>
      </c>
      <c r="N1710" s="9" t="str">
        <f aca="false">IF(H1710="","",IF(H1710&gt;=Assumptions!$B$5,1,IF(H1710&gt;=Assumptions!$B$6,2,IF(H1710&gt;=Assumptions!$B$7,3,""))))</f>
        <v/>
      </c>
      <c r="O1710" s="9" t="n">
        <f aca="false">IF(N1710=1,Assumptions!$B$8,IF(N1710=2,Assumptions!$B$9,IF(N1710=3,Assumptions!$B$10,0)))</f>
        <v>0</v>
      </c>
      <c r="P1710" s="6" t="s">
        <v>30</v>
      </c>
      <c r="Q1710" s="6" t="s">
        <v>30</v>
      </c>
      <c r="R1710" s="11" t="s">
        <v>30</v>
      </c>
      <c r="S1710" s="6" t="s">
        <v>30</v>
      </c>
      <c r="T1710" s="11" t="s">
        <v>30</v>
      </c>
      <c r="U1710" s="6" t="s">
        <v>30</v>
      </c>
      <c r="V1710" s="6" t="s">
        <v>30</v>
      </c>
      <c r="W1710" s="6" t="s">
        <v>30</v>
      </c>
      <c r="X1710" s="2" t="s">
        <v>30</v>
      </c>
      <c r="Y1710" s="6" t="str">
        <f aca="false">IF(AND(X1710="processed",ISNUMBER(S1710)),S1710*O1710,"")</f>
        <v/>
      </c>
      <c r="Z1710" s="6" t="n">
        <f aca="false">IF(ISNUMBER(K1710),K1710*O1710,0)</f>
        <v>0</v>
      </c>
      <c r="AA1710" s="2" t="s">
        <v>31</v>
      </c>
      <c r="AB1710" s="6" t="n">
        <v>2413</v>
      </c>
      <c r="AC1710" s="6" t="n">
        <v>1930</v>
      </c>
      <c r="AD1710" s="6" t="n">
        <v>2390</v>
      </c>
      <c r="AE1710" s="6" t="n">
        <v>1930.39697265625</v>
      </c>
      <c r="AF1710" s="8" t="n">
        <v>249.316805921</v>
      </c>
      <c r="AG1710" s="11" t="n">
        <v>-0.1201529494</v>
      </c>
      <c r="AH1710" s="12" t="n">
        <v>0.999197326855367</v>
      </c>
      <c r="AI1710" s="2" t="s">
        <v>2111</v>
      </c>
      <c r="AJ1710" s="2" t="s">
        <v>3777</v>
      </c>
      <c r="AK1710" s="2" t="s">
        <v>3778</v>
      </c>
    </row>
    <row r="1711" customFormat="false" ht="15" hidden="false" customHeight="false" outlineLevel="0" collapsed="false">
      <c r="A1711" s="9"/>
      <c r="B1711" s="2" t="s">
        <v>3779</v>
      </c>
      <c r="C1711" s="2" t="s">
        <v>3780</v>
      </c>
      <c r="D1711" s="2" t="s">
        <v>3638</v>
      </c>
      <c r="E1711" s="2" t="s">
        <v>51</v>
      </c>
      <c r="F1711" s="2"/>
      <c r="G1711" s="2" t="s">
        <v>1759</v>
      </c>
      <c r="H1711" s="8" t="n">
        <v>176.366867333733</v>
      </c>
      <c r="I1711" s="2" t="s">
        <v>316</v>
      </c>
      <c r="J1711" s="8" t="n">
        <v>292866.666666667</v>
      </c>
      <c r="K1711" s="6" t="n">
        <v>15</v>
      </c>
      <c r="L1711" s="2"/>
      <c r="M1711" s="10" t="b">
        <f aca="false">TRUE()</f>
        <v>1</v>
      </c>
      <c r="N1711" s="9" t="str">
        <f aca="false">IF(H1711="","",IF(H1711&gt;=Assumptions!$B$5,1,IF(H1711&gt;=Assumptions!$B$6,2,IF(H1711&gt;=Assumptions!$B$7,3,""))))</f>
        <v/>
      </c>
      <c r="O1711" s="9" t="n">
        <f aca="false">IF(N1711=1,Assumptions!$B$8,IF(N1711=2,Assumptions!$B$9,IF(N1711=3,Assumptions!$B$10,0)))</f>
        <v>0</v>
      </c>
      <c r="P1711" s="6" t="s">
        <v>30</v>
      </c>
      <c r="Q1711" s="6" t="s">
        <v>30</v>
      </c>
      <c r="R1711" s="11" t="s">
        <v>30</v>
      </c>
      <c r="S1711" s="6" t="s">
        <v>30</v>
      </c>
      <c r="T1711" s="11" t="s">
        <v>30</v>
      </c>
      <c r="U1711" s="6" t="s">
        <v>30</v>
      </c>
      <c r="V1711" s="6" t="s">
        <v>30</v>
      </c>
      <c r="W1711" s="6" t="s">
        <v>30</v>
      </c>
      <c r="X1711" s="2" t="s">
        <v>30</v>
      </c>
      <c r="Y1711" s="6" t="str">
        <f aca="false">IF(AND(X1711="processed",ISNUMBER(S1711)),S1711*O1711,"")</f>
        <v/>
      </c>
      <c r="Z1711" s="6" t="n">
        <f aca="false">IF(ISNUMBER(K1711),K1711*O1711,0)</f>
        <v>0</v>
      </c>
      <c r="AA1711" s="2" t="s">
        <v>31</v>
      </c>
      <c r="AB1711" s="6" t="n">
        <v>1084</v>
      </c>
      <c r="AC1711" s="6" t="n">
        <v>907</v>
      </c>
      <c r="AD1711" s="6" t="n">
        <v>1084</v>
      </c>
      <c r="AE1711" s="6" t="n">
        <v>1571.30834960938</v>
      </c>
      <c r="AF1711" s="8" t="n">
        <v>191.102756892</v>
      </c>
      <c r="AG1711" s="11" t="n">
        <v>0.3739634676</v>
      </c>
      <c r="AH1711" s="12" t="n">
        <v>1</v>
      </c>
      <c r="AI1711" s="2" t="s">
        <v>601</v>
      </c>
      <c r="AJ1711" s="2" t="s">
        <v>3781</v>
      </c>
      <c r="AK1711" s="2" t="s">
        <v>3780</v>
      </c>
    </row>
    <row r="1712" customFormat="false" ht="15" hidden="false" customHeight="false" outlineLevel="0" collapsed="false">
      <c r="A1712" s="9"/>
      <c r="B1712" s="2" t="s">
        <v>3782</v>
      </c>
      <c r="C1712" s="2" t="s">
        <v>3783</v>
      </c>
      <c r="D1712" s="2" t="s">
        <v>3784</v>
      </c>
      <c r="E1712" s="2" t="s">
        <v>51</v>
      </c>
      <c r="F1712" s="2"/>
      <c r="G1712" s="2"/>
      <c r="H1712" s="8"/>
      <c r="I1712" s="2"/>
      <c r="J1712" s="8"/>
      <c r="K1712" s="6"/>
      <c r="L1712" s="2"/>
      <c r="M1712" s="10" t="b">
        <f aca="false">TRUE()</f>
        <v>1</v>
      </c>
      <c r="N1712" s="9" t="str">
        <f aca="false">IF(H1712="","",IF(H1712&gt;=Assumptions!$B$5,1,IF(H1712&gt;=Assumptions!$B$6,2,IF(H1712&gt;=Assumptions!$B$7,3,""))))</f>
        <v/>
      </c>
      <c r="O1712" s="9" t="n">
        <f aca="false">IF(N1712=1,Assumptions!$B$8,IF(N1712=2,Assumptions!$B$9,IF(N1712=3,Assumptions!$B$10,0)))</f>
        <v>0</v>
      </c>
      <c r="P1712" s="6" t="s">
        <v>30</v>
      </c>
      <c r="Q1712" s="6" t="s">
        <v>30</v>
      </c>
      <c r="R1712" s="11" t="s">
        <v>30</v>
      </c>
      <c r="S1712" s="6" t="s">
        <v>30</v>
      </c>
      <c r="T1712" s="11" t="s">
        <v>30</v>
      </c>
      <c r="U1712" s="6" t="s">
        <v>30</v>
      </c>
      <c r="V1712" s="6" t="s">
        <v>30</v>
      </c>
      <c r="W1712" s="6" t="s">
        <v>30</v>
      </c>
      <c r="X1712" s="2" t="s">
        <v>30</v>
      </c>
      <c r="Y1712" s="6" t="str">
        <f aca="false">IF(AND(X1712="processed",ISNUMBER(S1712)),S1712*O1712,"")</f>
        <v/>
      </c>
      <c r="Z1712" s="6" t="n">
        <f aca="false">IF(ISNUMBER(K1712),K1712*O1712,0)</f>
        <v>0</v>
      </c>
      <c r="AA1712" s="2" t="s">
        <v>31</v>
      </c>
      <c r="AB1712" s="6" t="n">
        <v>275</v>
      </c>
      <c r="AC1712" s="6" t="n">
        <v>212</v>
      </c>
      <c r="AD1712" s="6" t="n">
        <v>263</v>
      </c>
      <c r="AE1712" s="6" t="n">
        <v>1783.06188964844</v>
      </c>
      <c r="AF1712" s="8"/>
      <c r="AG1712" s="11"/>
      <c r="AH1712" s="12" t="n">
        <v>0.998856738809466</v>
      </c>
      <c r="AI1712" s="2" t="s">
        <v>1597</v>
      </c>
      <c r="AJ1712" s="2"/>
      <c r="AK1712" s="2" t="s">
        <v>3783</v>
      </c>
    </row>
    <row r="1713" customFormat="false" ht="15" hidden="false" customHeight="false" outlineLevel="0" collapsed="false">
      <c r="A1713" s="9"/>
      <c r="B1713" s="2" t="s">
        <v>3785</v>
      </c>
      <c r="C1713" s="2" t="s">
        <v>3786</v>
      </c>
      <c r="D1713" s="2" t="s">
        <v>3638</v>
      </c>
      <c r="E1713" s="2" t="s">
        <v>51</v>
      </c>
      <c r="F1713" s="2"/>
      <c r="G1713" s="2"/>
      <c r="H1713" s="8"/>
      <c r="I1713" s="2"/>
      <c r="J1713" s="8"/>
      <c r="K1713" s="6"/>
      <c r="L1713" s="2"/>
      <c r="M1713" s="10" t="b">
        <f aca="false">TRUE()</f>
        <v>1</v>
      </c>
      <c r="N1713" s="9" t="str">
        <f aca="false">IF(H1713="","",IF(H1713&gt;=Assumptions!$B$5,1,IF(H1713&gt;=Assumptions!$B$6,2,IF(H1713&gt;=Assumptions!$B$7,3,""))))</f>
        <v/>
      </c>
      <c r="O1713" s="9" t="n">
        <f aca="false">IF(N1713=1,Assumptions!$B$8,IF(N1713=2,Assumptions!$B$9,IF(N1713=3,Assumptions!$B$10,0)))</f>
        <v>0</v>
      </c>
      <c r="P1713" s="6" t="s">
        <v>30</v>
      </c>
      <c r="Q1713" s="6" t="s">
        <v>30</v>
      </c>
      <c r="R1713" s="11" t="s">
        <v>30</v>
      </c>
      <c r="S1713" s="6" t="s">
        <v>30</v>
      </c>
      <c r="T1713" s="11" t="s">
        <v>30</v>
      </c>
      <c r="U1713" s="6" t="s">
        <v>30</v>
      </c>
      <c r="V1713" s="6" t="s">
        <v>30</v>
      </c>
      <c r="W1713" s="6" t="s">
        <v>30</v>
      </c>
      <c r="X1713" s="2" t="s">
        <v>30</v>
      </c>
      <c r="Y1713" s="6" t="str">
        <f aca="false">IF(AND(X1713="processed",ISNUMBER(S1713)),S1713*O1713,"")</f>
        <v/>
      </c>
      <c r="Z1713" s="6" t="n">
        <f aca="false">IF(ISNUMBER(K1713),K1713*O1713,0)</f>
        <v>0</v>
      </c>
      <c r="AA1713" s="2" t="s">
        <v>31</v>
      </c>
      <c r="AB1713" s="6" t="n">
        <v>524</v>
      </c>
      <c r="AC1713" s="6" t="n">
        <v>424</v>
      </c>
      <c r="AD1713" s="6" t="n">
        <v>403</v>
      </c>
      <c r="AE1713" s="6" t="n">
        <v>1462.29528808594</v>
      </c>
      <c r="AF1713" s="8"/>
      <c r="AG1713" s="11"/>
      <c r="AH1713" s="12" t="n">
        <v>0.840892708685389</v>
      </c>
      <c r="AI1713" s="2" t="s">
        <v>328</v>
      </c>
      <c r="AJ1713" s="2" t="s">
        <v>3786</v>
      </c>
      <c r="AK1713" s="2" t="s">
        <v>3787</v>
      </c>
    </row>
    <row r="1714" customFormat="false" ht="15" hidden="false" customHeight="false" outlineLevel="0" collapsed="false">
      <c r="A1714" s="9"/>
      <c r="B1714" s="2" t="s">
        <v>3788</v>
      </c>
      <c r="C1714" s="2" t="s">
        <v>3789</v>
      </c>
      <c r="D1714" s="2" t="s">
        <v>3769</v>
      </c>
      <c r="E1714" s="2" t="s">
        <v>51</v>
      </c>
      <c r="F1714" s="2"/>
      <c r="G1714" s="2"/>
      <c r="H1714" s="8"/>
      <c r="I1714" s="2"/>
      <c r="J1714" s="8"/>
      <c r="K1714" s="6"/>
      <c r="L1714" s="2"/>
      <c r="M1714" s="10" t="b">
        <f aca="false">TRUE()</f>
        <v>1</v>
      </c>
      <c r="N1714" s="9" t="str">
        <f aca="false">IF(H1714="","",IF(H1714&gt;=Assumptions!$B$5,1,IF(H1714&gt;=Assumptions!$B$6,2,IF(H1714&gt;=Assumptions!$B$7,3,""))))</f>
        <v/>
      </c>
      <c r="O1714" s="9" t="n">
        <f aca="false">IF(N1714=1,Assumptions!$B$8,IF(N1714=2,Assumptions!$B$9,IF(N1714=3,Assumptions!$B$10,0)))</f>
        <v>0</v>
      </c>
      <c r="P1714" s="6" t="s">
        <v>30</v>
      </c>
      <c r="Q1714" s="6" t="s">
        <v>30</v>
      </c>
      <c r="R1714" s="11" t="s">
        <v>30</v>
      </c>
      <c r="S1714" s="6" t="s">
        <v>30</v>
      </c>
      <c r="T1714" s="11" t="s">
        <v>30</v>
      </c>
      <c r="U1714" s="6" t="s">
        <v>30</v>
      </c>
      <c r="V1714" s="6" t="s">
        <v>30</v>
      </c>
      <c r="W1714" s="6" t="s">
        <v>30</v>
      </c>
      <c r="X1714" s="2" t="s">
        <v>30</v>
      </c>
      <c r="Y1714" s="6" t="str">
        <f aca="false">IF(AND(X1714="processed",ISNUMBER(S1714)),S1714*O1714,"")</f>
        <v/>
      </c>
      <c r="Z1714" s="6" t="n">
        <f aca="false">IF(ISNUMBER(K1714),K1714*O1714,0)</f>
        <v>0</v>
      </c>
      <c r="AA1714" s="2" t="s">
        <v>31</v>
      </c>
      <c r="AB1714" s="6" t="n">
        <v>192</v>
      </c>
      <c r="AC1714" s="6" t="n">
        <v>160</v>
      </c>
      <c r="AD1714" s="6" t="n">
        <v>169</v>
      </c>
      <c r="AE1714" s="6" t="n">
        <v>1408.49169921875</v>
      </c>
      <c r="AF1714" s="8"/>
      <c r="AG1714" s="11"/>
      <c r="AH1714" s="12" t="n">
        <v>1</v>
      </c>
      <c r="AI1714" s="2" t="s">
        <v>1597</v>
      </c>
      <c r="AJ1714" s="2"/>
      <c r="AK1714" s="2" t="s">
        <v>3789</v>
      </c>
    </row>
    <row r="1715" customFormat="false" ht="15" hidden="false" customHeight="false" outlineLevel="0" collapsed="false">
      <c r="A1715" s="9"/>
      <c r="B1715" s="2" t="s">
        <v>3790</v>
      </c>
      <c r="C1715" s="2" t="s">
        <v>3791</v>
      </c>
      <c r="D1715" s="2" t="s">
        <v>3638</v>
      </c>
      <c r="E1715" s="2" t="s">
        <v>51</v>
      </c>
      <c r="F1715" s="2"/>
      <c r="G1715" s="2" t="s">
        <v>1759</v>
      </c>
      <c r="H1715" s="8" t="n">
        <v>219.514774388</v>
      </c>
      <c r="I1715" s="2" t="s">
        <v>316</v>
      </c>
      <c r="J1715" s="8" t="n">
        <v>242000</v>
      </c>
      <c r="K1715" s="6" t="n">
        <v>3</v>
      </c>
      <c r="L1715" s="2" t="s">
        <v>1664</v>
      </c>
      <c r="M1715" s="10" t="b">
        <f aca="false">TRUE()</f>
        <v>1</v>
      </c>
      <c r="N1715" s="9" t="str">
        <f aca="false">IF(H1715="","",IF(H1715&gt;=Assumptions!$B$5,1,IF(H1715&gt;=Assumptions!$B$6,2,IF(H1715&gt;=Assumptions!$B$7,3,""))))</f>
        <v/>
      </c>
      <c r="O1715" s="9" t="n">
        <f aca="false">IF(N1715=1,Assumptions!$B$8,IF(N1715=2,Assumptions!$B$9,IF(N1715=3,Assumptions!$B$10,0)))</f>
        <v>0</v>
      </c>
      <c r="P1715" s="6" t="s">
        <v>30</v>
      </c>
      <c r="Q1715" s="6" t="s">
        <v>30</v>
      </c>
      <c r="R1715" s="11" t="s">
        <v>30</v>
      </c>
      <c r="S1715" s="6" t="s">
        <v>30</v>
      </c>
      <c r="T1715" s="11" t="s">
        <v>30</v>
      </c>
      <c r="U1715" s="6" t="s">
        <v>30</v>
      </c>
      <c r="V1715" s="6" t="s">
        <v>30</v>
      </c>
      <c r="W1715" s="6" t="s">
        <v>30</v>
      </c>
      <c r="X1715" s="2" t="s">
        <v>30</v>
      </c>
      <c r="Y1715" s="6" t="str">
        <f aca="false">IF(AND(X1715="processed",ISNUMBER(S1715)),S1715*O1715,"")</f>
        <v/>
      </c>
      <c r="Z1715" s="6" t="n">
        <f aca="false">IF(ISNUMBER(K1715),K1715*O1715,0)</f>
        <v>0</v>
      </c>
      <c r="AA1715" s="2" t="s">
        <v>31</v>
      </c>
      <c r="AB1715" s="6" t="n">
        <v>268</v>
      </c>
      <c r="AC1715" s="6" t="n">
        <v>217</v>
      </c>
      <c r="AD1715" s="6" t="n">
        <v>168</v>
      </c>
      <c r="AE1715" s="6" t="n">
        <v>1607.37658691406</v>
      </c>
      <c r="AF1715" s="8" t="n">
        <v>217.948717949</v>
      </c>
      <c r="AG1715" s="11" t="n">
        <v>0.5028787574</v>
      </c>
      <c r="AH1715" s="12" t="n">
        <v>0.999575751137355</v>
      </c>
      <c r="AI1715" s="2" t="s">
        <v>2111</v>
      </c>
      <c r="AJ1715" s="2" t="s">
        <v>3792</v>
      </c>
      <c r="AK1715" s="2" t="s">
        <v>3793</v>
      </c>
    </row>
    <row r="1716" customFormat="false" ht="15" hidden="false" customHeight="false" outlineLevel="0" collapsed="false">
      <c r="A1716" s="9"/>
      <c r="B1716" s="2" t="s">
        <v>3794</v>
      </c>
      <c r="C1716" s="2" t="s">
        <v>3795</v>
      </c>
      <c r="D1716" s="2" t="s">
        <v>3763</v>
      </c>
      <c r="E1716" s="2" t="s">
        <v>51</v>
      </c>
      <c r="F1716" s="2"/>
      <c r="G1716" s="2" t="s">
        <v>3764</v>
      </c>
      <c r="H1716" s="8" t="n">
        <v>295.703611948012</v>
      </c>
      <c r="I1716" s="2" t="s">
        <v>316</v>
      </c>
      <c r="J1716" s="8" t="n">
        <v>460028.225806452</v>
      </c>
      <c r="K1716" s="6" t="n">
        <v>248</v>
      </c>
      <c r="L1716" s="2"/>
      <c r="M1716" s="10" t="b">
        <f aca="false">TRUE()</f>
        <v>1</v>
      </c>
      <c r="N1716" s="9" t="str">
        <f aca="false">IF(H1716="","",IF(H1716&gt;=Assumptions!$B$5,1,IF(H1716&gt;=Assumptions!$B$6,2,IF(H1716&gt;=Assumptions!$B$7,3,""))))</f>
        <v/>
      </c>
      <c r="O1716" s="9" t="n">
        <f aca="false">IF(N1716=1,Assumptions!$B$8,IF(N1716=2,Assumptions!$B$9,IF(N1716=3,Assumptions!$B$10,0)))</f>
        <v>0</v>
      </c>
      <c r="P1716" s="6" t="s">
        <v>30</v>
      </c>
      <c r="Q1716" s="6" t="s">
        <v>30</v>
      </c>
      <c r="R1716" s="11" t="s">
        <v>30</v>
      </c>
      <c r="S1716" s="6" t="s">
        <v>30</v>
      </c>
      <c r="T1716" s="11" t="s">
        <v>30</v>
      </c>
      <c r="U1716" s="6" t="s">
        <v>30</v>
      </c>
      <c r="V1716" s="6" t="s">
        <v>30</v>
      </c>
      <c r="W1716" s="6" t="s">
        <v>30</v>
      </c>
      <c r="X1716" s="2" t="s">
        <v>30</v>
      </c>
      <c r="Y1716" s="6" t="str">
        <f aca="false">IF(AND(X1716="processed",ISNUMBER(S1716)),S1716*O1716,"")</f>
        <v/>
      </c>
      <c r="Z1716" s="6" t="n">
        <f aca="false">IF(ISNUMBER(K1716),K1716*O1716,0)</f>
        <v>0</v>
      </c>
      <c r="AA1716" s="2" t="s">
        <v>31</v>
      </c>
      <c r="AB1716" s="6" t="n">
        <v>12715</v>
      </c>
      <c r="AC1716" s="6" t="n">
        <v>11464</v>
      </c>
      <c r="AD1716" s="6" t="n">
        <v>7897</v>
      </c>
      <c r="AE1716" s="6" t="n">
        <v>2313.0068359375</v>
      </c>
      <c r="AF1716" s="8" t="n">
        <v>301.204819277</v>
      </c>
      <c r="AG1716" s="11" t="n">
        <v>0.02039172734</v>
      </c>
      <c r="AH1716" s="12" t="n">
        <v>1</v>
      </c>
      <c r="AI1716" s="2" t="s">
        <v>317</v>
      </c>
      <c r="AJ1716" s="2" t="s">
        <v>3795</v>
      </c>
      <c r="AK1716" s="2" t="s">
        <v>3795</v>
      </c>
    </row>
    <row r="1717" customFormat="false" ht="15" hidden="false" customHeight="false" outlineLevel="0" collapsed="false">
      <c r="A1717" s="9"/>
      <c r="B1717" s="2" t="s">
        <v>3796</v>
      </c>
      <c r="C1717" s="2" t="s">
        <v>3795</v>
      </c>
      <c r="D1717" s="2" t="s">
        <v>3763</v>
      </c>
      <c r="E1717" s="2" t="s">
        <v>51</v>
      </c>
      <c r="F1717" s="2" t="s">
        <v>3797</v>
      </c>
      <c r="G1717" s="2" t="s">
        <v>3764</v>
      </c>
      <c r="H1717" s="8" t="n">
        <v>307.43272582728</v>
      </c>
      <c r="I1717" s="2" t="s">
        <v>316</v>
      </c>
      <c r="J1717" s="8" t="n">
        <v>481513.409961686</v>
      </c>
      <c r="K1717" s="6" t="n">
        <v>261</v>
      </c>
      <c r="L1717" s="2"/>
      <c r="M1717" s="10" t="b">
        <f aca="false">TRUE()</f>
        <v>1</v>
      </c>
      <c r="N1717" s="9" t="str">
        <f aca="false">IF(H1717="","",IF(H1717&gt;=Assumptions!$B$5,1,IF(H1717&gt;=Assumptions!$B$6,2,IF(H1717&gt;=Assumptions!$B$7,3,""))))</f>
        <v/>
      </c>
      <c r="O1717" s="9" t="n">
        <f aca="false">IF(N1717=1,Assumptions!$B$8,IF(N1717=2,Assumptions!$B$9,IF(N1717=3,Assumptions!$B$10,0)))</f>
        <v>0</v>
      </c>
      <c r="P1717" s="6" t="s">
        <v>30</v>
      </c>
      <c r="Q1717" s="6" t="s">
        <v>30</v>
      </c>
      <c r="R1717" s="11" t="s">
        <v>30</v>
      </c>
      <c r="S1717" s="6" t="s">
        <v>30</v>
      </c>
      <c r="T1717" s="11" t="s">
        <v>30</v>
      </c>
      <c r="U1717" s="6" t="s">
        <v>30</v>
      </c>
      <c r="V1717" s="6" t="s">
        <v>30</v>
      </c>
      <c r="W1717" s="6" t="s">
        <v>30</v>
      </c>
      <c r="X1717" s="2" t="s">
        <v>30</v>
      </c>
      <c r="Y1717" s="6" t="str">
        <f aca="false">IF(AND(X1717="processed",ISNUMBER(S1717)),S1717*O1717,"")</f>
        <v/>
      </c>
      <c r="Z1717" s="6" t="n">
        <f aca="false">IF(ISNUMBER(K1717),K1717*O1717,0)</f>
        <v>0</v>
      </c>
      <c r="AA1717" s="2" t="s">
        <v>31</v>
      </c>
      <c r="AB1717" s="6" t="n">
        <v>15952</v>
      </c>
      <c r="AC1717" s="6" t="n">
        <v>13481</v>
      </c>
      <c r="AD1717" s="6" t="n">
        <v>7802</v>
      </c>
      <c r="AE1717" s="6" t="n">
        <v>2164.09594726563</v>
      </c>
      <c r="AF1717" s="8" t="n">
        <v>303.857008467</v>
      </c>
      <c r="AG1717" s="11" t="n">
        <v>-0.03677328316</v>
      </c>
      <c r="AH1717" s="12" t="n">
        <v>0.997562837093326</v>
      </c>
      <c r="AI1717" s="2" t="s">
        <v>321</v>
      </c>
      <c r="AJ1717" s="2" t="s">
        <v>3795</v>
      </c>
      <c r="AK1717" s="2" t="s">
        <v>3795</v>
      </c>
    </row>
    <row r="1718" customFormat="false" ht="15" hidden="false" customHeight="false" outlineLevel="0" collapsed="false">
      <c r="A1718" s="9"/>
      <c r="B1718" s="2" t="s">
        <v>3798</v>
      </c>
      <c r="C1718" s="2" t="s">
        <v>3799</v>
      </c>
      <c r="D1718" s="2" t="s">
        <v>3763</v>
      </c>
      <c r="E1718" s="2" t="s">
        <v>51</v>
      </c>
      <c r="F1718" s="2"/>
      <c r="G1718" s="2" t="s">
        <v>3764</v>
      </c>
      <c r="H1718" s="8" t="n">
        <v>156.221887295667</v>
      </c>
      <c r="I1718" s="2" t="s">
        <v>316</v>
      </c>
      <c r="J1718" s="8" t="n">
        <v>189333.333333333</v>
      </c>
      <c r="K1718" s="6" t="n">
        <v>3</v>
      </c>
      <c r="L1718" s="2" t="s">
        <v>1664</v>
      </c>
      <c r="M1718" s="10" t="b">
        <f aca="false">TRUE()</f>
        <v>1</v>
      </c>
      <c r="N1718" s="9" t="str">
        <f aca="false">IF(H1718="","",IF(H1718&gt;=Assumptions!$B$5,1,IF(H1718&gt;=Assumptions!$B$6,2,IF(H1718&gt;=Assumptions!$B$7,3,""))))</f>
        <v/>
      </c>
      <c r="O1718" s="9" t="n">
        <f aca="false">IF(N1718=1,Assumptions!$B$8,IF(N1718=2,Assumptions!$B$9,IF(N1718=3,Assumptions!$B$10,0)))</f>
        <v>0</v>
      </c>
      <c r="P1718" s="6" t="s">
        <v>30</v>
      </c>
      <c r="Q1718" s="6" t="s">
        <v>30</v>
      </c>
      <c r="R1718" s="11" t="s">
        <v>30</v>
      </c>
      <c r="S1718" s="6" t="s">
        <v>30</v>
      </c>
      <c r="T1718" s="11" t="s">
        <v>30</v>
      </c>
      <c r="U1718" s="6" t="s">
        <v>30</v>
      </c>
      <c r="V1718" s="6" t="s">
        <v>30</v>
      </c>
      <c r="W1718" s="6" t="s">
        <v>30</v>
      </c>
      <c r="X1718" s="2" t="s">
        <v>30</v>
      </c>
      <c r="Y1718" s="6" t="str">
        <f aca="false">IF(AND(X1718="processed",ISNUMBER(S1718)),S1718*O1718,"")</f>
        <v/>
      </c>
      <c r="Z1718" s="6" t="n">
        <f aca="false">IF(ISNUMBER(K1718),K1718*O1718,0)</f>
        <v>0</v>
      </c>
      <c r="AA1718" s="2" t="s">
        <v>31</v>
      </c>
      <c r="AB1718" s="6" t="n">
        <v>59</v>
      </c>
      <c r="AC1718" s="6" t="n">
        <v>39</v>
      </c>
      <c r="AD1718" s="6" t="n">
        <v>45</v>
      </c>
      <c r="AE1718" s="6" t="n">
        <v>1265.62194824219</v>
      </c>
      <c r="AF1718" s="8" t="n">
        <v>173.535791757</v>
      </c>
      <c r="AG1718" s="11" t="n">
        <v>-0.04243840036</v>
      </c>
      <c r="AH1718" s="12" t="n">
        <v>0.886736005540086</v>
      </c>
      <c r="AI1718" s="2" t="s">
        <v>665</v>
      </c>
      <c r="AJ1718" s="2" t="s">
        <v>3800</v>
      </c>
      <c r="AK1718" s="2" t="s">
        <v>3801</v>
      </c>
    </row>
    <row r="1719" customFormat="false" ht="15" hidden="false" customHeight="false" outlineLevel="0" collapsed="false">
      <c r="A1719" s="9"/>
      <c r="B1719" s="2" t="s">
        <v>3802</v>
      </c>
      <c r="C1719" s="2" t="s">
        <v>3759</v>
      </c>
      <c r="D1719" s="2" t="s">
        <v>3759</v>
      </c>
      <c r="E1719" s="2" t="s">
        <v>51</v>
      </c>
      <c r="F1719" s="2"/>
      <c r="G1719" s="2"/>
      <c r="H1719" s="8"/>
      <c r="I1719" s="2"/>
      <c r="J1719" s="8"/>
      <c r="K1719" s="6"/>
      <c r="L1719" s="2"/>
      <c r="M1719" s="10" t="b">
        <f aca="false">TRUE()</f>
        <v>1</v>
      </c>
      <c r="N1719" s="9" t="str">
        <f aca="false">IF(H1719="","",IF(H1719&gt;=Assumptions!$B$5,1,IF(H1719&gt;=Assumptions!$B$6,2,IF(H1719&gt;=Assumptions!$B$7,3,""))))</f>
        <v/>
      </c>
      <c r="O1719" s="9" t="n">
        <f aca="false">IF(N1719=1,Assumptions!$B$8,IF(N1719=2,Assumptions!$B$9,IF(N1719=3,Assumptions!$B$10,0)))</f>
        <v>0</v>
      </c>
      <c r="P1719" s="6" t="s">
        <v>30</v>
      </c>
      <c r="Q1719" s="6" t="s">
        <v>30</v>
      </c>
      <c r="R1719" s="11" t="s">
        <v>30</v>
      </c>
      <c r="S1719" s="6" t="s">
        <v>30</v>
      </c>
      <c r="T1719" s="11" t="s">
        <v>30</v>
      </c>
      <c r="U1719" s="6" t="s">
        <v>30</v>
      </c>
      <c r="V1719" s="6" t="s">
        <v>30</v>
      </c>
      <c r="W1719" s="6" t="s">
        <v>30</v>
      </c>
      <c r="X1719" s="2" t="s">
        <v>30</v>
      </c>
      <c r="Y1719" s="6" t="str">
        <f aca="false">IF(AND(X1719="processed",ISNUMBER(S1719)),S1719*O1719,"")</f>
        <v/>
      </c>
      <c r="Z1719" s="6" t="n">
        <f aca="false">IF(ISNUMBER(K1719),K1719*O1719,0)</f>
        <v>0</v>
      </c>
      <c r="AA1719" s="2" t="s">
        <v>31</v>
      </c>
      <c r="AB1719" s="6" t="n">
        <v>4650</v>
      </c>
      <c r="AC1719" s="6" t="n">
        <v>3744</v>
      </c>
      <c r="AD1719" s="6" t="n">
        <v>2172</v>
      </c>
      <c r="AE1719" s="6" t="n">
        <v>2016.17553710938</v>
      </c>
      <c r="AF1719" s="8"/>
      <c r="AG1719" s="11"/>
      <c r="AH1719" s="12" t="n">
        <v>0.999398444795108</v>
      </c>
      <c r="AI1719" s="2" t="s">
        <v>317</v>
      </c>
      <c r="AJ1719" s="2" t="s">
        <v>3759</v>
      </c>
      <c r="AK1719" s="2" t="s">
        <v>3759</v>
      </c>
    </row>
    <row r="1720" customFormat="false" ht="15" hidden="false" customHeight="false" outlineLevel="0" collapsed="false">
      <c r="A1720" s="9"/>
      <c r="B1720" s="2" t="s">
        <v>3803</v>
      </c>
      <c r="C1720" s="2" t="s">
        <v>3804</v>
      </c>
      <c r="D1720" s="2" t="s">
        <v>3769</v>
      </c>
      <c r="E1720" s="2" t="s">
        <v>51</v>
      </c>
      <c r="F1720" s="2"/>
      <c r="G1720" s="2"/>
      <c r="H1720" s="8"/>
      <c r="I1720" s="2"/>
      <c r="J1720" s="8"/>
      <c r="K1720" s="6"/>
      <c r="L1720" s="2"/>
      <c r="M1720" s="10" t="b">
        <f aca="false">TRUE()</f>
        <v>1</v>
      </c>
      <c r="N1720" s="9" t="str">
        <f aca="false">IF(H1720="","",IF(H1720&gt;=Assumptions!$B$5,1,IF(H1720&gt;=Assumptions!$B$6,2,IF(H1720&gt;=Assumptions!$B$7,3,""))))</f>
        <v/>
      </c>
      <c r="O1720" s="9" t="n">
        <f aca="false">IF(N1720=1,Assumptions!$B$8,IF(N1720=2,Assumptions!$B$9,IF(N1720=3,Assumptions!$B$10,0)))</f>
        <v>0</v>
      </c>
      <c r="P1720" s="6" t="s">
        <v>30</v>
      </c>
      <c r="Q1720" s="6" t="s">
        <v>30</v>
      </c>
      <c r="R1720" s="11" t="s">
        <v>30</v>
      </c>
      <c r="S1720" s="6" t="s">
        <v>30</v>
      </c>
      <c r="T1720" s="11" t="s">
        <v>30</v>
      </c>
      <c r="U1720" s="6" t="s">
        <v>30</v>
      </c>
      <c r="V1720" s="6" t="s">
        <v>30</v>
      </c>
      <c r="W1720" s="6" t="s">
        <v>30</v>
      </c>
      <c r="X1720" s="2" t="s">
        <v>30</v>
      </c>
      <c r="Y1720" s="6" t="str">
        <f aca="false">IF(AND(X1720="processed",ISNUMBER(S1720)),S1720*O1720,"")</f>
        <v/>
      </c>
      <c r="Z1720" s="6" t="n">
        <f aca="false">IF(ISNUMBER(K1720),K1720*O1720,0)</f>
        <v>0</v>
      </c>
      <c r="AA1720" s="2" t="s">
        <v>31</v>
      </c>
      <c r="AB1720" s="6" t="n">
        <v>188</v>
      </c>
      <c r="AC1720" s="6" t="n">
        <v>164</v>
      </c>
      <c r="AD1720" s="6" t="n">
        <v>187</v>
      </c>
      <c r="AE1720" s="6" t="n">
        <v>1624.17651367188</v>
      </c>
      <c r="AF1720" s="8"/>
      <c r="AG1720" s="11"/>
      <c r="AH1720" s="12" t="n">
        <v>0.999999999999998</v>
      </c>
      <c r="AI1720" s="2" t="s">
        <v>1597</v>
      </c>
      <c r="AJ1720" s="2"/>
      <c r="AK1720" s="2" t="s">
        <v>3804</v>
      </c>
    </row>
    <row r="1721" customFormat="false" ht="15" hidden="false" customHeight="false" outlineLevel="0" collapsed="false">
      <c r="A1721" s="9"/>
      <c r="B1721" s="2" t="s">
        <v>3805</v>
      </c>
      <c r="C1721" s="2" t="s">
        <v>3806</v>
      </c>
      <c r="D1721" s="2" t="s">
        <v>3638</v>
      </c>
      <c r="E1721" s="2" t="s">
        <v>51</v>
      </c>
      <c r="F1721" s="2"/>
      <c r="G1721" s="2" t="s">
        <v>1759</v>
      </c>
      <c r="H1721" s="8" t="n">
        <v>238.493030140444</v>
      </c>
      <c r="I1721" s="2" t="s">
        <v>316</v>
      </c>
      <c r="J1721" s="8" t="n">
        <v>368111.111111111</v>
      </c>
      <c r="K1721" s="6" t="n">
        <v>9</v>
      </c>
      <c r="L1721" s="2"/>
      <c r="M1721" s="10" t="b">
        <f aca="false">TRUE()</f>
        <v>1</v>
      </c>
      <c r="N1721" s="9" t="str">
        <f aca="false">IF(H1721="","",IF(H1721&gt;=Assumptions!$B$5,1,IF(H1721&gt;=Assumptions!$B$6,2,IF(H1721&gt;=Assumptions!$B$7,3,""))))</f>
        <v/>
      </c>
      <c r="O1721" s="9" t="n">
        <f aca="false">IF(N1721=1,Assumptions!$B$8,IF(N1721=2,Assumptions!$B$9,IF(N1721=3,Assumptions!$B$10,0)))</f>
        <v>0</v>
      </c>
      <c r="P1721" s="6" t="s">
        <v>30</v>
      </c>
      <c r="Q1721" s="6" t="s">
        <v>30</v>
      </c>
      <c r="R1721" s="11" t="s">
        <v>30</v>
      </c>
      <c r="S1721" s="6" t="s">
        <v>30</v>
      </c>
      <c r="T1721" s="11" t="s">
        <v>30</v>
      </c>
      <c r="U1721" s="6" t="s">
        <v>30</v>
      </c>
      <c r="V1721" s="6" t="s">
        <v>30</v>
      </c>
      <c r="W1721" s="6" t="s">
        <v>30</v>
      </c>
      <c r="X1721" s="2" t="s">
        <v>30</v>
      </c>
      <c r="Y1721" s="6" t="str">
        <f aca="false">IF(AND(X1721="processed",ISNUMBER(S1721)),S1721*O1721,"")</f>
        <v/>
      </c>
      <c r="Z1721" s="6" t="n">
        <f aca="false">IF(ISNUMBER(K1721),K1721*O1721,0)</f>
        <v>0</v>
      </c>
      <c r="AA1721" s="2" t="s">
        <v>31</v>
      </c>
      <c r="AB1721" s="6" t="n">
        <v>586</v>
      </c>
      <c r="AC1721" s="6" t="n">
        <v>452</v>
      </c>
      <c r="AD1721" s="6" t="n">
        <v>525</v>
      </c>
      <c r="AE1721" s="6" t="n">
        <v>1492.74731445313</v>
      </c>
      <c r="AF1721" s="8" t="n">
        <v>234.375</v>
      </c>
      <c r="AG1721" s="11"/>
      <c r="AH1721" s="12" t="n">
        <v>0.999660489664031</v>
      </c>
      <c r="AI1721" s="2" t="s">
        <v>321</v>
      </c>
      <c r="AJ1721" s="2" t="s">
        <v>3806</v>
      </c>
      <c r="AK1721" s="2" t="s">
        <v>3806</v>
      </c>
    </row>
    <row r="1722" customFormat="false" ht="15" hidden="false" customHeight="false" outlineLevel="0" collapsed="false">
      <c r="A1722" s="9"/>
      <c r="B1722" s="2" t="s">
        <v>3807</v>
      </c>
      <c r="C1722" s="2" t="s">
        <v>3808</v>
      </c>
      <c r="D1722" s="2" t="s">
        <v>3756</v>
      </c>
      <c r="E1722" s="2" t="s">
        <v>51</v>
      </c>
      <c r="F1722" s="2"/>
      <c r="G1722" s="2"/>
      <c r="H1722" s="8"/>
      <c r="I1722" s="2"/>
      <c r="J1722" s="8"/>
      <c r="K1722" s="6"/>
      <c r="L1722" s="2"/>
      <c r="M1722" s="10" t="b">
        <f aca="false">TRUE()</f>
        <v>1</v>
      </c>
      <c r="N1722" s="9" t="str">
        <f aca="false">IF(H1722="","",IF(H1722&gt;=Assumptions!$B$5,1,IF(H1722&gt;=Assumptions!$B$6,2,IF(H1722&gt;=Assumptions!$B$7,3,""))))</f>
        <v/>
      </c>
      <c r="O1722" s="9" t="n">
        <f aca="false">IF(N1722=1,Assumptions!$B$8,IF(N1722=2,Assumptions!$B$9,IF(N1722=3,Assumptions!$B$10,0)))</f>
        <v>0</v>
      </c>
      <c r="P1722" s="6" t="s">
        <v>30</v>
      </c>
      <c r="Q1722" s="6" t="s">
        <v>30</v>
      </c>
      <c r="R1722" s="11" t="s">
        <v>30</v>
      </c>
      <c r="S1722" s="6" t="s">
        <v>30</v>
      </c>
      <c r="T1722" s="11" t="s">
        <v>30</v>
      </c>
      <c r="U1722" s="6" t="s">
        <v>30</v>
      </c>
      <c r="V1722" s="6" t="s">
        <v>30</v>
      </c>
      <c r="W1722" s="6" t="s">
        <v>30</v>
      </c>
      <c r="X1722" s="2" t="s">
        <v>30</v>
      </c>
      <c r="Y1722" s="6" t="str">
        <f aca="false">IF(AND(X1722="processed",ISNUMBER(S1722)),S1722*O1722,"")</f>
        <v/>
      </c>
      <c r="Z1722" s="6" t="n">
        <f aca="false">IF(ISNUMBER(K1722),K1722*O1722,0)</f>
        <v>0</v>
      </c>
      <c r="AA1722" s="2" t="s">
        <v>31</v>
      </c>
      <c r="AB1722" s="6" t="n">
        <v>389</v>
      </c>
      <c r="AC1722" s="6" t="n">
        <v>313</v>
      </c>
      <c r="AD1722" s="6" t="n">
        <v>65</v>
      </c>
      <c r="AE1722" s="6" t="n">
        <v>1339.15502929688</v>
      </c>
      <c r="AF1722" s="8"/>
      <c r="AG1722" s="11"/>
      <c r="AH1722" s="12" t="n">
        <v>0.999977633641022</v>
      </c>
      <c r="AI1722" s="2" t="s">
        <v>660</v>
      </c>
      <c r="AJ1722" s="2" t="s">
        <v>3808</v>
      </c>
      <c r="AK1722" s="2" t="s">
        <v>3808</v>
      </c>
    </row>
    <row r="1723" customFormat="false" ht="15" hidden="false" customHeight="false" outlineLevel="0" collapsed="false">
      <c r="A1723" s="9"/>
      <c r="B1723" s="2" t="s">
        <v>3809</v>
      </c>
      <c r="C1723" s="2" t="s">
        <v>3810</v>
      </c>
      <c r="D1723" s="2" t="s">
        <v>1800</v>
      </c>
      <c r="E1723" s="2" t="s">
        <v>51</v>
      </c>
      <c r="F1723" s="2"/>
      <c r="G1723" s="2" t="s">
        <v>323</v>
      </c>
      <c r="H1723" s="8" t="n">
        <v>245.59965361525</v>
      </c>
      <c r="I1723" s="2" t="s">
        <v>316</v>
      </c>
      <c r="J1723" s="8" t="n">
        <v>501875</v>
      </c>
      <c r="K1723" s="6" t="n">
        <v>4</v>
      </c>
      <c r="L1723" s="2" t="s">
        <v>1664</v>
      </c>
      <c r="M1723" s="10" t="b">
        <f aca="false">TRUE()</f>
        <v>1</v>
      </c>
      <c r="N1723" s="9" t="str">
        <f aca="false">IF(H1723="","",IF(H1723&gt;=Assumptions!$B$5,1,IF(H1723&gt;=Assumptions!$B$6,2,IF(H1723&gt;=Assumptions!$B$7,3,""))))</f>
        <v/>
      </c>
      <c r="O1723" s="9" t="n">
        <f aca="false">IF(N1723=1,Assumptions!$B$8,IF(N1723=2,Assumptions!$B$9,IF(N1723=3,Assumptions!$B$10,0)))</f>
        <v>0</v>
      </c>
      <c r="P1723" s="6" t="s">
        <v>30</v>
      </c>
      <c r="Q1723" s="6" t="s">
        <v>30</v>
      </c>
      <c r="R1723" s="11" t="s">
        <v>30</v>
      </c>
      <c r="S1723" s="6" t="s">
        <v>30</v>
      </c>
      <c r="T1723" s="11" t="s">
        <v>30</v>
      </c>
      <c r="U1723" s="6" t="s">
        <v>30</v>
      </c>
      <c r="V1723" s="6" t="s">
        <v>30</v>
      </c>
      <c r="W1723" s="6" t="s">
        <v>30</v>
      </c>
      <c r="X1723" s="2" t="s">
        <v>30</v>
      </c>
      <c r="Y1723" s="6" t="str">
        <f aca="false">IF(AND(X1723="processed",ISNUMBER(S1723)),S1723*O1723,"")</f>
        <v/>
      </c>
      <c r="Z1723" s="6" t="n">
        <f aca="false">IF(ISNUMBER(K1723),K1723*O1723,0)</f>
        <v>0</v>
      </c>
      <c r="AA1723" s="2" t="s">
        <v>31</v>
      </c>
      <c r="AB1723" s="6" t="n">
        <v>1310</v>
      </c>
      <c r="AC1723" s="6" t="n">
        <v>1041</v>
      </c>
      <c r="AD1723" s="6" t="n">
        <v>251</v>
      </c>
      <c r="AE1723" s="6" t="n">
        <v>1775.62744140625</v>
      </c>
      <c r="AF1723" s="8" t="n">
        <v>288.461538462</v>
      </c>
      <c r="AG1723" s="11" t="n">
        <v>0.9110138585</v>
      </c>
      <c r="AH1723" s="12" t="n">
        <v>0.998858467649928</v>
      </c>
      <c r="AI1723" s="2" t="s">
        <v>317</v>
      </c>
      <c r="AJ1723" s="2" t="s">
        <v>3810</v>
      </c>
      <c r="AK1723" s="2" t="s">
        <v>3810</v>
      </c>
    </row>
    <row r="1724" customFormat="false" ht="15" hidden="false" customHeight="false" outlineLevel="0" collapsed="false">
      <c r="A1724" s="9"/>
      <c r="B1724" s="2" t="s">
        <v>3811</v>
      </c>
      <c r="C1724" s="2" t="s">
        <v>3812</v>
      </c>
      <c r="D1724" s="2" t="s">
        <v>3763</v>
      </c>
      <c r="E1724" s="2" t="s">
        <v>51</v>
      </c>
      <c r="F1724" s="2"/>
      <c r="G1724" s="2" t="s">
        <v>3764</v>
      </c>
      <c r="H1724" s="8" t="n">
        <v>308.640063179385</v>
      </c>
      <c r="I1724" s="2" t="s">
        <v>316</v>
      </c>
      <c r="J1724" s="8" t="n">
        <v>494615.384615385</v>
      </c>
      <c r="K1724" s="6" t="n">
        <v>26</v>
      </c>
      <c r="L1724" s="2"/>
      <c r="M1724" s="10" t="b">
        <f aca="false">TRUE()</f>
        <v>1</v>
      </c>
      <c r="N1724" s="9" t="str">
        <f aca="false">IF(H1724="","",IF(H1724&gt;=Assumptions!$B$5,1,IF(H1724&gt;=Assumptions!$B$6,2,IF(H1724&gt;=Assumptions!$B$7,3,""))))</f>
        <v/>
      </c>
      <c r="O1724" s="9" t="n">
        <f aca="false">IF(N1724=1,Assumptions!$B$8,IF(N1724=2,Assumptions!$B$9,IF(N1724=3,Assumptions!$B$10,0)))</f>
        <v>0</v>
      </c>
      <c r="P1724" s="6" t="s">
        <v>30</v>
      </c>
      <c r="Q1724" s="6" t="s">
        <v>30</v>
      </c>
      <c r="R1724" s="11" t="s">
        <v>30</v>
      </c>
      <c r="S1724" s="6" t="s">
        <v>30</v>
      </c>
      <c r="T1724" s="11" t="s">
        <v>30</v>
      </c>
      <c r="U1724" s="6" t="s">
        <v>30</v>
      </c>
      <c r="V1724" s="6" t="s">
        <v>30</v>
      </c>
      <c r="W1724" s="6" t="s">
        <v>30</v>
      </c>
      <c r="X1724" s="2" t="s">
        <v>30</v>
      </c>
      <c r="Y1724" s="6" t="str">
        <f aca="false">IF(AND(X1724="processed",ISNUMBER(S1724)),S1724*O1724,"")</f>
        <v/>
      </c>
      <c r="Z1724" s="6" t="n">
        <f aca="false">IF(ISNUMBER(K1724),K1724*O1724,0)</f>
        <v>0</v>
      </c>
      <c r="AA1724" s="2" t="s">
        <v>31</v>
      </c>
      <c r="AB1724" s="6" t="n">
        <v>3290</v>
      </c>
      <c r="AC1724" s="6" t="n">
        <v>2678</v>
      </c>
      <c r="AD1724" s="6" t="n">
        <v>1646</v>
      </c>
      <c r="AE1724" s="6" t="n">
        <v>2098.17333984375</v>
      </c>
      <c r="AF1724" s="8" t="n">
        <v>308.196181698</v>
      </c>
      <c r="AG1724" s="11" t="n">
        <v>-0.06140253755</v>
      </c>
      <c r="AH1724" s="12" t="n">
        <v>0.998980436965625</v>
      </c>
      <c r="AI1724" s="2" t="s">
        <v>350</v>
      </c>
      <c r="AJ1724" s="2" t="s">
        <v>3812</v>
      </c>
      <c r="AK1724" s="2" t="s">
        <v>3813</v>
      </c>
    </row>
    <row r="1725" customFormat="false" ht="15" hidden="false" customHeight="false" outlineLevel="0" collapsed="false">
      <c r="A1725" s="9"/>
      <c r="B1725" s="2" t="s">
        <v>3814</v>
      </c>
      <c r="C1725" s="2" t="s">
        <v>3815</v>
      </c>
      <c r="D1725" s="2" t="s">
        <v>3784</v>
      </c>
      <c r="E1725" s="2" t="s">
        <v>51</v>
      </c>
      <c r="F1725" s="2"/>
      <c r="G1725" s="2"/>
      <c r="H1725" s="8"/>
      <c r="I1725" s="2"/>
      <c r="J1725" s="8"/>
      <c r="K1725" s="6"/>
      <c r="L1725" s="2"/>
      <c r="M1725" s="10" t="b">
        <f aca="false">TRUE()</f>
        <v>1</v>
      </c>
      <c r="N1725" s="9" t="str">
        <f aca="false">IF(H1725="","",IF(H1725&gt;=Assumptions!$B$5,1,IF(H1725&gt;=Assumptions!$B$6,2,IF(H1725&gt;=Assumptions!$B$7,3,""))))</f>
        <v/>
      </c>
      <c r="O1725" s="9" t="n">
        <f aca="false">IF(N1725=1,Assumptions!$B$8,IF(N1725=2,Assumptions!$B$9,IF(N1725=3,Assumptions!$B$10,0)))</f>
        <v>0</v>
      </c>
      <c r="P1725" s="6" t="s">
        <v>30</v>
      </c>
      <c r="Q1725" s="6" t="s">
        <v>30</v>
      </c>
      <c r="R1725" s="11" t="s">
        <v>30</v>
      </c>
      <c r="S1725" s="6" t="s">
        <v>30</v>
      </c>
      <c r="T1725" s="11" t="s">
        <v>30</v>
      </c>
      <c r="U1725" s="6" t="s">
        <v>30</v>
      </c>
      <c r="V1725" s="6" t="s">
        <v>30</v>
      </c>
      <c r="W1725" s="6" t="s">
        <v>30</v>
      </c>
      <c r="X1725" s="2" t="s">
        <v>30</v>
      </c>
      <c r="Y1725" s="6" t="str">
        <f aca="false">IF(AND(X1725="processed",ISNUMBER(S1725)),S1725*O1725,"")</f>
        <v/>
      </c>
      <c r="Z1725" s="6" t="n">
        <f aca="false">IF(ISNUMBER(K1725),K1725*O1725,0)</f>
        <v>0</v>
      </c>
      <c r="AA1725" s="2" t="s">
        <v>31</v>
      </c>
      <c r="AB1725" s="6" t="n">
        <v>694</v>
      </c>
      <c r="AC1725" s="6" t="n">
        <v>541</v>
      </c>
      <c r="AD1725" s="6" t="n">
        <v>316</v>
      </c>
      <c r="AE1725" s="6" t="n">
        <v>1593.33862304688</v>
      </c>
      <c r="AF1725" s="8"/>
      <c r="AG1725" s="11"/>
      <c r="AH1725" s="12" t="n">
        <v>0.999658464791969</v>
      </c>
      <c r="AI1725" s="2" t="s">
        <v>1597</v>
      </c>
      <c r="AJ1725" s="2"/>
      <c r="AK1725" s="2" t="s">
        <v>3815</v>
      </c>
    </row>
    <row r="1726" customFormat="false" ht="15" hidden="false" customHeight="false" outlineLevel="0" collapsed="false">
      <c r="A1726" s="9"/>
      <c r="B1726" s="2" t="s">
        <v>3816</v>
      </c>
      <c r="C1726" s="2" t="s">
        <v>3817</v>
      </c>
      <c r="D1726" s="2" t="s">
        <v>3763</v>
      </c>
      <c r="E1726" s="2" t="s">
        <v>51</v>
      </c>
      <c r="F1726" s="2"/>
      <c r="G1726" s="2" t="s">
        <v>1759</v>
      </c>
      <c r="H1726" s="8" t="n">
        <v>177.073441929667</v>
      </c>
      <c r="I1726" s="2" t="s">
        <v>316</v>
      </c>
      <c r="J1726" s="8" t="n">
        <v>468400</v>
      </c>
      <c r="K1726" s="6" t="n">
        <v>3</v>
      </c>
      <c r="L1726" s="2" t="s">
        <v>1664</v>
      </c>
      <c r="M1726" s="10" t="b">
        <f aca="false">TRUE()</f>
        <v>1</v>
      </c>
      <c r="N1726" s="9" t="str">
        <f aca="false">IF(H1726="","",IF(H1726&gt;=Assumptions!$B$5,1,IF(H1726&gt;=Assumptions!$B$6,2,IF(H1726&gt;=Assumptions!$B$7,3,""))))</f>
        <v/>
      </c>
      <c r="O1726" s="9" t="n">
        <f aca="false">IF(N1726=1,Assumptions!$B$8,IF(N1726=2,Assumptions!$B$9,IF(N1726=3,Assumptions!$B$10,0)))</f>
        <v>0</v>
      </c>
      <c r="P1726" s="6" t="s">
        <v>30</v>
      </c>
      <c r="Q1726" s="6" t="s">
        <v>30</v>
      </c>
      <c r="R1726" s="11" t="s">
        <v>30</v>
      </c>
      <c r="S1726" s="6" t="s">
        <v>30</v>
      </c>
      <c r="T1726" s="11" t="s">
        <v>30</v>
      </c>
      <c r="U1726" s="6" t="s">
        <v>30</v>
      </c>
      <c r="V1726" s="6" t="s">
        <v>30</v>
      </c>
      <c r="W1726" s="6" t="s">
        <v>30</v>
      </c>
      <c r="X1726" s="2" t="s">
        <v>30</v>
      </c>
      <c r="Y1726" s="6" t="str">
        <f aca="false">IF(AND(X1726="processed",ISNUMBER(S1726)),S1726*O1726,"")</f>
        <v/>
      </c>
      <c r="Z1726" s="6" t="n">
        <f aca="false">IF(ISNUMBER(K1726),K1726*O1726,0)</f>
        <v>0</v>
      </c>
      <c r="AA1726" s="2" t="s">
        <v>31</v>
      </c>
      <c r="AB1726" s="6" t="n">
        <v>560</v>
      </c>
      <c r="AC1726" s="6" t="n">
        <v>467</v>
      </c>
      <c r="AD1726" s="6" t="n">
        <v>518</v>
      </c>
      <c r="AE1726" s="6" t="n">
        <v>1472.84362792969</v>
      </c>
      <c r="AF1726" s="8" t="n">
        <v>180.612201215</v>
      </c>
      <c r="AG1726" s="11" t="n">
        <v>-0.2207633588</v>
      </c>
      <c r="AH1726" s="12" t="n">
        <v>0.597965121916305</v>
      </c>
      <c r="AI1726" s="2" t="s">
        <v>1597</v>
      </c>
      <c r="AJ1726" s="2"/>
      <c r="AK1726" s="2" t="s">
        <v>3817</v>
      </c>
    </row>
    <row r="1727" customFormat="false" ht="15" hidden="false" customHeight="false" outlineLevel="0" collapsed="false">
      <c r="A1727" s="9"/>
      <c r="B1727" s="2" t="s">
        <v>3818</v>
      </c>
      <c r="C1727" s="2" t="s">
        <v>3819</v>
      </c>
      <c r="D1727" s="2" t="s">
        <v>3763</v>
      </c>
      <c r="E1727" s="2" t="s">
        <v>51</v>
      </c>
      <c r="F1727" s="2"/>
      <c r="G1727" s="2" t="s">
        <v>3764</v>
      </c>
      <c r="H1727" s="8" t="n">
        <v>210.7706394625</v>
      </c>
      <c r="I1727" s="2" t="s">
        <v>316</v>
      </c>
      <c r="J1727" s="8" t="n">
        <v>332833.333333333</v>
      </c>
      <c r="K1727" s="6" t="n">
        <v>18</v>
      </c>
      <c r="L1727" s="2"/>
      <c r="M1727" s="10" t="b">
        <f aca="false">TRUE()</f>
        <v>1</v>
      </c>
      <c r="N1727" s="9" t="str">
        <f aca="false">IF(H1727="","",IF(H1727&gt;=Assumptions!$B$5,1,IF(H1727&gt;=Assumptions!$B$6,2,IF(H1727&gt;=Assumptions!$B$7,3,""))))</f>
        <v/>
      </c>
      <c r="O1727" s="9" t="n">
        <f aca="false">IF(N1727=1,Assumptions!$B$8,IF(N1727=2,Assumptions!$B$9,IF(N1727=3,Assumptions!$B$10,0)))</f>
        <v>0</v>
      </c>
      <c r="P1727" s="6" t="s">
        <v>30</v>
      </c>
      <c r="Q1727" s="6" t="s">
        <v>30</v>
      </c>
      <c r="R1727" s="11" t="s">
        <v>30</v>
      </c>
      <c r="S1727" s="6" t="s">
        <v>30</v>
      </c>
      <c r="T1727" s="11" t="s">
        <v>30</v>
      </c>
      <c r="U1727" s="6" t="s">
        <v>30</v>
      </c>
      <c r="V1727" s="6" t="s">
        <v>30</v>
      </c>
      <c r="W1727" s="6" t="s">
        <v>30</v>
      </c>
      <c r="X1727" s="2" t="s">
        <v>30</v>
      </c>
      <c r="Y1727" s="6" t="str">
        <f aca="false">IF(AND(X1727="processed",ISNUMBER(S1727)),S1727*O1727,"")</f>
        <v/>
      </c>
      <c r="Z1727" s="6" t="n">
        <f aca="false">IF(ISNUMBER(K1727),K1727*O1727,0)</f>
        <v>0</v>
      </c>
      <c r="AA1727" s="2" t="s">
        <v>31</v>
      </c>
      <c r="AB1727" s="6" t="n">
        <v>1036</v>
      </c>
      <c r="AC1727" s="6" t="n">
        <v>901</v>
      </c>
      <c r="AD1727" s="6" t="n">
        <v>1021</v>
      </c>
      <c r="AE1727" s="6" t="n">
        <v>1787.5703125</v>
      </c>
      <c r="AF1727" s="8" t="n">
        <v>188.589194757</v>
      </c>
      <c r="AG1727" s="11" t="n">
        <v>-0.2834432339</v>
      </c>
      <c r="AH1727" s="12" t="n">
        <v>0.995569618924069</v>
      </c>
      <c r="AI1727" s="2" t="s">
        <v>2683</v>
      </c>
      <c r="AJ1727" s="2" t="s">
        <v>3820</v>
      </c>
      <c r="AK1727" s="2" t="s">
        <v>3821</v>
      </c>
    </row>
    <row r="1728" customFormat="false" ht="15" hidden="false" customHeight="false" outlineLevel="0" collapsed="false">
      <c r="A1728" s="9"/>
      <c r="B1728" s="2" t="s">
        <v>3822</v>
      </c>
      <c r="C1728" s="2" t="s">
        <v>3823</v>
      </c>
      <c r="D1728" s="2" t="s">
        <v>3784</v>
      </c>
      <c r="E1728" s="2" t="s">
        <v>51</v>
      </c>
      <c r="F1728" s="2"/>
      <c r="G1728" s="2"/>
      <c r="H1728" s="8"/>
      <c r="I1728" s="2"/>
      <c r="J1728" s="8"/>
      <c r="K1728" s="6"/>
      <c r="L1728" s="2"/>
      <c r="M1728" s="10" t="b">
        <f aca="false">TRUE()</f>
        <v>1</v>
      </c>
      <c r="N1728" s="9" t="str">
        <f aca="false">IF(H1728="","",IF(H1728&gt;=Assumptions!$B$5,1,IF(H1728&gt;=Assumptions!$B$6,2,IF(H1728&gt;=Assumptions!$B$7,3,""))))</f>
        <v/>
      </c>
      <c r="O1728" s="9" t="n">
        <f aca="false">IF(N1728=1,Assumptions!$B$8,IF(N1728=2,Assumptions!$B$9,IF(N1728=3,Assumptions!$B$10,0)))</f>
        <v>0</v>
      </c>
      <c r="P1728" s="6" t="s">
        <v>30</v>
      </c>
      <c r="Q1728" s="6" t="s">
        <v>30</v>
      </c>
      <c r="R1728" s="11" t="s">
        <v>30</v>
      </c>
      <c r="S1728" s="6" t="s">
        <v>30</v>
      </c>
      <c r="T1728" s="11" t="s">
        <v>30</v>
      </c>
      <c r="U1728" s="6" t="s">
        <v>30</v>
      </c>
      <c r="V1728" s="6" t="s">
        <v>30</v>
      </c>
      <c r="W1728" s="6" t="s">
        <v>30</v>
      </c>
      <c r="X1728" s="2" t="s">
        <v>30</v>
      </c>
      <c r="Y1728" s="6" t="str">
        <f aca="false">IF(AND(X1728="processed",ISNUMBER(S1728)),S1728*O1728,"")</f>
        <v/>
      </c>
      <c r="Z1728" s="6" t="n">
        <f aca="false">IF(ISNUMBER(K1728),K1728*O1728,0)</f>
        <v>0</v>
      </c>
      <c r="AA1728" s="2" t="s">
        <v>31</v>
      </c>
      <c r="AB1728" s="6" t="n">
        <v>1006</v>
      </c>
      <c r="AC1728" s="6" t="n">
        <v>767</v>
      </c>
      <c r="AD1728" s="6" t="n">
        <v>985</v>
      </c>
      <c r="AE1728" s="6" t="n">
        <v>2107.47924804688</v>
      </c>
      <c r="AF1728" s="8"/>
      <c r="AG1728" s="11"/>
      <c r="AH1728" s="12" t="n">
        <v>0.996620806505709</v>
      </c>
      <c r="AI1728" s="2" t="s">
        <v>1597</v>
      </c>
      <c r="AJ1728" s="2"/>
      <c r="AK1728" s="2" t="s">
        <v>3823</v>
      </c>
    </row>
    <row r="1729" customFormat="false" ht="15" hidden="false" customHeight="false" outlineLevel="0" collapsed="false">
      <c r="A1729" s="9"/>
      <c r="B1729" s="2" t="s">
        <v>3824</v>
      </c>
      <c r="C1729" s="2" t="s">
        <v>3825</v>
      </c>
      <c r="D1729" s="2" t="s">
        <v>3756</v>
      </c>
      <c r="E1729" s="2" t="s">
        <v>51</v>
      </c>
      <c r="F1729" s="2"/>
      <c r="G1729" s="2"/>
      <c r="H1729" s="8"/>
      <c r="I1729" s="2"/>
      <c r="J1729" s="8"/>
      <c r="K1729" s="6"/>
      <c r="L1729" s="2"/>
      <c r="M1729" s="10" t="b">
        <f aca="false">TRUE()</f>
        <v>1</v>
      </c>
      <c r="N1729" s="9" t="str">
        <f aca="false">IF(H1729="","",IF(H1729&gt;=Assumptions!$B$5,1,IF(H1729&gt;=Assumptions!$B$6,2,IF(H1729&gt;=Assumptions!$B$7,3,""))))</f>
        <v/>
      </c>
      <c r="O1729" s="9" t="n">
        <f aca="false">IF(N1729=1,Assumptions!$B$8,IF(N1729=2,Assumptions!$B$9,IF(N1729=3,Assumptions!$B$10,0)))</f>
        <v>0</v>
      </c>
      <c r="P1729" s="6" t="s">
        <v>30</v>
      </c>
      <c r="Q1729" s="6" t="s">
        <v>30</v>
      </c>
      <c r="R1729" s="11" t="s">
        <v>30</v>
      </c>
      <c r="S1729" s="6" t="s">
        <v>30</v>
      </c>
      <c r="T1729" s="11" t="s">
        <v>30</v>
      </c>
      <c r="U1729" s="6" t="s">
        <v>30</v>
      </c>
      <c r="V1729" s="6" t="s">
        <v>30</v>
      </c>
      <c r="W1729" s="6" t="s">
        <v>30</v>
      </c>
      <c r="X1729" s="2" t="s">
        <v>30</v>
      </c>
      <c r="Y1729" s="6" t="str">
        <f aca="false">IF(AND(X1729="processed",ISNUMBER(S1729)),S1729*O1729,"")</f>
        <v/>
      </c>
      <c r="Z1729" s="6" t="n">
        <f aca="false">IF(ISNUMBER(K1729),K1729*O1729,0)</f>
        <v>0</v>
      </c>
      <c r="AA1729" s="2" t="s">
        <v>31</v>
      </c>
      <c r="AB1729" s="6" t="n">
        <v>65</v>
      </c>
      <c r="AC1729" s="6" t="n">
        <v>48</v>
      </c>
      <c r="AD1729" s="6" t="n">
        <v>51</v>
      </c>
      <c r="AE1729" s="6" t="n">
        <v>1350.19250488281</v>
      </c>
      <c r="AF1729" s="8"/>
      <c r="AG1729" s="11"/>
      <c r="AH1729" s="12" t="n">
        <v>0.999484002743101</v>
      </c>
      <c r="AI1729" s="2" t="s">
        <v>317</v>
      </c>
      <c r="AJ1729" s="2" t="s">
        <v>3825</v>
      </c>
      <c r="AK1729" s="2" t="s">
        <v>3826</v>
      </c>
    </row>
    <row r="1730" customFormat="false" ht="15" hidden="false" customHeight="false" outlineLevel="0" collapsed="false">
      <c r="A1730" s="9"/>
      <c r="B1730" s="2" t="s">
        <v>3827</v>
      </c>
      <c r="C1730" s="2" t="s">
        <v>3828</v>
      </c>
      <c r="D1730" s="2" t="s">
        <v>3829</v>
      </c>
      <c r="E1730" s="2" t="s">
        <v>51</v>
      </c>
      <c r="F1730" s="2"/>
      <c r="G1730" s="2" t="s">
        <v>1492</v>
      </c>
      <c r="H1730" s="8" t="n">
        <v>326.561474590112</v>
      </c>
      <c r="I1730" s="2" t="s">
        <v>316</v>
      </c>
      <c r="J1730" s="8" t="n">
        <v>531398.916967509</v>
      </c>
      <c r="K1730" s="6" t="n">
        <v>277</v>
      </c>
      <c r="L1730" s="2"/>
      <c r="M1730" s="10" t="b">
        <f aca="false">TRUE()</f>
        <v>1</v>
      </c>
      <c r="N1730" s="9" t="str">
        <f aca="false">IF(H1730="","",IF(H1730&gt;=Assumptions!$B$5,1,IF(H1730&gt;=Assumptions!$B$6,2,IF(H1730&gt;=Assumptions!$B$7,3,""))))</f>
        <v/>
      </c>
      <c r="O1730" s="9" t="n">
        <f aca="false">IF(N1730=1,Assumptions!$B$8,IF(N1730=2,Assumptions!$B$9,IF(N1730=3,Assumptions!$B$10,0)))</f>
        <v>0</v>
      </c>
      <c r="P1730" s="6" t="s">
        <v>30</v>
      </c>
      <c r="Q1730" s="6" t="s">
        <v>30</v>
      </c>
      <c r="R1730" s="11" t="s">
        <v>30</v>
      </c>
      <c r="S1730" s="6" t="s">
        <v>30</v>
      </c>
      <c r="T1730" s="11" t="s">
        <v>30</v>
      </c>
      <c r="U1730" s="6" t="s">
        <v>30</v>
      </c>
      <c r="V1730" s="6" t="s">
        <v>30</v>
      </c>
      <c r="W1730" s="6" t="s">
        <v>30</v>
      </c>
      <c r="X1730" s="2" t="s">
        <v>30</v>
      </c>
      <c r="Y1730" s="6" t="str">
        <f aca="false">IF(AND(X1730="processed",ISNUMBER(S1730)),S1730*O1730,"")</f>
        <v/>
      </c>
      <c r="Z1730" s="6" t="n">
        <f aca="false">IF(ISNUMBER(K1730),K1730*O1730,0)</f>
        <v>0</v>
      </c>
      <c r="AA1730" s="2" t="s">
        <v>31</v>
      </c>
      <c r="AB1730" s="6" t="n">
        <v>14271</v>
      </c>
      <c r="AC1730" s="6" t="n">
        <v>12291</v>
      </c>
      <c r="AD1730" s="6" t="n">
        <v>4417</v>
      </c>
      <c r="AE1730" s="6" t="n">
        <v>1852.798828125</v>
      </c>
      <c r="AF1730" s="8" t="n">
        <v>339.419475655</v>
      </c>
      <c r="AG1730" s="11" t="n">
        <v>-0.03840244266</v>
      </c>
      <c r="AH1730" s="12" t="n">
        <v>0.998950086689364</v>
      </c>
      <c r="AI1730" s="2" t="s">
        <v>317</v>
      </c>
      <c r="AJ1730" s="2" t="s">
        <v>3828</v>
      </c>
      <c r="AK1730" s="2" t="s">
        <v>3828</v>
      </c>
    </row>
    <row r="1731" customFormat="false" ht="15" hidden="false" customHeight="false" outlineLevel="0" collapsed="false">
      <c r="A1731" s="9"/>
      <c r="B1731" s="2" t="s">
        <v>3830</v>
      </c>
      <c r="C1731" s="2" t="s">
        <v>3831</v>
      </c>
      <c r="D1731" s="2" t="s">
        <v>3829</v>
      </c>
      <c r="E1731" s="2" t="s">
        <v>51</v>
      </c>
      <c r="F1731" s="2"/>
      <c r="G1731" s="2" t="s">
        <v>1492</v>
      </c>
      <c r="H1731" s="8" t="n">
        <v>273.275742626581</v>
      </c>
      <c r="I1731" s="2" t="s">
        <v>316</v>
      </c>
      <c r="J1731" s="8" t="n">
        <v>506306.451612903</v>
      </c>
      <c r="K1731" s="6" t="n">
        <v>186</v>
      </c>
      <c r="L1731" s="2"/>
      <c r="M1731" s="10" t="b">
        <f aca="false">TRUE()</f>
        <v>1</v>
      </c>
      <c r="N1731" s="9" t="str">
        <f aca="false">IF(H1731="","",IF(H1731&gt;=Assumptions!$B$5,1,IF(H1731&gt;=Assumptions!$B$6,2,IF(H1731&gt;=Assumptions!$B$7,3,""))))</f>
        <v/>
      </c>
      <c r="O1731" s="9" t="n">
        <f aca="false">IF(N1731=1,Assumptions!$B$8,IF(N1731=2,Assumptions!$B$9,IF(N1731=3,Assumptions!$B$10,0)))</f>
        <v>0</v>
      </c>
      <c r="P1731" s="6" t="s">
        <v>30</v>
      </c>
      <c r="Q1731" s="6" t="s">
        <v>30</v>
      </c>
      <c r="R1731" s="11" t="s">
        <v>30</v>
      </c>
      <c r="S1731" s="6" t="s">
        <v>30</v>
      </c>
      <c r="T1731" s="11" t="s">
        <v>30</v>
      </c>
      <c r="U1731" s="6" t="s">
        <v>30</v>
      </c>
      <c r="V1731" s="6" t="s">
        <v>30</v>
      </c>
      <c r="W1731" s="6" t="s">
        <v>30</v>
      </c>
      <c r="X1731" s="2" t="s">
        <v>30</v>
      </c>
      <c r="Y1731" s="6" t="str">
        <f aca="false">IF(AND(X1731="processed",ISNUMBER(S1731)),S1731*O1731,"")</f>
        <v/>
      </c>
      <c r="Z1731" s="6" t="n">
        <f aca="false">IF(ISNUMBER(K1731),K1731*O1731,0)</f>
        <v>0</v>
      </c>
      <c r="AA1731" s="2" t="s">
        <v>31</v>
      </c>
      <c r="AB1731" s="6" t="n">
        <v>6847</v>
      </c>
      <c r="AC1731" s="6" t="n">
        <v>6109</v>
      </c>
      <c r="AD1731" s="6" t="n">
        <v>6816</v>
      </c>
      <c r="AE1731" s="6" t="n">
        <v>2416.91552734375</v>
      </c>
      <c r="AF1731" s="8" t="n">
        <v>270.406268568</v>
      </c>
      <c r="AG1731" s="11" t="n">
        <v>-0.02293201624</v>
      </c>
      <c r="AH1731" s="12" t="n">
        <v>0.999431436120164</v>
      </c>
      <c r="AI1731" s="2" t="s">
        <v>317</v>
      </c>
      <c r="AJ1731" s="2" t="s">
        <v>3831</v>
      </c>
      <c r="AK1731" s="2" t="s">
        <v>3832</v>
      </c>
    </row>
    <row r="1732" customFormat="false" ht="15" hidden="false" customHeight="false" outlineLevel="0" collapsed="false">
      <c r="A1732" s="9"/>
      <c r="B1732" s="2" t="s">
        <v>3833</v>
      </c>
      <c r="C1732" s="2" t="s">
        <v>3834</v>
      </c>
      <c r="D1732" s="2" t="s">
        <v>3769</v>
      </c>
      <c r="E1732" s="2" t="s">
        <v>51</v>
      </c>
      <c r="F1732" s="2"/>
      <c r="G1732" s="2"/>
      <c r="H1732" s="8"/>
      <c r="I1732" s="2"/>
      <c r="J1732" s="8"/>
      <c r="K1732" s="6"/>
      <c r="L1732" s="2"/>
      <c r="M1732" s="10" t="b">
        <f aca="false">TRUE()</f>
        <v>1</v>
      </c>
      <c r="N1732" s="9" t="str">
        <f aca="false">IF(H1732="","",IF(H1732&gt;=Assumptions!$B$5,1,IF(H1732&gt;=Assumptions!$B$6,2,IF(H1732&gt;=Assumptions!$B$7,3,""))))</f>
        <v/>
      </c>
      <c r="O1732" s="9" t="n">
        <f aca="false">IF(N1732=1,Assumptions!$B$8,IF(N1732=2,Assumptions!$B$9,IF(N1732=3,Assumptions!$B$10,0)))</f>
        <v>0</v>
      </c>
      <c r="P1732" s="6" t="s">
        <v>30</v>
      </c>
      <c r="Q1732" s="6" t="s">
        <v>30</v>
      </c>
      <c r="R1732" s="11" t="s">
        <v>30</v>
      </c>
      <c r="S1732" s="6" t="s">
        <v>30</v>
      </c>
      <c r="T1732" s="11" t="s">
        <v>30</v>
      </c>
      <c r="U1732" s="6" t="s">
        <v>30</v>
      </c>
      <c r="V1732" s="6" t="s">
        <v>30</v>
      </c>
      <c r="W1732" s="6" t="s">
        <v>30</v>
      </c>
      <c r="X1732" s="2" t="s">
        <v>30</v>
      </c>
      <c r="Y1732" s="6" t="str">
        <f aca="false">IF(AND(X1732="processed",ISNUMBER(S1732)),S1732*O1732,"")</f>
        <v/>
      </c>
      <c r="Z1732" s="6" t="n">
        <f aca="false">IF(ISNUMBER(K1732),K1732*O1732,0)</f>
        <v>0</v>
      </c>
      <c r="AA1732" s="2" t="s">
        <v>31</v>
      </c>
      <c r="AB1732" s="6" t="n">
        <v>1360</v>
      </c>
      <c r="AC1732" s="6" t="n">
        <v>1170</v>
      </c>
      <c r="AD1732" s="6" t="n">
        <v>1059</v>
      </c>
      <c r="AE1732" s="6" t="n">
        <v>1629.22644042969</v>
      </c>
      <c r="AF1732" s="8"/>
      <c r="AG1732" s="11"/>
      <c r="AH1732" s="12" t="n">
        <v>0.999911909613524</v>
      </c>
      <c r="AI1732" s="2" t="s">
        <v>1597</v>
      </c>
      <c r="AJ1732" s="2"/>
      <c r="AK1732" s="2" t="s">
        <v>3834</v>
      </c>
    </row>
    <row r="1733" customFormat="false" ht="15" hidden="false" customHeight="false" outlineLevel="0" collapsed="false">
      <c r="A1733" s="9"/>
      <c r="B1733" s="2" t="s">
        <v>3835</v>
      </c>
      <c r="C1733" s="2" t="s">
        <v>3836</v>
      </c>
      <c r="D1733" s="2" t="s">
        <v>3763</v>
      </c>
      <c r="E1733" s="2" t="s">
        <v>51</v>
      </c>
      <c r="F1733" s="2"/>
      <c r="G1733" s="2" t="s">
        <v>3764</v>
      </c>
      <c r="H1733" s="8" t="n">
        <v>256.172076879882</v>
      </c>
      <c r="I1733" s="2" t="s">
        <v>316</v>
      </c>
      <c r="J1733" s="8" t="n">
        <v>376000</v>
      </c>
      <c r="K1733" s="6" t="n">
        <v>68</v>
      </c>
      <c r="L1733" s="2"/>
      <c r="M1733" s="10" t="b">
        <f aca="false">TRUE()</f>
        <v>1</v>
      </c>
      <c r="N1733" s="9" t="str">
        <f aca="false">IF(H1733="","",IF(H1733&gt;=Assumptions!$B$5,1,IF(H1733&gt;=Assumptions!$B$6,2,IF(H1733&gt;=Assumptions!$B$7,3,""))))</f>
        <v/>
      </c>
      <c r="O1733" s="9" t="n">
        <f aca="false">IF(N1733=1,Assumptions!$B$8,IF(N1733=2,Assumptions!$B$9,IF(N1733=3,Assumptions!$B$10,0)))</f>
        <v>0</v>
      </c>
      <c r="P1733" s="6" t="s">
        <v>30</v>
      </c>
      <c r="Q1733" s="6" t="s">
        <v>30</v>
      </c>
      <c r="R1733" s="11" t="s">
        <v>30</v>
      </c>
      <c r="S1733" s="6" t="s">
        <v>30</v>
      </c>
      <c r="T1733" s="11" t="s">
        <v>30</v>
      </c>
      <c r="U1733" s="6" t="s">
        <v>30</v>
      </c>
      <c r="V1733" s="6" t="s">
        <v>30</v>
      </c>
      <c r="W1733" s="6" t="s">
        <v>30</v>
      </c>
      <c r="X1733" s="2" t="s">
        <v>30</v>
      </c>
      <c r="Y1733" s="6" t="str">
        <f aca="false">IF(AND(X1733="processed",ISNUMBER(S1733)),S1733*O1733,"")</f>
        <v/>
      </c>
      <c r="Z1733" s="6" t="n">
        <f aca="false">IF(ISNUMBER(K1733),K1733*O1733,0)</f>
        <v>0</v>
      </c>
      <c r="AA1733" s="2" t="s">
        <v>31</v>
      </c>
      <c r="AB1733" s="6" t="n">
        <v>6415</v>
      </c>
      <c r="AC1733" s="6" t="n">
        <v>5308</v>
      </c>
      <c r="AD1733" s="6" t="n">
        <v>5730</v>
      </c>
      <c r="AE1733" s="6" t="n">
        <v>1979.90649414063</v>
      </c>
      <c r="AF1733" s="8" t="n">
        <v>238.723068799</v>
      </c>
      <c r="AG1733" s="11" t="n">
        <v>-0.05328667363</v>
      </c>
      <c r="AH1733" s="12" t="n">
        <v>0.99689322177997</v>
      </c>
      <c r="AI1733" s="2" t="s">
        <v>321</v>
      </c>
      <c r="AJ1733" s="2" t="s">
        <v>3836</v>
      </c>
      <c r="AK1733" s="2" t="s">
        <v>3836</v>
      </c>
    </row>
    <row r="1734" customFormat="false" ht="15" hidden="false" customHeight="false" outlineLevel="0" collapsed="false">
      <c r="A1734" s="9"/>
      <c r="B1734" s="2" t="s">
        <v>3837</v>
      </c>
      <c r="C1734" s="2" t="s">
        <v>3828</v>
      </c>
      <c r="D1734" s="2" t="s">
        <v>3829</v>
      </c>
      <c r="E1734" s="2" t="s">
        <v>51</v>
      </c>
      <c r="F1734" s="2" t="s">
        <v>3838</v>
      </c>
      <c r="G1734" s="2" t="s">
        <v>1492</v>
      </c>
      <c r="H1734" s="8" t="n">
        <v>280.899136168949</v>
      </c>
      <c r="I1734" s="2" t="s">
        <v>316</v>
      </c>
      <c r="J1734" s="8" t="n">
        <v>542119.565217391</v>
      </c>
      <c r="K1734" s="6" t="n">
        <v>276</v>
      </c>
      <c r="L1734" s="2"/>
      <c r="M1734" s="10" t="b">
        <f aca="false">TRUE()</f>
        <v>1</v>
      </c>
      <c r="N1734" s="9" t="str">
        <f aca="false">IF(H1734="","",IF(H1734&gt;=Assumptions!$B$5,1,IF(H1734&gt;=Assumptions!$B$6,2,IF(H1734&gt;=Assumptions!$B$7,3,""))))</f>
        <v/>
      </c>
      <c r="O1734" s="9" t="n">
        <f aca="false">IF(N1734=1,Assumptions!$B$8,IF(N1734=2,Assumptions!$B$9,IF(N1734=3,Assumptions!$B$10,0)))</f>
        <v>0</v>
      </c>
      <c r="P1734" s="6" t="s">
        <v>30</v>
      </c>
      <c r="Q1734" s="6" t="s">
        <v>30</v>
      </c>
      <c r="R1734" s="11" t="s">
        <v>30</v>
      </c>
      <c r="S1734" s="6" t="s">
        <v>30</v>
      </c>
      <c r="T1734" s="11" t="s">
        <v>30</v>
      </c>
      <c r="U1734" s="6" t="s">
        <v>30</v>
      </c>
      <c r="V1734" s="6" t="s">
        <v>30</v>
      </c>
      <c r="W1734" s="6" t="s">
        <v>30</v>
      </c>
      <c r="X1734" s="2" t="s">
        <v>30</v>
      </c>
      <c r="Y1734" s="6" t="str">
        <f aca="false">IF(AND(X1734="processed",ISNUMBER(S1734)),S1734*O1734,"")</f>
        <v/>
      </c>
      <c r="Z1734" s="6" t="n">
        <f aca="false">IF(ISNUMBER(K1734),K1734*O1734,0)</f>
        <v>0</v>
      </c>
      <c r="AA1734" s="2" t="s">
        <v>31</v>
      </c>
      <c r="AB1734" s="6" t="n">
        <v>14377</v>
      </c>
      <c r="AC1734" s="6" t="n">
        <v>12442</v>
      </c>
      <c r="AD1734" s="6" t="n">
        <v>8046</v>
      </c>
      <c r="AE1734" s="6" t="n">
        <v>2083.01708984375</v>
      </c>
      <c r="AF1734" s="8" t="n">
        <v>287.094247933</v>
      </c>
      <c r="AG1734" s="11" t="n">
        <v>0.009303049688</v>
      </c>
      <c r="AH1734" s="12" t="n">
        <v>0.999735804965699</v>
      </c>
      <c r="AI1734" s="2" t="s">
        <v>317</v>
      </c>
      <c r="AJ1734" s="2" t="s">
        <v>3828</v>
      </c>
      <c r="AK1734" s="2" t="s">
        <v>3828</v>
      </c>
    </row>
    <row r="1735" customFormat="false" ht="15" hidden="false" customHeight="false" outlineLevel="0" collapsed="false">
      <c r="A1735" s="9"/>
      <c r="B1735" s="2" t="s">
        <v>3839</v>
      </c>
      <c r="C1735" s="2" t="s">
        <v>3840</v>
      </c>
      <c r="D1735" s="2" t="s">
        <v>3759</v>
      </c>
      <c r="E1735" s="2" t="s">
        <v>51</v>
      </c>
      <c r="F1735" s="2"/>
      <c r="G1735" s="2"/>
      <c r="H1735" s="8"/>
      <c r="I1735" s="2"/>
      <c r="J1735" s="8"/>
      <c r="K1735" s="6"/>
      <c r="L1735" s="2"/>
      <c r="M1735" s="10" t="b">
        <f aca="false">TRUE()</f>
        <v>1</v>
      </c>
      <c r="N1735" s="9" t="str">
        <f aca="false">IF(H1735="","",IF(H1735&gt;=Assumptions!$B$5,1,IF(H1735&gt;=Assumptions!$B$6,2,IF(H1735&gt;=Assumptions!$B$7,3,""))))</f>
        <v/>
      </c>
      <c r="O1735" s="9" t="n">
        <f aca="false">IF(N1735=1,Assumptions!$B$8,IF(N1735=2,Assumptions!$B$9,IF(N1735=3,Assumptions!$B$10,0)))</f>
        <v>0</v>
      </c>
      <c r="P1735" s="6" t="s">
        <v>30</v>
      </c>
      <c r="Q1735" s="6" t="s">
        <v>30</v>
      </c>
      <c r="R1735" s="11" t="s">
        <v>30</v>
      </c>
      <c r="S1735" s="6" t="s">
        <v>30</v>
      </c>
      <c r="T1735" s="11" t="s">
        <v>30</v>
      </c>
      <c r="U1735" s="6" t="s">
        <v>30</v>
      </c>
      <c r="V1735" s="6" t="s">
        <v>30</v>
      </c>
      <c r="W1735" s="6" t="s">
        <v>30</v>
      </c>
      <c r="X1735" s="2" t="s">
        <v>30</v>
      </c>
      <c r="Y1735" s="6" t="str">
        <f aca="false">IF(AND(X1735="processed",ISNUMBER(S1735)),S1735*O1735,"")</f>
        <v/>
      </c>
      <c r="Z1735" s="6" t="n">
        <f aca="false">IF(ISNUMBER(K1735),K1735*O1735,0)</f>
        <v>0</v>
      </c>
      <c r="AA1735" s="2" t="s">
        <v>31</v>
      </c>
      <c r="AB1735" s="6" t="n">
        <v>366</v>
      </c>
      <c r="AC1735" s="6" t="n">
        <v>279</v>
      </c>
      <c r="AD1735" s="6" t="n">
        <v>151</v>
      </c>
      <c r="AE1735" s="6" t="n">
        <v>1857.37365722656</v>
      </c>
      <c r="AF1735" s="8"/>
      <c r="AG1735" s="11"/>
      <c r="AH1735" s="12" t="n">
        <v>0.999432158145348</v>
      </c>
      <c r="AI1735" s="2" t="s">
        <v>582</v>
      </c>
      <c r="AJ1735" s="2" t="s">
        <v>3840</v>
      </c>
      <c r="AK1735" s="2" t="s">
        <v>3841</v>
      </c>
    </row>
    <row r="1736" customFormat="false" ht="15" hidden="false" customHeight="false" outlineLevel="0" collapsed="false">
      <c r="A1736" s="9"/>
      <c r="B1736" s="2" t="s">
        <v>3842</v>
      </c>
      <c r="C1736" s="2" t="s">
        <v>3843</v>
      </c>
      <c r="D1736" s="2" t="s">
        <v>3784</v>
      </c>
      <c r="E1736" s="2" t="s">
        <v>51</v>
      </c>
      <c r="F1736" s="2"/>
      <c r="G1736" s="2"/>
      <c r="H1736" s="8"/>
      <c r="I1736" s="2"/>
      <c r="J1736" s="8"/>
      <c r="K1736" s="6"/>
      <c r="L1736" s="2"/>
      <c r="M1736" s="10" t="b">
        <f aca="false">TRUE()</f>
        <v>1</v>
      </c>
      <c r="N1736" s="9" t="str">
        <f aca="false">IF(H1736="","",IF(H1736&gt;=Assumptions!$B$5,1,IF(H1736&gt;=Assumptions!$B$6,2,IF(H1736&gt;=Assumptions!$B$7,3,""))))</f>
        <v/>
      </c>
      <c r="O1736" s="9" t="n">
        <f aca="false">IF(N1736=1,Assumptions!$B$8,IF(N1736=2,Assumptions!$B$9,IF(N1736=3,Assumptions!$B$10,0)))</f>
        <v>0</v>
      </c>
      <c r="P1736" s="6" t="s">
        <v>30</v>
      </c>
      <c r="Q1736" s="6" t="s">
        <v>30</v>
      </c>
      <c r="R1736" s="11" t="s">
        <v>30</v>
      </c>
      <c r="S1736" s="6" t="s">
        <v>30</v>
      </c>
      <c r="T1736" s="11" t="s">
        <v>30</v>
      </c>
      <c r="U1736" s="6" t="s">
        <v>30</v>
      </c>
      <c r="V1736" s="6" t="s">
        <v>30</v>
      </c>
      <c r="W1736" s="6" t="s">
        <v>30</v>
      </c>
      <c r="X1736" s="2" t="s">
        <v>30</v>
      </c>
      <c r="Y1736" s="6" t="str">
        <f aca="false">IF(AND(X1736="processed",ISNUMBER(S1736)),S1736*O1736,"")</f>
        <v/>
      </c>
      <c r="Z1736" s="6" t="n">
        <f aca="false">IF(ISNUMBER(K1736),K1736*O1736,0)</f>
        <v>0</v>
      </c>
      <c r="AA1736" s="2" t="s">
        <v>31</v>
      </c>
      <c r="AB1736" s="6" t="n">
        <v>959</v>
      </c>
      <c r="AC1736" s="6" t="n">
        <v>844</v>
      </c>
      <c r="AD1736" s="6" t="n">
        <v>921</v>
      </c>
      <c r="AE1736" s="6" t="n">
        <v>1994.60656738281</v>
      </c>
      <c r="AF1736" s="8"/>
      <c r="AG1736" s="11"/>
      <c r="AH1736" s="12" t="n">
        <v>0.994123618772377</v>
      </c>
      <c r="AI1736" s="2" t="s">
        <v>319</v>
      </c>
      <c r="AJ1736" s="2"/>
      <c r="AK1736" s="2" t="s">
        <v>3843</v>
      </c>
    </row>
    <row r="1737" customFormat="false" ht="15" hidden="false" customHeight="false" outlineLevel="0" collapsed="false">
      <c r="A1737" s="9"/>
      <c r="B1737" s="2" t="s">
        <v>3844</v>
      </c>
      <c r="C1737" s="2" t="s">
        <v>3845</v>
      </c>
      <c r="D1737" s="2" t="s">
        <v>1758</v>
      </c>
      <c r="E1737" s="2" t="s">
        <v>51</v>
      </c>
      <c r="F1737" s="2"/>
      <c r="G1737" s="2" t="s">
        <v>1759</v>
      </c>
      <c r="H1737" s="8" t="n">
        <v>258.530815075836</v>
      </c>
      <c r="I1737" s="2" t="s">
        <v>316</v>
      </c>
      <c r="J1737" s="8" t="n">
        <v>403658.181818182</v>
      </c>
      <c r="K1737" s="6" t="n">
        <v>55</v>
      </c>
      <c r="L1737" s="2"/>
      <c r="M1737" s="10" t="b">
        <f aca="false">TRUE()</f>
        <v>1</v>
      </c>
      <c r="N1737" s="9" t="str">
        <f aca="false">IF(H1737="","",IF(H1737&gt;=Assumptions!$B$5,1,IF(H1737&gt;=Assumptions!$B$6,2,IF(H1737&gt;=Assumptions!$B$7,3,""))))</f>
        <v/>
      </c>
      <c r="O1737" s="9" t="n">
        <f aca="false">IF(N1737=1,Assumptions!$B$8,IF(N1737=2,Assumptions!$B$9,IF(N1737=3,Assumptions!$B$10,0)))</f>
        <v>0</v>
      </c>
      <c r="P1737" s="6" t="s">
        <v>30</v>
      </c>
      <c r="Q1737" s="6" t="s">
        <v>30</v>
      </c>
      <c r="R1737" s="11" t="s">
        <v>30</v>
      </c>
      <c r="S1737" s="6" t="s">
        <v>30</v>
      </c>
      <c r="T1737" s="11" t="s">
        <v>30</v>
      </c>
      <c r="U1737" s="6" t="s">
        <v>30</v>
      </c>
      <c r="V1737" s="6" t="s">
        <v>30</v>
      </c>
      <c r="W1737" s="6" t="s">
        <v>30</v>
      </c>
      <c r="X1737" s="2" t="s">
        <v>30</v>
      </c>
      <c r="Y1737" s="6" t="str">
        <f aca="false">IF(AND(X1737="processed",ISNUMBER(S1737)),S1737*O1737,"")</f>
        <v/>
      </c>
      <c r="Z1737" s="6" t="n">
        <f aca="false">IF(ISNUMBER(K1737),K1737*O1737,0)</f>
        <v>0</v>
      </c>
      <c r="AA1737" s="2" t="s">
        <v>31</v>
      </c>
      <c r="AB1737" s="6" t="n">
        <v>5239</v>
      </c>
      <c r="AC1737" s="6" t="n">
        <v>4519</v>
      </c>
      <c r="AD1737" s="6" t="n">
        <v>3288</v>
      </c>
      <c r="AE1737" s="6" t="n">
        <v>2171.19140625</v>
      </c>
      <c r="AF1737" s="8" t="n">
        <v>250.406461879</v>
      </c>
      <c r="AG1737" s="11" t="n">
        <v>-0.04666682727</v>
      </c>
      <c r="AH1737" s="12" t="n">
        <v>0.99905657436506</v>
      </c>
      <c r="AI1737" s="2" t="s">
        <v>317</v>
      </c>
      <c r="AJ1737" s="2" t="s">
        <v>3845</v>
      </c>
      <c r="AK1737" s="2" t="s">
        <v>3845</v>
      </c>
    </row>
    <row r="1738" customFormat="false" ht="15" hidden="false" customHeight="false" outlineLevel="0" collapsed="false">
      <c r="A1738" s="9"/>
      <c r="B1738" s="2" t="s">
        <v>3846</v>
      </c>
      <c r="C1738" s="2" t="s">
        <v>3847</v>
      </c>
      <c r="D1738" s="2" t="s">
        <v>3763</v>
      </c>
      <c r="E1738" s="2" t="s">
        <v>51</v>
      </c>
      <c r="F1738" s="2"/>
      <c r="G1738" s="2" t="s">
        <v>3764</v>
      </c>
      <c r="H1738" s="8" t="n">
        <v>184.023277279412</v>
      </c>
      <c r="I1738" s="2" t="s">
        <v>316</v>
      </c>
      <c r="J1738" s="8" t="n">
        <v>279029.411764706</v>
      </c>
      <c r="K1738" s="6" t="n">
        <v>102</v>
      </c>
      <c r="L1738" s="2"/>
      <c r="M1738" s="10" t="b">
        <f aca="false">TRUE()</f>
        <v>1</v>
      </c>
      <c r="N1738" s="9" t="str">
        <f aca="false">IF(H1738="","",IF(H1738&gt;=Assumptions!$B$5,1,IF(H1738&gt;=Assumptions!$B$6,2,IF(H1738&gt;=Assumptions!$B$7,3,""))))</f>
        <v/>
      </c>
      <c r="O1738" s="9" t="n">
        <f aca="false">IF(N1738=1,Assumptions!$B$8,IF(N1738=2,Assumptions!$B$9,IF(N1738=3,Assumptions!$B$10,0)))</f>
        <v>0</v>
      </c>
      <c r="P1738" s="6" t="s">
        <v>30</v>
      </c>
      <c r="Q1738" s="6" t="s">
        <v>30</v>
      </c>
      <c r="R1738" s="11" t="s">
        <v>30</v>
      </c>
      <c r="S1738" s="6" t="s">
        <v>30</v>
      </c>
      <c r="T1738" s="11" t="s">
        <v>30</v>
      </c>
      <c r="U1738" s="6" t="s">
        <v>30</v>
      </c>
      <c r="V1738" s="6" t="s">
        <v>30</v>
      </c>
      <c r="W1738" s="6" t="s">
        <v>30</v>
      </c>
      <c r="X1738" s="2" t="s">
        <v>30</v>
      </c>
      <c r="Y1738" s="6" t="str">
        <f aca="false">IF(AND(X1738="processed",ISNUMBER(S1738)),S1738*O1738,"")</f>
        <v/>
      </c>
      <c r="Z1738" s="6" t="n">
        <f aca="false">IF(ISNUMBER(K1738),K1738*O1738,0)</f>
        <v>0</v>
      </c>
      <c r="AA1738" s="2" t="s">
        <v>31</v>
      </c>
      <c r="AB1738" s="6" t="n">
        <v>4098</v>
      </c>
      <c r="AC1738" s="6" t="n">
        <v>3632</v>
      </c>
      <c r="AD1738" s="6" t="n">
        <v>3761</v>
      </c>
      <c r="AE1738" s="6" t="n">
        <v>1789.44714355469</v>
      </c>
      <c r="AF1738" s="8" t="n">
        <v>181.507000282</v>
      </c>
      <c r="AG1738" s="11" t="n">
        <v>-0.04050417106</v>
      </c>
      <c r="AH1738" s="12" t="n">
        <v>0.999999999999999</v>
      </c>
      <c r="AI1738" s="2" t="s">
        <v>1558</v>
      </c>
      <c r="AJ1738" s="2" t="s">
        <v>3847</v>
      </c>
      <c r="AK1738" s="2" t="s">
        <v>3848</v>
      </c>
    </row>
    <row r="1739" customFormat="false" ht="15" hidden="false" customHeight="false" outlineLevel="0" collapsed="false">
      <c r="A1739" s="9"/>
      <c r="B1739" s="2" t="s">
        <v>3849</v>
      </c>
      <c r="C1739" s="2" t="s">
        <v>3850</v>
      </c>
      <c r="D1739" s="2" t="s">
        <v>3759</v>
      </c>
      <c r="E1739" s="2" t="s">
        <v>51</v>
      </c>
      <c r="F1739" s="2"/>
      <c r="G1739" s="2"/>
      <c r="H1739" s="8"/>
      <c r="I1739" s="2"/>
      <c r="J1739" s="8"/>
      <c r="K1739" s="6"/>
      <c r="L1739" s="2"/>
      <c r="M1739" s="10" t="b">
        <f aca="false">TRUE()</f>
        <v>1</v>
      </c>
      <c r="N1739" s="9" t="str">
        <f aca="false">IF(H1739="","",IF(H1739&gt;=Assumptions!$B$5,1,IF(H1739&gt;=Assumptions!$B$6,2,IF(H1739&gt;=Assumptions!$B$7,3,""))))</f>
        <v/>
      </c>
      <c r="O1739" s="9" t="n">
        <f aca="false">IF(N1739=1,Assumptions!$B$8,IF(N1739=2,Assumptions!$B$9,IF(N1739=3,Assumptions!$B$10,0)))</f>
        <v>0</v>
      </c>
      <c r="P1739" s="6" t="s">
        <v>30</v>
      </c>
      <c r="Q1739" s="6" t="s">
        <v>30</v>
      </c>
      <c r="R1739" s="11" t="s">
        <v>30</v>
      </c>
      <c r="S1739" s="6" t="s">
        <v>30</v>
      </c>
      <c r="T1739" s="11" t="s">
        <v>30</v>
      </c>
      <c r="U1739" s="6" t="s">
        <v>30</v>
      </c>
      <c r="V1739" s="6" t="s">
        <v>30</v>
      </c>
      <c r="W1739" s="6" t="s">
        <v>30</v>
      </c>
      <c r="X1739" s="2" t="s">
        <v>30</v>
      </c>
      <c r="Y1739" s="6" t="str">
        <f aca="false">IF(AND(X1739="processed",ISNUMBER(S1739)),S1739*O1739,"")</f>
        <v/>
      </c>
      <c r="Z1739" s="6" t="n">
        <f aca="false">IF(ISNUMBER(K1739),K1739*O1739,0)</f>
        <v>0</v>
      </c>
      <c r="AA1739" s="2" t="s">
        <v>31</v>
      </c>
      <c r="AB1739" s="6" t="n">
        <v>1316</v>
      </c>
      <c r="AC1739" s="6" t="n">
        <v>1082</v>
      </c>
      <c r="AD1739" s="6" t="n">
        <v>1184</v>
      </c>
      <c r="AE1739" s="6" t="n">
        <v>1818.15551757813</v>
      </c>
      <c r="AF1739" s="8"/>
      <c r="AG1739" s="11"/>
      <c r="AH1739" s="12" t="n">
        <v>0.999842564909404</v>
      </c>
      <c r="AI1739" s="2" t="s">
        <v>347</v>
      </c>
      <c r="AJ1739" s="2" t="s">
        <v>3850</v>
      </c>
      <c r="AK1739" s="2" t="s">
        <v>3850</v>
      </c>
    </row>
    <row r="1740" customFormat="false" ht="15" hidden="false" customHeight="false" outlineLevel="0" collapsed="false">
      <c r="A1740" s="9"/>
      <c r="B1740" s="2" t="s">
        <v>3851</v>
      </c>
      <c r="C1740" s="2" t="s">
        <v>3852</v>
      </c>
      <c r="D1740" s="2" t="s">
        <v>3769</v>
      </c>
      <c r="E1740" s="2" t="s">
        <v>51</v>
      </c>
      <c r="F1740" s="2"/>
      <c r="G1740" s="2"/>
      <c r="H1740" s="8"/>
      <c r="I1740" s="2"/>
      <c r="J1740" s="8"/>
      <c r="K1740" s="6"/>
      <c r="L1740" s="2"/>
      <c r="M1740" s="10" t="b">
        <f aca="false">TRUE()</f>
        <v>1</v>
      </c>
      <c r="N1740" s="9" t="str">
        <f aca="false">IF(H1740="","",IF(H1740&gt;=Assumptions!$B$5,1,IF(H1740&gt;=Assumptions!$B$6,2,IF(H1740&gt;=Assumptions!$B$7,3,""))))</f>
        <v/>
      </c>
      <c r="O1740" s="9" t="n">
        <f aca="false">IF(N1740=1,Assumptions!$B$8,IF(N1740=2,Assumptions!$B$9,IF(N1740=3,Assumptions!$B$10,0)))</f>
        <v>0</v>
      </c>
      <c r="P1740" s="6" t="s">
        <v>30</v>
      </c>
      <c r="Q1740" s="6" t="s">
        <v>30</v>
      </c>
      <c r="R1740" s="11" t="s">
        <v>30</v>
      </c>
      <c r="S1740" s="6" t="s">
        <v>30</v>
      </c>
      <c r="T1740" s="11" t="s">
        <v>30</v>
      </c>
      <c r="U1740" s="6" t="s">
        <v>30</v>
      </c>
      <c r="V1740" s="6" t="s">
        <v>30</v>
      </c>
      <c r="W1740" s="6" t="s">
        <v>30</v>
      </c>
      <c r="X1740" s="2" t="s">
        <v>30</v>
      </c>
      <c r="Y1740" s="6" t="str">
        <f aca="false">IF(AND(X1740="processed",ISNUMBER(S1740)),S1740*O1740,"")</f>
        <v/>
      </c>
      <c r="Z1740" s="6" t="n">
        <f aca="false">IF(ISNUMBER(K1740),K1740*O1740,0)</f>
        <v>0</v>
      </c>
      <c r="AA1740" s="2" t="s">
        <v>31</v>
      </c>
      <c r="AB1740" s="6" t="n">
        <v>561</v>
      </c>
      <c r="AC1740" s="6" t="n">
        <v>443</v>
      </c>
      <c r="AD1740" s="6" t="n">
        <v>508</v>
      </c>
      <c r="AE1740" s="6" t="n">
        <v>1313.30297851563</v>
      </c>
      <c r="AF1740" s="8"/>
      <c r="AG1740" s="11"/>
      <c r="AH1740" s="12" t="n">
        <v>0.999908848089861</v>
      </c>
      <c r="AI1740" s="2" t="s">
        <v>1597</v>
      </c>
      <c r="AJ1740" s="2"/>
      <c r="AK1740" s="2" t="s">
        <v>3852</v>
      </c>
    </row>
    <row r="1741" customFormat="false" ht="15" hidden="false" customHeight="false" outlineLevel="0" collapsed="false">
      <c r="A1741" s="9"/>
      <c r="B1741" s="2" t="s">
        <v>3853</v>
      </c>
      <c r="C1741" s="2" t="s">
        <v>3854</v>
      </c>
      <c r="D1741" s="2" t="s">
        <v>1758</v>
      </c>
      <c r="E1741" s="2" t="s">
        <v>51</v>
      </c>
      <c r="F1741" s="2"/>
      <c r="G1741" s="2" t="s">
        <v>1759</v>
      </c>
      <c r="H1741" s="8" t="n">
        <v>303.85766993125</v>
      </c>
      <c r="I1741" s="2" t="s">
        <v>316</v>
      </c>
      <c r="J1741" s="8" t="n">
        <v>321250</v>
      </c>
      <c r="K1741" s="6" t="n">
        <v>4</v>
      </c>
      <c r="L1741" s="2" t="s">
        <v>1664</v>
      </c>
      <c r="M1741" s="10" t="b">
        <f aca="false">TRUE()</f>
        <v>1</v>
      </c>
      <c r="N1741" s="9" t="str">
        <f aca="false">IF(H1741="","",IF(H1741&gt;=Assumptions!$B$5,1,IF(H1741&gt;=Assumptions!$B$6,2,IF(H1741&gt;=Assumptions!$B$7,3,""))))</f>
        <v/>
      </c>
      <c r="O1741" s="9" t="n">
        <f aca="false">IF(N1741=1,Assumptions!$B$8,IF(N1741=2,Assumptions!$B$9,IF(N1741=3,Assumptions!$B$10,0)))</f>
        <v>0</v>
      </c>
      <c r="P1741" s="6" t="s">
        <v>30</v>
      </c>
      <c r="Q1741" s="6" t="s">
        <v>30</v>
      </c>
      <c r="R1741" s="11" t="s">
        <v>30</v>
      </c>
      <c r="S1741" s="6" t="s">
        <v>30</v>
      </c>
      <c r="T1741" s="11" t="s">
        <v>30</v>
      </c>
      <c r="U1741" s="6" t="s">
        <v>30</v>
      </c>
      <c r="V1741" s="6" t="s">
        <v>30</v>
      </c>
      <c r="W1741" s="6" t="s">
        <v>30</v>
      </c>
      <c r="X1741" s="2" t="s">
        <v>30</v>
      </c>
      <c r="Y1741" s="6" t="str">
        <f aca="false">IF(AND(X1741="processed",ISNUMBER(S1741)),S1741*O1741,"")</f>
        <v/>
      </c>
      <c r="Z1741" s="6" t="n">
        <f aca="false">IF(ISNUMBER(K1741),K1741*O1741,0)</f>
        <v>0</v>
      </c>
      <c r="AA1741" s="2" t="s">
        <v>31</v>
      </c>
      <c r="AB1741" s="6" t="n">
        <v>709</v>
      </c>
      <c r="AC1741" s="6" t="n">
        <v>578</v>
      </c>
      <c r="AD1741" s="6" t="n">
        <v>701</v>
      </c>
      <c r="AE1741" s="6" t="n">
        <v>1758.76879882813</v>
      </c>
      <c r="AF1741" s="8" t="n">
        <v>249.687890137</v>
      </c>
      <c r="AG1741" s="11" t="n">
        <v>-0.223018471</v>
      </c>
      <c r="AH1741" s="12" t="n">
        <v>0.998365855671553</v>
      </c>
      <c r="AI1741" s="2" t="s">
        <v>321</v>
      </c>
      <c r="AJ1741" s="2" t="s">
        <v>3854</v>
      </c>
      <c r="AK1741" s="2" t="s">
        <v>3855</v>
      </c>
    </row>
    <row r="1742" customFormat="false" ht="15" hidden="false" customHeight="false" outlineLevel="0" collapsed="false">
      <c r="A1742" s="9"/>
      <c r="B1742" s="2" t="s">
        <v>3856</v>
      </c>
      <c r="C1742" s="2" t="s">
        <v>3857</v>
      </c>
      <c r="D1742" s="2" t="s">
        <v>3829</v>
      </c>
      <c r="E1742" s="2" t="s">
        <v>51</v>
      </c>
      <c r="F1742" s="2" t="s">
        <v>3858</v>
      </c>
      <c r="G1742" s="2" t="s">
        <v>1492</v>
      </c>
      <c r="H1742" s="8" t="n">
        <v>321.254668599576</v>
      </c>
      <c r="I1742" s="2" t="s">
        <v>316</v>
      </c>
      <c r="J1742" s="8" t="n">
        <v>609718.614718615</v>
      </c>
      <c r="K1742" s="6" t="n">
        <v>231</v>
      </c>
      <c r="L1742" s="2"/>
      <c r="M1742" s="10" t="b">
        <f aca="false">TRUE()</f>
        <v>1</v>
      </c>
      <c r="N1742" s="9" t="str">
        <f aca="false">IF(H1742="","",IF(H1742&gt;=Assumptions!$B$5,1,IF(H1742&gt;=Assumptions!$B$6,2,IF(H1742&gt;=Assumptions!$B$7,3,""))))</f>
        <v/>
      </c>
      <c r="O1742" s="9" t="n">
        <f aca="false">IF(N1742=1,Assumptions!$B$8,IF(N1742=2,Assumptions!$B$9,IF(N1742=3,Assumptions!$B$10,0)))</f>
        <v>0</v>
      </c>
      <c r="P1742" s="6" t="s">
        <v>30</v>
      </c>
      <c r="Q1742" s="6" t="s">
        <v>30</v>
      </c>
      <c r="R1742" s="11" t="s">
        <v>30</v>
      </c>
      <c r="S1742" s="6" t="s">
        <v>30</v>
      </c>
      <c r="T1742" s="11" t="s">
        <v>30</v>
      </c>
      <c r="U1742" s="6" t="s">
        <v>30</v>
      </c>
      <c r="V1742" s="6" t="s">
        <v>30</v>
      </c>
      <c r="W1742" s="6" t="s">
        <v>30</v>
      </c>
      <c r="X1742" s="2" t="s">
        <v>30</v>
      </c>
      <c r="Y1742" s="6" t="str">
        <f aca="false">IF(AND(X1742="processed",ISNUMBER(S1742)),S1742*O1742,"")</f>
        <v/>
      </c>
      <c r="Z1742" s="6" t="n">
        <f aca="false">IF(ISNUMBER(K1742),K1742*O1742,0)</f>
        <v>0</v>
      </c>
      <c r="AA1742" s="2" t="s">
        <v>31</v>
      </c>
      <c r="AB1742" s="6" t="n">
        <v>11917</v>
      </c>
      <c r="AC1742" s="6" t="n">
        <v>10232</v>
      </c>
      <c r="AD1742" s="6" t="n">
        <v>9055</v>
      </c>
      <c r="AE1742" s="6" t="n">
        <v>1793.12939453125</v>
      </c>
      <c r="AF1742" s="8" t="n">
        <v>362.897573428</v>
      </c>
      <c r="AG1742" s="11" t="n">
        <v>0.08146711923</v>
      </c>
      <c r="AH1742" s="12" t="n">
        <v>0.999524936852299</v>
      </c>
      <c r="AI1742" s="2" t="s">
        <v>317</v>
      </c>
      <c r="AJ1742" s="2" t="s">
        <v>3857</v>
      </c>
      <c r="AK1742" s="2" t="s">
        <v>3857</v>
      </c>
    </row>
    <row r="1743" customFormat="false" ht="15" hidden="false" customHeight="false" outlineLevel="0" collapsed="false">
      <c r="A1743" s="9"/>
      <c r="B1743" s="2" t="s">
        <v>3859</v>
      </c>
      <c r="C1743" s="2" t="s">
        <v>3860</v>
      </c>
      <c r="D1743" s="2" t="s">
        <v>3756</v>
      </c>
      <c r="E1743" s="2" t="s">
        <v>51</v>
      </c>
      <c r="F1743" s="2"/>
      <c r="G1743" s="2"/>
      <c r="H1743" s="8"/>
      <c r="I1743" s="2"/>
      <c r="J1743" s="8"/>
      <c r="K1743" s="6"/>
      <c r="L1743" s="2"/>
      <c r="M1743" s="10" t="b">
        <f aca="false">TRUE()</f>
        <v>1</v>
      </c>
      <c r="N1743" s="9" t="str">
        <f aca="false">IF(H1743="","",IF(H1743&gt;=Assumptions!$B$5,1,IF(H1743&gt;=Assumptions!$B$6,2,IF(H1743&gt;=Assumptions!$B$7,3,""))))</f>
        <v/>
      </c>
      <c r="O1743" s="9" t="n">
        <f aca="false">IF(N1743=1,Assumptions!$B$8,IF(N1743=2,Assumptions!$B$9,IF(N1743=3,Assumptions!$B$10,0)))</f>
        <v>0</v>
      </c>
      <c r="P1743" s="6" t="s">
        <v>30</v>
      </c>
      <c r="Q1743" s="6" t="s">
        <v>30</v>
      </c>
      <c r="R1743" s="11" t="s">
        <v>30</v>
      </c>
      <c r="S1743" s="6" t="s">
        <v>30</v>
      </c>
      <c r="T1743" s="11" t="s">
        <v>30</v>
      </c>
      <c r="U1743" s="6" t="s">
        <v>30</v>
      </c>
      <c r="V1743" s="6" t="s">
        <v>30</v>
      </c>
      <c r="W1743" s="6" t="s">
        <v>30</v>
      </c>
      <c r="X1743" s="2" t="s">
        <v>30</v>
      </c>
      <c r="Y1743" s="6" t="str">
        <f aca="false">IF(AND(X1743="processed",ISNUMBER(S1743)),S1743*O1743,"")</f>
        <v/>
      </c>
      <c r="Z1743" s="6" t="n">
        <f aca="false">IF(ISNUMBER(K1743),K1743*O1743,0)</f>
        <v>0</v>
      </c>
      <c r="AA1743" s="2" t="s">
        <v>31</v>
      </c>
      <c r="AB1743" s="6" t="n">
        <v>819</v>
      </c>
      <c r="AC1743" s="6" t="n">
        <v>661</v>
      </c>
      <c r="AD1743" s="6" t="n">
        <v>805</v>
      </c>
      <c r="AE1743" s="6" t="n">
        <v>1406.38061523438</v>
      </c>
      <c r="AF1743" s="8"/>
      <c r="AG1743" s="11"/>
      <c r="AH1743" s="12" t="n">
        <v>0.407058047099768</v>
      </c>
      <c r="AI1743" s="2" t="s">
        <v>823</v>
      </c>
      <c r="AJ1743" s="2" t="s">
        <v>3861</v>
      </c>
      <c r="AK1743" s="2" t="s">
        <v>3862</v>
      </c>
    </row>
    <row r="1744" customFormat="false" ht="15" hidden="false" customHeight="false" outlineLevel="0" collapsed="false">
      <c r="A1744" s="9"/>
      <c r="B1744" s="2" t="s">
        <v>3863</v>
      </c>
      <c r="C1744" s="2" t="s">
        <v>3750</v>
      </c>
      <c r="D1744" s="2" t="s">
        <v>3638</v>
      </c>
      <c r="E1744" s="2" t="s">
        <v>51</v>
      </c>
      <c r="F1744" s="2"/>
      <c r="G1744" s="2" t="s">
        <v>1759</v>
      </c>
      <c r="H1744" s="8" t="n">
        <v>260.732198023673</v>
      </c>
      <c r="I1744" s="2" t="s">
        <v>316</v>
      </c>
      <c r="J1744" s="8" t="n">
        <v>475391.891891892</v>
      </c>
      <c r="K1744" s="6" t="n">
        <v>370</v>
      </c>
      <c r="L1744" s="2"/>
      <c r="M1744" s="10" t="b">
        <f aca="false">TRUE()</f>
        <v>1</v>
      </c>
      <c r="N1744" s="9" t="str">
        <f aca="false">IF(H1744="","",IF(H1744&gt;=Assumptions!$B$5,1,IF(H1744&gt;=Assumptions!$B$6,2,IF(H1744&gt;=Assumptions!$B$7,3,""))))</f>
        <v/>
      </c>
      <c r="O1744" s="9" t="n">
        <f aca="false">IF(N1744=1,Assumptions!$B$8,IF(N1744=2,Assumptions!$B$9,IF(N1744=3,Assumptions!$B$10,0)))</f>
        <v>0</v>
      </c>
      <c r="P1744" s="6" t="s">
        <v>30</v>
      </c>
      <c r="Q1744" s="6" t="s">
        <v>30</v>
      </c>
      <c r="R1744" s="11" t="s">
        <v>30</v>
      </c>
      <c r="S1744" s="6" t="s">
        <v>30</v>
      </c>
      <c r="T1744" s="11" t="s">
        <v>30</v>
      </c>
      <c r="U1744" s="6" t="s">
        <v>30</v>
      </c>
      <c r="V1744" s="6" t="s">
        <v>30</v>
      </c>
      <c r="W1744" s="6" t="s">
        <v>30</v>
      </c>
      <c r="X1744" s="2" t="s">
        <v>30</v>
      </c>
      <c r="Y1744" s="6" t="str">
        <f aca="false">IF(AND(X1744="processed",ISNUMBER(S1744)),S1744*O1744,"")</f>
        <v/>
      </c>
      <c r="Z1744" s="6" t="n">
        <f aca="false">IF(ISNUMBER(K1744),K1744*O1744,0)</f>
        <v>0</v>
      </c>
      <c r="AA1744" s="2" t="s">
        <v>31</v>
      </c>
      <c r="AB1744" s="6" t="n">
        <v>12296</v>
      </c>
      <c r="AC1744" s="6" t="n">
        <v>11041</v>
      </c>
      <c r="AD1744" s="6" t="n">
        <v>9946</v>
      </c>
      <c r="AE1744" s="6" t="n">
        <v>2300.50439453125</v>
      </c>
      <c r="AF1744" s="8" t="n">
        <v>267.299850836</v>
      </c>
      <c r="AG1744" s="11" t="n">
        <v>0.04781541528</v>
      </c>
      <c r="AH1744" s="12" t="n">
        <v>0.997357727170162</v>
      </c>
      <c r="AI1744" s="2" t="s">
        <v>319</v>
      </c>
      <c r="AJ1744" s="2"/>
      <c r="AK1744" s="2" t="s">
        <v>3750</v>
      </c>
    </row>
    <row r="1745" customFormat="false" ht="15" hidden="false" customHeight="false" outlineLevel="0" collapsed="false">
      <c r="A1745" s="9"/>
      <c r="B1745" s="2" t="s">
        <v>3864</v>
      </c>
      <c r="C1745" s="2" t="s">
        <v>3865</v>
      </c>
      <c r="D1745" s="2" t="s">
        <v>3638</v>
      </c>
      <c r="E1745" s="2" t="s">
        <v>51</v>
      </c>
      <c r="F1745" s="2"/>
      <c r="G1745" s="2" t="s">
        <v>1759</v>
      </c>
      <c r="H1745" s="8" t="n">
        <v>218.381368441714</v>
      </c>
      <c r="I1745" s="2" t="s">
        <v>316</v>
      </c>
      <c r="J1745" s="8" t="n">
        <v>405928.571428571</v>
      </c>
      <c r="K1745" s="6" t="n">
        <v>14</v>
      </c>
      <c r="L1745" s="2"/>
      <c r="M1745" s="10" t="b">
        <f aca="false">TRUE()</f>
        <v>1</v>
      </c>
      <c r="N1745" s="9" t="str">
        <f aca="false">IF(H1745="","",IF(H1745&gt;=Assumptions!$B$5,1,IF(H1745&gt;=Assumptions!$B$6,2,IF(H1745&gt;=Assumptions!$B$7,3,""))))</f>
        <v/>
      </c>
      <c r="O1745" s="9" t="n">
        <f aca="false">IF(N1745=1,Assumptions!$B$8,IF(N1745=2,Assumptions!$B$9,IF(N1745=3,Assumptions!$B$10,0)))</f>
        <v>0</v>
      </c>
      <c r="P1745" s="6" t="s">
        <v>30</v>
      </c>
      <c r="Q1745" s="6" t="s">
        <v>30</v>
      </c>
      <c r="R1745" s="11" t="s">
        <v>30</v>
      </c>
      <c r="S1745" s="6" t="s">
        <v>30</v>
      </c>
      <c r="T1745" s="11" t="s">
        <v>30</v>
      </c>
      <c r="U1745" s="6" t="s">
        <v>30</v>
      </c>
      <c r="V1745" s="6" t="s">
        <v>30</v>
      </c>
      <c r="W1745" s="6" t="s">
        <v>30</v>
      </c>
      <c r="X1745" s="2" t="s">
        <v>30</v>
      </c>
      <c r="Y1745" s="6" t="str">
        <f aca="false">IF(AND(X1745="processed",ISNUMBER(S1745)),S1745*O1745,"")</f>
        <v/>
      </c>
      <c r="Z1745" s="6" t="n">
        <f aca="false">IF(ISNUMBER(K1745),K1745*O1745,0)</f>
        <v>0</v>
      </c>
      <c r="AA1745" s="2" t="s">
        <v>31</v>
      </c>
      <c r="AB1745" s="6" t="n">
        <v>1356</v>
      </c>
      <c r="AC1745" s="6" t="n">
        <v>1070</v>
      </c>
      <c r="AD1745" s="6" t="n">
        <v>1334</v>
      </c>
      <c r="AE1745" s="6" t="n">
        <v>1528.31579589844</v>
      </c>
      <c r="AF1745" s="8" t="n">
        <v>246.794871795</v>
      </c>
      <c r="AG1745" s="11" t="n">
        <v>-0.2176137742</v>
      </c>
      <c r="AH1745" s="12" t="n">
        <v>0.999929442140728</v>
      </c>
      <c r="AI1745" s="2" t="s">
        <v>3385</v>
      </c>
      <c r="AJ1745" s="2" t="s">
        <v>3866</v>
      </c>
      <c r="AK1745" s="2" t="s">
        <v>3865</v>
      </c>
    </row>
    <row r="1746" customFormat="false" ht="15" hidden="false" customHeight="false" outlineLevel="0" collapsed="false">
      <c r="A1746" s="9"/>
      <c r="B1746" s="2" t="s">
        <v>3867</v>
      </c>
      <c r="C1746" s="2" t="s">
        <v>3868</v>
      </c>
      <c r="D1746" s="2" t="s">
        <v>3784</v>
      </c>
      <c r="E1746" s="2" t="s">
        <v>51</v>
      </c>
      <c r="F1746" s="2"/>
      <c r="G1746" s="2"/>
      <c r="H1746" s="8"/>
      <c r="I1746" s="2"/>
      <c r="J1746" s="8"/>
      <c r="K1746" s="6"/>
      <c r="L1746" s="2"/>
      <c r="M1746" s="10" t="b">
        <f aca="false">TRUE()</f>
        <v>1</v>
      </c>
      <c r="N1746" s="9" t="str">
        <f aca="false">IF(H1746="","",IF(H1746&gt;=Assumptions!$B$5,1,IF(H1746&gt;=Assumptions!$B$6,2,IF(H1746&gt;=Assumptions!$B$7,3,""))))</f>
        <v/>
      </c>
      <c r="O1746" s="9" t="n">
        <f aca="false">IF(N1746=1,Assumptions!$B$8,IF(N1746=2,Assumptions!$B$9,IF(N1746=3,Assumptions!$B$10,0)))</f>
        <v>0</v>
      </c>
      <c r="P1746" s="6" t="s">
        <v>30</v>
      </c>
      <c r="Q1746" s="6" t="s">
        <v>30</v>
      </c>
      <c r="R1746" s="11" t="s">
        <v>30</v>
      </c>
      <c r="S1746" s="6" t="s">
        <v>30</v>
      </c>
      <c r="T1746" s="11" t="s">
        <v>30</v>
      </c>
      <c r="U1746" s="6" t="s">
        <v>30</v>
      </c>
      <c r="V1746" s="6" t="s">
        <v>30</v>
      </c>
      <c r="W1746" s="6" t="s">
        <v>30</v>
      </c>
      <c r="X1746" s="2" t="s">
        <v>30</v>
      </c>
      <c r="Y1746" s="6" t="str">
        <f aca="false">IF(AND(X1746="processed",ISNUMBER(S1746)),S1746*O1746,"")</f>
        <v/>
      </c>
      <c r="Z1746" s="6" t="n">
        <f aca="false">IF(ISNUMBER(K1746),K1746*O1746,0)</f>
        <v>0</v>
      </c>
      <c r="AA1746" s="2" t="s">
        <v>31</v>
      </c>
      <c r="AB1746" s="6" t="n">
        <v>11047</v>
      </c>
      <c r="AC1746" s="6" t="n">
        <v>9260</v>
      </c>
      <c r="AD1746" s="6" t="n">
        <v>10602</v>
      </c>
      <c r="AE1746" s="6" t="n">
        <v>2001.35961914063</v>
      </c>
      <c r="AF1746" s="8"/>
      <c r="AG1746" s="11"/>
      <c r="AH1746" s="12" t="n">
        <v>0.843356165933654</v>
      </c>
      <c r="AI1746" s="2" t="s">
        <v>319</v>
      </c>
      <c r="AJ1746" s="2"/>
      <c r="AK1746" s="2" t="s">
        <v>3868</v>
      </c>
    </row>
    <row r="1747" customFormat="false" ht="15" hidden="false" customHeight="false" outlineLevel="0" collapsed="false">
      <c r="A1747" s="9"/>
      <c r="B1747" s="2" t="s">
        <v>3869</v>
      </c>
      <c r="C1747" s="2" t="s">
        <v>3870</v>
      </c>
      <c r="D1747" s="2" t="s">
        <v>3763</v>
      </c>
      <c r="E1747" s="2" t="s">
        <v>51</v>
      </c>
      <c r="F1747" s="2"/>
      <c r="G1747" s="2" t="s">
        <v>3764</v>
      </c>
      <c r="H1747" s="8" t="n">
        <v>227.201000764664</v>
      </c>
      <c r="I1747" s="2" t="s">
        <v>316</v>
      </c>
      <c r="J1747" s="8" t="n">
        <v>302957.03125</v>
      </c>
      <c r="K1747" s="6" t="n">
        <v>128</v>
      </c>
      <c r="L1747" s="2"/>
      <c r="M1747" s="10" t="b">
        <f aca="false">TRUE()</f>
        <v>1</v>
      </c>
      <c r="N1747" s="9" t="str">
        <f aca="false">IF(H1747="","",IF(H1747&gt;=Assumptions!$B$5,1,IF(H1747&gt;=Assumptions!$B$6,2,IF(H1747&gt;=Assumptions!$B$7,3,""))))</f>
        <v/>
      </c>
      <c r="O1747" s="9" t="n">
        <f aca="false">IF(N1747=1,Assumptions!$B$8,IF(N1747=2,Assumptions!$B$9,IF(N1747=3,Assumptions!$B$10,0)))</f>
        <v>0</v>
      </c>
      <c r="P1747" s="6" t="s">
        <v>30</v>
      </c>
      <c r="Q1747" s="6" t="s">
        <v>30</v>
      </c>
      <c r="R1747" s="11" t="s">
        <v>30</v>
      </c>
      <c r="S1747" s="6" t="s">
        <v>30</v>
      </c>
      <c r="T1747" s="11" t="s">
        <v>30</v>
      </c>
      <c r="U1747" s="6" t="s">
        <v>30</v>
      </c>
      <c r="V1747" s="6" t="s">
        <v>30</v>
      </c>
      <c r="W1747" s="6" t="s">
        <v>30</v>
      </c>
      <c r="X1747" s="2" t="s">
        <v>30</v>
      </c>
      <c r="Y1747" s="6" t="str">
        <f aca="false">IF(AND(X1747="processed",ISNUMBER(S1747)),S1747*O1747,"")</f>
        <v/>
      </c>
      <c r="Z1747" s="6" t="n">
        <f aca="false">IF(ISNUMBER(K1747),K1747*O1747,0)</f>
        <v>0</v>
      </c>
      <c r="AA1747" s="2" t="s">
        <v>31</v>
      </c>
      <c r="AB1747" s="6" t="n">
        <v>12216</v>
      </c>
      <c r="AC1747" s="6" t="n">
        <v>9945</v>
      </c>
      <c r="AD1747" s="6" t="n">
        <v>9139</v>
      </c>
      <c r="AE1747" s="6" t="n">
        <v>1854.11340332031</v>
      </c>
      <c r="AF1747" s="8" t="n">
        <v>226.405370716</v>
      </c>
      <c r="AG1747" s="11" t="n">
        <v>-0.1174027921</v>
      </c>
      <c r="AH1747" s="12" t="n">
        <v>0.999876266803368</v>
      </c>
      <c r="AI1747" s="2" t="s">
        <v>3385</v>
      </c>
      <c r="AJ1747" s="2" t="s">
        <v>3870</v>
      </c>
      <c r="AK1747" s="2" t="s">
        <v>3870</v>
      </c>
    </row>
    <row r="1748" customFormat="false" ht="15" hidden="false" customHeight="false" outlineLevel="0" collapsed="false">
      <c r="A1748" s="9"/>
      <c r="B1748" s="2" t="s">
        <v>3871</v>
      </c>
      <c r="C1748" s="2" t="s">
        <v>3870</v>
      </c>
      <c r="D1748" s="2" t="s">
        <v>3763</v>
      </c>
      <c r="E1748" s="2" t="s">
        <v>51</v>
      </c>
      <c r="F1748" s="2"/>
      <c r="G1748" s="2" t="s">
        <v>3764</v>
      </c>
      <c r="H1748" s="8" t="n">
        <v>214.437894759219</v>
      </c>
      <c r="I1748" s="2" t="s">
        <v>316</v>
      </c>
      <c r="J1748" s="8" t="n">
        <v>340532.075471698</v>
      </c>
      <c r="K1748" s="6" t="n">
        <v>265</v>
      </c>
      <c r="L1748" s="2"/>
      <c r="M1748" s="10" t="b">
        <f aca="false">TRUE()</f>
        <v>1</v>
      </c>
      <c r="N1748" s="9" t="str">
        <f aca="false">IF(H1748="","",IF(H1748&gt;=Assumptions!$B$5,1,IF(H1748&gt;=Assumptions!$B$6,2,IF(H1748&gt;=Assumptions!$B$7,3,""))))</f>
        <v/>
      </c>
      <c r="O1748" s="9" t="n">
        <f aca="false">IF(N1748=1,Assumptions!$B$8,IF(N1748=2,Assumptions!$B$9,IF(N1748=3,Assumptions!$B$10,0)))</f>
        <v>0</v>
      </c>
      <c r="P1748" s="6" t="s">
        <v>30</v>
      </c>
      <c r="Q1748" s="6" t="s">
        <v>30</v>
      </c>
      <c r="R1748" s="11" t="s">
        <v>30</v>
      </c>
      <c r="S1748" s="6" t="s">
        <v>30</v>
      </c>
      <c r="T1748" s="11" t="s">
        <v>30</v>
      </c>
      <c r="U1748" s="6" t="s">
        <v>30</v>
      </c>
      <c r="V1748" s="6" t="s">
        <v>30</v>
      </c>
      <c r="W1748" s="6" t="s">
        <v>30</v>
      </c>
      <c r="X1748" s="2" t="s">
        <v>30</v>
      </c>
      <c r="Y1748" s="6" t="str">
        <f aca="false">IF(AND(X1748="processed",ISNUMBER(S1748)),S1748*O1748,"")</f>
        <v/>
      </c>
      <c r="Z1748" s="6" t="n">
        <f aca="false">IF(ISNUMBER(K1748),K1748*O1748,0)</f>
        <v>0</v>
      </c>
      <c r="AA1748" s="2" t="s">
        <v>31</v>
      </c>
      <c r="AB1748" s="6" t="n">
        <v>19931</v>
      </c>
      <c r="AC1748" s="6" t="n">
        <v>16736</v>
      </c>
      <c r="AD1748" s="6" t="n">
        <v>19362</v>
      </c>
      <c r="AE1748" s="6" t="n">
        <v>1894.44165039063</v>
      </c>
      <c r="AF1748" s="8" t="n">
        <v>205.722911761</v>
      </c>
      <c r="AG1748" s="11" t="n">
        <v>-0.1074797961</v>
      </c>
      <c r="AH1748" s="12" t="n">
        <v>0.971207665628425</v>
      </c>
      <c r="AI1748" s="2" t="s">
        <v>819</v>
      </c>
      <c r="AJ1748" s="2" t="s">
        <v>3870</v>
      </c>
      <c r="AK1748" s="2" t="s">
        <v>3870</v>
      </c>
    </row>
    <row r="1749" customFormat="false" ht="15" hidden="false" customHeight="false" outlineLevel="0" collapsed="false">
      <c r="A1749" s="9"/>
      <c r="B1749" s="2" t="s">
        <v>3872</v>
      </c>
      <c r="C1749" s="2" t="s">
        <v>3873</v>
      </c>
      <c r="D1749" s="2" t="s">
        <v>3763</v>
      </c>
      <c r="E1749" s="2" t="s">
        <v>51</v>
      </c>
      <c r="F1749" s="2"/>
      <c r="G1749" s="2" t="s">
        <v>3764</v>
      </c>
      <c r="H1749" s="8" t="n">
        <v>214.5560295752</v>
      </c>
      <c r="I1749" s="2" t="s">
        <v>316</v>
      </c>
      <c r="J1749" s="8" t="n">
        <v>366200</v>
      </c>
      <c r="K1749" s="6" t="n">
        <v>5</v>
      </c>
      <c r="L1749" s="2"/>
      <c r="M1749" s="10" t="b">
        <f aca="false">TRUE()</f>
        <v>1</v>
      </c>
      <c r="N1749" s="9" t="str">
        <f aca="false">IF(H1749="","",IF(H1749&gt;=Assumptions!$B$5,1,IF(H1749&gt;=Assumptions!$B$6,2,IF(H1749&gt;=Assumptions!$B$7,3,""))))</f>
        <v/>
      </c>
      <c r="O1749" s="9" t="n">
        <f aca="false">IF(N1749=1,Assumptions!$B$8,IF(N1749=2,Assumptions!$B$9,IF(N1749=3,Assumptions!$B$10,0)))</f>
        <v>0</v>
      </c>
      <c r="P1749" s="6" t="s">
        <v>30</v>
      </c>
      <c r="Q1749" s="6" t="s">
        <v>30</v>
      </c>
      <c r="R1749" s="11" t="s">
        <v>30</v>
      </c>
      <c r="S1749" s="6" t="s">
        <v>30</v>
      </c>
      <c r="T1749" s="11" t="s">
        <v>30</v>
      </c>
      <c r="U1749" s="6" t="s">
        <v>30</v>
      </c>
      <c r="V1749" s="6" t="s">
        <v>30</v>
      </c>
      <c r="W1749" s="6" t="s">
        <v>30</v>
      </c>
      <c r="X1749" s="2" t="s">
        <v>30</v>
      </c>
      <c r="Y1749" s="6" t="str">
        <f aca="false">IF(AND(X1749="processed",ISNUMBER(S1749)),S1749*O1749,"")</f>
        <v/>
      </c>
      <c r="Z1749" s="6" t="n">
        <f aca="false">IF(ISNUMBER(K1749),K1749*O1749,0)</f>
        <v>0</v>
      </c>
      <c r="AA1749" s="2" t="s">
        <v>31</v>
      </c>
      <c r="AB1749" s="6" t="n">
        <v>879</v>
      </c>
      <c r="AC1749" s="6" t="n">
        <v>686</v>
      </c>
      <c r="AD1749" s="6" t="n">
        <v>877</v>
      </c>
      <c r="AE1749" s="6" t="n">
        <v>1536.03002929688</v>
      </c>
      <c r="AF1749" s="8" t="n">
        <v>241.361788618</v>
      </c>
      <c r="AG1749" s="11" t="n">
        <v>-0.2031725838</v>
      </c>
      <c r="AH1749" s="12" t="n">
        <v>1</v>
      </c>
      <c r="AI1749" s="2" t="s">
        <v>321</v>
      </c>
      <c r="AJ1749" s="2" t="s">
        <v>3873</v>
      </c>
      <c r="AK1749" s="2" t="s">
        <v>3870</v>
      </c>
    </row>
    <row r="1750" customFormat="false" ht="15" hidden="false" customHeight="false" outlineLevel="0" collapsed="false">
      <c r="A1750" s="9"/>
      <c r="B1750" s="2" t="s">
        <v>3874</v>
      </c>
      <c r="C1750" s="2" t="s">
        <v>3848</v>
      </c>
      <c r="D1750" s="2" t="s">
        <v>3763</v>
      </c>
      <c r="E1750" s="2" t="s">
        <v>51</v>
      </c>
      <c r="F1750" s="2"/>
      <c r="G1750" s="2" t="s">
        <v>3764</v>
      </c>
      <c r="H1750" s="8" t="n">
        <v>276.726490384766</v>
      </c>
      <c r="I1750" s="2" t="s">
        <v>316</v>
      </c>
      <c r="J1750" s="8" t="n">
        <v>403917.721518987</v>
      </c>
      <c r="K1750" s="6" t="n">
        <v>316</v>
      </c>
      <c r="L1750" s="2"/>
      <c r="M1750" s="10" t="b">
        <f aca="false">TRUE()</f>
        <v>1</v>
      </c>
      <c r="N1750" s="9" t="str">
        <f aca="false">IF(H1750="","",IF(H1750&gt;=Assumptions!$B$5,1,IF(H1750&gt;=Assumptions!$B$6,2,IF(H1750&gt;=Assumptions!$B$7,3,""))))</f>
        <v/>
      </c>
      <c r="O1750" s="9" t="n">
        <f aca="false">IF(N1750=1,Assumptions!$B$8,IF(N1750=2,Assumptions!$B$9,IF(N1750=3,Assumptions!$B$10,0)))</f>
        <v>0</v>
      </c>
      <c r="P1750" s="6" t="s">
        <v>30</v>
      </c>
      <c r="Q1750" s="6" t="s">
        <v>30</v>
      </c>
      <c r="R1750" s="11" t="s">
        <v>30</v>
      </c>
      <c r="S1750" s="6" t="s">
        <v>30</v>
      </c>
      <c r="T1750" s="11" t="s">
        <v>30</v>
      </c>
      <c r="U1750" s="6" t="s">
        <v>30</v>
      </c>
      <c r="V1750" s="6" t="s">
        <v>30</v>
      </c>
      <c r="W1750" s="6" t="s">
        <v>30</v>
      </c>
      <c r="X1750" s="2" t="s">
        <v>30</v>
      </c>
      <c r="Y1750" s="6" t="str">
        <f aca="false">IF(AND(X1750="processed",ISNUMBER(S1750)),S1750*O1750,"")</f>
        <v/>
      </c>
      <c r="Z1750" s="6" t="n">
        <f aca="false">IF(ISNUMBER(K1750),K1750*O1750,0)</f>
        <v>0</v>
      </c>
      <c r="AA1750" s="2" t="s">
        <v>31</v>
      </c>
      <c r="AB1750" s="6" t="n">
        <v>6724</v>
      </c>
      <c r="AC1750" s="6" t="n">
        <v>5782</v>
      </c>
      <c r="AD1750" s="6" t="n">
        <v>5369</v>
      </c>
      <c r="AE1750" s="6" t="n">
        <v>2338.78002929688</v>
      </c>
      <c r="AF1750" s="8" t="n">
        <v>284.954407295</v>
      </c>
      <c r="AG1750" s="11" t="n">
        <v>0.03416168579</v>
      </c>
      <c r="AH1750" s="12" t="n">
        <v>0.999999999999999</v>
      </c>
      <c r="AI1750" s="2" t="s">
        <v>317</v>
      </c>
      <c r="AJ1750" s="2" t="s">
        <v>3848</v>
      </c>
      <c r="AK1750" s="2" t="s">
        <v>3848</v>
      </c>
    </row>
    <row r="1751" customFormat="false" ht="15" hidden="false" customHeight="false" outlineLevel="0" collapsed="false">
      <c r="A1751" s="9"/>
      <c r="B1751" s="2" t="s">
        <v>3875</v>
      </c>
      <c r="C1751" s="2" t="s">
        <v>3876</v>
      </c>
      <c r="D1751" s="2" t="s">
        <v>3759</v>
      </c>
      <c r="E1751" s="2" t="s">
        <v>51</v>
      </c>
      <c r="F1751" s="2"/>
      <c r="G1751" s="2"/>
      <c r="H1751" s="8"/>
      <c r="I1751" s="2"/>
      <c r="J1751" s="8"/>
      <c r="K1751" s="6"/>
      <c r="L1751" s="2"/>
      <c r="M1751" s="10" t="b">
        <f aca="false">TRUE()</f>
        <v>1</v>
      </c>
      <c r="N1751" s="9" t="str">
        <f aca="false">IF(H1751="","",IF(H1751&gt;=Assumptions!$B$5,1,IF(H1751&gt;=Assumptions!$B$6,2,IF(H1751&gt;=Assumptions!$B$7,3,""))))</f>
        <v/>
      </c>
      <c r="O1751" s="9" t="n">
        <f aca="false">IF(N1751=1,Assumptions!$B$8,IF(N1751=2,Assumptions!$B$9,IF(N1751=3,Assumptions!$B$10,0)))</f>
        <v>0</v>
      </c>
      <c r="P1751" s="6" t="s">
        <v>30</v>
      </c>
      <c r="Q1751" s="6" t="s">
        <v>30</v>
      </c>
      <c r="R1751" s="11" t="s">
        <v>30</v>
      </c>
      <c r="S1751" s="6" t="s">
        <v>30</v>
      </c>
      <c r="T1751" s="11" t="s">
        <v>30</v>
      </c>
      <c r="U1751" s="6" t="s">
        <v>30</v>
      </c>
      <c r="V1751" s="6" t="s">
        <v>30</v>
      </c>
      <c r="W1751" s="6" t="s">
        <v>30</v>
      </c>
      <c r="X1751" s="2" t="s">
        <v>30</v>
      </c>
      <c r="Y1751" s="6" t="str">
        <f aca="false">IF(AND(X1751="processed",ISNUMBER(S1751)),S1751*O1751,"")</f>
        <v/>
      </c>
      <c r="Z1751" s="6" t="n">
        <f aca="false">IF(ISNUMBER(K1751),K1751*O1751,0)</f>
        <v>0</v>
      </c>
      <c r="AA1751" s="2" t="s">
        <v>31</v>
      </c>
      <c r="AB1751" s="6" t="n">
        <v>612</v>
      </c>
      <c r="AC1751" s="6" t="n">
        <v>487</v>
      </c>
      <c r="AD1751" s="6" t="n">
        <v>608</v>
      </c>
      <c r="AE1751" s="6" t="n">
        <v>1851.71008300781</v>
      </c>
      <c r="AF1751" s="8"/>
      <c r="AG1751" s="11"/>
      <c r="AH1751" s="12" t="n">
        <v>0.626364719151582</v>
      </c>
      <c r="AI1751" s="2" t="s">
        <v>350</v>
      </c>
      <c r="AJ1751" s="2" t="s">
        <v>3876</v>
      </c>
      <c r="AK1751" s="2" t="s">
        <v>3876</v>
      </c>
    </row>
    <row r="1752" customFormat="false" ht="15" hidden="false" customHeight="false" outlineLevel="0" collapsed="false">
      <c r="A1752" s="9"/>
      <c r="B1752" s="2" t="s">
        <v>3877</v>
      </c>
      <c r="C1752" s="2" t="s">
        <v>3878</v>
      </c>
      <c r="D1752" s="2" t="s">
        <v>3769</v>
      </c>
      <c r="E1752" s="2" t="s">
        <v>51</v>
      </c>
      <c r="F1752" s="2"/>
      <c r="G1752" s="2"/>
      <c r="H1752" s="8"/>
      <c r="I1752" s="2"/>
      <c r="J1752" s="8"/>
      <c r="K1752" s="6"/>
      <c r="L1752" s="2"/>
      <c r="M1752" s="10" t="b">
        <f aca="false">TRUE()</f>
        <v>1</v>
      </c>
      <c r="N1752" s="9" t="str">
        <f aca="false">IF(H1752="","",IF(H1752&gt;=Assumptions!$B$5,1,IF(H1752&gt;=Assumptions!$B$6,2,IF(H1752&gt;=Assumptions!$B$7,3,""))))</f>
        <v/>
      </c>
      <c r="O1752" s="9" t="n">
        <f aca="false">IF(N1752=1,Assumptions!$B$8,IF(N1752=2,Assumptions!$B$9,IF(N1752=3,Assumptions!$B$10,0)))</f>
        <v>0</v>
      </c>
      <c r="P1752" s="6" t="s">
        <v>30</v>
      </c>
      <c r="Q1752" s="6" t="s">
        <v>30</v>
      </c>
      <c r="R1752" s="11" t="s">
        <v>30</v>
      </c>
      <c r="S1752" s="6" t="s">
        <v>30</v>
      </c>
      <c r="T1752" s="11" t="s">
        <v>30</v>
      </c>
      <c r="U1752" s="6" t="s">
        <v>30</v>
      </c>
      <c r="V1752" s="6" t="s">
        <v>30</v>
      </c>
      <c r="W1752" s="6" t="s">
        <v>30</v>
      </c>
      <c r="X1752" s="2" t="s">
        <v>30</v>
      </c>
      <c r="Y1752" s="6" t="str">
        <f aca="false">IF(AND(X1752="processed",ISNUMBER(S1752)),S1752*O1752,"")</f>
        <v/>
      </c>
      <c r="Z1752" s="6" t="n">
        <f aca="false">IF(ISNUMBER(K1752),K1752*O1752,0)</f>
        <v>0</v>
      </c>
      <c r="AA1752" s="2" t="s">
        <v>31</v>
      </c>
      <c r="AB1752" s="6" t="n">
        <v>3610</v>
      </c>
      <c r="AC1752" s="6" t="n">
        <v>3050</v>
      </c>
      <c r="AD1752" s="6" t="n">
        <v>3187</v>
      </c>
      <c r="AE1752" s="6" t="n">
        <v>1807.78942871094</v>
      </c>
      <c r="AF1752" s="8"/>
      <c r="AG1752" s="11"/>
      <c r="AH1752" s="12" t="n">
        <v>1.00000000000001</v>
      </c>
      <c r="AI1752" s="2" t="s">
        <v>1597</v>
      </c>
      <c r="AJ1752" s="2"/>
      <c r="AK1752" s="2" t="s">
        <v>3878</v>
      </c>
    </row>
    <row r="1753" customFormat="false" ht="15" hidden="false" customHeight="false" outlineLevel="0" collapsed="false">
      <c r="A1753" s="9"/>
      <c r="B1753" s="2" t="s">
        <v>3879</v>
      </c>
      <c r="C1753" s="2"/>
      <c r="D1753" s="2" t="s">
        <v>1190</v>
      </c>
      <c r="E1753" s="2" t="s">
        <v>1191</v>
      </c>
      <c r="F1753" s="2"/>
      <c r="G1753" s="2" t="s">
        <v>1759</v>
      </c>
      <c r="H1753" s="8" t="n">
        <v>181.05857403</v>
      </c>
      <c r="I1753" s="2" t="s">
        <v>316</v>
      </c>
      <c r="J1753" s="8" t="n">
        <v>452500</v>
      </c>
      <c r="K1753" s="6" t="n">
        <v>4</v>
      </c>
      <c r="L1753" s="2" t="s">
        <v>1664</v>
      </c>
      <c r="M1753" s="10" t="b">
        <f aca="false">FALSE()</f>
        <v>0</v>
      </c>
      <c r="N1753" s="9" t="str">
        <f aca="false">IF(H1753="","",IF(H1753&gt;=Assumptions!$B$5,1,IF(H1753&gt;=Assumptions!$B$6,2,IF(H1753&gt;=Assumptions!$B$7,3,""))))</f>
        <v/>
      </c>
      <c r="O1753" s="9" t="n">
        <f aca="false">IF(N1753=1,Assumptions!$B$8,IF(N1753=2,Assumptions!$B$9,IF(N1753=3,Assumptions!$B$10,0)))</f>
        <v>0</v>
      </c>
      <c r="P1753" s="6" t="s">
        <v>30</v>
      </c>
      <c r="Q1753" s="6" t="s">
        <v>30</v>
      </c>
      <c r="R1753" s="11" t="s">
        <v>30</v>
      </c>
      <c r="S1753" s="6" t="s">
        <v>30</v>
      </c>
      <c r="T1753" s="11" t="s">
        <v>30</v>
      </c>
      <c r="U1753" s="6" t="s">
        <v>30</v>
      </c>
      <c r="V1753" s="6" t="s">
        <v>30</v>
      </c>
      <c r="W1753" s="6" t="s">
        <v>30</v>
      </c>
      <c r="X1753" s="2" t="s">
        <v>30</v>
      </c>
      <c r="Y1753" s="6" t="str">
        <f aca="false">IF(AND(X1753="processed",ISNUMBER(S1753)),S1753*O1753,"")</f>
        <v/>
      </c>
      <c r="Z1753" s="6" t="n">
        <f aca="false">IF(ISNUMBER(K1753),K1753*O1753,0)</f>
        <v>0</v>
      </c>
      <c r="AA1753" s="2" t="s">
        <v>31</v>
      </c>
      <c r="AB1753" s="6"/>
      <c r="AC1753" s="6"/>
      <c r="AD1753" s="6"/>
      <c r="AE1753" s="6"/>
      <c r="AF1753" s="8" t="n">
        <v>254.452926209</v>
      </c>
      <c r="AG1753" s="11" t="n">
        <v>0.6765379894</v>
      </c>
      <c r="AH1753" s="12"/>
      <c r="AI1753" s="2"/>
      <c r="AJ1753" s="2"/>
      <c r="AK1753" s="2"/>
    </row>
    <row r="1754" customFormat="false" ht="15" hidden="false" customHeight="false" outlineLevel="0" collapsed="false">
      <c r="A1754" s="9"/>
      <c r="B1754" s="2" t="s">
        <v>3880</v>
      </c>
      <c r="C1754" s="2" t="s">
        <v>3795</v>
      </c>
      <c r="D1754" s="2" t="s">
        <v>3763</v>
      </c>
      <c r="E1754" s="2" t="s">
        <v>51</v>
      </c>
      <c r="F1754" s="2"/>
      <c r="G1754" s="2" t="s">
        <v>1764</v>
      </c>
      <c r="H1754" s="8" t="n">
        <v>306.224825471337</v>
      </c>
      <c r="I1754" s="2" t="s">
        <v>316</v>
      </c>
      <c r="J1754" s="8" t="n">
        <v>496694.968553459</v>
      </c>
      <c r="K1754" s="6" t="n">
        <v>318</v>
      </c>
      <c r="L1754" s="2"/>
      <c r="M1754" s="10" t="b">
        <f aca="false">TRUE()</f>
        <v>1</v>
      </c>
      <c r="N1754" s="9" t="str">
        <f aca="false">IF(H1754="","",IF(H1754&gt;=Assumptions!$B$5,1,IF(H1754&gt;=Assumptions!$B$6,2,IF(H1754&gt;=Assumptions!$B$7,3,""))))</f>
        <v/>
      </c>
      <c r="O1754" s="9" t="n">
        <f aca="false">IF(N1754=1,Assumptions!$B$8,IF(N1754=2,Assumptions!$B$9,IF(N1754=3,Assumptions!$B$10,0)))</f>
        <v>0</v>
      </c>
      <c r="P1754" s="6" t="s">
        <v>30</v>
      </c>
      <c r="Q1754" s="6" t="s">
        <v>30</v>
      </c>
      <c r="R1754" s="11" t="s">
        <v>30</v>
      </c>
      <c r="S1754" s="6" t="s">
        <v>30</v>
      </c>
      <c r="T1754" s="11" t="s">
        <v>30</v>
      </c>
      <c r="U1754" s="6" t="s">
        <v>30</v>
      </c>
      <c r="V1754" s="6" t="s">
        <v>30</v>
      </c>
      <c r="W1754" s="6" t="s">
        <v>30</v>
      </c>
      <c r="X1754" s="2" t="s">
        <v>30</v>
      </c>
      <c r="Y1754" s="6" t="str">
        <f aca="false">IF(AND(X1754="processed",ISNUMBER(S1754)),S1754*O1754,"")</f>
        <v/>
      </c>
      <c r="Z1754" s="6" t="n">
        <f aca="false">IF(ISNUMBER(K1754),K1754*O1754,0)</f>
        <v>0</v>
      </c>
      <c r="AA1754" s="2" t="s">
        <v>31</v>
      </c>
      <c r="AB1754" s="6" t="n">
        <v>17557</v>
      </c>
      <c r="AC1754" s="6" t="n">
        <v>15366</v>
      </c>
      <c r="AD1754" s="6" t="n">
        <v>13176</v>
      </c>
      <c r="AE1754" s="6" t="n">
        <v>2420.7333984375</v>
      </c>
      <c r="AF1754" s="8" t="n">
        <v>300.113250283</v>
      </c>
      <c r="AG1754" s="11" t="n">
        <v>-0.05441305691</v>
      </c>
      <c r="AH1754" s="12" t="n">
        <v>0.546661915470454</v>
      </c>
      <c r="AI1754" s="2" t="s">
        <v>328</v>
      </c>
      <c r="AJ1754" s="2" t="s">
        <v>3795</v>
      </c>
      <c r="AK1754" s="2" t="s">
        <v>3795</v>
      </c>
    </row>
    <row r="1755" customFormat="false" ht="15" hidden="false" customHeight="false" outlineLevel="0" collapsed="false">
      <c r="A1755" s="9"/>
      <c r="B1755" s="2" t="s">
        <v>3881</v>
      </c>
      <c r="C1755" s="2" t="s">
        <v>3882</v>
      </c>
      <c r="D1755" s="2" t="s">
        <v>3763</v>
      </c>
      <c r="E1755" s="2" t="s">
        <v>51</v>
      </c>
      <c r="F1755" s="2"/>
      <c r="G1755" s="2" t="s">
        <v>3764</v>
      </c>
      <c r="H1755" s="8" t="n">
        <v>263.554216867</v>
      </c>
      <c r="I1755" s="2" t="s">
        <v>316</v>
      </c>
      <c r="J1755" s="8" t="n">
        <v>350000</v>
      </c>
      <c r="K1755" s="6" t="n">
        <v>1</v>
      </c>
      <c r="L1755" s="2" t="s">
        <v>1664</v>
      </c>
      <c r="M1755" s="10" t="b">
        <f aca="false">TRUE()</f>
        <v>1</v>
      </c>
      <c r="N1755" s="9" t="str">
        <f aca="false">IF(H1755="","",IF(H1755&gt;=Assumptions!$B$5,1,IF(H1755&gt;=Assumptions!$B$6,2,IF(H1755&gt;=Assumptions!$B$7,3,""))))</f>
        <v/>
      </c>
      <c r="O1755" s="9" t="n">
        <f aca="false">IF(N1755=1,Assumptions!$B$8,IF(N1755=2,Assumptions!$B$9,IF(N1755=3,Assumptions!$B$10,0)))</f>
        <v>0</v>
      </c>
      <c r="P1755" s="6" t="s">
        <v>30</v>
      </c>
      <c r="Q1755" s="6" t="s">
        <v>30</v>
      </c>
      <c r="R1755" s="11" t="s">
        <v>30</v>
      </c>
      <c r="S1755" s="6" t="s">
        <v>30</v>
      </c>
      <c r="T1755" s="11" t="s">
        <v>30</v>
      </c>
      <c r="U1755" s="6" t="s">
        <v>30</v>
      </c>
      <c r="V1755" s="6" t="s">
        <v>30</v>
      </c>
      <c r="W1755" s="6" t="s">
        <v>30</v>
      </c>
      <c r="X1755" s="2" t="s">
        <v>30</v>
      </c>
      <c r="Y1755" s="6" t="str">
        <f aca="false">IF(AND(X1755="processed",ISNUMBER(S1755)),S1755*O1755,"")</f>
        <v/>
      </c>
      <c r="Z1755" s="6" t="n">
        <f aca="false">IF(ISNUMBER(K1755),K1755*O1755,0)</f>
        <v>0</v>
      </c>
      <c r="AA1755" s="2" t="s">
        <v>31</v>
      </c>
      <c r="AB1755" s="6" t="n">
        <v>8</v>
      </c>
      <c r="AC1755" s="6" t="n">
        <v>4</v>
      </c>
      <c r="AD1755" s="6" t="n">
        <v>8</v>
      </c>
      <c r="AE1755" s="6" t="n">
        <v>1950.98486328125</v>
      </c>
      <c r="AF1755" s="8" t="n">
        <v>263.554216867</v>
      </c>
      <c r="AG1755" s="11" t="n">
        <v>0.05352693496</v>
      </c>
      <c r="AH1755" s="12" t="n">
        <v>0.99970831749581</v>
      </c>
      <c r="AI1755" s="2" t="s">
        <v>1597</v>
      </c>
      <c r="AJ1755" s="2"/>
      <c r="AK1755" s="2" t="s">
        <v>3882</v>
      </c>
    </row>
    <row r="1756" customFormat="false" ht="15" hidden="false" customHeight="false" outlineLevel="0" collapsed="false">
      <c r="A1756" s="9"/>
      <c r="B1756" s="2" t="s">
        <v>3883</v>
      </c>
      <c r="C1756" s="2" t="s">
        <v>3884</v>
      </c>
      <c r="D1756" s="2" t="s">
        <v>3829</v>
      </c>
      <c r="E1756" s="2" t="s">
        <v>51</v>
      </c>
      <c r="F1756" s="2"/>
      <c r="G1756" s="2" t="s">
        <v>1492</v>
      </c>
      <c r="H1756" s="8" t="n">
        <v>271.266702058353</v>
      </c>
      <c r="I1756" s="2" t="s">
        <v>316</v>
      </c>
      <c r="J1756" s="8" t="n">
        <v>629941.176470588</v>
      </c>
      <c r="K1756" s="6" t="n">
        <v>17</v>
      </c>
      <c r="L1756" s="2"/>
      <c r="M1756" s="10" t="b">
        <f aca="false">TRUE()</f>
        <v>1</v>
      </c>
      <c r="N1756" s="9" t="str">
        <f aca="false">IF(H1756="","",IF(H1756&gt;=Assumptions!$B$5,1,IF(H1756&gt;=Assumptions!$B$6,2,IF(H1756&gt;=Assumptions!$B$7,3,""))))</f>
        <v/>
      </c>
      <c r="O1756" s="9" t="n">
        <f aca="false">IF(N1756=1,Assumptions!$B$8,IF(N1756=2,Assumptions!$B$9,IF(N1756=3,Assumptions!$B$10,0)))</f>
        <v>0</v>
      </c>
      <c r="P1756" s="6" t="s">
        <v>30</v>
      </c>
      <c r="Q1756" s="6" t="s">
        <v>30</v>
      </c>
      <c r="R1756" s="11" t="s">
        <v>30</v>
      </c>
      <c r="S1756" s="6" t="s">
        <v>30</v>
      </c>
      <c r="T1756" s="11" t="s">
        <v>30</v>
      </c>
      <c r="U1756" s="6" t="s">
        <v>30</v>
      </c>
      <c r="V1756" s="6" t="s">
        <v>30</v>
      </c>
      <c r="W1756" s="6" t="s">
        <v>30</v>
      </c>
      <c r="X1756" s="2" t="s">
        <v>30</v>
      </c>
      <c r="Y1756" s="6" t="str">
        <f aca="false">IF(AND(X1756="processed",ISNUMBER(S1756)),S1756*O1756,"")</f>
        <v/>
      </c>
      <c r="Z1756" s="6" t="n">
        <f aca="false">IF(ISNUMBER(K1756),K1756*O1756,0)</f>
        <v>0</v>
      </c>
      <c r="AA1756" s="2" t="s">
        <v>31</v>
      </c>
      <c r="AB1756" s="6" t="n">
        <v>1531</v>
      </c>
      <c r="AC1756" s="6" t="n">
        <v>1258</v>
      </c>
      <c r="AD1756" s="6" t="n">
        <v>1465</v>
      </c>
      <c r="AE1756" s="6" t="n">
        <v>1728.07299804688</v>
      </c>
      <c r="AF1756" s="8" t="n">
        <v>246.591507602</v>
      </c>
      <c r="AG1756" s="11" t="n">
        <v>-0.1175651815</v>
      </c>
      <c r="AH1756" s="12" t="n">
        <v>1</v>
      </c>
      <c r="AI1756" s="2" t="s">
        <v>317</v>
      </c>
      <c r="AJ1756" s="2" t="s">
        <v>3884</v>
      </c>
      <c r="AK1756" s="2" t="s">
        <v>3885</v>
      </c>
    </row>
    <row r="1757" customFormat="false" ht="15" hidden="false" customHeight="false" outlineLevel="0" collapsed="false">
      <c r="A1757" s="9"/>
      <c r="B1757" s="2" t="s">
        <v>3886</v>
      </c>
      <c r="C1757" s="2"/>
      <c r="D1757" s="2" t="s">
        <v>1190</v>
      </c>
      <c r="E1757" s="2" t="s">
        <v>1191</v>
      </c>
      <c r="F1757" s="2"/>
      <c r="G1757" s="2" t="s">
        <v>3764</v>
      </c>
      <c r="H1757" s="8" t="n">
        <v>264.70377224225</v>
      </c>
      <c r="I1757" s="2" t="s">
        <v>316</v>
      </c>
      <c r="J1757" s="8" t="n">
        <v>431875</v>
      </c>
      <c r="K1757" s="6" t="n">
        <v>4</v>
      </c>
      <c r="L1757" s="2" t="s">
        <v>1664</v>
      </c>
      <c r="M1757" s="10" t="b">
        <f aca="false">FALSE()</f>
        <v>0</v>
      </c>
      <c r="N1757" s="9" t="str">
        <f aca="false">IF(H1757="","",IF(H1757&gt;=Assumptions!$B$5,1,IF(H1757&gt;=Assumptions!$B$6,2,IF(H1757&gt;=Assumptions!$B$7,3,""))))</f>
        <v/>
      </c>
      <c r="O1757" s="9" t="n">
        <f aca="false">IF(N1757=1,Assumptions!$B$8,IF(N1757=2,Assumptions!$B$9,IF(N1757=3,Assumptions!$B$10,0)))</f>
        <v>0</v>
      </c>
      <c r="P1757" s="6" t="s">
        <v>30</v>
      </c>
      <c r="Q1757" s="6" t="s">
        <v>30</v>
      </c>
      <c r="R1757" s="11" t="s">
        <v>30</v>
      </c>
      <c r="S1757" s="6" t="s">
        <v>30</v>
      </c>
      <c r="T1757" s="11" t="s">
        <v>30</v>
      </c>
      <c r="U1757" s="6" t="s">
        <v>30</v>
      </c>
      <c r="V1757" s="6" t="s">
        <v>30</v>
      </c>
      <c r="W1757" s="6" t="s">
        <v>30</v>
      </c>
      <c r="X1757" s="2" t="s">
        <v>30</v>
      </c>
      <c r="Y1757" s="6" t="str">
        <f aca="false">IF(AND(X1757="processed",ISNUMBER(S1757)),S1757*O1757,"")</f>
        <v/>
      </c>
      <c r="Z1757" s="6" t="n">
        <f aca="false">IF(ISNUMBER(K1757),K1757*O1757,0)</f>
        <v>0</v>
      </c>
      <c r="AA1757" s="2" t="s">
        <v>31</v>
      </c>
      <c r="AB1757" s="6"/>
      <c r="AC1757" s="6"/>
      <c r="AD1757" s="6"/>
      <c r="AE1757" s="6"/>
      <c r="AF1757" s="8" t="n">
        <v>243.423821549</v>
      </c>
      <c r="AG1757" s="11"/>
      <c r="AH1757" s="12"/>
      <c r="AI1757" s="2"/>
      <c r="AJ1757" s="2"/>
      <c r="AK1757" s="2"/>
    </row>
    <row r="1758" customFormat="false" ht="15" hidden="false" customHeight="false" outlineLevel="0" collapsed="false">
      <c r="A1758" s="9"/>
      <c r="B1758" s="2" t="s">
        <v>3887</v>
      </c>
      <c r="C1758" s="2" t="s">
        <v>3888</v>
      </c>
      <c r="D1758" s="2" t="s">
        <v>3638</v>
      </c>
      <c r="E1758" s="2" t="s">
        <v>51</v>
      </c>
      <c r="F1758" s="2"/>
      <c r="G1758" s="2" t="s">
        <v>1759</v>
      </c>
      <c r="H1758" s="8" t="n">
        <v>298.186341271667</v>
      </c>
      <c r="I1758" s="2" t="s">
        <v>316</v>
      </c>
      <c r="J1758" s="8" t="n">
        <v>600333.333333333</v>
      </c>
      <c r="K1758" s="6" t="n">
        <v>6</v>
      </c>
      <c r="L1758" s="2"/>
      <c r="M1758" s="10" t="b">
        <f aca="false">TRUE()</f>
        <v>1</v>
      </c>
      <c r="N1758" s="9" t="str">
        <f aca="false">IF(H1758="","",IF(H1758&gt;=Assumptions!$B$5,1,IF(H1758&gt;=Assumptions!$B$6,2,IF(H1758&gt;=Assumptions!$B$7,3,""))))</f>
        <v/>
      </c>
      <c r="O1758" s="9" t="n">
        <f aca="false">IF(N1758=1,Assumptions!$B$8,IF(N1758=2,Assumptions!$B$9,IF(N1758=3,Assumptions!$B$10,0)))</f>
        <v>0</v>
      </c>
      <c r="P1758" s="6" t="s">
        <v>30</v>
      </c>
      <c r="Q1758" s="6" t="s">
        <v>30</v>
      </c>
      <c r="R1758" s="11" t="s">
        <v>30</v>
      </c>
      <c r="S1758" s="6" t="s">
        <v>30</v>
      </c>
      <c r="T1758" s="11" t="s">
        <v>30</v>
      </c>
      <c r="U1758" s="6" t="s">
        <v>30</v>
      </c>
      <c r="V1758" s="6" t="s">
        <v>30</v>
      </c>
      <c r="W1758" s="6" t="s">
        <v>30</v>
      </c>
      <c r="X1758" s="2" t="s">
        <v>30</v>
      </c>
      <c r="Y1758" s="6" t="str">
        <f aca="false">IF(AND(X1758="processed",ISNUMBER(S1758)),S1758*O1758,"")</f>
        <v/>
      </c>
      <c r="Z1758" s="6" t="n">
        <f aca="false">IF(ISNUMBER(K1758),K1758*O1758,0)</f>
        <v>0</v>
      </c>
      <c r="AA1758" s="2" t="s">
        <v>31</v>
      </c>
      <c r="AB1758" s="6" t="n">
        <v>1538</v>
      </c>
      <c r="AC1758" s="6" t="n">
        <v>1245</v>
      </c>
      <c r="AD1758" s="6" t="n">
        <v>1527</v>
      </c>
      <c r="AE1758" s="6" t="n">
        <v>1791.85485839844</v>
      </c>
      <c r="AF1758" s="8" t="n">
        <v>282.666756441</v>
      </c>
      <c r="AG1758" s="11" t="n">
        <v>0.3101879741</v>
      </c>
      <c r="AH1758" s="12" t="n">
        <v>0.602450873656405</v>
      </c>
      <c r="AI1758" s="2" t="s">
        <v>317</v>
      </c>
      <c r="AJ1758" s="2" t="s">
        <v>3888</v>
      </c>
      <c r="AK1758" s="2" t="s">
        <v>3888</v>
      </c>
    </row>
    <row r="1759" customFormat="false" ht="15" hidden="false" customHeight="false" outlineLevel="0" collapsed="false">
      <c r="A1759" s="9"/>
      <c r="B1759" s="2" t="s">
        <v>3889</v>
      </c>
      <c r="C1759" s="2" t="s">
        <v>3890</v>
      </c>
      <c r="D1759" s="2" t="s">
        <v>3763</v>
      </c>
      <c r="E1759" s="2" t="s">
        <v>51</v>
      </c>
      <c r="F1759" s="2"/>
      <c r="G1759" s="2"/>
      <c r="H1759" s="8"/>
      <c r="I1759" s="2"/>
      <c r="J1759" s="8"/>
      <c r="K1759" s="6"/>
      <c r="L1759" s="2"/>
      <c r="M1759" s="10" t="b">
        <f aca="false">TRUE()</f>
        <v>1</v>
      </c>
      <c r="N1759" s="9" t="str">
        <f aca="false">IF(H1759="","",IF(H1759&gt;=Assumptions!$B$5,1,IF(H1759&gt;=Assumptions!$B$6,2,IF(H1759&gt;=Assumptions!$B$7,3,""))))</f>
        <v/>
      </c>
      <c r="O1759" s="9" t="n">
        <f aca="false">IF(N1759=1,Assumptions!$B$8,IF(N1759=2,Assumptions!$B$9,IF(N1759=3,Assumptions!$B$10,0)))</f>
        <v>0</v>
      </c>
      <c r="P1759" s="6" t="s">
        <v>30</v>
      </c>
      <c r="Q1759" s="6" t="s">
        <v>30</v>
      </c>
      <c r="R1759" s="11" t="s">
        <v>30</v>
      </c>
      <c r="S1759" s="6" t="s">
        <v>30</v>
      </c>
      <c r="T1759" s="11" t="s">
        <v>30</v>
      </c>
      <c r="U1759" s="6" t="s">
        <v>30</v>
      </c>
      <c r="V1759" s="6" t="s">
        <v>30</v>
      </c>
      <c r="W1759" s="6" t="s">
        <v>30</v>
      </c>
      <c r="X1759" s="2" t="s">
        <v>30</v>
      </c>
      <c r="Y1759" s="6" t="str">
        <f aca="false">IF(AND(X1759="processed",ISNUMBER(S1759)),S1759*O1759,"")</f>
        <v/>
      </c>
      <c r="Z1759" s="6" t="n">
        <f aca="false">IF(ISNUMBER(K1759),K1759*O1759,0)</f>
        <v>0</v>
      </c>
      <c r="AA1759" s="2" t="s">
        <v>31</v>
      </c>
      <c r="AB1759" s="6" t="n">
        <v>81</v>
      </c>
      <c r="AC1759" s="6" t="n">
        <v>64</v>
      </c>
      <c r="AD1759" s="6" t="n">
        <v>81</v>
      </c>
      <c r="AE1759" s="6" t="n">
        <v>1342.46533203125</v>
      </c>
      <c r="AF1759" s="8"/>
      <c r="AG1759" s="11"/>
      <c r="AH1759" s="12" t="n">
        <v>0.999999999999999</v>
      </c>
      <c r="AI1759" s="2" t="s">
        <v>1597</v>
      </c>
      <c r="AJ1759" s="2"/>
      <c r="AK1759" s="2" t="s">
        <v>3890</v>
      </c>
    </row>
    <row r="1760" customFormat="false" ht="15" hidden="false" customHeight="false" outlineLevel="0" collapsed="false">
      <c r="A1760" s="9"/>
      <c r="B1760" s="2" t="s">
        <v>3891</v>
      </c>
      <c r="C1760" s="2" t="s">
        <v>3892</v>
      </c>
      <c r="D1760" s="2" t="s">
        <v>3759</v>
      </c>
      <c r="E1760" s="2" t="s">
        <v>51</v>
      </c>
      <c r="F1760" s="2"/>
      <c r="G1760" s="2"/>
      <c r="H1760" s="8"/>
      <c r="I1760" s="2"/>
      <c r="J1760" s="8"/>
      <c r="K1760" s="6"/>
      <c r="L1760" s="2"/>
      <c r="M1760" s="10" t="b">
        <f aca="false">TRUE()</f>
        <v>1</v>
      </c>
      <c r="N1760" s="9" t="str">
        <f aca="false">IF(H1760="","",IF(H1760&gt;=Assumptions!$B$5,1,IF(H1760&gt;=Assumptions!$B$6,2,IF(H1760&gt;=Assumptions!$B$7,3,""))))</f>
        <v/>
      </c>
      <c r="O1760" s="9" t="n">
        <f aca="false">IF(N1760=1,Assumptions!$B$8,IF(N1760=2,Assumptions!$B$9,IF(N1760=3,Assumptions!$B$10,0)))</f>
        <v>0</v>
      </c>
      <c r="P1760" s="6" t="s">
        <v>30</v>
      </c>
      <c r="Q1760" s="6" t="s">
        <v>30</v>
      </c>
      <c r="R1760" s="11" t="s">
        <v>30</v>
      </c>
      <c r="S1760" s="6" t="s">
        <v>30</v>
      </c>
      <c r="T1760" s="11" t="s">
        <v>30</v>
      </c>
      <c r="U1760" s="6" t="s">
        <v>30</v>
      </c>
      <c r="V1760" s="6" t="s">
        <v>30</v>
      </c>
      <c r="W1760" s="6" t="s">
        <v>30</v>
      </c>
      <c r="X1760" s="2" t="s">
        <v>30</v>
      </c>
      <c r="Y1760" s="6" t="str">
        <f aca="false">IF(AND(X1760="processed",ISNUMBER(S1760)),S1760*O1760,"")</f>
        <v/>
      </c>
      <c r="Z1760" s="6" t="n">
        <f aca="false">IF(ISNUMBER(K1760),K1760*O1760,0)</f>
        <v>0</v>
      </c>
      <c r="AA1760" s="2" t="s">
        <v>31</v>
      </c>
      <c r="AB1760" s="6" t="n">
        <v>1038</v>
      </c>
      <c r="AC1760" s="6" t="n">
        <v>847</v>
      </c>
      <c r="AD1760" s="6" t="n">
        <v>915</v>
      </c>
      <c r="AE1760" s="6" t="n">
        <v>1575.3095703125</v>
      </c>
      <c r="AF1760" s="8"/>
      <c r="AG1760" s="11"/>
      <c r="AH1760" s="12" t="n">
        <v>0.999740147003655</v>
      </c>
      <c r="AI1760" s="2" t="s">
        <v>328</v>
      </c>
      <c r="AJ1760" s="2" t="s">
        <v>3892</v>
      </c>
      <c r="AK1760" s="2" t="s">
        <v>3893</v>
      </c>
    </row>
    <row r="1761" customFormat="false" ht="15" hidden="false" customHeight="false" outlineLevel="0" collapsed="false">
      <c r="A1761" s="9"/>
      <c r="B1761" s="2" t="s">
        <v>3894</v>
      </c>
      <c r="C1761" s="2" t="s">
        <v>3799</v>
      </c>
      <c r="D1761" s="2" t="s">
        <v>3769</v>
      </c>
      <c r="E1761" s="2" t="s">
        <v>51</v>
      </c>
      <c r="F1761" s="2" t="s">
        <v>3895</v>
      </c>
      <c r="G1761" s="2"/>
      <c r="H1761" s="8"/>
      <c r="I1761" s="2"/>
      <c r="J1761" s="8"/>
      <c r="K1761" s="6"/>
      <c r="L1761" s="2"/>
      <c r="M1761" s="10" t="b">
        <f aca="false">TRUE()</f>
        <v>1</v>
      </c>
      <c r="N1761" s="9" t="str">
        <f aca="false">IF(H1761="","",IF(H1761&gt;=Assumptions!$B$5,1,IF(H1761&gt;=Assumptions!$B$6,2,IF(H1761&gt;=Assumptions!$B$7,3,""))))</f>
        <v/>
      </c>
      <c r="O1761" s="9" t="n">
        <f aca="false">IF(N1761=1,Assumptions!$B$8,IF(N1761=2,Assumptions!$B$9,IF(N1761=3,Assumptions!$B$10,0)))</f>
        <v>0</v>
      </c>
      <c r="P1761" s="6" t="s">
        <v>30</v>
      </c>
      <c r="Q1761" s="6" t="s">
        <v>30</v>
      </c>
      <c r="R1761" s="11" t="s">
        <v>30</v>
      </c>
      <c r="S1761" s="6" t="s">
        <v>30</v>
      </c>
      <c r="T1761" s="11" t="s">
        <v>30</v>
      </c>
      <c r="U1761" s="6" t="s">
        <v>30</v>
      </c>
      <c r="V1761" s="6" t="s">
        <v>30</v>
      </c>
      <c r="W1761" s="6" t="s">
        <v>30</v>
      </c>
      <c r="X1761" s="2" t="s">
        <v>30</v>
      </c>
      <c r="Y1761" s="6" t="str">
        <f aca="false">IF(AND(X1761="processed",ISNUMBER(S1761)),S1761*O1761,"")</f>
        <v/>
      </c>
      <c r="Z1761" s="6" t="n">
        <f aca="false">IF(ISNUMBER(K1761),K1761*O1761,0)</f>
        <v>0</v>
      </c>
      <c r="AA1761" s="2" t="s">
        <v>31</v>
      </c>
      <c r="AB1761" s="6" t="n">
        <v>229</v>
      </c>
      <c r="AC1761" s="6" t="n">
        <v>189</v>
      </c>
      <c r="AD1761" s="6" t="n">
        <v>221</v>
      </c>
      <c r="AE1761" s="6" t="n">
        <v>1217.64050292969</v>
      </c>
      <c r="AF1761" s="8"/>
      <c r="AG1761" s="11"/>
      <c r="AH1761" s="12" t="n">
        <v>0.591980566616815</v>
      </c>
      <c r="AI1761" s="2" t="s">
        <v>317</v>
      </c>
      <c r="AJ1761" s="2" t="s">
        <v>3799</v>
      </c>
      <c r="AK1761" s="2" t="s">
        <v>3896</v>
      </c>
    </row>
    <row r="1762" customFormat="false" ht="15" hidden="false" customHeight="false" outlineLevel="0" collapsed="false">
      <c r="A1762" s="9"/>
      <c r="B1762" s="2" t="s">
        <v>3897</v>
      </c>
      <c r="C1762" s="2" t="s">
        <v>1758</v>
      </c>
      <c r="D1762" s="2" t="s">
        <v>1758</v>
      </c>
      <c r="E1762" s="2" t="s">
        <v>51</v>
      </c>
      <c r="F1762" s="2"/>
      <c r="G1762" s="2" t="s">
        <v>1759</v>
      </c>
      <c r="H1762" s="8" t="n">
        <v>319.329229117212</v>
      </c>
      <c r="I1762" s="2" t="s">
        <v>316</v>
      </c>
      <c r="J1762" s="8" t="n">
        <v>463909.090909091</v>
      </c>
      <c r="K1762" s="6" t="n">
        <v>33</v>
      </c>
      <c r="L1762" s="2"/>
      <c r="M1762" s="10" t="b">
        <f aca="false">TRUE()</f>
        <v>1</v>
      </c>
      <c r="N1762" s="9" t="str">
        <f aca="false">IF(H1762="","",IF(H1762&gt;=Assumptions!$B$5,1,IF(H1762&gt;=Assumptions!$B$6,2,IF(H1762&gt;=Assumptions!$B$7,3,""))))</f>
        <v/>
      </c>
      <c r="O1762" s="9" t="n">
        <f aca="false">IF(N1762=1,Assumptions!$B$8,IF(N1762=2,Assumptions!$B$9,IF(N1762=3,Assumptions!$B$10,0)))</f>
        <v>0</v>
      </c>
      <c r="P1762" s="6" t="s">
        <v>30</v>
      </c>
      <c r="Q1762" s="6" t="s">
        <v>30</v>
      </c>
      <c r="R1762" s="11" t="s">
        <v>30</v>
      </c>
      <c r="S1762" s="6" t="s">
        <v>30</v>
      </c>
      <c r="T1762" s="11" t="s">
        <v>30</v>
      </c>
      <c r="U1762" s="6" t="s">
        <v>30</v>
      </c>
      <c r="V1762" s="6" t="s">
        <v>30</v>
      </c>
      <c r="W1762" s="6" t="s">
        <v>30</v>
      </c>
      <c r="X1762" s="2" t="s">
        <v>30</v>
      </c>
      <c r="Y1762" s="6" t="str">
        <f aca="false">IF(AND(X1762="processed",ISNUMBER(S1762)),S1762*O1762,"")</f>
        <v/>
      </c>
      <c r="Z1762" s="6" t="n">
        <f aca="false">IF(ISNUMBER(K1762),K1762*O1762,0)</f>
        <v>0</v>
      </c>
      <c r="AA1762" s="2" t="s">
        <v>31</v>
      </c>
      <c r="AB1762" s="6" t="n">
        <v>2053</v>
      </c>
      <c r="AC1762" s="6" t="n">
        <v>1737</v>
      </c>
      <c r="AD1762" s="6" t="n">
        <v>1963</v>
      </c>
      <c r="AE1762" s="6" t="n">
        <v>2294.03686523438</v>
      </c>
      <c r="AF1762" s="8" t="n">
        <v>330.940988836</v>
      </c>
      <c r="AG1762" s="11" t="n">
        <v>-0.02459498027</v>
      </c>
      <c r="AH1762" s="12" t="n">
        <v>1</v>
      </c>
      <c r="AI1762" s="2" t="s">
        <v>317</v>
      </c>
      <c r="AJ1762" s="2" t="s">
        <v>1758</v>
      </c>
      <c r="AK1762" s="2" t="s">
        <v>3898</v>
      </c>
    </row>
    <row r="1763" customFormat="false" ht="15" hidden="false" customHeight="false" outlineLevel="0" collapsed="false">
      <c r="A1763" s="9"/>
      <c r="B1763" s="2" t="s">
        <v>3899</v>
      </c>
      <c r="C1763" s="2" t="s">
        <v>3900</v>
      </c>
      <c r="D1763" s="2" t="s">
        <v>3769</v>
      </c>
      <c r="E1763" s="2" t="s">
        <v>51</v>
      </c>
      <c r="F1763" s="2"/>
      <c r="G1763" s="2"/>
      <c r="H1763" s="8"/>
      <c r="I1763" s="2"/>
      <c r="J1763" s="8"/>
      <c r="K1763" s="6"/>
      <c r="L1763" s="2"/>
      <c r="M1763" s="10" t="b">
        <f aca="false">TRUE()</f>
        <v>1</v>
      </c>
      <c r="N1763" s="9" t="str">
        <f aca="false">IF(H1763="","",IF(H1763&gt;=Assumptions!$B$5,1,IF(H1763&gt;=Assumptions!$B$6,2,IF(H1763&gt;=Assumptions!$B$7,3,""))))</f>
        <v/>
      </c>
      <c r="O1763" s="9" t="n">
        <f aca="false">IF(N1763=1,Assumptions!$B$8,IF(N1763=2,Assumptions!$B$9,IF(N1763=3,Assumptions!$B$10,0)))</f>
        <v>0</v>
      </c>
      <c r="P1763" s="6" t="s">
        <v>30</v>
      </c>
      <c r="Q1763" s="6" t="s">
        <v>30</v>
      </c>
      <c r="R1763" s="11" t="s">
        <v>30</v>
      </c>
      <c r="S1763" s="6" t="s">
        <v>30</v>
      </c>
      <c r="T1763" s="11" t="s">
        <v>30</v>
      </c>
      <c r="U1763" s="6" t="s">
        <v>30</v>
      </c>
      <c r="V1763" s="6" t="s">
        <v>30</v>
      </c>
      <c r="W1763" s="6" t="s">
        <v>30</v>
      </c>
      <c r="X1763" s="2" t="s">
        <v>30</v>
      </c>
      <c r="Y1763" s="6" t="str">
        <f aca="false">IF(AND(X1763="processed",ISNUMBER(S1763)),S1763*O1763,"")</f>
        <v/>
      </c>
      <c r="Z1763" s="6" t="n">
        <f aca="false">IF(ISNUMBER(K1763),K1763*O1763,0)</f>
        <v>0</v>
      </c>
      <c r="AA1763" s="2" t="s">
        <v>31</v>
      </c>
      <c r="AB1763" s="6" t="n">
        <v>424</v>
      </c>
      <c r="AC1763" s="6" t="n">
        <v>371</v>
      </c>
      <c r="AD1763" s="6" t="n">
        <v>422</v>
      </c>
      <c r="AE1763" s="6" t="n">
        <v>1543.82653808594</v>
      </c>
      <c r="AF1763" s="8"/>
      <c r="AG1763" s="11"/>
      <c r="AH1763" s="12" t="n">
        <v>0.999999999999995</v>
      </c>
      <c r="AI1763" s="2" t="s">
        <v>1597</v>
      </c>
      <c r="AJ1763" s="2"/>
      <c r="AK1763" s="2" t="s">
        <v>3900</v>
      </c>
    </row>
    <row r="1764" customFormat="false" ht="15" hidden="false" customHeight="false" outlineLevel="0" collapsed="false">
      <c r="A1764" s="9"/>
      <c r="B1764" s="2" t="s">
        <v>3901</v>
      </c>
      <c r="C1764" s="2" t="s">
        <v>3902</v>
      </c>
      <c r="D1764" s="2" t="s">
        <v>3769</v>
      </c>
      <c r="E1764" s="2" t="s">
        <v>51</v>
      </c>
      <c r="F1764" s="2"/>
      <c r="G1764" s="2"/>
      <c r="H1764" s="8"/>
      <c r="I1764" s="2"/>
      <c r="J1764" s="8"/>
      <c r="K1764" s="6"/>
      <c r="L1764" s="2"/>
      <c r="M1764" s="10" t="b">
        <f aca="false">TRUE()</f>
        <v>1</v>
      </c>
      <c r="N1764" s="9" t="str">
        <f aca="false">IF(H1764="","",IF(H1764&gt;=Assumptions!$B$5,1,IF(H1764&gt;=Assumptions!$B$6,2,IF(H1764&gt;=Assumptions!$B$7,3,""))))</f>
        <v/>
      </c>
      <c r="O1764" s="9" t="n">
        <f aca="false">IF(N1764=1,Assumptions!$B$8,IF(N1764=2,Assumptions!$B$9,IF(N1764=3,Assumptions!$B$10,0)))</f>
        <v>0</v>
      </c>
      <c r="P1764" s="6" t="s">
        <v>30</v>
      </c>
      <c r="Q1764" s="6" t="s">
        <v>30</v>
      </c>
      <c r="R1764" s="11" t="s">
        <v>30</v>
      </c>
      <c r="S1764" s="6" t="s">
        <v>30</v>
      </c>
      <c r="T1764" s="11" t="s">
        <v>30</v>
      </c>
      <c r="U1764" s="6" t="s">
        <v>30</v>
      </c>
      <c r="V1764" s="6" t="s">
        <v>30</v>
      </c>
      <c r="W1764" s="6" t="s">
        <v>30</v>
      </c>
      <c r="X1764" s="2" t="s">
        <v>30</v>
      </c>
      <c r="Y1764" s="6" t="str">
        <f aca="false">IF(AND(X1764="processed",ISNUMBER(S1764)),S1764*O1764,"")</f>
        <v/>
      </c>
      <c r="Z1764" s="6" t="n">
        <f aca="false">IF(ISNUMBER(K1764),K1764*O1764,0)</f>
        <v>0</v>
      </c>
      <c r="AA1764" s="2" t="s">
        <v>31</v>
      </c>
      <c r="AB1764" s="6" t="n">
        <v>77</v>
      </c>
      <c r="AC1764" s="6" t="n">
        <v>55</v>
      </c>
      <c r="AD1764" s="6" t="n">
        <v>76</v>
      </c>
      <c r="AE1764" s="6" t="n">
        <v>1399.16125488281</v>
      </c>
      <c r="AF1764" s="8"/>
      <c r="AG1764" s="11"/>
      <c r="AH1764" s="12" t="n">
        <v>0.999999999999996</v>
      </c>
      <c r="AI1764" s="2" t="s">
        <v>1597</v>
      </c>
      <c r="AJ1764" s="2"/>
      <c r="AK1764" s="2" t="s">
        <v>3902</v>
      </c>
    </row>
    <row r="1765" customFormat="false" ht="15" hidden="false" customHeight="false" outlineLevel="0" collapsed="false">
      <c r="A1765" s="9"/>
      <c r="B1765" s="2" t="s">
        <v>3903</v>
      </c>
      <c r="C1765" s="2" t="s">
        <v>3904</v>
      </c>
      <c r="D1765" s="2" t="s">
        <v>3829</v>
      </c>
      <c r="E1765" s="2" t="s">
        <v>51</v>
      </c>
      <c r="F1765" s="2"/>
      <c r="G1765" s="2" t="s">
        <v>1492</v>
      </c>
      <c r="H1765" s="8" t="n">
        <v>434.07310705</v>
      </c>
      <c r="I1765" s="2" t="s">
        <v>316</v>
      </c>
      <c r="J1765" s="8" t="n">
        <v>665000</v>
      </c>
      <c r="K1765" s="6" t="n">
        <v>1</v>
      </c>
      <c r="L1765" s="2" t="s">
        <v>1664</v>
      </c>
      <c r="M1765" s="10" t="b">
        <f aca="false">TRUE()</f>
        <v>1</v>
      </c>
      <c r="N1765" s="9" t="str">
        <f aca="false">IF(H1765="","",IF(H1765&gt;=Assumptions!$B$5,1,IF(H1765&gt;=Assumptions!$B$6,2,IF(H1765&gt;=Assumptions!$B$7,3,""))))</f>
        <v/>
      </c>
      <c r="O1765" s="9" t="n">
        <f aca="false">IF(N1765=1,Assumptions!$B$8,IF(N1765=2,Assumptions!$B$9,IF(N1765=3,Assumptions!$B$10,0)))</f>
        <v>0</v>
      </c>
      <c r="P1765" s="6" t="s">
        <v>30</v>
      </c>
      <c r="Q1765" s="6" t="s">
        <v>30</v>
      </c>
      <c r="R1765" s="11" t="s">
        <v>30</v>
      </c>
      <c r="S1765" s="6" t="s">
        <v>30</v>
      </c>
      <c r="T1765" s="11" t="s">
        <v>30</v>
      </c>
      <c r="U1765" s="6" t="s">
        <v>30</v>
      </c>
      <c r="V1765" s="6" t="s">
        <v>30</v>
      </c>
      <c r="W1765" s="6" t="s">
        <v>30</v>
      </c>
      <c r="X1765" s="2" t="s">
        <v>30</v>
      </c>
      <c r="Y1765" s="6" t="str">
        <f aca="false">IF(AND(X1765="processed",ISNUMBER(S1765)),S1765*O1765,"")</f>
        <v/>
      </c>
      <c r="Z1765" s="6" t="n">
        <f aca="false">IF(ISNUMBER(K1765),K1765*O1765,0)</f>
        <v>0</v>
      </c>
      <c r="AA1765" s="2" t="s">
        <v>31</v>
      </c>
      <c r="AB1765" s="6" t="n">
        <v>152</v>
      </c>
      <c r="AC1765" s="6" t="n">
        <v>106</v>
      </c>
      <c r="AD1765" s="6" t="n">
        <v>33</v>
      </c>
      <c r="AE1765" s="6" t="n">
        <v>1302.49438476563</v>
      </c>
      <c r="AF1765" s="8" t="n">
        <v>434.07310705</v>
      </c>
      <c r="AG1765" s="11" t="n">
        <v>1.172591551</v>
      </c>
      <c r="AH1765" s="12" t="n">
        <v>1</v>
      </c>
      <c r="AI1765" s="2" t="s">
        <v>1597</v>
      </c>
      <c r="AJ1765" s="2"/>
      <c r="AK1765" s="2" t="s">
        <v>3904</v>
      </c>
    </row>
    <row r="1766" customFormat="false" ht="15" hidden="false" customHeight="false" outlineLevel="0" collapsed="false">
      <c r="A1766" s="9"/>
      <c r="B1766" s="2" t="s">
        <v>3905</v>
      </c>
      <c r="C1766" s="2" t="s">
        <v>3906</v>
      </c>
      <c r="D1766" s="2" t="s">
        <v>3759</v>
      </c>
      <c r="E1766" s="2" t="s">
        <v>51</v>
      </c>
      <c r="F1766" s="2"/>
      <c r="G1766" s="2"/>
      <c r="H1766" s="8"/>
      <c r="I1766" s="2"/>
      <c r="J1766" s="8"/>
      <c r="K1766" s="6"/>
      <c r="L1766" s="2"/>
      <c r="M1766" s="10" t="b">
        <f aca="false">TRUE()</f>
        <v>1</v>
      </c>
      <c r="N1766" s="9" t="str">
        <f aca="false">IF(H1766="","",IF(H1766&gt;=Assumptions!$B$5,1,IF(H1766&gt;=Assumptions!$B$6,2,IF(H1766&gt;=Assumptions!$B$7,3,""))))</f>
        <v/>
      </c>
      <c r="O1766" s="9" t="n">
        <f aca="false">IF(N1766=1,Assumptions!$B$8,IF(N1766=2,Assumptions!$B$9,IF(N1766=3,Assumptions!$B$10,0)))</f>
        <v>0</v>
      </c>
      <c r="P1766" s="6" t="s">
        <v>30</v>
      </c>
      <c r="Q1766" s="6" t="s">
        <v>30</v>
      </c>
      <c r="R1766" s="11" t="s">
        <v>30</v>
      </c>
      <c r="S1766" s="6" t="s">
        <v>30</v>
      </c>
      <c r="T1766" s="11" t="s">
        <v>30</v>
      </c>
      <c r="U1766" s="6" t="s">
        <v>30</v>
      </c>
      <c r="V1766" s="6" t="s">
        <v>30</v>
      </c>
      <c r="W1766" s="6" t="s">
        <v>30</v>
      </c>
      <c r="X1766" s="2" t="s">
        <v>30</v>
      </c>
      <c r="Y1766" s="6" t="str">
        <f aca="false">IF(AND(X1766="processed",ISNUMBER(S1766)),S1766*O1766,"")</f>
        <v/>
      </c>
      <c r="Z1766" s="6" t="n">
        <f aca="false">IF(ISNUMBER(K1766),K1766*O1766,0)</f>
        <v>0</v>
      </c>
      <c r="AA1766" s="2" t="s">
        <v>31</v>
      </c>
      <c r="AB1766" s="6" t="n">
        <v>3142</v>
      </c>
      <c r="AC1766" s="6" t="n">
        <v>2635</v>
      </c>
      <c r="AD1766" s="6" t="n">
        <v>1980</v>
      </c>
      <c r="AE1766" s="6" t="n">
        <v>2136.13793945313</v>
      </c>
      <c r="AF1766" s="8"/>
      <c r="AG1766" s="11"/>
      <c r="AH1766" s="12" t="n">
        <v>0.999627358924692</v>
      </c>
      <c r="AI1766" s="2" t="s">
        <v>321</v>
      </c>
      <c r="AJ1766" s="2" t="s">
        <v>3906</v>
      </c>
      <c r="AK1766" s="2" t="s">
        <v>3906</v>
      </c>
    </row>
    <row r="1767" customFormat="false" ht="15" hidden="false" customHeight="false" outlineLevel="0" collapsed="false">
      <c r="A1767" s="9"/>
      <c r="B1767" s="2" t="s">
        <v>3907</v>
      </c>
      <c r="C1767" s="2" t="s">
        <v>3908</v>
      </c>
      <c r="D1767" s="2" t="s">
        <v>3784</v>
      </c>
      <c r="E1767" s="2" t="s">
        <v>51</v>
      </c>
      <c r="F1767" s="2"/>
      <c r="G1767" s="2"/>
      <c r="H1767" s="8"/>
      <c r="I1767" s="2"/>
      <c r="J1767" s="8"/>
      <c r="K1767" s="6"/>
      <c r="L1767" s="2"/>
      <c r="M1767" s="10" t="b">
        <f aca="false">TRUE()</f>
        <v>1</v>
      </c>
      <c r="N1767" s="9" t="str">
        <f aca="false">IF(H1767="","",IF(H1767&gt;=Assumptions!$B$5,1,IF(H1767&gt;=Assumptions!$B$6,2,IF(H1767&gt;=Assumptions!$B$7,3,""))))</f>
        <v/>
      </c>
      <c r="O1767" s="9" t="n">
        <f aca="false">IF(N1767=1,Assumptions!$B$8,IF(N1767=2,Assumptions!$B$9,IF(N1767=3,Assumptions!$B$10,0)))</f>
        <v>0</v>
      </c>
      <c r="P1767" s="6" t="s">
        <v>30</v>
      </c>
      <c r="Q1767" s="6" t="s">
        <v>30</v>
      </c>
      <c r="R1767" s="11" t="s">
        <v>30</v>
      </c>
      <c r="S1767" s="6" t="s">
        <v>30</v>
      </c>
      <c r="T1767" s="11" t="s">
        <v>30</v>
      </c>
      <c r="U1767" s="6" t="s">
        <v>30</v>
      </c>
      <c r="V1767" s="6" t="s">
        <v>30</v>
      </c>
      <c r="W1767" s="6" t="s">
        <v>30</v>
      </c>
      <c r="X1767" s="2" t="s">
        <v>30</v>
      </c>
      <c r="Y1767" s="6" t="str">
        <f aca="false">IF(AND(X1767="processed",ISNUMBER(S1767)),S1767*O1767,"")</f>
        <v/>
      </c>
      <c r="Z1767" s="6" t="n">
        <f aca="false">IF(ISNUMBER(K1767),K1767*O1767,0)</f>
        <v>0</v>
      </c>
      <c r="AA1767" s="2" t="s">
        <v>31</v>
      </c>
      <c r="AB1767" s="6" t="n">
        <v>5360</v>
      </c>
      <c r="AC1767" s="6" t="n">
        <v>4435</v>
      </c>
      <c r="AD1767" s="6" t="n">
        <v>4925</v>
      </c>
      <c r="AE1767" s="6" t="n">
        <v>1959.85888671875</v>
      </c>
      <c r="AF1767" s="8"/>
      <c r="AG1767" s="11"/>
      <c r="AH1767" s="12" t="n">
        <v>0.999519303439552</v>
      </c>
      <c r="AI1767" s="2" t="s">
        <v>319</v>
      </c>
      <c r="AJ1767" s="2"/>
      <c r="AK1767" s="2" t="s">
        <v>3908</v>
      </c>
    </row>
    <row r="1768" customFormat="false" ht="15" hidden="false" customHeight="false" outlineLevel="0" collapsed="false">
      <c r="A1768" s="9"/>
      <c r="B1768" s="2" t="s">
        <v>3909</v>
      </c>
      <c r="C1768" s="2" t="s">
        <v>3910</v>
      </c>
      <c r="D1768" s="2" t="s">
        <v>1758</v>
      </c>
      <c r="E1768" s="2" t="s">
        <v>51</v>
      </c>
      <c r="F1768" s="2"/>
      <c r="G1768" s="2" t="s">
        <v>1759</v>
      </c>
      <c r="H1768" s="8" t="n">
        <v>259.361972407126</v>
      </c>
      <c r="I1768" s="2" t="s">
        <v>316</v>
      </c>
      <c r="J1768" s="8" t="n">
        <v>404083.720930233</v>
      </c>
      <c r="K1768" s="6" t="n">
        <v>215</v>
      </c>
      <c r="L1768" s="2"/>
      <c r="M1768" s="10" t="b">
        <f aca="false">TRUE()</f>
        <v>1</v>
      </c>
      <c r="N1768" s="9" t="str">
        <f aca="false">IF(H1768="","",IF(H1768&gt;=Assumptions!$B$5,1,IF(H1768&gt;=Assumptions!$B$6,2,IF(H1768&gt;=Assumptions!$B$7,3,""))))</f>
        <v/>
      </c>
      <c r="O1768" s="9" t="n">
        <f aca="false">IF(N1768=1,Assumptions!$B$8,IF(N1768=2,Assumptions!$B$9,IF(N1768=3,Assumptions!$B$10,0)))</f>
        <v>0</v>
      </c>
      <c r="P1768" s="6" t="s">
        <v>30</v>
      </c>
      <c r="Q1768" s="6" t="s">
        <v>30</v>
      </c>
      <c r="R1768" s="11" t="s">
        <v>30</v>
      </c>
      <c r="S1768" s="6" t="s">
        <v>30</v>
      </c>
      <c r="T1768" s="11" t="s">
        <v>30</v>
      </c>
      <c r="U1768" s="6" t="s">
        <v>30</v>
      </c>
      <c r="V1768" s="6" t="s">
        <v>30</v>
      </c>
      <c r="W1768" s="6" t="s">
        <v>30</v>
      </c>
      <c r="X1768" s="2" t="s">
        <v>30</v>
      </c>
      <c r="Y1768" s="6" t="str">
        <f aca="false">IF(AND(X1768="processed",ISNUMBER(S1768)),S1768*O1768,"")</f>
        <v/>
      </c>
      <c r="Z1768" s="6" t="n">
        <f aca="false">IF(ISNUMBER(K1768),K1768*O1768,0)</f>
        <v>0</v>
      </c>
      <c r="AA1768" s="2" t="s">
        <v>31</v>
      </c>
      <c r="AB1768" s="6" t="n">
        <v>13890</v>
      </c>
      <c r="AC1768" s="6" t="n">
        <v>12324</v>
      </c>
      <c r="AD1768" s="6" t="n">
        <v>3698</v>
      </c>
      <c r="AE1768" s="6" t="n">
        <v>2362.36303710938</v>
      </c>
      <c r="AF1768" s="8" t="n">
        <v>252.50578924</v>
      </c>
      <c r="AG1768" s="11" t="n">
        <v>-0.03301041113</v>
      </c>
      <c r="AH1768" s="12" t="n">
        <v>0.99782595188428</v>
      </c>
      <c r="AI1768" s="2" t="s">
        <v>317</v>
      </c>
      <c r="AJ1768" s="2" t="s">
        <v>3910</v>
      </c>
      <c r="AK1768" s="2" t="s">
        <v>3910</v>
      </c>
    </row>
    <row r="1769" customFormat="false" ht="15" hidden="false" customHeight="false" outlineLevel="0" collapsed="false">
      <c r="A1769" s="9"/>
      <c r="B1769" s="2" t="s">
        <v>3911</v>
      </c>
      <c r="C1769" s="2" t="s">
        <v>3910</v>
      </c>
      <c r="D1769" s="2" t="s">
        <v>1758</v>
      </c>
      <c r="E1769" s="2" t="s">
        <v>51</v>
      </c>
      <c r="F1769" s="2"/>
      <c r="G1769" s="2" t="s">
        <v>1759</v>
      </c>
      <c r="H1769" s="8" t="n">
        <v>262.978935270511</v>
      </c>
      <c r="I1769" s="2" t="s">
        <v>316</v>
      </c>
      <c r="J1769" s="8" t="n">
        <v>498556.818181818</v>
      </c>
      <c r="K1769" s="6" t="n">
        <v>264</v>
      </c>
      <c r="L1769" s="2"/>
      <c r="M1769" s="10" t="b">
        <f aca="false">TRUE()</f>
        <v>1</v>
      </c>
      <c r="N1769" s="9" t="str">
        <f aca="false">IF(H1769="","",IF(H1769&gt;=Assumptions!$B$5,1,IF(H1769&gt;=Assumptions!$B$6,2,IF(H1769&gt;=Assumptions!$B$7,3,""))))</f>
        <v/>
      </c>
      <c r="O1769" s="9" t="n">
        <f aca="false">IF(N1769=1,Assumptions!$B$8,IF(N1769=2,Assumptions!$B$9,IF(N1769=3,Assumptions!$B$10,0)))</f>
        <v>0</v>
      </c>
      <c r="P1769" s="6" t="s">
        <v>30</v>
      </c>
      <c r="Q1769" s="6" t="s">
        <v>30</v>
      </c>
      <c r="R1769" s="11" t="s">
        <v>30</v>
      </c>
      <c r="S1769" s="6" t="s">
        <v>30</v>
      </c>
      <c r="T1769" s="11" t="s">
        <v>30</v>
      </c>
      <c r="U1769" s="6" t="s">
        <v>30</v>
      </c>
      <c r="V1769" s="6" t="s">
        <v>30</v>
      </c>
      <c r="W1769" s="6" t="s">
        <v>30</v>
      </c>
      <c r="X1769" s="2" t="s">
        <v>30</v>
      </c>
      <c r="Y1769" s="6" t="str">
        <f aca="false">IF(AND(X1769="processed",ISNUMBER(S1769)),S1769*O1769,"")</f>
        <v/>
      </c>
      <c r="Z1769" s="6" t="n">
        <f aca="false">IF(ISNUMBER(K1769),K1769*O1769,0)</f>
        <v>0</v>
      </c>
      <c r="AA1769" s="2" t="s">
        <v>31</v>
      </c>
      <c r="AB1769" s="6" t="n">
        <v>14832</v>
      </c>
      <c r="AC1769" s="6" t="n">
        <v>13131</v>
      </c>
      <c r="AD1769" s="6" t="n">
        <v>6120</v>
      </c>
      <c r="AE1769" s="6" t="n">
        <v>2746.986328125</v>
      </c>
      <c r="AF1769" s="8" t="n">
        <v>259.953966175</v>
      </c>
      <c r="AG1769" s="11" t="n">
        <v>-0.01495704456</v>
      </c>
      <c r="AH1769" s="12" t="n">
        <v>1</v>
      </c>
      <c r="AI1769" s="2" t="s">
        <v>317</v>
      </c>
      <c r="AJ1769" s="2" t="s">
        <v>3910</v>
      </c>
      <c r="AK1769" s="2" t="s">
        <v>3910</v>
      </c>
    </row>
    <row r="1770" customFormat="false" ht="15" hidden="false" customHeight="false" outlineLevel="0" collapsed="false">
      <c r="A1770" s="9"/>
      <c r="B1770" s="2" t="s">
        <v>3912</v>
      </c>
      <c r="C1770" s="2" t="s">
        <v>3913</v>
      </c>
      <c r="D1770" s="2" t="s">
        <v>1685</v>
      </c>
      <c r="E1770" s="2" t="s">
        <v>51</v>
      </c>
      <c r="F1770" s="2" t="s">
        <v>3914</v>
      </c>
      <c r="G1770" s="2" t="s">
        <v>1686</v>
      </c>
      <c r="H1770" s="8" t="n">
        <v>249.993733758798</v>
      </c>
      <c r="I1770" s="2" t="s">
        <v>316</v>
      </c>
      <c r="J1770" s="8" t="n">
        <v>399480.459770115</v>
      </c>
      <c r="K1770" s="6" t="n">
        <v>435</v>
      </c>
      <c r="L1770" s="2"/>
      <c r="M1770" s="10" t="b">
        <f aca="false">TRUE()</f>
        <v>1</v>
      </c>
      <c r="N1770" s="9" t="str">
        <f aca="false">IF(H1770="","",IF(H1770&gt;=Assumptions!$B$5,1,IF(H1770&gt;=Assumptions!$B$6,2,IF(H1770&gt;=Assumptions!$B$7,3,""))))</f>
        <v/>
      </c>
      <c r="O1770" s="9" t="n">
        <f aca="false">IF(N1770=1,Assumptions!$B$8,IF(N1770=2,Assumptions!$B$9,IF(N1770=3,Assumptions!$B$10,0)))</f>
        <v>0</v>
      </c>
      <c r="P1770" s="6" t="s">
        <v>30</v>
      </c>
      <c r="Q1770" s="6" t="s">
        <v>30</v>
      </c>
      <c r="R1770" s="11" t="s">
        <v>30</v>
      </c>
      <c r="S1770" s="6" t="s">
        <v>30</v>
      </c>
      <c r="T1770" s="11" t="s">
        <v>30</v>
      </c>
      <c r="U1770" s="6" t="s">
        <v>30</v>
      </c>
      <c r="V1770" s="6" t="s">
        <v>30</v>
      </c>
      <c r="W1770" s="6" t="s">
        <v>30</v>
      </c>
      <c r="X1770" s="2" t="s">
        <v>30</v>
      </c>
      <c r="Y1770" s="6" t="str">
        <f aca="false">IF(AND(X1770="processed",ISNUMBER(S1770)),S1770*O1770,"")</f>
        <v/>
      </c>
      <c r="Z1770" s="6" t="n">
        <f aca="false">IF(ISNUMBER(K1770),K1770*O1770,0)</f>
        <v>0</v>
      </c>
      <c r="AA1770" s="2" t="s">
        <v>31</v>
      </c>
      <c r="AB1770" s="6" t="n">
        <v>19458</v>
      </c>
      <c r="AC1770" s="6" t="n">
        <v>15157</v>
      </c>
      <c r="AD1770" s="6" t="n">
        <v>1853</v>
      </c>
      <c r="AE1770" s="6" t="n">
        <v>2406.2265625</v>
      </c>
      <c r="AF1770" s="8" t="n">
        <v>255.590673276</v>
      </c>
      <c r="AG1770" s="11" t="n">
        <v>0.02435538896</v>
      </c>
      <c r="AH1770" s="12" t="n">
        <v>1</v>
      </c>
      <c r="AI1770" s="2" t="s">
        <v>317</v>
      </c>
      <c r="AJ1770" s="2" t="s">
        <v>3913</v>
      </c>
      <c r="AK1770" s="2" t="s">
        <v>3913</v>
      </c>
    </row>
    <row r="1771" customFormat="false" ht="15" hidden="false" customHeight="false" outlineLevel="0" collapsed="false">
      <c r="A1771" s="9"/>
      <c r="B1771" s="2" t="s">
        <v>3915</v>
      </c>
      <c r="C1771" s="2" t="s">
        <v>3913</v>
      </c>
      <c r="D1771" s="2" t="s">
        <v>1685</v>
      </c>
      <c r="E1771" s="2" t="s">
        <v>51</v>
      </c>
      <c r="F1771" s="2" t="s">
        <v>3916</v>
      </c>
      <c r="G1771" s="2" t="s">
        <v>1686</v>
      </c>
      <c r="H1771" s="8" t="n">
        <v>246.834947414915</v>
      </c>
      <c r="I1771" s="2" t="s">
        <v>316</v>
      </c>
      <c r="J1771" s="8" t="n">
        <v>410910.377358491</v>
      </c>
      <c r="K1771" s="6" t="n">
        <v>424</v>
      </c>
      <c r="L1771" s="2"/>
      <c r="M1771" s="10" t="b">
        <f aca="false">TRUE()</f>
        <v>1</v>
      </c>
      <c r="N1771" s="9" t="str">
        <f aca="false">IF(H1771="","",IF(H1771&gt;=Assumptions!$B$5,1,IF(H1771&gt;=Assumptions!$B$6,2,IF(H1771&gt;=Assumptions!$B$7,3,""))))</f>
        <v/>
      </c>
      <c r="O1771" s="9" t="n">
        <f aca="false">IF(N1771=1,Assumptions!$B$8,IF(N1771=2,Assumptions!$B$9,IF(N1771=3,Assumptions!$B$10,0)))</f>
        <v>0</v>
      </c>
      <c r="P1771" s="6" t="s">
        <v>30</v>
      </c>
      <c r="Q1771" s="6" t="s">
        <v>30</v>
      </c>
      <c r="R1771" s="11" t="s">
        <v>30</v>
      </c>
      <c r="S1771" s="6" t="s">
        <v>30</v>
      </c>
      <c r="T1771" s="11" t="s">
        <v>30</v>
      </c>
      <c r="U1771" s="6" t="s">
        <v>30</v>
      </c>
      <c r="V1771" s="6" t="s">
        <v>30</v>
      </c>
      <c r="W1771" s="6" t="s">
        <v>30</v>
      </c>
      <c r="X1771" s="2" t="s">
        <v>30</v>
      </c>
      <c r="Y1771" s="6" t="str">
        <f aca="false">IF(AND(X1771="processed",ISNUMBER(S1771)),S1771*O1771,"")</f>
        <v/>
      </c>
      <c r="Z1771" s="6" t="n">
        <f aca="false">IF(ISNUMBER(K1771),K1771*O1771,0)</f>
        <v>0</v>
      </c>
      <c r="AA1771" s="2" t="s">
        <v>31</v>
      </c>
      <c r="AB1771" s="6" t="n">
        <v>16727</v>
      </c>
      <c r="AC1771" s="6" t="n">
        <v>13965</v>
      </c>
      <c r="AD1771" s="6" t="n">
        <v>1856</v>
      </c>
      <c r="AE1771" s="6" t="n">
        <v>2386.04296875</v>
      </c>
      <c r="AF1771" s="8" t="n">
        <v>255.791594501</v>
      </c>
      <c r="AG1771" s="11" t="n">
        <v>0.01756043742</v>
      </c>
      <c r="AH1771" s="12" t="n">
        <v>1</v>
      </c>
      <c r="AI1771" s="2" t="s">
        <v>317</v>
      </c>
      <c r="AJ1771" s="2" t="s">
        <v>3913</v>
      </c>
      <c r="AK1771" s="2" t="s">
        <v>3913</v>
      </c>
    </row>
    <row r="1772" customFormat="false" ht="15" hidden="false" customHeight="false" outlineLevel="0" collapsed="false">
      <c r="A1772" s="9"/>
      <c r="B1772" s="2" t="s">
        <v>3917</v>
      </c>
      <c r="C1772" s="2" t="s">
        <v>3913</v>
      </c>
      <c r="D1772" s="2" t="s">
        <v>1685</v>
      </c>
      <c r="E1772" s="2" t="s">
        <v>51</v>
      </c>
      <c r="F1772" s="2" t="s">
        <v>3918</v>
      </c>
      <c r="G1772" s="2" t="s">
        <v>1686</v>
      </c>
      <c r="H1772" s="8" t="n">
        <v>249.089557923136</v>
      </c>
      <c r="I1772" s="2" t="s">
        <v>316</v>
      </c>
      <c r="J1772" s="8" t="n">
        <v>390178.329571106</v>
      </c>
      <c r="K1772" s="6" t="n">
        <v>443</v>
      </c>
      <c r="L1772" s="2"/>
      <c r="M1772" s="10" t="b">
        <f aca="false">TRUE()</f>
        <v>1</v>
      </c>
      <c r="N1772" s="9" t="str">
        <f aca="false">IF(H1772="","",IF(H1772&gt;=Assumptions!$B$5,1,IF(H1772&gt;=Assumptions!$B$6,2,IF(H1772&gt;=Assumptions!$B$7,3,""))))</f>
        <v/>
      </c>
      <c r="O1772" s="9" t="n">
        <f aca="false">IF(N1772=1,Assumptions!$B$8,IF(N1772=2,Assumptions!$B$9,IF(N1772=3,Assumptions!$B$10,0)))</f>
        <v>0</v>
      </c>
      <c r="P1772" s="6" t="s">
        <v>30</v>
      </c>
      <c r="Q1772" s="6" t="s">
        <v>30</v>
      </c>
      <c r="R1772" s="11" t="s">
        <v>30</v>
      </c>
      <c r="S1772" s="6" t="s">
        <v>30</v>
      </c>
      <c r="T1772" s="11" t="s">
        <v>30</v>
      </c>
      <c r="U1772" s="6" t="s">
        <v>30</v>
      </c>
      <c r="V1772" s="6" t="s">
        <v>30</v>
      </c>
      <c r="W1772" s="6" t="s">
        <v>30</v>
      </c>
      <c r="X1772" s="2" t="s">
        <v>30</v>
      </c>
      <c r="Y1772" s="6" t="str">
        <f aca="false">IF(AND(X1772="processed",ISNUMBER(S1772)),S1772*O1772,"")</f>
        <v/>
      </c>
      <c r="Z1772" s="6" t="n">
        <f aca="false">IF(ISNUMBER(K1772),K1772*O1772,0)</f>
        <v>0</v>
      </c>
      <c r="AA1772" s="2" t="s">
        <v>31</v>
      </c>
      <c r="AB1772" s="6" t="n">
        <v>24417</v>
      </c>
      <c r="AC1772" s="6" t="n">
        <v>20484</v>
      </c>
      <c r="AD1772" s="6" t="n">
        <v>6595</v>
      </c>
      <c r="AE1772" s="6" t="n">
        <v>2349.13598632813</v>
      </c>
      <c r="AF1772" s="8" t="n">
        <v>249.230951254</v>
      </c>
      <c r="AG1772" s="11" t="n">
        <v>-0.03340463784</v>
      </c>
      <c r="AH1772" s="12" t="n">
        <v>0.999999999999997</v>
      </c>
      <c r="AI1772" s="2" t="s">
        <v>317</v>
      </c>
      <c r="AJ1772" s="2" t="s">
        <v>3913</v>
      </c>
      <c r="AK1772" s="2" t="s">
        <v>3913</v>
      </c>
    </row>
    <row r="1773" customFormat="false" ht="15" hidden="false" customHeight="false" outlineLevel="0" collapsed="false">
      <c r="A1773" s="9"/>
      <c r="B1773" s="2" t="s">
        <v>3919</v>
      </c>
      <c r="C1773" s="2" t="s">
        <v>3920</v>
      </c>
      <c r="D1773" s="2" t="s">
        <v>3921</v>
      </c>
      <c r="E1773" s="2" t="s">
        <v>51</v>
      </c>
      <c r="F1773" s="2"/>
      <c r="G1773" s="2" t="s">
        <v>3922</v>
      </c>
      <c r="H1773" s="8" t="n">
        <v>167.299852013667</v>
      </c>
      <c r="I1773" s="2" t="s">
        <v>316</v>
      </c>
      <c r="J1773" s="8" t="n">
        <v>217583.333333333</v>
      </c>
      <c r="K1773" s="6" t="n">
        <v>6</v>
      </c>
      <c r="L1773" s="2"/>
      <c r="M1773" s="10" t="b">
        <f aca="false">TRUE()</f>
        <v>1</v>
      </c>
      <c r="N1773" s="9" t="str">
        <f aca="false">IF(H1773="","",IF(H1773&gt;=Assumptions!$B$5,1,IF(H1773&gt;=Assumptions!$B$6,2,IF(H1773&gt;=Assumptions!$B$7,3,""))))</f>
        <v/>
      </c>
      <c r="O1773" s="9" t="n">
        <f aca="false">IF(N1773=1,Assumptions!$B$8,IF(N1773=2,Assumptions!$B$9,IF(N1773=3,Assumptions!$B$10,0)))</f>
        <v>0</v>
      </c>
      <c r="P1773" s="6" t="s">
        <v>30</v>
      </c>
      <c r="Q1773" s="6" t="s">
        <v>30</v>
      </c>
      <c r="R1773" s="11" t="s">
        <v>30</v>
      </c>
      <c r="S1773" s="6" t="s">
        <v>30</v>
      </c>
      <c r="T1773" s="11" t="s">
        <v>30</v>
      </c>
      <c r="U1773" s="6" t="s">
        <v>30</v>
      </c>
      <c r="V1773" s="6" t="s">
        <v>30</v>
      </c>
      <c r="W1773" s="6" t="s">
        <v>30</v>
      </c>
      <c r="X1773" s="2" t="s">
        <v>30</v>
      </c>
      <c r="Y1773" s="6" t="str">
        <f aca="false">IF(AND(X1773="processed",ISNUMBER(S1773)),S1773*O1773,"")</f>
        <v/>
      </c>
      <c r="Z1773" s="6" t="n">
        <f aca="false">IF(ISNUMBER(K1773),K1773*O1773,0)</f>
        <v>0</v>
      </c>
      <c r="AA1773" s="2" t="s">
        <v>31</v>
      </c>
      <c r="AB1773" s="6" t="n">
        <v>784</v>
      </c>
      <c r="AC1773" s="6" t="n">
        <v>573</v>
      </c>
      <c r="AD1773" s="6" t="n">
        <v>420</v>
      </c>
      <c r="AE1773" s="6" t="n">
        <v>1494.79650878906</v>
      </c>
      <c r="AF1773" s="8" t="n">
        <v>224.538893344</v>
      </c>
      <c r="AG1773" s="11"/>
      <c r="AH1773" s="12" t="n">
        <v>0.621459014574004</v>
      </c>
      <c r="AI1773" s="2" t="s">
        <v>1597</v>
      </c>
      <c r="AJ1773" s="2"/>
      <c r="AK1773" s="2" t="s">
        <v>3920</v>
      </c>
    </row>
    <row r="1774" customFormat="false" ht="15" hidden="false" customHeight="false" outlineLevel="0" collapsed="false">
      <c r="A1774" s="9"/>
      <c r="B1774" s="2" t="s">
        <v>3923</v>
      </c>
      <c r="C1774" s="2" t="s">
        <v>3924</v>
      </c>
      <c r="D1774" s="2" t="s">
        <v>1685</v>
      </c>
      <c r="E1774" s="2" t="s">
        <v>51</v>
      </c>
      <c r="F1774" s="2"/>
      <c r="G1774" s="2" t="s">
        <v>1686</v>
      </c>
      <c r="H1774" s="8" t="n">
        <v>254.56563307474</v>
      </c>
      <c r="I1774" s="2" t="s">
        <v>316</v>
      </c>
      <c r="J1774" s="8" t="n">
        <v>346033.613445378</v>
      </c>
      <c r="K1774" s="6" t="n">
        <v>238</v>
      </c>
      <c r="L1774" s="2"/>
      <c r="M1774" s="10" t="b">
        <f aca="false">TRUE()</f>
        <v>1</v>
      </c>
      <c r="N1774" s="9" t="str">
        <f aca="false">IF(H1774="","",IF(H1774&gt;=Assumptions!$B$5,1,IF(H1774&gt;=Assumptions!$B$6,2,IF(H1774&gt;=Assumptions!$B$7,3,""))))</f>
        <v/>
      </c>
      <c r="O1774" s="9" t="n">
        <f aca="false">IF(N1774=1,Assumptions!$B$8,IF(N1774=2,Assumptions!$B$9,IF(N1774=3,Assumptions!$B$10,0)))</f>
        <v>0</v>
      </c>
      <c r="P1774" s="6" t="s">
        <v>30</v>
      </c>
      <c r="Q1774" s="6" t="s">
        <v>30</v>
      </c>
      <c r="R1774" s="11" t="s">
        <v>30</v>
      </c>
      <c r="S1774" s="6" t="s">
        <v>30</v>
      </c>
      <c r="T1774" s="11" t="s">
        <v>30</v>
      </c>
      <c r="U1774" s="6" t="s">
        <v>30</v>
      </c>
      <c r="V1774" s="6" t="s">
        <v>30</v>
      </c>
      <c r="W1774" s="6" t="s">
        <v>30</v>
      </c>
      <c r="X1774" s="2" t="s">
        <v>30</v>
      </c>
      <c r="Y1774" s="6" t="str">
        <f aca="false">IF(AND(X1774="processed",ISNUMBER(S1774)),S1774*O1774,"")</f>
        <v/>
      </c>
      <c r="Z1774" s="6" t="n">
        <f aca="false">IF(ISNUMBER(K1774),K1774*O1774,0)</f>
        <v>0</v>
      </c>
      <c r="AA1774" s="2" t="s">
        <v>31</v>
      </c>
      <c r="AB1774" s="6" t="n">
        <v>14427</v>
      </c>
      <c r="AC1774" s="6" t="n">
        <v>12289</v>
      </c>
      <c r="AD1774" s="6" t="n">
        <v>10170</v>
      </c>
      <c r="AE1774" s="6" t="n">
        <v>1972.85778808594</v>
      </c>
      <c r="AF1774" s="8" t="n">
        <v>257.452574526</v>
      </c>
      <c r="AG1774" s="11" t="n">
        <v>0.1020280222</v>
      </c>
      <c r="AH1774" s="12" t="n">
        <v>0.999893520634435</v>
      </c>
      <c r="AI1774" s="2" t="s">
        <v>317</v>
      </c>
      <c r="AJ1774" s="2" t="s">
        <v>3924</v>
      </c>
      <c r="AK1774" s="2" t="s">
        <v>3924</v>
      </c>
    </row>
    <row r="1775" customFormat="false" ht="15" hidden="false" customHeight="false" outlineLevel="0" collapsed="false">
      <c r="A1775" s="9"/>
      <c r="B1775" s="2" t="s">
        <v>3925</v>
      </c>
      <c r="C1775" s="2" t="s">
        <v>3926</v>
      </c>
      <c r="D1775" s="2" t="s">
        <v>1685</v>
      </c>
      <c r="E1775" s="2" t="s">
        <v>51</v>
      </c>
      <c r="F1775" s="2"/>
      <c r="G1775" s="2" t="s">
        <v>1686</v>
      </c>
      <c r="H1775" s="8" t="n">
        <v>215.219396419727</v>
      </c>
      <c r="I1775" s="2" t="s">
        <v>316</v>
      </c>
      <c r="J1775" s="8" t="n">
        <v>372909.090909091</v>
      </c>
      <c r="K1775" s="6" t="n">
        <v>22</v>
      </c>
      <c r="L1775" s="2"/>
      <c r="M1775" s="10" t="b">
        <f aca="false">TRUE()</f>
        <v>1</v>
      </c>
      <c r="N1775" s="9" t="str">
        <f aca="false">IF(H1775="","",IF(H1775&gt;=Assumptions!$B$5,1,IF(H1775&gt;=Assumptions!$B$6,2,IF(H1775&gt;=Assumptions!$B$7,3,""))))</f>
        <v/>
      </c>
      <c r="O1775" s="9" t="n">
        <f aca="false">IF(N1775=1,Assumptions!$B$8,IF(N1775=2,Assumptions!$B$9,IF(N1775=3,Assumptions!$B$10,0)))</f>
        <v>0</v>
      </c>
      <c r="P1775" s="6" t="s">
        <v>30</v>
      </c>
      <c r="Q1775" s="6" t="s">
        <v>30</v>
      </c>
      <c r="R1775" s="11" t="s">
        <v>30</v>
      </c>
      <c r="S1775" s="6" t="s">
        <v>30</v>
      </c>
      <c r="T1775" s="11" t="s">
        <v>30</v>
      </c>
      <c r="U1775" s="6" t="s">
        <v>30</v>
      </c>
      <c r="V1775" s="6" t="s">
        <v>30</v>
      </c>
      <c r="W1775" s="6" t="s">
        <v>30</v>
      </c>
      <c r="X1775" s="2" t="s">
        <v>30</v>
      </c>
      <c r="Y1775" s="6" t="str">
        <f aca="false">IF(AND(X1775="processed",ISNUMBER(S1775)),S1775*O1775,"")</f>
        <v/>
      </c>
      <c r="Z1775" s="6" t="n">
        <f aca="false">IF(ISNUMBER(K1775),K1775*O1775,0)</f>
        <v>0</v>
      </c>
      <c r="AA1775" s="2" t="s">
        <v>31</v>
      </c>
      <c r="AB1775" s="6" t="n">
        <v>1045</v>
      </c>
      <c r="AC1775" s="6" t="n">
        <v>877</v>
      </c>
      <c r="AD1775" s="6" t="n">
        <v>319</v>
      </c>
      <c r="AE1775" s="6" t="n">
        <v>1870.07092285156</v>
      </c>
      <c r="AF1775" s="8" t="n">
        <v>188.696471191</v>
      </c>
      <c r="AG1775" s="11" t="n">
        <v>0.9298611536</v>
      </c>
      <c r="AH1775" s="12" t="n">
        <v>0.999999999999999</v>
      </c>
      <c r="AI1775" s="2" t="s">
        <v>350</v>
      </c>
      <c r="AJ1775" s="2" t="s">
        <v>3926</v>
      </c>
      <c r="AK1775" s="2" t="s">
        <v>3927</v>
      </c>
    </row>
    <row r="1776" customFormat="false" ht="15" hidden="false" customHeight="false" outlineLevel="0" collapsed="false">
      <c r="A1776" s="9"/>
      <c r="B1776" s="2" t="s">
        <v>3928</v>
      </c>
      <c r="C1776" s="2" t="s">
        <v>3929</v>
      </c>
      <c r="D1776" s="2" t="s">
        <v>3921</v>
      </c>
      <c r="E1776" s="2" t="s">
        <v>51</v>
      </c>
      <c r="F1776" s="2"/>
      <c r="G1776" s="2" t="s">
        <v>3922</v>
      </c>
      <c r="H1776" s="8" t="n">
        <v>118.274343485714</v>
      </c>
      <c r="I1776" s="2" t="s">
        <v>316</v>
      </c>
      <c r="J1776" s="8" t="n">
        <v>131428.571428571</v>
      </c>
      <c r="K1776" s="6" t="n">
        <v>7</v>
      </c>
      <c r="L1776" s="2"/>
      <c r="M1776" s="10" t="b">
        <f aca="false">TRUE()</f>
        <v>1</v>
      </c>
      <c r="N1776" s="9" t="str">
        <f aca="false">IF(H1776="","",IF(H1776&gt;=Assumptions!$B$5,1,IF(H1776&gt;=Assumptions!$B$6,2,IF(H1776&gt;=Assumptions!$B$7,3,""))))</f>
        <v/>
      </c>
      <c r="O1776" s="9" t="n">
        <f aca="false">IF(N1776=1,Assumptions!$B$8,IF(N1776=2,Assumptions!$B$9,IF(N1776=3,Assumptions!$B$10,0)))</f>
        <v>0</v>
      </c>
      <c r="P1776" s="6" t="s">
        <v>30</v>
      </c>
      <c r="Q1776" s="6" t="s">
        <v>30</v>
      </c>
      <c r="R1776" s="11" t="s">
        <v>30</v>
      </c>
      <c r="S1776" s="6" t="s">
        <v>30</v>
      </c>
      <c r="T1776" s="11" t="s">
        <v>30</v>
      </c>
      <c r="U1776" s="6" t="s">
        <v>30</v>
      </c>
      <c r="V1776" s="6" t="s">
        <v>30</v>
      </c>
      <c r="W1776" s="6" t="s">
        <v>30</v>
      </c>
      <c r="X1776" s="2" t="s">
        <v>30</v>
      </c>
      <c r="Y1776" s="6" t="str">
        <f aca="false">IF(AND(X1776="processed",ISNUMBER(S1776)),S1776*O1776,"")</f>
        <v/>
      </c>
      <c r="Z1776" s="6" t="n">
        <f aca="false">IF(ISNUMBER(K1776),K1776*O1776,0)</f>
        <v>0</v>
      </c>
      <c r="AA1776" s="2" t="s">
        <v>31</v>
      </c>
      <c r="AB1776" s="6" t="n">
        <v>1072</v>
      </c>
      <c r="AC1776" s="6" t="n">
        <v>703</v>
      </c>
      <c r="AD1776" s="6" t="n">
        <v>126</v>
      </c>
      <c r="AE1776" s="6" t="n">
        <v>1637.86987304688</v>
      </c>
      <c r="AF1776" s="8" t="n">
        <v>112.433862434</v>
      </c>
      <c r="AG1776" s="11"/>
      <c r="AH1776" s="12" t="n">
        <v>0.999943003472974</v>
      </c>
      <c r="AI1776" s="2" t="s">
        <v>1597</v>
      </c>
      <c r="AJ1776" s="2"/>
      <c r="AK1776" s="2" t="s">
        <v>3929</v>
      </c>
    </row>
    <row r="1777" customFormat="false" ht="15" hidden="false" customHeight="false" outlineLevel="0" collapsed="false">
      <c r="A1777" s="9"/>
      <c r="B1777" s="2" t="s">
        <v>3930</v>
      </c>
      <c r="C1777" s="2" t="s">
        <v>3931</v>
      </c>
      <c r="D1777" s="2" t="s">
        <v>3380</v>
      </c>
      <c r="E1777" s="2" t="s">
        <v>51</v>
      </c>
      <c r="F1777" s="2"/>
      <c r="G1777" s="2"/>
      <c r="H1777" s="8"/>
      <c r="I1777" s="2"/>
      <c r="J1777" s="8"/>
      <c r="K1777" s="6"/>
      <c r="L1777" s="2"/>
      <c r="M1777" s="10" t="b">
        <f aca="false">TRUE()</f>
        <v>1</v>
      </c>
      <c r="N1777" s="9" t="str">
        <f aca="false">IF(H1777="","",IF(H1777&gt;=Assumptions!$B$5,1,IF(H1777&gt;=Assumptions!$B$6,2,IF(H1777&gt;=Assumptions!$B$7,3,""))))</f>
        <v/>
      </c>
      <c r="O1777" s="9" t="n">
        <f aca="false">IF(N1777=1,Assumptions!$B$8,IF(N1777=2,Assumptions!$B$9,IF(N1777=3,Assumptions!$B$10,0)))</f>
        <v>0</v>
      </c>
      <c r="P1777" s="6" t="s">
        <v>30</v>
      </c>
      <c r="Q1777" s="6" t="s">
        <v>30</v>
      </c>
      <c r="R1777" s="11" t="s">
        <v>30</v>
      </c>
      <c r="S1777" s="6" t="s">
        <v>30</v>
      </c>
      <c r="T1777" s="11" t="s">
        <v>30</v>
      </c>
      <c r="U1777" s="6" t="s">
        <v>30</v>
      </c>
      <c r="V1777" s="6" t="s">
        <v>30</v>
      </c>
      <c r="W1777" s="6" t="s">
        <v>30</v>
      </c>
      <c r="X1777" s="2" t="s">
        <v>30</v>
      </c>
      <c r="Y1777" s="6" t="str">
        <f aca="false">IF(AND(X1777="processed",ISNUMBER(S1777)),S1777*O1777,"")</f>
        <v/>
      </c>
      <c r="Z1777" s="6" t="n">
        <f aca="false">IF(ISNUMBER(K1777),K1777*O1777,0)</f>
        <v>0</v>
      </c>
      <c r="AA1777" s="2" t="s">
        <v>31</v>
      </c>
      <c r="AB1777" s="6" t="n">
        <v>217</v>
      </c>
      <c r="AC1777" s="6" t="n">
        <v>168</v>
      </c>
      <c r="AD1777" s="6" t="n">
        <v>193</v>
      </c>
      <c r="AE1777" s="6" t="n">
        <v>1314.81591796875</v>
      </c>
      <c r="AF1777" s="8"/>
      <c r="AG1777" s="11"/>
      <c r="AH1777" s="12" t="n">
        <v>0.999634993974965</v>
      </c>
      <c r="AI1777" s="2" t="s">
        <v>2086</v>
      </c>
      <c r="AJ1777" s="2" t="s">
        <v>3932</v>
      </c>
      <c r="AK1777" s="2" t="s">
        <v>3933</v>
      </c>
    </row>
    <row r="1778" customFormat="false" ht="15" hidden="false" customHeight="false" outlineLevel="0" collapsed="false">
      <c r="A1778" s="9"/>
      <c r="B1778" s="2" t="s">
        <v>3934</v>
      </c>
      <c r="C1778" s="2" t="s">
        <v>3935</v>
      </c>
      <c r="D1778" s="2" t="s">
        <v>1685</v>
      </c>
      <c r="E1778" s="2" t="s">
        <v>51</v>
      </c>
      <c r="F1778" s="2"/>
      <c r="G1778" s="2"/>
      <c r="H1778" s="8"/>
      <c r="I1778" s="2"/>
      <c r="J1778" s="8"/>
      <c r="K1778" s="6"/>
      <c r="L1778" s="2"/>
      <c r="M1778" s="10" t="b">
        <f aca="false">TRUE()</f>
        <v>1</v>
      </c>
      <c r="N1778" s="9" t="str">
        <f aca="false">IF(H1778="","",IF(H1778&gt;=Assumptions!$B$5,1,IF(H1778&gt;=Assumptions!$B$6,2,IF(H1778&gt;=Assumptions!$B$7,3,""))))</f>
        <v/>
      </c>
      <c r="O1778" s="9" t="n">
        <f aca="false">IF(N1778=1,Assumptions!$B$8,IF(N1778=2,Assumptions!$B$9,IF(N1778=3,Assumptions!$B$10,0)))</f>
        <v>0</v>
      </c>
      <c r="P1778" s="6" t="s">
        <v>30</v>
      </c>
      <c r="Q1778" s="6" t="s">
        <v>30</v>
      </c>
      <c r="R1778" s="11" t="s">
        <v>30</v>
      </c>
      <c r="S1778" s="6" t="s">
        <v>30</v>
      </c>
      <c r="T1778" s="11" t="s">
        <v>30</v>
      </c>
      <c r="U1778" s="6" t="s">
        <v>30</v>
      </c>
      <c r="V1778" s="6" t="s">
        <v>30</v>
      </c>
      <c r="W1778" s="6" t="s">
        <v>30</v>
      </c>
      <c r="X1778" s="2" t="s">
        <v>30</v>
      </c>
      <c r="Y1778" s="6" t="str">
        <f aca="false">IF(AND(X1778="processed",ISNUMBER(S1778)),S1778*O1778,"")</f>
        <v/>
      </c>
      <c r="Z1778" s="6" t="n">
        <f aca="false">IF(ISNUMBER(K1778),K1778*O1778,0)</f>
        <v>0</v>
      </c>
      <c r="AA1778" s="2" t="s">
        <v>31</v>
      </c>
      <c r="AB1778" s="6" t="n">
        <v>267</v>
      </c>
      <c r="AC1778" s="6" t="n">
        <v>225</v>
      </c>
      <c r="AD1778" s="6" t="n">
        <v>148</v>
      </c>
      <c r="AE1778" s="6" t="n">
        <v>1311.15844726563</v>
      </c>
      <c r="AF1778" s="8"/>
      <c r="AG1778" s="11"/>
      <c r="AH1778" s="12" t="n">
        <v>1</v>
      </c>
      <c r="AI1778" s="2" t="s">
        <v>317</v>
      </c>
      <c r="AJ1778" s="2" t="s">
        <v>3935</v>
      </c>
      <c r="AK1778" s="2" t="s">
        <v>3935</v>
      </c>
    </row>
    <row r="1779" customFormat="false" ht="15" hidden="false" customHeight="false" outlineLevel="0" collapsed="false">
      <c r="A1779" s="9"/>
      <c r="B1779" s="2" t="s">
        <v>3936</v>
      </c>
      <c r="C1779" s="2" t="s">
        <v>3937</v>
      </c>
      <c r="D1779" s="2" t="s">
        <v>1685</v>
      </c>
      <c r="E1779" s="2" t="s">
        <v>51</v>
      </c>
      <c r="F1779" s="2"/>
      <c r="G1779" s="2" t="s">
        <v>1686</v>
      </c>
      <c r="H1779" s="8" t="n">
        <v>177.241930948795</v>
      </c>
      <c r="I1779" s="2" t="s">
        <v>316</v>
      </c>
      <c r="J1779" s="8" t="n">
        <v>211935.897435897</v>
      </c>
      <c r="K1779" s="6" t="n">
        <v>39</v>
      </c>
      <c r="L1779" s="2"/>
      <c r="M1779" s="10" t="b">
        <f aca="false">TRUE()</f>
        <v>1</v>
      </c>
      <c r="N1779" s="9" t="str">
        <f aca="false">IF(H1779="","",IF(H1779&gt;=Assumptions!$B$5,1,IF(H1779&gt;=Assumptions!$B$6,2,IF(H1779&gt;=Assumptions!$B$7,3,""))))</f>
        <v/>
      </c>
      <c r="O1779" s="9" t="n">
        <f aca="false">IF(N1779=1,Assumptions!$B$8,IF(N1779=2,Assumptions!$B$9,IF(N1779=3,Assumptions!$B$10,0)))</f>
        <v>0</v>
      </c>
      <c r="P1779" s="6" t="s">
        <v>30</v>
      </c>
      <c r="Q1779" s="6" t="s">
        <v>30</v>
      </c>
      <c r="R1779" s="11" t="s">
        <v>30</v>
      </c>
      <c r="S1779" s="6" t="s">
        <v>30</v>
      </c>
      <c r="T1779" s="11" t="s">
        <v>30</v>
      </c>
      <c r="U1779" s="6" t="s">
        <v>30</v>
      </c>
      <c r="V1779" s="6" t="s">
        <v>30</v>
      </c>
      <c r="W1779" s="6" t="s">
        <v>30</v>
      </c>
      <c r="X1779" s="2" t="s">
        <v>30</v>
      </c>
      <c r="Y1779" s="6" t="str">
        <f aca="false">IF(AND(X1779="processed",ISNUMBER(S1779)),S1779*O1779,"")</f>
        <v/>
      </c>
      <c r="Z1779" s="6" t="n">
        <f aca="false">IF(ISNUMBER(K1779),K1779*O1779,0)</f>
        <v>0</v>
      </c>
      <c r="AA1779" s="2" t="s">
        <v>31</v>
      </c>
      <c r="AB1779" s="6" t="n">
        <v>2743</v>
      </c>
      <c r="AC1779" s="6" t="n">
        <v>2292</v>
      </c>
      <c r="AD1779" s="6" t="n">
        <v>2117</v>
      </c>
      <c r="AE1779" s="6" t="n">
        <v>1766.16723632813</v>
      </c>
      <c r="AF1779" s="8" t="n">
        <v>178.294573643</v>
      </c>
      <c r="AG1779" s="11" t="n">
        <v>0.03735024665</v>
      </c>
      <c r="AH1779" s="12" t="n">
        <v>0.999945195753168</v>
      </c>
      <c r="AI1779" s="2" t="s">
        <v>317</v>
      </c>
      <c r="AJ1779" s="2" t="s">
        <v>3937</v>
      </c>
      <c r="AK1779" s="2" t="s">
        <v>3938</v>
      </c>
    </row>
    <row r="1780" customFormat="false" ht="15" hidden="false" customHeight="false" outlineLevel="0" collapsed="false">
      <c r="A1780" s="9"/>
      <c r="B1780" s="2" t="s">
        <v>3939</v>
      </c>
      <c r="C1780" s="2" t="s">
        <v>3940</v>
      </c>
      <c r="D1780" s="2" t="s">
        <v>3452</v>
      </c>
      <c r="E1780" s="2" t="s">
        <v>51</v>
      </c>
      <c r="F1780" s="2"/>
      <c r="G1780" s="2"/>
      <c r="H1780" s="8"/>
      <c r="I1780" s="2"/>
      <c r="J1780" s="8"/>
      <c r="K1780" s="6"/>
      <c r="L1780" s="2"/>
      <c r="M1780" s="10" t="b">
        <f aca="false">TRUE()</f>
        <v>1</v>
      </c>
      <c r="N1780" s="9" t="str">
        <f aca="false">IF(H1780="","",IF(H1780&gt;=Assumptions!$B$5,1,IF(H1780&gt;=Assumptions!$B$6,2,IF(H1780&gt;=Assumptions!$B$7,3,""))))</f>
        <v/>
      </c>
      <c r="O1780" s="9" t="n">
        <f aca="false">IF(N1780=1,Assumptions!$B$8,IF(N1780=2,Assumptions!$B$9,IF(N1780=3,Assumptions!$B$10,0)))</f>
        <v>0</v>
      </c>
      <c r="P1780" s="6" t="s">
        <v>30</v>
      </c>
      <c r="Q1780" s="6" t="s">
        <v>30</v>
      </c>
      <c r="R1780" s="11" t="s">
        <v>30</v>
      </c>
      <c r="S1780" s="6" t="s">
        <v>30</v>
      </c>
      <c r="T1780" s="11" t="s">
        <v>30</v>
      </c>
      <c r="U1780" s="6" t="s">
        <v>30</v>
      </c>
      <c r="V1780" s="6" t="s">
        <v>30</v>
      </c>
      <c r="W1780" s="6" t="s">
        <v>30</v>
      </c>
      <c r="X1780" s="2" t="s">
        <v>30</v>
      </c>
      <c r="Y1780" s="6" t="str">
        <f aca="false">IF(AND(X1780="processed",ISNUMBER(S1780)),S1780*O1780,"")</f>
        <v/>
      </c>
      <c r="Z1780" s="6" t="n">
        <f aca="false">IF(ISNUMBER(K1780),K1780*O1780,0)</f>
        <v>0</v>
      </c>
      <c r="AA1780" s="2" t="s">
        <v>31</v>
      </c>
      <c r="AB1780" s="6" t="n">
        <v>367</v>
      </c>
      <c r="AC1780" s="6" t="n">
        <v>273</v>
      </c>
      <c r="AD1780" s="6" t="n">
        <v>259</v>
      </c>
      <c r="AE1780" s="6" t="n">
        <v>1505.5361328125</v>
      </c>
      <c r="AF1780" s="8"/>
      <c r="AG1780" s="11"/>
      <c r="AH1780" s="12" t="n">
        <v>0.999495125485146</v>
      </c>
      <c r="AI1780" s="2" t="s">
        <v>3941</v>
      </c>
      <c r="AJ1780" s="2" t="s">
        <v>3942</v>
      </c>
      <c r="AK1780" s="2" t="s">
        <v>3940</v>
      </c>
    </row>
    <row r="1781" customFormat="false" ht="15" hidden="false" customHeight="false" outlineLevel="0" collapsed="false">
      <c r="A1781" s="9"/>
      <c r="B1781" s="2" t="s">
        <v>3943</v>
      </c>
      <c r="C1781" s="2" t="s">
        <v>3944</v>
      </c>
      <c r="D1781" s="2" t="s">
        <v>3945</v>
      </c>
      <c r="E1781" s="2" t="s">
        <v>51</v>
      </c>
      <c r="F1781" s="2"/>
      <c r="G1781" s="2"/>
      <c r="H1781" s="8"/>
      <c r="I1781" s="2"/>
      <c r="J1781" s="8"/>
      <c r="K1781" s="6"/>
      <c r="L1781" s="2"/>
      <c r="M1781" s="10" t="b">
        <f aca="false">TRUE()</f>
        <v>1</v>
      </c>
      <c r="N1781" s="9" t="str">
        <f aca="false">IF(H1781="","",IF(H1781&gt;=Assumptions!$B$5,1,IF(H1781&gt;=Assumptions!$B$6,2,IF(H1781&gt;=Assumptions!$B$7,3,""))))</f>
        <v/>
      </c>
      <c r="O1781" s="9" t="n">
        <f aca="false">IF(N1781=1,Assumptions!$B$8,IF(N1781=2,Assumptions!$B$9,IF(N1781=3,Assumptions!$B$10,0)))</f>
        <v>0</v>
      </c>
      <c r="P1781" s="6" t="s">
        <v>30</v>
      </c>
      <c r="Q1781" s="6" t="s">
        <v>30</v>
      </c>
      <c r="R1781" s="11" t="s">
        <v>30</v>
      </c>
      <c r="S1781" s="6" t="s">
        <v>30</v>
      </c>
      <c r="T1781" s="11" t="s">
        <v>30</v>
      </c>
      <c r="U1781" s="6" t="s">
        <v>30</v>
      </c>
      <c r="V1781" s="6" t="s">
        <v>30</v>
      </c>
      <c r="W1781" s="6" t="s">
        <v>30</v>
      </c>
      <c r="X1781" s="2" t="s">
        <v>30</v>
      </c>
      <c r="Y1781" s="6" t="str">
        <f aca="false">IF(AND(X1781="processed",ISNUMBER(S1781)),S1781*O1781,"")</f>
        <v/>
      </c>
      <c r="Z1781" s="6" t="n">
        <f aca="false">IF(ISNUMBER(K1781),K1781*O1781,0)</f>
        <v>0</v>
      </c>
      <c r="AA1781" s="2" t="s">
        <v>31</v>
      </c>
      <c r="AB1781" s="6" t="n">
        <v>445</v>
      </c>
      <c r="AC1781" s="6" t="n">
        <v>328</v>
      </c>
      <c r="AD1781" s="6" t="n">
        <v>312</v>
      </c>
      <c r="AE1781" s="6" t="n">
        <v>1681.53283691406</v>
      </c>
      <c r="AF1781" s="8"/>
      <c r="AG1781" s="11"/>
      <c r="AH1781" s="12" t="n">
        <v>1</v>
      </c>
      <c r="AI1781" s="2" t="s">
        <v>1597</v>
      </c>
      <c r="AJ1781" s="2"/>
      <c r="AK1781" s="2" t="s">
        <v>3944</v>
      </c>
    </row>
    <row r="1782" customFormat="false" ht="15" hidden="false" customHeight="false" outlineLevel="0" collapsed="false">
      <c r="A1782" s="9"/>
      <c r="B1782" s="2" t="s">
        <v>3946</v>
      </c>
      <c r="C1782" s="2" t="s">
        <v>3947</v>
      </c>
      <c r="D1782" s="2" t="s">
        <v>1685</v>
      </c>
      <c r="E1782" s="2" t="s">
        <v>51</v>
      </c>
      <c r="F1782" s="2"/>
      <c r="G1782" s="2" t="s">
        <v>1686</v>
      </c>
      <c r="H1782" s="8" t="n">
        <v>196.7933266566</v>
      </c>
      <c r="I1782" s="2" t="s">
        <v>316</v>
      </c>
      <c r="J1782" s="8" t="n">
        <v>299000</v>
      </c>
      <c r="K1782" s="6" t="n">
        <v>5</v>
      </c>
      <c r="L1782" s="2"/>
      <c r="M1782" s="10" t="b">
        <f aca="false">TRUE()</f>
        <v>1</v>
      </c>
      <c r="N1782" s="9" t="str">
        <f aca="false">IF(H1782="","",IF(H1782&gt;=Assumptions!$B$5,1,IF(H1782&gt;=Assumptions!$B$6,2,IF(H1782&gt;=Assumptions!$B$7,3,""))))</f>
        <v/>
      </c>
      <c r="O1782" s="9" t="n">
        <f aca="false">IF(N1782=1,Assumptions!$B$8,IF(N1782=2,Assumptions!$B$9,IF(N1782=3,Assumptions!$B$10,0)))</f>
        <v>0</v>
      </c>
      <c r="P1782" s="6" t="s">
        <v>30</v>
      </c>
      <c r="Q1782" s="6" t="s">
        <v>30</v>
      </c>
      <c r="R1782" s="11" t="s">
        <v>30</v>
      </c>
      <c r="S1782" s="6" t="s">
        <v>30</v>
      </c>
      <c r="T1782" s="11" t="s">
        <v>30</v>
      </c>
      <c r="U1782" s="6" t="s">
        <v>30</v>
      </c>
      <c r="V1782" s="6" t="s">
        <v>30</v>
      </c>
      <c r="W1782" s="6" t="s">
        <v>30</v>
      </c>
      <c r="X1782" s="2" t="s">
        <v>30</v>
      </c>
      <c r="Y1782" s="6" t="str">
        <f aca="false">IF(AND(X1782="processed",ISNUMBER(S1782)),S1782*O1782,"")</f>
        <v/>
      </c>
      <c r="Z1782" s="6" t="n">
        <f aca="false">IF(ISNUMBER(K1782),K1782*O1782,0)</f>
        <v>0</v>
      </c>
      <c r="AA1782" s="2" t="s">
        <v>31</v>
      </c>
      <c r="AB1782" s="6" t="n">
        <v>504</v>
      </c>
      <c r="AC1782" s="6" t="n">
        <v>420</v>
      </c>
      <c r="AD1782" s="6" t="n">
        <v>204</v>
      </c>
      <c r="AE1782" s="6" t="n">
        <v>1689.27783203125</v>
      </c>
      <c r="AF1782" s="8" t="n">
        <v>273.553238836</v>
      </c>
      <c r="AG1782" s="11"/>
      <c r="AH1782" s="12" t="n">
        <v>1</v>
      </c>
      <c r="AI1782" s="2" t="s">
        <v>321</v>
      </c>
      <c r="AJ1782" s="2" t="s">
        <v>3947</v>
      </c>
      <c r="AK1782" s="2" t="s">
        <v>3947</v>
      </c>
    </row>
    <row r="1783" customFormat="false" ht="15" hidden="false" customHeight="false" outlineLevel="0" collapsed="false">
      <c r="A1783" s="9"/>
      <c r="B1783" s="2" t="s">
        <v>3948</v>
      </c>
      <c r="C1783" s="2" t="s">
        <v>3949</v>
      </c>
      <c r="D1783" s="2" t="s">
        <v>1685</v>
      </c>
      <c r="E1783" s="2" t="s">
        <v>51</v>
      </c>
      <c r="F1783" s="2"/>
      <c r="G1783" s="2"/>
      <c r="H1783" s="8"/>
      <c r="I1783" s="2"/>
      <c r="J1783" s="8"/>
      <c r="K1783" s="6"/>
      <c r="L1783" s="2"/>
      <c r="M1783" s="10" t="b">
        <f aca="false">TRUE()</f>
        <v>1</v>
      </c>
      <c r="N1783" s="9" t="str">
        <f aca="false">IF(H1783="","",IF(H1783&gt;=Assumptions!$B$5,1,IF(H1783&gt;=Assumptions!$B$6,2,IF(H1783&gt;=Assumptions!$B$7,3,""))))</f>
        <v/>
      </c>
      <c r="O1783" s="9" t="n">
        <f aca="false">IF(N1783=1,Assumptions!$B$8,IF(N1783=2,Assumptions!$B$9,IF(N1783=3,Assumptions!$B$10,0)))</f>
        <v>0</v>
      </c>
      <c r="P1783" s="6" t="s">
        <v>30</v>
      </c>
      <c r="Q1783" s="6" t="s">
        <v>30</v>
      </c>
      <c r="R1783" s="11" t="s">
        <v>30</v>
      </c>
      <c r="S1783" s="6" t="s">
        <v>30</v>
      </c>
      <c r="T1783" s="11" t="s">
        <v>30</v>
      </c>
      <c r="U1783" s="6" t="s">
        <v>30</v>
      </c>
      <c r="V1783" s="6" t="s">
        <v>30</v>
      </c>
      <c r="W1783" s="6" t="s">
        <v>30</v>
      </c>
      <c r="X1783" s="2" t="s">
        <v>30</v>
      </c>
      <c r="Y1783" s="6" t="str">
        <f aca="false">IF(AND(X1783="processed",ISNUMBER(S1783)),S1783*O1783,"")</f>
        <v/>
      </c>
      <c r="Z1783" s="6" t="n">
        <f aca="false">IF(ISNUMBER(K1783),K1783*O1783,0)</f>
        <v>0</v>
      </c>
      <c r="AA1783" s="2" t="s">
        <v>31</v>
      </c>
      <c r="AB1783" s="6" t="n">
        <v>176</v>
      </c>
      <c r="AC1783" s="6" t="n">
        <v>145</v>
      </c>
      <c r="AD1783" s="6" t="n">
        <v>90</v>
      </c>
      <c r="AE1783" s="6" t="n">
        <v>1354.88342285156</v>
      </c>
      <c r="AF1783" s="8"/>
      <c r="AG1783" s="11"/>
      <c r="AH1783" s="12" t="n">
        <v>0.995411109370942</v>
      </c>
      <c r="AI1783" s="2" t="s">
        <v>321</v>
      </c>
      <c r="AJ1783" s="2" t="s">
        <v>3949</v>
      </c>
      <c r="AK1783" s="2" t="s">
        <v>3949</v>
      </c>
    </row>
    <row r="1784" customFormat="false" ht="15" hidden="false" customHeight="false" outlineLevel="0" collapsed="false">
      <c r="A1784" s="9"/>
      <c r="B1784" s="2" t="s">
        <v>3950</v>
      </c>
      <c r="C1784" s="2" t="s">
        <v>3951</v>
      </c>
      <c r="D1784" s="2" t="s">
        <v>1685</v>
      </c>
      <c r="E1784" s="2" t="s">
        <v>51</v>
      </c>
      <c r="F1784" s="2" t="s">
        <v>3952</v>
      </c>
      <c r="G1784" s="2" t="s">
        <v>1686</v>
      </c>
      <c r="H1784" s="8" t="n">
        <v>250.478026190765</v>
      </c>
      <c r="I1784" s="2" t="s">
        <v>316</v>
      </c>
      <c r="J1784" s="8" t="n">
        <v>315338.235294118</v>
      </c>
      <c r="K1784" s="6" t="n">
        <v>136</v>
      </c>
      <c r="L1784" s="2"/>
      <c r="M1784" s="10" t="b">
        <f aca="false">TRUE()</f>
        <v>1</v>
      </c>
      <c r="N1784" s="9" t="str">
        <f aca="false">IF(H1784="","",IF(H1784&gt;=Assumptions!$B$5,1,IF(H1784&gt;=Assumptions!$B$6,2,IF(H1784&gt;=Assumptions!$B$7,3,""))))</f>
        <v/>
      </c>
      <c r="O1784" s="9" t="n">
        <f aca="false">IF(N1784=1,Assumptions!$B$8,IF(N1784=2,Assumptions!$B$9,IF(N1784=3,Assumptions!$B$10,0)))</f>
        <v>0</v>
      </c>
      <c r="P1784" s="6" t="s">
        <v>30</v>
      </c>
      <c r="Q1784" s="6" t="s">
        <v>30</v>
      </c>
      <c r="R1784" s="11" t="s">
        <v>30</v>
      </c>
      <c r="S1784" s="6" t="s">
        <v>30</v>
      </c>
      <c r="T1784" s="11" t="s">
        <v>30</v>
      </c>
      <c r="U1784" s="6" t="s">
        <v>30</v>
      </c>
      <c r="V1784" s="6" t="s">
        <v>30</v>
      </c>
      <c r="W1784" s="6" t="s">
        <v>30</v>
      </c>
      <c r="X1784" s="2" t="s">
        <v>30</v>
      </c>
      <c r="Y1784" s="6" t="str">
        <f aca="false">IF(AND(X1784="processed",ISNUMBER(S1784)),S1784*O1784,"")</f>
        <v/>
      </c>
      <c r="Z1784" s="6" t="n">
        <f aca="false">IF(ISNUMBER(K1784),K1784*O1784,0)</f>
        <v>0</v>
      </c>
      <c r="AA1784" s="2" t="s">
        <v>31</v>
      </c>
      <c r="AB1784" s="6" t="n">
        <v>6044</v>
      </c>
      <c r="AC1784" s="6" t="n">
        <v>4986</v>
      </c>
      <c r="AD1784" s="6" t="n">
        <v>321</v>
      </c>
      <c r="AE1784" s="6" t="n">
        <v>1878.70849609375</v>
      </c>
      <c r="AF1784" s="8" t="n">
        <v>265.841328413</v>
      </c>
      <c r="AG1784" s="11" t="n">
        <v>0.117618646</v>
      </c>
      <c r="AH1784" s="12" t="n">
        <v>1</v>
      </c>
      <c r="AI1784" s="2" t="s">
        <v>317</v>
      </c>
      <c r="AJ1784" s="2" t="s">
        <v>3951</v>
      </c>
      <c r="AK1784" s="2" t="s">
        <v>3953</v>
      </c>
    </row>
    <row r="1785" customFormat="false" ht="15" hidden="false" customHeight="false" outlineLevel="0" collapsed="false">
      <c r="A1785" s="9"/>
      <c r="B1785" s="2" t="s">
        <v>3954</v>
      </c>
      <c r="C1785" s="2" t="s">
        <v>3955</v>
      </c>
      <c r="D1785" s="2" t="s">
        <v>3769</v>
      </c>
      <c r="E1785" s="2" t="s">
        <v>51</v>
      </c>
      <c r="F1785" s="2" t="s">
        <v>3956</v>
      </c>
      <c r="G1785" s="2"/>
      <c r="H1785" s="8"/>
      <c r="I1785" s="2"/>
      <c r="J1785" s="8"/>
      <c r="K1785" s="6"/>
      <c r="L1785" s="2"/>
      <c r="M1785" s="10" t="b">
        <f aca="false">TRUE()</f>
        <v>1</v>
      </c>
      <c r="N1785" s="9" t="str">
        <f aca="false">IF(H1785="","",IF(H1785&gt;=Assumptions!$B$5,1,IF(H1785&gt;=Assumptions!$B$6,2,IF(H1785&gt;=Assumptions!$B$7,3,""))))</f>
        <v/>
      </c>
      <c r="O1785" s="9" t="n">
        <f aca="false">IF(N1785=1,Assumptions!$B$8,IF(N1785=2,Assumptions!$B$9,IF(N1785=3,Assumptions!$B$10,0)))</f>
        <v>0</v>
      </c>
      <c r="P1785" s="6" t="s">
        <v>30</v>
      </c>
      <c r="Q1785" s="6" t="s">
        <v>30</v>
      </c>
      <c r="R1785" s="11" t="s">
        <v>30</v>
      </c>
      <c r="S1785" s="6" t="s">
        <v>30</v>
      </c>
      <c r="T1785" s="11" t="s">
        <v>30</v>
      </c>
      <c r="U1785" s="6" t="s">
        <v>30</v>
      </c>
      <c r="V1785" s="6" t="s">
        <v>30</v>
      </c>
      <c r="W1785" s="6" t="s">
        <v>30</v>
      </c>
      <c r="X1785" s="2" t="s">
        <v>30</v>
      </c>
      <c r="Y1785" s="6" t="str">
        <f aca="false">IF(AND(X1785="processed",ISNUMBER(S1785)),S1785*O1785,"")</f>
        <v/>
      </c>
      <c r="Z1785" s="6" t="n">
        <f aca="false">IF(ISNUMBER(K1785),K1785*O1785,0)</f>
        <v>0</v>
      </c>
      <c r="AA1785" s="2" t="s">
        <v>31</v>
      </c>
      <c r="AB1785" s="6" t="n">
        <v>2616</v>
      </c>
      <c r="AC1785" s="6" t="n">
        <v>2243</v>
      </c>
      <c r="AD1785" s="6" t="n">
        <v>1693</v>
      </c>
      <c r="AE1785" s="6" t="n">
        <v>2111.20727539063</v>
      </c>
      <c r="AF1785" s="8"/>
      <c r="AG1785" s="11"/>
      <c r="AH1785" s="12" t="n">
        <v>0.999124350975806</v>
      </c>
      <c r="AI1785" s="2" t="s">
        <v>1597</v>
      </c>
      <c r="AJ1785" s="2"/>
      <c r="AK1785" s="2" t="s">
        <v>3955</v>
      </c>
    </row>
    <row r="1786" customFormat="false" ht="15" hidden="false" customHeight="false" outlineLevel="0" collapsed="false">
      <c r="A1786" s="9"/>
      <c r="B1786" s="2" t="s">
        <v>3957</v>
      </c>
      <c r="C1786" s="2" t="s">
        <v>3958</v>
      </c>
      <c r="D1786" s="2" t="s">
        <v>1763</v>
      </c>
      <c r="E1786" s="2" t="s">
        <v>51</v>
      </c>
      <c r="F1786" s="2"/>
      <c r="G1786" s="2" t="s">
        <v>1764</v>
      </c>
      <c r="H1786" s="8" t="n">
        <v>223.402781949177</v>
      </c>
      <c r="I1786" s="2" t="s">
        <v>316</v>
      </c>
      <c r="J1786" s="8" t="n">
        <v>323164.556962025</v>
      </c>
      <c r="K1786" s="6" t="n">
        <v>79</v>
      </c>
      <c r="L1786" s="2"/>
      <c r="M1786" s="10" t="b">
        <f aca="false">TRUE()</f>
        <v>1</v>
      </c>
      <c r="N1786" s="9" t="str">
        <f aca="false">IF(H1786="","",IF(H1786&gt;=Assumptions!$B$5,1,IF(H1786&gt;=Assumptions!$B$6,2,IF(H1786&gt;=Assumptions!$B$7,3,""))))</f>
        <v/>
      </c>
      <c r="O1786" s="9" t="n">
        <f aca="false">IF(N1786=1,Assumptions!$B$8,IF(N1786=2,Assumptions!$B$9,IF(N1786=3,Assumptions!$B$10,0)))</f>
        <v>0</v>
      </c>
      <c r="P1786" s="6" t="s">
        <v>30</v>
      </c>
      <c r="Q1786" s="6" t="s">
        <v>30</v>
      </c>
      <c r="R1786" s="11" t="s">
        <v>30</v>
      </c>
      <c r="S1786" s="6" t="s">
        <v>30</v>
      </c>
      <c r="T1786" s="11" t="s">
        <v>30</v>
      </c>
      <c r="U1786" s="6" t="s">
        <v>30</v>
      </c>
      <c r="V1786" s="6" t="s">
        <v>30</v>
      </c>
      <c r="W1786" s="6" t="s">
        <v>30</v>
      </c>
      <c r="X1786" s="2" t="s">
        <v>30</v>
      </c>
      <c r="Y1786" s="6" t="str">
        <f aca="false">IF(AND(X1786="processed",ISNUMBER(S1786)),S1786*O1786,"")</f>
        <v/>
      </c>
      <c r="Z1786" s="6" t="n">
        <f aca="false">IF(ISNUMBER(K1786),K1786*O1786,0)</f>
        <v>0</v>
      </c>
      <c r="AA1786" s="2" t="s">
        <v>31</v>
      </c>
      <c r="AB1786" s="6" t="n">
        <v>10789</v>
      </c>
      <c r="AC1786" s="6" t="n">
        <v>8992</v>
      </c>
      <c r="AD1786" s="6" t="n">
        <v>10290</v>
      </c>
      <c r="AE1786" s="6" t="n">
        <v>1798.48889160156</v>
      </c>
      <c r="AF1786" s="8" t="n">
        <v>242.980561555</v>
      </c>
      <c r="AG1786" s="11" t="n">
        <v>-0.0747300216</v>
      </c>
      <c r="AH1786" s="12" t="n">
        <v>0.999935215377197</v>
      </c>
      <c r="AI1786" s="2" t="s">
        <v>319</v>
      </c>
      <c r="AJ1786" s="2"/>
      <c r="AK1786" s="2" t="s">
        <v>3958</v>
      </c>
    </row>
    <row r="1787" customFormat="false" ht="15" hidden="false" customHeight="false" outlineLevel="0" collapsed="false">
      <c r="A1787" s="9"/>
      <c r="B1787" s="2" t="s">
        <v>3959</v>
      </c>
      <c r="C1787" s="2" t="s">
        <v>3960</v>
      </c>
      <c r="D1787" s="2" t="s">
        <v>1763</v>
      </c>
      <c r="E1787" s="2" t="s">
        <v>51</v>
      </c>
      <c r="F1787" s="2"/>
      <c r="G1787" s="2" t="s">
        <v>1764</v>
      </c>
      <c r="H1787" s="8" t="n">
        <v>239.152371305451</v>
      </c>
      <c r="I1787" s="2" t="s">
        <v>316</v>
      </c>
      <c r="J1787" s="8" t="n">
        <v>375179.487179487</v>
      </c>
      <c r="K1787" s="6" t="n">
        <v>195</v>
      </c>
      <c r="L1787" s="2"/>
      <c r="M1787" s="10" t="b">
        <f aca="false">TRUE()</f>
        <v>1</v>
      </c>
      <c r="N1787" s="9" t="str">
        <f aca="false">IF(H1787="","",IF(H1787&gt;=Assumptions!$B$5,1,IF(H1787&gt;=Assumptions!$B$6,2,IF(H1787&gt;=Assumptions!$B$7,3,""))))</f>
        <v/>
      </c>
      <c r="O1787" s="9" t="n">
        <f aca="false">IF(N1787=1,Assumptions!$B$8,IF(N1787=2,Assumptions!$B$9,IF(N1787=3,Assumptions!$B$10,0)))</f>
        <v>0</v>
      </c>
      <c r="P1787" s="6" t="s">
        <v>30</v>
      </c>
      <c r="Q1787" s="6" t="s">
        <v>30</v>
      </c>
      <c r="R1787" s="11" t="s">
        <v>30</v>
      </c>
      <c r="S1787" s="6" t="s">
        <v>30</v>
      </c>
      <c r="T1787" s="11" t="s">
        <v>30</v>
      </c>
      <c r="U1787" s="6" t="s">
        <v>30</v>
      </c>
      <c r="V1787" s="6" t="s">
        <v>30</v>
      </c>
      <c r="W1787" s="6" t="s">
        <v>30</v>
      </c>
      <c r="X1787" s="2" t="s">
        <v>30</v>
      </c>
      <c r="Y1787" s="6" t="str">
        <f aca="false">IF(AND(X1787="processed",ISNUMBER(S1787)),S1787*O1787,"")</f>
        <v/>
      </c>
      <c r="Z1787" s="6" t="n">
        <f aca="false">IF(ISNUMBER(K1787),K1787*O1787,0)</f>
        <v>0</v>
      </c>
      <c r="AA1787" s="2" t="s">
        <v>31</v>
      </c>
      <c r="AB1787" s="6" t="n">
        <v>11430</v>
      </c>
      <c r="AC1787" s="6" t="n">
        <v>9861</v>
      </c>
      <c r="AD1787" s="6" t="n">
        <v>11180</v>
      </c>
      <c r="AE1787" s="6" t="n">
        <v>2153.40161132813</v>
      </c>
      <c r="AF1787" s="8" t="n">
        <v>245.633187773</v>
      </c>
      <c r="AG1787" s="11" t="n">
        <v>0.0193573237</v>
      </c>
      <c r="AH1787" s="12" t="n">
        <v>0.748887455419344</v>
      </c>
      <c r="AI1787" s="2" t="s">
        <v>321</v>
      </c>
      <c r="AJ1787" s="2" t="s">
        <v>3960</v>
      </c>
      <c r="AK1787" s="2" t="s">
        <v>3924</v>
      </c>
    </row>
    <row r="1788" customFormat="false" ht="15" hidden="false" customHeight="false" outlineLevel="0" collapsed="false">
      <c r="A1788" s="9"/>
      <c r="B1788" s="2" t="s">
        <v>3961</v>
      </c>
      <c r="C1788" s="2" t="s">
        <v>3962</v>
      </c>
      <c r="D1788" s="2" t="s">
        <v>3452</v>
      </c>
      <c r="E1788" s="2" t="s">
        <v>51</v>
      </c>
      <c r="F1788" s="2"/>
      <c r="G1788" s="2"/>
      <c r="H1788" s="8"/>
      <c r="I1788" s="2"/>
      <c r="J1788" s="8"/>
      <c r="K1788" s="6"/>
      <c r="L1788" s="2"/>
      <c r="M1788" s="10" t="b">
        <f aca="false">TRUE()</f>
        <v>1</v>
      </c>
      <c r="N1788" s="9" t="str">
        <f aca="false">IF(H1788="","",IF(H1788&gt;=Assumptions!$B$5,1,IF(H1788&gt;=Assumptions!$B$6,2,IF(H1788&gt;=Assumptions!$B$7,3,""))))</f>
        <v/>
      </c>
      <c r="O1788" s="9" t="n">
        <f aca="false">IF(N1788=1,Assumptions!$B$8,IF(N1788=2,Assumptions!$B$9,IF(N1788=3,Assumptions!$B$10,0)))</f>
        <v>0</v>
      </c>
      <c r="P1788" s="6" t="s">
        <v>30</v>
      </c>
      <c r="Q1788" s="6" t="s">
        <v>30</v>
      </c>
      <c r="R1788" s="11" t="s">
        <v>30</v>
      </c>
      <c r="S1788" s="6" t="s">
        <v>30</v>
      </c>
      <c r="T1788" s="11" t="s">
        <v>30</v>
      </c>
      <c r="U1788" s="6" t="s">
        <v>30</v>
      </c>
      <c r="V1788" s="6" t="s">
        <v>30</v>
      </c>
      <c r="W1788" s="6" t="s">
        <v>30</v>
      </c>
      <c r="X1788" s="2" t="s">
        <v>30</v>
      </c>
      <c r="Y1788" s="6" t="str">
        <f aca="false">IF(AND(X1788="processed",ISNUMBER(S1788)),S1788*O1788,"")</f>
        <v/>
      </c>
      <c r="Z1788" s="6" t="n">
        <f aca="false">IF(ISNUMBER(K1788),K1788*O1788,0)</f>
        <v>0</v>
      </c>
      <c r="AA1788" s="2" t="s">
        <v>31</v>
      </c>
      <c r="AB1788" s="6" t="n">
        <v>1400</v>
      </c>
      <c r="AC1788" s="6" t="n">
        <v>1059</v>
      </c>
      <c r="AD1788" s="6" t="n">
        <v>583</v>
      </c>
      <c r="AE1788" s="6" t="n">
        <v>1575.92602539063</v>
      </c>
      <c r="AF1788" s="8"/>
      <c r="AG1788" s="11"/>
      <c r="AH1788" s="12" t="n">
        <v>0.999762041693081</v>
      </c>
      <c r="AI1788" s="2" t="s">
        <v>350</v>
      </c>
      <c r="AJ1788" s="2" t="s">
        <v>3962</v>
      </c>
      <c r="AK1788" s="2" t="s">
        <v>3962</v>
      </c>
    </row>
    <row r="1789" customFormat="false" ht="15" hidden="false" customHeight="false" outlineLevel="0" collapsed="false">
      <c r="A1789" s="9"/>
      <c r="B1789" s="2" t="s">
        <v>3963</v>
      </c>
      <c r="C1789" s="2" t="s">
        <v>3964</v>
      </c>
      <c r="D1789" s="2" t="s">
        <v>3380</v>
      </c>
      <c r="E1789" s="2" t="s">
        <v>51</v>
      </c>
      <c r="F1789" s="2"/>
      <c r="G1789" s="2"/>
      <c r="H1789" s="8"/>
      <c r="I1789" s="2"/>
      <c r="J1789" s="8"/>
      <c r="K1789" s="6"/>
      <c r="L1789" s="2"/>
      <c r="M1789" s="10" t="b">
        <f aca="false">TRUE()</f>
        <v>1</v>
      </c>
      <c r="N1789" s="9" t="str">
        <f aca="false">IF(H1789="","",IF(H1789&gt;=Assumptions!$B$5,1,IF(H1789&gt;=Assumptions!$B$6,2,IF(H1789&gt;=Assumptions!$B$7,3,""))))</f>
        <v/>
      </c>
      <c r="O1789" s="9" t="n">
        <f aca="false">IF(N1789=1,Assumptions!$B$8,IF(N1789=2,Assumptions!$B$9,IF(N1789=3,Assumptions!$B$10,0)))</f>
        <v>0</v>
      </c>
      <c r="P1789" s="6" t="s">
        <v>30</v>
      </c>
      <c r="Q1789" s="6" t="s">
        <v>30</v>
      </c>
      <c r="R1789" s="11" t="s">
        <v>30</v>
      </c>
      <c r="S1789" s="6" t="s">
        <v>30</v>
      </c>
      <c r="T1789" s="11" t="s">
        <v>30</v>
      </c>
      <c r="U1789" s="6" t="s">
        <v>30</v>
      </c>
      <c r="V1789" s="6" t="s">
        <v>30</v>
      </c>
      <c r="W1789" s="6" t="s">
        <v>30</v>
      </c>
      <c r="X1789" s="2" t="s">
        <v>30</v>
      </c>
      <c r="Y1789" s="6" t="str">
        <f aca="false">IF(AND(X1789="processed",ISNUMBER(S1789)),S1789*O1789,"")</f>
        <v/>
      </c>
      <c r="Z1789" s="6" t="n">
        <f aca="false">IF(ISNUMBER(K1789),K1789*O1789,0)</f>
        <v>0</v>
      </c>
      <c r="AA1789" s="2" t="s">
        <v>31</v>
      </c>
      <c r="AB1789" s="6" t="n">
        <v>1133</v>
      </c>
      <c r="AC1789" s="6" t="n">
        <v>941</v>
      </c>
      <c r="AD1789" s="6" t="n">
        <v>1085</v>
      </c>
      <c r="AE1789" s="6" t="n">
        <v>1540.01330566406</v>
      </c>
      <c r="AF1789" s="8"/>
      <c r="AG1789" s="11"/>
      <c r="AH1789" s="12" t="n">
        <v>0.999666051529535</v>
      </c>
      <c r="AI1789" s="2" t="s">
        <v>317</v>
      </c>
      <c r="AJ1789" s="2" t="s">
        <v>3964</v>
      </c>
      <c r="AK1789" s="2" t="s">
        <v>3965</v>
      </c>
    </row>
    <row r="1790" customFormat="false" ht="15" hidden="false" customHeight="false" outlineLevel="0" collapsed="false">
      <c r="A1790" s="9"/>
      <c r="B1790" s="2" t="s">
        <v>3966</v>
      </c>
      <c r="C1790" s="2" t="s">
        <v>3967</v>
      </c>
      <c r="D1790" s="2" t="s">
        <v>3452</v>
      </c>
      <c r="E1790" s="2" t="s">
        <v>51</v>
      </c>
      <c r="F1790" s="2" t="s">
        <v>3968</v>
      </c>
      <c r="G1790" s="2"/>
      <c r="H1790" s="8"/>
      <c r="I1790" s="2"/>
      <c r="J1790" s="8"/>
      <c r="K1790" s="6"/>
      <c r="L1790" s="2"/>
      <c r="M1790" s="10" t="b">
        <f aca="false">TRUE()</f>
        <v>1</v>
      </c>
      <c r="N1790" s="9" t="str">
        <f aca="false">IF(H1790="","",IF(H1790&gt;=Assumptions!$B$5,1,IF(H1790&gt;=Assumptions!$B$6,2,IF(H1790&gt;=Assumptions!$B$7,3,""))))</f>
        <v/>
      </c>
      <c r="O1790" s="9" t="n">
        <f aca="false">IF(N1790=1,Assumptions!$B$8,IF(N1790=2,Assumptions!$B$9,IF(N1790=3,Assumptions!$B$10,0)))</f>
        <v>0</v>
      </c>
      <c r="P1790" s="6" t="s">
        <v>30</v>
      </c>
      <c r="Q1790" s="6" t="s">
        <v>30</v>
      </c>
      <c r="R1790" s="11" t="s">
        <v>30</v>
      </c>
      <c r="S1790" s="6" t="s">
        <v>30</v>
      </c>
      <c r="T1790" s="11" t="s">
        <v>30</v>
      </c>
      <c r="U1790" s="6" t="s">
        <v>30</v>
      </c>
      <c r="V1790" s="6" t="s">
        <v>30</v>
      </c>
      <c r="W1790" s="6" t="s">
        <v>30</v>
      </c>
      <c r="X1790" s="2" t="s">
        <v>30</v>
      </c>
      <c r="Y1790" s="6" t="str">
        <f aca="false">IF(AND(X1790="processed",ISNUMBER(S1790)),S1790*O1790,"")</f>
        <v/>
      </c>
      <c r="Z1790" s="6" t="n">
        <f aca="false">IF(ISNUMBER(K1790),K1790*O1790,0)</f>
        <v>0</v>
      </c>
      <c r="AA1790" s="2" t="s">
        <v>31</v>
      </c>
      <c r="AB1790" s="6" t="n">
        <v>1773</v>
      </c>
      <c r="AC1790" s="6" t="n">
        <v>1483</v>
      </c>
      <c r="AD1790" s="6" t="n">
        <v>323</v>
      </c>
      <c r="AE1790" s="6" t="n">
        <v>1424.06237792969</v>
      </c>
      <c r="AF1790" s="8"/>
      <c r="AG1790" s="11"/>
      <c r="AH1790" s="12" t="n">
        <v>0.837267940252385</v>
      </c>
      <c r="AI1790" s="2" t="s">
        <v>350</v>
      </c>
      <c r="AJ1790" s="2" t="s">
        <v>3967</v>
      </c>
      <c r="AK1790" s="2" t="s">
        <v>3967</v>
      </c>
    </row>
    <row r="1791" customFormat="false" ht="15" hidden="false" customHeight="false" outlineLevel="0" collapsed="false">
      <c r="A1791" s="9"/>
      <c r="B1791" s="2" t="s">
        <v>3969</v>
      </c>
      <c r="C1791" s="2" t="s">
        <v>3970</v>
      </c>
      <c r="D1791" s="2" t="s">
        <v>3452</v>
      </c>
      <c r="E1791" s="2" t="s">
        <v>51</v>
      </c>
      <c r="F1791" s="2"/>
      <c r="G1791" s="2"/>
      <c r="H1791" s="8"/>
      <c r="I1791" s="2"/>
      <c r="J1791" s="8"/>
      <c r="K1791" s="6"/>
      <c r="L1791" s="2"/>
      <c r="M1791" s="10" t="b">
        <f aca="false">TRUE()</f>
        <v>1</v>
      </c>
      <c r="N1791" s="9" t="str">
        <f aca="false">IF(H1791="","",IF(H1791&gt;=Assumptions!$B$5,1,IF(H1791&gt;=Assumptions!$B$6,2,IF(H1791&gt;=Assumptions!$B$7,3,""))))</f>
        <v/>
      </c>
      <c r="O1791" s="9" t="n">
        <f aca="false">IF(N1791=1,Assumptions!$B$8,IF(N1791=2,Assumptions!$B$9,IF(N1791=3,Assumptions!$B$10,0)))</f>
        <v>0</v>
      </c>
      <c r="P1791" s="6" t="s">
        <v>30</v>
      </c>
      <c r="Q1791" s="6" t="s">
        <v>30</v>
      </c>
      <c r="R1791" s="11" t="s">
        <v>30</v>
      </c>
      <c r="S1791" s="6" t="s">
        <v>30</v>
      </c>
      <c r="T1791" s="11" t="s">
        <v>30</v>
      </c>
      <c r="U1791" s="6" t="s">
        <v>30</v>
      </c>
      <c r="V1791" s="6" t="s">
        <v>30</v>
      </c>
      <c r="W1791" s="6" t="s">
        <v>30</v>
      </c>
      <c r="X1791" s="2" t="s">
        <v>30</v>
      </c>
      <c r="Y1791" s="6" t="str">
        <f aca="false">IF(AND(X1791="processed",ISNUMBER(S1791)),S1791*O1791,"")</f>
        <v/>
      </c>
      <c r="Z1791" s="6" t="n">
        <f aca="false">IF(ISNUMBER(K1791),K1791*O1791,0)</f>
        <v>0</v>
      </c>
      <c r="AA1791" s="2" t="s">
        <v>31</v>
      </c>
      <c r="AB1791" s="6" t="n">
        <v>2848</v>
      </c>
      <c r="AC1791" s="6" t="n">
        <v>2023</v>
      </c>
      <c r="AD1791" s="6" t="n">
        <v>1103</v>
      </c>
      <c r="AE1791" s="6" t="n">
        <v>1617.68151855469</v>
      </c>
      <c r="AF1791" s="8"/>
      <c r="AG1791" s="11"/>
      <c r="AH1791" s="12" t="n">
        <v>1</v>
      </c>
      <c r="AI1791" s="2" t="s">
        <v>340</v>
      </c>
      <c r="AJ1791" s="2" t="s">
        <v>3970</v>
      </c>
      <c r="AK1791" s="2" t="s">
        <v>3970</v>
      </c>
    </row>
    <row r="1792" customFormat="false" ht="15" hidden="false" customHeight="false" outlineLevel="0" collapsed="false">
      <c r="A1792" s="9"/>
      <c r="B1792" s="2" t="s">
        <v>3971</v>
      </c>
      <c r="C1792" s="2" t="s">
        <v>3972</v>
      </c>
      <c r="D1792" s="2" t="s">
        <v>1685</v>
      </c>
      <c r="E1792" s="2" t="s">
        <v>51</v>
      </c>
      <c r="F1792" s="2"/>
      <c r="G1792" s="2" t="s">
        <v>1686</v>
      </c>
      <c r="H1792" s="8" t="n">
        <v>200.96130270285</v>
      </c>
      <c r="I1792" s="2" t="s">
        <v>316</v>
      </c>
      <c r="J1792" s="8" t="n">
        <v>337350</v>
      </c>
      <c r="K1792" s="6" t="n">
        <v>20</v>
      </c>
      <c r="L1792" s="2"/>
      <c r="M1792" s="10" t="b">
        <f aca="false">TRUE()</f>
        <v>1</v>
      </c>
      <c r="N1792" s="9" t="str">
        <f aca="false">IF(H1792="","",IF(H1792&gt;=Assumptions!$B$5,1,IF(H1792&gt;=Assumptions!$B$6,2,IF(H1792&gt;=Assumptions!$B$7,3,""))))</f>
        <v/>
      </c>
      <c r="O1792" s="9" t="n">
        <f aca="false">IF(N1792=1,Assumptions!$B$8,IF(N1792=2,Assumptions!$B$9,IF(N1792=3,Assumptions!$B$10,0)))</f>
        <v>0</v>
      </c>
      <c r="P1792" s="6" t="s">
        <v>30</v>
      </c>
      <c r="Q1792" s="6" t="s">
        <v>30</v>
      </c>
      <c r="R1792" s="11" t="s">
        <v>30</v>
      </c>
      <c r="S1792" s="6" t="s">
        <v>30</v>
      </c>
      <c r="T1792" s="11" t="s">
        <v>30</v>
      </c>
      <c r="U1792" s="6" t="s">
        <v>30</v>
      </c>
      <c r="V1792" s="6" t="s">
        <v>30</v>
      </c>
      <c r="W1792" s="6" t="s">
        <v>30</v>
      </c>
      <c r="X1792" s="2" t="s">
        <v>30</v>
      </c>
      <c r="Y1792" s="6" t="str">
        <f aca="false">IF(AND(X1792="processed",ISNUMBER(S1792)),S1792*O1792,"")</f>
        <v/>
      </c>
      <c r="Z1792" s="6" t="n">
        <f aca="false">IF(ISNUMBER(K1792),K1792*O1792,0)</f>
        <v>0</v>
      </c>
      <c r="AA1792" s="2" t="s">
        <v>31</v>
      </c>
      <c r="AB1792" s="6" t="n">
        <v>1671</v>
      </c>
      <c r="AC1792" s="6" t="n">
        <v>1374</v>
      </c>
      <c r="AD1792" s="6" t="n">
        <v>762</v>
      </c>
      <c r="AE1792" s="6" t="n">
        <v>1892.84887695313</v>
      </c>
      <c r="AF1792" s="8" t="n">
        <v>171.88057041</v>
      </c>
      <c r="AG1792" s="11" t="n">
        <v>-0.2027323776</v>
      </c>
      <c r="AH1792" s="12" t="n">
        <v>0.99933139205707</v>
      </c>
      <c r="AI1792" s="2" t="s">
        <v>321</v>
      </c>
      <c r="AJ1792" s="2" t="s">
        <v>3972</v>
      </c>
      <c r="AK1792" s="2" t="s">
        <v>3972</v>
      </c>
    </row>
    <row r="1793" customFormat="false" ht="15" hidden="false" customHeight="false" outlineLevel="0" collapsed="false">
      <c r="A1793" s="9"/>
      <c r="B1793" s="2" t="s">
        <v>3973</v>
      </c>
      <c r="C1793" s="2" t="s">
        <v>3974</v>
      </c>
      <c r="D1793" s="2" t="s">
        <v>3452</v>
      </c>
      <c r="E1793" s="2" t="s">
        <v>51</v>
      </c>
      <c r="F1793" s="2"/>
      <c r="G1793" s="2"/>
      <c r="H1793" s="8"/>
      <c r="I1793" s="2"/>
      <c r="J1793" s="8"/>
      <c r="K1793" s="6"/>
      <c r="L1793" s="2"/>
      <c r="M1793" s="10" t="b">
        <f aca="false">TRUE()</f>
        <v>1</v>
      </c>
      <c r="N1793" s="9" t="str">
        <f aca="false">IF(H1793="","",IF(H1793&gt;=Assumptions!$B$5,1,IF(H1793&gt;=Assumptions!$B$6,2,IF(H1793&gt;=Assumptions!$B$7,3,""))))</f>
        <v/>
      </c>
      <c r="O1793" s="9" t="n">
        <f aca="false">IF(N1793=1,Assumptions!$B$8,IF(N1793=2,Assumptions!$B$9,IF(N1793=3,Assumptions!$B$10,0)))</f>
        <v>0</v>
      </c>
      <c r="P1793" s="6" t="s">
        <v>30</v>
      </c>
      <c r="Q1793" s="6" t="s">
        <v>30</v>
      </c>
      <c r="R1793" s="11" t="s">
        <v>30</v>
      </c>
      <c r="S1793" s="6" t="s">
        <v>30</v>
      </c>
      <c r="T1793" s="11" t="s">
        <v>30</v>
      </c>
      <c r="U1793" s="6" t="s">
        <v>30</v>
      </c>
      <c r="V1793" s="6" t="s">
        <v>30</v>
      </c>
      <c r="W1793" s="6" t="s">
        <v>30</v>
      </c>
      <c r="X1793" s="2" t="s">
        <v>30</v>
      </c>
      <c r="Y1793" s="6" t="str">
        <f aca="false">IF(AND(X1793="processed",ISNUMBER(S1793)),S1793*O1793,"")</f>
        <v/>
      </c>
      <c r="Z1793" s="6" t="n">
        <f aca="false">IF(ISNUMBER(K1793),K1793*O1793,0)</f>
        <v>0</v>
      </c>
      <c r="AA1793" s="2" t="s">
        <v>31</v>
      </c>
      <c r="AB1793" s="6" t="n">
        <v>217</v>
      </c>
      <c r="AC1793" s="6" t="n">
        <v>154</v>
      </c>
      <c r="AD1793" s="6" t="n">
        <v>93</v>
      </c>
      <c r="AE1793" s="6" t="n">
        <v>1324.9462890625</v>
      </c>
      <c r="AF1793" s="8"/>
      <c r="AG1793" s="11"/>
      <c r="AH1793" s="12" t="n">
        <v>0.99879023350736</v>
      </c>
      <c r="AI1793" s="2" t="s">
        <v>3941</v>
      </c>
      <c r="AJ1793" s="2" t="s">
        <v>3974</v>
      </c>
      <c r="AK1793" s="2" t="s">
        <v>3975</v>
      </c>
    </row>
    <row r="1794" customFormat="false" ht="15" hidden="false" customHeight="false" outlineLevel="0" collapsed="false">
      <c r="A1794" s="9"/>
      <c r="B1794" s="2" t="s">
        <v>3976</v>
      </c>
      <c r="C1794" s="2" t="s">
        <v>3095</v>
      </c>
      <c r="D1794" s="2" t="s">
        <v>3452</v>
      </c>
      <c r="E1794" s="2" t="s">
        <v>51</v>
      </c>
      <c r="F1794" s="2"/>
      <c r="G1794" s="2"/>
      <c r="H1794" s="8"/>
      <c r="I1794" s="2"/>
      <c r="J1794" s="8"/>
      <c r="K1794" s="6"/>
      <c r="L1794" s="2"/>
      <c r="M1794" s="10" t="b">
        <f aca="false">TRUE()</f>
        <v>1</v>
      </c>
      <c r="N1794" s="9" t="str">
        <f aca="false">IF(H1794="","",IF(H1794&gt;=Assumptions!$B$5,1,IF(H1794&gt;=Assumptions!$B$6,2,IF(H1794&gt;=Assumptions!$B$7,3,""))))</f>
        <v/>
      </c>
      <c r="O1794" s="9" t="n">
        <f aca="false">IF(N1794=1,Assumptions!$B$8,IF(N1794=2,Assumptions!$B$9,IF(N1794=3,Assumptions!$B$10,0)))</f>
        <v>0</v>
      </c>
      <c r="P1794" s="6" t="s">
        <v>30</v>
      </c>
      <c r="Q1794" s="6" t="s">
        <v>30</v>
      </c>
      <c r="R1794" s="11" t="s">
        <v>30</v>
      </c>
      <c r="S1794" s="6" t="s">
        <v>30</v>
      </c>
      <c r="T1794" s="11" t="s">
        <v>30</v>
      </c>
      <c r="U1794" s="6" t="s">
        <v>30</v>
      </c>
      <c r="V1794" s="6" t="s">
        <v>30</v>
      </c>
      <c r="W1794" s="6" t="s">
        <v>30</v>
      </c>
      <c r="X1794" s="2" t="s">
        <v>30</v>
      </c>
      <c r="Y1794" s="6" t="str">
        <f aca="false">IF(AND(X1794="processed",ISNUMBER(S1794)),S1794*O1794,"")</f>
        <v/>
      </c>
      <c r="Z1794" s="6" t="n">
        <f aca="false">IF(ISNUMBER(K1794),K1794*O1794,0)</f>
        <v>0</v>
      </c>
      <c r="AA1794" s="2" t="s">
        <v>31</v>
      </c>
      <c r="AB1794" s="6" t="n">
        <v>2736</v>
      </c>
      <c r="AC1794" s="6" t="n">
        <v>2093</v>
      </c>
      <c r="AD1794" s="6" t="n">
        <v>1964</v>
      </c>
      <c r="AE1794" s="6" t="n">
        <v>1701.64892578125</v>
      </c>
      <c r="AF1794" s="8"/>
      <c r="AG1794" s="11"/>
      <c r="AH1794" s="12" t="n">
        <v>1.00000000000001</v>
      </c>
      <c r="AI1794" s="2" t="s">
        <v>328</v>
      </c>
      <c r="AJ1794" s="2" t="s">
        <v>3095</v>
      </c>
      <c r="AK1794" s="2" t="s">
        <v>3095</v>
      </c>
    </row>
    <row r="1795" customFormat="false" ht="15" hidden="false" customHeight="false" outlineLevel="0" collapsed="false">
      <c r="A1795" s="9"/>
      <c r="B1795" s="2" t="s">
        <v>3977</v>
      </c>
      <c r="C1795" s="2" t="s">
        <v>3978</v>
      </c>
      <c r="D1795" s="2" t="s">
        <v>1685</v>
      </c>
      <c r="E1795" s="2" t="s">
        <v>51</v>
      </c>
      <c r="F1795" s="2"/>
      <c r="G1795" s="2" t="s">
        <v>1686</v>
      </c>
      <c r="H1795" s="8" t="n">
        <v>226.39068564</v>
      </c>
      <c r="I1795" s="2" t="s">
        <v>316</v>
      </c>
      <c r="J1795" s="8" t="n">
        <v>175000</v>
      </c>
      <c r="K1795" s="6" t="n">
        <v>1</v>
      </c>
      <c r="L1795" s="2" t="s">
        <v>1664</v>
      </c>
      <c r="M1795" s="10" t="b">
        <f aca="false">TRUE()</f>
        <v>1</v>
      </c>
      <c r="N1795" s="9" t="str">
        <f aca="false">IF(H1795="","",IF(H1795&gt;=Assumptions!$B$5,1,IF(H1795&gt;=Assumptions!$B$6,2,IF(H1795&gt;=Assumptions!$B$7,3,""))))</f>
        <v/>
      </c>
      <c r="O1795" s="9" t="n">
        <f aca="false">IF(N1795=1,Assumptions!$B$8,IF(N1795=2,Assumptions!$B$9,IF(N1795=3,Assumptions!$B$10,0)))</f>
        <v>0</v>
      </c>
      <c r="P1795" s="6" t="s">
        <v>30</v>
      </c>
      <c r="Q1795" s="6" t="s">
        <v>30</v>
      </c>
      <c r="R1795" s="11" t="s">
        <v>30</v>
      </c>
      <c r="S1795" s="6" t="s">
        <v>30</v>
      </c>
      <c r="T1795" s="11" t="s">
        <v>30</v>
      </c>
      <c r="U1795" s="6" t="s">
        <v>30</v>
      </c>
      <c r="V1795" s="6" t="s">
        <v>30</v>
      </c>
      <c r="W1795" s="6" t="s">
        <v>30</v>
      </c>
      <c r="X1795" s="2" t="s">
        <v>30</v>
      </c>
      <c r="Y1795" s="6" t="str">
        <f aca="false">IF(AND(X1795="processed",ISNUMBER(S1795)),S1795*O1795,"")</f>
        <v/>
      </c>
      <c r="Z1795" s="6" t="n">
        <f aca="false">IF(ISNUMBER(K1795),K1795*O1795,0)</f>
        <v>0</v>
      </c>
      <c r="AA1795" s="2" t="s">
        <v>31</v>
      </c>
      <c r="AB1795" s="6" t="n">
        <v>316</v>
      </c>
      <c r="AC1795" s="6" t="n">
        <v>253</v>
      </c>
      <c r="AD1795" s="6" t="n">
        <v>165</v>
      </c>
      <c r="AE1795" s="6" t="n">
        <v>1544.32446289063</v>
      </c>
      <c r="AF1795" s="8" t="n">
        <v>226.39068564</v>
      </c>
      <c r="AG1795" s="11"/>
      <c r="AH1795" s="12" t="n">
        <v>0.999851374378548</v>
      </c>
      <c r="AI1795" s="2" t="s">
        <v>321</v>
      </c>
      <c r="AJ1795" s="2" t="s">
        <v>3978</v>
      </c>
      <c r="AK1795" s="2" t="s">
        <v>3978</v>
      </c>
    </row>
    <row r="1796" customFormat="false" ht="15" hidden="false" customHeight="false" outlineLevel="0" collapsed="false">
      <c r="A1796" s="9"/>
      <c r="B1796" s="2" t="s">
        <v>3979</v>
      </c>
      <c r="C1796" s="2" t="s">
        <v>3980</v>
      </c>
      <c r="D1796" s="2" t="s">
        <v>3452</v>
      </c>
      <c r="E1796" s="2" t="s">
        <v>51</v>
      </c>
      <c r="F1796" s="2"/>
      <c r="G1796" s="2"/>
      <c r="H1796" s="8"/>
      <c r="I1796" s="2"/>
      <c r="J1796" s="8"/>
      <c r="K1796" s="6"/>
      <c r="L1796" s="2"/>
      <c r="M1796" s="10" t="b">
        <f aca="false">TRUE()</f>
        <v>1</v>
      </c>
      <c r="N1796" s="9" t="str">
        <f aca="false">IF(H1796="","",IF(H1796&gt;=Assumptions!$B$5,1,IF(H1796&gt;=Assumptions!$B$6,2,IF(H1796&gt;=Assumptions!$B$7,3,""))))</f>
        <v/>
      </c>
      <c r="O1796" s="9" t="n">
        <f aca="false">IF(N1796=1,Assumptions!$B$8,IF(N1796=2,Assumptions!$B$9,IF(N1796=3,Assumptions!$B$10,0)))</f>
        <v>0</v>
      </c>
      <c r="P1796" s="6" t="s">
        <v>30</v>
      </c>
      <c r="Q1796" s="6" t="s">
        <v>30</v>
      </c>
      <c r="R1796" s="11" t="s">
        <v>30</v>
      </c>
      <c r="S1796" s="6" t="s">
        <v>30</v>
      </c>
      <c r="T1796" s="11" t="s">
        <v>30</v>
      </c>
      <c r="U1796" s="6" t="s">
        <v>30</v>
      </c>
      <c r="V1796" s="6" t="s">
        <v>30</v>
      </c>
      <c r="W1796" s="6" t="s">
        <v>30</v>
      </c>
      <c r="X1796" s="2" t="s">
        <v>30</v>
      </c>
      <c r="Y1796" s="6" t="str">
        <f aca="false">IF(AND(X1796="processed",ISNUMBER(S1796)),S1796*O1796,"")</f>
        <v/>
      </c>
      <c r="Z1796" s="6" t="n">
        <f aca="false">IF(ISNUMBER(K1796),K1796*O1796,0)</f>
        <v>0</v>
      </c>
      <c r="AA1796" s="2" t="s">
        <v>31</v>
      </c>
      <c r="AB1796" s="6" t="n">
        <v>462</v>
      </c>
      <c r="AC1796" s="6" t="n">
        <v>362</v>
      </c>
      <c r="AD1796" s="6" t="n">
        <v>435</v>
      </c>
      <c r="AE1796" s="6" t="n">
        <v>1604.24914550781</v>
      </c>
      <c r="AF1796" s="8"/>
      <c r="AG1796" s="11"/>
      <c r="AH1796" s="12" t="n">
        <v>0.999339634038939</v>
      </c>
      <c r="AI1796" s="2" t="s">
        <v>2403</v>
      </c>
      <c r="AJ1796" s="2" t="s">
        <v>3981</v>
      </c>
      <c r="AK1796" s="2" t="s">
        <v>3980</v>
      </c>
    </row>
    <row r="1797" customFormat="false" ht="15" hidden="false" customHeight="false" outlineLevel="0" collapsed="false">
      <c r="A1797" s="9"/>
      <c r="B1797" s="2" t="s">
        <v>3982</v>
      </c>
      <c r="C1797" s="2" t="s">
        <v>3983</v>
      </c>
      <c r="D1797" s="2" t="s">
        <v>1763</v>
      </c>
      <c r="E1797" s="2" t="s">
        <v>51</v>
      </c>
      <c r="F1797" s="2"/>
      <c r="G1797" s="2" t="s">
        <v>1764</v>
      </c>
      <c r="H1797" s="8" t="n">
        <v>223.5161060158</v>
      </c>
      <c r="I1797" s="2" t="s">
        <v>316</v>
      </c>
      <c r="J1797" s="8" t="n">
        <v>272400</v>
      </c>
      <c r="K1797" s="6" t="n">
        <v>20</v>
      </c>
      <c r="L1797" s="2"/>
      <c r="M1797" s="10" t="b">
        <f aca="false">TRUE()</f>
        <v>1</v>
      </c>
      <c r="N1797" s="9" t="str">
        <f aca="false">IF(H1797="","",IF(H1797&gt;=Assumptions!$B$5,1,IF(H1797&gt;=Assumptions!$B$6,2,IF(H1797&gt;=Assumptions!$B$7,3,""))))</f>
        <v/>
      </c>
      <c r="O1797" s="9" t="n">
        <f aca="false">IF(N1797=1,Assumptions!$B$8,IF(N1797=2,Assumptions!$B$9,IF(N1797=3,Assumptions!$B$10,0)))</f>
        <v>0</v>
      </c>
      <c r="P1797" s="6" t="s">
        <v>30</v>
      </c>
      <c r="Q1797" s="6" t="s">
        <v>30</v>
      </c>
      <c r="R1797" s="11" t="s">
        <v>30</v>
      </c>
      <c r="S1797" s="6" t="s">
        <v>30</v>
      </c>
      <c r="T1797" s="11" t="s">
        <v>30</v>
      </c>
      <c r="U1797" s="6" t="s">
        <v>30</v>
      </c>
      <c r="V1797" s="6" t="s">
        <v>30</v>
      </c>
      <c r="W1797" s="6" t="s">
        <v>30</v>
      </c>
      <c r="X1797" s="2" t="s">
        <v>30</v>
      </c>
      <c r="Y1797" s="6" t="str">
        <f aca="false">IF(AND(X1797="processed",ISNUMBER(S1797)),S1797*O1797,"")</f>
        <v/>
      </c>
      <c r="Z1797" s="6" t="n">
        <f aca="false">IF(ISNUMBER(K1797),K1797*O1797,0)</f>
        <v>0</v>
      </c>
      <c r="AA1797" s="2" t="s">
        <v>31</v>
      </c>
      <c r="AB1797" s="6" t="n">
        <v>2661</v>
      </c>
      <c r="AC1797" s="6" t="n">
        <v>2177</v>
      </c>
      <c r="AD1797" s="6" t="n">
        <v>2489</v>
      </c>
      <c r="AE1797" s="6" t="n">
        <v>1614.6884765625</v>
      </c>
      <c r="AF1797" s="8" t="n">
        <v>287.26359384</v>
      </c>
      <c r="AG1797" s="11" t="n">
        <v>0.8327730063</v>
      </c>
      <c r="AH1797" s="12" t="n">
        <v>1</v>
      </c>
      <c r="AI1797" s="2" t="s">
        <v>319</v>
      </c>
      <c r="AJ1797" s="2"/>
      <c r="AK1797" s="2" t="s">
        <v>3983</v>
      </c>
    </row>
    <row r="1798" customFormat="false" ht="15" hidden="false" customHeight="false" outlineLevel="0" collapsed="false">
      <c r="A1798" s="9"/>
      <c r="B1798" s="2" t="s">
        <v>3984</v>
      </c>
      <c r="C1798" s="2" t="s">
        <v>3985</v>
      </c>
      <c r="D1798" s="2" t="s">
        <v>3452</v>
      </c>
      <c r="E1798" s="2" t="s">
        <v>51</v>
      </c>
      <c r="F1798" s="2"/>
      <c r="G1798" s="2"/>
      <c r="H1798" s="8"/>
      <c r="I1798" s="2"/>
      <c r="J1798" s="8"/>
      <c r="K1798" s="6"/>
      <c r="L1798" s="2"/>
      <c r="M1798" s="10" t="b">
        <f aca="false">TRUE()</f>
        <v>1</v>
      </c>
      <c r="N1798" s="9" t="str">
        <f aca="false">IF(H1798="","",IF(H1798&gt;=Assumptions!$B$5,1,IF(H1798&gt;=Assumptions!$B$6,2,IF(H1798&gt;=Assumptions!$B$7,3,""))))</f>
        <v/>
      </c>
      <c r="O1798" s="9" t="n">
        <f aca="false">IF(N1798=1,Assumptions!$B$8,IF(N1798=2,Assumptions!$B$9,IF(N1798=3,Assumptions!$B$10,0)))</f>
        <v>0</v>
      </c>
      <c r="P1798" s="6" t="s">
        <v>30</v>
      </c>
      <c r="Q1798" s="6" t="s">
        <v>30</v>
      </c>
      <c r="R1798" s="11" t="s">
        <v>30</v>
      </c>
      <c r="S1798" s="6" t="s">
        <v>30</v>
      </c>
      <c r="T1798" s="11" t="s">
        <v>30</v>
      </c>
      <c r="U1798" s="6" t="s">
        <v>30</v>
      </c>
      <c r="V1798" s="6" t="s">
        <v>30</v>
      </c>
      <c r="W1798" s="6" t="s">
        <v>30</v>
      </c>
      <c r="X1798" s="2" t="s">
        <v>30</v>
      </c>
      <c r="Y1798" s="6" t="str">
        <f aca="false">IF(AND(X1798="processed",ISNUMBER(S1798)),S1798*O1798,"")</f>
        <v/>
      </c>
      <c r="Z1798" s="6" t="n">
        <f aca="false">IF(ISNUMBER(K1798),K1798*O1798,0)</f>
        <v>0</v>
      </c>
      <c r="AA1798" s="2" t="s">
        <v>31</v>
      </c>
      <c r="AB1798" s="6" t="n">
        <v>380</v>
      </c>
      <c r="AC1798" s="6" t="n">
        <v>287</v>
      </c>
      <c r="AD1798" s="6" t="n">
        <v>258</v>
      </c>
      <c r="AE1798" s="6" t="n">
        <v>1530.02478027344</v>
      </c>
      <c r="AF1798" s="8"/>
      <c r="AG1798" s="11"/>
      <c r="AH1798" s="12" t="n">
        <v>1</v>
      </c>
      <c r="AI1798" s="2" t="s">
        <v>1558</v>
      </c>
      <c r="AJ1798" s="2" t="s">
        <v>3985</v>
      </c>
      <c r="AK1798" s="2" t="s">
        <v>3985</v>
      </c>
    </row>
    <row r="1799" customFormat="false" ht="15" hidden="false" customHeight="false" outlineLevel="0" collapsed="false">
      <c r="A1799" s="9"/>
      <c r="B1799" s="2" t="s">
        <v>3986</v>
      </c>
      <c r="C1799" s="2" t="s">
        <v>3987</v>
      </c>
      <c r="D1799" s="2" t="s">
        <v>3452</v>
      </c>
      <c r="E1799" s="2" t="s">
        <v>51</v>
      </c>
      <c r="F1799" s="2"/>
      <c r="G1799" s="2"/>
      <c r="H1799" s="8"/>
      <c r="I1799" s="2"/>
      <c r="J1799" s="8"/>
      <c r="K1799" s="6"/>
      <c r="L1799" s="2"/>
      <c r="M1799" s="10" t="b">
        <f aca="false">TRUE()</f>
        <v>1</v>
      </c>
      <c r="N1799" s="9" t="str">
        <f aca="false">IF(H1799="","",IF(H1799&gt;=Assumptions!$B$5,1,IF(H1799&gt;=Assumptions!$B$6,2,IF(H1799&gt;=Assumptions!$B$7,3,""))))</f>
        <v/>
      </c>
      <c r="O1799" s="9" t="n">
        <f aca="false">IF(N1799=1,Assumptions!$B$8,IF(N1799=2,Assumptions!$B$9,IF(N1799=3,Assumptions!$B$10,0)))</f>
        <v>0</v>
      </c>
      <c r="P1799" s="6" t="s">
        <v>30</v>
      </c>
      <c r="Q1799" s="6" t="s">
        <v>30</v>
      </c>
      <c r="R1799" s="11" t="s">
        <v>30</v>
      </c>
      <c r="S1799" s="6" t="s">
        <v>30</v>
      </c>
      <c r="T1799" s="11" t="s">
        <v>30</v>
      </c>
      <c r="U1799" s="6" t="s">
        <v>30</v>
      </c>
      <c r="V1799" s="6" t="s">
        <v>30</v>
      </c>
      <c r="W1799" s="6" t="s">
        <v>30</v>
      </c>
      <c r="X1799" s="2" t="s">
        <v>30</v>
      </c>
      <c r="Y1799" s="6" t="str">
        <f aca="false">IF(AND(X1799="processed",ISNUMBER(S1799)),S1799*O1799,"")</f>
        <v/>
      </c>
      <c r="Z1799" s="6" t="n">
        <f aca="false">IF(ISNUMBER(K1799),K1799*O1799,0)</f>
        <v>0</v>
      </c>
      <c r="AA1799" s="2" t="s">
        <v>31</v>
      </c>
      <c r="AB1799" s="6" t="n">
        <v>506</v>
      </c>
      <c r="AC1799" s="6" t="n">
        <v>394</v>
      </c>
      <c r="AD1799" s="6" t="n">
        <v>304</v>
      </c>
      <c r="AE1799" s="6" t="n">
        <v>1557.84008789063</v>
      </c>
      <c r="AF1799" s="8"/>
      <c r="AG1799" s="11"/>
      <c r="AH1799" s="12" t="n">
        <v>1</v>
      </c>
      <c r="AI1799" s="2" t="s">
        <v>340</v>
      </c>
      <c r="AJ1799" s="2" t="s">
        <v>3987</v>
      </c>
      <c r="AK1799" s="2" t="s">
        <v>3987</v>
      </c>
    </row>
    <row r="1800" customFormat="false" ht="15" hidden="false" customHeight="false" outlineLevel="0" collapsed="false">
      <c r="A1800" s="9"/>
      <c r="B1800" s="2" t="s">
        <v>3988</v>
      </c>
      <c r="C1800" s="2" t="s">
        <v>3989</v>
      </c>
      <c r="D1800" s="2" t="s">
        <v>3452</v>
      </c>
      <c r="E1800" s="2" t="s">
        <v>51</v>
      </c>
      <c r="F1800" s="2"/>
      <c r="G1800" s="2"/>
      <c r="H1800" s="8"/>
      <c r="I1800" s="2"/>
      <c r="J1800" s="8"/>
      <c r="K1800" s="6"/>
      <c r="L1800" s="2"/>
      <c r="M1800" s="10" t="b">
        <f aca="false">TRUE()</f>
        <v>1</v>
      </c>
      <c r="N1800" s="9" t="str">
        <f aca="false">IF(H1800="","",IF(H1800&gt;=Assumptions!$B$5,1,IF(H1800&gt;=Assumptions!$B$6,2,IF(H1800&gt;=Assumptions!$B$7,3,""))))</f>
        <v/>
      </c>
      <c r="O1800" s="9" t="n">
        <f aca="false">IF(N1800=1,Assumptions!$B$8,IF(N1800=2,Assumptions!$B$9,IF(N1800=3,Assumptions!$B$10,0)))</f>
        <v>0</v>
      </c>
      <c r="P1800" s="6" t="s">
        <v>30</v>
      </c>
      <c r="Q1800" s="6" t="s">
        <v>30</v>
      </c>
      <c r="R1800" s="11" t="s">
        <v>30</v>
      </c>
      <c r="S1800" s="6" t="s">
        <v>30</v>
      </c>
      <c r="T1800" s="11" t="s">
        <v>30</v>
      </c>
      <c r="U1800" s="6" t="s">
        <v>30</v>
      </c>
      <c r="V1800" s="6" t="s">
        <v>30</v>
      </c>
      <c r="W1800" s="6" t="s">
        <v>30</v>
      </c>
      <c r="X1800" s="2" t="s">
        <v>30</v>
      </c>
      <c r="Y1800" s="6" t="str">
        <f aca="false">IF(AND(X1800="processed",ISNUMBER(S1800)),S1800*O1800,"")</f>
        <v/>
      </c>
      <c r="Z1800" s="6" t="n">
        <f aca="false">IF(ISNUMBER(K1800),K1800*O1800,0)</f>
        <v>0</v>
      </c>
      <c r="AA1800" s="2" t="s">
        <v>31</v>
      </c>
      <c r="AB1800" s="6" t="n">
        <v>827</v>
      </c>
      <c r="AC1800" s="6" t="n">
        <v>666</v>
      </c>
      <c r="AD1800" s="6" t="n">
        <v>301</v>
      </c>
      <c r="AE1800" s="6" t="n">
        <v>1549.77282714844</v>
      </c>
      <c r="AF1800" s="8"/>
      <c r="AG1800" s="11"/>
      <c r="AH1800" s="12" t="n">
        <v>0.999511806868087</v>
      </c>
      <c r="AI1800" s="2" t="s">
        <v>317</v>
      </c>
      <c r="AJ1800" s="2" t="s">
        <v>3989</v>
      </c>
      <c r="AK1800" s="2" t="s">
        <v>3990</v>
      </c>
    </row>
    <row r="1801" customFormat="false" ht="15" hidden="false" customHeight="false" outlineLevel="0" collapsed="false">
      <c r="A1801" s="9"/>
      <c r="B1801" s="2" t="s">
        <v>3991</v>
      </c>
      <c r="C1801" s="2" t="s">
        <v>3992</v>
      </c>
      <c r="D1801" s="2" t="s">
        <v>3380</v>
      </c>
      <c r="E1801" s="2" t="s">
        <v>51</v>
      </c>
      <c r="F1801" s="2"/>
      <c r="G1801" s="2"/>
      <c r="H1801" s="8"/>
      <c r="I1801" s="2"/>
      <c r="J1801" s="8"/>
      <c r="K1801" s="6"/>
      <c r="L1801" s="2"/>
      <c r="M1801" s="10" t="b">
        <f aca="false">TRUE()</f>
        <v>1</v>
      </c>
      <c r="N1801" s="9" t="str">
        <f aca="false">IF(H1801="","",IF(H1801&gt;=Assumptions!$B$5,1,IF(H1801&gt;=Assumptions!$B$6,2,IF(H1801&gt;=Assumptions!$B$7,3,""))))</f>
        <v/>
      </c>
      <c r="O1801" s="9" t="n">
        <f aca="false">IF(N1801=1,Assumptions!$B$8,IF(N1801=2,Assumptions!$B$9,IF(N1801=3,Assumptions!$B$10,0)))</f>
        <v>0</v>
      </c>
      <c r="P1801" s="6" t="s">
        <v>30</v>
      </c>
      <c r="Q1801" s="6" t="s">
        <v>30</v>
      </c>
      <c r="R1801" s="11" t="s">
        <v>30</v>
      </c>
      <c r="S1801" s="6" t="s">
        <v>30</v>
      </c>
      <c r="T1801" s="11" t="s">
        <v>30</v>
      </c>
      <c r="U1801" s="6" t="s">
        <v>30</v>
      </c>
      <c r="V1801" s="6" t="s">
        <v>30</v>
      </c>
      <c r="W1801" s="6" t="s">
        <v>30</v>
      </c>
      <c r="X1801" s="2" t="s">
        <v>30</v>
      </c>
      <c r="Y1801" s="6" t="str">
        <f aca="false">IF(AND(X1801="processed",ISNUMBER(S1801)),S1801*O1801,"")</f>
        <v/>
      </c>
      <c r="Z1801" s="6" t="n">
        <f aca="false">IF(ISNUMBER(K1801),K1801*O1801,0)</f>
        <v>0</v>
      </c>
      <c r="AA1801" s="2" t="s">
        <v>31</v>
      </c>
      <c r="AB1801" s="6" t="n">
        <v>2898</v>
      </c>
      <c r="AC1801" s="6" t="n">
        <v>2176</v>
      </c>
      <c r="AD1801" s="6" t="n">
        <v>1879</v>
      </c>
      <c r="AE1801" s="6" t="n">
        <v>1385.11938476563</v>
      </c>
      <c r="AF1801" s="8"/>
      <c r="AG1801" s="11"/>
      <c r="AH1801" s="12" t="n">
        <v>0.999999999999999</v>
      </c>
      <c r="AI1801" s="2" t="s">
        <v>3247</v>
      </c>
      <c r="AJ1801" s="2" t="s">
        <v>3993</v>
      </c>
      <c r="AK1801" s="2" t="s">
        <v>3994</v>
      </c>
    </row>
    <row r="1802" customFormat="false" ht="15" hidden="false" customHeight="false" outlineLevel="0" collapsed="false">
      <c r="A1802" s="9"/>
      <c r="B1802" s="2" t="s">
        <v>3995</v>
      </c>
      <c r="C1802" s="2" t="s">
        <v>3996</v>
      </c>
      <c r="D1802" s="2" t="s">
        <v>3452</v>
      </c>
      <c r="E1802" s="2" t="s">
        <v>51</v>
      </c>
      <c r="F1802" s="2"/>
      <c r="G1802" s="2"/>
      <c r="H1802" s="8"/>
      <c r="I1802" s="2"/>
      <c r="J1802" s="8"/>
      <c r="K1802" s="6"/>
      <c r="L1802" s="2"/>
      <c r="M1802" s="10" t="b">
        <f aca="false">TRUE()</f>
        <v>1</v>
      </c>
      <c r="N1802" s="9" t="str">
        <f aca="false">IF(H1802="","",IF(H1802&gt;=Assumptions!$B$5,1,IF(H1802&gt;=Assumptions!$B$6,2,IF(H1802&gt;=Assumptions!$B$7,3,""))))</f>
        <v/>
      </c>
      <c r="O1802" s="9" t="n">
        <f aca="false">IF(N1802=1,Assumptions!$B$8,IF(N1802=2,Assumptions!$B$9,IF(N1802=3,Assumptions!$B$10,0)))</f>
        <v>0</v>
      </c>
      <c r="P1802" s="6" t="s">
        <v>30</v>
      </c>
      <c r="Q1802" s="6" t="s">
        <v>30</v>
      </c>
      <c r="R1802" s="11" t="s">
        <v>30</v>
      </c>
      <c r="S1802" s="6" t="s">
        <v>30</v>
      </c>
      <c r="T1802" s="11" t="s">
        <v>30</v>
      </c>
      <c r="U1802" s="6" t="s">
        <v>30</v>
      </c>
      <c r="V1802" s="6" t="s">
        <v>30</v>
      </c>
      <c r="W1802" s="6" t="s">
        <v>30</v>
      </c>
      <c r="X1802" s="2" t="s">
        <v>30</v>
      </c>
      <c r="Y1802" s="6" t="str">
        <f aca="false">IF(AND(X1802="processed",ISNUMBER(S1802)),S1802*O1802,"")</f>
        <v/>
      </c>
      <c r="Z1802" s="6" t="n">
        <f aca="false">IF(ISNUMBER(K1802),K1802*O1802,0)</f>
        <v>0</v>
      </c>
      <c r="AA1802" s="2" t="s">
        <v>31</v>
      </c>
      <c r="AB1802" s="6" t="n">
        <v>1353</v>
      </c>
      <c r="AC1802" s="6" t="n">
        <v>1061</v>
      </c>
      <c r="AD1802" s="6" t="n">
        <v>1066</v>
      </c>
      <c r="AE1802" s="6" t="n">
        <v>1564.50439453125</v>
      </c>
      <c r="AF1802" s="8"/>
      <c r="AG1802" s="11"/>
      <c r="AH1802" s="12" t="n">
        <v>0.999298502219897</v>
      </c>
      <c r="AI1802" s="2" t="s">
        <v>350</v>
      </c>
      <c r="AJ1802" s="2" t="s">
        <v>3996</v>
      </c>
      <c r="AK1802" s="2" t="s">
        <v>3996</v>
      </c>
    </row>
    <row r="1803" customFormat="false" ht="15" hidden="false" customHeight="false" outlineLevel="0" collapsed="false">
      <c r="A1803" s="9"/>
      <c r="B1803" s="2" t="s">
        <v>3997</v>
      </c>
      <c r="C1803" s="2" t="s">
        <v>3998</v>
      </c>
      <c r="D1803" s="2" t="s">
        <v>3380</v>
      </c>
      <c r="E1803" s="2" t="s">
        <v>51</v>
      </c>
      <c r="F1803" s="2"/>
      <c r="G1803" s="2"/>
      <c r="H1803" s="8"/>
      <c r="I1803" s="2"/>
      <c r="J1803" s="8"/>
      <c r="K1803" s="6"/>
      <c r="L1803" s="2"/>
      <c r="M1803" s="10" t="b">
        <f aca="false">TRUE()</f>
        <v>1</v>
      </c>
      <c r="N1803" s="9" t="str">
        <f aca="false">IF(H1803="","",IF(H1803&gt;=Assumptions!$B$5,1,IF(H1803&gt;=Assumptions!$B$6,2,IF(H1803&gt;=Assumptions!$B$7,3,""))))</f>
        <v/>
      </c>
      <c r="O1803" s="9" t="n">
        <f aca="false">IF(N1803=1,Assumptions!$B$8,IF(N1803=2,Assumptions!$B$9,IF(N1803=3,Assumptions!$B$10,0)))</f>
        <v>0</v>
      </c>
      <c r="P1803" s="6" t="s">
        <v>30</v>
      </c>
      <c r="Q1803" s="6" t="s">
        <v>30</v>
      </c>
      <c r="R1803" s="11" t="s">
        <v>30</v>
      </c>
      <c r="S1803" s="6" t="s">
        <v>30</v>
      </c>
      <c r="T1803" s="11" t="s">
        <v>30</v>
      </c>
      <c r="U1803" s="6" t="s">
        <v>30</v>
      </c>
      <c r="V1803" s="6" t="s">
        <v>30</v>
      </c>
      <c r="W1803" s="6" t="s">
        <v>30</v>
      </c>
      <c r="X1803" s="2" t="s">
        <v>30</v>
      </c>
      <c r="Y1803" s="6" t="str">
        <f aca="false">IF(AND(X1803="processed",ISNUMBER(S1803)),S1803*O1803,"")</f>
        <v/>
      </c>
      <c r="Z1803" s="6" t="n">
        <f aca="false">IF(ISNUMBER(K1803),K1803*O1803,0)</f>
        <v>0</v>
      </c>
      <c r="AA1803" s="2" t="s">
        <v>31</v>
      </c>
      <c r="AB1803" s="6" t="n">
        <v>399</v>
      </c>
      <c r="AC1803" s="6" t="n">
        <v>342</v>
      </c>
      <c r="AD1803" s="6" t="n">
        <v>214</v>
      </c>
      <c r="AE1803" s="6" t="n">
        <v>1391.46887207031</v>
      </c>
      <c r="AF1803" s="8"/>
      <c r="AG1803" s="11"/>
      <c r="AH1803" s="12" t="n">
        <v>0.999688950771208</v>
      </c>
      <c r="AI1803" s="2" t="s">
        <v>317</v>
      </c>
      <c r="AJ1803" s="2" t="s">
        <v>3998</v>
      </c>
      <c r="AK1803" s="2" t="s">
        <v>3998</v>
      </c>
    </row>
    <row r="1804" customFormat="false" ht="15" hidden="false" customHeight="false" outlineLevel="0" collapsed="false">
      <c r="A1804" s="9"/>
      <c r="B1804" s="2" t="s">
        <v>3999</v>
      </c>
      <c r="C1804" s="2" t="s">
        <v>4000</v>
      </c>
      <c r="D1804" s="2" t="s">
        <v>1685</v>
      </c>
      <c r="E1804" s="2" t="s">
        <v>51</v>
      </c>
      <c r="F1804" s="2"/>
      <c r="G1804" s="2" t="s">
        <v>1686</v>
      </c>
      <c r="H1804" s="8" t="n">
        <v>218.8411224185</v>
      </c>
      <c r="I1804" s="2" t="s">
        <v>316</v>
      </c>
      <c r="J1804" s="8" t="n">
        <v>385875</v>
      </c>
      <c r="K1804" s="6" t="n">
        <v>8</v>
      </c>
      <c r="L1804" s="2"/>
      <c r="M1804" s="10" t="b">
        <f aca="false">TRUE()</f>
        <v>1</v>
      </c>
      <c r="N1804" s="9" t="str">
        <f aca="false">IF(H1804="","",IF(H1804&gt;=Assumptions!$B$5,1,IF(H1804&gt;=Assumptions!$B$6,2,IF(H1804&gt;=Assumptions!$B$7,3,""))))</f>
        <v/>
      </c>
      <c r="O1804" s="9" t="n">
        <f aca="false">IF(N1804=1,Assumptions!$B$8,IF(N1804=2,Assumptions!$B$9,IF(N1804=3,Assumptions!$B$10,0)))</f>
        <v>0</v>
      </c>
      <c r="P1804" s="6" t="s">
        <v>30</v>
      </c>
      <c r="Q1804" s="6" t="s">
        <v>30</v>
      </c>
      <c r="R1804" s="11" t="s">
        <v>30</v>
      </c>
      <c r="S1804" s="6" t="s">
        <v>30</v>
      </c>
      <c r="T1804" s="11" t="s">
        <v>30</v>
      </c>
      <c r="U1804" s="6" t="s">
        <v>30</v>
      </c>
      <c r="V1804" s="6" t="s">
        <v>30</v>
      </c>
      <c r="W1804" s="6" t="s">
        <v>30</v>
      </c>
      <c r="X1804" s="2" t="s">
        <v>30</v>
      </c>
      <c r="Y1804" s="6" t="str">
        <f aca="false">IF(AND(X1804="processed",ISNUMBER(S1804)),S1804*O1804,"")</f>
        <v/>
      </c>
      <c r="Z1804" s="6" t="n">
        <f aca="false">IF(ISNUMBER(K1804),K1804*O1804,0)</f>
        <v>0</v>
      </c>
      <c r="AA1804" s="2" t="s">
        <v>31</v>
      </c>
      <c r="AB1804" s="6" t="n">
        <v>1137</v>
      </c>
      <c r="AC1804" s="6" t="n">
        <v>882</v>
      </c>
      <c r="AD1804" s="6" t="n">
        <v>971</v>
      </c>
      <c r="AE1804" s="6" t="n">
        <v>1574.92309570313</v>
      </c>
      <c r="AF1804" s="8" t="n">
        <v>220.384011063</v>
      </c>
      <c r="AG1804" s="11" t="n">
        <v>1.708719845</v>
      </c>
      <c r="AH1804" s="12" t="n">
        <v>0.999702405074711</v>
      </c>
      <c r="AI1804" s="2" t="s">
        <v>2111</v>
      </c>
      <c r="AJ1804" s="2" t="s">
        <v>4001</v>
      </c>
      <c r="AK1804" s="2" t="s">
        <v>4002</v>
      </c>
    </row>
    <row r="1805" customFormat="false" ht="15" hidden="false" customHeight="false" outlineLevel="0" collapsed="false">
      <c r="A1805" s="9"/>
      <c r="B1805" s="2" t="s">
        <v>4003</v>
      </c>
      <c r="C1805" s="2" t="s">
        <v>4004</v>
      </c>
      <c r="D1805" s="2" t="s">
        <v>3380</v>
      </c>
      <c r="E1805" s="2" t="s">
        <v>51</v>
      </c>
      <c r="F1805" s="2"/>
      <c r="G1805" s="2"/>
      <c r="H1805" s="8"/>
      <c r="I1805" s="2"/>
      <c r="J1805" s="8"/>
      <c r="K1805" s="6"/>
      <c r="L1805" s="2"/>
      <c r="M1805" s="10" t="b">
        <f aca="false">TRUE()</f>
        <v>1</v>
      </c>
      <c r="N1805" s="9" t="str">
        <f aca="false">IF(H1805="","",IF(H1805&gt;=Assumptions!$B$5,1,IF(H1805&gt;=Assumptions!$B$6,2,IF(H1805&gt;=Assumptions!$B$7,3,""))))</f>
        <v/>
      </c>
      <c r="O1805" s="9" t="n">
        <f aca="false">IF(N1805=1,Assumptions!$B$8,IF(N1805=2,Assumptions!$B$9,IF(N1805=3,Assumptions!$B$10,0)))</f>
        <v>0</v>
      </c>
      <c r="P1805" s="6" t="s">
        <v>30</v>
      </c>
      <c r="Q1805" s="6" t="s">
        <v>30</v>
      </c>
      <c r="R1805" s="11" t="s">
        <v>30</v>
      </c>
      <c r="S1805" s="6" t="s">
        <v>30</v>
      </c>
      <c r="T1805" s="11" t="s">
        <v>30</v>
      </c>
      <c r="U1805" s="6" t="s">
        <v>30</v>
      </c>
      <c r="V1805" s="6" t="s">
        <v>30</v>
      </c>
      <c r="W1805" s="6" t="s">
        <v>30</v>
      </c>
      <c r="X1805" s="2" t="s">
        <v>30</v>
      </c>
      <c r="Y1805" s="6" t="str">
        <f aca="false">IF(AND(X1805="processed",ISNUMBER(S1805)),S1805*O1805,"")</f>
        <v/>
      </c>
      <c r="Z1805" s="6" t="n">
        <f aca="false">IF(ISNUMBER(K1805),K1805*O1805,0)</f>
        <v>0</v>
      </c>
      <c r="AA1805" s="2" t="s">
        <v>31</v>
      </c>
      <c r="AB1805" s="6" t="n">
        <v>645</v>
      </c>
      <c r="AC1805" s="6" t="n">
        <v>549</v>
      </c>
      <c r="AD1805" s="6" t="n">
        <v>242</v>
      </c>
      <c r="AE1805" s="6" t="n">
        <v>1493.15686035156</v>
      </c>
      <c r="AF1805" s="8"/>
      <c r="AG1805" s="11"/>
      <c r="AH1805" s="12" t="n">
        <v>0.999885594364881</v>
      </c>
      <c r="AI1805" s="2" t="s">
        <v>350</v>
      </c>
      <c r="AJ1805" s="2" t="s">
        <v>4004</v>
      </c>
      <c r="AK1805" s="2" t="s">
        <v>4005</v>
      </c>
    </row>
    <row r="1806" customFormat="false" ht="15" hidden="false" customHeight="false" outlineLevel="0" collapsed="false">
      <c r="A1806" s="9"/>
      <c r="B1806" s="2" t="s">
        <v>4006</v>
      </c>
      <c r="C1806" s="2" t="s">
        <v>3989</v>
      </c>
      <c r="D1806" s="2" t="s">
        <v>3452</v>
      </c>
      <c r="E1806" s="2" t="s">
        <v>51</v>
      </c>
      <c r="F1806" s="2"/>
      <c r="G1806" s="2"/>
      <c r="H1806" s="8"/>
      <c r="I1806" s="2"/>
      <c r="J1806" s="8"/>
      <c r="K1806" s="6"/>
      <c r="L1806" s="2"/>
      <c r="M1806" s="10" t="b">
        <f aca="false">TRUE()</f>
        <v>1</v>
      </c>
      <c r="N1806" s="9" t="str">
        <f aca="false">IF(H1806="","",IF(H1806&gt;=Assumptions!$B$5,1,IF(H1806&gt;=Assumptions!$B$6,2,IF(H1806&gt;=Assumptions!$B$7,3,""))))</f>
        <v/>
      </c>
      <c r="O1806" s="9" t="n">
        <f aca="false">IF(N1806=1,Assumptions!$B$8,IF(N1806=2,Assumptions!$B$9,IF(N1806=3,Assumptions!$B$10,0)))</f>
        <v>0</v>
      </c>
      <c r="P1806" s="6" t="s">
        <v>30</v>
      </c>
      <c r="Q1806" s="6" t="s">
        <v>30</v>
      </c>
      <c r="R1806" s="11" t="s">
        <v>30</v>
      </c>
      <c r="S1806" s="6" t="s">
        <v>30</v>
      </c>
      <c r="T1806" s="11" t="s">
        <v>30</v>
      </c>
      <c r="U1806" s="6" t="s">
        <v>30</v>
      </c>
      <c r="V1806" s="6" t="s">
        <v>30</v>
      </c>
      <c r="W1806" s="6" t="s">
        <v>30</v>
      </c>
      <c r="X1806" s="2" t="s">
        <v>30</v>
      </c>
      <c r="Y1806" s="6" t="str">
        <f aca="false">IF(AND(X1806="processed",ISNUMBER(S1806)),S1806*O1806,"")</f>
        <v/>
      </c>
      <c r="Z1806" s="6" t="n">
        <f aca="false">IF(ISNUMBER(K1806),K1806*O1806,0)</f>
        <v>0</v>
      </c>
      <c r="AA1806" s="2" t="s">
        <v>31</v>
      </c>
      <c r="AB1806" s="6" t="n">
        <v>58</v>
      </c>
      <c r="AC1806" s="6" t="n">
        <v>44</v>
      </c>
      <c r="AD1806" s="6" t="n">
        <v>13</v>
      </c>
      <c r="AE1806" s="6" t="n">
        <v>1574.36669921875</v>
      </c>
      <c r="AF1806" s="8"/>
      <c r="AG1806" s="11"/>
      <c r="AH1806" s="12" t="n">
        <v>1</v>
      </c>
      <c r="AI1806" s="2" t="s">
        <v>1597</v>
      </c>
      <c r="AJ1806" s="2"/>
      <c r="AK1806" s="2" t="s">
        <v>3989</v>
      </c>
    </row>
    <row r="1807" customFormat="false" ht="15" hidden="false" customHeight="false" outlineLevel="0" collapsed="false">
      <c r="A1807" s="9"/>
      <c r="B1807" s="2" t="s">
        <v>4007</v>
      </c>
      <c r="C1807" s="2" t="s">
        <v>4008</v>
      </c>
      <c r="D1807" s="2" t="s">
        <v>3452</v>
      </c>
      <c r="E1807" s="2" t="s">
        <v>51</v>
      </c>
      <c r="F1807" s="2"/>
      <c r="G1807" s="2"/>
      <c r="H1807" s="8"/>
      <c r="I1807" s="2"/>
      <c r="J1807" s="8"/>
      <c r="K1807" s="6"/>
      <c r="L1807" s="2"/>
      <c r="M1807" s="10" t="b">
        <f aca="false">TRUE()</f>
        <v>1</v>
      </c>
      <c r="N1807" s="9" t="str">
        <f aca="false">IF(H1807="","",IF(H1807&gt;=Assumptions!$B$5,1,IF(H1807&gt;=Assumptions!$B$6,2,IF(H1807&gt;=Assumptions!$B$7,3,""))))</f>
        <v/>
      </c>
      <c r="O1807" s="9" t="n">
        <f aca="false">IF(N1807=1,Assumptions!$B$8,IF(N1807=2,Assumptions!$B$9,IF(N1807=3,Assumptions!$B$10,0)))</f>
        <v>0</v>
      </c>
      <c r="P1807" s="6" t="s">
        <v>30</v>
      </c>
      <c r="Q1807" s="6" t="s">
        <v>30</v>
      </c>
      <c r="R1807" s="11" t="s">
        <v>30</v>
      </c>
      <c r="S1807" s="6" t="s">
        <v>30</v>
      </c>
      <c r="T1807" s="11" t="s">
        <v>30</v>
      </c>
      <c r="U1807" s="6" t="s">
        <v>30</v>
      </c>
      <c r="V1807" s="6" t="s">
        <v>30</v>
      </c>
      <c r="W1807" s="6" t="s">
        <v>30</v>
      </c>
      <c r="X1807" s="2" t="s">
        <v>30</v>
      </c>
      <c r="Y1807" s="6" t="str">
        <f aca="false">IF(AND(X1807="processed",ISNUMBER(S1807)),S1807*O1807,"")</f>
        <v/>
      </c>
      <c r="Z1807" s="6" t="n">
        <f aca="false">IF(ISNUMBER(K1807),K1807*O1807,0)</f>
        <v>0</v>
      </c>
      <c r="AA1807" s="2" t="s">
        <v>31</v>
      </c>
      <c r="AB1807" s="6" t="n">
        <v>418</v>
      </c>
      <c r="AC1807" s="6" t="n">
        <v>333</v>
      </c>
      <c r="AD1807" s="6" t="n">
        <v>212</v>
      </c>
      <c r="AE1807" s="6" t="n">
        <v>1452.21459960938</v>
      </c>
      <c r="AF1807" s="8"/>
      <c r="AG1807" s="11"/>
      <c r="AH1807" s="12" t="n">
        <v>0.999937750360291</v>
      </c>
      <c r="AI1807" s="2" t="s">
        <v>4009</v>
      </c>
      <c r="AJ1807" s="2" t="s">
        <v>4010</v>
      </c>
      <c r="AK1807" s="2" t="s">
        <v>4011</v>
      </c>
    </row>
    <row r="1808" customFormat="false" ht="15" hidden="false" customHeight="false" outlineLevel="0" collapsed="false">
      <c r="A1808" s="9"/>
      <c r="B1808" s="2" t="s">
        <v>4012</v>
      </c>
      <c r="C1808" s="2" t="s">
        <v>4013</v>
      </c>
      <c r="D1808" s="2" t="s">
        <v>1685</v>
      </c>
      <c r="E1808" s="2" t="s">
        <v>51</v>
      </c>
      <c r="F1808" s="2"/>
      <c r="G1808" s="2" t="s">
        <v>1686</v>
      </c>
      <c r="H1808" s="8" t="n">
        <v>211.202270919368</v>
      </c>
      <c r="I1808" s="2" t="s">
        <v>316</v>
      </c>
      <c r="J1808" s="8" t="n">
        <v>415394.736842105</v>
      </c>
      <c r="K1808" s="6" t="n">
        <v>19</v>
      </c>
      <c r="L1808" s="2"/>
      <c r="M1808" s="10" t="b">
        <f aca="false">TRUE()</f>
        <v>1</v>
      </c>
      <c r="N1808" s="9" t="str">
        <f aca="false">IF(H1808="","",IF(H1808&gt;=Assumptions!$B$5,1,IF(H1808&gt;=Assumptions!$B$6,2,IF(H1808&gt;=Assumptions!$B$7,3,""))))</f>
        <v/>
      </c>
      <c r="O1808" s="9" t="n">
        <f aca="false">IF(N1808=1,Assumptions!$B$8,IF(N1808=2,Assumptions!$B$9,IF(N1808=3,Assumptions!$B$10,0)))</f>
        <v>0</v>
      </c>
      <c r="P1808" s="6" t="s">
        <v>30</v>
      </c>
      <c r="Q1808" s="6" t="s">
        <v>30</v>
      </c>
      <c r="R1808" s="11" t="s">
        <v>30</v>
      </c>
      <c r="S1808" s="6" t="s">
        <v>30</v>
      </c>
      <c r="T1808" s="11" t="s">
        <v>30</v>
      </c>
      <c r="U1808" s="6" t="s">
        <v>30</v>
      </c>
      <c r="V1808" s="6" t="s">
        <v>30</v>
      </c>
      <c r="W1808" s="6" t="s">
        <v>30</v>
      </c>
      <c r="X1808" s="2" t="s">
        <v>30</v>
      </c>
      <c r="Y1808" s="6" t="str">
        <f aca="false">IF(AND(X1808="processed",ISNUMBER(S1808)),S1808*O1808,"")</f>
        <v/>
      </c>
      <c r="Z1808" s="6" t="n">
        <f aca="false">IF(ISNUMBER(K1808),K1808*O1808,0)</f>
        <v>0</v>
      </c>
      <c r="AA1808" s="2" t="s">
        <v>31</v>
      </c>
      <c r="AB1808" s="6" t="n">
        <v>1335</v>
      </c>
      <c r="AC1808" s="6" t="n">
        <v>1120</v>
      </c>
      <c r="AD1808" s="6" t="n">
        <v>1177</v>
      </c>
      <c r="AE1808" s="6" t="n">
        <v>1663.8623046875</v>
      </c>
      <c r="AF1808" s="8" t="n">
        <v>239.441930618</v>
      </c>
      <c r="AG1808" s="11" t="n">
        <v>0.193192171</v>
      </c>
      <c r="AH1808" s="12" t="n">
        <v>0.999556382326052</v>
      </c>
      <c r="AI1808" s="2" t="s">
        <v>321</v>
      </c>
      <c r="AJ1808" s="2" t="s">
        <v>4013</v>
      </c>
      <c r="AK1808" s="2" t="s">
        <v>4014</v>
      </c>
    </row>
    <row r="1809" customFormat="false" ht="15" hidden="false" customHeight="false" outlineLevel="0" collapsed="false">
      <c r="A1809" s="9"/>
      <c r="B1809" s="2" t="s">
        <v>4015</v>
      </c>
      <c r="C1809" s="2" t="s">
        <v>4016</v>
      </c>
      <c r="D1809" s="2" t="s">
        <v>3380</v>
      </c>
      <c r="E1809" s="2" t="s">
        <v>51</v>
      </c>
      <c r="F1809" s="2"/>
      <c r="G1809" s="2"/>
      <c r="H1809" s="8"/>
      <c r="I1809" s="2"/>
      <c r="J1809" s="8"/>
      <c r="K1809" s="6"/>
      <c r="L1809" s="2"/>
      <c r="M1809" s="10" t="b">
        <f aca="false">TRUE()</f>
        <v>1</v>
      </c>
      <c r="N1809" s="9" t="str">
        <f aca="false">IF(H1809="","",IF(H1809&gt;=Assumptions!$B$5,1,IF(H1809&gt;=Assumptions!$B$6,2,IF(H1809&gt;=Assumptions!$B$7,3,""))))</f>
        <v/>
      </c>
      <c r="O1809" s="9" t="n">
        <f aca="false">IF(N1809=1,Assumptions!$B$8,IF(N1809=2,Assumptions!$B$9,IF(N1809=3,Assumptions!$B$10,0)))</f>
        <v>0</v>
      </c>
      <c r="P1809" s="6" t="s">
        <v>30</v>
      </c>
      <c r="Q1809" s="6" t="s">
        <v>30</v>
      </c>
      <c r="R1809" s="11" t="s">
        <v>30</v>
      </c>
      <c r="S1809" s="6" t="s">
        <v>30</v>
      </c>
      <c r="T1809" s="11" t="s">
        <v>30</v>
      </c>
      <c r="U1809" s="6" t="s">
        <v>30</v>
      </c>
      <c r="V1809" s="6" t="s">
        <v>30</v>
      </c>
      <c r="W1809" s="6" t="s">
        <v>30</v>
      </c>
      <c r="X1809" s="2" t="s">
        <v>30</v>
      </c>
      <c r="Y1809" s="6" t="str">
        <f aca="false">IF(AND(X1809="processed",ISNUMBER(S1809)),S1809*O1809,"")</f>
        <v/>
      </c>
      <c r="Z1809" s="6" t="n">
        <f aca="false">IF(ISNUMBER(K1809),K1809*O1809,0)</f>
        <v>0</v>
      </c>
      <c r="AA1809" s="2" t="s">
        <v>31</v>
      </c>
      <c r="AB1809" s="6" t="n">
        <v>1333</v>
      </c>
      <c r="AC1809" s="6" t="n">
        <v>1141</v>
      </c>
      <c r="AD1809" s="6" t="n">
        <v>928</v>
      </c>
      <c r="AE1809" s="6" t="n">
        <v>1615.87805175781</v>
      </c>
      <c r="AF1809" s="8"/>
      <c r="AG1809" s="11"/>
      <c r="AH1809" s="12" t="n">
        <v>0.999684525760437</v>
      </c>
      <c r="AI1809" s="2" t="s">
        <v>317</v>
      </c>
      <c r="AJ1809" s="2" t="s">
        <v>4016</v>
      </c>
      <c r="AK1809" s="2" t="s">
        <v>4016</v>
      </c>
    </row>
    <row r="1810" customFormat="false" ht="15" hidden="false" customHeight="false" outlineLevel="0" collapsed="false">
      <c r="A1810" s="9"/>
      <c r="B1810" s="2" t="s">
        <v>4017</v>
      </c>
      <c r="C1810" s="2" t="s">
        <v>4018</v>
      </c>
      <c r="D1810" s="2" t="s">
        <v>3945</v>
      </c>
      <c r="E1810" s="2" t="s">
        <v>51</v>
      </c>
      <c r="F1810" s="2"/>
      <c r="G1810" s="2"/>
      <c r="H1810" s="8"/>
      <c r="I1810" s="2"/>
      <c r="J1810" s="8"/>
      <c r="K1810" s="6"/>
      <c r="L1810" s="2"/>
      <c r="M1810" s="10" t="b">
        <f aca="false">TRUE()</f>
        <v>1</v>
      </c>
      <c r="N1810" s="9" t="str">
        <f aca="false">IF(H1810="","",IF(H1810&gt;=Assumptions!$B$5,1,IF(H1810&gt;=Assumptions!$B$6,2,IF(H1810&gt;=Assumptions!$B$7,3,""))))</f>
        <v/>
      </c>
      <c r="O1810" s="9" t="n">
        <f aca="false">IF(N1810=1,Assumptions!$B$8,IF(N1810=2,Assumptions!$B$9,IF(N1810=3,Assumptions!$B$10,0)))</f>
        <v>0</v>
      </c>
      <c r="P1810" s="6" t="s">
        <v>30</v>
      </c>
      <c r="Q1810" s="6" t="s">
        <v>30</v>
      </c>
      <c r="R1810" s="11" t="s">
        <v>30</v>
      </c>
      <c r="S1810" s="6" t="s">
        <v>30</v>
      </c>
      <c r="T1810" s="11" t="s">
        <v>30</v>
      </c>
      <c r="U1810" s="6" t="s">
        <v>30</v>
      </c>
      <c r="V1810" s="6" t="s">
        <v>30</v>
      </c>
      <c r="W1810" s="6" t="s">
        <v>30</v>
      </c>
      <c r="X1810" s="2" t="s">
        <v>30</v>
      </c>
      <c r="Y1810" s="6" t="str">
        <f aca="false">IF(AND(X1810="processed",ISNUMBER(S1810)),S1810*O1810,"")</f>
        <v/>
      </c>
      <c r="Z1810" s="6" t="n">
        <f aca="false">IF(ISNUMBER(K1810),K1810*O1810,0)</f>
        <v>0</v>
      </c>
      <c r="AA1810" s="2" t="s">
        <v>31</v>
      </c>
      <c r="AB1810" s="6" t="n">
        <v>535</v>
      </c>
      <c r="AC1810" s="6" t="n">
        <v>431</v>
      </c>
      <c r="AD1810" s="6" t="n">
        <v>520</v>
      </c>
      <c r="AE1810" s="6" t="n">
        <v>1633.60583496094</v>
      </c>
      <c r="AF1810" s="8"/>
      <c r="AG1810" s="11"/>
      <c r="AH1810" s="12" t="n">
        <v>0.999568316840281</v>
      </c>
      <c r="AI1810" s="2" t="s">
        <v>1597</v>
      </c>
      <c r="AJ1810" s="2"/>
      <c r="AK1810" s="2" t="s">
        <v>4018</v>
      </c>
    </row>
    <row r="1811" customFormat="false" ht="15" hidden="false" customHeight="false" outlineLevel="0" collapsed="false">
      <c r="A1811" s="9"/>
      <c r="B1811" s="2" t="s">
        <v>4019</v>
      </c>
      <c r="C1811" s="2" t="s">
        <v>4020</v>
      </c>
      <c r="D1811" s="2" t="s">
        <v>1763</v>
      </c>
      <c r="E1811" s="2" t="s">
        <v>51</v>
      </c>
      <c r="F1811" s="2"/>
      <c r="G1811" s="2" t="s">
        <v>1764</v>
      </c>
      <c r="H1811" s="8" t="n">
        <v>236.257038645806</v>
      </c>
      <c r="I1811" s="2" t="s">
        <v>316</v>
      </c>
      <c r="J1811" s="8" t="n">
        <v>374253.472222222</v>
      </c>
      <c r="K1811" s="6" t="n">
        <v>36</v>
      </c>
      <c r="L1811" s="2"/>
      <c r="M1811" s="10" t="b">
        <f aca="false">TRUE()</f>
        <v>1</v>
      </c>
      <c r="N1811" s="9" t="str">
        <f aca="false">IF(H1811="","",IF(H1811&gt;=Assumptions!$B$5,1,IF(H1811&gt;=Assumptions!$B$6,2,IF(H1811&gt;=Assumptions!$B$7,3,""))))</f>
        <v/>
      </c>
      <c r="O1811" s="9" t="n">
        <f aca="false">IF(N1811=1,Assumptions!$B$8,IF(N1811=2,Assumptions!$B$9,IF(N1811=3,Assumptions!$B$10,0)))</f>
        <v>0</v>
      </c>
      <c r="P1811" s="6" t="s">
        <v>30</v>
      </c>
      <c r="Q1811" s="6" t="s">
        <v>30</v>
      </c>
      <c r="R1811" s="11" t="s">
        <v>30</v>
      </c>
      <c r="S1811" s="6" t="s">
        <v>30</v>
      </c>
      <c r="T1811" s="11" t="s">
        <v>30</v>
      </c>
      <c r="U1811" s="6" t="s">
        <v>30</v>
      </c>
      <c r="V1811" s="6" t="s">
        <v>30</v>
      </c>
      <c r="W1811" s="6" t="s">
        <v>30</v>
      </c>
      <c r="X1811" s="2" t="s">
        <v>30</v>
      </c>
      <c r="Y1811" s="6" t="str">
        <f aca="false">IF(AND(X1811="processed",ISNUMBER(S1811)),S1811*O1811,"")</f>
        <v/>
      </c>
      <c r="Z1811" s="6" t="n">
        <f aca="false">IF(ISNUMBER(K1811),K1811*O1811,0)</f>
        <v>0</v>
      </c>
      <c r="AA1811" s="2" t="s">
        <v>31</v>
      </c>
      <c r="AB1811" s="6" t="n">
        <v>2988</v>
      </c>
      <c r="AC1811" s="6" t="n">
        <v>2550</v>
      </c>
      <c r="AD1811" s="6" t="n">
        <v>2643</v>
      </c>
      <c r="AE1811" s="6" t="n">
        <v>1679.08337402344</v>
      </c>
      <c r="AF1811" s="8" t="n">
        <v>245.689655172</v>
      </c>
      <c r="AG1811" s="11" t="n">
        <v>-0.0426028921</v>
      </c>
      <c r="AH1811" s="12" t="n">
        <v>1</v>
      </c>
      <c r="AI1811" s="2" t="s">
        <v>319</v>
      </c>
      <c r="AJ1811" s="2"/>
      <c r="AK1811" s="2" t="s">
        <v>4020</v>
      </c>
    </row>
    <row r="1812" customFormat="false" ht="15" hidden="false" customHeight="false" outlineLevel="0" collapsed="false">
      <c r="A1812" s="9"/>
      <c r="B1812" s="2" t="s">
        <v>4021</v>
      </c>
      <c r="C1812" s="2" t="s">
        <v>4022</v>
      </c>
      <c r="D1812" s="2" t="s">
        <v>3921</v>
      </c>
      <c r="E1812" s="2" t="s">
        <v>51</v>
      </c>
      <c r="F1812" s="2"/>
      <c r="G1812" s="2" t="s">
        <v>3922</v>
      </c>
      <c r="H1812" s="8" t="n">
        <v>183.12768843775</v>
      </c>
      <c r="I1812" s="2" t="s">
        <v>316</v>
      </c>
      <c r="J1812" s="8" t="n">
        <v>254987.5</v>
      </c>
      <c r="K1812" s="6" t="n">
        <v>16</v>
      </c>
      <c r="L1812" s="2"/>
      <c r="M1812" s="10" t="b">
        <f aca="false">TRUE()</f>
        <v>1</v>
      </c>
      <c r="N1812" s="9" t="str">
        <f aca="false">IF(H1812="","",IF(H1812&gt;=Assumptions!$B$5,1,IF(H1812&gt;=Assumptions!$B$6,2,IF(H1812&gt;=Assumptions!$B$7,3,""))))</f>
        <v/>
      </c>
      <c r="O1812" s="9" t="n">
        <f aca="false">IF(N1812=1,Assumptions!$B$8,IF(N1812=2,Assumptions!$B$9,IF(N1812=3,Assumptions!$B$10,0)))</f>
        <v>0</v>
      </c>
      <c r="P1812" s="6" t="s">
        <v>30</v>
      </c>
      <c r="Q1812" s="6" t="s">
        <v>30</v>
      </c>
      <c r="R1812" s="11" t="s">
        <v>30</v>
      </c>
      <c r="S1812" s="6" t="s">
        <v>30</v>
      </c>
      <c r="T1812" s="11" t="s">
        <v>30</v>
      </c>
      <c r="U1812" s="6" t="s">
        <v>30</v>
      </c>
      <c r="V1812" s="6" t="s">
        <v>30</v>
      </c>
      <c r="W1812" s="6" t="s">
        <v>30</v>
      </c>
      <c r="X1812" s="2" t="s">
        <v>30</v>
      </c>
      <c r="Y1812" s="6" t="str">
        <f aca="false">IF(AND(X1812="processed",ISNUMBER(S1812)),S1812*O1812,"")</f>
        <v/>
      </c>
      <c r="Z1812" s="6" t="n">
        <f aca="false">IF(ISNUMBER(K1812),K1812*O1812,0)</f>
        <v>0</v>
      </c>
      <c r="AA1812" s="2" t="s">
        <v>31</v>
      </c>
      <c r="AB1812" s="6" t="n">
        <v>2047</v>
      </c>
      <c r="AC1812" s="6" t="n">
        <v>1637</v>
      </c>
      <c r="AD1812" s="6" t="n">
        <v>1450</v>
      </c>
      <c r="AE1812" s="6" t="n">
        <v>1670.52783203125</v>
      </c>
      <c r="AF1812" s="8" t="n">
        <v>219.298245614</v>
      </c>
      <c r="AG1812" s="11" t="n">
        <v>0.09161793372</v>
      </c>
      <c r="AH1812" s="12" t="n">
        <v>0.612460693949805</v>
      </c>
      <c r="AI1812" s="2" t="s">
        <v>317</v>
      </c>
      <c r="AJ1812" s="2" t="s">
        <v>4022</v>
      </c>
      <c r="AK1812" s="2" t="s">
        <v>4023</v>
      </c>
    </row>
    <row r="1813" customFormat="false" ht="15" hidden="false" customHeight="false" outlineLevel="0" collapsed="false">
      <c r="A1813" s="9"/>
      <c r="B1813" s="2" t="s">
        <v>4024</v>
      </c>
      <c r="C1813" s="2" t="s">
        <v>4025</v>
      </c>
      <c r="D1813" s="2" t="s">
        <v>3452</v>
      </c>
      <c r="E1813" s="2" t="s">
        <v>51</v>
      </c>
      <c r="F1813" s="2"/>
      <c r="G1813" s="2"/>
      <c r="H1813" s="8"/>
      <c r="I1813" s="2"/>
      <c r="J1813" s="8"/>
      <c r="K1813" s="6"/>
      <c r="L1813" s="2"/>
      <c r="M1813" s="10" t="b">
        <f aca="false">TRUE()</f>
        <v>1</v>
      </c>
      <c r="N1813" s="9" t="str">
        <f aca="false">IF(H1813="","",IF(H1813&gt;=Assumptions!$B$5,1,IF(H1813&gt;=Assumptions!$B$6,2,IF(H1813&gt;=Assumptions!$B$7,3,""))))</f>
        <v/>
      </c>
      <c r="O1813" s="9" t="n">
        <f aca="false">IF(N1813=1,Assumptions!$B$8,IF(N1813=2,Assumptions!$B$9,IF(N1813=3,Assumptions!$B$10,0)))</f>
        <v>0</v>
      </c>
      <c r="P1813" s="6" t="s">
        <v>30</v>
      </c>
      <c r="Q1813" s="6" t="s">
        <v>30</v>
      </c>
      <c r="R1813" s="11" t="s">
        <v>30</v>
      </c>
      <c r="S1813" s="6" t="s">
        <v>30</v>
      </c>
      <c r="T1813" s="11" t="s">
        <v>30</v>
      </c>
      <c r="U1813" s="6" t="s">
        <v>30</v>
      </c>
      <c r="V1813" s="6" t="s">
        <v>30</v>
      </c>
      <c r="W1813" s="6" t="s">
        <v>30</v>
      </c>
      <c r="X1813" s="2" t="s">
        <v>30</v>
      </c>
      <c r="Y1813" s="6" t="str">
        <f aca="false">IF(AND(X1813="processed",ISNUMBER(S1813)),S1813*O1813,"")</f>
        <v/>
      </c>
      <c r="Z1813" s="6" t="n">
        <f aca="false">IF(ISNUMBER(K1813),K1813*O1813,0)</f>
        <v>0</v>
      </c>
      <c r="AA1813" s="2" t="s">
        <v>31</v>
      </c>
      <c r="AB1813" s="6" t="n">
        <v>1597</v>
      </c>
      <c r="AC1813" s="6" t="n">
        <v>1318</v>
      </c>
      <c r="AD1813" s="6" t="n">
        <v>1340</v>
      </c>
      <c r="AE1813" s="6" t="n">
        <v>1541.98046875</v>
      </c>
      <c r="AF1813" s="8"/>
      <c r="AG1813" s="11"/>
      <c r="AH1813" s="12" t="n">
        <v>0.999236841094989</v>
      </c>
      <c r="AI1813" s="2" t="s">
        <v>328</v>
      </c>
      <c r="AJ1813" s="2" t="s">
        <v>4025</v>
      </c>
      <c r="AK1813" s="2" t="s">
        <v>4026</v>
      </c>
    </row>
    <row r="1814" customFormat="false" ht="15" hidden="false" customHeight="false" outlineLevel="0" collapsed="false">
      <c r="A1814" s="9"/>
      <c r="B1814" s="2" t="s">
        <v>4027</v>
      </c>
      <c r="C1814" s="2" t="s">
        <v>4028</v>
      </c>
      <c r="D1814" s="2" t="s">
        <v>3452</v>
      </c>
      <c r="E1814" s="2" t="s">
        <v>51</v>
      </c>
      <c r="F1814" s="2"/>
      <c r="G1814" s="2"/>
      <c r="H1814" s="8"/>
      <c r="I1814" s="2"/>
      <c r="J1814" s="8"/>
      <c r="K1814" s="6"/>
      <c r="L1814" s="2"/>
      <c r="M1814" s="10" t="b">
        <f aca="false">TRUE()</f>
        <v>1</v>
      </c>
      <c r="N1814" s="9" t="str">
        <f aca="false">IF(H1814="","",IF(H1814&gt;=Assumptions!$B$5,1,IF(H1814&gt;=Assumptions!$B$6,2,IF(H1814&gt;=Assumptions!$B$7,3,""))))</f>
        <v/>
      </c>
      <c r="O1814" s="9" t="n">
        <f aca="false">IF(N1814=1,Assumptions!$B$8,IF(N1814=2,Assumptions!$B$9,IF(N1814=3,Assumptions!$B$10,0)))</f>
        <v>0</v>
      </c>
      <c r="P1814" s="6" t="s">
        <v>30</v>
      </c>
      <c r="Q1814" s="6" t="s">
        <v>30</v>
      </c>
      <c r="R1814" s="11" t="s">
        <v>30</v>
      </c>
      <c r="S1814" s="6" t="s">
        <v>30</v>
      </c>
      <c r="T1814" s="11" t="s">
        <v>30</v>
      </c>
      <c r="U1814" s="6" t="s">
        <v>30</v>
      </c>
      <c r="V1814" s="6" t="s">
        <v>30</v>
      </c>
      <c r="W1814" s="6" t="s">
        <v>30</v>
      </c>
      <c r="X1814" s="2" t="s">
        <v>30</v>
      </c>
      <c r="Y1814" s="6" t="str">
        <f aca="false">IF(AND(X1814="processed",ISNUMBER(S1814)),S1814*O1814,"")</f>
        <v/>
      </c>
      <c r="Z1814" s="6" t="n">
        <f aca="false">IF(ISNUMBER(K1814),K1814*O1814,0)</f>
        <v>0</v>
      </c>
      <c r="AA1814" s="2" t="s">
        <v>31</v>
      </c>
      <c r="AB1814" s="6" t="n">
        <v>1175</v>
      </c>
      <c r="AC1814" s="6" t="n">
        <v>877</v>
      </c>
      <c r="AD1814" s="6" t="n">
        <v>594</v>
      </c>
      <c r="AE1814" s="6" t="n">
        <v>1408.25146484375</v>
      </c>
      <c r="AF1814" s="8"/>
      <c r="AG1814" s="11"/>
      <c r="AH1814" s="12" t="n">
        <v>1.00000000000001</v>
      </c>
      <c r="AI1814" s="2" t="s">
        <v>665</v>
      </c>
      <c r="AJ1814" s="2" t="s">
        <v>4028</v>
      </c>
      <c r="AK1814" s="2" t="s">
        <v>3962</v>
      </c>
    </row>
    <row r="1815" customFormat="false" ht="15" hidden="false" customHeight="false" outlineLevel="0" collapsed="false">
      <c r="A1815" s="9"/>
      <c r="B1815" s="2" t="s">
        <v>4029</v>
      </c>
      <c r="C1815" s="2" t="s">
        <v>4030</v>
      </c>
      <c r="D1815" s="2" t="s">
        <v>1685</v>
      </c>
      <c r="E1815" s="2" t="s">
        <v>51</v>
      </c>
      <c r="F1815" s="2"/>
      <c r="G1815" s="2" t="s">
        <v>1764</v>
      </c>
      <c r="H1815" s="8" t="n">
        <v>182.347327831727</v>
      </c>
      <c r="I1815" s="2" t="s">
        <v>316</v>
      </c>
      <c r="J1815" s="8" t="n">
        <v>317636.363636364</v>
      </c>
      <c r="K1815" s="6" t="n">
        <v>11</v>
      </c>
      <c r="L1815" s="2"/>
      <c r="M1815" s="10" t="b">
        <f aca="false">TRUE()</f>
        <v>1</v>
      </c>
      <c r="N1815" s="9" t="str">
        <f aca="false">IF(H1815="","",IF(H1815&gt;=Assumptions!$B$5,1,IF(H1815&gt;=Assumptions!$B$6,2,IF(H1815&gt;=Assumptions!$B$7,3,""))))</f>
        <v/>
      </c>
      <c r="O1815" s="9" t="n">
        <f aca="false">IF(N1815=1,Assumptions!$B$8,IF(N1815=2,Assumptions!$B$9,IF(N1815=3,Assumptions!$B$10,0)))</f>
        <v>0</v>
      </c>
      <c r="P1815" s="6" t="s">
        <v>30</v>
      </c>
      <c r="Q1815" s="6" t="s">
        <v>30</v>
      </c>
      <c r="R1815" s="11" t="s">
        <v>30</v>
      </c>
      <c r="S1815" s="6" t="s">
        <v>30</v>
      </c>
      <c r="T1815" s="11" t="s">
        <v>30</v>
      </c>
      <c r="U1815" s="6" t="s">
        <v>30</v>
      </c>
      <c r="V1815" s="6" t="s">
        <v>30</v>
      </c>
      <c r="W1815" s="6" t="s">
        <v>30</v>
      </c>
      <c r="X1815" s="2" t="s">
        <v>30</v>
      </c>
      <c r="Y1815" s="6" t="str">
        <f aca="false">IF(AND(X1815="processed",ISNUMBER(S1815)),S1815*O1815,"")</f>
        <v/>
      </c>
      <c r="Z1815" s="6" t="n">
        <f aca="false">IF(ISNUMBER(K1815),K1815*O1815,0)</f>
        <v>0</v>
      </c>
      <c r="AA1815" s="2" t="s">
        <v>31</v>
      </c>
      <c r="AB1815" s="6" t="n">
        <v>758</v>
      </c>
      <c r="AC1815" s="6" t="n">
        <v>612</v>
      </c>
      <c r="AD1815" s="6" t="n">
        <v>751</v>
      </c>
      <c r="AE1815" s="6" t="n">
        <v>1638.1396484375</v>
      </c>
      <c r="AF1815" s="8" t="n">
        <v>193.467336683</v>
      </c>
      <c r="AG1815" s="11" t="n">
        <v>0.03364014307</v>
      </c>
      <c r="AH1815" s="12" t="n">
        <v>0.510486004513456</v>
      </c>
      <c r="AI1815" s="2" t="s">
        <v>1597</v>
      </c>
      <c r="AJ1815" s="2"/>
      <c r="AK1815" s="2" t="s">
        <v>4030</v>
      </c>
    </row>
    <row r="1816" customFormat="false" ht="15" hidden="false" customHeight="false" outlineLevel="0" collapsed="false">
      <c r="A1816" s="9"/>
      <c r="B1816" s="2" t="s">
        <v>4031</v>
      </c>
      <c r="C1816" s="2" t="s">
        <v>4032</v>
      </c>
      <c r="D1816" s="2" t="s">
        <v>1763</v>
      </c>
      <c r="E1816" s="2" t="s">
        <v>51</v>
      </c>
      <c r="F1816" s="2"/>
      <c r="G1816" s="2" t="s">
        <v>1764</v>
      </c>
      <c r="H1816" s="8" t="n">
        <v>165</v>
      </c>
      <c r="I1816" s="2" t="s">
        <v>316</v>
      </c>
      <c r="J1816" s="8" t="n">
        <v>182500</v>
      </c>
      <c r="K1816" s="6" t="n">
        <v>2</v>
      </c>
      <c r="L1816" s="2" t="s">
        <v>1664</v>
      </c>
      <c r="M1816" s="10" t="b">
        <f aca="false">TRUE()</f>
        <v>1</v>
      </c>
      <c r="N1816" s="9" t="str">
        <f aca="false">IF(H1816="","",IF(H1816&gt;=Assumptions!$B$5,1,IF(H1816&gt;=Assumptions!$B$6,2,IF(H1816&gt;=Assumptions!$B$7,3,""))))</f>
        <v/>
      </c>
      <c r="O1816" s="9" t="n">
        <f aca="false">IF(N1816=1,Assumptions!$B$8,IF(N1816=2,Assumptions!$B$9,IF(N1816=3,Assumptions!$B$10,0)))</f>
        <v>0</v>
      </c>
      <c r="P1816" s="6" t="s">
        <v>30</v>
      </c>
      <c r="Q1816" s="6" t="s">
        <v>30</v>
      </c>
      <c r="R1816" s="11" t="s">
        <v>30</v>
      </c>
      <c r="S1816" s="6" t="s">
        <v>30</v>
      </c>
      <c r="T1816" s="11" t="s">
        <v>30</v>
      </c>
      <c r="U1816" s="6" t="s">
        <v>30</v>
      </c>
      <c r="V1816" s="6" t="s">
        <v>30</v>
      </c>
      <c r="W1816" s="6" t="s">
        <v>30</v>
      </c>
      <c r="X1816" s="2" t="s">
        <v>30</v>
      </c>
      <c r="Y1816" s="6" t="str">
        <f aca="false">IF(AND(X1816="processed",ISNUMBER(S1816)),S1816*O1816,"")</f>
        <v/>
      </c>
      <c r="Z1816" s="6" t="n">
        <f aca="false">IF(ISNUMBER(K1816),K1816*O1816,0)</f>
        <v>0</v>
      </c>
      <c r="AA1816" s="2" t="s">
        <v>31</v>
      </c>
      <c r="AB1816" s="6" t="n">
        <v>224</v>
      </c>
      <c r="AC1816" s="6" t="n">
        <v>167</v>
      </c>
      <c r="AD1816" s="6" t="n">
        <v>121</v>
      </c>
      <c r="AE1816" s="6" t="n">
        <v>1184.70861816406</v>
      </c>
      <c r="AF1816" s="8" t="n">
        <v>165</v>
      </c>
      <c r="AG1816" s="11" t="n">
        <v>-0.2274247492</v>
      </c>
      <c r="AH1816" s="12" t="n">
        <v>0.995331983557516</v>
      </c>
      <c r="AI1816" s="2" t="s">
        <v>317</v>
      </c>
      <c r="AJ1816" s="2" t="s">
        <v>4032</v>
      </c>
      <c r="AK1816" s="2" t="s">
        <v>4033</v>
      </c>
    </row>
    <row r="1817" customFormat="false" ht="15" hidden="false" customHeight="false" outlineLevel="0" collapsed="false">
      <c r="A1817" s="9"/>
      <c r="B1817" s="2" t="s">
        <v>4034</v>
      </c>
      <c r="C1817" s="2" t="s">
        <v>4035</v>
      </c>
      <c r="D1817" s="2" t="s">
        <v>1685</v>
      </c>
      <c r="E1817" s="2" t="s">
        <v>51</v>
      </c>
      <c r="F1817" s="2"/>
      <c r="G1817" s="2" t="s">
        <v>1686</v>
      </c>
      <c r="H1817" s="8" t="n">
        <v>289.615598878385</v>
      </c>
      <c r="I1817" s="2" t="s">
        <v>316</v>
      </c>
      <c r="J1817" s="8" t="n">
        <v>593230.769230769</v>
      </c>
      <c r="K1817" s="6" t="n">
        <v>13</v>
      </c>
      <c r="L1817" s="2"/>
      <c r="M1817" s="10" t="b">
        <f aca="false">TRUE()</f>
        <v>1</v>
      </c>
      <c r="N1817" s="9" t="str">
        <f aca="false">IF(H1817="","",IF(H1817&gt;=Assumptions!$B$5,1,IF(H1817&gt;=Assumptions!$B$6,2,IF(H1817&gt;=Assumptions!$B$7,3,""))))</f>
        <v/>
      </c>
      <c r="O1817" s="9" t="n">
        <f aca="false">IF(N1817=1,Assumptions!$B$8,IF(N1817=2,Assumptions!$B$9,IF(N1817=3,Assumptions!$B$10,0)))</f>
        <v>0</v>
      </c>
      <c r="P1817" s="6" t="s">
        <v>30</v>
      </c>
      <c r="Q1817" s="6" t="s">
        <v>30</v>
      </c>
      <c r="R1817" s="11" t="s">
        <v>30</v>
      </c>
      <c r="S1817" s="6" t="s">
        <v>30</v>
      </c>
      <c r="T1817" s="11" t="s">
        <v>30</v>
      </c>
      <c r="U1817" s="6" t="s">
        <v>30</v>
      </c>
      <c r="V1817" s="6" t="s">
        <v>30</v>
      </c>
      <c r="W1817" s="6" t="s">
        <v>30</v>
      </c>
      <c r="X1817" s="2" t="s">
        <v>30</v>
      </c>
      <c r="Y1817" s="6" t="str">
        <f aca="false">IF(AND(X1817="processed",ISNUMBER(S1817)),S1817*O1817,"")</f>
        <v/>
      </c>
      <c r="Z1817" s="6" t="n">
        <f aca="false">IF(ISNUMBER(K1817),K1817*O1817,0)</f>
        <v>0</v>
      </c>
      <c r="AA1817" s="2" t="s">
        <v>31</v>
      </c>
      <c r="AB1817" s="6" t="n">
        <v>1175</v>
      </c>
      <c r="AC1817" s="6" t="n">
        <v>1008</v>
      </c>
      <c r="AD1817" s="6" t="n">
        <v>1130</v>
      </c>
      <c r="AE1817" s="6" t="n">
        <v>1955.62060546875</v>
      </c>
      <c r="AF1817" s="8" t="n">
        <v>334.912718204</v>
      </c>
      <c r="AG1817" s="11" t="n">
        <v>-0.001066459205</v>
      </c>
      <c r="AH1817" s="12" t="n">
        <v>1</v>
      </c>
      <c r="AI1817" s="2" t="s">
        <v>317</v>
      </c>
      <c r="AJ1817" s="2" t="s">
        <v>4035</v>
      </c>
      <c r="AK1817" s="2" t="s">
        <v>4036</v>
      </c>
    </row>
    <row r="1818" customFormat="false" ht="15" hidden="false" customHeight="false" outlineLevel="0" collapsed="false">
      <c r="A1818" s="9"/>
      <c r="B1818" s="2" t="s">
        <v>4037</v>
      </c>
      <c r="C1818" s="2" t="s">
        <v>4038</v>
      </c>
      <c r="D1818" s="2" t="s">
        <v>1763</v>
      </c>
      <c r="E1818" s="2" t="s">
        <v>51</v>
      </c>
      <c r="F1818" s="2"/>
      <c r="G1818" s="2" t="s">
        <v>1764</v>
      </c>
      <c r="H1818" s="8" t="n">
        <v>217.985909749222</v>
      </c>
      <c r="I1818" s="2" t="s">
        <v>316</v>
      </c>
      <c r="J1818" s="8" t="n">
        <v>346666.666666667</v>
      </c>
      <c r="K1818" s="6" t="n">
        <v>9</v>
      </c>
      <c r="L1818" s="2"/>
      <c r="M1818" s="10" t="b">
        <f aca="false">TRUE()</f>
        <v>1</v>
      </c>
      <c r="N1818" s="9" t="str">
        <f aca="false">IF(H1818="","",IF(H1818&gt;=Assumptions!$B$5,1,IF(H1818&gt;=Assumptions!$B$6,2,IF(H1818&gt;=Assumptions!$B$7,3,""))))</f>
        <v/>
      </c>
      <c r="O1818" s="9" t="n">
        <f aca="false">IF(N1818=1,Assumptions!$B$8,IF(N1818=2,Assumptions!$B$9,IF(N1818=3,Assumptions!$B$10,0)))</f>
        <v>0</v>
      </c>
      <c r="P1818" s="6" t="s">
        <v>30</v>
      </c>
      <c r="Q1818" s="6" t="s">
        <v>30</v>
      </c>
      <c r="R1818" s="11" t="s">
        <v>30</v>
      </c>
      <c r="S1818" s="6" t="s">
        <v>30</v>
      </c>
      <c r="T1818" s="11" t="s">
        <v>30</v>
      </c>
      <c r="U1818" s="6" t="s">
        <v>30</v>
      </c>
      <c r="V1818" s="6" t="s">
        <v>30</v>
      </c>
      <c r="W1818" s="6" t="s">
        <v>30</v>
      </c>
      <c r="X1818" s="2" t="s">
        <v>30</v>
      </c>
      <c r="Y1818" s="6" t="str">
        <f aca="false">IF(AND(X1818="processed",ISNUMBER(S1818)),S1818*O1818,"")</f>
        <v/>
      </c>
      <c r="Z1818" s="6" t="n">
        <f aca="false">IF(ISNUMBER(K1818),K1818*O1818,0)</f>
        <v>0</v>
      </c>
      <c r="AA1818" s="2" t="s">
        <v>31</v>
      </c>
      <c r="AB1818" s="6" t="n">
        <v>365</v>
      </c>
      <c r="AC1818" s="6" t="n">
        <v>277</v>
      </c>
      <c r="AD1818" s="6" t="n">
        <v>117</v>
      </c>
      <c r="AE1818" s="6" t="n">
        <v>1173.83569335938</v>
      </c>
      <c r="AF1818" s="8" t="n">
        <v>236.559139785</v>
      </c>
      <c r="AG1818" s="11" t="n">
        <v>-0.08958312133</v>
      </c>
      <c r="AH1818" s="12" t="n">
        <v>1</v>
      </c>
      <c r="AI1818" s="2" t="s">
        <v>1597</v>
      </c>
      <c r="AJ1818" s="2"/>
      <c r="AK1818" s="2" t="s">
        <v>4038</v>
      </c>
    </row>
    <row r="1819" customFormat="false" ht="15" hidden="false" customHeight="false" outlineLevel="0" collapsed="false">
      <c r="A1819" s="9"/>
      <c r="B1819" s="2" t="s">
        <v>4039</v>
      </c>
      <c r="C1819" s="2" t="s">
        <v>4040</v>
      </c>
      <c r="D1819" s="2" t="s">
        <v>3452</v>
      </c>
      <c r="E1819" s="2" t="s">
        <v>51</v>
      </c>
      <c r="F1819" s="2"/>
      <c r="G1819" s="2"/>
      <c r="H1819" s="8"/>
      <c r="I1819" s="2"/>
      <c r="J1819" s="8"/>
      <c r="K1819" s="6"/>
      <c r="L1819" s="2"/>
      <c r="M1819" s="10" t="b">
        <f aca="false">TRUE()</f>
        <v>1</v>
      </c>
      <c r="N1819" s="9" t="str">
        <f aca="false">IF(H1819="","",IF(H1819&gt;=Assumptions!$B$5,1,IF(H1819&gt;=Assumptions!$B$6,2,IF(H1819&gt;=Assumptions!$B$7,3,""))))</f>
        <v/>
      </c>
      <c r="O1819" s="9" t="n">
        <f aca="false">IF(N1819=1,Assumptions!$B$8,IF(N1819=2,Assumptions!$B$9,IF(N1819=3,Assumptions!$B$10,0)))</f>
        <v>0</v>
      </c>
      <c r="P1819" s="6" t="s">
        <v>30</v>
      </c>
      <c r="Q1819" s="6" t="s">
        <v>30</v>
      </c>
      <c r="R1819" s="11" t="s">
        <v>30</v>
      </c>
      <c r="S1819" s="6" t="s">
        <v>30</v>
      </c>
      <c r="T1819" s="11" t="s">
        <v>30</v>
      </c>
      <c r="U1819" s="6" t="s">
        <v>30</v>
      </c>
      <c r="V1819" s="6" t="s">
        <v>30</v>
      </c>
      <c r="W1819" s="6" t="s">
        <v>30</v>
      </c>
      <c r="X1819" s="2" t="s">
        <v>30</v>
      </c>
      <c r="Y1819" s="6" t="str">
        <f aca="false">IF(AND(X1819="processed",ISNUMBER(S1819)),S1819*O1819,"")</f>
        <v/>
      </c>
      <c r="Z1819" s="6" t="n">
        <f aca="false">IF(ISNUMBER(K1819),K1819*O1819,0)</f>
        <v>0</v>
      </c>
      <c r="AA1819" s="2" t="s">
        <v>31</v>
      </c>
      <c r="AB1819" s="6" t="n">
        <v>7569</v>
      </c>
      <c r="AC1819" s="6" t="n">
        <v>5780</v>
      </c>
      <c r="AD1819" s="6" t="n">
        <v>7312</v>
      </c>
      <c r="AE1819" s="6" t="n">
        <v>1770.02612304688</v>
      </c>
      <c r="AF1819" s="8"/>
      <c r="AG1819" s="11"/>
      <c r="AH1819" s="12" t="n">
        <v>0.999999999999999</v>
      </c>
      <c r="AI1819" s="2" t="s">
        <v>2132</v>
      </c>
      <c r="AJ1819" s="2" t="s">
        <v>4040</v>
      </c>
      <c r="AK1819" s="2" t="s">
        <v>4040</v>
      </c>
    </row>
    <row r="1820" customFormat="false" ht="15" hidden="false" customHeight="false" outlineLevel="0" collapsed="false">
      <c r="A1820" s="9"/>
      <c r="B1820" s="2" t="s">
        <v>4041</v>
      </c>
      <c r="C1820" s="2" t="s">
        <v>4042</v>
      </c>
      <c r="D1820" s="2" t="s">
        <v>1685</v>
      </c>
      <c r="E1820" s="2" t="s">
        <v>51</v>
      </c>
      <c r="F1820" s="2"/>
      <c r="G1820" s="2" t="s">
        <v>1686</v>
      </c>
      <c r="H1820" s="8" t="n">
        <v>127.942681679</v>
      </c>
      <c r="I1820" s="2" t="s">
        <v>316</v>
      </c>
      <c r="J1820" s="8" t="n">
        <v>315000</v>
      </c>
      <c r="K1820" s="6" t="n">
        <v>3</v>
      </c>
      <c r="L1820" s="2" t="s">
        <v>1664</v>
      </c>
      <c r="M1820" s="10" t="b">
        <f aca="false">TRUE()</f>
        <v>1</v>
      </c>
      <c r="N1820" s="9" t="str">
        <f aca="false">IF(H1820="","",IF(H1820&gt;=Assumptions!$B$5,1,IF(H1820&gt;=Assumptions!$B$6,2,IF(H1820&gt;=Assumptions!$B$7,3,""))))</f>
        <v/>
      </c>
      <c r="O1820" s="9" t="n">
        <f aca="false">IF(N1820=1,Assumptions!$B$8,IF(N1820=2,Assumptions!$B$9,IF(N1820=3,Assumptions!$B$10,0)))</f>
        <v>0</v>
      </c>
      <c r="P1820" s="6" t="s">
        <v>30</v>
      </c>
      <c r="Q1820" s="6" t="s">
        <v>30</v>
      </c>
      <c r="R1820" s="11" t="s">
        <v>30</v>
      </c>
      <c r="S1820" s="6" t="s">
        <v>30</v>
      </c>
      <c r="T1820" s="11" t="s">
        <v>30</v>
      </c>
      <c r="U1820" s="6" t="s">
        <v>30</v>
      </c>
      <c r="V1820" s="6" t="s">
        <v>30</v>
      </c>
      <c r="W1820" s="6" t="s">
        <v>30</v>
      </c>
      <c r="X1820" s="2" t="s">
        <v>30</v>
      </c>
      <c r="Y1820" s="6" t="str">
        <f aca="false">IF(AND(X1820="processed",ISNUMBER(S1820)),S1820*O1820,"")</f>
        <v/>
      </c>
      <c r="Z1820" s="6" t="n">
        <f aca="false">IF(ISNUMBER(K1820),K1820*O1820,0)</f>
        <v>0</v>
      </c>
      <c r="AA1820" s="2" t="s">
        <v>31</v>
      </c>
      <c r="AB1820" s="6" t="n">
        <v>416</v>
      </c>
      <c r="AC1820" s="6" t="n">
        <v>340</v>
      </c>
      <c r="AD1820" s="6" t="n">
        <v>267</v>
      </c>
      <c r="AE1820" s="6" t="n">
        <v>1498.14111328125</v>
      </c>
      <c r="AF1820" s="8" t="n">
        <v>127.942681679</v>
      </c>
      <c r="AG1820" s="11" t="n">
        <v>-0.2835209826</v>
      </c>
      <c r="AH1820" s="12" t="n">
        <v>0.999999999999996</v>
      </c>
      <c r="AI1820" s="2" t="s">
        <v>317</v>
      </c>
      <c r="AJ1820" s="2" t="s">
        <v>4042</v>
      </c>
      <c r="AK1820" s="2" t="s">
        <v>4043</v>
      </c>
    </row>
    <row r="1821" customFormat="false" ht="15" hidden="false" customHeight="false" outlineLevel="0" collapsed="false">
      <c r="A1821" s="9"/>
      <c r="B1821" s="2" t="s">
        <v>4044</v>
      </c>
      <c r="C1821" s="2" t="s">
        <v>4045</v>
      </c>
      <c r="D1821" s="2" t="s">
        <v>3452</v>
      </c>
      <c r="E1821" s="2" t="s">
        <v>51</v>
      </c>
      <c r="F1821" s="2"/>
      <c r="G1821" s="2"/>
      <c r="H1821" s="8"/>
      <c r="I1821" s="2"/>
      <c r="J1821" s="8"/>
      <c r="K1821" s="6"/>
      <c r="L1821" s="2"/>
      <c r="M1821" s="10" t="b">
        <f aca="false">TRUE()</f>
        <v>1</v>
      </c>
      <c r="N1821" s="9" t="str">
        <f aca="false">IF(H1821="","",IF(H1821&gt;=Assumptions!$B$5,1,IF(H1821&gt;=Assumptions!$B$6,2,IF(H1821&gt;=Assumptions!$B$7,3,""))))</f>
        <v/>
      </c>
      <c r="O1821" s="9" t="n">
        <f aca="false">IF(N1821=1,Assumptions!$B$8,IF(N1821=2,Assumptions!$B$9,IF(N1821=3,Assumptions!$B$10,0)))</f>
        <v>0</v>
      </c>
      <c r="P1821" s="6" t="s">
        <v>30</v>
      </c>
      <c r="Q1821" s="6" t="s">
        <v>30</v>
      </c>
      <c r="R1821" s="11" t="s">
        <v>30</v>
      </c>
      <c r="S1821" s="6" t="s">
        <v>30</v>
      </c>
      <c r="T1821" s="11" t="s">
        <v>30</v>
      </c>
      <c r="U1821" s="6" t="s">
        <v>30</v>
      </c>
      <c r="V1821" s="6" t="s">
        <v>30</v>
      </c>
      <c r="W1821" s="6" t="s">
        <v>30</v>
      </c>
      <c r="X1821" s="2" t="s">
        <v>30</v>
      </c>
      <c r="Y1821" s="6" t="str">
        <f aca="false">IF(AND(X1821="processed",ISNUMBER(S1821)),S1821*O1821,"")</f>
        <v/>
      </c>
      <c r="Z1821" s="6" t="n">
        <f aca="false">IF(ISNUMBER(K1821),K1821*O1821,0)</f>
        <v>0</v>
      </c>
      <c r="AA1821" s="2" t="s">
        <v>31</v>
      </c>
      <c r="AB1821" s="6" t="n">
        <v>5326</v>
      </c>
      <c r="AC1821" s="6" t="n">
        <v>4594</v>
      </c>
      <c r="AD1821" s="6" t="n">
        <v>2121</v>
      </c>
      <c r="AE1821" s="6" t="n">
        <v>1960.92211914063</v>
      </c>
      <c r="AF1821" s="8"/>
      <c r="AG1821" s="11"/>
      <c r="AH1821" s="12" t="n">
        <v>0.999558682215267</v>
      </c>
      <c r="AI1821" s="2" t="s">
        <v>317</v>
      </c>
      <c r="AJ1821" s="2" t="s">
        <v>4045</v>
      </c>
      <c r="AK1821" s="2" t="s">
        <v>4045</v>
      </c>
    </row>
    <row r="1822" customFormat="false" ht="15" hidden="false" customHeight="false" outlineLevel="0" collapsed="false">
      <c r="A1822" s="9"/>
      <c r="B1822" s="2" t="s">
        <v>4046</v>
      </c>
      <c r="C1822" s="2" t="s">
        <v>4047</v>
      </c>
      <c r="D1822" s="2" t="s">
        <v>3921</v>
      </c>
      <c r="E1822" s="2" t="s">
        <v>51</v>
      </c>
      <c r="F1822" s="2"/>
      <c r="G1822" s="2"/>
      <c r="H1822" s="8"/>
      <c r="I1822" s="2"/>
      <c r="J1822" s="8"/>
      <c r="K1822" s="6"/>
      <c r="L1822" s="2"/>
      <c r="M1822" s="10" t="b">
        <f aca="false">TRUE()</f>
        <v>1</v>
      </c>
      <c r="N1822" s="9" t="str">
        <f aca="false">IF(H1822="","",IF(H1822&gt;=Assumptions!$B$5,1,IF(H1822&gt;=Assumptions!$B$6,2,IF(H1822&gt;=Assumptions!$B$7,3,""))))</f>
        <v/>
      </c>
      <c r="O1822" s="9" t="n">
        <f aca="false">IF(N1822=1,Assumptions!$B$8,IF(N1822=2,Assumptions!$B$9,IF(N1822=3,Assumptions!$B$10,0)))</f>
        <v>0</v>
      </c>
      <c r="P1822" s="6" t="s">
        <v>30</v>
      </c>
      <c r="Q1822" s="6" t="s">
        <v>30</v>
      </c>
      <c r="R1822" s="11" t="s">
        <v>30</v>
      </c>
      <c r="S1822" s="6" t="s">
        <v>30</v>
      </c>
      <c r="T1822" s="11" t="s">
        <v>30</v>
      </c>
      <c r="U1822" s="6" t="s">
        <v>30</v>
      </c>
      <c r="V1822" s="6" t="s">
        <v>30</v>
      </c>
      <c r="W1822" s="6" t="s">
        <v>30</v>
      </c>
      <c r="X1822" s="2" t="s">
        <v>30</v>
      </c>
      <c r="Y1822" s="6" t="str">
        <f aca="false">IF(AND(X1822="processed",ISNUMBER(S1822)),S1822*O1822,"")</f>
        <v/>
      </c>
      <c r="Z1822" s="6" t="n">
        <f aca="false">IF(ISNUMBER(K1822),K1822*O1822,0)</f>
        <v>0</v>
      </c>
      <c r="AA1822" s="2" t="s">
        <v>31</v>
      </c>
      <c r="AB1822" s="6" t="n">
        <v>205</v>
      </c>
      <c r="AC1822" s="6" t="n">
        <v>133</v>
      </c>
      <c r="AD1822" s="6" t="n">
        <v>11</v>
      </c>
      <c r="AE1822" s="6" t="n">
        <v>1601.50915527344</v>
      </c>
      <c r="AF1822" s="8"/>
      <c r="AG1822" s="11"/>
      <c r="AH1822" s="12" t="n">
        <v>0.999975312169981</v>
      </c>
      <c r="AI1822" s="2" t="s">
        <v>1597</v>
      </c>
      <c r="AJ1822" s="2"/>
      <c r="AK1822" s="2" t="s">
        <v>4047</v>
      </c>
    </row>
    <row r="1823" customFormat="false" ht="15" hidden="false" customHeight="false" outlineLevel="0" collapsed="false">
      <c r="A1823" s="9"/>
      <c r="B1823" s="2" t="s">
        <v>4048</v>
      </c>
      <c r="C1823" s="2" t="s">
        <v>4049</v>
      </c>
      <c r="D1823" s="2" t="s">
        <v>1685</v>
      </c>
      <c r="E1823" s="2" t="s">
        <v>51</v>
      </c>
      <c r="F1823" s="2"/>
      <c r="G1823" s="2" t="s">
        <v>1686</v>
      </c>
      <c r="H1823" s="8" t="n">
        <v>202.457595348706</v>
      </c>
      <c r="I1823" s="2" t="s">
        <v>316</v>
      </c>
      <c r="J1823" s="8" t="n">
        <v>319235.294117647</v>
      </c>
      <c r="K1823" s="6" t="n">
        <v>17</v>
      </c>
      <c r="L1823" s="2"/>
      <c r="M1823" s="10" t="b">
        <f aca="false">TRUE()</f>
        <v>1</v>
      </c>
      <c r="N1823" s="9" t="str">
        <f aca="false">IF(H1823="","",IF(H1823&gt;=Assumptions!$B$5,1,IF(H1823&gt;=Assumptions!$B$6,2,IF(H1823&gt;=Assumptions!$B$7,3,""))))</f>
        <v/>
      </c>
      <c r="O1823" s="9" t="n">
        <f aca="false">IF(N1823=1,Assumptions!$B$8,IF(N1823=2,Assumptions!$B$9,IF(N1823=3,Assumptions!$B$10,0)))</f>
        <v>0</v>
      </c>
      <c r="P1823" s="6" t="s">
        <v>30</v>
      </c>
      <c r="Q1823" s="6" t="s">
        <v>30</v>
      </c>
      <c r="R1823" s="11" t="s">
        <v>30</v>
      </c>
      <c r="S1823" s="6" t="s">
        <v>30</v>
      </c>
      <c r="T1823" s="11" t="s">
        <v>30</v>
      </c>
      <c r="U1823" s="6" t="s">
        <v>30</v>
      </c>
      <c r="V1823" s="6" t="s">
        <v>30</v>
      </c>
      <c r="W1823" s="6" t="s">
        <v>30</v>
      </c>
      <c r="X1823" s="2" t="s">
        <v>30</v>
      </c>
      <c r="Y1823" s="6" t="str">
        <f aca="false">IF(AND(X1823="processed",ISNUMBER(S1823)),S1823*O1823,"")</f>
        <v/>
      </c>
      <c r="Z1823" s="6" t="n">
        <f aca="false">IF(ISNUMBER(K1823),K1823*O1823,0)</f>
        <v>0</v>
      </c>
      <c r="AA1823" s="2" t="s">
        <v>31</v>
      </c>
      <c r="AB1823" s="6" t="n">
        <v>1079</v>
      </c>
      <c r="AC1823" s="6" t="n">
        <v>865</v>
      </c>
      <c r="AD1823" s="6" t="n">
        <v>850</v>
      </c>
      <c r="AE1823" s="6" t="n">
        <v>1559.62316894531</v>
      </c>
      <c r="AF1823" s="8" t="n">
        <v>223.032069971</v>
      </c>
      <c r="AG1823" s="11" t="n">
        <v>0.3103115494</v>
      </c>
      <c r="AH1823" s="12" t="n">
        <v>1</v>
      </c>
      <c r="AI1823" s="2" t="s">
        <v>321</v>
      </c>
      <c r="AJ1823" s="2" t="s">
        <v>4049</v>
      </c>
      <c r="AK1823" s="2" t="s">
        <v>4049</v>
      </c>
    </row>
    <row r="1824" customFormat="false" ht="15" hidden="false" customHeight="false" outlineLevel="0" collapsed="false">
      <c r="A1824" s="9"/>
      <c r="B1824" s="2" t="s">
        <v>4050</v>
      </c>
      <c r="C1824" s="2" t="s">
        <v>1687</v>
      </c>
      <c r="D1824" s="2" t="s">
        <v>1685</v>
      </c>
      <c r="E1824" s="2" t="s">
        <v>51</v>
      </c>
      <c r="F1824" s="2"/>
      <c r="G1824" s="2" t="s">
        <v>1686</v>
      </c>
      <c r="H1824" s="8" t="n">
        <v>202.199658892857</v>
      </c>
      <c r="I1824" s="2" t="s">
        <v>316</v>
      </c>
      <c r="J1824" s="8" t="n">
        <v>268928.571428571</v>
      </c>
      <c r="K1824" s="6" t="n">
        <v>7</v>
      </c>
      <c r="L1824" s="2"/>
      <c r="M1824" s="10" t="b">
        <f aca="false">TRUE()</f>
        <v>1</v>
      </c>
      <c r="N1824" s="9" t="str">
        <f aca="false">IF(H1824="","",IF(H1824&gt;=Assumptions!$B$5,1,IF(H1824&gt;=Assumptions!$B$6,2,IF(H1824&gt;=Assumptions!$B$7,3,""))))</f>
        <v/>
      </c>
      <c r="O1824" s="9" t="n">
        <f aca="false">IF(N1824=1,Assumptions!$B$8,IF(N1824=2,Assumptions!$B$9,IF(N1824=3,Assumptions!$B$10,0)))</f>
        <v>0</v>
      </c>
      <c r="P1824" s="6" t="s">
        <v>30</v>
      </c>
      <c r="Q1824" s="6" t="s">
        <v>30</v>
      </c>
      <c r="R1824" s="11" t="s">
        <v>30</v>
      </c>
      <c r="S1824" s="6" t="s">
        <v>30</v>
      </c>
      <c r="T1824" s="11" t="s">
        <v>30</v>
      </c>
      <c r="U1824" s="6" t="s">
        <v>30</v>
      </c>
      <c r="V1824" s="6" t="s">
        <v>30</v>
      </c>
      <c r="W1824" s="6" t="s">
        <v>30</v>
      </c>
      <c r="X1824" s="2" t="s">
        <v>30</v>
      </c>
      <c r="Y1824" s="6" t="str">
        <f aca="false">IF(AND(X1824="processed",ISNUMBER(S1824)),S1824*O1824,"")</f>
        <v/>
      </c>
      <c r="Z1824" s="6" t="n">
        <f aca="false">IF(ISNUMBER(K1824),K1824*O1824,0)</f>
        <v>0</v>
      </c>
      <c r="AA1824" s="2" t="s">
        <v>31</v>
      </c>
      <c r="AB1824" s="6" t="n">
        <v>294</v>
      </c>
      <c r="AC1824" s="6" t="n">
        <v>248</v>
      </c>
      <c r="AD1824" s="6" t="n">
        <v>136</v>
      </c>
      <c r="AE1824" s="6" t="n">
        <v>1535.06323242188</v>
      </c>
      <c r="AF1824" s="8" t="n">
        <v>154.933351402</v>
      </c>
      <c r="AG1824" s="11"/>
      <c r="AH1824" s="12" t="n">
        <v>0.999831520695185</v>
      </c>
      <c r="AI1824" s="2" t="s">
        <v>317</v>
      </c>
      <c r="AJ1824" s="2" t="s">
        <v>1687</v>
      </c>
      <c r="AK1824" s="2" t="s">
        <v>1687</v>
      </c>
    </row>
    <row r="1825" customFormat="false" ht="15" hidden="false" customHeight="false" outlineLevel="0" collapsed="false">
      <c r="A1825" s="9"/>
      <c r="B1825" s="2" t="s">
        <v>4051</v>
      </c>
      <c r="C1825" s="2" t="s">
        <v>4052</v>
      </c>
      <c r="D1825" s="2" t="s">
        <v>1685</v>
      </c>
      <c r="E1825" s="2" t="s">
        <v>51</v>
      </c>
      <c r="F1825" s="2"/>
      <c r="G1825" s="2" t="s">
        <v>1686</v>
      </c>
      <c r="H1825" s="8" t="n">
        <v>271.6542780186</v>
      </c>
      <c r="I1825" s="2" t="s">
        <v>316</v>
      </c>
      <c r="J1825" s="8" t="n">
        <v>589341.666666667</v>
      </c>
      <c r="K1825" s="6" t="n">
        <v>60</v>
      </c>
      <c r="L1825" s="2"/>
      <c r="M1825" s="10" t="b">
        <f aca="false">TRUE()</f>
        <v>1</v>
      </c>
      <c r="N1825" s="9" t="str">
        <f aca="false">IF(H1825="","",IF(H1825&gt;=Assumptions!$B$5,1,IF(H1825&gt;=Assumptions!$B$6,2,IF(H1825&gt;=Assumptions!$B$7,3,""))))</f>
        <v/>
      </c>
      <c r="O1825" s="9" t="n">
        <f aca="false">IF(N1825=1,Assumptions!$B$8,IF(N1825=2,Assumptions!$B$9,IF(N1825=3,Assumptions!$B$10,0)))</f>
        <v>0</v>
      </c>
      <c r="P1825" s="6" t="s">
        <v>30</v>
      </c>
      <c r="Q1825" s="6" t="s">
        <v>30</v>
      </c>
      <c r="R1825" s="11" t="s">
        <v>30</v>
      </c>
      <c r="S1825" s="6" t="s">
        <v>30</v>
      </c>
      <c r="T1825" s="11" t="s">
        <v>30</v>
      </c>
      <c r="U1825" s="6" t="s">
        <v>30</v>
      </c>
      <c r="V1825" s="6" t="s">
        <v>30</v>
      </c>
      <c r="W1825" s="6" t="s">
        <v>30</v>
      </c>
      <c r="X1825" s="2" t="s">
        <v>30</v>
      </c>
      <c r="Y1825" s="6" t="str">
        <f aca="false">IF(AND(X1825="processed",ISNUMBER(S1825)),S1825*O1825,"")</f>
        <v/>
      </c>
      <c r="Z1825" s="6" t="n">
        <f aca="false">IF(ISNUMBER(K1825),K1825*O1825,0)</f>
        <v>0</v>
      </c>
      <c r="AA1825" s="2" t="s">
        <v>31</v>
      </c>
      <c r="AB1825" s="6" t="n">
        <v>3776</v>
      </c>
      <c r="AC1825" s="6" t="n">
        <v>3142</v>
      </c>
      <c r="AD1825" s="6" t="n">
        <v>2094</v>
      </c>
      <c r="AE1825" s="6" t="n">
        <v>2355.79833984375</v>
      </c>
      <c r="AF1825" s="8" t="n">
        <v>293.490153173</v>
      </c>
      <c r="AG1825" s="11" t="n">
        <v>0.04442444701</v>
      </c>
      <c r="AH1825" s="12" t="n">
        <v>1</v>
      </c>
      <c r="AI1825" s="2" t="s">
        <v>317</v>
      </c>
      <c r="AJ1825" s="2" t="s">
        <v>4052</v>
      </c>
      <c r="AK1825" s="2" t="s">
        <v>4052</v>
      </c>
    </row>
    <row r="1826" customFormat="false" ht="15" hidden="false" customHeight="false" outlineLevel="0" collapsed="false">
      <c r="A1826" s="9"/>
      <c r="B1826" s="2" t="s">
        <v>4053</v>
      </c>
      <c r="C1826" s="2" t="s">
        <v>4054</v>
      </c>
      <c r="D1826" s="2" t="s">
        <v>1763</v>
      </c>
      <c r="E1826" s="2" t="s">
        <v>51</v>
      </c>
      <c r="F1826" s="2"/>
      <c r="G1826" s="2" t="s">
        <v>1764</v>
      </c>
      <c r="H1826" s="8" t="n">
        <v>147.569444444</v>
      </c>
      <c r="I1826" s="2" t="s">
        <v>316</v>
      </c>
      <c r="J1826" s="8" t="n">
        <v>170000</v>
      </c>
      <c r="K1826" s="6" t="n">
        <v>1</v>
      </c>
      <c r="L1826" s="2" t="s">
        <v>1664</v>
      </c>
      <c r="M1826" s="10" t="b">
        <f aca="false">TRUE()</f>
        <v>1</v>
      </c>
      <c r="N1826" s="9" t="str">
        <f aca="false">IF(H1826="","",IF(H1826&gt;=Assumptions!$B$5,1,IF(H1826&gt;=Assumptions!$B$6,2,IF(H1826&gt;=Assumptions!$B$7,3,""))))</f>
        <v/>
      </c>
      <c r="O1826" s="9" t="n">
        <f aca="false">IF(N1826=1,Assumptions!$B$8,IF(N1826=2,Assumptions!$B$9,IF(N1826=3,Assumptions!$B$10,0)))</f>
        <v>0</v>
      </c>
      <c r="P1826" s="6" t="s">
        <v>30</v>
      </c>
      <c r="Q1826" s="6" t="s">
        <v>30</v>
      </c>
      <c r="R1826" s="11" t="s">
        <v>30</v>
      </c>
      <c r="S1826" s="6" t="s">
        <v>30</v>
      </c>
      <c r="T1826" s="11" t="s">
        <v>30</v>
      </c>
      <c r="U1826" s="6" t="s">
        <v>30</v>
      </c>
      <c r="V1826" s="6" t="s">
        <v>30</v>
      </c>
      <c r="W1826" s="6" t="s">
        <v>30</v>
      </c>
      <c r="X1826" s="2" t="s">
        <v>30</v>
      </c>
      <c r="Y1826" s="6" t="str">
        <f aca="false">IF(AND(X1826="processed",ISNUMBER(S1826)),S1826*O1826,"")</f>
        <v/>
      </c>
      <c r="Z1826" s="6" t="n">
        <f aca="false">IF(ISNUMBER(K1826),K1826*O1826,0)</f>
        <v>0</v>
      </c>
      <c r="AA1826" s="2" t="s">
        <v>31</v>
      </c>
      <c r="AB1826" s="6" t="n">
        <v>282</v>
      </c>
      <c r="AC1826" s="6" t="n">
        <v>223</v>
      </c>
      <c r="AD1826" s="6" t="n">
        <v>177</v>
      </c>
      <c r="AE1826" s="6" t="n">
        <v>1540.5556640625</v>
      </c>
      <c r="AF1826" s="8" t="n">
        <v>147.569444444</v>
      </c>
      <c r="AG1826" s="11"/>
      <c r="AH1826" s="12" t="n">
        <v>0.999900411995293</v>
      </c>
      <c r="AI1826" s="2" t="s">
        <v>1597</v>
      </c>
      <c r="AJ1826" s="2"/>
      <c r="AK1826" s="2" t="s">
        <v>4054</v>
      </c>
    </row>
    <row r="1827" customFormat="false" ht="15" hidden="false" customHeight="false" outlineLevel="0" collapsed="false">
      <c r="A1827" s="9"/>
      <c r="B1827" s="2" t="s">
        <v>4055</v>
      </c>
      <c r="C1827" s="2" t="s">
        <v>4056</v>
      </c>
      <c r="D1827" s="2" t="s">
        <v>1763</v>
      </c>
      <c r="E1827" s="2" t="s">
        <v>51</v>
      </c>
      <c r="F1827" s="2"/>
      <c r="G1827" s="2"/>
      <c r="H1827" s="8"/>
      <c r="I1827" s="2"/>
      <c r="J1827" s="8"/>
      <c r="K1827" s="6"/>
      <c r="L1827" s="2"/>
      <c r="M1827" s="10" t="b">
        <f aca="false">TRUE()</f>
        <v>1</v>
      </c>
      <c r="N1827" s="9" t="str">
        <f aca="false">IF(H1827="","",IF(H1827&gt;=Assumptions!$B$5,1,IF(H1827&gt;=Assumptions!$B$6,2,IF(H1827&gt;=Assumptions!$B$7,3,""))))</f>
        <v/>
      </c>
      <c r="O1827" s="9" t="n">
        <f aca="false">IF(N1827=1,Assumptions!$B$8,IF(N1827=2,Assumptions!$B$9,IF(N1827=3,Assumptions!$B$10,0)))</f>
        <v>0</v>
      </c>
      <c r="P1827" s="6" t="s">
        <v>30</v>
      </c>
      <c r="Q1827" s="6" t="s">
        <v>30</v>
      </c>
      <c r="R1827" s="11" t="s">
        <v>30</v>
      </c>
      <c r="S1827" s="6" t="s">
        <v>30</v>
      </c>
      <c r="T1827" s="11" t="s">
        <v>30</v>
      </c>
      <c r="U1827" s="6" t="s">
        <v>30</v>
      </c>
      <c r="V1827" s="6" t="s">
        <v>30</v>
      </c>
      <c r="W1827" s="6" t="s">
        <v>30</v>
      </c>
      <c r="X1827" s="2" t="s">
        <v>30</v>
      </c>
      <c r="Y1827" s="6" t="str">
        <f aca="false">IF(AND(X1827="processed",ISNUMBER(S1827)),S1827*O1827,"")</f>
        <v/>
      </c>
      <c r="Z1827" s="6" t="n">
        <f aca="false">IF(ISNUMBER(K1827),K1827*O1827,0)</f>
        <v>0</v>
      </c>
      <c r="AA1827" s="2" t="s">
        <v>31</v>
      </c>
      <c r="AB1827" s="6" t="n">
        <v>389</v>
      </c>
      <c r="AC1827" s="6" t="n">
        <v>310</v>
      </c>
      <c r="AD1827" s="6" t="n">
        <v>377</v>
      </c>
      <c r="AE1827" s="6" t="n">
        <v>1281.43408203125</v>
      </c>
      <c r="AF1827" s="8"/>
      <c r="AG1827" s="11"/>
      <c r="AH1827" s="12" t="n">
        <v>0.931739124544127</v>
      </c>
      <c r="AI1827" s="2" t="s">
        <v>1597</v>
      </c>
      <c r="AJ1827" s="2"/>
      <c r="AK1827" s="2" t="s">
        <v>4056</v>
      </c>
    </row>
    <row r="1828" customFormat="false" ht="15" hidden="false" customHeight="false" outlineLevel="0" collapsed="false">
      <c r="A1828" s="9"/>
      <c r="B1828" s="2" t="s">
        <v>4057</v>
      </c>
      <c r="C1828" s="2" t="s">
        <v>4058</v>
      </c>
      <c r="D1828" s="2" t="s">
        <v>1685</v>
      </c>
      <c r="E1828" s="2" t="s">
        <v>51</v>
      </c>
      <c r="F1828" s="2"/>
      <c r="G1828" s="2" t="s">
        <v>1764</v>
      </c>
      <c r="H1828" s="8" t="n">
        <v>207.333333333</v>
      </c>
      <c r="I1828" s="2" t="s">
        <v>316</v>
      </c>
      <c r="J1828" s="8" t="n">
        <v>311000</v>
      </c>
      <c r="K1828" s="6" t="n">
        <v>2</v>
      </c>
      <c r="L1828" s="2" t="s">
        <v>1664</v>
      </c>
      <c r="M1828" s="10" t="b">
        <f aca="false">TRUE()</f>
        <v>1</v>
      </c>
      <c r="N1828" s="9" t="str">
        <f aca="false">IF(H1828="","",IF(H1828&gt;=Assumptions!$B$5,1,IF(H1828&gt;=Assumptions!$B$6,2,IF(H1828&gt;=Assumptions!$B$7,3,""))))</f>
        <v/>
      </c>
      <c r="O1828" s="9" t="n">
        <f aca="false">IF(N1828=1,Assumptions!$B$8,IF(N1828=2,Assumptions!$B$9,IF(N1828=3,Assumptions!$B$10,0)))</f>
        <v>0</v>
      </c>
      <c r="P1828" s="6" t="s">
        <v>30</v>
      </c>
      <c r="Q1828" s="6" t="s">
        <v>30</v>
      </c>
      <c r="R1828" s="11" t="s">
        <v>30</v>
      </c>
      <c r="S1828" s="6" t="s">
        <v>30</v>
      </c>
      <c r="T1828" s="11" t="s">
        <v>30</v>
      </c>
      <c r="U1828" s="6" t="s">
        <v>30</v>
      </c>
      <c r="V1828" s="6" t="s">
        <v>30</v>
      </c>
      <c r="W1828" s="6" t="s">
        <v>30</v>
      </c>
      <c r="X1828" s="2" t="s">
        <v>30</v>
      </c>
      <c r="Y1828" s="6" t="str">
        <f aca="false">IF(AND(X1828="processed",ISNUMBER(S1828)),S1828*O1828,"")</f>
        <v/>
      </c>
      <c r="Z1828" s="6" t="n">
        <f aca="false">IF(ISNUMBER(K1828),K1828*O1828,0)</f>
        <v>0</v>
      </c>
      <c r="AA1828" s="2" t="s">
        <v>31</v>
      </c>
      <c r="AB1828" s="6" t="n">
        <v>448</v>
      </c>
      <c r="AC1828" s="6" t="n">
        <v>274</v>
      </c>
      <c r="AD1828" s="6" t="n">
        <v>282</v>
      </c>
      <c r="AE1828" s="6" t="n">
        <v>1304.74731445313</v>
      </c>
      <c r="AF1828" s="8"/>
      <c r="AG1828" s="11"/>
      <c r="AH1828" s="12" t="n">
        <v>0.509937152707234</v>
      </c>
      <c r="AI1828" s="2" t="s">
        <v>3327</v>
      </c>
      <c r="AJ1828" s="2" t="s">
        <v>4059</v>
      </c>
      <c r="AK1828" s="2" t="s">
        <v>4060</v>
      </c>
    </row>
    <row r="1829" customFormat="false" ht="15" hidden="false" customHeight="false" outlineLevel="0" collapsed="false">
      <c r="A1829" s="9"/>
      <c r="B1829" s="2" t="s">
        <v>4061</v>
      </c>
      <c r="C1829" s="2" t="s">
        <v>4062</v>
      </c>
      <c r="D1829" s="2" t="s">
        <v>1763</v>
      </c>
      <c r="E1829" s="2" t="s">
        <v>51</v>
      </c>
      <c r="F1829" s="2"/>
      <c r="G1829" s="2" t="s">
        <v>1764</v>
      </c>
      <c r="H1829" s="8" t="n">
        <v>232.070387114697</v>
      </c>
      <c r="I1829" s="2" t="s">
        <v>316</v>
      </c>
      <c r="J1829" s="8" t="n">
        <v>337861.471861472</v>
      </c>
      <c r="K1829" s="6" t="n">
        <v>231</v>
      </c>
      <c r="L1829" s="2"/>
      <c r="M1829" s="10" t="b">
        <f aca="false">TRUE()</f>
        <v>1</v>
      </c>
      <c r="N1829" s="9" t="str">
        <f aca="false">IF(H1829="","",IF(H1829&gt;=Assumptions!$B$5,1,IF(H1829&gt;=Assumptions!$B$6,2,IF(H1829&gt;=Assumptions!$B$7,3,""))))</f>
        <v/>
      </c>
      <c r="O1829" s="9" t="n">
        <f aca="false">IF(N1829=1,Assumptions!$B$8,IF(N1829=2,Assumptions!$B$9,IF(N1829=3,Assumptions!$B$10,0)))</f>
        <v>0</v>
      </c>
      <c r="P1829" s="6" t="s">
        <v>30</v>
      </c>
      <c r="Q1829" s="6" t="s">
        <v>30</v>
      </c>
      <c r="R1829" s="11" t="s">
        <v>30</v>
      </c>
      <c r="S1829" s="6" t="s">
        <v>30</v>
      </c>
      <c r="T1829" s="11" t="s">
        <v>30</v>
      </c>
      <c r="U1829" s="6" t="s">
        <v>30</v>
      </c>
      <c r="V1829" s="6" t="s">
        <v>30</v>
      </c>
      <c r="W1829" s="6" t="s">
        <v>30</v>
      </c>
      <c r="X1829" s="2" t="s">
        <v>30</v>
      </c>
      <c r="Y1829" s="6" t="str">
        <f aca="false">IF(AND(X1829="processed",ISNUMBER(S1829)),S1829*O1829,"")</f>
        <v/>
      </c>
      <c r="Z1829" s="6" t="n">
        <f aca="false">IF(ISNUMBER(K1829),K1829*O1829,0)</f>
        <v>0</v>
      </c>
      <c r="AA1829" s="2" t="s">
        <v>31</v>
      </c>
      <c r="AB1829" s="6" t="n">
        <v>17906</v>
      </c>
      <c r="AC1829" s="6" t="n">
        <v>15354</v>
      </c>
      <c r="AD1829" s="6" t="n">
        <v>16015</v>
      </c>
      <c r="AE1829" s="6" t="n">
        <v>2044.88635253906</v>
      </c>
      <c r="AF1829" s="8" t="n">
        <v>233.543619322</v>
      </c>
      <c r="AG1829" s="11" t="n">
        <v>-0.01894938407</v>
      </c>
      <c r="AH1829" s="12" t="n">
        <v>1.00000000000001</v>
      </c>
      <c r="AI1829" s="2" t="s">
        <v>319</v>
      </c>
      <c r="AJ1829" s="2"/>
      <c r="AK1829" s="2" t="s">
        <v>4062</v>
      </c>
    </row>
    <row r="1830" customFormat="false" ht="15" hidden="false" customHeight="false" outlineLevel="0" collapsed="false">
      <c r="A1830" s="9"/>
      <c r="B1830" s="2" t="s">
        <v>4063</v>
      </c>
      <c r="C1830" s="2" t="s">
        <v>4064</v>
      </c>
      <c r="D1830" s="2" t="s">
        <v>1685</v>
      </c>
      <c r="E1830" s="2" t="s">
        <v>51</v>
      </c>
      <c r="F1830" s="2"/>
      <c r="G1830" s="2" t="s">
        <v>1686</v>
      </c>
      <c r="H1830" s="8" t="n">
        <v>96.982758621</v>
      </c>
      <c r="I1830" s="2" t="s">
        <v>316</v>
      </c>
      <c r="J1830" s="8" t="n">
        <v>135000</v>
      </c>
      <c r="K1830" s="6" t="n">
        <v>1</v>
      </c>
      <c r="L1830" s="2" t="s">
        <v>1664</v>
      </c>
      <c r="M1830" s="10" t="b">
        <f aca="false">TRUE()</f>
        <v>1</v>
      </c>
      <c r="N1830" s="9" t="str">
        <f aca="false">IF(H1830="","",IF(H1830&gt;=Assumptions!$B$5,1,IF(H1830&gt;=Assumptions!$B$6,2,IF(H1830&gt;=Assumptions!$B$7,3,""))))</f>
        <v/>
      </c>
      <c r="O1830" s="9" t="n">
        <f aca="false">IF(N1830=1,Assumptions!$B$8,IF(N1830=2,Assumptions!$B$9,IF(N1830=3,Assumptions!$B$10,0)))</f>
        <v>0</v>
      </c>
      <c r="P1830" s="6" t="s">
        <v>30</v>
      </c>
      <c r="Q1830" s="6" t="s">
        <v>30</v>
      </c>
      <c r="R1830" s="11" t="s">
        <v>30</v>
      </c>
      <c r="S1830" s="6" t="s">
        <v>30</v>
      </c>
      <c r="T1830" s="11" t="s">
        <v>30</v>
      </c>
      <c r="U1830" s="6" t="s">
        <v>30</v>
      </c>
      <c r="V1830" s="6" t="s">
        <v>30</v>
      </c>
      <c r="W1830" s="6" t="s">
        <v>30</v>
      </c>
      <c r="X1830" s="2" t="s">
        <v>30</v>
      </c>
      <c r="Y1830" s="6" t="str">
        <f aca="false">IF(AND(X1830="processed",ISNUMBER(S1830)),S1830*O1830,"")</f>
        <v/>
      </c>
      <c r="Z1830" s="6" t="n">
        <f aca="false">IF(ISNUMBER(K1830),K1830*O1830,0)</f>
        <v>0</v>
      </c>
      <c r="AA1830" s="2" t="s">
        <v>31</v>
      </c>
      <c r="AB1830" s="6" t="n">
        <v>695</v>
      </c>
      <c r="AC1830" s="6" t="n">
        <v>547</v>
      </c>
      <c r="AD1830" s="6" t="n">
        <v>478</v>
      </c>
      <c r="AE1830" s="6" t="n">
        <v>1477.03112792969</v>
      </c>
      <c r="AF1830" s="8" t="n">
        <v>96.982758621</v>
      </c>
      <c r="AG1830" s="11"/>
      <c r="AH1830" s="12" t="n">
        <v>1.00000000000002</v>
      </c>
      <c r="AI1830" s="2" t="s">
        <v>328</v>
      </c>
      <c r="AJ1830" s="2" t="s">
        <v>4064</v>
      </c>
      <c r="AK1830" s="2" t="s">
        <v>4042</v>
      </c>
    </row>
    <row r="1831" customFormat="false" ht="15" hidden="false" customHeight="false" outlineLevel="0" collapsed="false">
      <c r="A1831" s="9"/>
      <c r="B1831" s="2" t="s">
        <v>4065</v>
      </c>
      <c r="C1831" s="2" t="s">
        <v>4066</v>
      </c>
      <c r="D1831" s="2" t="s">
        <v>3452</v>
      </c>
      <c r="E1831" s="2" t="s">
        <v>51</v>
      </c>
      <c r="F1831" s="2"/>
      <c r="G1831" s="2"/>
      <c r="H1831" s="8"/>
      <c r="I1831" s="2"/>
      <c r="J1831" s="8"/>
      <c r="K1831" s="6"/>
      <c r="L1831" s="2"/>
      <c r="M1831" s="10" t="b">
        <f aca="false">TRUE()</f>
        <v>1</v>
      </c>
      <c r="N1831" s="9" t="str">
        <f aca="false">IF(H1831="","",IF(H1831&gt;=Assumptions!$B$5,1,IF(H1831&gt;=Assumptions!$B$6,2,IF(H1831&gt;=Assumptions!$B$7,3,""))))</f>
        <v/>
      </c>
      <c r="O1831" s="9" t="n">
        <f aca="false">IF(N1831=1,Assumptions!$B$8,IF(N1831=2,Assumptions!$B$9,IF(N1831=3,Assumptions!$B$10,0)))</f>
        <v>0</v>
      </c>
      <c r="P1831" s="6" t="s">
        <v>30</v>
      </c>
      <c r="Q1831" s="6" t="s">
        <v>30</v>
      </c>
      <c r="R1831" s="11" t="s">
        <v>30</v>
      </c>
      <c r="S1831" s="6" t="s">
        <v>30</v>
      </c>
      <c r="T1831" s="11" t="s">
        <v>30</v>
      </c>
      <c r="U1831" s="6" t="s">
        <v>30</v>
      </c>
      <c r="V1831" s="6" t="s">
        <v>30</v>
      </c>
      <c r="W1831" s="6" t="s">
        <v>30</v>
      </c>
      <c r="X1831" s="2" t="s">
        <v>30</v>
      </c>
      <c r="Y1831" s="6" t="str">
        <f aca="false">IF(AND(X1831="processed",ISNUMBER(S1831)),S1831*O1831,"")</f>
        <v/>
      </c>
      <c r="Z1831" s="6" t="n">
        <f aca="false">IF(ISNUMBER(K1831),K1831*O1831,0)</f>
        <v>0</v>
      </c>
      <c r="AA1831" s="2" t="s">
        <v>31</v>
      </c>
      <c r="AB1831" s="6" t="n">
        <v>78</v>
      </c>
      <c r="AC1831" s="6" t="n">
        <v>64</v>
      </c>
      <c r="AD1831" s="6" t="n">
        <v>73</v>
      </c>
      <c r="AE1831" s="6" t="n">
        <v>1518.81396484375</v>
      </c>
      <c r="AF1831" s="8"/>
      <c r="AG1831" s="11"/>
      <c r="AH1831" s="12" t="n">
        <v>1</v>
      </c>
      <c r="AI1831" s="2" t="s">
        <v>2403</v>
      </c>
      <c r="AJ1831" s="2" t="s">
        <v>4067</v>
      </c>
      <c r="AK1831" s="2" t="s">
        <v>4066</v>
      </c>
    </row>
    <row r="1832" customFormat="false" ht="15" hidden="false" customHeight="false" outlineLevel="0" collapsed="false">
      <c r="A1832" s="9"/>
      <c r="B1832" s="2" t="s">
        <v>4068</v>
      </c>
      <c r="C1832" s="2" t="s">
        <v>4069</v>
      </c>
      <c r="D1832" s="2" t="s">
        <v>3452</v>
      </c>
      <c r="E1832" s="2" t="s">
        <v>51</v>
      </c>
      <c r="F1832" s="2" t="s">
        <v>4070</v>
      </c>
      <c r="G1832" s="2"/>
      <c r="H1832" s="8"/>
      <c r="I1832" s="2"/>
      <c r="J1832" s="8"/>
      <c r="K1832" s="6"/>
      <c r="L1832" s="2"/>
      <c r="M1832" s="10" t="b">
        <f aca="false">TRUE()</f>
        <v>1</v>
      </c>
      <c r="N1832" s="9" t="str">
        <f aca="false">IF(H1832="","",IF(H1832&gt;=Assumptions!$B$5,1,IF(H1832&gt;=Assumptions!$B$6,2,IF(H1832&gt;=Assumptions!$B$7,3,""))))</f>
        <v/>
      </c>
      <c r="O1832" s="9" t="n">
        <f aca="false">IF(N1832=1,Assumptions!$B$8,IF(N1832=2,Assumptions!$B$9,IF(N1832=3,Assumptions!$B$10,0)))</f>
        <v>0</v>
      </c>
      <c r="P1832" s="6" t="s">
        <v>30</v>
      </c>
      <c r="Q1832" s="6" t="s">
        <v>30</v>
      </c>
      <c r="R1832" s="11" t="s">
        <v>30</v>
      </c>
      <c r="S1832" s="6" t="s">
        <v>30</v>
      </c>
      <c r="T1832" s="11" t="s">
        <v>30</v>
      </c>
      <c r="U1832" s="6" t="s">
        <v>30</v>
      </c>
      <c r="V1832" s="6" t="s">
        <v>30</v>
      </c>
      <c r="W1832" s="6" t="s">
        <v>30</v>
      </c>
      <c r="X1832" s="2" t="s">
        <v>30</v>
      </c>
      <c r="Y1832" s="6" t="str">
        <f aca="false">IF(AND(X1832="processed",ISNUMBER(S1832)),S1832*O1832,"")</f>
        <v/>
      </c>
      <c r="Z1832" s="6" t="n">
        <f aca="false">IF(ISNUMBER(K1832),K1832*O1832,0)</f>
        <v>0</v>
      </c>
      <c r="AA1832" s="2" t="s">
        <v>31</v>
      </c>
      <c r="AB1832" s="6" t="n">
        <v>339</v>
      </c>
      <c r="AC1832" s="6" t="n">
        <v>265</v>
      </c>
      <c r="AD1832" s="6" t="n">
        <v>117</v>
      </c>
      <c r="AE1832" s="6" t="n">
        <v>1546.91540527344</v>
      </c>
      <c r="AF1832" s="8"/>
      <c r="AG1832" s="11"/>
      <c r="AH1832" s="12" t="n">
        <v>0.999802398982049</v>
      </c>
      <c r="AI1832" s="2" t="s">
        <v>3686</v>
      </c>
      <c r="AJ1832" s="2" t="s">
        <v>4071</v>
      </c>
      <c r="AK1832" s="2" t="s">
        <v>4069</v>
      </c>
    </row>
    <row r="1833" customFormat="false" ht="15" hidden="false" customHeight="false" outlineLevel="0" collapsed="false">
      <c r="A1833" s="9"/>
      <c r="B1833" s="2" t="s">
        <v>4072</v>
      </c>
      <c r="C1833" s="2" t="s">
        <v>1685</v>
      </c>
      <c r="D1833" s="2" t="s">
        <v>1685</v>
      </c>
      <c r="E1833" s="2" t="s">
        <v>51</v>
      </c>
      <c r="F1833" s="2"/>
      <c r="G1833" s="2" t="s">
        <v>1686</v>
      </c>
      <c r="H1833" s="8" t="n">
        <v>195.433536682</v>
      </c>
      <c r="I1833" s="2" t="s">
        <v>316</v>
      </c>
      <c r="J1833" s="8" t="n">
        <v>217500</v>
      </c>
      <c r="K1833" s="6" t="n">
        <v>2</v>
      </c>
      <c r="L1833" s="2" t="s">
        <v>1664</v>
      </c>
      <c r="M1833" s="10" t="b">
        <f aca="false">TRUE()</f>
        <v>1</v>
      </c>
      <c r="N1833" s="9" t="str">
        <f aca="false">IF(H1833="","",IF(H1833&gt;=Assumptions!$B$5,1,IF(H1833&gt;=Assumptions!$B$6,2,IF(H1833&gt;=Assumptions!$B$7,3,""))))</f>
        <v/>
      </c>
      <c r="O1833" s="9" t="n">
        <f aca="false">IF(N1833=1,Assumptions!$B$8,IF(N1833=2,Assumptions!$B$9,IF(N1833=3,Assumptions!$B$10,0)))</f>
        <v>0</v>
      </c>
      <c r="P1833" s="6" t="s">
        <v>30</v>
      </c>
      <c r="Q1833" s="6" t="s">
        <v>30</v>
      </c>
      <c r="R1833" s="11" t="s">
        <v>30</v>
      </c>
      <c r="S1833" s="6" t="s">
        <v>30</v>
      </c>
      <c r="T1833" s="11" t="s">
        <v>30</v>
      </c>
      <c r="U1833" s="6" t="s">
        <v>30</v>
      </c>
      <c r="V1833" s="6" t="s">
        <v>30</v>
      </c>
      <c r="W1833" s="6" t="s">
        <v>30</v>
      </c>
      <c r="X1833" s="2" t="s">
        <v>30</v>
      </c>
      <c r="Y1833" s="6" t="str">
        <f aca="false">IF(AND(X1833="processed",ISNUMBER(S1833)),S1833*O1833,"")</f>
        <v/>
      </c>
      <c r="Z1833" s="6" t="n">
        <f aca="false">IF(ISNUMBER(K1833),K1833*O1833,0)</f>
        <v>0</v>
      </c>
      <c r="AA1833" s="2" t="s">
        <v>31</v>
      </c>
      <c r="AB1833" s="6" t="n">
        <v>404</v>
      </c>
      <c r="AC1833" s="6" t="n">
        <v>312</v>
      </c>
      <c r="AD1833" s="6" t="n">
        <v>328</v>
      </c>
      <c r="AE1833" s="6" t="n">
        <v>1674.02612304688</v>
      </c>
      <c r="AF1833" s="8" t="n">
        <v>210.889570552</v>
      </c>
      <c r="AG1833" s="11" t="n">
        <v>-0.04829322007</v>
      </c>
      <c r="AH1833" s="12" t="n">
        <v>0.999790464849795</v>
      </c>
      <c r="AI1833" s="2" t="s">
        <v>328</v>
      </c>
      <c r="AJ1833" s="2" t="s">
        <v>1685</v>
      </c>
      <c r="AK1833" s="2" t="s">
        <v>3978</v>
      </c>
    </row>
    <row r="1834" customFormat="false" ht="15" hidden="false" customHeight="false" outlineLevel="0" collapsed="false">
      <c r="A1834" s="9"/>
      <c r="B1834" s="2" t="s">
        <v>4073</v>
      </c>
      <c r="C1834" s="2" t="s">
        <v>4074</v>
      </c>
      <c r="D1834" s="2" t="s">
        <v>1685</v>
      </c>
      <c r="E1834" s="2" t="s">
        <v>51</v>
      </c>
      <c r="F1834" s="2"/>
      <c r="G1834" s="2" t="s">
        <v>1686</v>
      </c>
      <c r="H1834" s="8" t="n">
        <v>205.872524598621</v>
      </c>
      <c r="I1834" s="2" t="s">
        <v>316</v>
      </c>
      <c r="J1834" s="8" t="n">
        <v>326533.980582524</v>
      </c>
      <c r="K1834" s="6" t="n">
        <v>103</v>
      </c>
      <c r="L1834" s="2"/>
      <c r="M1834" s="10" t="b">
        <f aca="false">TRUE()</f>
        <v>1</v>
      </c>
      <c r="N1834" s="9" t="str">
        <f aca="false">IF(H1834="","",IF(H1834&gt;=Assumptions!$B$5,1,IF(H1834&gt;=Assumptions!$B$6,2,IF(H1834&gt;=Assumptions!$B$7,3,""))))</f>
        <v/>
      </c>
      <c r="O1834" s="9" t="n">
        <f aca="false">IF(N1834=1,Assumptions!$B$8,IF(N1834=2,Assumptions!$B$9,IF(N1834=3,Assumptions!$B$10,0)))</f>
        <v>0</v>
      </c>
      <c r="P1834" s="6" t="s">
        <v>30</v>
      </c>
      <c r="Q1834" s="6" t="s">
        <v>30</v>
      </c>
      <c r="R1834" s="11" t="s">
        <v>30</v>
      </c>
      <c r="S1834" s="6" t="s">
        <v>30</v>
      </c>
      <c r="T1834" s="11" t="s">
        <v>30</v>
      </c>
      <c r="U1834" s="6" t="s">
        <v>30</v>
      </c>
      <c r="V1834" s="6" t="s">
        <v>30</v>
      </c>
      <c r="W1834" s="6" t="s">
        <v>30</v>
      </c>
      <c r="X1834" s="2" t="s">
        <v>30</v>
      </c>
      <c r="Y1834" s="6" t="str">
        <f aca="false">IF(AND(X1834="processed",ISNUMBER(S1834)),S1834*O1834,"")</f>
        <v/>
      </c>
      <c r="Z1834" s="6" t="n">
        <f aca="false">IF(ISNUMBER(K1834),K1834*O1834,0)</f>
        <v>0</v>
      </c>
      <c r="AA1834" s="2" t="s">
        <v>31</v>
      </c>
      <c r="AB1834" s="6" t="n">
        <v>3405</v>
      </c>
      <c r="AC1834" s="6" t="n">
        <v>2973</v>
      </c>
      <c r="AD1834" s="6" t="n">
        <v>2994</v>
      </c>
      <c r="AE1834" s="6" t="n">
        <v>1698.13439941406</v>
      </c>
      <c r="AF1834" s="8" t="n">
        <v>210.947245322</v>
      </c>
      <c r="AG1834" s="11" t="n">
        <v>0.03318680526</v>
      </c>
      <c r="AH1834" s="12" t="n">
        <v>1</v>
      </c>
      <c r="AI1834" s="2" t="s">
        <v>317</v>
      </c>
      <c r="AJ1834" s="2" t="s">
        <v>4074</v>
      </c>
      <c r="AK1834" s="2" t="s">
        <v>4074</v>
      </c>
    </row>
    <row r="1835" customFormat="false" ht="15" hidden="false" customHeight="false" outlineLevel="0" collapsed="false">
      <c r="A1835" s="9"/>
      <c r="B1835" s="2" t="s">
        <v>4075</v>
      </c>
      <c r="C1835" s="2"/>
      <c r="D1835" s="2" t="s">
        <v>1190</v>
      </c>
      <c r="E1835" s="2" t="s">
        <v>1191</v>
      </c>
      <c r="F1835" s="2"/>
      <c r="G1835" s="2" t="s">
        <v>1686</v>
      </c>
      <c r="H1835" s="8" t="n">
        <v>215.1188697805</v>
      </c>
      <c r="I1835" s="2" t="s">
        <v>316</v>
      </c>
      <c r="J1835" s="8" t="n">
        <v>376500</v>
      </c>
      <c r="K1835" s="6" t="n">
        <v>2</v>
      </c>
      <c r="L1835" s="2" t="s">
        <v>1664</v>
      </c>
      <c r="M1835" s="10" t="b">
        <f aca="false">FALSE()</f>
        <v>0</v>
      </c>
      <c r="N1835" s="9" t="str">
        <f aca="false">IF(H1835="","",IF(H1835&gt;=Assumptions!$B$5,1,IF(H1835&gt;=Assumptions!$B$6,2,IF(H1835&gt;=Assumptions!$B$7,3,""))))</f>
        <v/>
      </c>
      <c r="O1835" s="9" t="n">
        <f aca="false">IF(N1835=1,Assumptions!$B$8,IF(N1835=2,Assumptions!$B$9,IF(N1835=3,Assumptions!$B$10,0)))</f>
        <v>0</v>
      </c>
      <c r="P1835" s="6" t="s">
        <v>30</v>
      </c>
      <c r="Q1835" s="6" t="s">
        <v>30</v>
      </c>
      <c r="R1835" s="11" t="s">
        <v>30</v>
      </c>
      <c r="S1835" s="6" t="s">
        <v>30</v>
      </c>
      <c r="T1835" s="11" t="s">
        <v>30</v>
      </c>
      <c r="U1835" s="6" t="s">
        <v>30</v>
      </c>
      <c r="V1835" s="6" t="s">
        <v>30</v>
      </c>
      <c r="W1835" s="6" t="s">
        <v>30</v>
      </c>
      <c r="X1835" s="2" t="s">
        <v>30</v>
      </c>
      <c r="Y1835" s="6" t="str">
        <f aca="false">IF(AND(X1835="processed",ISNUMBER(S1835)),S1835*O1835,"")</f>
        <v/>
      </c>
      <c r="Z1835" s="6" t="n">
        <f aca="false">IF(ISNUMBER(K1835),K1835*O1835,0)</f>
        <v>0</v>
      </c>
      <c r="AA1835" s="2" t="s">
        <v>31</v>
      </c>
      <c r="AB1835" s="6"/>
      <c r="AC1835" s="6"/>
      <c r="AD1835" s="6"/>
      <c r="AE1835" s="6"/>
      <c r="AF1835" s="8" t="n">
        <v>219.887955182</v>
      </c>
      <c r="AG1835" s="11"/>
      <c r="AH1835" s="12"/>
      <c r="AI1835" s="2"/>
      <c r="AJ1835" s="2"/>
      <c r="AK1835" s="2"/>
    </row>
    <row r="1836" customFormat="false" ht="15" hidden="false" customHeight="false" outlineLevel="0" collapsed="false">
      <c r="A1836" s="9"/>
      <c r="B1836" s="2" t="s">
        <v>4076</v>
      </c>
      <c r="C1836" s="2" t="s">
        <v>1763</v>
      </c>
      <c r="D1836" s="2" t="s">
        <v>1763</v>
      </c>
      <c r="E1836" s="2" t="s">
        <v>51</v>
      </c>
      <c r="F1836" s="2"/>
      <c r="G1836" s="2" t="s">
        <v>1764</v>
      </c>
      <c r="H1836" s="8" t="n">
        <v>265.4054375358</v>
      </c>
      <c r="I1836" s="2" t="s">
        <v>316</v>
      </c>
      <c r="J1836" s="8" t="n">
        <v>298400</v>
      </c>
      <c r="K1836" s="6" t="n">
        <v>5</v>
      </c>
      <c r="L1836" s="2"/>
      <c r="M1836" s="10" t="b">
        <f aca="false">TRUE()</f>
        <v>1</v>
      </c>
      <c r="N1836" s="9" t="str">
        <f aca="false">IF(H1836="","",IF(H1836&gt;=Assumptions!$B$5,1,IF(H1836&gt;=Assumptions!$B$6,2,IF(H1836&gt;=Assumptions!$B$7,3,""))))</f>
        <v/>
      </c>
      <c r="O1836" s="9" t="n">
        <f aca="false">IF(N1836=1,Assumptions!$B$8,IF(N1836=2,Assumptions!$B$9,IF(N1836=3,Assumptions!$B$10,0)))</f>
        <v>0</v>
      </c>
      <c r="P1836" s="6" t="s">
        <v>30</v>
      </c>
      <c r="Q1836" s="6" t="s">
        <v>30</v>
      </c>
      <c r="R1836" s="11" t="s">
        <v>30</v>
      </c>
      <c r="S1836" s="6" t="s">
        <v>30</v>
      </c>
      <c r="T1836" s="11" t="s">
        <v>30</v>
      </c>
      <c r="U1836" s="6" t="s">
        <v>30</v>
      </c>
      <c r="V1836" s="6" t="s">
        <v>30</v>
      </c>
      <c r="W1836" s="6" t="s">
        <v>30</v>
      </c>
      <c r="X1836" s="2" t="s">
        <v>30</v>
      </c>
      <c r="Y1836" s="6" t="str">
        <f aca="false">IF(AND(X1836="processed",ISNUMBER(S1836)),S1836*O1836,"")</f>
        <v/>
      </c>
      <c r="Z1836" s="6" t="n">
        <f aca="false">IF(ISNUMBER(K1836),K1836*O1836,0)</f>
        <v>0</v>
      </c>
      <c r="AA1836" s="2" t="s">
        <v>31</v>
      </c>
      <c r="AB1836" s="6" t="n">
        <v>252</v>
      </c>
      <c r="AC1836" s="6" t="n">
        <v>222</v>
      </c>
      <c r="AD1836" s="6" t="n">
        <v>249</v>
      </c>
      <c r="AE1836" s="6" t="n">
        <v>1901.66589355469</v>
      </c>
      <c r="AF1836" s="8" t="n">
        <v>287.26359384</v>
      </c>
      <c r="AG1836" s="11" t="n">
        <v>0.3241925019</v>
      </c>
      <c r="AH1836" s="12" t="n">
        <v>1</v>
      </c>
      <c r="AI1836" s="2" t="s">
        <v>319</v>
      </c>
      <c r="AJ1836" s="2"/>
      <c r="AK1836" s="2" t="s">
        <v>1763</v>
      </c>
    </row>
    <row r="1837" customFormat="false" ht="15" hidden="false" customHeight="false" outlineLevel="0" collapsed="false">
      <c r="A1837" s="9"/>
      <c r="B1837" s="2" t="s">
        <v>4077</v>
      </c>
      <c r="C1837" s="2" t="s">
        <v>4078</v>
      </c>
      <c r="D1837" s="2" t="s">
        <v>3380</v>
      </c>
      <c r="E1837" s="2" t="s">
        <v>51</v>
      </c>
      <c r="F1837" s="2"/>
      <c r="G1837" s="2"/>
      <c r="H1837" s="8"/>
      <c r="I1837" s="2"/>
      <c r="J1837" s="8"/>
      <c r="K1837" s="6"/>
      <c r="L1837" s="2"/>
      <c r="M1837" s="10" t="b">
        <f aca="false">TRUE()</f>
        <v>1</v>
      </c>
      <c r="N1837" s="9" t="str">
        <f aca="false">IF(H1837="","",IF(H1837&gt;=Assumptions!$B$5,1,IF(H1837&gt;=Assumptions!$B$6,2,IF(H1837&gt;=Assumptions!$B$7,3,""))))</f>
        <v/>
      </c>
      <c r="O1837" s="9" t="n">
        <f aca="false">IF(N1837=1,Assumptions!$B$8,IF(N1837=2,Assumptions!$B$9,IF(N1837=3,Assumptions!$B$10,0)))</f>
        <v>0</v>
      </c>
      <c r="P1837" s="6" t="s">
        <v>30</v>
      </c>
      <c r="Q1837" s="6" t="s">
        <v>30</v>
      </c>
      <c r="R1837" s="11" t="s">
        <v>30</v>
      </c>
      <c r="S1837" s="6" t="s">
        <v>30</v>
      </c>
      <c r="T1837" s="11" t="s">
        <v>30</v>
      </c>
      <c r="U1837" s="6" t="s">
        <v>30</v>
      </c>
      <c r="V1837" s="6" t="s">
        <v>30</v>
      </c>
      <c r="W1837" s="6" t="s">
        <v>30</v>
      </c>
      <c r="X1837" s="2" t="s">
        <v>30</v>
      </c>
      <c r="Y1837" s="6" t="str">
        <f aca="false">IF(AND(X1837="processed",ISNUMBER(S1837)),S1837*O1837,"")</f>
        <v/>
      </c>
      <c r="Z1837" s="6" t="n">
        <f aca="false">IF(ISNUMBER(K1837),K1837*O1837,0)</f>
        <v>0</v>
      </c>
      <c r="AA1837" s="2" t="s">
        <v>31</v>
      </c>
      <c r="AB1837" s="6" t="n">
        <v>1054</v>
      </c>
      <c r="AC1837" s="6" t="n">
        <v>911</v>
      </c>
      <c r="AD1837" s="6" t="n">
        <v>862</v>
      </c>
      <c r="AE1837" s="6" t="n">
        <v>1521.92956542969</v>
      </c>
      <c r="AF1837" s="8"/>
      <c r="AG1837" s="11"/>
      <c r="AH1837" s="12" t="n">
        <v>0.999183503087042</v>
      </c>
      <c r="AI1837" s="2" t="s">
        <v>1597</v>
      </c>
      <c r="AJ1837" s="2"/>
      <c r="AK1837" s="2" t="s">
        <v>4078</v>
      </c>
    </row>
    <row r="1838" customFormat="false" ht="15" hidden="false" customHeight="false" outlineLevel="0" collapsed="false">
      <c r="A1838" s="9"/>
      <c r="B1838" s="2" t="s">
        <v>4079</v>
      </c>
      <c r="C1838" s="2" t="s">
        <v>4080</v>
      </c>
      <c r="D1838" s="2" t="s">
        <v>1763</v>
      </c>
      <c r="E1838" s="2" t="s">
        <v>51</v>
      </c>
      <c r="F1838" s="2"/>
      <c r="G1838" s="2" t="s">
        <v>1764</v>
      </c>
      <c r="H1838" s="8" t="n">
        <v>193.285859613</v>
      </c>
      <c r="I1838" s="2" t="s">
        <v>316</v>
      </c>
      <c r="J1838" s="8" t="n">
        <v>380000</v>
      </c>
      <c r="K1838" s="6" t="n">
        <v>1</v>
      </c>
      <c r="L1838" s="2" t="s">
        <v>1664</v>
      </c>
      <c r="M1838" s="10" t="b">
        <f aca="false">TRUE()</f>
        <v>1</v>
      </c>
      <c r="N1838" s="9" t="str">
        <f aca="false">IF(H1838="","",IF(H1838&gt;=Assumptions!$B$5,1,IF(H1838&gt;=Assumptions!$B$6,2,IF(H1838&gt;=Assumptions!$B$7,3,""))))</f>
        <v/>
      </c>
      <c r="O1838" s="9" t="n">
        <f aca="false">IF(N1838=1,Assumptions!$B$8,IF(N1838=2,Assumptions!$B$9,IF(N1838=3,Assumptions!$B$10,0)))</f>
        <v>0</v>
      </c>
      <c r="P1838" s="6" t="s">
        <v>30</v>
      </c>
      <c r="Q1838" s="6" t="s">
        <v>30</v>
      </c>
      <c r="R1838" s="11" t="s">
        <v>30</v>
      </c>
      <c r="S1838" s="6" t="s">
        <v>30</v>
      </c>
      <c r="T1838" s="11" t="s">
        <v>30</v>
      </c>
      <c r="U1838" s="6" t="s">
        <v>30</v>
      </c>
      <c r="V1838" s="6" t="s">
        <v>30</v>
      </c>
      <c r="W1838" s="6" t="s">
        <v>30</v>
      </c>
      <c r="X1838" s="2" t="s">
        <v>30</v>
      </c>
      <c r="Y1838" s="6" t="str">
        <f aca="false">IF(AND(X1838="processed",ISNUMBER(S1838)),S1838*O1838,"")</f>
        <v/>
      </c>
      <c r="Z1838" s="6" t="n">
        <f aca="false">IF(ISNUMBER(K1838),K1838*O1838,0)</f>
        <v>0</v>
      </c>
      <c r="AA1838" s="2" t="s">
        <v>31</v>
      </c>
      <c r="AB1838" s="6" t="n">
        <v>466</v>
      </c>
      <c r="AC1838" s="6" t="n">
        <v>379</v>
      </c>
      <c r="AD1838" s="6" t="n">
        <v>393</v>
      </c>
      <c r="AE1838" s="6" t="n">
        <v>1776.400390625</v>
      </c>
      <c r="AF1838" s="8" t="n">
        <v>193.285859613</v>
      </c>
      <c r="AG1838" s="11"/>
      <c r="AH1838" s="12" t="n">
        <v>0.999689465790501</v>
      </c>
      <c r="AI1838" s="2" t="s">
        <v>1597</v>
      </c>
      <c r="AJ1838" s="2"/>
      <c r="AK1838" s="2" t="s">
        <v>4080</v>
      </c>
    </row>
    <row r="1839" customFormat="false" ht="15" hidden="false" customHeight="false" outlineLevel="0" collapsed="false">
      <c r="A1839" s="9"/>
      <c r="B1839" s="2" t="s">
        <v>4081</v>
      </c>
      <c r="C1839" s="2" t="s">
        <v>4082</v>
      </c>
      <c r="D1839" s="2" t="s">
        <v>3380</v>
      </c>
      <c r="E1839" s="2" t="s">
        <v>51</v>
      </c>
      <c r="F1839" s="2" t="s">
        <v>4083</v>
      </c>
      <c r="G1839" s="2"/>
      <c r="H1839" s="8"/>
      <c r="I1839" s="2"/>
      <c r="J1839" s="8"/>
      <c r="K1839" s="6"/>
      <c r="L1839" s="2"/>
      <c r="M1839" s="10" t="b">
        <f aca="false">TRUE()</f>
        <v>1</v>
      </c>
      <c r="N1839" s="9" t="str">
        <f aca="false">IF(H1839="","",IF(H1839&gt;=Assumptions!$B$5,1,IF(H1839&gt;=Assumptions!$B$6,2,IF(H1839&gt;=Assumptions!$B$7,3,""))))</f>
        <v/>
      </c>
      <c r="O1839" s="9" t="n">
        <f aca="false">IF(N1839=1,Assumptions!$B$8,IF(N1839=2,Assumptions!$B$9,IF(N1839=3,Assumptions!$B$10,0)))</f>
        <v>0</v>
      </c>
      <c r="P1839" s="6" t="s">
        <v>30</v>
      </c>
      <c r="Q1839" s="6" t="s">
        <v>30</v>
      </c>
      <c r="R1839" s="11" t="s">
        <v>30</v>
      </c>
      <c r="S1839" s="6" t="s">
        <v>30</v>
      </c>
      <c r="T1839" s="11" t="s">
        <v>30</v>
      </c>
      <c r="U1839" s="6" t="s">
        <v>30</v>
      </c>
      <c r="V1839" s="6" t="s">
        <v>30</v>
      </c>
      <c r="W1839" s="6" t="s">
        <v>30</v>
      </c>
      <c r="X1839" s="2" t="s">
        <v>30</v>
      </c>
      <c r="Y1839" s="6" t="str">
        <f aca="false">IF(AND(X1839="processed",ISNUMBER(S1839)),S1839*O1839,"")</f>
        <v/>
      </c>
      <c r="Z1839" s="6" t="n">
        <f aca="false">IF(ISNUMBER(K1839),K1839*O1839,0)</f>
        <v>0</v>
      </c>
      <c r="AA1839" s="2" t="s">
        <v>31</v>
      </c>
      <c r="AB1839" s="6" t="n">
        <v>2826</v>
      </c>
      <c r="AC1839" s="6" t="n">
        <v>2444</v>
      </c>
      <c r="AD1839" s="6" t="n">
        <v>2292</v>
      </c>
      <c r="AE1839" s="6" t="n">
        <v>1837.46276855469</v>
      </c>
      <c r="AF1839" s="8"/>
      <c r="AG1839" s="11"/>
      <c r="AH1839" s="12" t="n">
        <v>1</v>
      </c>
      <c r="AI1839" s="2" t="s">
        <v>317</v>
      </c>
      <c r="AJ1839" s="2" t="s">
        <v>4082</v>
      </c>
      <c r="AK1839" s="2" t="s">
        <v>4082</v>
      </c>
    </row>
    <row r="1840" customFormat="false" ht="15" hidden="false" customHeight="false" outlineLevel="0" collapsed="false">
      <c r="A1840" s="9"/>
      <c r="B1840" s="2" t="s">
        <v>4084</v>
      </c>
      <c r="C1840" s="2" t="s">
        <v>4085</v>
      </c>
      <c r="D1840" s="2" t="s">
        <v>3452</v>
      </c>
      <c r="E1840" s="2" t="s">
        <v>51</v>
      </c>
      <c r="F1840" s="2"/>
      <c r="G1840" s="2"/>
      <c r="H1840" s="8"/>
      <c r="I1840" s="2"/>
      <c r="J1840" s="8"/>
      <c r="K1840" s="6"/>
      <c r="L1840" s="2"/>
      <c r="M1840" s="10" t="b">
        <f aca="false">TRUE()</f>
        <v>1</v>
      </c>
      <c r="N1840" s="9" t="str">
        <f aca="false">IF(H1840="","",IF(H1840&gt;=Assumptions!$B$5,1,IF(H1840&gt;=Assumptions!$B$6,2,IF(H1840&gt;=Assumptions!$B$7,3,""))))</f>
        <v/>
      </c>
      <c r="O1840" s="9" t="n">
        <f aca="false">IF(N1840=1,Assumptions!$B$8,IF(N1840=2,Assumptions!$B$9,IF(N1840=3,Assumptions!$B$10,0)))</f>
        <v>0</v>
      </c>
      <c r="P1840" s="6" t="s">
        <v>30</v>
      </c>
      <c r="Q1840" s="6" t="s">
        <v>30</v>
      </c>
      <c r="R1840" s="11" t="s">
        <v>30</v>
      </c>
      <c r="S1840" s="6" t="s">
        <v>30</v>
      </c>
      <c r="T1840" s="11" t="s">
        <v>30</v>
      </c>
      <c r="U1840" s="6" t="s">
        <v>30</v>
      </c>
      <c r="V1840" s="6" t="s">
        <v>30</v>
      </c>
      <c r="W1840" s="6" t="s">
        <v>30</v>
      </c>
      <c r="X1840" s="2" t="s">
        <v>30</v>
      </c>
      <c r="Y1840" s="6" t="str">
        <f aca="false">IF(AND(X1840="processed",ISNUMBER(S1840)),S1840*O1840,"")</f>
        <v/>
      </c>
      <c r="Z1840" s="6" t="n">
        <f aca="false">IF(ISNUMBER(K1840),K1840*O1840,0)</f>
        <v>0</v>
      </c>
      <c r="AA1840" s="2" t="s">
        <v>31</v>
      </c>
      <c r="AB1840" s="6" t="n">
        <v>4475</v>
      </c>
      <c r="AC1840" s="6" t="n">
        <v>3911</v>
      </c>
      <c r="AD1840" s="6" t="n">
        <v>3770</v>
      </c>
      <c r="AE1840" s="6" t="n">
        <v>1939.11242675781</v>
      </c>
      <c r="AF1840" s="8"/>
      <c r="AG1840" s="11"/>
      <c r="AH1840" s="12" t="n">
        <v>0.999949246618139</v>
      </c>
      <c r="AI1840" s="2" t="s">
        <v>321</v>
      </c>
      <c r="AJ1840" s="2" t="s">
        <v>4085</v>
      </c>
      <c r="AK1840" s="2" t="s">
        <v>4085</v>
      </c>
    </row>
    <row r="1841" customFormat="false" ht="15" hidden="false" customHeight="false" outlineLevel="0" collapsed="false">
      <c r="A1841" s="9"/>
      <c r="B1841" s="2" t="s">
        <v>4086</v>
      </c>
      <c r="C1841" s="2" t="s">
        <v>4087</v>
      </c>
      <c r="D1841" s="2" t="s">
        <v>1685</v>
      </c>
      <c r="E1841" s="2" t="s">
        <v>51</v>
      </c>
      <c r="F1841" s="2"/>
      <c r="G1841" s="2" t="s">
        <v>1686</v>
      </c>
      <c r="H1841" s="8" t="n">
        <v>202.9399385104</v>
      </c>
      <c r="I1841" s="2" t="s">
        <v>316</v>
      </c>
      <c r="J1841" s="8" t="n">
        <v>282300</v>
      </c>
      <c r="K1841" s="6" t="n">
        <v>5</v>
      </c>
      <c r="L1841" s="2"/>
      <c r="M1841" s="10" t="b">
        <f aca="false">TRUE()</f>
        <v>1</v>
      </c>
      <c r="N1841" s="9" t="str">
        <f aca="false">IF(H1841="","",IF(H1841&gt;=Assumptions!$B$5,1,IF(H1841&gt;=Assumptions!$B$6,2,IF(H1841&gt;=Assumptions!$B$7,3,""))))</f>
        <v/>
      </c>
      <c r="O1841" s="9" t="n">
        <f aca="false">IF(N1841=1,Assumptions!$B$8,IF(N1841=2,Assumptions!$B$9,IF(N1841=3,Assumptions!$B$10,0)))</f>
        <v>0</v>
      </c>
      <c r="P1841" s="6" t="s">
        <v>30</v>
      </c>
      <c r="Q1841" s="6" t="s">
        <v>30</v>
      </c>
      <c r="R1841" s="11" t="s">
        <v>30</v>
      </c>
      <c r="S1841" s="6" t="s">
        <v>30</v>
      </c>
      <c r="T1841" s="11" t="s">
        <v>30</v>
      </c>
      <c r="U1841" s="6" t="s">
        <v>30</v>
      </c>
      <c r="V1841" s="6" t="s">
        <v>30</v>
      </c>
      <c r="W1841" s="6" t="s">
        <v>30</v>
      </c>
      <c r="X1841" s="2" t="s">
        <v>30</v>
      </c>
      <c r="Y1841" s="6" t="str">
        <f aca="false">IF(AND(X1841="processed",ISNUMBER(S1841)),S1841*O1841,"")</f>
        <v/>
      </c>
      <c r="Z1841" s="6" t="n">
        <f aca="false">IF(ISNUMBER(K1841),K1841*O1841,0)</f>
        <v>0</v>
      </c>
      <c r="AA1841" s="2" t="s">
        <v>31</v>
      </c>
      <c r="AB1841" s="6" t="n">
        <v>863</v>
      </c>
      <c r="AC1841" s="6" t="n">
        <v>719</v>
      </c>
      <c r="AD1841" s="6" t="n">
        <v>764</v>
      </c>
      <c r="AE1841" s="6" t="n">
        <v>1593.646484375</v>
      </c>
      <c r="AF1841" s="8" t="n">
        <v>217.018469657</v>
      </c>
      <c r="AG1841" s="11" t="n">
        <v>-0.1290799775</v>
      </c>
      <c r="AH1841" s="12" t="n">
        <v>0.999999999999999</v>
      </c>
      <c r="AI1841" s="2" t="s">
        <v>317</v>
      </c>
      <c r="AJ1841" s="2" t="s">
        <v>4087</v>
      </c>
      <c r="AK1841" s="2" t="s">
        <v>4087</v>
      </c>
    </row>
    <row r="1842" customFormat="false" ht="15" hidden="false" customHeight="false" outlineLevel="0" collapsed="false">
      <c r="A1842" s="9"/>
      <c r="B1842" s="2" t="s">
        <v>4088</v>
      </c>
      <c r="C1842" s="2" t="s">
        <v>4089</v>
      </c>
      <c r="D1842" s="2" t="s">
        <v>3452</v>
      </c>
      <c r="E1842" s="2" t="s">
        <v>51</v>
      </c>
      <c r="F1842" s="2"/>
      <c r="G1842" s="2"/>
      <c r="H1842" s="8"/>
      <c r="I1842" s="2"/>
      <c r="J1842" s="8"/>
      <c r="K1842" s="6"/>
      <c r="L1842" s="2"/>
      <c r="M1842" s="10" t="b">
        <f aca="false">TRUE()</f>
        <v>1</v>
      </c>
      <c r="N1842" s="9" t="str">
        <f aca="false">IF(H1842="","",IF(H1842&gt;=Assumptions!$B$5,1,IF(H1842&gt;=Assumptions!$B$6,2,IF(H1842&gt;=Assumptions!$B$7,3,""))))</f>
        <v/>
      </c>
      <c r="O1842" s="9" t="n">
        <f aca="false">IF(N1842=1,Assumptions!$B$8,IF(N1842=2,Assumptions!$B$9,IF(N1842=3,Assumptions!$B$10,0)))</f>
        <v>0</v>
      </c>
      <c r="P1842" s="6" t="s">
        <v>30</v>
      </c>
      <c r="Q1842" s="6" t="s">
        <v>30</v>
      </c>
      <c r="R1842" s="11" t="s">
        <v>30</v>
      </c>
      <c r="S1842" s="6" t="s">
        <v>30</v>
      </c>
      <c r="T1842" s="11" t="s">
        <v>30</v>
      </c>
      <c r="U1842" s="6" t="s">
        <v>30</v>
      </c>
      <c r="V1842" s="6" t="s">
        <v>30</v>
      </c>
      <c r="W1842" s="6" t="s">
        <v>30</v>
      </c>
      <c r="X1842" s="2" t="s">
        <v>30</v>
      </c>
      <c r="Y1842" s="6" t="str">
        <f aca="false">IF(AND(X1842="processed",ISNUMBER(S1842)),S1842*O1842,"")</f>
        <v/>
      </c>
      <c r="Z1842" s="6" t="n">
        <f aca="false">IF(ISNUMBER(K1842),K1842*O1842,0)</f>
        <v>0</v>
      </c>
      <c r="AA1842" s="2" t="s">
        <v>31</v>
      </c>
      <c r="AB1842" s="6" t="n">
        <v>6613</v>
      </c>
      <c r="AC1842" s="6" t="n">
        <v>5443</v>
      </c>
      <c r="AD1842" s="6" t="n">
        <v>6022</v>
      </c>
      <c r="AE1842" s="6" t="n">
        <v>1898.85070800781</v>
      </c>
      <c r="AF1842" s="8"/>
      <c r="AG1842" s="11"/>
      <c r="AH1842" s="12" t="n">
        <v>0.999999999999997</v>
      </c>
      <c r="AI1842" s="2" t="s">
        <v>321</v>
      </c>
      <c r="AJ1842" s="2" t="s">
        <v>4089</v>
      </c>
      <c r="AK1842" s="2" t="s">
        <v>4089</v>
      </c>
    </row>
    <row r="1843" customFormat="false" ht="15" hidden="false" customHeight="false" outlineLevel="0" collapsed="false">
      <c r="A1843" s="9"/>
      <c r="B1843" s="2" t="s">
        <v>4090</v>
      </c>
      <c r="C1843" s="2" t="s">
        <v>4091</v>
      </c>
      <c r="D1843" s="2" t="s">
        <v>3945</v>
      </c>
      <c r="E1843" s="2" t="s">
        <v>51</v>
      </c>
      <c r="F1843" s="2"/>
      <c r="G1843" s="2"/>
      <c r="H1843" s="8"/>
      <c r="I1843" s="2"/>
      <c r="J1843" s="8"/>
      <c r="K1843" s="6"/>
      <c r="L1843" s="2"/>
      <c r="M1843" s="10" t="b">
        <f aca="false">TRUE()</f>
        <v>1</v>
      </c>
      <c r="N1843" s="9" t="str">
        <f aca="false">IF(H1843="","",IF(H1843&gt;=Assumptions!$B$5,1,IF(H1843&gt;=Assumptions!$B$6,2,IF(H1843&gt;=Assumptions!$B$7,3,""))))</f>
        <v/>
      </c>
      <c r="O1843" s="9" t="n">
        <f aca="false">IF(N1843=1,Assumptions!$B$8,IF(N1843=2,Assumptions!$B$9,IF(N1843=3,Assumptions!$B$10,0)))</f>
        <v>0</v>
      </c>
      <c r="P1843" s="6" t="s">
        <v>30</v>
      </c>
      <c r="Q1843" s="6" t="s">
        <v>30</v>
      </c>
      <c r="R1843" s="11" t="s">
        <v>30</v>
      </c>
      <c r="S1843" s="6" t="s">
        <v>30</v>
      </c>
      <c r="T1843" s="11" t="s">
        <v>30</v>
      </c>
      <c r="U1843" s="6" t="s">
        <v>30</v>
      </c>
      <c r="V1843" s="6" t="s">
        <v>30</v>
      </c>
      <c r="W1843" s="6" t="s">
        <v>30</v>
      </c>
      <c r="X1843" s="2" t="s">
        <v>30</v>
      </c>
      <c r="Y1843" s="6" t="str">
        <f aca="false">IF(AND(X1843="processed",ISNUMBER(S1843)),S1843*O1843,"")</f>
        <v/>
      </c>
      <c r="Z1843" s="6" t="n">
        <f aca="false">IF(ISNUMBER(K1843),K1843*O1843,0)</f>
        <v>0</v>
      </c>
      <c r="AA1843" s="2" t="s">
        <v>31</v>
      </c>
      <c r="AB1843" s="6" t="n">
        <v>4903</v>
      </c>
      <c r="AC1843" s="6" t="n">
        <v>4015</v>
      </c>
      <c r="AD1843" s="6" t="n">
        <v>3626</v>
      </c>
      <c r="AE1843" s="6" t="n">
        <v>1686.54809570313</v>
      </c>
      <c r="AF1843" s="8"/>
      <c r="AG1843" s="11"/>
      <c r="AH1843" s="12" t="n">
        <v>1</v>
      </c>
      <c r="AI1843" s="2" t="s">
        <v>319</v>
      </c>
      <c r="AJ1843" s="2"/>
      <c r="AK1843" s="2" t="s">
        <v>4091</v>
      </c>
    </row>
    <row r="1844" customFormat="false" ht="15" hidden="false" customHeight="false" outlineLevel="0" collapsed="false">
      <c r="A1844" s="9"/>
      <c r="B1844" s="2" t="s">
        <v>4092</v>
      </c>
      <c r="C1844" s="2" t="s">
        <v>4093</v>
      </c>
      <c r="D1844" s="2" t="s">
        <v>3769</v>
      </c>
      <c r="E1844" s="2" t="s">
        <v>51</v>
      </c>
      <c r="F1844" s="2" t="s">
        <v>4094</v>
      </c>
      <c r="G1844" s="2"/>
      <c r="H1844" s="8"/>
      <c r="I1844" s="2"/>
      <c r="J1844" s="8"/>
      <c r="K1844" s="6"/>
      <c r="L1844" s="2"/>
      <c r="M1844" s="10" t="b">
        <f aca="false">TRUE()</f>
        <v>1</v>
      </c>
      <c r="N1844" s="9" t="str">
        <f aca="false">IF(H1844="","",IF(H1844&gt;=Assumptions!$B$5,1,IF(H1844&gt;=Assumptions!$B$6,2,IF(H1844&gt;=Assumptions!$B$7,3,""))))</f>
        <v/>
      </c>
      <c r="O1844" s="9" t="n">
        <f aca="false">IF(N1844=1,Assumptions!$B$8,IF(N1844=2,Assumptions!$B$9,IF(N1844=3,Assumptions!$B$10,0)))</f>
        <v>0</v>
      </c>
      <c r="P1844" s="6" t="s">
        <v>30</v>
      </c>
      <c r="Q1844" s="6" t="s">
        <v>30</v>
      </c>
      <c r="R1844" s="11" t="s">
        <v>30</v>
      </c>
      <c r="S1844" s="6" t="s">
        <v>30</v>
      </c>
      <c r="T1844" s="11" t="s">
        <v>30</v>
      </c>
      <c r="U1844" s="6" t="s">
        <v>30</v>
      </c>
      <c r="V1844" s="6" t="s">
        <v>30</v>
      </c>
      <c r="W1844" s="6" t="s">
        <v>30</v>
      </c>
      <c r="X1844" s="2" t="s">
        <v>30</v>
      </c>
      <c r="Y1844" s="6" t="str">
        <f aca="false">IF(AND(X1844="processed",ISNUMBER(S1844)),S1844*O1844,"")</f>
        <v/>
      </c>
      <c r="Z1844" s="6" t="n">
        <f aca="false">IF(ISNUMBER(K1844),K1844*O1844,0)</f>
        <v>0</v>
      </c>
      <c r="AA1844" s="2" t="s">
        <v>31</v>
      </c>
      <c r="AB1844" s="6" t="n">
        <v>2533</v>
      </c>
      <c r="AC1844" s="6" t="n">
        <v>2204</v>
      </c>
      <c r="AD1844" s="6" t="n">
        <v>1066</v>
      </c>
      <c r="AE1844" s="6" t="n">
        <v>2078.65185546875</v>
      </c>
      <c r="AF1844" s="8"/>
      <c r="AG1844" s="11"/>
      <c r="AH1844" s="12" t="n">
        <v>0.999798077361091</v>
      </c>
      <c r="AI1844" s="2" t="s">
        <v>1597</v>
      </c>
      <c r="AJ1844" s="2"/>
      <c r="AK1844" s="2" t="s">
        <v>4093</v>
      </c>
    </row>
    <row r="1845" customFormat="false" ht="15" hidden="false" customHeight="false" outlineLevel="0" collapsed="false">
      <c r="A1845" s="9"/>
      <c r="B1845" s="2" t="s">
        <v>4095</v>
      </c>
      <c r="C1845" s="2" t="s">
        <v>4096</v>
      </c>
      <c r="D1845" s="2" t="s">
        <v>3945</v>
      </c>
      <c r="E1845" s="2" t="s">
        <v>51</v>
      </c>
      <c r="F1845" s="2"/>
      <c r="G1845" s="2"/>
      <c r="H1845" s="8"/>
      <c r="I1845" s="2"/>
      <c r="J1845" s="8"/>
      <c r="K1845" s="6"/>
      <c r="L1845" s="2"/>
      <c r="M1845" s="10" t="b">
        <f aca="false">TRUE()</f>
        <v>1</v>
      </c>
      <c r="N1845" s="9" t="str">
        <f aca="false">IF(H1845="","",IF(H1845&gt;=Assumptions!$B$5,1,IF(H1845&gt;=Assumptions!$B$6,2,IF(H1845&gt;=Assumptions!$B$7,3,""))))</f>
        <v/>
      </c>
      <c r="O1845" s="9" t="n">
        <f aca="false">IF(N1845=1,Assumptions!$B$8,IF(N1845=2,Assumptions!$B$9,IF(N1845=3,Assumptions!$B$10,0)))</f>
        <v>0</v>
      </c>
      <c r="P1845" s="6" t="s">
        <v>30</v>
      </c>
      <c r="Q1845" s="6" t="s">
        <v>30</v>
      </c>
      <c r="R1845" s="11" t="s">
        <v>30</v>
      </c>
      <c r="S1845" s="6" t="s">
        <v>30</v>
      </c>
      <c r="T1845" s="11" t="s">
        <v>30</v>
      </c>
      <c r="U1845" s="6" t="s">
        <v>30</v>
      </c>
      <c r="V1845" s="6" t="s">
        <v>30</v>
      </c>
      <c r="W1845" s="6" t="s">
        <v>30</v>
      </c>
      <c r="X1845" s="2" t="s">
        <v>30</v>
      </c>
      <c r="Y1845" s="6" t="str">
        <f aca="false">IF(AND(X1845="processed",ISNUMBER(S1845)),S1845*O1845,"")</f>
        <v/>
      </c>
      <c r="Z1845" s="6" t="n">
        <f aca="false">IF(ISNUMBER(K1845),K1845*O1845,0)</f>
        <v>0</v>
      </c>
      <c r="AA1845" s="2" t="s">
        <v>31</v>
      </c>
      <c r="AB1845" s="6" t="n">
        <v>955</v>
      </c>
      <c r="AC1845" s="6" t="n">
        <v>789</v>
      </c>
      <c r="AD1845" s="6" t="n">
        <v>886</v>
      </c>
      <c r="AE1845" s="6" t="n">
        <v>1670.69287109375</v>
      </c>
      <c r="AF1845" s="8"/>
      <c r="AG1845" s="11"/>
      <c r="AH1845" s="12" t="n">
        <v>0.999128122382217</v>
      </c>
      <c r="AI1845" s="2" t="s">
        <v>1597</v>
      </c>
      <c r="AJ1845" s="2"/>
      <c r="AK1845" s="2" t="s">
        <v>4096</v>
      </c>
    </row>
    <row r="1846" customFormat="false" ht="15" hidden="false" customHeight="false" outlineLevel="0" collapsed="false">
      <c r="A1846" s="9"/>
      <c r="B1846" s="2" t="s">
        <v>4097</v>
      </c>
      <c r="C1846" s="2" t="s">
        <v>4098</v>
      </c>
      <c r="D1846" s="2" t="s">
        <v>3769</v>
      </c>
      <c r="E1846" s="2" t="s">
        <v>51</v>
      </c>
      <c r="F1846" s="2"/>
      <c r="G1846" s="2"/>
      <c r="H1846" s="8"/>
      <c r="I1846" s="2"/>
      <c r="J1846" s="8"/>
      <c r="K1846" s="6"/>
      <c r="L1846" s="2"/>
      <c r="M1846" s="10" t="b">
        <f aca="false">TRUE()</f>
        <v>1</v>
      </c>
      <c r="N1846" s="9" t="str">
        <f aca="false">IF(H1846="","",IF(H1846&gt;=Assumptions!$B$5,1,IF(H1846&gt;=Assumptions!$B$6,2,IF(H1846&gt;=Assumptions!$B$7,3,""))))</f>
        <v/>
      </c>
      <c r="O1846" s="9" t="n">
        <f aca="false">IF(N1846=1,Assumptions!$B$8,IF(N1846=2,Assumptions!$B$9,IF(N1846=3,Assumptions!$B$10,0)))</f>
        <v>0</v>
      </c>
      <c r="P1846" s="6" t="s">
        <v>30</v>
      </c>
      <c r="Q1846" s="6" t="s">
        <v>30</v>
      </c>
      <c r="R1846" s="11" t="s">
        <v>30</v>
      </c>
      <c r="S1846" s="6" t="s">
        <v>30</v>
      </c>
      <c r="T1846" s="11" t="s">
        <v>30</v>
      </c>
      <c r="U1846" s="6" t="s">
        <v>30</v>
      </c>
      <c r="V1846" s="6" t="s">
        <v>30</v>
      </c>
      <c r="W1846" s="6" t="s">
        <v>30</v>
      </c>
      <c r="X1846" s="2" t="s">
        <v>30</v>
      </c>
      <c r="Y1846" s="6" t="str">
        <f aca="false">IF(AND(X1846="processed",ISNUMBER(S1846)),S1846*O1846,"")</f>
        <v/>
      </c>
      <c r="Z1846" s="6" t="n">
        <f aca="false">IF(ISNUMBER(K1846),K1846*O1846,0)</f>
        <v>0</v>
      </c>
      <c r="AA1846" s="2" t="s">
        <v>31</v>
      </c>
      <c r="AB1846" s="6" t="n">
        <v>499</v>
      </c>
      <c r="AC1846" s="6" t="n">
        <v>424</v>
      </c>
      <c r="AD1846" s="6" t="n">
        <v>424</v>
      </c>
      <c r="AE1846" s="6" t="n">
        <v>1633.90747070313</v>
      </c>
      <c r="AF1846" s="8"/>
      <c r="AG1846" s="11"/>
      <c r="AH1846" s="12" t="n">
        <v>0.606386990319799</v>
      </c>
      <c r="AI1846" s="2" t="s">
        <v>1597</v>
      </c>
      <c r="AJ1846" s="2"/>
      <c r="AK1846" s="2" t="s">
        <v>4098</v>
      </c>
    </row>
    <row r="1847" customFormat="false" ht="15" hidden="false" customHeight="false" outlineLevel="0" collapsed="false">
      <c r="A1847" s="9"/>
      <c r="B1847" s="2" t="s">
        <v>4099</v>
      </c>
      <c r="C1847" s="2" t="s">
        <v>4100</v>
      </c>
      <c r="D1847" s="2" t="s">
        <v>3769</v>
      </c>
      <c r="E1847" s="2" t="s">
        <v>51</v>
      </c>
      <c r="F1847" s="2" t="s">
        <v>4101</v>
      </c>
      <c r="G1847" s="2"/>
      <c r="H1847" s="8"/>
      <c r="I1847" s="2"/>
      <c r="J1847" s="8"/>
      <c r="K1847" s="6"/>
      <c r="L1847" s="2"/>
      <c r="M1847" s="10" t="b">
        <f aca="false">TRUE()</f>
        <v>1</v>
      </c>
      <c r="N1847" s="9" t="str">
        <f aca="false">IF(H1847="","",IF(H1847&gt;=Assumptions!$B$5,1,IF(H1847&gt;=Assumptions!$B$6,2,IF(H1847&gt;=Assumptions!$B$7,3,""))))</f>
        <v/>
      </c>
      <c r="O1847" s="9" t="n">
        <f aca="false">IF(N1847=1,Assumptions!$B$8,IF(N1847=2,Assumptions!$B$9,IF(N1847=3,Assumptions!$B$10,0)))</f>
        <v>0</v>
      </c>
      <c r="P1847" s="6" t="s">
        <v>30</v>
      </c>
      <c r="Q1847" s="6" t="s">
        <v>30</v>
      </c>
      <c r="R1847" s="11" t="s">
        <v>30</v>
      </c>
      <c r="S1847" s="6" t="s">
        <v>30</v>
      </c>
      <c r="T1847" s="11" t="s">
        <v>30</v>
      </c>
      <c r="U1847" s="6" t="s">
        <v>30</v>
      </c>
      <c r="V1847" s="6" t="s">
        <v>30</v>
      </c>
      <c r="W1847" s="6" t="s">
        <v>30</v>
      </c>
      <c r="X1847" s="2" t="s">
        <v>30</v>
      </c>
      <c r="Y1847" s="6" t="str">
        <f aca="false">IF(AND(X1847="processed",ISNUMBER(S1847)),S1847*O1847,"")</f>
        <v/>
      </c>
      <c r="Z1847" s="6" t="n">
        <f aca="false">IF(ISNUMBER(K1847),K1847*O1847,0)</f>
        <v>0</v>
      </c>
      <c r="AA1847" s="2" t="s">
        <v>31</v>
      </c>
      <c r="AB1847" s="6" t="n">
        <v>727</v>
      </c>
      <c r="AC1847" s="6" t="n">
        <v>568</v>
      </c>
      <c r="AD1847" s="6" t="n">
        <v>507</v>
      </c>
      <c r="AE1847" s="6" t="n">
        <v>2915.20825195313</v>
      </c>
      <c r="AF1847" s="8"/>
      <c r="AG1847" s="11"/>
      <c r="AH1847" s="12" t="n">
        <v>0.999994385308487</v>
      </c>
      <c r="AI1847" s="2" t="s">
        <v>1597</v>
      </c>
      <c r="AJ1847" s="2"/>
      <c r="AK1847" s="2" t="s">
        <v>4100</v>
      </c>
    </row>
    <row r="1848" customFormat="false" ht="15" hidden="false" customHeight="false" outlineLevel="0" collapsed="false">
      <c r="A1848" s="9"/>
      <c r="B1848" s="2" t="s">
        <v>4102</v>
      </c>
      <c r="C1848" s="2" t="s">
        <v>1662</v>
      </c>
      <c r="D1848" s="2" t="s">
        <v>2642</v>
      </c>
      <c r="E1848" s="2" t="s">
        <v>51</v>
      </c>
      <c r="F1848" s="2"/>
      <c r="G1848" s="2"/>
      <c r="H1848" s="8"/>
      <c r="I1848" s="2"/>
      <c r="J1848" s="8"/>
      <c r="K1848" s="6"/>
      <c r="L1848" s="2"/>
      <c r="M1848" s="10" t="b">
        <f aca="false">TRUE()</f>
        <v>1</v>
      </c>
      <c r="N1848" s="9" t="str">
        <f aca="false">IF(H1848="","",IF(H1848&gt;=Assumptions!$B$5,1,IF(H1848&gt;=Assumptions!$B$6,2,IF(H1848&gt;=Assumptions!$B$7,3,""))))</f>
        <v/>
      </c>
      <c r="O1848" s="9" t="n">
        <f aca="false">IF(N1848=1,Assumptions!$B$8,IF(N1848=2,Assumptions!$B$9,IF(N1848=3,Assumptions!$B$10,0)))</f>
        <v>0</v>
      </c>
      <c r="P1848" s="6" t="s">
        <v>30</v>
      </c>
      <c r="Q1848" s="6" t="s">
        <v>30</v>
      </c>
      <c r="R1848" s="11" t="s">
        <v>30</v>
      </c>
      <c r="S1848" s="6" t="s">
        <v>30</v>
      </c>
      <c r="T1848" s="11" t="s">
        <v>30</v>
      </c>
      <c r="U1848" s="6" t="s">
        <v>30</v>
      </c>
      <c r="V1848" s="6" t="s">
        <v>30</v>
      </c>
      <c r="W1848" s="6" t="s">
        <v>30</v>
      </c>
      <c r="X1848" s="2" t="s">
        <v>30</v>
      </c>
      <c r="Y1848" s="6" t="str">
        <f aca="false">IF(AND(X1848="processed",ISNUMBER(S1848)),S1848*O1848,"")</f>
        <v/>
      </c>
      <c r="Z1848" s="6" t="n">
        <f aca="false">IF(ISNUMBER(K1848),K1848*O1848,0)</f>
        <v>0</v>
      </c>
      <c r="AA1848" s="2" t="s">
        <v>31</v>
      </c>
      <c r="AB1848" s="6" t="n">
        <v>1214</v>
      </c>
      <c r="AC1848" s="6" t="n">
        <v>1000</v>
      </c>
      <c r="AD1848" s="6" t="n">
        <v>219</v>
      </c>
      <c r="AE1848" s="6" t="n">
        <v>1706.6396484375</v>
      </c>
      <c r="AF1848" s="8"/>
      <c r="AG1848" s="11"/>
      <c r="AH1848" s="12" t="n">
        <v>0.999584577989183</v>
      </c>
      <c r="AI1848" s="2" t="s">
        <v>317</v>
      </c>
      <c r="AJ1848" s="2" t="s">
        <v>1662</v>
      </c>
      <c r="AK1848" s="2" t="s">
        <v>1662</v>
      </c>
    </row>
    <row r="1849" customFormat="false" ht="15" hidden="false" customHeight="false" outlineLevel="0" collapsed="false">
      <c r="A1849" s="9"/>
      <c r="B1849" s="2" t="s">
        <v>4103</v>
      </c>
      <c r="C1849" s="2" t="s">
        <v>4104</v>
      </c>
      <c r="D1849" s="2" t="s">
        <v>3945</v>
      </c>
      <c r="E1849" s="2" t="s">
        <v>51</v>
      </c>
      <c r="F1849" s="2"/>
      <c r="G1849" s="2"/>
      <c r="H1849" s="8"/>
      <c r="I1849" s="2"/>
      <c r="J1849" s="8"/>
      <c r="K1849" s="6"/>
      <c r="L1849" s="2"/>
      <c r="M1849" s="10" t="b">
        <f aca="false">TRUE()</f>
        <v>1</v>
      </c>
      <c r="N1849" s="9" t="str">
        <f aca="false">IF(H1849="","",IF(H1849&gt;=Assumptions!$B$5,1,IF(H1849&gt;=Assumptions!$B$6,2,IF(H1849&gt;=Assumptions!$B$7,3,""))))</f>
        <v/>
      </c>
      <c r="O1849" s="9" t="n">
        <f aca="false">IF(N1849=1,Assumptions!$B$8,IF(N1849=2,Assumptions!$B$9,IF(N1849=3,Assumptions!$B$10,0)))</f>
        <v>0</v>
      </c>
      <c r="P1849" s="6" t="s">
        <v>30</v>
      </c>
      <c r="Q1849" s="6" t="s">
        <v>30</v>
      </c>
      <c r="R1849" s="11" t="s">
        <v>30</v>
      </c>
      <c r="S1849" s="6" t="s">
        <v>30</v>
      </c>
      <c r="T1849" s="11" t="s">
        <v>30</v>
      </c>
      <c r="U1849" s="6" t="s">
        <v>30</v>
      </c>
      <c r="V1849" s="6" t="s">
        <v>30</v>
      </c>
      <c r="W1849" s="6" t="s">
        <v>30</v>
      </c>
      <c r="X1849" s="2" t="s">
        <v>30</v>
      </c>
      <c r="Y1849" s="6" t="str">
        <f aca="false">IF(AND(X1849="processed",ISNUMBER(S1849)),S1849*O1849,"")</f>
        <v/>
      </c>
      <c r="Z1849" s="6" t="n">
        <f aca="false">IF(ISNUMBER(K1849),K1849*O1849,0)</f>
        <v>0</v>
      </c>
      <c r="AA1849" s="2" t="s">
        <v>31</v>
      </c>
      <c r="AB1849" s="6" t="n">
        <v>278</v>
      </c>
      <c r="AC1849" s="6" t="n">
        <v>220</v>
      </c>
      <c r="AD1849" s="6" t="n">
        <v>230</v>
      </c>
      <c r="AE1849" s="6" t="n">
        <v>1563.85229492188</v>
      </c>
      <c r="AF1849" s="8"/>
      <c r="AG1849" s="11"/>
      <c r="AH1849" s="12" t="n">
        <v>0.99997083867619</v>
      </c>
      <c r="AI1849" s="2" t="s">
        <v>1597</v>
      </c>
      <c r="AJ1849" s="2"/>
      <c r="AK1849" s="2" t="s">
        <v>4104</v>
      </c>
    </row>
    <row r="1850" customFormat="false" ht="15" hidden="false" customHeight="false" outlineLevel="0" collapsed="false">
      <c r="A1850" s="9"/>
      <c r="B1850" s="2" t="s">
        <v>4105</v>
      </c>
      <c r="C1850" s="2" t="s">
        <v>4098</v>
      </c>
      <c r="D1850" s="2" t="s">
        <v>3921</v>
      </c>
      <c r="E1850" s="2" t="s">
        <v>51</v>
      </c>
      <c r="F1850" s="2"/>
      <c r="G1850" s="2" t="s">
        <v>3922</v>
      </c>
      <c r="H1850" s="8" t="n">
        <v>152.443910256</v>
      </c>
      <c r="I1850" s="2" t="s">
        <v>316</v>
      </c>
      <c r="J1850" s="8" t="n">
        <v>184957.142857143</v>
      </c>
      <c r="K1850" s="6" t="n">
        <v>7</v>
      </c>
      <c r="L1850" s="2"/>
      <c r="M1850" s="10" t="b">
        <f aca="false">TRUE()</f>
        <v>1</v>
      </c>
      <c r="N1850" s="9" t="str">
        <f aca="false">IF(H1850="","",IF(H1850&gt;=Assumptions!$B$5,1,IF(H1850&gt;=Assumptions!$B$6,2,IF(H1850&gt;=Assumptions!$B$7,3,""))))</f>
        <v/>
      </c>
      <c r="O1850" s="9" t="n">
        <f aca="false">IF(N1850=1,Assumptions!$B$8,IF(N1850=2,Assumptions!$B$9,IF(N1850=3,Assumptions!$B$10,0)))</f>
        <v>0</v>
      </c>
      <c r="P1850" s="6" t="s">
        <v>30</v>
      </c>
      <c r="Q1850" s="6" t="s">
        <v>30</v>
      </c>
      <c r="R1850" s="11" t="s">
        <v>30</v>
      </c>
      <c r="S1850" s="6" t="s">
        <v>30</v>
      </c>
      <c r="T1850" s="11" t="s">
        <v>30</v>
      </c>
      <c r="U1850" s="6" t="s">
        <v>30</v>
      </c>
      <c r="V1850" s="6" t="s">
        <v>30</v>
      </c>
      <c r="W1850" s="6" t="s">
        <v>30</v>
      </c>
      <c r="X1850" s="2" t="s">
        <v>30</v>
      </c>
      <c r="Y1850" s="6" t="str">
        <f aca="false">IF(AND(X1850="processed",ISNUMBER(S1850)),S1850*O1850,"")</f>
        <v/>
      </c>
      <c r="Z1850" s="6" t="n">
        <f aca="false">IF(ISNUMBER(K1850),K1850*O1850,0)</f>
        <v>0</v>
      </c>
      <c r="AA1850" s="2" t="s">
        <v>31</v>
      </c>
      <c r="AB1850" s="6" t="n">
        <v>994</v>
      </c>
      <c r="AC1850" s="6" t="n">
        <v>788</v>
      </c>
      <c r="AD1850" s="6" t="n">
        <v>687</v>
      </c>
      <c r="AE1850" s="6" t="n">
        <v>1476.39331054688</v>
      </c>
      <c r="AF1850" s="8" t="n">
        <v>145.833333333</v>
      </c>
      <c r="AG1850" s="11"/>
      <c r="AH1850" s="12" t="n">
        <v>0.999111163879597</v>
      </c>
      <c r="AI1850" s="2" t="s">
        <v>317</v>
      </c>
      <c r="AJ1850" s="2" t="s">
        <v>4098</v>
      </c>
      <c r="AK1850" s="2" t="s">
        <v>4106</v>
      </c>
    </row>
    <row r="1851" customFormat="false" ht="15" hidden="false" customHeight="false" outlineLevel="0" collapsed="false">
      <c r="A1851" s="9"/>
      <c r="B1851" s="2" t="s">
        <v>4107</v>
      </c>
      <c r="C1851" s="2" t="s">
        <v>4108</v>
      </c>
      <c r="D1851" s="2" t="s">
        <v>3945</v>
      </c>
      <c r="E1851" s="2" t="s">
        <v>51</v>
      </c>
      <c r="F1851" s="2"/>
      <c r="G1851" s="2"/>
      <c r="H1851" s="8"/>
      <c r="I1851" s="2"/>
      <c r="J1851" s="8"/>
      <c r="K1851" s="6"/>
      <c r="L1851" s="2"/>
      <c r="M1851" s="10" t="b">
        <f aca="false">TRUE()</f>
        <v>1</v>
      </c>
      <c r="N1851" s="9" t="str">
        <f aca="false">IF(H1851="","",IF(H1851&gt;=Assumptions!$B$5,1,IF(H1851&gt;=Assumptions!$B$6,2,IF(H1851&gt;=Assumptions!$B$7,3,""))))</f>
        <v/>
      </c>
      <c r="O1851" s="9" t="n">
        <f aca="false">IF(N1851=1,Assumptions!$B$8,IF(N1851=2,Assumptions!$B$9,IF(N1851=3,Assumptions!$B$10,0)))</f>
        <v>0</v>
      </c>
      <c r="P1851" s="6" t="s">
        <v>30</v>
      </c>
      <c r="Q1851" s="6" t="s">
        <v>30</v>
      </c>
      <c r="R1851" s="11" t="s">
        <v>30</v>
      </c>
      <c r="S1851" s="6" t="s">
        <v>30</v>
      </c>
      <c r="T1851" s="11" t="s">
        <v>30</v>
      </c>
      <c r="U1851" s="6" t="s">
        <v>30</v>
      </c>
      <c r="V1851" s="6" t="s">
        <v>30</v>
      </c>
      <c r="W1851" s="6" t="s">
        <v>30</v>
      </c>
      <c r="X1851" s="2" t="s">
        <v>30</v>
      </c>
      <c r="Y1851" s="6" t="str">
        <f aca="false">IF(AND(X1851="processed",ISNUMBER(S1851)),S1851*O1851,"")</f>
        <v/>
      </c>
      <c r="Z1851" s="6" t="n">
        <f aca="false">IF(ISNUMBER(K1851),K1851*O1851,0)</f>
        <v>0</v>
      </c>
      <c r="AA1851" s="2" t="s">
        <v>31</v>
      </c>
      <c r="AB1851" s="6" t="n">
        <v>285</v>
      </c>
      <c r="AC1851" s="6" t="n">
        <v>246</v>
      </c>
      <c r="AD1851" s="6" t="n">
        <v>270</v>
      </c>
      <c r="AE1851" s="6" t="n">
        <v>1658.29968261719</v>
      </c>
      <c r="AF1851" s="8"/>
      <c r="AG1851" s="11"/>
      <c r="AH1851" s="12" t="n">
        <v>0.968065727515525</v>
      </c>
      <c r="AI1851" s="2" t="s">
        <v>1597</v>
      </c>
      <c r="AJ1851" s="2"/>
      <c r="AK1851" s="2" t="s">
        <v>4108</v>
      </c>
    </row>
    <row r="1852" customFormat="false" ht="15" hidden="false" customHeight="false" outlineLevel="0" collapsed="false">
      <c r="A1852" s="9"/>
      <c r="B1852" s="2" t="s">
        <v>4109</v>
      </c>
      <c r="C1852" s="2" t="s">
        <v>4110</v>
      </c>
      <c r="D1852" s="2" t="s">
        <v>3756</v>
      </c>
      <c r="E1852" s="2" t="s">
        <v>51</v>
      </c>
      <c r="F1852" s="2"/>
      <c r="G1852" s="2"/>
      <c r="H1852" s="8"/>
      <c r="I1852" s="2"/>
      <c r="J1852" s="8"/>
      <c r="K1852" s="6"/>
      <c r="L1852" s="2"/>
      <c r="M1852" s="10" t="b">
        <f aca="false">TRUE()</f>
        <v>1</v>
      </c>
      <c r="N1852" s="9" t="str">
        <f aca="false">IF(H1852="","",IF(H1852&gt;=Assumptions!$B$5,1,IF(H1852&gt;=Assumptions!$B$6,2,IF(H1852&gt;=Assumptions!$B$7,3,""))))</f>
        <v/>
      </c>
      <c r="O1852" s="9" t="n">
        <f aca="false">IF(N1852=1,Assumptions!$B$8,IF(N1852=2,Assumptions!$B$9,IF(N1852=3,Assumptions!$B$10,0)))</f>
        <v>0</v>
      </c>
      <c r="P1852" s="6" t="s">
        <v>30</v>
      </c>
      <c r="Q1852" s="6" t="s">
        <v>30</v>
      </c>
      <c r="R1852" s="11" t="s">
        <v>30</v>
      </c>
      <c r="S1852" s="6" t="s">
        <v>30</v>
      </c>
      <c r="T1852" s="11" t="s">
        <v>30</v>
      </c>
      <c r="U1852" s="6" t="s">
        <v>30</v>
      </c>
      <c r="V1852" s="6" t="s">
        <v>30</v>
      </c>
      <c r="W1852" s="6" t="s">
        <v>30</v>
      </c>
      <c r="X1852" s="2" t="s">
        <v>30</v>
      </c>
      <c r="Y1852" s="6" t="str">
        <f aca="false">IF(AND(X1852="processed",ISNUMBER(S1852)),S1852*O1852,"")</f>
        <v/>
      </c>
      <c r="Z1852" s="6" t="n">
        <f aca="false">IF(ISNUMBER(K1852),K1852*O1852,0)</f>
        <v>0</v>
      </c>
      <c r="AA1852" s="2" t="s">
        <v>31</v>
      </c>
      <c r="AB1852" s="6" t="n">
        <v>149</v>
      </c>
      <c r="AC1852" s="6" t="n">
        <v>137</v>
      </c>
      <c r="AD1852" s="6" t="n">
        <v>91</v>
      </c>
      <c r="AE1852" s="6" t="n">
        <v>1511.00231933594</v>
      </c>
      <c r="AF1852" s="8"/>
      <c r="AG1852" s="11"/>
      <c r="AH1852" s="12" t="n">
        <v>0.829975840232742</v>
      </c>
      <c r="AI1852" s="2" t="s">
        <v>317</v>
      </c>
      <c r="AJ1852" s="2" t="s">
        <v>4110</v>
      </c>
      <c r="AK1852" s="2" t="s">
        <v>4110</v>
      </c>
    </row>
    <row r="1853" customFormat="false" ht="15" hidden="false" customHeight="false" outlineLevel="0" collapsed="false">
      <c r="A1853" s="9"/>
      <c r="B1853" s="2" t="s">
        <v>4111</v>
      </c>
      <c r="C1853" s="2" t="s">
        <v>4112</v>
      </c>
      <c r="D1853" s="2" t="s">
        <v>3945</v>
      </c>
      <c r="E1853" s="2" t="s">
        <v>51</v>
      </c>
      <c r="F1853" s="2"/>
      <c r="G1853" s="2"/>
      <c r="H1853" s="8"/>
      <c r="I1853" s="2"/>
      <c r="J1853" s="8"/>
      <c r="K1853" s="6"/>
      <c r="L1853" s="2"/>
      <c r="M1853" s="10" t="b">
        <f aca="false">TRUE()</f>
        <v>1</v>
      </c>
      <c r="N1853" s="9" t="str">
        <f aca="false">IF(H1853="","",IF(H1853&gt;=Assumptions!$B$5,1,IF(H1853&gt;=Assumptions!$B$6,2,IF(H1853&gt;=Assumptions!$B$7,3,""))))</f>
        <v/>
      </c>
      <c r="O1853" s="9" t="n">
        <f aca="false">IF(N1853=1,Assumptions!$B$8,IF(N1853=2,Assumptions!$B$9,IF(N1853=3,Assumptions!$B$10,0)))</f>
        <v>0</v>
      </c>
      <c r="P1853" s="6" t="s">
        <v>30</v>
      </c>
      <c r="Q1853" s="6" t="s">
        <v>30</v>
      </c>
      <c r="R1853" s="11" t="s">
        <v>30</v>
      </c>
      <c r="S1853" s="6" t="s">
        <v>30</v>
      </c>
      <c r="T1853" s="11" t="s">
        <v>30</v>
      </c>
      <c r="U1853" s="6" t="s">
        <v>30</v>
      </c>
      <c r="V1853" s="6" t="s">
        <v>30</v>
      </c>
      <c r="W1853" s="6" t="s">
        <v>30</v>
      </c>
      <c r="X1853" s="2" t="s">
        <v>30</v>
      </c>
      <c r="Y1853" s="6" t="str">
        <f aca="false">IF(AND(X1853="processed",ISNUMBER(S1853)),S1853*O1853,"")</f>
        <v/>
      </c>
      <c r="Z1853" s="6" t="n">
        <f aca="false">IF(ISNUMBER(K1853),K1853*O1853,0)</f>
        <v>0</v>
      </c>
      <c r="AA1853" s="2" t="s">
        <v>31</v>
      </c>
      <c r="AB1853" s="6" t="n">
        <v>344</v>
      </c>
      <c r="AC1853" s="6" t="n">
        <v>248</v>
      </c>
      <c r="AD1853" s="6" t="n">
        <v>178</v>
      </c>
      <c r="AE1853" s="6" t="n">
        <v>1609.75317382813</v>
      </c>
      <c r="AF1853" s="8"/>
      <c r="AG1853" s="11"/>
      <c r="AH1853" s="12" t="n">
        <v>0.999002672150081</v>
      </c>
      <c r="AI1853" s="2" t="s">
        <v>1597</v>
      </c>
      <c r="AJ1853" s="2"/>
      <c r="AK1853" s="2" t="s">
        <v>4112</v>
      </c>
    </row>
    <row r="1854" customFormat="false" ht="15" hidden="false" customHeight="false" outlineLevel="0" collapsed="false">
      <c r="A1854" s="9"/>
      <c r="B1854" s="2" t="s">
        <v>4113</v>
      </c>
      <c r="C1854" s="2" t="s">
        <v>4114</v>
      </c>
      <c r="D1854" s="2" t="s">
        <v>3921</v>
      </c>
      <c r="E1854" s="2" t="s">
        <v>51</v>
      </c>
      <c r="F1854" s="2"/>
      <c r="G1854" s="2"/>
      <c r="H1854" s="8"/>
      <c r="I1854" s="2"/>
      <c r="J1854" s="8"/>
      <c r="K1854" s="6"/>
      <c r="L1854" s="2"/>
      <c r="M1854" s="10" t="b">
        <f aca="false">TRUE()</f>
        <v>1</v>
      </c>
      <c r="N1854" s="9" t="str">
        <f aca="false">IF(H1854="","",IF(H1854&gt;=Assumptions!$B$5,1,IF(H1854&gt;=Assumptions!$B$6,2,IF(H1854&gt;=Assumptions!$B$7,3,""))))</f>
        <v/>
      </c>
      <c r="O1854" s="9" t="n">
        <f aca="false">IF(N1854=1,Assumptions!$B$8,IF(N1854=2,Assumptions!$B$9,IF(N1854=3,Assumptions!$B$10,0)))</f>
        <v>0</v>
      </c>
      <c r="P1854" s="6" t="s">
        <v>30</v>
      </c>
      <c r="Q1854" s="6" t="s">
        <v>30</v>
      </c>
      <c r="R1854" s="11" t="s">
        <v>30</v>
      </c>
      <c r="S1854" s="6" t="s">
        <v>30</v>
      </c>
      <c r="T1854" s="11" t="s">
        <v>30</v>
      </c>
      <c r="U1854" s="6" t="s">
        <v>30</v>
      </c>
      <c r="V1854" s="6" t="s">
        <v>30</v>
      </c>
      <c r="W1854" s="6" t="s">
        <v>30</v>
      </c>
      <c r="X1854" s="2" t="s">
        <v>30</v>
      </c>
      <c r="Y1854" s="6" t="str">
        <f aca="false">IF(AND(X1854="processed",ISNUMBER(S1854)),S1854*O1854,"")</f>
        <v/>
      </c>
      <c r="Z1854" s="6" t="n">
        <f aca="false">IF(ISNUMBER(K1854),K1854*O1854,0)</f>
        <v>0</v>
      </c>
      <c r="AA1854" s="2" t="s">
        <v>31</v>
      </c>
      <c r="AB1854" s="6" t="n">
        <v>638</v>
      </c>
      <c r="AC1854" s="6" t="n">
        <v>523</v>
      </c>
      <c r="AD1854" s="6" t="n">
        <v>602</v>
      </c>
      <c r="AE1854" s="6" t="n">
        <v>1633.46423339844</v>
      </c>
      <c r="AF1854" s="8"/>
      <c r="AG1854" s="11"/>
      <c r="AH1854" s="12" t="n">
        <v>0.999999999999999</v>
      </c>
      <c r="AI1854" s="2" t="s">
        <v>317</v>
      </c>
      <c r="AJ1854" s="2" t="s">
        <v>4114</v>
      </c>
      <c r="AK1854" s="2" t="s">
        <v>4114</v>
      </c>
    </row>
    <row r="1855" customFormat="false" ht="15" hidden="false" customHeight="false" outlineLevel="0" collapsed="false">
      <c r="A1855" s="9"/>
      <c r="B1855" s="2" t="s">
        <v>4115</v>
      </c>
      <c r="C1855" s="2" t="s">
        <v>4116</v>
      </c>
      <c r="D1855" s="2" t="s">
        <v>3921</v>
      </c>
      <c r="E1855" s="2" t="s">
        <v>51</v>
      </c>
      <c r="F1855" s="2"/>
      <c r="G1855" s="2" t="s">
        <v>3922</v>
      </c>
      <c r="H1855" s="8" t="n">
        <v>186.740697037536</v>
      </c>
      <c r="I1855" s="2" t="s">
        <v>316</v>
      </c>
      <c r="J1855" s="8" t="n">
        <v>332339.285714286</v>
      </c>
      <c r="K1855" s="6" t="n">
        <v>28</v>
      </c>
      <c r="L1855" s="2"/>
      <c r="M1855" s="10" t="b">
        <f aca="false">TRUE()</f>
        <v>1</v>
      </c>
      <c r="N1855" s="9" t="str">
        <f aca="false">IF(H1855="","",IF(H1855&gt;=Assumptions!$B$5,1,IF(H1855&gt;=Assumptions!$B$6,2,IF(H1855&gt;=Assumptions!$B$7,3,""))))</f>
        <v/>
      </c>
      <c r="O1855" s="9" t="n">
        <f aca="false">IF(N1855=1,Assumptions!$B$8,IF(N1855=2,Assumptions!$B$9,IF(N1855=3,Assumptions!$B$10,0)))</f>
        <v>0</v>
      </c>
      <c r="P1855" s="6" t="s">
        <v>30</v>
      </c>
      <c r="Q1855" s="6" t="s">
        <v>30</v>
      </c>
      <c r="R1855" s="11" t="s">
        <v>30</v>
      </c>
      <c r="S1855" s="6" t="s">
        <v>30</v>
      </c>
      <c r="T1855" s="11" t="s">
        <v>30</v>
      </c>
      <c r="U1855" s="6" t="s">
        <v>30</v>
      </c>
      <c r="V1855" s="6" t="s">
        <v>30</v>
      </c>
      <c r="W1855" s="6" t="s">
        <v>30</v>
      </c>
      <c r="X1855" s="2" t="s">
        <v>30</v>
      </c>
      <c r="Y1855" s="6" t="str">
        <f aca="false">IF(AND(X1855="processed",ISNUMBER(S1855)),S1855*O1855,"")</f>
        <v/>
      </c>
      <c r="Z1855" s="6" t="n">
        <f aca="false">IF(ISNUMBER(K1855),K1855*O1855,0)</f>
        <v>0</v>
      </c>
      <c r="AA1855" s="2" t="s">
        <v>31</v>
      </c>
      <c r="AB1855" s="6" t="n">
        <v>2667</v>
      </c>
      <c r="AC1855" s="6" t="n">
        <v>2275</v>
      </c>
      <c r="AD1855" s="6" t="n">
        <v>2583</v>
      </c>
      <c r="AE1855" s="6" t="n">
        <v>1644.23693847656</v>
      </c>
      <c r="AF1855" s="8" t="n">
        <v>203.868617312</v>
      </c>
      <c r="AG1855" s="11" t="n">
        <v>0.04348431567</v>
      </c>
      <c r="AH1855" s="12" t="n">
        <v>0.999004054949862</v>
      </c>
      <c r="AI1855" s="2" t="s">
        <v>317</v>
      </c>
      <c r="AJ1855" s="2" t="s">
        <v>4116</v>
      </c>
      <c r="AK1855" s="2" t="s">
        <v>4117</v>
      </c>
    </row>
    <row r="1856" customFormat="false" ht="15" hidden="false" customHeight="false" outlineLevel="0" collapsed="false">
      <c r="A1856" s="9"/>
      <c r="B1856" s="2" t="s">
        <v>4118</v>
      </c>
      <c r="C1856" s="2" t="s">
        <v>4119</v>
      </c>
      <c r="D1856" s="2" t="s">
        <v>3945</v>
      </c>
      <c r="E1856" s="2" t="s">
        <v>51</v>
      </c>
      <c r="F1856" s="2"/>
      <c r="G1856" s="2"/>
      <c r="H1856" s="8"/>
      <c r="I1856" s="2"/>
      <c r="J1856" s="8"/>
      <c r="K1856" s="6"/>
      <c r="L1856" s="2"/>
      <c r="M1856" s="10" t="b">
        <f aca="false">TRUE()</f>
        <v>1</v>
      </c>
      <c r="N1856" s="9" t="str">
        <f aca="false">IF(H1856="","",IF(H1856&gt;=Assumptions!$B$5,1,IF(H1856&gt;=Assumptions!$B$6,2,IF(H1856&gt;=Assumptions!$B$7,3,""))))</f>
        <v/>
      </c>
      <c r="O1856" s="9" t="n">
        <f aca="false">IF(N1856=1,Assumptions!$B$8,IF(N1856=2,Assumptions!$B$9,IF(N1856=3,Assumptions!$B$10,0)))</f>
        <v>0</v>
      </c>
      <c r="P1856" s="6" t="s">
        <v>30</v>
      </c>
      <c r="Q1856" s="6" t="s">
        <v>30</v>
      </c>
      <c r="R1856" s="11" t="s">
        <v>30</v>
      </c>
      <c r="S1856" s="6" t="s">
        <v>30</v>
      </c>
      <c r="T1856" s="11" t="s">
        <v>30</v>
      </c>
      <c r="U1856" s="6" t="s">
        <v>30</v>
      </c>
      <c r="V1856" s="6" t="s">
        <v>30</v>
      </c>
      <c r="W1856" s="6" t="s">
        <v>30</v>
      </c>
      <c r="X1856" s="2" t="s">
        <v>30</v>
      </c>
      <c r="Y1856" s="6" t="str">
        <f aca="false">IF(AND(X1856="processed",ISNUMBER(S1856)),S1856*O1856,"")</f>
        <v/>
      </c>
      <c r="Z1856" s="6" t="n">
        <f aca="false">IF(ISNUMBER(K1856),K1856*O1856,0)</f>
        <v>0</v>
      </c>
      <c r="AA1856" s="2" t="s">
        <v>31</v>
      </c>
      <c r="AB1856" s="6" t="n">
        <v>345</v>
      </c>
      <c r="AC1856" s="6" t="n">
        <v>265</v>
      </c>
      <c r="AD1856" s="6" t="n">
        <v>342</v>
      </c>
      <c r="AE1856" s="6" t="n">
        <v>1738.326171875</v>
      </c>
      <c r="AF1856" s="8"/>
      <c r="AG1856" s="11"/>
      <c r="AH1856" s="12" t="n">
        <v>0.999961244014663</v>
      </c>
      <c r="AI1856" s="2" t="s">
        <v>1597</v>
      </c>
      <c r="AJ1856" s="2"/>
      <c r="AK1856" s="2" t="s">
        <v>4119</v>
      </c>
    </row>
    <row r="1857" customFormat="false" ht="15" hidden="false" customHeight="false" outlineLevel="0" collapsed="false">
      <c r="A1857" s="9"/>
      <c r="B1857" s="2" t="s">
        <v>4120</v>
      </c>
      <c r="C1857" s="2" t="s">
        <v>4121</v>
      </c>
      <c r="D1857" s="2" t="s">
        <v>3945</v>
      </c>
      <c r="E1857" s="2" t="s">
        <v>51</v>
      </c>
      <c r="F1857" s="2"/>
      <c r="G1857" s="2"/>
      <c r="H1857" s="8"/>
      <c r="I1857" s="2"/>
      <c r="J1857" s="8"/>
      <c r="K1857" s="6"/>
      <c r="L1857" s="2"/>
      <c r="M1857" s="10" t="b">
        <f aca="false">TRUE()</f>
        <v>1</v>
      </c>
      <c r="N1857" s="9" t="str">
        <f aca="false">IF(H1857="","",IF(H1857&gt;=Assumptions!$B$5,1,IF(H1857&gt;=Assumptions!$B$6,2,IF(H1857&gt;=Assumptions!$B$7,3,""))))</f>
        <v/>
      </c>
      <c r="O1857" s="9" t="n">
        <f aca="false">IF(N1857=1,Assumptions!$B$8,IF(N1857=2,Assumptions!$B$9,IF(N1857=3,Assumptions!$B$10,0)))</f>
        <v>0</v>
      </c>
      <c r="P1857" s="6" t="s">
        <v>30</v>
      </c>
      <c r="Q1857" s="6" t="s">
        <v>30</v>
      </c>
      <c r="R1857" s="11" t="s">
        <v>30</v>
      </c>
      <c r="S1857" s="6" t="s">
        <v>30</v>
      </c>
      <c r="T1857" s="11" t="s">
        <v>30</v>
      </c>
      <c r="U1857" s="6" t="s">
        <v>30</v>
      </c>
      <c r="V1857" s="6" t="s">
        <v>30</v>
      </c>
      <c r="W1857" s="6" t="s">
        <v>30</v>
      </c>
      <c r="X1857" s="2" t="s">
        <v>30</v>
      </c>
      <c r="Y1857" s="6" t="str">
        <f aca="false">IF(AND(X1857="processed",ISNUMBER(S1857)),S1857*O1857,"")</f>
        <v/>
      </c>
      <c r="Z1857" s="6" t="n">
        <f aca="false">IF(ISNUMBER(K1857),K1857*O1857,0)</f>
        <v>0</v>
      </c>
      <c r="AA1857" s="2" t="s">
        <v>31</v>
      </c>
      <c r="AB1857" s="6" t="n">
        <v>394</v>
      </c>
      <c r="AC1857" s="6" t="n">
        <v>309</v>
      </c>
      <c r="AD1857" s="6" t="n">
        <v>371</v>
      </c>
      <c r="AE1857" s="6" t="n">
        <v>1592.11437988281</v>
      </c>
      <c r="AF1857" s="8"/>
      <c r="AG1857" s="11"/>
      <c r="AH1857" s="12" t="n">
        <v>0.999664000329897</v>
      </c>
      <c r="AI1857" s="2" t="s">
        <v>1597</v>
      </c>
      <c r="AJ1857" s="2"/>
      <c r="AK1857" s="2" t="s">
        <v>4121</v>
      </c>
    </row>
    <row r="1858" customFormat="false" ht="15" hidden="false" customHeight="false" outlineLevel="0" collapsed="false">
      <c r="A1858" s="9"/>
      <c r="B1858" s="2" t="s">
        <v>4122</v>
      </c>
      <c r="C1858" s="2" t="s">
        <v>4123</v>
      </c>
      <c r="D1858" s="2" t="s">
        <v>3921</v>
      </c>
      <c r="E1858" s="2" t="s">
        <v>51</v>
      </c>
      <c r="F1858" s="2"/>
      <c r="G1858" s="2" t="s">
        <v>3922</v>
      </c>
      <c r="H1858" s="8" t="n">
        <v>131.1823593075</v>
      </c>
      <c r="I1858" s="2" t="s">
        <v>316</v>
      </c>
      <c r="J1858" s="8" t="n">
        <v>172450</v>
      </c>
      <c r="K1858" s="6" t="n">
        <v>2</v>
      </c>
      <c r="L1858" s="2" t="s">
        <v>1664</v>
      </c>
      <c r="M1858" s="10" t="b">
        <f aca="false">TRUE()</f>
        <v>1</v>
      </c>
      <c r="N1858" s="9" t="str">
        <f aca="false">IF(H1858="","",IF(H1858&gt;=Assumptions!$B$5,1,IF(H1858&gt;=Assumptions!$B$6,2,IF(H1858&gt;=Assumptions!$B$7,3,""))))</f>
        <v/>
      </c>
      <c r="O1858" s="9" t="n">
        <f aca="false">IF(N1858=1,Assumptions!$B$8,IF(N1858=2,Assumptions!$B$9,IF(N1858=3,Assumptions!$B$10,0)))</f>
        <v>0</v>
      </c>
      <c r="P1858" s="6" t="s">
        <v>30</v>
      </c>
      <c r="Q1858" s="6" t="s">
        <v>30</v>
      </c>
      <c r="R1858" s="11" t="s">
        <v>30</v>
      </c>
      <c r="S1858" s="6" t="s">
        <v>30</v>
      </c>
      <c r="T1858" s="11" t="s">
        <v>30</v>
      </c>
      <c r="U1858" s="6" t="s">
        <v>30</v>
      </c>
      <c r="V1858" s="6" t="s">
        <v>30</v>
      </c>
      <c r="W1858" s="6" t="s">
        <v>30</v>
      </c>
      <c r="X1858" s="2" t="s">
        <v>30</v>
      </c>
      <c r="Y1858" s="6" t="str">
        <f aca="false">IF(AND(X1858="processed",ISNUMBER(S1858)),S1858*O1858,"")</f>
        <v/>
      </c>
      <c r="Z1858" s="6" t="n">
        <f aca="false">IF(ISNUMBER(K1858),K1858*O1858,0)</f>
        <v>0</v>
      </c>
      <c r="AA1858" s="2" t="s">
        <v>31</v>
      </c>
      <c r="AB1858" s="6" t="n">
        <v>431</v>
      </c>
      <c r="AC1858" s="6" t="n">
        <v>348</v>
      </c>
      <c r="AD1858" s="6" t="n">
        <v>253</v>
      </c>
      <c r="AE1858" s="6" t="n">
        <v>1471.88659667969</v>
      </c>
      <c r="AF1858" s="8" t="n">
        <v>158.198051948</v>
      </c>
      <c r="AG1858" s="11" t="n">
        <v>0.05714787208</v>
      </c>
      <c r="AH1858" s="12" t="n">
        <v>0.999998901316664</v>
      </c>
      <c r="AI1858" s="2" t="s">
        <v>317</v>
      </c>
      <c r="AJ1858" s="2" t="s">
        <v>4123</v>
      </c>
      <c r="AK1858" s="2" t="s">
        <v>4124</v>
      </c>
    </row>
    <row r="1859" customFormat="false" ht="15" hidden="false" customHeight="false" outlineLevel="0" collapsed="false">
      <c r="A1859" s="9"/>
      <c r="B1859" s="2" t="s">
        <v>4125</v>
      </c>
      <c r="C1859" s="2" t="s">
        <v>4126</v>
      </c>
      <c r="D1859" s="2" t="s">
        <v>3756</v>
      </c>
      <c r="E1859" s="2" t="s">
        <v>51</v>
      </c>
      <c r="F1859" s="2" t="s">
        <v>4127</v>
      </c>
      <c r="G1859" s="2"/>
      <c r="H1859" s="8"/>
      <c r="I1859" s="2"/>
      <c r="J1859" s="8"/>
      <c r="K1859" s="6"/>
      <c r="L1859" s="2"/>
      <c r="M1859" s="10" t="b">
        <f aca="false">TRUE()</f>
        <v>1</v>
      </c>
      <c r="N1859" s="9" t="str">
        <f aca="false">IF(H1859="","",IF(H1859&gt;=Assumptions!$B$5,1,IF(H1859&gt;=Assumptions!$B$6,2,IF(H1859&gt;=Assumptions!$B$7,3,""))))</f>
        <v/>
      </c>
      <c r="O1859" s="9" t="n">
        <f aca="false">IF(N1859=1,Assumptions!$B$8,IF(N1859=2,Assumptions!$B$9,IF(N1859=3,Assumptions!$B$10,0)))</f>
        <v>0</v>
      </c>
      <c r="P1859" s="6" t="s">
        <v>30</v>
      </c>
      <c r="Q1859" s="6" t="s">
        <v>30</v>
      </c>
      <c r="R1859" s="11" t="s">
        <v>30</v>
      </c>
      <c r="S1859" s="6" t="s">
        <v>30</v>
      </c>
      <c r="T1859" s="11" t="s">
        <v>30</v>
      </c>
      <c r="U1859" s="6" t="s">
        <v>30</v>
      </c>
      <c r="V1859" s="6" t="s">
        <v>30</v>
      </c>
      <c r="W1859" s="6" t="s">
        <v>30</v>
      </c>
      <c r="X1859" s="2" t="s">
        <v>30</v>
      </c>
      <c r="Y1859" s="6" t="str">
        <f aca="false">IF(AND(X1859="processed",ISNUMBER(S1859)),S1859*O1859,"")</f>
        <v/>
      </c>
      <c r="Z1859" s="6" t="n">
        <f aca="false">IF(ISNUMBER(K1859),K1859*O1859,0)</f>
        <v>0</v>
      </c>
      <c r="AA1859" s="2" t="s">
        <v>31</v>
      </c>
      <c r="AB1859" s="6" t="n">
        <v>1251</v>
      </c>
      <c r="AC1859" s="6" t="n">
        <v>1062</v>
      </c>
      <c r="AD1859" s="6" t="n">
        <v>659</v>
      </c>
      <c r="AE1859" s="6" t="n">
        <v>1669.95239257813</v>
      </c>
      <c r="AF1859" s="8"/>
      <c r="AG1859" s="11"/>
      <c r="AH1859" s="12" t="n">
        <v>0.871280482273439</v>
      </c>
      <c r="AI1859" s="2" t="s">
        <v>2210</v>
      </c>
      <c r="AJ1859" s="2" t="s">
        <v>4128</v>
      </c>
      <c r="AK1859" s="2" t="s">
        <v>4126</v>
      </c>
    </row>
    <row r="1860" customFormat="false" ht="15" hidden="false" customHeight="false" outlineLevel="0" collapsed="false">
      <c r="A1860" s="9"/>
      <c r="B1860" s="2" t="s">
        <v>4129</v>
      </c>
      <c r="C1860" s="2" t="s">
        <v>4130</v>
      </c>
      <c r="D1860" s="2" t="s">
        <v>3921</v>
      </c>
      <c r="E1860" s="2" t="s">
        <v>51</v>
      </c>
      <c r="F1860" s="2"/>
      <c r="G1860" s="2"/>
      <c r="H1860" s="8"/>
      <c r="I1860" s="2"/>
      <c r="J1860" s="8"/>
      <c r="K1860" s="6"/>
      <c r="L1860" s="2"/>
      <c r="M1860" s="10" t="b">
        <f aca="false">TRUE()</f>
        <v>1</v>
      </c>
      <c r="N1860" s="9" t="str">
        <f aca="false">IF(H1860="","",IF(H1860&gt;=Assumptions!$B$5,1,IF(H1860&gt;=Assumptions!$B$6,2,IF(H1860&gt;=Assumptions!$B$7,3,""))))</f>
        <v/>
      </c>
      <c r="O1860" s="9" t="n">
        <f aca="false">IF(N1860=1,Assumptions!$B$8,IF(N1860=2,Assumptions!$B$9,IF(N1860=3,Assumptions!$B$10,0)))</f>
        <v>0</v>
      </c>
      <c r="P1860" s="6" t="s">
        <v>30</v>
      </c>
      <c r="Q1860" s="6" t="s">
        <v>30</v>
      </c>
      <c r="R1860" s="11" t="s">
        <v>30</v>
      </c>
      <c r="S1860" s="6" t="s">
        <v>30</v>
      </c>
      <c r="T1860" s="11" t="s">
        <v>30</v>
      </c>
      <c r="U1860" s="6" t="s">
        <v>30</v>
      </c>
      <c r="V1860" s="6" t="s">
        <v>30</v>
      </c>
      <c r="W1860" s="6" t="s">
        <v>30</v>
      </c>
      <c r="X1860" s="2" t="s">
        <v>30</v>
      </c>
      <c r="Y1860" s="6" t="str">
        <f aca="false">IF(AND(X1860="processed",ISNUMBER(S1860)),S1860*O1860,"")</f>
        <v/>
      </c>
      <c r="Z1860" s="6" t="n">
        <f aca="false">IF(ISNUMBER(K1860),K1860*O1860,0)</f>
        <v>0</v>
      </c>
      <c r="AA1860" s="2" t="s">
        <v>31</v>
      </c>
      <c r="AB1860" s="6" t="n">
        <v>126</v>
      </c>
      <c r="AC1860" s="6" t="n">
        <v>94</v>
      </c>
      <c r="AD1860" s="6" t="n">
        <v>76</v>
      </c>
      <c r="AE1860" s="6" t="n">
        <v>1539.7822265625</v>
      </c>
      <c r="AF1860" s="8"/>
      <c r="AG1860" s="11"/>
      <c r="AH1860" s="12" t="n">
        <v>0.999989382393547</v>
      </c>
      <c r="AI1860" s="2" t="s">
        <v>317</v>
      </c>
      <c r="AJ1860" s="2" t="s">
        <v>4130</v>
      </c>
      <c r="AK1860" s="2" t="s">
        <v>4130</v>
      </c>
    </row>
    <row r="1861" customFormat="false" ht="15" hidden="false" customHeight="false" outlineLevel="0" collapsed="false">
      <c r="A1861" s="9"/>
      <c r="B1861" s="2" t="s">
        <v>4131</v>
      </c>
      <c r="C1861" s="2" t="s">
        <v>4132</v>
      </c>
      <c r="D1861" s="2" t="s">
        <v>1828</v>
      </c>
      <c r="E1861" s="2" t="s">
        <v>51</v>
      </c>
      <c r="F1861" s="2" t="s">
        <v>4133</v>
      </c>
      <c r="G1861" s="2"/>
      <c r="H1861" s="8"/>
      <c r="I1861" s="2"/>
      <c r="J1861" s="8"/>
      <c r="K1861" s="6"/>
      <c r="L1861" s="2"/>
      <c r="M1861" s="10" t="b">
        <f aca="false">TRUE()</f>
        <v>1</v>
      </c>
      <c r="N1861" s="9" t="str">
        <f aca="false">IF(H1861="","",IF(H1861&gt;=Assumptions!$B$5,1,IF(H1861&gt;=Assumptions!$B$6,2,IF(H1861&gt;=Assumptions!$B$7,3,""))))</f>
        <v/>
      </c>
      <c r="O1861" s="9" t="n">
        <f aca="false">IF(N1861=1,Assumptions!$B$8,IF(N1861=2,Assumptions!$B$9,IF(N1861=3,Assumptions!$B$10,0)))</f>
        <v>0</v>
      </c>
      <c r="P1861" s="6" t="s">
        <v>30</v>
      </c>
      <c r="Q1861" s="6" t="s">
        <v>30</v>
      </c>
      <c r="R1861" s="11" t="s">
        <v>30</v>
      </c>
      <c r="S1861" s="6" t="s">
        <v>30</v>
      </c>
      <c r="T1861" s="11" t="s">
        <v>30</v>
      </c>
      <c r="U1861" s="6" t="s">
        <v>30</v>
      </c>
      <c r="V1861" s="6" t="s">
        <v>30</v>
      </c>
      <c r="W1861" s="6" t="s">
        <v>30</v>
      </c>
      <c r="X1861" s="2" t="s">
        <v>30</v>
      </c>
      <c r="Y1861" s="6" t="str">
        <f aca="false">IF(AND(X1861="processed",ISNUMBER(S1861)),S1861*O1861,"")</f>
        <v/>
      </c>
      <c r="Z1861" s="6" t="n">
        <f aca="false">IF(ISNUMBER(K1861),K1861*O1861,0)</f>
        <v>0</v>
      </c>
      <c r="AA1861" s="2" t="s">
        <v>31</v>
      </c>
      <c r="AB1861" s="6" t="n">
        <v>1008</v>
      </c>
      <c r="AC1861" s="6" t="n">
        <v>811</v>
      </c>
      <c r="AD1861" s="6" t="n">
        <v>94</v>
      </c>
      <c r="AE1861" s="6" t="n">
        <v>1536.99816894531</v>
      </c>
      <c r="AF1861" s="8"/>
      <c r="AG1861" s="11"/>
      <c r="AH1861" s="12" t="n">
        <v>0.99948039770378</v>
      </c>
      <c r="AI1861" s="2" t="s">
        <v>1597</v>
      </c>
      <c r="AJ1861" s="2"/>
      <c r="AK1861" s="2" t="s">
        <v>4132</v>
      </c>
    </row>
    <row r="1862" customFormat="false" ht="15" hidden="false" customHeight="false" outlineLevel="0" collapsed="false">
      <c r="A1862" s="9"/>
      <c r="B1862" s="2" t="s">
        <v>4134</v>
      </c>
      <c r="C1862" s="2" t="s">
        <v>4135</v>
      </c>
      <c r="D1862" s="2" t="s">
        <v>3921</v>
      </c>
      <c r="E1862" s="2" t="s">
        <v>51</v>
      </c>
      <c r="F1862" s="2"/>
      <c r="G1862" s="2"/>
      <c r="H1862" s="8"/>
      <c r="I1862" s="2"/>
      <c r="J1862" s="8"/>
      <c r="K1862" s="6"/>
      <c r="L1862" s="2"/>
      <c r="M1862" s="10" t="b">
        <f aca="false">TRUE()</f>
        <v>1</v>
      </c>
      <c r="N1862" s="9" t="str">
        <f aca="false">IF(H1862="","",IF(H1862&gt;=Assumptions!$B$5,1,IF(H1862&gt;=Assumptions!$B$6,2,IF(H1862&gt;=Assumptions!$B$7,3,""))))</f>
        <v/>
      </c>
      <c r="O1862" s="9" t="n">
        <f aca="false">IF(N1862=1,Assumptions!$B$8,IF(N1862=2,Assumptions!$B$9,IF(N1862=3,Assumptions!$B$10,0)))</f>
        <v>0</v>
      </c>
      <c r="P1862" s="6" t="s">
        <v>30</v>
      </c>
      <c r="Q1862" s="6" t="s">
        <v>30</v>
      </c>
      <c r="R1862" s="11" t="s">
        <v>30</v>
      </c>
      <c r="S1862" s="6" t="s">
        <v>30</v>
      </c>
      <c r="T1862" s="11" t="s">
        <v>30</v>
      </c>
      <c r="U1862" s="6" t="s">
        <v>30</v>
      </c>
      <c r="V1862" s="6" t="s">
        <v>30</v>
      </c>
      <c r="W1862" s="6" t="s">
        <v>30</v>
      </c>
      <c r="X1862" s="2" t="s">
        <v>30</v>
      </c>
      <c r="Y1862" s="6" t="str">
        <f aca="false">IF(AND(X1862="processed",ISNUMBER(S1862)),S1862*O1862,"")</f>
        <v/>
      </c>
      <c r="Z1862" s="6" t="n">
        <f aca="false">IF(ISNUMBER(K1862),K1862*O1862,0)</f>
        <v>0</v>
      </c>
      <c r="AA1862" s="2" t="s">
        <v>31</v>
      </c>
      <c r="AB1862" s="6" t="n">
        <v>368</v>
      </c>
      <c r="AC1862" s="6" t="n">
        <v>307</v>
      </c>
      <c r="AD1862" s="6" t="n">
        <v>367</v>
      </c>
      <c r="AE1862" s="6" t="n">
        <v>1644.77331542969</v>
      </c>
      <c r="AF1862" s="8"/>
      <c r="AG1862" s="11"/>
      <c r="AH1862" s="12" t="n">
        <v>0.997882917073939</v>
      </c>
      <c r="AI1862" s="2" t="s">
        <v>317</v>
      </c>
      <c r="AJ1862" s="2" t="s">
        <v>4135</v>
      </c>
      <c r="AK1862" s="2" t="s">
        <v>4135</v>
      </c>
    </row>
    <row r="1863" customFormat="false" ht="15" hidden="false" customHeight="false" outlineLevel="0" collapsed="false">
      <c r="A1863" s="9"/>
      <c r="B1863" s="2" t="s">
        <v>4136</v>
      </c>
      <c r="C1863" s="2" t="s">
        <v>4137</v>
      </c>
      <c r="D1863" s="2" t="s">
        <v>3769</v>
      </c>
      <c r="E1863" s="2" t="s">
        <v>51</v>
      </c>
      <c r="F1863" s="2"/>
      <c r="G1863" s="2"/>
      <c r="H1863" s="8"/>
      <c r="I1863" s="2"/>
      <c r="J1863" s="8"/>
      <c r="K1863" s="6"/>
      <c r="L1863" s="2"/>
      <c r="M1863" s="10" t="b">
        <f aca="false">TRUE()</f>
        <v>1</v>
      </c>
      <c r="N1863" s="9" t="str">
        <f aca="false">IF(H1863="","",IF(H1863&gt;=Assumptions!$B$5,1,IF(H1863&gt;=Assumptions!$B$6,2,IF(H1863&gt;=Assumptions!$B$7,3,""))))</f>
        <v/>
      </c>
      <c r="O1863" s="9" t="n">
        <f aca="false">IF(N1863=1,Assumptions!$B$8,IF(N1863=2,Assumptions!$B$9,IF(N1863=3,Assumptions!$B$10,0)))</f>
        <v>0</v>
      </c>
      <c r="P1863" s="6" t="s">
        <v>30</v>
      </c>
      <c r="Q1863" s="6" t="s">
        <v>30</v>
      </c>
      <c r="R1863" s="11" t="s">
        <v>30</v>
      </c>
      <c r="S1863" s="6" t="s">
        <v>30</v>
      </c>
      <c r="T1863" s="11" t="s">
        <v>30</v>
      </c>
      <c r="U1863" s="6" t="s">
        <v>30</v>
      </c>
      <c r="V1863" s="6" t="s">
        <v>30</v>
      </c>
      <c r="W1863" s="6" t="s">
        <v>30</v>
      </c>
      <c r="X1863" s="2" t="s">
        <v>30</v>
      </c>
      <c r="Y1863" s="6" t="str">
        <f aca="false">IF(AND(X1863="processed",ISNUMBER(S1863)),S1863*O1863,"")</f>
        <v/>
      </c>
      <c r="Z1863" s="6" t="n">
        <f aca="false">IF(ISNUMBER(K1863),K1863*O1863,0)</f>
        <v>0</v>
      </c>
      <c r="AA1863" s="2" t="s">
        <v>31</v>
      </c>
      <c r="AB1863" s="6" t="n">
        <v>2755</v>
      </c>
      <c r="AC1863" s="6" t="n">
        <v>2384</v>
      </c>
      <c r="AD1863" s="6" t="n">
        <v>2480</v>
      </c>
      <c r="AE1863" s="6" t="n">
        <v>1700.83312988281</v>
      </c>
      <c r="AF1863" s="8"/>
      <c r="AG1863" s="11"/>
      <c r="AH1863" s="12" t="n">
        <v>0.999999999999998</v>
      </c>
      <c r="AI1863" s="2" t="s">
        <v>319</v>
      </c>
      <c r="AJ1863" s="2"/>
      <c r="AK1863" s="2" t="s">
        <v>4137</v>
      </c>
    </row>
    <row r="1864" customFormat="false" ht="15" hidden="false" customHeight="false" outlineLevel="0" collapsed="false">
      <c r="A1864" s="9"/>
      <c r="B1864" s="2" t="s">
        <v>4138</v>
      </c>
      <c r="C1864" s="2" t="s">
        <v>4139</v>
      </c>
      <c r="D1864" s="2" t="s">
        <v>3921</v>
      </c>
      <c r="E1864" s="2" t="s">
        <v>51</v>
      </c>
      <c r="F1864" s="2"/>
      <c r="G1864" s="2" t="s">
        <v>3922</v>
      </c>
      <c r="H1864" s="8" t="n">
        <v>102.076124567</v>
      </c>
      <c r="I1864" s="2" t="s">
        <v>316</v>
      </c>
      <c r="J1864" s="8" t="n">
        <v>118000</v>
      </c>
      <c r="K1864" s="6" t="n">
        <v>2</v>
      </c>
      <c r="L1864" s="2" t="s">
        <v>1664</v>
      </c>
      <c r="M1864" s="10" t="b">
        <f aca="false">TRUE()</f>
        <v>1</v>
      </c>
      <c r="N1864" s="9" t="str">
        <f aca="false">IF(H1864="","",IF(H1864&gt;=Assumptions!$B$5,1,IF(H1864&gt;=Assumptions!$B$6,2,IF(H1864&gt;=Assumptions!$B$7,3,""))))</f>
        <v/>
      </c>
      <c r="O1864" s="9" t="n">
        <f aca="false">IF(N1864=1,Assumptions!$B$8,IF(N1864=2,Assumptions!$B$9,IF(N1864=3,Assumptions!$B$10,0)))</f>
        <v>0</v>
      </c>
      <c r="P1864" s="6" t="s">
        <v>30</v>
      </c>
      <c r="Q1864" s="6" t="s">
        <v>30</v>
      </c>
      <c r="R1864" s="11" t="s">
        <v>30</v>
      </c>
      <c r="S1864" s="6" t="s">
        <v>30</v>
      </c>
      <c r="T1864" s="11" t="s">
        <v>30</v>
      </c>
      <c r="U1864" s="6" t="s">
        <v>30</v>
      </c>
      <c r="V1864" s="6" t="s">
        <v>30</v>
      </c>
      <c r="W1864" s="6" t="s">
        <v>30</v>
      </c>
      <c r="X1864" s="2" t="s">
        <v>30</v>
      </c>
      <c r="Y1864" s="6" t="str">
        <f aca="false">IF(AND(X1864="processed",ISNUMBER(S1864)),S1864*O1864,"")</f>
        <v/>
      </c>
      <c r="Z1864" s="6" t="n">
        <f aca="false">IF(ISNUMBER(K1864),K1864*O1864,0)</f>
        <v>0</v>
      </c>
      <c r="AA1864" s="2" t="s">
        <v>31</v>
      </c>
      <c r="AB1864" s="6" t="n">
        <v>129</v>
      </c>
      <c r="AC1864" s="6" t="n">
        <v>91</v>
      </c>
      <c r="AD1864" s="6" t="n">
        <v>69</v>
      </c>
      <c r="AE1864" s="6" t="n">
        <v>1351.3623046875</v>
      </c>
      <c r="AF1864" s="8" t="n">
        <v>102.076124567</v>
      </c>
      <c r="AG1864" s="11"/>
      <c r="AH1864" s="12" t="n">
        <v>1</v>
      </c>
      <c r="AI1864" s="2" t="s">
        <v>317</v>
      </c>
      <c r="AJ1864" s="2" t="s">
        <v>4139</v>
      </c>
      <c r="AK1864" s="2" t="s">
        <v>4140</v>
      </c>
    </row>
    <row r="1865" customFormat="false" ht="15" hidden="false" customHeight="false" outlineLevel="0" collapsed="false">
      <c r="A1865" s="9"/>
      <c r="B1865" s="2" t="s">
        <v>4141</v>
      </c>
      <c r="C1865" s="2" t="s">
        <v>4142</v>
      </c>
      <c r="D1865" s="2" t="s">
        <v>3756</v>
      </c>
      <c r="E1865" s="2" t="s">
        <v>51</v>
      </c>
      <c r="F1865" s="2"/>
      <c r="G1865" s="2"/>
      <c r="H1865" s="8"/>
      <c r="I1865" s="2"/>
      <c r="J1865" s="8"/>
      <c r="K1865" s="6"/>
      <c r="L1865" s="2"/>
      <c r="M1865" s="10" t="b">
        <f aca="false">TRUE()</f>
        <v>1</v>
      </c>
      <c r="N1865" s="9" t="str">
        <f aca="false">IF(H1865="","",IF(H1865&gt;=Assumptions!$B$5,1,IF(H1865&gt;=Assumptions!$B$6,2,IF(H1865&gt;=Assumptions!$B$7,3,""))))</f>
        <v/>
      </c>
      <c r="O1865" s="9" t="n">
        <f aca="false">IF(N1865=1,Assumptions!$B$8,IF(N1865=2,Assumptions!$B$9,IF(N1865=3,Assumptions!$B$10,0)))</f>
        <v>0</v>
      </c>
      <c r="P1865" s="6" t="s">
        <v>30</v>
      </c>
      <c r="Q1865" s="6" t="s">
        <v>30</v>
      </c>
      <c r="R1865" s="11" t="s">
        <v>30</v>
      </c>
      <c r="S1865" s="6" t="s">
        <v>30</v>
      </c>
      <c r="T1865" s="11" t="s">
        <v>30</v>
      </c>
      <c r="U1865" s="6" t="s">
        <v>30</v>
      </c>
      <c r="V1865" s="6" t="s">
        <v>30</v>
      </c>
      <c r="W1865" s="6" t="s">
        <v>30</v>
      </c>
      <c r="X1865" s="2" t="s">
        <v>30</v>
      </c>
      <c r="Y1865" s="6" t="str">
        <f aca="false">IF(AND(X1865="processed",ISNUMBER(S1865)),S1865*O1865,"")</f>
        <v/>
      </c>
      <c r="Z1865" s="6" t="n">
        <f aca="false">IF(ISNUMBER(K1865),K1865*O1865,0)</f>
        <v>0</v>
      </c>
      <c r="AA1865" s="2" t="s">
        <v>31</v>
      </c>
      <c r="AB1865" s="6" t="n">
        <v>364</v>
      </c>
      <c r="AC1865" s="6" t="n">
        <v>286</v>
      </c>
      <c r="AD1865" s="6" t="n">
        <v>281</v>
      </c>
      <c r="AE1865" s="6" t="n">
        <v>1613.251953125</v>
      </c>
      <c r="AF1865" s="8"/>
      <c r="AG1865" s="11"/>
      <c r="AH1865" s="12" t="n">
        <v>0.998950318813569</v>
      </c>
      <c r="AI1865" s="2" t="s">
        <v>665</v>
      </c>
      <c r="AJ1865" s="2" t="s">
        <v>4143</v>
      </c>
      <c r="AK1865" s="2" t="s">
        <v>4144</v>
      </c>
    </row>
    <row r="1866" customFormat="false" ht="15" hidden="false" customHeight="false" outlineLevel="0" collapsed="false">
      <c r="A1866" s="9"/>
      <c r="B1866" s="2" t="s">
        <v>4145</v>
      </c>
      <c r="C1866" s="2" t="s">
        <v>4146</v>
      </c>
      <c r="D1866" s="2" t="s">
        <v>3756</v>
      </c>
      <c r="E1866" s="2" t="s">
        <v>51</v>
      </c>
      <c r="F1866" s="2"/>
      <c r="G1866" s="2"/>
      <c r="H1866" s="8"/>
      <c r="I1866" s="2"/>
      <c r="J1866" s="8"/>
      <c r="K1866" s="6"/>
      <c r="L1866" s="2"/>
      <c r="M1866" s="10" t="b">
        <f aca="false">TRUE()</f>
        <v>1</v>
      </c>
      <c r="N1866" s="9" t="str">
        <f aca="false">IF(H1866="","",IF(H1866&gt;=Assumptions!$B$5,1,IF(H1866&gt;=Assumptions!$B$6,2,IF(H1866&gt;=Assumptions!$B$7,3,""))))</f>
        <v/>
      </c>
      <c r="O1866" s="9" t="n">
        <f aca="false">IF(N1866=1,Assumptions!$B$8,IF(N1866=2,Assumptions!$B$9,IF(N1866=3,Assumptions!$B$10,0)))</f>
        <v>0</v>
      </c>
      <c r="P1866" s="6" t="s">
        <v>30</v>
      </c>
      <c r="Q1866" s="6" t="s">
        <v>30</v>
      </c>
      <c r="R1866" s="11" t="s">
        <v>30</v>
      </c>
      <c r="S1866" s="6" t="s">
        <v>30</v>
      </c>
      <c r="T1866" s="11" t="s">
        <v>30</v>
      </c>
      <c r="U1866" s="6" t="s">
        <v>30</v>
      </c>
      <c r="V1866" s="6" t="s">
        <v>30</v>
      </c>
      <c r="W1866" s="6" t="s">
        <v>30</v>
      </c>
      <c r="X1866" s="2" t="s">
        <v>30</v>
      </c>
      <c r="Y1866" s="6" t="str">
        <f aca="false">IF(AND(X1866="processed",ISNUMBER(S1866)),S1866*O1866,"")</f>
        <v/>
      </c>
      <c r="Z1866" s="6" t="n">
        <f aca="false">IF(ISNUMBER(K1866),K1866*O1866,0)</f>
        <v>0</v>
      </c>
      <c r="AA1866" s="2" t="s">
        <v>31</v>
      </c>
      <c r="AB1866" s="6" t="n">
        <v>518</v>
      </c>
      <c r="AC1866" s="6" t="n">
        <v>432</v>
      </c>
      <c r="AD1866" s="6" t="n">
        <v>139</v>
      </c>
      <c r="AE1866" s="6" t="n">
        <v>1336.86743164063</v>
      </c>
      <c r="AF1866" s="8"/>
      <c r="AG1866" s="11"/>
      <c r="AH1866" s="12" t="n">
        <v>0.999766198900467</v>
      </c>
      <c r="AI1866" s="2" t="s">
        <v>1069</v>
      </c>
      <c r="AJ1866" s="2" t="s">
        <v>4147</v>
      </c>
      <c r="AK1866" s="2" t="s">
        <v>4148</v>
      </c>
    </row>
    <row r="1867" customFormat="false" ht="15" hidden="false" customHeight="false" outlineLevel="0" collapsed="false">
      <c r="A1867" s="9"/>
      <c r="B1867" s="2" t="s">
        <v>4149</v>
      </c>
      <c r="C1867" s="2" t="s">
        <v>4150</v>
      </c>
      <c r="D1867" s="2" t="s">
        <v>3756</v>
      </c>
      <c r="E1867" s="2" t="s">
        <v>51</v>
      </c>
      <c r="F1867" s="2"/>
      <c r="G1867" s="2"/>
      <c r="H1867" s="8"/>
      <c r="I1867" s="2"/>
      <c r="J1867" s="8"/>
      <c r="K1867" s="6"/>
      <c r="L1867" s="2"/>
      <c r="M1867" s="10" t="b">
        <f aca="false">TRUE()</f>
        <v>1</v>
      </c>
      <c r="N1867" s="9" t="str">
        <f aca="false">IF(H1867="","",IF(H1867&gt;=Assumptions!$B$5,1,IF(H1867&gt;=Assumptions!$B$6,2,IF(H1867&gt;=Assumptions!$B$7,3,""))))</f>
        <v/>
      </c>
      <c r="O1867" s="9" t="n">
        <f aca="false">IF(N1867=1,Assumptions!$B$8,IF(N1867=2,Assumptions!$B$9,IF(N1867=3,Assumptions!$B$10,0)))</f>
        <v>0</v>
      </c>
      <c r="P1867" s="6" t="s">
        <v>30</v>
      </c>
      <c r="Q1867" s="6" t="s">
        <v>30</v>
      </c>
      <c r="R1867" s="11" t="s">
        <v>30</v>
      </c>
      <c r="S1867" s="6" t="s">
        <v>30</v>
      </c>
      <c r="T1867" s="11" t="s">
        <v>30</v>
      </c>
      <c r="U1867" s="6" t="s">
        <v>30</v>
      </c>
      <c r="V1867" s="6" t="s">
        <v>30</v>
      </c>
      <c r="W1867" s="6" t="s">
        <v>30</v>
      </c>
      <c r="X1867" s="2" t="s">
        <v>30</v>
      </c>
      <c r="Y1867" s="6" t="str">
        <f aca="false">IF(AND(X1867="processed",ISNUMBER(S1867)),S1867*O1867,"")</f>
        <v/>
      </c>
      <c r="Z1867" s="6" t="n">
        <f aca="false">IF(ISNUMBER(K1867),K1867*O1867,0)</f>
        <v>0</v>
      </c>
      <c r="AA1867" s="2" t="s">
        <v>31</v>
      </c>
      <c r="AB1867" s="6" t="n">
        <v>334</v>
      </c>
      <c r="AC1867" s="6" t="n">
        <v>258</v>
      </c>
      <c r="AD1867" s="6" t="n">
        <v>235</v>
      </c>
      <c r="AE1867" s="6" t="n">
        <v>1761.35498046875</v>
      </c>
      <c r="AF1867" s="8"/>
      <c r="AG1867" s="11"/>
      <c r="AH1867" s="12" t="n">
        <v>0.999618148319197</v>
      </c>
      <c r="AI1867" s="2" t="s">
        <v>350</v>
      </c>
      <c r="AJ1867" s="2" t="s">
        <v>4150</v>
      </c>
      <c r="AK1867" s="2" t="s">
        <v>4146</v>
      </c>
    </row>
    <row r="1868" customFormat="false" ht="15" hidden="false" customHeight="false" outlineLevel="0" collapsed="false">
      <c r="A1868" s="9"/>
      <c r="B1868" s="2" t="s">
        <v>4151</v>
      </c>
      <c r="C1868" s="2" t="s">
        <v>4152</v>
      </c>
      <c r="D1868" s="2" t="s">
        <v>3921</v>
      </c>
      <c r="E1868" s="2" t="s">
        <v>51</v>
      </c>
      <c r="F1868" s="2"/>
      <c r="G1868" s="2" t="s">
        <v>3922</v>
      </c>
      <c r="H1868" s="8" t="n">
        <v>187.937034071</v>
      </c>
      <c r="I1868" s="2" t="s">
        <v>316</v>
      </c>
      <c r="J1868" s="8" t="n">
        <v>410000</v>
      </c>
      <c r="K1868" s="6" t="n">
        <v>4</v>
      </c>
      <c r="L1868" s="2" t="s">
        <v>1664</v>
      </c>
      <c r="M1868" s="10" t="b">
        <f aca="false">TRUE()</f>
        <v>1</v>
      </c>
      <c r="N1868" s="9" t="str">
        <f aca="false">IF(H1868="","",IF(H1868&gt;=Assumptions!$B$5,1,IF(H1868&gt;=Assumptions!$B$6,2,IF(H1868&gt;=Assumptions!$B$7,3,""))))</f>
        <v/>
      </c>
      <c r="O1868" s="9" t="n">
        <f aca="false">IF(N1868=1,Assumptions!$B$8,IF(N1868=2,Assumptions!$B$9,IF(N1868=3,Assumptions!$B$10,0)))</f>
        <v>0</v>
      </c>
      <c r="P1868" s="6" t="s">
        <v>30</v>
      </c>
      <c r="Q1868" s="6" t="s">
        <v>30</v>
      </c>
      <c r="R1868" s="11" t="s">
        <v>30</v>
      </c>
      <c r="S1868" s="6" t="s">
        <v>30</v>
      </c>
      <c r="T1868" s="11" t="s">
        <v>30</v>
      </c>
      <c r="U1868" s="6" t="s">
        <v>30</v>
      </c>
      <c r="V1868" s="6" t="s">
        <v>30</v>
      </c>
      <c r="W1868" s="6" t="s">
        <v>30</v>
      </c>
      <c r="X1868" s="2" t="s">
        <v>30</v>
      </c>
      <c r="Y1868" s="6" t="str">
        <f aca="false">IF(AND(X1868="processed",ISNUMBER(S1868)),S1868*O1868,"")</f>
        <v/>
      </c>
      <c r="Z1868" s="6" t="n">
        <f aca="false">IF(ISNUMBER(K1868),K1868*O1868,0)</f>
        <v>0</v>
      </c>
      <c r="AA1868" s="2" t="s">
        <v>31</v>
      </c>
      <c r="AB1868" s="6" t="n">
        <v>754</v>
      </c>
      <c r="AC1868" s="6" t="n">
        <v>636</v>
      </c>
      <c r="AD1868" s="6" t="n">
        <v>728</v>
      </c>
      <c r="AE1868" s="6" t="n">
        <v>1601.55529785156</v>
      </c>
      <c r="AF1868" s="8" t="n">
        <v>200.374531835</v>
      </c>
      <c r="AG1868" s="11" t="n">
        <v>-0.04211199415</v>
      </c>
      <c r="AH1868" s="12" t="n">
        <v>0.999999999999999</v>
      </c>
      <c r="AI1868" s="2" t="s">
        <v>1597</v>
      </c>
      <c r="AJ1868" s="2"/>
      <c r="AK1868" s="2" t="s">
        <v>4152</v>
      </c>
    </row>
    <row r="1869" customFormat="false" ht="15" hidden="false" customHeight="false" outlineLevel="0" collapsed="false">
      <c r="A1869" s="9"/>
      <c r="B1869" s="2" t="s">
        <v>4153</v>
      </c>
      <c r="C1869" s="2" t="s">
        <v>4154</v>
      </c>
      <c r="D1869" s="2" t="s">
        <v>3769</v>
      </c>
      <c r="E1869" s="2" t="s">
        <v>51</v>
      </c>
      <c r="F1869" s="2"/>
      <c r="G1869" s="2"/>
      <c r="H1869" s="8"/>
      <c r="I1869" s="2"/>
      <c r="J1869" s="8"/>
      <c r="K1869" s="6"/>
      <c r="L1869" s="2"/>
      <c r="M1869" s="10" t="b">
        <f aca="false">TRUE()</f>
        <v>1</v>
      </c>
      <c r="N1869" s="9" t="str">
        <f aca="false">IF(H1869="","",IF(H1869&gt;=Assumptions!$B$5,1,IF(H1869&gt;=Assumptions!$B$6,2,IF(H1869&gt;=Assumptions!$B$7,3,""))))</f>
        <v/>
      </c>
      <c r="O1869" s="9" t="n">
        <f aca="false">IF(N1869=1,Assumptions!$B$8,IF(N1869=2,Assumptions!$B$9,IF(N1869=3,Assumptions!$B$10,0)))</f>
        <v>0</v>
      </c>
      <c r="P1869" s="6" t="s">
        <v>30</v>
      </c>
      <c r="Q1869" s="6" t="s">
        <v>30</v>
      </c>
      <c r="R1869" s="11" t="s">
        <v>30</v>
      </c>
      <c r="S1869" s="6" t="s">
        <v>30</v>
      </c>
      <c r="T1869" s="11" t="s">
        <v>30</v>
      </c>
      <c r="U1869" s="6" t="s">
        <v>30</v>
      </c>
      <c r="V1869" s="6" t="s">
        <v>30</v>
      </c>
      <c r="W1869" s="6" t="s">
        <v>30</v>
      </c>
      <c r="X1869" s="2" t="s">
        <v>30</v>
      </c>
      <c r="Y1869" s="6" t="str">
        <f aca="false">IF(AND(X1869="processed",ISNUMBER(S1869)),S1869*O1869,"")</f>
        <v/>
      </c>
      <c r="Z1869" s="6" t="n">
        <f aca="false">IF(ISNUMBER(K1869),K1869*O1869,0)</f>
        <v>0</v>
      </c>
      <c r="AA1869" s="2" t="s">
        <v>31</v>
      </c>
      <c r="AB1869" s="6" t="n">
        <v>371</v>
      </c>
      <c r="AC1869" s="6" t="n">
        <v>293</v>
      </c>
      <c r="AD1869" s="6" t="n">
        <v>361</v>
      </c>
      <c r="AE1869" s="6" t="n">
        <v>1779.59509277344</v>
      </c>
      <c r="AF1869" s="8"/>
      <c r="AG1869" s="11"/>
      <c r="AH1869" s="12" t="n">
        <v>0.999905895762224</v>
      </c>
      <c r="AI1869" s="2" t="s">
        <v>1597</v>
      </c>
      <c r="AJ1869" s="2"/>
      <c r="AK1869" s="2" t="s">
        <v>4154</v>
      </c>
    </row>
    <row r="1870" customFormat="false" ht="15" hidden="false" customHeight="false" outlineLevel="0" collapsed="false">
      <c r="A1870" s="9"/>
      <c r="B1870" s="2" t="s">
        <v>4155</v>
      </c>
      <c r="C1870" s="2" t="s">
        <v>4156</v>
      </c>
      <c r="D1870" s="2" t="s">
        <v>3921</v>
      </c>
      <c r="E1870" s="2" t="s">
        <v>51</v>
      </c>
      <c r="F1870" s="2"/>
      <c r="G1870" s="2" t="s">
        <v>3922</v>
      </c>
      <c r="H1870" s="8" t="n">
        <v>175.858142226021</v>
      </c>
      <c r="I1870" s="2" t="s">
        <v>316</v>
      </c>
      <c r="J1870" s="8" t="n">
        <v>231932.642487047</v>
      </c>
      <c r="K1870" s="6" t="n">
        <v>193</v>
      </c>
      <c r="L1870" s="2"/>
      <c r="M1870" s="10" t="b">
        <f aca="false">TRUE()</f>
        <v>1</v>
      </c>
      <c r="N1870" s="9" t="str">
        <f aca="false">IF(H1870="","",IF(H1870&gt;=Assumptions!$B$5,1,IF(H1870&gt;=Assumptions!$B$6,2,IF(H1870&gt;=Assumptions!$B$7,3,""))))</f>
        <v/>
      </c>
      <c r="O1870" s="9" t="n">
        <f aca="false">IF(N1870=1,Assumptions!$B$8,IF(N1870=2,Assumptions!$B$9,IF(N1870=3,Assumptions!$B$10,0)))</f>
        <v>0</v>
      </c>
      <c r="P1870" s="6" t="s">
        <v>30</v>
      </c>
      <c r="Q1870" s="6" t="s">
        <v>30</v>
      </c>
      <c r="R1870" s="11" t="s">
        <v>30</v>
      </c>
      <c r="S1870" s="6" t="s">
        <v>30</v>
      </c>
      <c r="T1870" s="11" t="s">
        <v>30</v>
      </c>
      <c r="U1870" s="6" t="s">
        <v>30</v>
      </c>
      <c r="V1870" s="6" t="s">
        <v>30</v>
      </c>
      <c r="W1870" s="6" t="s">
        <v>30</v>
      </c>
      <c r="X1870" s="2" t="s">
        <v>30</v>
      </c>
      <c r="Y1870" s="6" t="str">
        <f aca="false">IF(AND(X1870="processed",ISNUMBER(S1870)),S1870*O1870,"")</f>
        <v/>
      </c>
      <c r="Z1870" s="6" t="n">
        <f aca="false">IF(ISNUMBER(K1870),K1870*O1870,0)</f>
        <v>0</v>
      </c>
      <c r="AA1870" s="2" t="s">
        <v>31</v>
      </c>
      <c r="AB1870" s="6" t="n">
        <v>9539</v>
      </c>
      <c r="AC1870" s="6" t="n">
        <v>7896</v>
      </c>
      <c r="AD1870" s="6" t="n">
        <v>6750</v>
      </c>
      <c r="AE1870" s="6" t="n">
        <v>1811.05444335938</v>
      </c>
      <c r="AF1870" s="8" t="n">
        <v>178.107121982</v>
      </c>
      <c r="AG1870" s="11" t="n">
        <v>-0.03349000534</v>
      </c>
      <c r="AH1870" s="12" t="n">
        <v>0.999945064482192</v>
      </c>
      <c r="AI1870" s="2" t="s">
        <v>317</v>
      </c>
      <c r="AJ1870" s="2" t="s">
        <v>4156</v>
      </c>
      <c r="AK1870" s="2" t="s">
        <v>4156</v>
      </c>
    </row>
    <row r="1871" customFormat="false" ht="15" hidden="false" customHeight="false" outlineLevel="0" collapsed="false">
      <c r="A1871" s="9"/>
      <c r="B1871" s="2" t="s">
        <v>4157</v>
      </c>
      <c r="C1871" s="2" t="s">
        <v>4158</v>
      </c>
      <c r="D1871" s="2" t="s">
        <v>3921</v>
      </c>
      <c r="E1871" s="2" t="s">
        <v>51</v>
      </c>
      <c r="F1871" s="2"/>
      <c r="G1871" s="2" t="s">
        <v>3922</v>
      </c>
      <c r="H1871" s="8" t="n">
        <v>111.755952381</v>
      </c>
      <c r="I1871" s="2" t="s">
        <v>316</v>
      </c>
      <c r="J1871" s="8" t="n">
        <v>95500</v>
      </c>
      <c r="K1871" s="6" t="n">
        <v>2</v>
      </c>
      <c r="L1871" s="2" t="s">
        <v>1664</v>
      </c>
      <c r="M1871" s="10" t="b">
        <f aca="false">TRUE()</f>
        <v>1</v>
      </c>
      <c r="N1871" s="9" t="str">
        <f aca="false">IF(H1871="","",IF(H1871&gt;=Assumptions!$B$5,1,IF(H1871&gt;=Assumptions!$B$6,2,IF(H1871&gt;=Assumptions!$B$7,3,""))))</f>
        <v/>
      </c>
      <c r="O1871" s="9" t="n">
        <f aca="false">IF(N1871=1,Assumptions!$B$8,IF(N1871=2,Assumptions!$B$9,IF(N1871=3,Assumptions!$B$10,0)))</f>
        <v>0</v>
      </c>
      <c r="P1871" s="6" t="s">
        <v>30</v>
      </c>
      <c r="Q1871" s="6" t="s">
        <v>30</v>
      </c>
      <c r="R1871" s="11" t="s">
        <v>30</v>
      </c>
      <c r="S1871" s="6" t="s">
        <v>30</v>
      </c>
      <c r="T1871" s="11" t="s">
        <v>30</v>
      </c>
      <c r="U1871" s="6" t="s">
        <v>30</v>
      </c>
      <c r="V1871" s="6" t="s">
        <v>30</v>
      </c>
      <c r="W1871" s="6" t="s">
        <v>30</v>
      </c>
      <c r="X1871" s="2" t="s">
        <v>30</v>
      </c>
      <c r="Y1871" s="6" t="str">
        <f aca="false">IF(AND(X1871="processed",ISNUMBER(S1871)),S1871*O1871,"")</f>
        <v/>
      </c>
      <c r="Z1871" s="6" t="n">
        <f aca="false">IF(ISNUMBER(K1871),K1871*O1871,0)</f>
        <v>0</v>
      </c>
      <c r="AA1871" s="2" t="s">
        <v>31</v>
      </c>
      <c r="AB1871" s="6" t="n">
        <v>206</v>
      </c>
      <c r="AC1871" s="6" t="n">
        <v>144</v>
      </c>
      <c r="AD1871" s="6" t="n">
        <v>87</v>
      </c>
      <c r="AE1871" s="6" t="n">
        <v>1512.88720703125</v>
      </c>
      <c r="AF1871" s="8" t="n">
        <v>141.666666667</v>
      </c>
      <c r="AG1871" s="11"/>
      <c r="AH1871" s="12" t="n">
        <v>0.999980408041848</v>
      </c>
      <c r="AI1871" s="2" t="s">
        <v>317</v>
      </c>
      <c r="AJ1871" s="2" t="s">
        <v>4158</v>
      </c>
      <c r="AK1871" s="2" t="s">
        <v>4159</v>
      </c>
    </row>
    <row r="1872" customFormat="false" ht="15" hidden="false" customHeight="false" outlineLevel="0" collapsed="false">
      <c r="A1872" s="9"/>
      <c r="B1872" s="2" t="s">
        <v>4160</v>
      </c>
      <c r="C1872" s="2" t="s">
        <v>4161</v>
      </c>
      <c r="D1872" s="2" t="s">
        <v>2642</v>
      </c>
      <c r="E1872" s="2" t="s">
        <v>51</v>
      </c>
      <c r="F1872" s="2"/>
      <c r="G1872" s="2"/>
      <c r="H1872" s="8"/>
      <c r="I1872" s="2"/>
      <c r="J1872" s="8"/>
      <c r="K1872" s="6"/>
      <c r="L1872" s="2"/>
      <c r="M1872" s="10" t="b">
        <f aca="false">TRUE()</f>
        <v>1</v>
      </c>
      <c r="N1872" s="9" t="str">
        <f aca="false">IF(H1872="","",IF(H1872&gt;=Assumptions!$B$5,1,IF(H1872&gt;=Assumptions!$B$6,2,IF(H1872&gt;=Assumptions!$B$7,3,""))))</f>
        <v/>
      </c>
      <c r="O1872" s="9" t="n">
        <f aca="false">IF(N1872=1,Assumptions!$B$8,IF(N1872=2,Assumptions!$B$9,IF(N1872=3,Assumptions!$B$10,0)))</f>
        <v>0</v>
      </c>
      <c r="P1872" s="6" t="s">
        <v>30</v>
      </c>
      <c r="Q1872" s="6" t="s">
        <v>30</v>
      </c>
      <c r="R1872" s="11" t="s">
        <v>30</v>
      </c>
      <c r="S1872" s="6" t="s">
        <v>30</v>
      </c>
      <c r="T1872" s="11" t="s">
        <v>30</v>
      </c>
      <c r="U1872" s="6" t="s">
        <v>30</v>
      </c>
      <c r="V1872" s="6" t="s">
        <v>30</v>
      </c>
      <c r="W1872" s="6" t="s">
        <v>30</v>
      </c>
      <c r="X1872" s="2" t="s">
        <v>30</v>
      </c>
      <c r="Y1872" s="6" t="str">
        <f aca="false">IF(AND(X1872="processed",ISNUMBER(S1872)),S1872*O1872,"")</f>
        <v/>
      </c>
      <c r="Z1872" s="6" t="n">
        <f aca="false">IF(ISNUMBER(K1872),K1872*O1872,0)</f>
        <v>0</v>
      </c>
      <c r="AA1872" s="2" t="s">
        <v>31</v>
      </c>
      <c r="AB1872" s="6" t="n">
        <v>129</v>
      </c>
      <c r="AC1872" s="6" t="n">
        <v>108</v>
      </c>
      <c r="AD1872" s="6" t="n">
        <v>27</v>
      </c>
      <c r="AE1872" s="6" t="n">
        <v>1802.755859375</v>
      </c>
      <c r="AF1872" s="8"/>
      <c r="AG1872" s="11"/>
      <c r="AH1872" s="12" t="n">
        <v>0.998276771824157</v>
      </c>
      <c r="AI1872" s="2" t="s">
        <v>823</v>
      </c>
      <c r="AJ1872" s="2" t="s">
        <v>4162</v>
      </c>
      <c r="AK1872" s="2" t="s">
        <v>4163</v>
      </c>
    </row>
    <row r="1873" customFormat="false" ht="15" hidden="false" customHeight="false" outlineLevel="0" collapsed="false">
      <c r="A1873" s="9"/>
      <c r="B1873" s="2" t="s">
        <v>4164</v>
      </c>
      <c r="C1873" s="2" t="s">
        <v>4165</v>
      </c>
      <c r="D1873" s="2" t="s">
        <v>3945</v>
      </c>
      <c r="E1873" s="2" t="s">
        <v>51</v>
      </c>
      <c r="F1873" s="2"/>
      <c r="G1873" s="2"/>
      <c r="H1873" s="8"/>
      <c r="I1873" s="2"/>
      <c r="J1873" s="8"/>
      <c r="K1873" s="6"/>
      <c r="L1873" s="2"/>
      <c r="M1873" s="10" t="b">
        <f aca="false">TRUE()</f>
        <v>1</v>
      </c>
      <c r="N1873" s="9" t="str">
        <f aca="false">IF(H1873="","",IF(H1873&gt;=Assumptions!$B$5,1,IF(H1873&gt;=Assumptions!$B$6,2,IF(H1873&gt;=Assumptions!$B$7,3,""))))</f>
        <v/>
      </c>
      <c r="O1873" s="9" t="n">
        <f aca="false">IF(N1873=1,Assumptions!$B$8,IF(N1873=2,Assumptions!$B$9,IF(N1873=3,Assumptions!$B$10,0)))</f>
        <v>0</v>
      </c>
      <c r="P1873" s="6" t="s">
        <v>30</v>
      </c>
      <c r="Q1873" s="6" t="s">
        <v>30</v>
      </c>
      <c r="R1873" s="11" t="s">
        <v>30</v>
      </c>
      <c r="S1873" s="6" t="s">
        <v>30</v>
      </c>
      <c r="T1873" s="11" t="s">
        <v>30</v>
      </c>
      <c r="U1873" s="6" t="s">
        <v>30</v>
      </c>
      <c r="V1873" s="6" t="s">
        <v>30</v>
      </c>
      <c r="W1873" s="6" t="s">
        <v>30</v>
      </c>
      <c r="X1873" s="2" t="s">
        <v>30</v>
      </c>
      <c r="Y1873" s="6" t="str">
        <f aca="false">IF(AND(X1873="processed",ISNUMBER(S1873)),S1873*O1873,"")</f>
        <v/>
      </c>
      <c r="Z1873" s="6" t="n">
        <f aca="false">IF(ISNUMBER(K1873),K1873*O1873,0)</f>
        <v>0</v>
      </c>
      <c r="AA1873" s="2" t="s">
        <v>31</v>
      </c>
      <c r="AB1873" s="6" t="n">
        <v>2390</v>
      </c>
      <c r="AC1873" s="6" t="n">
        <v>1760</v>
      </c>
      <c r="AD1873" s="6" t="n">
        <v>1910</v>
      </c>
      <c r="AE1873" s="6" t="n">
        <v>1553.78369140625</v>
      </c>
      <c r="AF1873" s="8"/>
      <c r="AG1873" s="11"/>
      <c r="AH1873" s="12" t="n">
        <v>0.639582393698351</v>
      </c>
      <c r="AI1873" s="2" t="s">
        <v>317</v>
      </c>
      <c r="AJ1873" s="2" t="s">
        <v>4165</v>
      </c>
      <c r="AK1873" s="2" t="s">
        <v>4165</v>
      </c>
    </row>
    <row r="1874" customFormat="false" ht="15" hidden="false" customHeight="false" outlineLevel="0" collapsed="false">
      <c r="A1874" s="9"/>
      <c r="B1874" s="2" t="s">
        <v>4166</v>
      </c>
      <c r="C1874" s="2" t="s">
        <v>4167</v>
      </c>
      <c r="D1874" s="2" t="s">
        <v>3769</v>
      </c>
      <c r="E1874" s="2" t="s">
        <v>51</v>
      </c>
      <c r="F1874" s="2"/>
      <c r="G1874" s="2"/>
      <c r="H1874" s="8"/>
      <c r="I1874" s="2"/>
      <c r="J1874" s="8"/>
      <c r="K1874" s="6"/>
      <c r="L1874" s="2"/>
      <c r="M1874" s="10" t="b">
        <f aca="false">TRUE()</f>
        <v>1</v>
      </c>
      <c r="N1874" s="9" t="str">
        <f aca="false">IF(H1874="","",IF(H1874&gt;=Assumptions!$B$5,1,IF(H1874&gt;=Assumptions!$B$6,2,IF(H1874&gt;=Assumptions!$B$7,3,""))))</f>
        <v/>
      </c>
      <c r="O1874" s="9" t="n">
        <f aca="false">IF(N1874=1,Assumptions!$B$8,IF(N1874=2,Assumptions!$B$9,IF(N1874=3,Assumptions!$B$10,0)))</f>
        <v>0</v>
      </c>
      <c r="P1874" s="6" t="s">
        <v>30</v>
      </c>
      <c r="Q1874" s="6" t="s">
        <v>30</v>
      </c>
      <c r="R1874" s="11" t="s">
        <v>30</v>
      </c>
      <c r="S1874" s="6" t="s">
        <v>30</v>
      </c>
      <c r="T1874" s="11" t="s">
        <v>30</v>
      </c>
      <c r="U1874" s="6" t="s">
        <v>30</v>
      </c>
      <c r="V1874" s="6" t="s">
        <v>30</v>
      </c>
      <c r="W1874" s="6" t="s">
        <v>30</v>
      </c>
      <c r="X1874" s="2" t="s">
        <v>30</v>
      </c>
      <c r="Y1874" s="6" t="str">
        <f aca="false">IF(AND(X1874="processed",ISNUMBER(S1874)),S1874*O1874,"")</f>
        <v/>
      </c>
      <c r="Z1874" s="6" t="n">
        <f aca="false">IF(ISNUMBER(K1874),K1874*O1874,0)</f>
        <v>0</v>
      </c>
      <c r="AA1874" s="2" t="s">
        <v>31</v>
      </c>
      <c r="AB1874" s="6" t="n">
        <v>154</v>
      </c>
      <c r="AC1874" s="6" t="n">
        <v>122</v>
      </c>
      <c r="AD1874" s="6" t="n">
        <v>117</v>
      </c>
      <c r="AE1874" s="6" t="n">
        <v>1534.74792480469</v>
      </c>
      <c r="AF1874" s="8"/>
      <c r="AG1874" s="11"/>
      <c r="AH1874" s="12" t="n">
        <v>0.999918242327306</v>
      </c>
      <c r="AI1874" s="2" t="s">
        <v>1597</v>
      </c>
      <c r="AJ1874" s="2"/>
      <c r="AK1874" s="2" t="s">
        <v>4167</v>
      </c>
    </row>
    <row r="1875" customFormat="false" ht="15" hidden="false" customHeight="false" outlineLevel="0" collapsed="false">
      <c r="A1875" s="9"/>
      <c r="B1875" s="2" t="s">
        <v>4168</v>
      </c>
      <c r="C1875" s="2" t="s">
        <v>4169</v>
      </c>
      <c r="D1875" s="2" t="s">
        <v>3921</v>
      </c>
      <c r="E1875" s="2" t="s">
        <v>51</v>
      </c>
      <c r="F1875" s="2"/>
      <c r="G1875" s="2"/>
      <c r="H1875" s="8"/>
      <c r="I1875" s="2"/>
      <c r="J1875" s="8"/>
      <c r="K1875" s="6"/>
      <c r="L1875" s="2"/>
      <c r="M1875" s="10" t="b">
        <f aca="false">TRUE()</f>
        <v>1</v>
      </c>
      <c r="N1875" s="9" t="str">
        <f aca="false">IF(H1875="","",IF(H1875&gt;=Assumptions!$B$5,1,IF(H1875&gt;=Assumptions!$B$6,2,IF(H1875&gt;=Assumptions!$B$7,3,""))))</f>
        <v/>
      </c>
      <c r="O1875" s="9" t="n">
        <f aca="false">IF(N1875=1,Assumptions!$B$8,IF(N1875=2,Assumptions!$B$9,IF(N1875=3,Assumptions!$B$10,0)))</f>
        <v>0</v>
      </c>
      <c r="P1875" s="6" t="s">
        <v>30</v>
      </c>
      <c r="Q1875" s="6" t="s">
        <v>30</v>
      </c>
      <c r="R1875" s="11" t="s">
        <v>30</v>
      </c>
      <c r="S1875" s="6" t="s">
        <v>30</v>
      </c>
      <c r="T1875" s="11" t="s">
        <v>30</v>
      </c>
      <c r="U1875" s="6" t="s">
        <v>30</v>
      </c>
      <c r="V1875" s="6" t="s">
        <v>30</v>
      </c>
      <c r="W1875" s="6" t="s">
        <v>30</v>
      </c>
      <c r="X1875" s="2" t="s">
        <v>30</v>
      </c>
      <c r="Y1875" s="6" t="str">
        <f aca="false">IF(AND(X1875="processed",ISNUMBER(S1875)),S1875*O1875,"")</f>
        <v/>
      </c>
      <c r="Z1875" s="6" t="n">
        <f aca="false">IF(ISNUMBER(K1875),K1875*O1875,0)</f>
        <v>0</v>
      </c>
      <c r="AA1875" s="2" t="s">
        <v>31</v>
      </c>
      <c r="AB1875" s="6" t="n">
        <v>178</v>
      </c>
      <c r="AC1875" s="6" t="n">
        <v>132</v>
      </c>
      <c r="AD1875" s="6" t="n">
        <v>87</v>
      </c>
      <c r="AE1875" s="6" t="n">
        <v>1375.10424804688</v>
      </c>
      <c r="AF1875" s="8"/>
      <c r="AG1875" s="11"/>
      <c r="AH1875" s="12" t="n">
        <v>0.999758414215057</v>
      </c>
      <c r="AI1875" s="2" t="s">
        <v>317</v>
      </c>
      <c r="AJ1875" s="2" t="s">
        <v>4169</v>
      </c>
      <c r="AK1875" s="2" t="s">
        <v>4169</v>
      </c>
    </row>
    <row r="1876" customFormat="false" ht="15" hidden="false" customHeight="false" outlineLevel="0" collapsed="false">
      <c r="A1876" s="9"/>
      <c r="B1876" s="2" t="s">
        <v>4170</v>
      </c>
      <c r="C1876" s="2" t="s">
        <v>4171</v>
      </c>
      <c r="D1876" s="2" t="s">
        <v>3921</v>
      </c>
      <c r="E1876" s="2" t="s">
        <v>51</v>
      </c>
      <c r="F1876" s="2" t="s">
        <v>4172</v>
      </c>
      <c r="G1876" s="2"/>
      <c r="H1876" s="8"/>
      <c r="I1876" s="2"/>
      <c r="J1876" s="8"/>
      <c r="K1876" s="6"/>
      <c r="L1876" s="2"/>
      <c r="M1876" s="10" t="b">
        <f aca="false">TRUE()</f>
        <v>1</v>
      </c>
      <c r="N1876" s="9" t="str">
        <f aca="false">IF(H1876="","",IF(H1876&gt;=Assumptions!$B$5,1,IF(H1876&gt;=Assumptions!$B$6,2,IF(H1876&gt;=Assumptions!$B$7,3,""))))</f>
        <v/>
      </c>
      <c r="O1876" s="9" t="n">
        <f aca="false">IF(N1876=1,Assumptions!$B$8,IF(N1876=2,Assumptions!$B$9,IF(N1876=3,Assumptions!$B$10,0)))</f>
        <v>0</v>
      </c>
      <c r="P1876" s="6" t="s">
        <v>30</v>
      </c>
      <c r="Q1876" s="6" t="s">
        <v>30</v>
      </c>
      <c r="R1876" s="11" t="s">
        <v>30</v>
      </c>
      <c r="S1876" s="6" t="s">
        <v>30</v>
      </c>
      <c r="T1876" s="11" t="s">
        <v>30</v>
      </c>
      <c r="U1876" s="6" t="s">
        <v>30</v>
      </c>
      <c r="V1876" s="6" t="s">
        <v>30</v>
      </c>
      <c r="W1876" s="6" t="s">
        <v>30</v>
      </c>
      <c r="X1876" s="2" t="s">
        <v>30</v>
      </c>
      <c r="Y1876" s="6" t="str">
        <f aca="false">IF(AND(X1876="processed",ISNUMBER(S1876)),S1876*O1876,"")</f>
        <v/>
      </c>
      <c r="Z1876" s="6" t="n">
        <f aca="false">IF(ISNUMBER(K1876),K1876*O1876,0)</f>
        <v>0</v>
      </c>
      <c r="AA1876" s="2" t="s">
        <v>31</v>
      </c>
      <c r="AB1876" s="6" t="n">
        <v>4687</v>
      </c>
      <c r="AC1876" s="6" t="n">
        <v>4213</v>
      </c>
      <c r="AD1876" s="6" t="n">
        <v>4624</v>
      </c>
      <c r="AE1876" s="6" t="n">
        <v>1697.31420898438</v>
      </c>
      <c r="AF1876" s="8"/>
      <c r="AG1876" s="11"/>
      <c r="AH1876" s="12" t="n">
        <v>0.693317516520842</v>
      </c>
      <c r="AI1876" s="2" t="s">
        <v>317</v>
      </c>
      <c r="AJ1876" s="2" t="s">
        <v>4171</v>
      </c>
      <c r="AK1876" s="2" t="s">
        <v>4171</v>
      </c>
    </row>
    <row r="1877" customFormat="false" ht="15" hidden="false" customHeight="false" outlineLevel="0" collapsed="false">
      <c r="A1877" s="9"/>
      <c r="B1877" s="2" t="s">
        <v>4173</v>
      </c>
      <c r="C1877" s="2" t="s">
        <v>4174</v>
      </c>
      <c r="D1877" s="2" t="s">
        <v>1207</v>
      </c>
      <c r="E1877" s="2" t="s">
        <v>51</v>
      </c>
      <c r="F1877" s="2" t="s">
        <v>4175</v>
      </c>
      <c r="G1877" s="2" t="s">
        <v>323</v>
      </c>
      <c r="H1877" s="8" t="n">
        <v>467.620138136579</v>
      </c>
      <c r="I1877" s="2" t="s">
        <v>316</v>
      </c>
      <c r="J1877" s="8" t="n">
        <v>693857.731958763</v>
      </c>
      <c r="K1877" s="6" t="n">
        <v>485</v>
      </c>
      <c r="L1877" s="2"/>
      <c r="M1877" s="10" t="b">
        <f aca="false">TRUE()</f>
        <v>1</v>
      </c>
      <c r="N1877" s="9" t="str">
        <f aca="false">IF(H1877="","",IF(H1877&gt;=Assumptions!$B$5,1,IF(H1877&gt;=Assumptions!$B$6,2,IF(H1877&gt;=Assumptions!$B$7,3,""))))</f>
        <v/>
      </c>
      <c r="O1877" s="9" t="n">
        <f aca="false">IF(N1877=1,Assumptions!$B$8,IF(N1877=2,Assumptions!$B$9,IF(N1877=3,Assumptions!$B$10,0)))</f>
        <v>0</v>
      </c>
      <c r="P1877" s="6" t="s">
        <v>30</v>
      </c>
      <c r="Q1877" s="6" t="s">
        <v>30</v>
      </c>
      <c r="R1877" s="11" t="s">
        <v>30</v>
      </c>
      <c r="S1877" s="6" t="s">
        <v>30</v>
      </c>
      <c r="T1877" s="11" t="s">
        <v>30</v>
      </c>
      <c r="U1877" s="6" t="s">
        <v>30</v>
      </c>
      <c r="V1877" s="6" t="s">
        <v>30</v>
      </c>
      <c r="W1877" s="6" t="s">
        <v>30</v>
      </c>
      <c r="X1877" s="2" t="s">
        <v>30</v>
      </c>
      <c r="Y1877" s="6" t="str">
        <f aca="false">IF(AND(X1877="processed",ISNUMBER(S1877)),S1877*O1877,"")</f>
        <v/>
      </c>
      <c r="Z1877" s="6" t="n">
        <f aca="false">IF(ISNUMBER(K1877),K1877*O1877,0)</f>
        <v>0</v>
      </c>
      <c r="AA1877" s="2" t="s">
        <v>31</v>
      </c>
      <c r="AB1877" s="6" t="n">
        <v>16330</v>
      </c>
      <c r="AC1877" s="6" t="n">
        <v>14812</v>
      </c>
      <c r="AD1877" s="6" t="n">
        <v>6843</v>
      </c>
      <c r="AE1877" s="6" t="n">
        <v>1656.51013183594</v>
      </c>
      <c r="AF1877" s="8" t="n">
        <v>488.372093023</v>
      </c>
      <c r="AG1877" s="11" t="n">
        <v>0.03108935129</v>
      </c>
      <c r="AH1877" s="12" t="n">
        <v>0.999551275484282</v>
      </c>
      <c r="AI1877" s="2" t="s">
        <v>319</v>
      </c>
      <c r="AJ1877" s="2"/>
      <c r="AK1877" s="2" t="s">
        <v>4174</v>
      </c>
    </row>
    <row r="1878" customFormat="false" ht="15" hidden="false" customHeight="false" outlineLevel="0" collapsed="false">
      <c r="A1878" s="9"/>
      <c r="B1878" s="2" t="s">
        <v>4176</v>
      </c>
      <c r="C1878" s="2" t="s">
        <v>1827</v>
      </c>
      <c r="D1878" s="2" t="s">
        <v>1207</v>
      </c>
      <c r="E1878" s="2" t="s">
        <v>51</v>
      </c>
      <c r="F1878" s="2" t="s">
        <v>4177</v>
      </c>
      <c r="G1878" s="2" t="s">
        <v>323</v>
      </c>
      <c r="H1878" s="8" t="n">
        <v>284.42069741275</v>
      </c>
      <c r="I1878" s="2" t="s">
        <v>316</v>
      </c>
      <c r="J1878" s="8" t="n">
        <v>387000</v>
      </c>
      <c r="K1878" s="6" t="n">
        <v>4</v>
      </c>
      <c r="L1878" s="2" t="s">
        <v>1664</v>
      </c>
      <c r="M1878" s="10" t="b">
        <f aca="false">TRUE()</f>
        <v>1</v>
      </c>
      <c r="N1878" s="9" t="str">
        <f aca="false">IF(H1878="","",IF(H1878&gt;=Assumptions!$B$5,1,IF(H1878&gt;=Assumptions!$B$6,2,IF(H1878&gt;=Assumptions!$B$7,3,""))))</f>
        <v/>
      </c>
      <c r="O1878" s="9" t="n">
        <f aca="false">IF(N1878=1,Assumptions!$B$8,IF(N1878=2,Assumptions!$B$9,IF(N1878=3,Assumptions!$B$10,0)))</f>
        <v>0</v>
      </c>
      <c r="P1878" s="6" t="s">
        <v>30</v>
      </c>
      <c r="Q1878" s="6" t="s">
        <v>30</v>
      </c>
      <c r="R1878" s="11" t="s">
        <v>30</v>
      </c>
      <c r="S1878" s="6" t="s">
        <v>30</v>
      </c>
      <c r="T1878" s="11" t="s">
        <v>30</v>
      </c>
      <c r="U1878" s="6" t="s">
        <v>30</v>
      </c>
      <c r="V1878" s="6" t="s">
        <v>30</v>
      </c>
      <c r="W1878" s="6" t="s">
        <v>30</v>
      </c>
      <c r="X1878" s="2" t="s">
        <v>30</v>
      </c>
      <c r="Y1878" s="6" t="str">
        <f aca="false">IF(AND(X1878="processed",ISNUMBER(S1878)),S1878*O1878,"")</f>
        <v/>
      </c>
      <c r="Z1878" s="6" t="n">
        <f aca="false">IF(ISNUMBER(K1878),K1878*O1878,0)</f>
        <v>0</v>
      </c>
      <c r="AA1878" s="2" t="s">
        <v>31</v>
      </c>
      <c r="AB1878" s="6" t="n">
        <v>83</v>
      </c>
      <c r="AC1878" s="6" t="n">
        <v>65</v>
      </c>
      <c r="AD1878" s="6" t="n">
        <v>14</v>
      </c>
      <c r="AE1878" s="6" t="n">
        <v>1193.90795898438</v>
      </c>
      <c r="AF1878" s="8" t="n">
        <v>345.894263217</v>
      </c>
      <c r="AG1878" s="11" t="n">
        <v>0.2561423243</v>
      </c>
      <c r="AH1878" s="12" t="n">
        <v>0.999246624907616</v>
      </c>
      <c r="AI1878" s="2" t="s">
        <v>1597</v>
      </c>
      <c r="AJ1878" s="2"/>
      <c r="AK1878" s="2" t="s">
        <v>1827</v>
      </c>
    </row>
  </sheetData>
  <autoFilter ref="A1:AK18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60"/>
  </cols>
  <sheetData>
    <row r="1" customFormat="false" ht="16.15" hidden="false" customHeight="false" outlineLevel="0" collapsed="false">
      <c r="A1" s="13" t="s">
        <v>4178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42" hidden="false" customHeight="true" outlineLevel="0" collapsed="false">
      <c r="A3" s="7" t="s">
        <v>4179</v>
      </c>
      <c r="B3" s="7" t="s">
        <v>4180</v>
      </c>
      <c r="C3" s="7" t="s">
        <v>4181</v>
      </c>
      <c r="D3" s="7" t="s">
        <v>4182</v>
      </c>
      <c r="E3" s="7" t="s">
        <v>4183</v>
      </c>
      <c r="F3" s="7" t="s">
        <v>4184</v>
      </c>
      <c r="G3" s="7" t="s">
        <v>4185</v>
      </c>
      <c r="H3" s="7" t="s">
        <v>4186</v>
      </c>
      <c r="I3" s="7" t="s">
        <v>4187</v>
      </c>
      <c r="J3" s="7" t="s">
        <v>4188</v>
      </c>
    </row>
    <row r="4" customFormat="false" ht="15" hidden="false" customHeight="false" outlineLevel="0" collapsed="false">
      <c r="A4" s="5" t="s">
        <v>4189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 t="s">
        <v>28</v>
      </c>
      <c r="B5" s="2" t="s">
        <v>27</v>
      </c>
      <c r="C5" s="2" t="n">
        <f aca="false">COUNTIF('All ZIPs'!$E$2:$E$1878,"Orange County")</f>
        <v>88</v>
      </c>
      <c r="D5" s="2" t="n">
        <f aca="false">COUNTIFS('All ZIPs'!$E$2:$E$1878,"Orange County",'All ZIPs'!$N$2:$N$1878,1)</f>
        <v>43</v>
      </c>
      <c r="E5" s="2" t="n">
        <f aca="false">COUNTIFS('All ZIPs'!$E$2:$E$1878,"Orange County",'All ZIPs'!$N$2:$N$1878,2)</f>
        <v>40</v>
      </c>
      <c r="F5" s="2" t="n">
        <f aca="false">COUNTIFS('All ZIPs'!$E$2:$E$1878,"Orange County",'All ZIPs'!$N$2:$N$1878,3)</f>
        <v>4</v>
      </c>
      <c r="G5" s="2" t="n">
        <f aca="false">SUM(D5:F5)</f>
        <v>87</v>
      </c>
      <c r="H5" s="6" t="n">
        <f aca="false">SUMIFS('All ZIPs'!$K$2:$K$1878,'All ZIPs'!$E$2:$E$1878,"Orange County",'All ZIPs'!$N$2:$N$1878,"&gt;0")</f>
        <v>13272</v>
      </c>
      <c r="I5" s="8" t="n">
        <v>699.617846108195</v>
      </c>
      <c r="J5" s="2" t="s">
        <v>4190</v>
      </c>
    </row>
    <row r="6" customFormat="false" ht="15" hidden="false" customHeight="false" outlineLevel="0" collapsed="false">
      <c r="A6" s="2" t="s">
        <v>71</v>
      </c>
      <c r="B6" s="2" t="s">
        <v>70</v>
      </c>
      <c r="C6" s="2" t="n">
        <f aca="false">COUNTIF('All ZIPs'!$E$2:$E$1878,"Los Angeles County")</f>
        <v>292</v>
      </c>
      <c r="D6" s="2" t="n">
        <f aca="false">COUNTIFS('All ZIPs'!$E$2:$E$1878,"Los Angeles County",'All ZIPs'!$N$2:$N$1878,1)</f>
        <v>104</v>
      </c>
      <c r="E6" s="2" t="n">
        <f aca="false">COUNTIFS('All ZIPs'!$E$2:$E$1878,"Los Angeles County",'All ZIPs'!$N$2:$N$1878,2)</f>
        <v>60</v>
      </c>
      <c r="F6" s="2" t="n">
        <f aca="false">COUNTIFS('All ZIPs'!$E$2:$E$1878,"Los Angeles County",'All ZIPs'!$N$2:$N$1878,3)</f>
        <v>85</v>
      </c>
      <c r="G6" s="2" t="n">
        <f aca="false">SUM(D6:F6)</f>
        <v>249</v>
      </c>
      <c r="H6" s="6" t="n">
        <f aca="false">SUMIFS('All ZIPs'!$K$2:$K$1878,'All ZIPs'!$E$2:$E$1878,"Los Angeles County",'All ZIPs'!$N$2:$N$1878,"&gt;0")</f>
        <v>29492</v>
      </c>
      <c r="I6" s="8" t="n">
        <v>630.832094771374</v>
      </c>
      <c r="J6" s="2" t="s">
        <v>4191</v>
      </c>
    </row>
    <row r="7" customFormat="false" ht="15" hidden="false" customHeight="false" outlineLevel="0" collapsed="false">
      <c r="A7" s="2" t="s">
        <v>56</v>
      </c>
      <c r="B7" s="2" t="s">
        <v>56</v>
      </c>
      <c r="C7" s="2" t="n">
        <f aca="false">COUNTIF('All ZIPs'!$E$2:$E$1878,"San Francisco")</f>
        <v>27</v>
      </c>
      <c r="D7" s="2" t="n">
        <f aca="false">COUNTIFS('All ZIPs'!$E$2:$E$1878,"San Francisco",'All ZIPs'!$N$2:$N$1878,1)</f>
        <v>25</v>
      </c>
      <c r="E7" s="2" t="n">
        <f aca="false">COUNTIFS('All ZIPs'!$E$2:$E$1878,"San Francisco",'All ZIPs'!$N$2:$N$1878,2)</f>
        <v>1</v>
      </c>
      <c r="F7" s="2" t="n">
        <f aca="false">COUNTIFS('All ZIPs'!$E$2:$E$1878,"San Francisco",'All ZIPs'!$N$2:$N$1878,3)</f>
        <v>0</v>
      </c>
      <c r="G7" s="2" t="n">
        <f aca="false">SUM(D7:F7)</f>
        <v>26</v>
      </c>
      <c r="H7" s="6" t="n">
        <f aca="false">SUMIFS('All ZIPs'!$K$2:$K$1878,'All ZIPs'!$E$2:$E$1878,"San Francisco",'All ZIPs'!$N$2:$N$1878,"&gt;0")</f>
        <v>2990</v>
      </c>
      <c r="I7" s="8" t="n">
        <v>1095.51270436105</v>
      </c>
      <c r="J7" s="2" t="s">
        <v>4192</v>
      </c>
    </row>
    <row r="8" customFormat="false" ht="15" hidden="false" customHeight="false" outlineLevel="0" collapsed="false">
      <c r="A8" s="2" t="s">
        <v>35</v>
      </c>
      <c r="B8" s="2" t="s">
        <v>34</v>
      </c>
      <c r="C8" s="2" t="n">
        <f aca="false">COUNTIF('All ZIPs'!$E$2:$E$1878,"Berkeley / Oakland / Alameda County")</f>
        <v>49</v>
      </c>
      <c r="D8" s="2" t="n">
        <f aca="false">COUNTIFS('All ZIPs'!$E$2:$E$1878,"Berkeley / Oakland / Alameda County",'All ZIPs'!$N$2:$N$1878,1)</f>
        <v>24</v>
      </c>
      <c r="E8" s="2" t="n">
        <f aca="false">COUNTIFS('All ZIPs'!$E$2:$E$1878,"Berkeley / Oakland / Alameda County",'All ZIPs'!$N$2:$N$1878,2)</f>
        <v>14</v>
      </c>
      <c r="F8" s="2" t="n">
        <f aca="false">COUNTIFS('All ZIPs'!$E$2:$E$1878,"Berkeley / Oakland / Alameda County",'All ZIPs'!$N$2:$N$1878,3)</f>
        <v>2</v>
      </c>
      <c r="G8" s="2" t="n">
        <f aca="false">SUM(D8:F8)</f>
        <v>40</v>
      </c>
      <c r="H8" s="6" t="n">
        <f aca="false">SUMIFS('All ZIPs'!$K$2:$K$1878,'All ZIPs'!$E$2:$E$1878,"Berkeley / Oakland / Alameda County",'All ZIPs'!$N$2:$N$1878,"&gt;0")</f>
        <v>6865</v>
      </c>
      <c r="I8" s="8" t="n">
        <v>704.67240705357</v>
      </c>
      <c r="J8" s="2" t="s">
        <v>4193</v>
      </c>
    </row>
    <row r="9" customFormat="false" ht="15" hidden="false" customHeight="false" outlineLevel="0" collapsed="false">
      <c r="A9" s="2" t="s">
        <v>40</v>
      </c>
      <c r="B9" s="2" t="s">
        <v>4194</v>
      </c>
      <c r="C9" s="2" t="n">
        <f aca="false">COUNTIF('All ZIPs'!$E$2:$E$1878,"Peninsula &amp; South Bay (Santa Clara / San Mateo)")</f>
        <v>87</v>
      </c>
      <c r="D9" s="2" t="n">
        <f aca="false">COUNTIFS('All ZIPs'!$E$2:$E$1878,"Peninsula &amp; South Bay (Santa Clara / San Mateo)",'All ZIPs'!$N$2:$N$1878,1)</f>
        <v>77</v>
      </c>
      <c r="E9" s="2" t="n">
        <f aca="false">COUNTIFS('All ZIPs'!$E$2:$E$1878,"Peninsula &amp; South Bay (Santa Clara / San Mateo)",'All ZIPs'!$N$2:$N$1878,2)</f>
        <v>2</v>
      </c>
      <c r="F9" s="2" t="n">
        <f aca="false">COUNTIFS('All ZIPs'!$E$2:$E$1878,"Peninsula &amp; South Bay (Santa Clara / San Mateo)",'All ZIPs'!$N$2:$N$1878,3)</f>
        <v>2</v>
      </c>
      <c r="G9" s="2" t="n">
        <f aca="false">SUM(D9:F9)</f>
        <v>81</v>
      </c>
      <c r="H9" s="6" t="n">
        <f aca="false">SUMIFS('All ZIPs'!$K$2:$K$1878,'All ZIPs'!$E$2:$E$1878,"Peninsula &amp; South Bay (Santa Clara / San Mateo)",'All ZIPs'!$N$2:$N$1878,"&gt;0")</f>
        <v>11827</v>
      </c>
      <c r="I9" s="8" t="n">
        <v>1102.95707150478</v>
      </c>
      <c r="J9" s="2" t="s">
        <v>4195</v>
      </c>
    </row>
    <row r="10" customFormat="false" ht="15" hidden="false" customHeight="false" outlineLevel="0" collapsed="false">
      <c r="A10" s="2" t="s">
        <v>95</v>
      </c>
      <c r="B10" s="2" t="s">
        <v>95</v>
      </c>
      <c r="C10" s="2" t="n">
        <f aca="false">COUNTIF('All ZIPs'!$E$2:$E$1878,"Marin")</f>
        <v>29</v>
      </c>
      <c r="D10" s="2" t="n">
        <f aca="false">COUNTIFS('All ZIPs'!$E$2:$E$1878,"Marin",'All ZIPs'!$N$2:$N$1878,1)</f>
        <v>20</v>
      </c>
      <c r="E10" s="2" t="n">
        <f aca="false">COUNTIFS('All ZIPs'!$E$2:$E$1878,"Marin",'All ZIPs'!$N$2:$N$1878,2)</f>
        <v>4</v>
      </c>
      <c r="F10" s="2" t="n">
        <f aca="false">COUNTIFS('All ZIPs'!$E$2:$E$1878,"Marin",'All ZIPs'!$N$2:$N$1878,3)</f>
        <v>2</v>
      </c>
      <c r="G10" s="2" t="n">
        <f aca="false">SUM(D10:F10)</f>
        <v>26</v>
      </c>
      <c r="H10" s="6" t="n">
        <f aca="false">SUMIFS('All ZIPs'!$K$2:$K$1878,'All ZIPs'!$E$2:$E$1878,"Marin",'All ZIPs'!$N$2:$N$1878,"&gt;0")</f>
        <v>1881</v>
      </c>
      <c r="I10" s="8" t="n">
        <v>880.842779006349</v>
      </c>
      <c r="J10" s="2" t="s">
        <v>4196</v>
      </c>
    </row>
    <row r="11" customFormat="false" ht="15" hidden="false" customHeight="false" outlineLevel="0" collapsed="false">
      <c r="A11" s="2" t="s">
        <v>44</v>
      </c>
      <c r="B11" s="2" t="s">
        <v>44</v>
      </c>
      <c r="C11" s="2" t="n">
        <f aca="false">COUNTIF('All ZIPs'!$E$2:$E$1878,"San Diego")</f>
        <v>106</v>
      </c>
      <c r="D11" s="2" t="n">
        <f aca="false">COUNTIFS('All ZIPs'!$E$2:$E$1878,"San Diego",'All ZIPs'!$N$2:$N$1878,1)</f>
        <v>31</v>
      </c>
      <c r="E11" s="2" t="n">
        <f aca="false">COUNTIFS('All ZIPs'!$E$2:$E$1878,"San Diego",'All ZIPs'!$N$2:$N$1878,2)</f>
        <v>12</v>
      </c>
      <c r="F11" s="2" t="n">
        <f aca="false">COUNTIFS('All ZIPs'!$E$2:$E$1878,"San Diego",'All ZIPs'!$N$2:$N$1878,3)</f>
        <v>26</v>
      </c>
      <c r="G11" s="2" t="n">
        <f aca="false">SUM(D11:F11)</f>
        <v>69</v>
      </c>
      <c r="H11" s="6" t="n">
        <f aca="false">SUMIFS('All ZIPs'!$K$2:$K$1878,'All ZIPs'!$E$2:$E$1878,"San Diego",'All ZIPs'!$N$2:$N$1878,"&gt;0")</f>
        <v>11468</v>
      </c>
      <c r="I11" s="8" t="n">
        <v>558.322419431347</v>
      </c>
      <c r="J11" s="2" t="s">
        <v>4197</v>
      </c>
    </row>
    <row r="12" customFormat="false" ht="15" hidden="false" customHeight="false" outlineLevel="0" collapsed="false">
      <c r="A12" s="2" t="s">
        <v>273</v>
      </c>
      <c r="B12" s="2" t="s">
        <v>273</v>
      </c>
      <c r="C12" s="2" t="n">
        <f aca="false">COUNTIF('All ZIPs'!$E$2:$E$1878,"Ventura")</f>
        <v>29</v>
      </c>
      <c r="D12" s="2" t="n">
        <f aca="false">COUNTIFS('All ZIPs'!$E$2:$E$1878,"Ventura",'All ZIPs'!$N$2:$N$1878,1)</f>
        <v>4</v>
      </c>
      <c r="E12" s="2" t="n">
        <f aca="false">COUNTIFS('All ZIPs'!$E$2:$E$1878,"Ventura",'All ZIPs'!$N$2:$N$1878,2)</f>
        <v>2</v>
      </c>
      <c r="F12" s="2" t="n">
        <f aca="false">COUNTIFS('All ZIPs'!$E$2:$E$1878,"Ventura",'All ZIPs'!$N$2:$N$1878,3)</f>
        <v>9</v>
      </c>
      <c r="G12" s="2" t="n">
        <f aca="false">SUM(D12:F12)</f>
        <v>15</v>
      </c>
      <c r="H12" s="6" t="n">
        <f aca="false">SUMIFS('All ZIPs'!$K$2:$K$1878,'All ZIPs'!$E$2:$E$1878,"Ventura",'All ZIPs'!$N$2:$N$1878,"&gt;0")</f>
        <v>2910</v>
      </c>
      <c r="I12" s="8" t="n">
        <v>510.597362266592</v>
      </c>
      <c r="J12" s="2" t="s">
        <v>4198</v>
      </c>
    </row>
    <row r="13" customFormat="false" ht="15" hidden="false" customHeight="false" outlineLevel="0" collapsed="false">
      <c r="A13" s="2" t="s">
        <v>976</v>
      </c>
      <c r="B13" s="2" t="s">
        <v>976</v>
      </c>
      <c r="C13" s="2" t="n">
        <f aca="false">COUNTIF('All ZIPs'!$E$2:$E$1878,"Sacramento")</f>
        <v>54</v>
      </c>
      <c r="D13" s="2" t="n">
        <f aca="false">COUNTIFS('All ZIPs'!$E$2:$E$1878,"Sacramento",'All ZIPs'!$N$2:$N$1878,1)</f>
        <v>0</v>
      </c>
      <c r="E13" s="2" t="n">
        <f aca="false">COUNTIFS('All ZIPs'!$E$2:$E$1878,"Sacramento",'All ZIPs'!$N$2:$N$1878,2)</f>
        <v>0</v>
      </c>
      <c r="F13" s="2" t="n">
        <f aca="false">COUNTIFS('All ZIPs'!$E$2:$E$1878,"Sacramento",'All ZIPs'!$N$2:$N$1878,3)</f>
        <v>3</v>
      </c>
      <c r="G13" s="2" t="n">
        <f aca="false">SUM(D13:F13)</f>
        <v>3</v>
      </c>
      <c r="H13" s="6" t="n">
        <f aca="false">SUMIFS('All ZIPs'!$K$2:$K$1878,'All ZIPs'!$E$2:$E$1878,"Sacramento",'All ZIPs'!$N$2:$N$1878,"&gt;0")</f>
        <v>494</v>
      </c>
      <c r="I13" s="8" t="n">
        <v>336.106950268208</v>
      </c>
      <c r="J13" s="2" t="s">
        <v>4199</v>
      </c>
    </row>
    <row r="14" customFormat="false" ht="15" hidden="false" customHeight="false" outlineLevel="0" collapsed="false">
      <c r="A14" s="2" t="s">
        <v>456</v>
      </c>
      <c r="B14" s="2" t="s">
        <v>4200</v>
      </c>
      <c r="C14" s="2" t="n">
        <f aca="false">COUNTIF('All ZIPs'!$E$2:$E$1878,"Inland Empire (Riverside / San Bernardino)")</f>
        <v>159</v>
      </c>
      <c r="D14" s="2" t="n">
        <f aca="false">COUNTIFS('All ZIPs'!$E$2:$E$1878,"Inland Empire (Riverside / San Bernardino)",'All ZIPs'!$N$2:$N$1878,1)</f>
        <v>0</v>
      </c>
      <c r="E14" s="2" t="n">
        <f aca="false">COUNTIFS('All ZIPs'!$E$2:$E$1878,"Inland Empire (Riverside / San Bernardino)",'All ZIPs'!$N$2:$N$1878,2)</f>
        <v>2</v>
      </c>
      <c r="F14" s="2" t="n">
        <f aca="false">COUNTIFS('All ZIPs'!$E$2:$E$1878,"Inland Empire (Riverside / San Bernardino)",'All ZIPs'!$N$2:$N$1878,3)</f>
        <v>2</v>
      </c>
      <c r="G14" s="2" t="n">
        <f aca="false">SUM(D14:F14)</f>
        <v>4</v>
      </c>
      <c r="H14" s="6" t="n">
        <f aca="false">SUMIFS('All ZIPs'!$K$2:$K$1878,'All ZIPs'!$E$2:$E$1878,"Inland Empire (Riverside / San Bernardino)",'All ZIPs'!$N$2:$N$1878,"&gt;0")</f>
        <v>879</v>
      </c>
      <c r="I14" s="8" t="n">
        <v>312.913302912194</v>
      </c>
      <c r="J14" s="2" t="s">
        <v>4201</v>
      </c>
    </row>
    <row r="15" customFormat="false" ht="15" hidden="false" customHeight="false" outlineLevel="0" collapsed="false">
      <c r="A15" s="2" t="s">
        <v>51</v>
      </c>
      <c r="B15" s="2" t="s">
        <v>4202</v>
      </c>
      <c r="C15" s="2" t="n">
        <f aca="false">COUNTIF('All ZIPs'!$E$2:$E$1878,"Rest of California")</f>
        <v>843</v>
      </c>
      <c r="D15" s="2" t="n">
        <f aca="false">COUNTIFS('All ZIPs'!$E$2:$E$1878,"Rest of California",'All ZIPs'!$N$2:$N$1878,1)</f>
        <v>61</v>
      </c>
      <c r="E15" s="2" t="n">
        <f aca="false">COUNTIFS('All ZIPs'!$E$2:$E$1878,"Rest of California",'All ZIPs'!$N$2:$N$1878,2)</f>
        <v>32</v>
      </c>
      <c r="F15" s="2" t="n">
        <f aca="false">COUNTIFS('All ZIPs'!$E$2:$E$1878,"Rest of California",'All ZIPs'!$N$2:$N$1878,3)</f>
        <v>43</v>
      </c>
      <c r="G15" s="2" t="n">
        <f aca="false">SUM(D15:F15)</f>
        <v>136</v>
      </c>
      <c r="H15" s="6" t="n">
        <f aca="false">SUMIFS('All ZIPs'!$K$2:$K$1878,'All ZIPs'!$E$2:$E$1878,"Rest of California",'All ZIPs'!$N$2:$N$1878,"&gt;0")</f>
        <v>13396</v>
      </c>
      <c r="I15" s="8" t="n">
        <v>297.066731530018</v>
      </c>
      <c r="J15" s="2" t="s">
        <v>4203</v>
      </c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5" t="s">
        <v>4204</v>
      </c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 t="s">
        <v>1190</v>
      </c>
      <c r="B18" s="2" t="s">
        <v>1190</v>
      </c>
      <c r="C18" s="2" t="n">
        <f aca="false">COUNTIF('All ZIPs'!$D$2:$D$1878,"(no ZCTA: PO-box / unique ZIP)")</f>
        <v>114</v>
      </c>
      <c r="D18" s="2" t="n">
        <f aca="false">COUNTIFS('All ZIPs'!$D$2:$D$1878,"(no ZCTA: PO-box / unique ZIP)",'All ZIPs'!$N$2:$N$1878,1)</f>
        <v>38</v>
      </c>
      <c r="E18" s="2" t="n">
        <f aca="false">COUNTIFS('All ZIPs'!$D$2:$D$1878,"(no ZCTA: PO-box / unique ZIP)",'All ZIPs'!$N$2:$N$1878,2)</f>
        <v>17</v>
      </c>
      <c r="F18" s="2" t="n">
        <f aca="false">COUNTIFS('All ZIPs'!$D$2:$D$1878,"(no ZCTA: PO-box / unique ZIP)",'All ZIPs'!$N$2:$N$1878,3)</f>
        <v>17</v>
      </c>
      <c r="G18" s="2" t="n">
        <f aca="false">SUM(D18:F18)</f>
        <v>72</v>
      </c>
      <c r="H18" s="6" t="n">
        <f aca="false">SUMIFS('All ZIPs'!$K$2:$K$1878,'All ZIPs'!$D$2:$D$1878,"(no ZCTA: PO-box / unique ZIP)",'All ZIPs'!$N$2:$N$1878,"&gt;0")</f>
        <v>354</v>
      </c>
      <c r="I18" s="8" t="n">
        <v>585.161276762042</v>
      </c>
      <c r="J18" s="2" t="s">
        <v>4205</v>
      </c>
    </row>
    <row r="19" customFormat="false" ht="15" hidden="false" customHeight="false" outlineLevel="0" collapsed="false">
      <c r="A19" s="2" t="s">
        <v>34</v>
      </c>
      <c r="B19" s="2" t="s">
        <v>34</v>
      </c>
      <c r="C19" s="2" t="n">
        <f aca="false">COUNTIF('All ZIPs'!$D$2:$D$1878,"Alameda")</f>
        <v>49</v>
      </c>
      <c r="D19" s="2" t="n">
        <f aca="false">COUNTIFS('All ZIPs'!$D$2:$D$1878,"Alameda",'All ZIPs'!$N$2:$N$1878,1)</f>
        <v>24</v>
      </c>
      <c r="E19" s="2" t="n">
        <f aca="false">COUNTIFS('All ZIPs'!$D$2:$D$1878,"Alameda",'All ZIPs'!$N$2:$N$1878,2)</f>
        <v>14</v>
      </c>
      <c r="F19" s="2" t="n">
        <f aca="false">COUNTIFS('All ZIPs'!$D$2:$D$1878,"Alameda",'All ZIPs'!$N$2:$N$1878,3)</f>
        <v>2</v>
      </c>
      <c r="G19" s="2" t="n">
        <f aca="false">SUM(D19:F19)</f>
        <v>40</v>
      </c>
      <c r="H19" s="6" t="n">
        <f aca="false">SUMIFS('All ZIPs'!$K$2:$K$1878,'All ZIPs'!$D$2:$D$1878,"Alameda",'All ZIPs'!$N$2:$N$1878,"&gt;0")</f>
        <v>6865</v>
      </c>
      <c r="I19" s="8" t="n">
        <v>704.67240705357</v>
      </c>
      <c r="J19" s="2" t="s">
        <v>4193</v>
      </c>
    </row>
    <row r="20" customFormat="false" ht="15" hidden="false" customHeight="false" outlineLevel="0" collapsed="false">
      <c r="A20" s="2" t="s">
        <v>1828</v>
      </c>
      <c r="B20" s="2" t="s">
        <v>1828</v>
      </c>
      <c r="C20" s="2" t="n">
        <f aca="false">COUNTIF('All ZIPs'!$D$2:$D$1878,"Alpine")</f>
        <v>3</v>
      </c>
      <c r="D20" s="2" t="n">
        <f aca="false">COUNTIFS('All ZIPs'!$D$2:$D$1878,"Alpine",'All ZIPs'!$N$2:$N$1878,1)</f>
        <v>0</v>
      </c>
      <c r="E20" s="2" t="n">
        <f aca="false">COUNTIFS('All ZIPs'!$D$2:$D$1878,"Alpine",'All ZIPs'!$N$2:$N$1878,2)</f>
        <v>0</v>
      </c>
      <c r="F20" s="2" t="n">
        <f aca="false">COUNTIFS('All ZIPs'!$D$2:$D$1878,"Alpine",'All ZIPs'!$N$2:$N$1878,3)</f>
        <v>1</v>
      </c>
      <c r="G20" s="2" t="n">
        <f aca="false">SUM(D20:F20)</f>
        <v>1</v>
      </c>
      <c r="H20" s="6" t="n">
        <f aca="false">SUMIFS('All ZIPs'!$K$2:$K$1878,'All ZIPs'!$D$2:$D$1878,"Alpine",'All ZIPs'!$N$2:$N$1878,"&gt;0")</f>
        <v>2</v>
      </c>
      <c r="I20" s="8" t="n">
        <v>508.11529313</v>
      </c>
      <c r="J20" s="2" t="s">
        <v>4206</v>
      </c>
    </row>
    <row r="21" customFormat="false" ht="15" hidden="false" customHeight="false" outlineLevel="0" collapsed="false">
      <c r="A21" s="2" t="s">
        <v>3476</v>
      </c>
      <c r="B21" s="2" t="s">
        <v>3476</v>
      </c>
      <c r="C21" s="2" t="n">
        <f aca="false">COUNTIF('All ZIPs'!$D$2:$D$1878,"Amador")</f>
        <v>11</v>
      </c>
      <c r="D21" s="2" t="n">
        <f aca="false">COUNTIFS('All ZIPs'!$D$2:$D$1878,"Amador",'All ZIPs'!$N$2:$N$1878,1)</f>
        <v>0</v>
      </c>
      <c r="E21" s="2" t="n">
        <f aca="false">COUNTIFS('All ZIPs'!$D$2:$D$1878,"Amador",'All ZIPs'!$N$2:$N$1878,2)</f>
        <v>0</v>
      </c>
      <c r="F21" s="2" t="n">
        <f aca="false">COUNTIFS('All ZIPs'!$D$2:$D$1878,"Amador",'All ZIPs'!$N$2:$N$1878,3)</f>
        <v>0</v>
      </c>
      <c r="G21" s="2" t="n">
        <f aca="false">SUM(D21:F21)</f>
        <v>0</v>
      </c>
      <c r="H21" s="6" t="n">
        <f aca="false">SUMIFS('All ZIPs'!$K$2:$K$1878,'All ZIPs'!$D$2:$D$1878,"Amador",'All ZIPs'!$N$2:$N$1878,"&gt;0")</f>
        <v>0</v>
      </c>
      <c r="I21" s="8"/>
      <c r="J21" s="2" t="s">
        <v>4207</v>
      </c>
    </row>
    <row r="22" customFormat="false" ht="15" hidden="false" customHeight="false" outlineLevel="0" collapsed="false">
      <c r="A22" s="2" t="s">
        <v>3763</v>
      </c>
      <c r="B22" s="2" t="s">
        <v>3763</v>
      </c>
      <c r="C22" s="2" t="n">
        <f aca="false">COUNTIF('All ZIPs'!$D$2:$D$1878,"Butte")</f>
        <v>18</v>
      </c>
      <c r="D22" s="2" t="n">
        <f aca="false">COUNTIFS('All ZIPs'!$D$2:$D$1878,"Butte",'All ZIPs'!$N$2:$N$1878,1)</f>
        <v>0</v>
      </c>
      <c r="E22" s="2" t="n">
        <f aca="false">COUNTIFS('All ZIPs'!$D$2:$D$1878,"Butte",'All ZIPs'!$N$2:$N$1878,2)</f>
        <v>0</v>
      </c>
      <c r="F22" s="2" t="n">
        <f aca="false">COUNTIFS('All ZIPs'!$D$2:$D$1878,"Butte",'All ZIPs'!$N$2:$N$1878,3)</f>
        <v>0</v>
      </c>
      <c r="G22" s="2" t="n">
        <f aca="false">SUM(D22:F22)</f>
        <v>0</v>
      </c>
      <c r="H22" s="6" t="n">
        <f aca="false">SUMIFS('All ZIPs'!$K$2:$K$1878,'All ZIPs'!$D$2:$D$1878,"Butte",'All ZIPs'!$N$2:$N$1878,"&gt;0")</f>
        <v>0</v>
      </c>
      <c r="I22" s="8" t="n">
        <v>242.91692003</v>
      </c>
      <c r="J22" s="2" t="s">
        <v>4208</v>
      </c>
    </row>
    <row r="23" customFormat="false" ht="15" hidden="false" customHeight="false" outlineLevel="0" collapsed="false">
      <c r="A23" s="2" t="s">
        <v>3051</v>
      </c>
      <c r="B23" s="2" t="s">
        <v>3051</v>
      </c>
      <c r="C23" s="2" t="n">
        <f aca="false">COUNTIF('All ZIPs'!$D$2:$D$1878,"Calaveras")</f>
        <v>18</v>
      </c>
      <c r="D23" s="2" t="n">
        <f aca="false">COUNTIFS('All ZIPs'!$D$2:$D$1878,"Calaveras",'All ZIPs'!$N$2:$N$1878,1)</f>
        <v>0</v>
      </c>
      <c r="E23" s="2" t="n">
        <f aca="false">COUNTIFS('All ZIPs'!$D$2:$D$1878,"Calaveras",'All ZIPs'!$N$2:$N$1878,2)</f>
        <v>0</v>
      </c>
      <c r="F23" s="2" t="n">
        <f aca="false">COUNTIFS('All ZIPs'!$D$2:$D$1878,"Calaveras",'All ZIPs'!$N$2:$N$1878,3)</f>
        <v>0</v>
      </c>
      <c r="G23" s="2" t="n">
        <f aca="false">SUM(D23:F23)</f>
        <v>0</v>
      </c>
      <c r="H23" s="6" t="n">
        <f aca="false">SUMIFS('All ZIPs'!$K$2:$K$1878,'All ZIPs'!$D$2:$D$1878,"Calaveras",'All ZIPs'!$N$2:$N$1878,"&gt;0")</f>
        <v>0</v>
      </c>
      <c r="I23" s="8"/>
      <c r="J23" s="2" t="s">
        <v>4209</v>
      </c>
    </row>
    <row r="24" customFormat="false" ht="15" hidden="false" customHeight="false" outlineLevel="0" collapsed="false">
      <c r="A24" s="2" t="s">
        <v>3759</v>
      </c>
      <c r="B24" s="2" t="s">
        <v>3759</v>
      </c>
      <c r="C24" s="2" t="n">
        <f aca="false">COUNTIF('All ZIPs'!$D$2:$D$1878,"Colusa")</f>
        <v>7</v>
      </c>
      <c r="D24" s="2" t="n">
        <f aca="false">COUNTIFS('All ZIPs'!$D$2:$D$1878,"Colusa",'All ZIPs'!$N$2:$N$1878,1)</f>
        <v>0</v>
      </c>
      <c r="E24" s="2" t="n">
        <f aca="false">COUNTIFS('All ZIPs'!$D$2:$D$1878,"Colusa",'All ZIPs'!$N$2:$N$1878,2)</f>
        <v>0</v>
      </c>
      <c r="F24" s="2" t="n">
        <f aca="false">COUNTIFS('All ZIPs'!$D$2:$D$1878,"Colusa",'All ZIPs'!$N$2:$N$1878,3)</f>
        <v>0</v>
      </c>
      <c r="G24" s="2" t="n">
        <f aca="false">SUM(D24:F24)</f>
        <v>0</v>
      </c>
      <c r="H24" s="6" t="n">
        <f aca="false">SUMIFS('All ZIPs'!$K$2:$K$1878,'All ZIPs'!$D$2:$D$1878,"Colusa",'All ZIPs'!$N$2:$N$1878,"&gt;0")</f>
        <v>0</v>
      </c>
      <c r="I24" s="8"/>
      <c r="J24" s="2" t="s">
        <v>4210</v>
      </c>
    </row>
    <row r="25" customFormat="false" ht="15" hidden="false" customHeight="false" outlineLevel="0" collapsed="false">
      <c r="A25" s="2" t="s">
        <v>105</v>
      </c>
      <c r="B25" s="2" t="s">
        <v>105</v>
      </c>
      <c r="C25" s="2" t="n">
        <f aca="false">COUNTIF('All ZIPs'!$D$2:$D$1878,"Contra Costa")</f>
        <v>44</v>
      </c>
      <c r="D25" s="2" t="n">
        <f aca="false">COUNTIFS('All ZIPs'!$D$2:$D$1878,"Contra Costa",'All ZIPs'!$N$2:$N$1878,1)</f>
        <v>16</v>
      </c>
      <c r="E25" s="2" t="n">
        <f aca="false">COUNTIFS('All ZIPs'!$D$2:$D$1878,"Contra Costa",'All ZIPs'!$N$2:$N$1878,2)</f>
        <v>1</v>
      </c>
      <c r="F25" s="2" t="n">
        <f aca="false">COUNTIFS('All ZIPs'!$D$2:$D$1878,"Contra Costa",'All ZIPs'!$N$2:$N$1878,3)</f>
        <v>9</v>
      </c>
      <c r="G25" s="2" t="n">
        <f aca="false">SUM(D25:F25)</f>
        <v>26</v>
      </c>
      <c r="H25" s="6" t="n">
        <f aca="false">SUMIFS('All ZIPs'!$K$2:$K$1878,'All ZIPs'!$D$2:$D$1878,"Contra Costa",'All ZIPs'!$N$2:$N$1878,"&gt;0")</f>
        <v>4231</v>
      </c>
      <c r="I25" s="8" t="n">
        <v>524.665681883241</v>
      </c>
      <c r="J25" s="2" t="s">
        <v>4211</v>
      </c>
    </row>
    <row r="26" customFormat="false" ht="15" hidden="false" customHeight="false" outlineLevel="0" collapsed="false">
      <c r="A26" s="2" t="s">
        <v>3390</v>
      </c>
      <c r="B26" s="2" t="s">
        <v>3390</v>
      </c>
      <c r="C26" s="2" t="n">
        <f aca="false">COUNTIF('All ZIPs'!$D$2:$D$1878,"Del Norte")</f>
        <v>4</v>
      </c>
      <c r="D26" s="2" t="n">
        <f aca="false">COUNTIFS('All ZIPs'!$D$2:$D$1878,"Del Norte",'All ZIPs'!$N$2:$N$1878,1)</f>
        <v>0</v>
      </c>
      <c r="E26" s="2" t="n">
        <f aca="false">COUNTIFS('All ZIPs'!$D$2:$D$1878,"Del Norte",'All ZIPs'!$N$2:$N$1878,2)</f>
        <v>0</v>
      </c>
      <c r="F26" s="2" t="n">
        <f aca="false">COUNTIFS('All ZIPs'!$D$2:$D$1878,"Del Norte",'All ZIPs'!$N$2:$N$1878,3)</f>
        <v>0</v>
      </c>
      <c r="G26" s="2" t="n">
        <f aca="false">SUM(D26:F26)</f>
        <v>0</v>
      </c>
      <c r="H26" s="6" t="n">
        <f aca="false">SUMIFS('All ZIPs'!$K$2:$K$1878,'All ZIPs'!$D$2:$D$1878,"Del Norte",'All ZIPs'!$N$2:$N$1878,"&gt;0")</f>
        <v>0</v>
      </c>
      <c r="I26" s="8" t="n">
        <v>264.531646537959</v>
      </c>
      <c r="J26" s="2" t="s">
        <v>4212</v>
      </c>
    </row>
    <row r="27" customFormat="false" ht="15" hidden="false" customHeight="false" outlineLevel="0" collapsed="false">
      <c r="A27" s="2" t="s">
        <v>1207</v>
      </c>
      <c r="B27" s="2" t="s">
        <v>1207</v>
      </c>
      <c r="C27" s="2" t="n">
        <f aca="false">COUNTIF('All ZIPs'!$D$2:$D$1878,"El Dorado")</f>
        <v>22</v>
      </c>
      <c r="D27" s="2" t="n">
        <f aca="false">COUNTIFS('All ZIPs'!$D$2:$D$1878,"El Dorado",'All ZIPs'!$N$2:$N$1878,1)</f>
        <v>0</v>
      </c>
      <c r="E27" s="2" t="n">
        <f aca="false">COUNTIFS('All ZIPs'!$D$2:$D$1878,"El Dorado",'All ZIPs'!$N$2:$N$1878,2)</f>
        <v>2</v>
      </c>
      <c r="F27" s="2" t="n">
        <f aca="false">COUNTIFS('All ZIPs'!$D$2:$D$1878,"El Dorado",'All ZIPs'!$N$2:$N$1878,3)</f>
        <v>0</v>
      </c>
      <c r="G27" s="2" t="n">
        <f aca="false">SUM(D27:F27)</f>
        <v>2</v>
      </c>
      <c r="H27" s="6" t="n">
        <f aca="false">SUMIFS('All ZIPs'!$K$2:$K$1878,'All ZIPs'!$D$2:$D$1878,"El Dorado",'All ZIPs'!$N$2:$N$1878,"&gt;0")</f>
        <v>84</v>
      </c>
      <c r="I27" s="8" t="n">
        <v>307.000157604801</v>
      </c>
      <c r="J27" s="2" t="s">
        <v>4213</v>
      </c>
    </row>
    <row r="28" customFormat="false" ht="15" hidden="false" customHeight="false" outlineLevel="0" collapsed="false">
      <c r="A28" s="2" t="s">
        <v>2460</v>
      </c>
      <c r="B28" s="2" t="s">
        <v>2460</v>
      </c>
      <c r="C28" s="2" t="n">
        <f aca="false">COUNTIF('All ZIPs'!$D$2:$D$1878,"Fresno")</f>
        <v>54</v>
      </c>
      <c r="D28" s="2" t="n">
        <f aca="false">COUNTIFS('All ZIPs'!$D$2:$D$1878,"Fresno",'All ZIPs'!$N$2:$N$1878,1)</f>
        <v>0</v>
      </c>
      <c r="E28" s="2" t="n">
        <f aca="false">COUNTIFS('All ZIPs'!$D$2:$D$1878,"Fresno",'All ZIPs'!$N$2:$N$1878,2)</f>
        <v>0</v>
      </c>
      <c r="F28" s="2" t="n">
        <f aca="false">COUNTIFS('All ZIPs'!$D$2:$D$1878,"Fresno",'All ZIPs'!$N$2:$N$1878,3)</f>
        <v>0</v>
      </c>
      <c r="G28" s="2" t="n">
        <f aca="false">SUM(D28:F28)</f>
        <v>0</v>
      </c>
      <c r="H28" s="6" t="n">
        <f aca="false">SUMIFS('All ZIPs'!$K$2:$K$1878,'All ZIPs'!$D$2:$D$1878,"Fresno",'All ZIPs'!$N$2:$N$1878,"&gt;0")</f>
        <v>0</v>
      </c>
      <c r="I28" s="8" t="n">
        <v>253.431216008884</v>
      </c>
      <c r="J28" s="2" t="s">
        <v>4214</v>
      </c>
    </row>
    <row r="29" customFormat="false" ht="15" hidden="false" customHeight="false" outlineLevel="0" collapsed="false">
      <c r="A29" s="2" t="s">
        <v>3784</v>
      </c>
      <c r="B29" s="2" t="s">
        <v>3784</v>
      </c>
      <c r="C29" s="2" t="n">
        <f aca="false">COUNTIF('All ZIPs'!$D$2:$D$1878,"Glenn")</f>
        <v>6</v>
      </c>
      <c r="D29" s="2" t="n">
        <f aca="false">COUNTIFS('All ZIPs'!$D$2:$D$1878,"Glenn",'All ZIPs'!$N$2:$N$1878,1)</f>
        <v>0</v>
      </c>
      <c r="E29" s="2" t="n">
        <f aca="false">COUNTIFS('All ZIPs'!$D$2:$D$1878,"Glenn",'All ZIPs'!$N$2:$N$1878,2)</f>
        <v>0</v>
      </c>
      <c r="F29" s="2" t="n">
        <f aca="false">COUNTIFS('All ZIPs'!$D$2:$D$1878,"Glenn",'All ZIPs'!$N$2:$N$1878,3)</f>
        <v>0</v>
      </c>
      <c r="G29" s="2" t="n">
        <f aca="false">SUM(D29:F29)</f>
        <v>0</v>
      </c>
      <c r="H29" s="6" t="n">
        <f aca="false">SUMIFS('All ZIPs'!$K$2:$K$1878,'All ZIPs'!$D$2:$D$1878,"Glenn",'All ZIPs'!$N$2:$N$1878,"&gt;0")</f>
        <v>0</v>
      </c>
      <c r="I29" s="8"/>
      <c r="J29" s="2" t="s">
        <v>4215</v>
      </c>
    </row>
    <row r="30" customFormat="false" ht="15" hidden="false" customHeight="false" outlineLevel="0" collapsed="false">
      <c r="A30" s="2" t="s">
        <v>1740</v>
      </c>
      <c r="B30" s="2" t="s">
        <v>1740</v>
      </c>
      <c r="C30" s="2" t="n">
        <f aca="false">COUNTIF('All ZIPs'!$D$2:$D$1878,"Humboldt")</f>
        <v>35</v>
      </c>
      <c r="D30" s="2" t="n">
        <f aca="false">COUNTIFS('All ZIPs'!$D$2:$D$1878,"Humboldt",'All ZIPs'!$N$2:$N$1878,1)</f>
        <v>1</v>
      </c>
      <c r="E30" s="2" t="n">
        <f aca="false">COUNTIFS('All ZIPs'!$D$2:$D$1878,"Humboldt",'All ZIPs'!$N$2:$N$1878,2)</f>
        <v>0</v>
      </c>
      <c r="F30" s="2" t="n">
        <f aca="false">COUNTIFS('All ZIPs'!$D$2:$D$1878,"Humboldt",'All ZIPs'!$N$2:$N$1878,3)</f>
        <v>0</v>
      </c>
      <c r="G30" s="2" t="n">
        <f aca="false">SUM(D30:F30)</f>
        <v>1</v>
      </c>
      <c r="H30" s="6" t="n">
        <f aca="false">SUMIFS('All ZIPs'!$K$2:$K$1878,'All ZIPs'!$D$2:$D$1878,"Humboldt",'All ZIPs'!$N$2:$N$1878,"&gt;0")</f>
        <v>2</v>
      </c>
      <c r="I30" s="8" t="n">
        <v>275.600039786</v>
      </c>
      <c r="J30" s="2" t="s">
        <v>4216</v>
      </c>
    </row>
    <row r="31" customFormat="false" ht="15" hidden="false" customHeight="false" outlineLevel="0" collapsed="false">
      <c r="A31" s="2" t="s">
        <v>1975</v>
      </c>
      <c r="B31" s="2" t="s">
        <v>1975</v>
      </c>
      <c r="C31" s="2" t="n">
        <f aca="false">COUNTIF('All ZIPs'!$D$2:$D$1878,"Imperial")</f>
        <v>16</v>
      </c>
      <c r="D31" s="2" t="n">
        <f aca="false">COUNTIFS('All ZIPs'!$D$2:$D$1878,"Imperial",'All ZIPs'!$N$2:$N$1878,1)</f>
        <v>0</v>
      </c>
      <c r="E31" s="2" t="n">
        <f aca="false">COUNTIFS('All ZIPs'!$D$2:$D$1878,"Imperial",'All ZIPs'!$N$2:$N$1878,2)</f>
        <v>0</v>
      </c>
      <c r="F31" s="2" t="n">
        <f aca="false">COUNTIFS('All ZIPs'!$D$2:$D$1878,"Imperial",'All ZIPs'!$N$2:$N$1878,3)</f>
        <v>0</v>
      </c>
      <c r="G31" s="2" t="n">
        <f aca="false">SUM(D31:F31)</f>
        <v>0</v>
      </c>
      <c r="H31" s="6" t="n">
        <f aca="false">SUMIFS('All ZIPs'!$K$2:$K$1878,'All ZIPs'!$D$2:$D$1878,"Imperial",'All ZIPs'!$N$2:$N$1878,"&gt;0")</f>
        <v>0</v>
      </c>
      <c r="I31" s="8" t="n">
        <v>236.815202648</v>
      </c>
      <c r="J31" s="2" t="s">
        <v>4217</v>
      </c>
    </row>
    <row r="32" customFormat="false" ht="15" hidden="false" customHeight="false" outlineLevel="0" collapsed="false">
      <c r="A32" s="2" t="s">
        <v>2182</v>
      </c>
      <c r="B32" s="2" t="s">
        <v>2182</v>
      </c>
      <c r="C32" s="2" t="n">
        <f aca="false">COUNTIF('All ZIPs'!$D$2:$D$1878,"Inyo")</f>
        <v>10</v>
      </c>
      <c r="D32" s="2" t="n">
        <f aca="false">COUNTIFS('All ZIPs'!$D$2:$D$1878,"Inyo",'All ZIPs'!$N$2:$N$1878,1)</f>
        <v>0</v>
      </c>
      <c r="E32" s="2" t="n">
        <f aca="false">COUNTIFS('All ZIPs'!$D$2:$D$1878,"Inyo",'All ZIPs'!$N$2:$N$1878,2)</f>
        <v>0</v>
      </c>
      <c r="F32" s="2" t="n">
        <f aca="false">COUNTIFS('All ZIPs'!$D$2:$D$1878,"Inyo",'All ZIPs'!$N$2:$N$1878,3)</f>
        <v>0</v>
      </c>
      <c r="G32" s="2" t="n">
        <f aca="false">SUM(D32:F32)</f>
        <v>0</v>
      </c>
      <c r="H32" s="6" t="n">
        <f aca="false">SUMIFS('All ZIPs'!$K$2:$K$1878,'All ZIPs'!$D$2:$D$1878,"Inyo",'All ZIPs'!$N$2:$N$1878,"&gt;0")</f>
        <v>0</v>
      </c>
      <c r="I32" s="8"/>
      <c r="J32" s="2" t="s">
        <v>4218</v>
      </c>
    </row>
    <row r="33" customFormat="false" ht="15" hidden="false" customHeight="false" outlineLevel="0" collapsed="false">
      <c r="A33" s="2" t="s">
        <v>2445</v>
      </c>
      <c r="B33" s="2" t="s">
        <v>2445</v>
      </c>
      <c r="C33" s="2" t="n">
        <f aca="false">COUNTIF('All ZIPs'!$D$2:$D$1878,"Kern")</f>
        <v>45</v>
      </c>
      <c r="D33" s="2" t="n">
        <f aca="false">COUNTIFS('All ZIPs'!$D$2:$D$1878,"Kern",'All ZIPs'!$N$2:$N$1878,1)</f>
        <v>0</v>
      </c>
      <c r="E33" s="2" t="n">
        <f aca="false">COUNTIFS('All ZIPs'!$D$2:$D$1878,"Kern",'All ZIPs'!$N$2:$N$1878,2)</f>
        <v>0</v>
      </c>
      <c r="F33" s="2" t="n">
        <f aca="false">COUNTIFS('All ZIPs'!$D$2:$D$1878,"Kern",'All ZIPs'!$N$2:$N$1878,3)</f>
        <v>0</v>
      </c>
      <c r="G33" s="2" t="n">
        <f aca="false">SUM(D33:F33)</f>
        <v>0</v>
      </c>
      <c r="H33" s="6" t="n">
        <f aca="false">SUMIFS('All ZIPs'!$K$2:$K$1878,'All ZIPs'!$D$2:$D$1878,"Kern",'All ZIPs'!$N$2:$N$1878,"&gt;0")</f>
        <v>0</v>
      </c>
      <c r="I33" s="8" t="n">
        <v>232.329363672641</v>
      </c>
      <c r="J33" s="2" t="s">
        <v>4219</v>
      </c>
    </row>
    <row r="34" customFormat="false" ht="15" hidden="false" customHeight="false" outlineLevel="0" collapsed="false">
      <c r="A34" s="2" t="s">
        <v>2441</v>
      </c>
      <c r="B34" s="2" t="s">
        <v>2441</v>
      </c>
      <c r="C34" s="2" t="n">
        <f aca="false">COUNTIF('All ZIPs'!$D$2:$D$1878,"Kings")</f>
        <v>6</v>
      </c>
      <c r="D34" s="2" t="n">
        <f aca="false">COUNTIFS('All ZIPs'!$D$2:$D$1878,"Kings",'All ZIPs'!$N$2:$N$1878,1)</f>
        <v>0</v>
      </c>
      <c r="E34" s="2" t="n">
        <f aca="false">COUNTIFS('All ZIPs'!$D$2:$D$1878,"Kings",'All ZIPs'!$N$2:$N$1878,2)</f>
        <v>0</v>
      </c>
      <c r="F34" s="2" t="n">
        <f aca="false">COUNTIFS('All ZIPs'!$D$2:$D$1878,"Kings",'All ZIPs'!$N$2:$N$1878,3)</f>
        <v>0</v>
      </c>
      <c r="G34" s="2" t="n">
        <f aca="false">SUM(D34:F34)</f>
        <v>0</v>
      </c>
      <c r="H34" s="6" t="n">
        <f aca="false">SUMIFS('All ZIPs'!$K$2:$K$1878,'All ZIPs'!$D$2:$D$1878,"Kings",'All ZIPs'!$N$2:$N$1878,"&gt;0")</f>
        <v>0</v>
      </c>
      <c r="I34" s="8" t="n">
        <v>231.621527026971</v>
      </c>
      <c r="J34" s="2" t="s">
        <v>4220</v>
      </c>
    </row>
    <row r="35" customFormat="false" ht="15" hidden="false" customHeight="false" outlineLevel="0" collapsed="false">
      <c r="A35" s="2" t="s">
        <v>3278</v>
      </c>
      <c r="B35" s="2" t="s">
        <v>3278</v>
      </c>
      <c r="C35" s="2" t="n">
        <f aca="false">COUNTIF('All ZIPs'!$D$2:$D$1878,"Lake")</f>
        <v>14</v>
      </c>
      <c r="D35" s="2" t="n">
        <f aca="false">COUNTIFS('All ZIPs'!$D$2:$D$1878,"Lake",'All ZIPs'!$N$2:$N$1878,1)</f>
        <v>0</v>
      </c>
      <c r="E35" s="2" t="n">
        <f aca="false">COUNTIFS('All ZIPs'!$D$2:$D$1878,"Lake",'All ZIPs'!$N$2:$N$1878,2)</f>
        <v>0</v>
      </c>
      <c r="F35" s="2" t="n">
        <f aca="false">COUNTIFS('All ZIPs'!$D$2:$D$1878,"Lake",'All ZIPs'!$N$2:$N$1878,3)</f>
        <v>0</v>
      </c>
      <c r="G35" s="2" t="n">
        <f aca="false">SUM(D35:F35)</f>
        <v>0</v>
      </c>
      <c r="H35" s="6" t="n">
        <f aca="false">SUMIFS('All ZIPs'!$K$2:$K$1878,'All ZIPs'!$D$2:$D$1878,"Lake",'All ZIPs'!$N$2:$N$1878,"&gt;0")</f>
        <v>0</v>
      </c>
      <c r="I35" s="8" t="n">
        <v>216.496098719032</v>
      </c>
      <c r="J35" s="2" t="s">
        <v>4221</v>
      </c>
    </row>
    <row r="36" customFormat="false" ht="15" hidden="false" customHeight="false" outlineLevel="0" collapsed="false">
      <c r="A36" s="2" t="s">
        <v>3921</v>
      </c>
      <c r="B36" s="2" t="s">
        <v>3921</v>
      </c>
      <c r="C36" s="2" t="n">
        <f aca="false">COUNTIF('All ZIPs'!$D$2:$D$1878,"Lassen")</f>
        <v>16</v>
      </c>
      <c r="D36" s="2" t="n">
        <f aca="false">COUNTIFS('All ZIPs'!$D$2:$D$1878,"Lassen",'All ZIPs'!$N$2:$N$1878,1)</f>
        <v>0</v>
      </c>
      <c r="E36" s="2" t="n">
        <f aca="false">COUNTIFS('All ZIPs'!$D$2:$D$1878,"Lassen",'All ZIPs'!$N$2:$N$1878,2)</f>
        <v>0</v>
      </c>
      <c r="F36" s="2" t="n">
        <f aca="false">COUNTIFS('All ZIPs'!$D$2:$D$1878,"Lassen",'All ZIPs'!$N$2:$N$1878,3)</f>
        <v>0</v>
      </c>
      <c r="G36" s="2" t="n">
        <f aca="false">SUM(D36:F36)</f>
        <v>0</v>
      </c>
      <c r="H36" s="6" t="n">
        <f aca="false">SUMIFS('All ZIPs'!$K$2:$K$1878,'All ZIPs'!$D$2:$D$1878,"Lassen",'All ZIPs'!$N$2:$N$1878,"&gt;0")</f>
        <v>0</v>
      </c>
      <c r="I36" s="8" t="n">
        <v>159.871881134833</v>
      </c>
      <c r="J36" s="2" t="s">
        <v>4222</v>
      </c>
    </row>
    <row r="37" customFormat="false" ht="15" hidden="false" customHeight="false" outlineLevel="0" collapsed="false">
      <c r="A37" s="2" t="s">
        <v>70</v>
      </c>
      <c r="B37" s="2" t="s">
        <v>70</v>
      </c>
      <c r="C37" s="2" t="n">
        <f aca="false">COUNTIF('All ZIPs'!$D$2:$D$1878,"Los Angeles")</f>
        <v>292</v>
      </c>
      <c r="D37" s="2" t="n">
        <f aca="false">COUNTIFS('All ZIPs'!$D$2:$D$1878,"Los Angeles",'All ZIPs'!$N$2:$N$1878,1)</f>
        <v>104</v>
      </c>
      <c r="E37" s="2" t="n">
        <f aca="false">COUNTIFS('All ZIPs'!$D$2:$D$1878,"Los Angeles",'All ZIPs'!$N$2:$N$1878,2)</f>
        <v>60</v>
      </c>
      <c r="F37" s="2" t="n">
        <f aca="false">COUNTIFS('All ZIPs'!$D$2:$D$1878,"Los Angeles",'All ZIPs'!$N$2:$N$1878,3)</f>
        <v>85</v>
      </c>
      <c r="G37" s="2" t="n">
        <f aca="false">SUM(D37:F37)</f>
        <v>249</v>
      </c>
      <c r="H37" s="6" t="n">
        <f aca="false">SUMIFS('All ZIPs'!$K$2:$K$1878,'All ZIPs'!$D$2:$D$1878,"Los Angeles",'All ZIPs'!$N$2:$N$1878,"&gt;0")</f>
        <v>29492</v>
      </c>
      <c r="I37" s="8" t="n">
        <v>630.832094771374</v>
      </c>
      <c r="J37" s="2" t="s">
        <v>4191</v>
      </c>
    </row>
    <row r="38" customFormat="false" ht="15" hidden="false" customHeight="false" outlineLevel="0" collapsed="false">
      <c r="A38" s="2" t="s">
        <v>2724</v>
      </c>
      <c r="B38" s="2" t="s">
        <v>2724</v>
      </c>
      <c r="C38" s="2" t="n">
        <f aca="false">COUNTIF('All ZIPs'!$D$2:$D$1878,"Madera")</f>
        <v>13</v>
      </c>
      <c r="D38" s="2" t="n">
        <f aca="false">COUNTIFS('All ZIPs'!$D$2:$D$1878,"Madera",'All ZIPs'!$N$2:$N$1878,1)</f>
        <v>0</v>
      </c>
      <c r="E38" s="2" t="n">
        <f aca="false">COUNTIFS('All ZIPs'!$D$2:$D$1878,"Madera",'All ZIPs'!$N$2:$N$1878,2)</f>
        <v>0</v>
      </c>
      <c r="F38" s="2" t="n">
        <f aca="false">COUNTIFS('All ZIPs'!$D$2:$D$1878,"Madera",'All ZIPs'!$N$2:$N$1878,3)</f>
        <v>0</v>
      </c>
      <c r="G38" s="2" t="n">
        <f aca="false">SUM(D38:F38)</f>
        <v>0</v>
      </c>
      <c r="H38" s="6" t="n">
        <f aca="false">SUMIFS('All ZIPs'!$K$2:$K$1878,'All ZIPs'!$D$2:$D$1878,"Madera",'All ZIPs'!$N$2:$N$1878,"&gt;0")</f>
        <v>0</v>
      </c>
      <c r="I38" s="8" t="n">
        <v>249.005316703244</v>
      </c>
      <c r="J38" s="2" t="s">
        <v>4223</v>
      </c>
    </row>
    <row r="39" customFormat="false" ht="15" hidden="false" customHeight="false" outlineLevel="0" collapsed="false">
      <c r="A39" s="2" t="s">
        <v>95</v>
      </c>
      <c r="B39" s="2" t="s">
        <v>95</v>
      </c>
      <c r="C39" s="2" t="n">
        <f aca="false">COUNTIF('All ZIPs'!$D$2:$D$1878,"Marin")</f>
        <v>29</v>
      </c>
      <c r="D39" s="2" t="n">
        <f aca="false">COUNTIFS('All ZIPs'!$D$2:$D$1878,"Marin",'All ZIPs'!$N$2:$N$1878,1)</f>
        <v>20</v>
      </c>
      <c r="E39" s="2" t="n">
        <f aca="false">COUNTIFS('All ZIPs'!$D$2:$D$1878,"Marin",'All ZIPs'!$N$2:$N$1878,2)</f>
        <v>4</v>
      </c>
      <c r="F39" s="2" t="n">
        <f aca="false">COUNTIFS('All ZIPs'!$D$2:$D$1878,"Marin",'All ZIPs'!$N$2:$N$1878,3)</f>
        <v>2</v>
      </c>
      <c r="G39" s="2" t="n">
        <f aca="false">SUM(D39:F39)</f>
        <v>26</v>
      </c>
      <c r="H39" s="6" t="n">
        <f aca="false">SUMIFS('All ZIPs'!$K$2:$K$1878,'All ZIPs'!$D$2:$D$1878,"Marin",'All ZIPs'!$N$2:$N$1878,"&gt;0")</f>
        <v>1881</v>
      </c>
      <c r="I39" s="8" t="n">
        <v>880.842779006349</v>
      </c>
      <c r="J39" s="2" t="s">
        <v>4196</v>
      </c>
    </row>
    <row r="40" customFormat="false" ht="15" hidden="false" customHeight="false" outlineLevel="0" collapsed="false">
      <c r="A40" s="2" t="s">
        <v>2773</v>
      </c>
      <c r="B40" s="2" t="s">
        <v>2773</v>
      </c>
      <c r="C40" s="2" t="n">
        <f aca="false">COUNTIF('All ZIPs'!$D$2:$D$1878,"Mariposa")</f>
        <v>8</v>
      </c>
      <c r="D40" s="2" t="n">
        <f aca="false">COUNTIFS('All ZIPs'!$D$2:$D$1878,"Mariposa",'All ZIPs'!$N$2:$N$1878,1)</f>
        <v>0</v>
      </c>
      <c r="E40" s="2" t="n">
        <f aca="false">COUNTIFS('All ZIPs'!$D$2:$D$1878,"Mariposa",'All ZIPs'!$N$2:$N$1878,2)</f>
        <v>0</v>
      </c>
      <c r="F40" s="2" t="n">
        <f aca="false">COUNTIFS('All ZIPs'!$D$2:$D$1878,"Mariposa",'All ZIPs'!$N$2:$N$1878,3)</f>
        <v>0</v>
      </c>
      <c r="G40" s="2" t="n">
        <f aca="false">SUM(D40:F40)</f>
        <v>0</v>
      </c>
      <c r="H40" s="6" t="n">
        <f aca="false">SUMIFS('All ZIPs'!$K$2:$K$1878,'All ZIPs'!$D$2:$D$1878,"Mariposa",'All ZIPs'!$N$2:$N$1878,"&gt;0")</f>
        <v>0</v>
      </c>
      <c r="I40" s="8"/>
      <c r="J40" s="2" t="s">
        <v>4224</v>
      </c>
    </row>
    <row r="41" customFormat="false" ht="15" hidden="false" customHeight="false" outlineLevel="0" collapsed="false">
      <c r="A41" s="2" t="s">
        <v>1595</v>
      </c>
      <c r="B41" s="2" t="s">
        <v>1595</v>
      </c>
      <c r="C41" s="2" t="n">
        <f aca="false">COUNTIF('All ZIPs'!$D$2:$D$1878,"Mendocino")</f>
        <v>26</v>
      </c>
      <c r="D41" s="2" t="n">
        <f aca="false">COUNTIFS('All ZIPs'!$D$2:$D$1878,"Mendocino",'All ZIPs'!$N$2:$N$1878,1)</f>
        <v>0</v>
      </c>
      <c r="E41" s="2" t="n">
        <f aca="false">COUNTIFS('All ZIPs'!$D$2:$D$1878,"Mendocino",'All ZIPs'!$N$2:$N$1878,2)</f>
        <v>1</v>
      </c>
      <c r="F41" s="2" t="n">
        <f aca="false">COUNTIFS('All ZIPs'!$D$2:$D$1878,"Mendocino",'All ZIPs'!$N$2:$N$1878,3)</f>
        <v>3</v>
      </c>
      <c r="G41" s="2" t="n">
        <f aca="false">SUM(D41:F41)</f>
        <v>4</v>
      </c>
      <c r="H41" s="6" t="n">
        <f aca="false">SUMIFS('All ZIPs'!$K$2:$K$1878,'All ZIPs'!$D$2:$D$1878,"Mendocino",'All ZIPs'!$N$2:$N$1878,"&gt;0")</f>
        <v>35</v>
      </c>
      <c r="I41" s="8" t="n">
        <v>356.6034742605</v>
      </c>
      <c r="J41" s="2" t="s">
        <v>4225</v>
      </c>
    </row>
    <row r="42" customFormat="false" ht="15" hidden="false" customHeight="false" outlineLevel="0" collapsed="false">
      <c r="A42" s="2" t="s">
        <v>2765</v>
      </c>
      <c r="B42" s="2" t="s">
        <v>2765</v>
      </c>
      <c r="C42" s="2" t="n">
        <f aca="false">COUNTIF('All ZIPs'!$D$2:$D$1878,"Merced")</f>
        <v>19</v>
      </c>
      <c r="D42" s="2" t="n">
        <f aca="false">COUNTIFS('All ZIPs'!$D$2:$D$1878,"Merced",'All ZIPs'!$N$2:$N$1878,1)</f>
        <v>0</v>
      </c>
      <c r="E42" s="2" t="n">
        <f aca="false">COUNTIFS('All ZIPs'!$D$2:$D$1878,"Merced",'All ZIPs'!$N$2:$N$1878,2)</f>
        <v>0</v>
      </c>
      <c r="F42" s="2" t="n">
        <f aca="false">COUNTIFS('All ZIPs'!$D$2:$D$1878,"Merced",'All ZIPs'!$N$2:$N$1878,3)</f>
        <v>0</v>
      </c>
      <c r="G42" s="2" t="n">
        <f aca="false">SUM(D42:F42)</f>
        <v>0</v>
      </c>
      <c r="H42" s="6" t="n">
        <f aca="false">SUMIFS('All ZIPs'!$K$2:$K$1878,'All ZIPs'!$D$2:$D$1878,"Merced",'All ZIPs'!$N$2:$N$1878,"&gt;0")</f>
        <v>0</v>
      </c>
      <c r="I42" s="8" t="n">
        <v>274.005888563875</v>
      </c>
      <c r="J42" s="2" t="s">
        <v>4226</v>
      </c>
    </row>
    <row r="43" customFormat="false" ht="15" hidden="false" customHeight="false" outlineLevel="0" collapsed="false">
      <c r="A43" s="2" t="s">
        <v>3945</v>
      </c>
      <c r="B43" s="2" t="s">
        <v>3945</v>
      </c>
      <c r="C43" s="2" t="n">
        <f aca="false">COUNTIF('All ZIPs'!$D$2:$D$1878,"Modoc")</f>
        <v>10</v>
      </c>
      <c r="D43" s="2" t="n">
        <f aca="false">COUNTIFS('All ZIPs'!$D$2:$D$1878,"Modoc",'All ZIPs'!$N$2:$N$1878,1)</f>
        <v>0</v>
      </c>
      <c r="E43" s="2" t="n">
        <f aca="false">COUNTIFS('All ZIPs'!$D$2:$D$1878,"Modoc",'All ZIPs'!$N$2:$N$1878,2)</f>
        <v>0</v>
      </c>
      <c r="F43" s="2" t="n">
        <f aca="false">COUNTIFS('All ZIPs'!$D$2:$D$1878,"Modoc",'All ZIPs'!$N$2:$N$1878,3)</f>
        <v>0</v>
      </c>
      <c r="G43" s="2" t="n">
        <f aca="false">SUM(D43:F43)</f>
        <v>0</v>
      </c>
      <c r="H43" s="6" t="n">
        <f aca="false">SUMIFS('All ZIPs'!$K$2:$K$1878,'All ZIPs'!$D$2:$D$1878,"Modoc",'All ZIPs'!$N$2:$N$1878,"&gt;0")</f>
        <v>0</v>
      </c>
      <c r="I43" s="8"/>
      <c r="J43" s="2" t="s">
        <v>4227</v>
      </c>
    </row>
    <row r="44" customFormat="false" ht="15" hidden="false" customHeight="false" outlineLevel="0" collapsed="false">
      <c r="A44" s="2" t="s">
        <v>2642</v>
      </c>
      <c r="B44" s="2" t="s">
        <v>2642</v>
      </c>
      <c r="C44" s="2" t="n">
        <f aca="false">COUNTIF('All ZIPs'!$D$2:$D$1878,"Mono")</f>
        <v>8</v>
      </c>
      <c r="D44" s="2" t="n">
        <f aca="false">COUNTIFS('All ZIPs'!$D$2:$D$1878,"Mono",'All ZIPs'!$N$2:$N$1878,1)</f>
        <v>0</v>
      </c>
      <c r="E44" s="2" t="n">
        <f aca="false">COUNTIFS('All ZIPs'!$D$2:$D$1878,"Mono",'All ZIPs'!$N$2:$N$1878,2)</f>
        <v>0</v>
      </c>
      <c r="F44" s="2" t="n">
        <f aca="false">COUNTIFS('All ZIPs'!$D$2:$D$1878,"Mono",'All ZIPs'!$N$2:$N$1878,3)</f>
        <v>0</v>
      </c>
      <c r="G44" s="2" t="n">
        <f aca="false">SUM(D44:F44)</f>
        <v>0</v>
      </c>
      <c r="H44" s="6" t="n">
        <f aca="false">SUMIFS('All ZIPs'!$K$2:$K$1878,'All ZIPs'!$D$2:$D$1878,"Mono",'All ZIPs'!$N$2:$N$1878,"&gt;0")</f>
        <v>0</v>
      </c>
      <c r="I44" s="8"/>
      <c r="J44" s="2" t="s">
        <v>4228</v>
      </c>
    </row>
    <row r="45" customFormat="false" ht="15" hidden="false" customHeight="false" outlineLevel="0" collapsed="false">
      <c r="A45" s="2" t="s">
        <v>380</v>
      </c>
      <c r="B45" s="2" t="s">
        <v>380</v>
      </c>
      <c r="C45" s="2" t="n">
        <f aca="false">COUNTIF('All ZIPs'!$D$2:$D$1878,"Monterey")</f>
        <v>29</v>
      </c>
      <c r="D45" s="2" t="n">
        <f aca="false">COUNTIFS('All ZIPs'!$D$2:$D$1878,"Monterey",'All ZIPs'!$N$2:$N$1878,1)</f>
        <v>8</v>
      </c>
      <c r="E45" s="2" t="n">
        <f aca="false">COUNTIFS('All ZIPs'!$D$2:$D$1878,"Monterey",'All ZIPs'!$N$2:$N$1878,2)</f>
        <v>1</v>
      </c>
      <c r="F45" s="2" t="n">
        <f aca="false">COUNTIFS('All ZIPs'!$D$2:$D$1878,"Monterey",'All ZIPs'!$N$2:$N$1878,3)</f>
        <v>6</v>
      </c>
      <c r="G45" s="2" t="n">
        <f aca="false">SUM(D45:F45)</f>
        <v>15</v>
      </c>
      <c r="H45" s="6" t="n">
        <f aca="false">SUMIFS('All ZIPs'!$K$2:$K$1878,'All ZIPs'!$D$2:$D$1878,"Monterey",'All ZIPs'!$N$2:$N$1878,"&gt;0")</f>
        <v>1515</v>
      </c>
      <c r="I45" s="8" t="n">
        <v>507.042969582101</v>
      </c>
      <c r="J45" s="2" t="s">
        <v>4229</v>
      </c>
    </row>
    <row r="46" customFormat="false" ht="15" hidden="false" customHeight="false" outlineLevel="0" collapsed="false">
      <c r="A46" s="2" t="s">
        <v>540</v>
      </c>
      <c r="B46" s="2" t="s">
        <v>540</v>
      </c>
      <c r="C46" s="2" t="n">
        <f aca="false">COUNTIF('All ZIPs'!$D$2:$D$1878,"Napa")</f>
        <v>10</v>
      </c>
      <c r="D46" s="2" t="n">
        <f aca="false">COUNTIFS('All ZIPs'!$D$2:$D$1878,"Napa",'All ZIPs'!$N$2:$N$1878,1)</f>
        <v>3</v>
      </c>
      <c r="E46" s="2" t="n">
        <f aca="false">COUNTIFS('All ZIPs'!$D$2:$D$1878,"Napa",'All ZIPs'!$N$2:$N$1878,2)</f>
        <v>2</v>
      </c>
      <c r="F46" s="2" t="n">
        <f aca="false">COUNTIFS('All ZIPs'!$D$2:$D$1878,"Napa",'All ZIPs'!$N$2:$N$1878,3)</f>
        <v>1</v>
      </c>
      <c r="G46" s="2" t="n">
        <f aca="false">SUM(D46:F46)</f>
        <v>6</v>
      </c>
      <c r="H46" s="6" t="n">
        <f aca="false">SUMIFS('All ZIPs'!$K$2:$K$1878,'All ZIPs'!$D$2:$D$1878,"Napa",'All ZIPs'!$N$2:$N$1878,"&gt;0")</f>
        <v>758</v>
      </c>
      <c r="I46" s="8" t="n">
        <v>577.356164902897</v>
      </c>
      <c r="J46" s="2" t="s">
        <v>4230</v>
      </c>
    </row>
    <row r="47" customFormat="false" ht="15" hidden="false" customHeight="false" outlineLevel="0" collapsed="false">
      <c r="A47" s="2" t="s">
        <v>3829</v>
      </c>
      <c r="B47" s="2" t="s">
        <v>3829</v>
      </c>
      <c r="C47" s="2" t="n">
        <f aca="false">COUNTIF('All ZIPs'!$D$2:$D$1878,"Nevada")</f>
        <v>6</v>
      </c>
      <c r="D47" s="2" t="n">
        <f aca="false">COUNTIFS('All ZIPs'!$D$2:$D$1878,"Nevada",'All ZIPs'!$N$2:$N$1878,1)</f>
        <v>0</v>
      </c>
      <c r="E47" s="2" t="n">
        <f aca="false">COUNTIFS('All ZIPs'!$D$2:$D$1878,"Nevada",'All ZIPs'!$N$2:$N$1878,2)</f>
        <v>0</v>
      </c>
      <c r="F47" s="2" t="n">
        <f aca="false">COUNTIFS('All ZIPs'!$D$2:$D$1878,"Nevada",'All ZIPs'!$N$2:$N$1878,3)</f>
        <v>0</v>
      </c>
      <c r="G47" s="2" t="n">
        <f aca="false">SUM(D47:F47)</f>
        <v>0</v>
      </c>
      <c r="H47" s="6" t="n">
        <f aca="false">SUMIFS('All ZIPs'!$K$2:$K$1878,'All ZIPs'!$D$2:$D$1878,"Nevada",'All ZIPs'!$N$2:$N$1878,"&gt;0")</f>
        <v>0</v>
      </c>
      <c r="I47" s="8" t="n">
        <v>301.076902384263</v>
      </c>
      <c r="J47" s="2" t="s">
        <v>4231</v>
      </c>
    </row>
    <row r="48" customFormat="false" ht="15" hidden="false" customHeight="false" outlineLevel="0" collapsed="false">
      <c r="A48" s="2" t="s">
        <v>27</v>
      </c>
      <c r="B48" s="2" t="s">
        <v>27</v>
      </c>
      <c r="C48" s="2" t="n">
        <f aca="false">COUNTIF('All ZIPs'!$D$2:$D$1878,"Orange")</f>
        <v>88</v>
      </c>
      <c r="D48" s="2" t="n">
        <f aca="false">COUNTIFS('All ZIPs'!$D$2:$D$1878,"Orange",'All ZIPs'!$N$2:$N$1878,1)</f>
        <v>43</v>
      </c>
      <c r="E48" s="2" t="n">
        <f aca="false">COUNTIFS('All ZIPs'!$D$2:$D$1878,"Orange",'All ZIPs'!$N$2:$N$1878,2)</f>
        <v>40</v>
      </c>
      <c r="F48" s="2" t="n">
        <f aca="false">COUNTIFS('All ZIPs'!$D$2:$D$1878,"Orange",'All ZIPs'!$N$2:$N$1878,3)</f>
        <v>4</v>
      </c>
      <c r="G48" s="2" t="n">
        <f aca="false">SUM(D48:F48)</f>
        <v>87</v>
      </c>
      <c r="H48" s="6" t="n">
        <f aca="false">SUMIFS('All ZIPs'!$K$2:$K$1878,'All ZIPs'!$D$2:$D$1878,"Orange",'All ZIPs'!$N$2:$N$1878,"&gt;0")</f>
        <v>13272</v>
      </c>
      <c r="I48" s="8" t="n">
        <v>699.617846108195</v>
      </c>
      <c r="J48" s="2" t="s">
        <v>4190</v>
      </c>
    </row>
    <row r="49" customFormat="false" ht="15" hidden="false" customHeight="false" outlineLevel="0" collapsed="false">
      <c r="A49" s="2" t="s">
        <v>50</v>
      </c>
      <c r="B49" s="2" t="s">
        <v>50</v>
      </c>
      <c r="C49" s="2" t="n">
        <f aca="false">COUNTIF('All ZIPs'!$D$2:$D$1878,"Placer")</f>
        <v>32</v>
      </c>
      <c r="D49" s="2" t="n">
        <f aca="false">COUNTIFS('All ZIPs'!$D$2:$D$1878,"Placer",'All ZIPs'!$N$2:$N$1878,1)</f>
        <v>3</v>
      </c>
      <c r="E49" s="2" t="n">
        <f aca="false">COUNTIFS('All ZIPs'!$D$2:$D$1878,"Placer",'All ZIPs'!$N$2:$N$1878,2)</f>
        <v>6</v>
      </c>
      <c r="F49" s="2" t="n">
        <f aca="false">COUNTIFS('All ZIPs'!$D$2:$D$1878,"Placer",'All ZIPs'!$N$2:$N$1878,3)</f>
        <v>0</v>
      </c>
      <c r="G49" s="2" t="n">
        <f aca="false">SUM(D49:F49)</f>
        <v>9</v>
      </c>
      <c r="H49" s="6" t="n">
        <f aca="false">SUMIFS('All ZIPs'!$K$2:$K$1878,'All ZIPs'!$D$2:$D$1878,"Placer",'All ZIPs'!$N$2:$N$1878,"&gt;0")</f>
        <v>889</v>
      </c>
      <c r="I49" s="8" t="n">
        <v>350.922639279281</v>
      </c>
      <c r="J49" s="2" t="s">
        <v>4232</v>
      </c>
    </row>
    <row r="50" customFormat="false" ht="15" hidden="false" customHeight="false" outlineLevel="0" collapsed="false">
      <c r="A50" s="2" t="s">
        <v>3769</v>
      </c>
      <c r="B50" s="2" t="s">
        <v>3769</v>
      </c>
      <c r="C50" s="2" t="n">
        <f aca="false">COUNTIF('All ZIPs'!$D$2:$D$1878,"Plumas")</f>
        <v>16</v>
      </c>
      <c r="D50" s="2" t="n">
        <f aca="false">COUNTIFS('All ZIPs'!$D$2:$D$1878,"Plumas",'All ZIPs'!$N$2:$N$1878,1)</f>
        <v>0</v>
      </c>
      <c r="E50" s="2" t="n">
        <f aca="false">COUNTIFS('All ZIPs'!$D$2:$D$1878,"Plumas",'All ZIPs'!$N$2:$N$1878,2)</f>
        <v>0</v>
      </c>
      <c r="F50" s="2" t="n">
        <f aca="false">COUNTIFS('All ZIPs'!$D$2:$D$1878,"Plumas",'All ZIPs'!$N$2:$N$1878,3)</f>
        <v>0</v>
      </c>
      <c r="G50" s="2" t="n">
        <f aca="false">SUM(D50:F50)</f>
        <v>0</v>
      </c>
      <c r="H50" s="6" t="n">
        <f aca="false">SUMIFS('All ZIPs'!$K$2:$K$1878,'All ZIPs'!$D$2:$D$1878,"Plumas",'All ZIPs'!$N$2:$N$1878,"&gt;0")</f>
        <v>0</v>
      </c>
      <c r="I50" s="8"/>
      <c r="J50" s="2" t="s">
        <v>4233</v>
      </c>
    </row>
    <row r="51" customFormat="false" ht="15" hidden="false" customHeight="false" outlineLevel="0" collapsed="false">
      <c r="A51" s="2" t="s">
        <v>455</v>
      </c>
      <c r="B51" s="2" t="s">
        <v>455</v>
      </c>
      <c r="C51" s="2" t="n">
        <f aca="false">COUNTIF('All ZIPs'!$D$2:$D$1878,"Riverside")</f>
        <v>70</v>
      </c>
      <c r="D51" s="2" t="n">
        <f aca="false">COUNTIFS('All ZIPs'!$D$2:$D$1878,"Riverside",'All ZIPs'!$N$2:$N$1878,1)</f>
        <v>0</v>
      </c>
      <c r="E51" s="2" t="n">
        <f aca="false">COUNTIFS('All ZIPs'!$D$2:$D$1878,"Riverside",'All ZIPs'!$N$2:$N$1878,2)</f>
        <v>2</v>
      </c>
      <c r="F51" s="2" t="n">
        <f aca="false">COUNTIFS('All ZIPs'!$D$2:$D$1878,"Riverside",'All ZIPs'!$N$2:$N$1878,3)</f>
        <v>0</v>
      </c>
      <c r="G51" s="2" t="n">
        <f aca="false">SUM(D51:F51)</f>
        <v>2</v>
      </c>
      <c r="H51" s="6" t="n">
        <f aca="false">SUMIFS('All ZIPs'!$K$2:$K$1878,'All ZIPs'!$D$2:$D$1878,"Riverside",'All ZIPs'!$N$2:$N$1878,"&gt;0")</f>
        <v>426</v>
      </c>
      <c r="I51" s="8" t="n">
        <v>305.748091643724</v>
      </c>
      <c r="J51" s="2" t="s">
        <v>4234</v>
      </c>
    </row>
    <row r="52" customFormat="false" ht="15" hidden="false" customHeight="false" outlineLevel="0" collapsed="false">
      <c r="A52" s="2" t="s">
        <v>976</v>
      </c>
      <c r="B52" s="2" t="s">
        <v>976</v>
      </c>
      <c r="C52" s="2" t="n">
        <f aca="false">COUNTIF('All ZIPs'!$D$2:$D$1878,"Sacramento")</f>
        <v>54</v>
      </c>
      <c r="D52" s="2" t="n">
        <f aca="false">COUNTIFS('All ZIPs'!$D$2:$D$1878,"Sacramento",'All ZIPs'!$N$2:$N$1878,1)</f>
        <v>0</v>
      </c>
      <c r="E52" s="2" t="n">
        <f aca="false">COUNTIFS('All ZIPs'!$D$2:$D$1878,"Sacramento",'All ZIPs'!$N$2:$N$1878,2)</f>
        <v>0</v>
      </c>
      <c r="F52" s="2" t="n">
        <f aca="false">COUNTIFS('All ZIPs'!$D$2:$D$1878,"Sacramento",'All ZIPs'!$N$2:$N$1878,3)</f>
        <v>3</v>
      </c>
      <c r="G52" s="2" t="n">
        <f aca="false">SUM(D52:F52)</f>
        <v>3</v>
      </c>
      <c r="H52" s="6" t="n">
        <f aca="false">SUMIFS('All ZIPs'!$K$2:$K$1878,'All ZIPs'!$D$2:$D$1878,"Sacramento",'All ZIPs'!$N$2:$N$1878,"&gt;0")</f>
        <v>494</v>
      </c>
      <c r="I52" s="8" t="n">
        <v>336.106950268208</v>
      </c>
      <c r="J52" s="2" t="s">
        <v>4199</v>
      </c>
    </row>
    <row r="53" customFormat="false" ht="15" hidden="false" customHeight="false" outlineLevel="0" collapsed="false">
      <c r="A53" s="2" t="s">
        <v>1643</v>
      </c>
      <c r="B53" s="2" t="s">
        <v>1643</v>
      </c>
      <c r="C53" s="2" t="n">
        <f aca="false">COUNTIF('All ZIPs'!$D$2:$D$1878,"San Benito")</f>
        <v>5</v>
      </c>
      <c r="D53" s="2" t="n">
        <f aca="false">COUNTIFS('All ZIPs'!$D$2:$D$1878,"San Benito",'All ZIPs'!$N$2:$N$1878,1)</f>
        <v>0</v>
      </c>
      <c r="E53" s="2" t="n">
        <f aca="false">COUNTIFS('All ZIPs'!$D$2:$D$1878,"San Benito",'All ZIPs'!$N$2:$N$1878,2)</f>
        <v>0</v>
      </c>
      <c r="F53" s="2" t="n">
        <f aca="false">COUNTIFS('All ZIPs'!$D$2:$D$1878,"San Benito",'All ZIPs'!$N$2:$N$1878,3)</f>
        <v>2</v>
      </c>
      <c r="G53" s="2" t="n">
        <f aca="false">SUM(D53:F53)</f>
        <v>2</v>
      </c>
      <c r="H53" s="6" t="n">
        <f aca="false">SUMIFS('All ZIPs'!$K$2:$K$1878,'All ZIPs'!$D$2:$D$1878,"San Benito",'All ZIPs'!$N$2:$N$1878,"&gt;0")</f>
        <v>21</v>
      </c>
      <c r="I53" s="8" t="n">
        <v>484.9543872095</v>
      </c>
      <c r="J53" s="2" t="s">
        <v>4235</v>
      </c>
    </row>
    <row r="54" customFormat="false" ht="15" hidden="false" customHeight="false" outlineLevel="0" collapsed="false">
      <c r="A54" s="2" t="s">
        <v>524</v>
      </c>
      <c r="B54" s="2" t="s">
        <v>524</v>
      </c>
      <c r="C54" s="2" t="n">
        <f aca="false">COUNTIF('All ZIPs'!$D$2:$D$1878,"San Bernardino")</f>
        <v>89</v>
      </c>
      <c r="D54" s="2" t="n">
        <f aca="false">COUNTIFS('All ZIPs'!$D$2:$D$1878,"San Bernardino",'All ZIPs'!$N$2:$N$1878,1)</f>
        <v>0</v>
      </c>
      <c r="E54" s="2" t="n">
        <f aca="false">COUNTIFS('All ZIPs'!$D$2:$D$1878,"San Bernardino",'All ZIPs'!$N$2:$N$1878,2)</f>
        <v>0</v>
      </c>
      <c r="F54" s="2" t="n">
        <f aca="false">COUNTIFS('All ZIPs'!$D$2:$D$1878,"San Bernardino",'All ZIPs'!$N$2:$N$1878,3)</f>
        <v>2</v>
      </c>
      <c r="G54" s="2" t="n">
        <f aca="false">SUM(D54:F54)</f>
        <v>2</v>
      </c>
      <c r="H54" s="6" t="n">
        <f aca="false">SUMIFS('All ZIPs'!$K$2:$K$1878,'All ZIPs'!$D$2:$D$1878,"San Bernardino",'All ZIPs'!$N$2:$N$1878,"&gt;0")</f>
        <v>453</v>
      </c>
      <c r="I54" s="8" t="n">
        <v>330.691371269666</v>
      </c>
      <c r="J54" s="2" t="s">
        <v>4236</v>
      </c>
    </row>
    <row r="55" customFormat="false" ht="15" hidden="false" customHeight="false" outlineLevel="0" collapsed="false">
      <c r="A55" s="2" t="s">
        <v>44</v>
      </c>
      <c r="B55" s="2" t="s">
        <v>44</v>
      </c>
      <c r="C55" s="2" t="n">
        <f aca="false">COUNTIF('All ZIPs'!$D$2:$D$1878,"San Diego")</f>
        <v>106</v>
      </c>
      <c r="D55" s="2" t="n">
        <f aca="false">COUNTIFS('All ZIPs'!$D$2:$D$1878,"San Diego",'All ZIPs'!$N$2:$N$1878,1)</f>
        <v>31</v>
      </c>
      <c r="E55" s="2" t="n">
        <f aca="false">COUNTIFS('All ZIPs'!$D$2:$D$1878,"San Diego",'All ZIPs'!$N$2:$N$1878,2)</f>
        <v>12</v>
      </c>
      <c r="F55" s="2" t="n">
        <f aca="false">COUNTIFS('All ZIPs'!$D$2:$D$1878,"San Diego",'All ZIPs'!$N$2:$N$1878,3)</f>
        <v>26</v>
      </c>
      <c r="G55" s="2" t="n">
        <f aca="false">SUM(D55:F55)</f>
        <v>69</v>
      </c>
      <c r="H55" s="6" t="n">
        <f aca="false">SUMIFS('All ZIPs'!$K$2:$K$1878,'All ZIPs'!$D$2:$D$1878,"San Diego",'All ZIPs'!$N$2:$N$1878,"&gt;0")</f>
        <v>11468</v>
      </c>
      <c r="I55" s="8" t="n">
        <v>558.322419431347</v>
      </c>
      <c r="J55" s="2" t="s">
        <v>4197</v>
      </c>
    </row>
    <row r="56" customFormat="false" ht="15" hidden="false" customHeight="false" outlineLevel="0" collapsed="false">
      <c r="A56" s="2" t="s">
        <v>56</v>
      </c>
      <c r="B56" s="2" t="s">
        <v>56</v>
      </c>
      <c r="C56" s="2" t="n">
        <f aca="false">COUNTIF('All ZIPs'!$D$2:$D$1878,"San Francisco")</f>
        <v>27</v>
      </c>
      <c r="D56" s="2" t="n">
        <f aca="false">COUNTIFS('All ZIPs'!$D$2:$D$1878,"San Francisco",'All ZIPs'!$N$2:$N$1878,1)</f>
        <v>25</v>
      </c>
      <c r="E56" s="2" t="n">
        <f aca="false">COUNTIFS('All ZIPs'!$D$2:$D$1878,"San Francisco",'All ZIPs'!$N$2:$N$1878,2)</f>
        <v>1</v>
      </c>
      <c r="F56" s="2" t="n">
        <f aca="false">COUNTIFS('All ZIPs'!$D$2:$D$1878,"San Francisco",'All ZIPs'!$N$2:$N$1878,3)</f>
        <v>0</v>
      </c>
      <c r="G56" s="2" t="n">
        <f aca="false">SUM(D56:F56)</f>
        <v>26</v>
      </c>
      <c r="H56" s="6" t="n">
        <f aca="false">SUMIFS('All ZIPs'!$K$2:$K$1878,'All ZIPs'!$D$2:$D$1878,"San Francisco",'All ZIPs'!$N$2:$N$1878,"&gt;0")</f>
        <v>2990</v>
      </c>
      <c r="I56" s="8" t="n">
        <v>1095.51270436105</v>
      </c>
      <c r="J56" s="2" t="s">
        <v>4192</v>
      </c>
    </row>
    <row r="57" customFormat="false" ht="15" hidden="false" customHeight="false" outlineLevel="0" collapsed="false">
      <c r="A57" s="2" t="s">
        <v>2837</v>
      </c>
      <c r="B57" s="2" t="s">
        <v>2837</v>
      </c>
      <c r="C57" s="2" t="n">
        <f aca="false">COUNTIF('All ZIPs'!$D$2:$D$1878,"San Joaquin")</f>
        <v>30</v>
      </c>
      <c r="D57" s="2" t="n">
        <f aca="false">COUNTIFS('All ZIPs'!$D$2:$D$1878,"San Joaquin",'All ZIPs'!$N$2:$N$1878,1)</f>
        <v>0</v>
      </c>
      <c r="E57" s="2" t="n">
        <f aca="false">COUNTIFS('All ZIPs'!$D$2:$D$1878,"San Joaquin",'All ZIPs'!$N$2:$N$1878,2)</f>
        <v>0</v>
      </c>
      <c r="F57" s="2" t="n">
        <f aca="false">COUNTIFS('All ZIPs'!$D$2:$D$1878,"San Joaquin",'All ZIPs'!$N$2:$N$1878,3)</f>
        <v>0</v>
      </c>
      <c r="G57" s="2" t="n">
        <f aca="false">SUM(D57:F57)</f>
        <v>0</v>
      </c>
      <c r="H57" s="6" t="n">
        <f aca="false">SUMIFS('All ZIPs'!$K$2:$K$1878,'All ZIPs'!$D$2:$D$1878,"San Joaquin",'All ZIPs'!$N$2:$N$1878,"&gt;0")</f>
        <v>0</v>
      </c>
      <c r="I57" s="8" t="n">
        <v>316.657535075913</v>
      </c>
      <c r="J57" s="2" t="s">
        <v>4237</v>
      </c>
    </row>
    <row r="58" customFormat="false" ht="15" hidden="false" customHeight="false" outlineLevel="0" collapsed="false">
      <c r="A58" s="2" t="s">
        <v>595</v>
      </c>
      <c r="B58" s="2" t="s">
        <v>595</v>
      </c>
      <c r="C58" s="2" t="n">
        <f aca="false">COUNTIF('All ZIPs'!$D$2:$D$1878,"San Luis Obispo")</f>
        <v>20</v>
      </c>
      <c r="D58" s="2" t="n">
        <f aca="false">COUNTIFS('All ZIPs'!$D$2:$D$1878,"San Luis Obispo",'All ZIPs'!$N$2:$N$1878,1)</f>
        <v>5</v>
      </c>
      <c r="E58" s="2" t="n">
        <f aca="false">COUNTIFS('All ZIPs'!$D$2:$D$1878,"San Luis Obispo",'All ZIPs'!$N$2:$N$1878,2)</f>
        <v>3</v>
      </c>
      <c r="F58" s="2" t="n">
        <f aca="false">COUNTIFS('All ZIPs'!$D$2:$D$1878,"San Luis Obispo",'All ZIPs'!$N$2:$N$1878,3)</f>
        <v>6</v>
      </c>
      <c r="G58" s="2" t="n">
        <f aca="false">SUM(D58:F58)</f>
        <v>14</v>
      </c>
      <c r="H58" s="6" t="n">
        <f aca="false">SUMIFS('All ZIPs'!$K$2:$K$1878,'All ZIPs'!$D$2:$D$1878,"San Luis Obispo",'All ZIPs'!$N$2:$N$1878,"&gt;0")</f>
        <v>1465</v>
      </c>
      <c r="I58" s="8" t="n">
        <v>589.791622954817</v>
      </c>
      <c r="J58" s="2" t="s">
        <v>4238</v>
      </c>
    </row>
    <row r="59" customFormat="false" ht="15" hidden="false" customHeight="false" outlineLevel="0" collapsed="false">
      <c r="A59" s="2" t="s">
        <v>62</v>
      </c>
      <c r="B59" s="2" t="s">
        <v>62</v>
      </c>
      <c r="C59" s="2" t="n">
        <f aca="false">COUNTIF('All ZIPs'!$D$2:$D$1878,"San Mateo")</f>
        <v>29</v>
      </c>
      <c r="D59" s="2" t="n">
        <f aca="false">COUNTIFS('All ZIPs'!$D$2:$D$1878,"San Mateo",'All ZIPs'!$N$2:$N$1878,1)</f>
        <v>25</v>
      </c>
      <c r="E59" s="2" t="n">
        <f aca="false">COUNTIFS('All ZIPs'!$D$2:$D$1878,"San Mateo",'All ZIPs'!$N$2:$N$1878,2)</f>
        <v>1</v>
      </c>
      <c r="F59" s="2" t="n">
        <f aca="false">COUNTIFS('All ZIPs'!$D$2:$D$1878,"San Mateo",'All ZIPs'!$N$2:$N$1878,3)</f>
        <v>0</v>
      </c>
      <c r="G59" s="2" t="n">
        <f aca="false">SUM(D59:F59)</f>
        <v>26</v>
      </c>
      <c r="H59" s="6" t="n">
        <f aca="false">SUMIFS('All ZIPs'!$K$2:$K$1878,'All ZIPs'!$D$2:$D$1878,"San Mateo",'All ZIPs'!$N$2:$N$1878,"&gt;0")</f>
        <v>3812</v>
      </c>
      <c r="I59" s="8" t="n">
        <v>1108.48660179795</v>
      </c>
      <c r="J59" s="2" t="s">
        <v>4239</v>
      </c>
    </row>
    <row r="60" customFormat="false" ht="15" hidden="false" customHeight="false" outlineLevel="0" collapsed="false">
      <c r="A60" s="2" t="s">
        <v>423</v>
      </c>
      <c r="B60" s="2" t="s">
        <v>423</v>
      </c>
      <c r="C60" s="2" t="n">
        <f aca="false">COUNTIF('All ZIPs'!$D$2:$D$1878,"Santa Barbara")</f>
        <v>23</v>
      </c>
      <c r="D60" s="2" t="n">
        <f aca="false">COUNTIFS('All ZIPs'!$D$2:$D$1878,"Santa Barbara",'All ZIPs'!$N$2:$N$1878,1)</f>
        <v>12</v>
      </c>
      <c r="E60" s="2" t="n">
        <f aca="false">COUNTIFS('All ZIPs'!$D$2:$D$1878,"Santa Barbara",'All ZIPs'!$N$2:$N$1878,2)</f>
        <v>1</v>
      </c>
      <c r="F60" s="2" t="n">
        <f aca="false">COUNTIFS('All ZIPs'!$D$2:$D$1878,"Santa Barbara",'All ZIPs'!$N$2:$N$1878,3)</f>
        <v>1</v>
      </c>
      <c r="G60" s="2" t="n">
        <f aca="false">SUM(D60:F60)</f>
        <v>14</v>
      </c>
      <c r="H60" s="6" t="n">
        <f aca="false">SUMIFS('All ZIPs'!$K$2:$K$1878,'All ZIPs'!$D$2:$D$1878,"Santa Barbara",'All ZIPs'!$N$2:$N$1878,"&gt;0")</f>
        <v>1168</v>
      </c>
      <c r="I60" s="8" t="n">
        <v>866.041461629333</v>
      </c>
      <c r="J60" s="2" t="s">
        <v>4240</v>
      </c>
    </row>
    <row r="61" customFormat="false" ht="15" hidden="false" customHeight="false" outlineLevel="0" collapsed="false">
      <c r="A61" s="2" t="s">
        <v>39</v>
      </c>
      <c r="B61" s="2" t="s">
        <v>39</v>
      </c>
      <c r="C61" s="2" t="n">
        <f aca="false">COUNTIF('All ZIPs'!$D$2:$D$1878,"Santa Clara")</f>
        <v>58</v>
      </c>
      <c r="D61" s="2" t="n">
        <f aca="false">COUNTIFS('All ZIPs'!$D$2:$D$1878,"Santa Clara",'All ZIPs'!$N$2:$N$1878,1)</f>
        <v>52</v>
      </c>
      <c r="E61" s="2" t="n">
        <f aca="false">COUNTIFS('All ZIPs'!$D$2:$D$1878,"Santa Clara",'All ZIPs'!$N$2:$N$1878,2)</f>
        <v>1</v>
      </c>
      <c r="F61" s="2" t="n">
        <f aca="false">COUNTIFS('All ZIPs'!$D$2:$D$1878,"Santa Clara",'All ZIPs'!$N$2:$N$1878,3)</f>
        <v>2</v>
      </c>
      <c r="G61" s="2" t="n">
        <f aca="false">SUM(D61:F61)</f>
        <v>55</v>
      </c>
      <c r="H61" s="6" t="n">
        <f aca="false">SUMIFS('All ZIPs'!$K$2:$K$1878,'All ZIPs'!$D$2:$D$1878,"Santa Clara",'All ZIPs'!$N$2:$N$1878,"&gt;0")</f>
        <v>8015</v>
      </c>
      <c r="I61" s="8" t="n">
        <v>1097.42754121162</v>
      </c>
      <c r="J61" s="2" t="s">
        <v>4241</v>
      </c>
    </row>
    <row r="62" customFormat="false" ht="15" hidden="false" customHeight="false" outlineLevel="0" collapsed="false">
      <c r="A62" s="2" t="s">
        <v>197</v>
      </c>
      <c r="B62" s="2" t="s">
        <v>197</v>
      </c>
      <c r="C62" s="2" t="n">
        <f aca="false">COUNTIF('All ZIPs'!$D$2:$D$1878,"Santa Cruz")</f>
        <v>17</v>
      </c>
      <c r="D62" s="2" t="n">
        <f aca="false">COUNTIFS('All ZIPs'!$D$2:$D$1878,"Santa Cruz",'All ZIPs'!$N$2:$N$1878,1)</f>
        <v>6</v>
      </c>
      <c r="E62" s="2" t="n">
        <f aca="false">COUNTIFS('All ZIPs'!$D$2:$D$1878,"Santa Cruz",'All ZIPs'!$N$2:$N$1878,2)</f>
        <v>5</v>
      </c>
      <c r="F62" s="2" t="n">
        <f aca="false">COUNTIFS('All ZIPs'!$D$2:$D$1878,"Santa Cruz",'All ZIPs'!$N$2:$N$1878,3)</f>
        <v>2</v>
      </c>
      <c r="G62" s="2" t="n">
        <f aca="false">SUM(D62:F62)</f>
        <v>13</v>
      </c>
      <c r="H62" s="6" t="n">
        <f aca="false">SUMIFS('All ZIPs'!$K$2:$K$1878,'All ZIPs'!$D$2:$D$1878,"Santa Cruz",'All ZIPs'!$N$2:$N$1878,"&gt;0")</f>
        <v>1306</v>
      </c>
      <c r="I62" s="8" t="n">
        <v>678.860735554912</v>
      </c>
      <c r="J62" s="2" t="s">
        <v>4242</v>
      </c>
    </row>
    <row r="63" customFormat="false" ht="15" hidden="false" customHeight="false" outlineLevel="0" collapsed="false">
      <c r="A63" s="2" t="s">
        <v>1685</v>
      </c>
      <c r="B63" s="2" t="s">
        <v>1685</v>
      </c>
      <c r="C63" s="2" t="n">
        <f aca="false">COUNTIF('All ZIPs'!$D$2:$D$1878,"Shasta")</f>
        <v>26</v>
      </c>
      <c r="D63" s="2" t="n">
        <f aca="false">COUNTIFS('All ZIPs'!$D$2:$D$1878,"Shasta",'All ZIPs'!$N$2:$N$1878,1)</f>
        <v>0</v>
      </c>
      <c r="E63" s="2" t="n">
        <f aca="false">COUNTIFS('All ZIPs'!$D$2:$D$1878,"Shasta",'All ZIPs'!$N$2:$N$1878,2)</f>
        <v>1</v>
      </c>
      <c r="F63" s="2" t="n">
        <f aca="false">COUNTIFS('All ZIPs'!$D$2:$D$1878,"Shasta",'All ZIPs'!$N$2:$N$1878,3)</f>
        <v>0</v>
      </c>
      <c r="G63" s="2" t="n">
        <f aca="false">SUM(D63:F63)</f>
        <v>1</v>
      </c>
      <c r="H63" s="6" t="n">
        <f aca="false">SUMIFS('All ZIPs'!$K$2:$K$1878,'All ZIPs'!$D$2:$D$1878,"Shasta",'All ZIPs'!$N$2:$N$1878,"&gt;0")</f>
        <v>5</v>
      </c>
      <c r="I63" s="8" t="n">
        <v>209.267802126184</v>
      </c>
      <c r="J63" s="2" t="s">
        <v>4243</v>
      </c>
    </row>
    <row r="64" customFormat="false" ht="15" hidden="false" customHeight="false" outlineLevel="0" collapsed="false">
      <c r="A64" s="2" t="s">
        <v>3756</v>
      </c>
      <c r="B64" s="2" t="s">
        <v>3756</v>
      </c>
      <c r="C64" s="2" t="n">
        <f aca="false">COUNTIF('All ZIPs'!$D$2:$D$1878,"Sierra")</f>
        <v>9</v>
      </c>
      <c r="D64" s="2" t="n">
        <f aca="false">COUNTIFS('All ZIPs'!$D$2:$D$1878,"Sierra",'All ZIPs'!$N$2:$N$1878,1)</f>
        <v>0</v>
      </c>
      <c r="E64" s="2" t="n">
        <f aca="false">COUNTIFS('All ZIPs'!$D$2:$D$1878,"Sierra",'All ZIPs'!$N$2:$N$1878,2)</f>
        <v>0</v>
      </c>
      <c r="F64" s="2" t="n">
        <f aca="false">COUNTIFS('All ZIPs'!$D$2:$D$1878,"Sierra",'All ZIPs'!$N$2:$N$1878,3)</f>
        <v>0</v>
      </c>
      <c r="G64" s="2" t="n">
        <f aca="false">SUM(D64:F64)</f>
        <v>0</v>
      </c>
      <c r="H64" s="6" t="n">
        <f aca="false">SUMIFS('All ZIPs'!$K$2:$K$1878,'All ZIPs'!$D$2:$D$1878,"Sierra",'All ZIPs'!$N$2:$N$1878,"&gt;0")</f>
        <v>0</v>
      </c>
      <c r="I64" s="8"/>
      <c r="J64" s="2" t="s">
        <v>4244</v>
      </c>
    </row>
    <row r="65" customFormat="false" ht="15" hidden="false" customHeight="false" outlineLevel="0" collapsed="false">
      <c r="A65" s="2" t="s">
        <v>3452</v>
      </c>
      <c r="B65" s="2" t="s">
        <v>3452</v>
      </c>
      <c r="C65" s="2" t="n">
        <f aca="false">COUNTIF('All ZIPs'!$D$2:$D$1878,"Siskiyou")</f>
        <v>22</v>
      </c>
      <c r="D65" s="2" t="n">
        <f aca="false">COUNTIFS('All ZIPs'!$D$2:$D$1878,"Siskiyou",'All ZIPs'!$N$2:$N$1878,1)</f>
        <v>0</v>
      </c>
      <c r="E65" s="2" t="n">
        <f aca="false">COUNTIFS('All ZIPs'!$D$2:$D$1878,"Siskiyou",'All ZIPs'!$N$2:$N$1878,2)</f>
        <v>0</v>
      </c>
      <c r="F65" s="2" t="n">
        <f aca="false">COUNTIFS('All ZIPs'!$D$2:$D$1878,"Siskiyou",'All ZIPs'!$N$2:$N$1878,3)</f>
        <v>0</v>
      </c>
      <c r="G65" s="2" t="n">
        <f aca="false">SUM(D65:F65)</f>
        <v>0</v>
      </c>
      <c r="H65" s="6" t="n">
        <f aca="false">SUMIFS('All ZIPs'!$K$2:$K$1878,'All ZIPs'!$D$2:$D$1878,"Siskiyou",'All ZIPs'!$N$2:$N$1878,"&gt;0")</f>
        <v>0</v>
      </c>
      <c r="I65" s="8"/>
      <c r="J65" s="2" t="s">
        <v>4245</v>
      </c>
    </row>
    <row r="66" customFormat="false" ht="15" hidden="false" customHeight="false" outlineLevel="0" collapsed="false">
      <c r="A66" s="2" t="s">
        <v>2922</v>
      </c>
      <c r="B66" s="2" t="s">
        <v>2922</v>
      </c>
      <c r="C66" s="2" t="n">
        <f aca="false">COUNTIF('All ZIPs'!$D$2:$D$1878,"Solano")</f>
        <v>15</v>
      </c>
      <c r="D66" s="2" t="n">
        <f aca="false">COUNTIFS('All ZIPs'!$D$2:$D$1878,"Solano",'All ZIPs'!$N$2:$N$1878,1)</f>
        <v>0</v>
      </c>
      <c r="E66" s="2" t="n">
        <f aca="false">COUNTIFS('All ZIPs'!$D$2:$D$1878,"Solano",'All ZIPs'!$N$2:$N$1878,2)</f>
        <v>0</v>
      </c>
      <c r="F66" s="2" t="n">
        <f aca="false">COUNTIFS('All ZIPs'!$D$2:$D$1878,"Solano",'All ZIPs'!$N$2:$N$1878,3)</f>
        <v>0</v>
      </c>
      <c r="G66" s="2" t="n">
        <f aca="false">SUM(D66:F66)</f>
        <v>0</v>
      </c>
      <c r="H66" s="6" t="n">
        <f aca="false">SUMIFS('All ZIPs'!$K$2:$K$1878,'All ZIPs'!$D$2:$D$1878,"Solano",'All ZIPs'!$N$2:$N$1878,"&gt;0")</f>
        <v>0</v>
      </c>
      <c r="I66" s="8" t="n">
        <v>343.048768156356</v>
      </c>
      <c r="J66" s="2" t="s">
        <v>4246</v>
      </c>
    </row>
    <row r="67" customFormat="false" ht="15" hidden="false" customHeight="false" outlineLevel="0" collapsed="false">
      <c r="A67" s="2" t="s">
        <v>190</v>
      </c>
      <c r="B67" s="2" t="s">
        <v>190</v>
      </c>
      <c r="C67" s="2" t="n">
        <f aca="false">COUNTIF('All ZIPs'!$D$2:$D$1878,"Sonoma")</f>
        <v>35</v>
      </c>
      <c r="D67" s="2" t="n">
        <f aca="false">COUNTIFS('All ZIPs'!$D$2:$D$1878,"Sonoma",'All ZIPs'!$N$2:$N$1878,1)</f>
        <v>6</v>
      </c>
      <c r="E67" s="2" t="n">
        <f aca="false">COUNTIFS('All ZIPs'!$D$2:$D$1878,"Sonoma",'All ZIPs'!$N$2:$N$1878,2)</f>
        <v>8</v>
      </c>
      <c r="F67" s="2" t="n">
        <f aca="false">COUNTIFS('All ZIPs'!$D$2:$D$1878,"Sonoma",'All ZIPs'!$N$2:$N$1878,3)</f>
        <v>9</v>
      </c>
      <c r="G67" s="2" t="n">
        <f aca="false">SUM(D67:F67)</f>
        <v>23</v>
      </c>
      <c r="H67" s="6" t="n">
        <f aca="false">SUMIFS('All ZIPs'!$K$2:$K$1878,'All ZIPs'!$D$2:$D$1878,"Sonoma",'All ZIPs'!$N$2:$N$1878,"&gt;0")</f>
        <v>1904</v>
      </c>
      <c r="I67" s="8" t="n">
        <v>525.04572830105</v>
      </c>
      <c r="J67" s="2" t="s">
        <v>4247</v>
      </c>
    </row>
    <row r="68" customFormat="false" ht="15" hidden="false" customHeight="false" outlineLevel="0" collapsed="false">
      <c r="A68" s="2" t="s">
        <v>1817</v>
      </c>
      <c r="B68" s="2" t="s">
        <v>1817</v>
      </c>
      <c r="C68" s="2" t="n">
        <f aca="false">COUNTIF('All ZIPs'!$D$2:$D$1878,"Stanislaus")</f>
        <v>25</v>
      </c>
      <c r="D68" s="2" t="n">
        <f aca="false">COUNTIFS('All ZIPs'!$D$2:$D$1878,"Stanislaus",'All ZIPs'!$N$2:$N$1878,1)</f>
        <v>0</v>
      </c>
      <c r="E68" s="2" t="n">
        <f aca="false">COUNTIFS('All ZIPs'!$D$2:$D$1878,"Stanislaus",'All ZIPs'!$N$2:$N$1878,2)</f>
        <v>0</v>
      </c>
      <c r="F68" s="2" t="n">
        <f aca="false">COUNTIFS('All ZIPs'!$D$2:$D$1878,"Stanislaus",'All ZIPs'!$N$2:$N$1878,3)</f>
        <v>1</v>
      </c>
      <c r="G68" s="2" t="n">
        <f aca="false">SUM(D68:F68)</f>
        <v>1</v>
      </c>
      <c r="H68" s="6" t="n">
        <f aca="false">SUMIFS('All ZIPs'!$K$2:$K$1878,'All ZIPs'!$D$2:$D$1878,"Stanislaus",'All ZIPs'!$N$2:$N$1878,"&gt;0")</f>
        <v>2</v>
      </c>
      <c r="I68" s="8" t="n">
        <v>307.165305762093</v>
      </c>
      <c r="J68" s="2" t="s">
        <v>4248</v>
      </c>
    </row>
    <row r="69" customFormat="false" ht="15" hidden="false" customHeight="false" outlineLevel="0" collapsed="false">
      <c r="A69" s="2" t="s">
        <v>1758</v>
      </c>
      <c r="B69" s="2" t="s">
        <v>1758</v>
      </c>
      <c r="C69" s="2" t="n">
        <f aca="false">COUNTIF('All ZIPs'!$D$2:$D$1878,"Sutter")</f>
        <v>9</v>
      </c>
      <c r="D69" s="2" t="n">
        <f aca="false">COUNTIFS('All ZIPs'!$D$2:$D$1878,"Sutter",'All ZIPs'!$N$2:$N$1878,1)</f>
        <v>0</v>
      </c>
      <c r="E69" s="2" t="n">
        <f aca="false">COUNTIFS('All ZIPs'!$D$2:$D$1878,"Sutter",'All ZIPs'!$N$2:$N$1878,2)</f>
        <v>0</v>
      </c>
      <c r="F69" s="2" t="n">
        <f aca="false">COUNTIFS('All ZIPs'!$D$2:$D$1878,"Sutter",'All ZIPs'!$N$2:$N$1878,3)</f>
        <v>1</v>
      </c>
      <c r="G69" s="2" t="n">
        <f aca="false">SUM(D69:F69)</f>
        <v>1</v>
      </c>
      <c r="H69" s="6" t="n">
        <f aca="false">SUMIFS('All ZIPs'!$K$2:$K$1878,'All ZIPs'!$D$2:$D$1878,"Sutter",'All ZIPs'!$N$2:$N$1878,"&gt;0")</f>
        <v>4</v>
      </c>
      <c r="I69" s="8" t="n">
        <v>303.85766993125</v>
      </c>
      <c r="J69" s="2" t="s">
        <v>4249</v>
      </c>
    </row>
    <row r="70" customFormat="false" ht="15" hidden="false" customHeight="false" outlineLevel="0" collapsed="false">
      <c r="A70" s="2" t="s">
        <v>1763</v>
      </c>
      <c r="B70" s="2" t="s">
        <v>1763</v>
      </c>
      <c r="C70" s="2" t="n">
        <f aca="false">COUNTIF('All ZIPs'!$D$2:$D$1878,"Tehama")</f>
        <v>12</v>
      </c>
      <c r="D70" s="2" t="n">
        <f aca="false">COUNTIFS('All ZIPs'!$D$2:$D$1878,"Tehama",'All ZIPs'!$N$2:$N$1878,1)</f>
        <v>0</v>
      </c>
      <c r="E70" s="2" t="n">
        <f aca="false">COUNTIFS('All ZIPs'!$D$2:$D$1878,"Tehama",'All ZIPs'!$N$2:$N$1878,2)</f>
        <v>1</v>
      </c>
      <c r="F70" s="2" t="n">
        <f aca="false">COUNTIFS('All ZIPs'!$D$2:$D$1878,"Tehama",'All ZIPs'!$N$2:$N$1878,3)</f>
        <v>0</v>
      </c>
      <c r="G70" s="2" t="n">
        <f aca="false">SUM(D70:F70)</f>
        <v>1</v>
      </c>
      <c r="H70" s="6" t="n">
        <f aca="false">SUMIFS('All ZIPs'!$K$2:$K$1878,'All ZIPs'!$D$2:$D$1878,"Tehama",'All ZIPs'!$N$2:$N$1878,"&gt;0")</f>
        <v>2</v>
      </c>
      <c r="I70" s="8" t="n">
        <v>223.5161060158</v>
      </c>
      <c r="J70" s="2" t="s">
        <v>4250</v>
      </c>
    </row>
    <row r="71" customFormat="false" ht="15" hidden="false" customHeight="false" outlineLevel="0" collapsed="false">
      <c r="A71" s="2" t="s">
        <v>3380</v>
      </c>
      <c r="B71" s="2" t="s">
        <v>3380</v>
      </c>
      <c r="C71" s="2" t="n">
        <f aca="false">COUNTIF('All ZIPs'!$D$2:$D$1878,"Trinity")</f>
        <v>12</v>
      </c>
      <c r="D71" s="2" t="n">
        <f aca="false">COUNTIFS('All ZIPs'!$D$2:$D$1878,"Trinity",'All ZIPs'!$N$2:$N$1878,1)</f>
        <v>0</v>
      </c>
      <c r="E71" s="2" t="n">
        <f aca="false">COUNTIFS('All ZIPs'!$D$2:$D$1878,"Trinity",'All ZIPs'!$N$2:$N$1878,2)</f>
        <v>0</v>
      </c>
      <c r="F71" s="2" t="n">
        <f aca="false">COUNTIFS('All ZIPs'!$D$2:$D$1878,"Trinity",'All ZIPs'!$N$2:$N$1878,3)</f>
        <v>0</v>
      </c>
      <c r="G71" s="2" t="n">
        <f aca="false">SUM(D71:F71)</f>
        <v>0</v>
      </c>
      <c r="H71" s="6" t="n">
        <f aca="false">SUMIFS('All ZIPs'!$K$2:$K$1878,'All ZIPs'!$D$2:$D$1878,"Trinity",'All ZIPs'!$N$2:$N$1878,"&gt;0")</f>
        <v>0</v>
      </c>
      <c r="I71" s="8"/>
      <c r="J71" s="2" t="s">
        <v>4251</v>
      </c>
    </row>
    <row r="72" customFormat="false" ht="15" hidden="false" customHeight="false" outlineLevel="0" collapsed="false">
      <c r="A72" s="2" t="s">
        <v>2437</v>
      </c>
      <c r="B72" s="2" t="s">
        <v>2437</v>
      </c>
      <c r="C72" s="2" t="n">
        <f aca="false">COUNTIF('All ZIPs'!$D$2:$D$1878,"Tulare")</f>
        <v>35</v>
      </c>
      <c r="D72" s="2" t="n">
        <f aca="false">COUNTIFS('All ZIPs'!$D$2:$D$1878,"Tulare",'All ZIPs'!$N$2:$N$1878,1)</f>
        <v>0</v>
      </c>
      <c r="E72" s="2" t="n">
        <f aca="false">COUNTIFS('All ZIPs'!$D$2:$D$1878,"Tulare",'All ZIPs'!$N$2:$N$1878,2)</f>
        <v>0</v>
      </c>
      <c r="F72" s="2" t="n">
        <f aca="false">COUNTIFS('All ZIPs'!$D$2:$D$1878,"Tulare",'All ZIPs'!$N$2:$N$1878,3)</f>
        <v>0</v>
      </c>
      <c r="G72" s="2" t="n">
        <f aca="false">SUM(D72:F72)</f>
        <v>0</v>
      </c>
      <c r="H72" s="6" t="n">
        <f aca="false">SUMIFS('All ZIPs'!$K$2:$K$1878,'All ZIPs'!$D$2:$D$1878,"Tulare",'All ZIPs'!$N$2:$N$1878,"&gt;0")</f>
        <v>0</v>
      </c>
      <c r="I72" s="8" t="n">
        <v>237.811350631167</v>
      </c>
      <c r="J72" s="2" t="s">
        <v>4252</v>
      </c>
    </row>
    <row r="73" customFormat="false" ht="15" hidden="false" customHeight="false" outlineLevel="0" collapsed="false">
      <c r="A73" s="2" t="s">
        <v>3120</v>
      </c>
      <c r="B73" s="2" t="s">
        <v>3120</v>
      </c>
      <c r="C73" s="2" t="n">
        <f aca="false">COUNTIF('All ZIPs'!$D$2:$D$1878,"Tuolumne")</f>
        <v>14</v>
      </c>
      <c r="D73" s="2" t="n">
        <f aca="false">COUNTIFS('All ZIPs'!$D$2:$D$1878,"Tuolumne",'All ZIPs'!$N$2:$N$1878,1)</f>
        <v>0</v>
      </c>
      <c r="E73" s="2" t="n">
        <f aca="false">COUNTIFS('All ZIPs'!$D$2:$D$1878,"Tuolumne",'All ZIPs'!$N$2:$N$1878,2)</f>
        <v>0</v>
      </c>
      <c r="F73" s="2" t="n">
        <f aca="false">COUNTIFS('All ZIPs'!$D$2:$D$1878,"Tuolumne",'All ZIPs'!$N$2:$N$1878,3)</f>
        <v>0</v>
      </c>
      <c r="G73" s="2" t="n">
        <f aca="false">SUM(D73:F73)</f>
        <v>0</v>
      </c>
      <c r="H73" s="6" t="n">
        <f aca="false">SUMIFS('All ZIPs'!$K$2:$K$1878,'All ZIPs'!$D$2:$D$1878,"Tuolumne",'All ZIPs'!$N$2:$N$1878,"&gt;0")</f>
        <v>0</v>
      </c>
      <c r="I73" s="8" t="n">
        <v>248.784143635016</v>
      </c>
      <c r="J73" s="2" t="s">
        <v>4253</v>
      </c>
    </row>
    <row r="74" customFormat="false" ht="15" hidden="false" customHeight="false" outlineLevel="0" collapsed="false">
      <c r="A74" s="2" t="s">
        <v>273</v>
      </c>
      <c r="B74" s="2" t="s">
        <v>273</v>
      </c>
      <c r="C74" s="2" t="n">
        <f aca="false">COUNTIF('All ZIPs'!$D$2:$D$1878,"Ventura")</f>
        <v>29</v>
      </c>
      <c r="D74" s="2" t="n">
        <f aca="false">COUNTIFS('All ZIPs'!$D$2:$D$1878,"Ventura",'All ZIPs'!$N$2:$N$1878,1)</f>
        <v>4</v>
      </c>
      <c r="E74" s="2" t="n">
        <f aca="false">COUNTIFS('All ZIPs'!$D$2:$D$1878,"Ventura",'All ZIPs'!$N$2:$N$1878,2)</f>
        <v>2</v>
      </c>
      <c r="F74" s="2" t="n">
        <f aca="false">COUNTIFS('All ZIPs'!$D$2:$D$1878,"Ventura",'All ZIPs'!$N$2:$N$1878,3)</f>
        <v>9</v>
      </c>
      <c r="G74" s="2" t="n">
        <f aca="false">SUM(D74:F74)</f>
        <v>15</v>
      </c>
      <c r="H74" s="6" t="n">
        <f aca="false">SUMIFS('All ZIPs'!$K$2:$K$1878,'All ZIPs'!$D$2:$D$1878,"Ventura",'All ZIPs'!$N$2:$N$1878,"&gt;0")</f>
        <v>2910</v>
      </c>
      <c r="I74" s="8" t="n">
        <v>510.597362266592</v>
      </c>
      <c r="J74" s="2" t="s">
        <v>4198</v>
      </c>
    </row>
    <row r="75" customFormat="false" ht="15" hidden="false" customHeight="false" outlineLevel="0" collapsed="false">
      <c r="A75" s="2" t="s">
        <v>1800</v>
      </c>
      <c r="B75" s="2" t="s">
        <v>1800</v>
      </c>
      <c r="C75" s="2" t="n">
        <f aca="false">COUNTIF('All ZIPs'!$D$2:$D$1878,"Yolo")</f>
        <v>17</v>
      </c>
      <c r="D75" s="2" t="n">
        <f aca="false">COUNTIFS('All ZIPs'!$D$2:$D$1878,"Yolo",'All ZIPs'!$N$2:$N$1878,1)</f>
        <v>1</v>
      </c>
      <c r="E75" s="2" t="n">
        <f aca="false">COUNTIFS('All ZIPs'!$D$2:$D$1878,"Yolo",'All ZIPs'!$N$2:$N$1878,2)</f>
        <v>0</v>
      </c>
      <c r="F75" s="2" t="n">
        <f aca="false">COUNTIFS('All ZIPs'!$D$2:$D$1878,"Yolo",'All ZIPs'!$N$2:$N$1878,3)</f>
        <v>1</v>
      </c>
      <c r="G75" s="2" t="n">
        <f aca="false">SUM(D75:F75)</f>
        <v>2</v>
      </c>
      <c r="H75" s="6" t="n">
        <f aca="false">SUMIFS('All ZIPs'!$K$2:$K$1878,'All ZIPs'!$D$2:$D$1878,"Yolo",'All ZIPs'!$N$2:$N$1878,"&gt;0")</f>
        <v>3</v>
      </c>
      <c r="I75" s="8" t="n">
        <v>346.656436747425</v>
      </c>
      <c r="J75" s="2" t="s">
        <v>4254</v>
      </c>
    </row>
    <row r="76" customFormat="false" ht="15" hidden="false" customHeight="false" outlineLevel="0" collapsed="false">
      <c r="A76" s="2" t="s">
        <v>3638</v>
      </c>
      <c r="B76" s="2" t="s">
        <v>3638</v>
      </c>
      <c r="C76" s="2" t="n">
        <f aca="false">COUNTIF('All ZIPs'!$D$2:$D$1878,"Yuba")</f>
        <v>11</v>
      </c>
      <c r="D76" s="2" t="n">
        <f aca="false">COUNTIFS('All ZIPs'!$D$2:$D$1878,"Yuba",'All ZIPs'!$N$2:$N$1878,1)</f>
        <v>0</v>
      </c>
      <c r="E76" s="2" t="n">
        <f aca="false">COUNTIFS('All ZIPs'!$D$2:$D$1878,"Yuba",'All ZIPs'!$N$2:$N$1878,2)</f>
        <v>0</v>
      </c>
      <c r="F76" s="2" t="n">
        <f aca="false">COUNTIFS('All ZIPs'!$D$2:$D$1878,"Yuba",'All ZIPs'!$N$2:$N$1878,3)</f>
        <v>0</v>
      </c>
      <c r="G76" s="2" t="n">
        <f aca="false">SUM(D76:F76)</f>
        <v>0</v>
      </c>
      <c r="H76" s="6" t="n">
        <f aca="false">SUMIFS('All ZIPs'!$K$2:$K$1878,'All ZIPs'!$D$2:$D$1878,"Yuba",'All ZIPs'!$N$2:$N$1878,"&gt;0")</f>
        <v>0</v>
      </c>
      <c r="I76" s="8" t="n">
        <v>260.732198023673</v>
      </c>
      <c r="J76" s="2" t="s">
        <v>4255</v>
      </c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4" t="s">
        <v>4256</v>
      </c>
      <c r="B78" s="2"/>
      <c r="C78" s="2"/>
      <c r="D78" s="2"/>
      <c r="E78" s="2"/>
      <c r="F78" s="2"/>
      <c r="G78" s="2"/>
      <c r="H78" s="2"/>
      <c r="I78" s="2"/>
      <c r="J7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9"/>
  </cols>
  <sheetData>
    <row r="1" customFormat="false" ht="42" hidden="false" customHeight="true" outlineLevel="0" collapsed="false">
      <c r="A1" s="7" t="s">
        <v>14</v>
      </c>
      <c r="B1" s="7" t="s">
        <v>15</v>
      </c>
      <c r="C1" s="7" t="s">
        <v>16</v>
      </c>
      <c r="D1" s="7" t="s">
        <v>4257</v>
      </c>
      <c r="E1" s="7" t="s">
        <v>4258</v>
      </c>
      <c r="F1" s="7" t="s">
        <v>3</v>
      </c>
      <c r="G1" s="7" t="s">
        <v>4259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4260</v>
      </c>
      <c r="E2" s="2" t="s">
        <v>4261</v>
      </c>
      <c r="F2" s="2" t="s">
        <v>8</v>
      </c>
      <c r="G2" s="2" t="n">
        <v>1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4262</v>
      </c>
      <c r="E3" s="2" t="s">
        <v>4261</v>
      </c>
      <c r="F3" s="2" t="s">
        <v>8</v>
      </c>
      <c r="G3" s="2" t="n">
        <v>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4263</v>
      </c>
      <c r="E4" s="2" t="s">
        <v>4264</v>
      </c>
      <c r="F4" s="2" t="s">
        <v>8</v>
      </c>
      <c r="G4" s="2" t="n">
        <v>2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4265</v>
      </c>
      <c r="E5" s="2" t="s">
        <v>4264</v>
      </c>
      <c r="F5" s="2" t="s">
        <v>8</v>
      </c>
      <c r="G5" s="2" t="n">
        <v>2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4266</v>
      </c>
      <c r="E6" s="2" t="s">
        <v>4261</v>
      </c>
      <c r="F6" s="2" t="s">
        <v>8</v>
      </c>
      <c r="G6" s="2" t="n">
        <v>2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4267</v>
      </c>
      <c r="E7" s="2" t="s">
        <v>4261</v>
      </c>
      <c r="F7" s="2" t="s">
        <v>8</v>
      </c>
      <c r="G7" s="2" t="n">
        <v>2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4268</v>
      </c>
      <c r="E8" s="2" t="s">
        <v>4261</v>
      </c>
      <c r="F8" s="2" t="s">
        <v>8</v>
      </c>
      <c r="G8" s="2" t="n">
        <v>2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4269</v>
      </c>
      <c r="E9" s="2" t="s">
        <v>4261</v>
      </c>
      <c r="F9" s="2" t="s">
        <v>8</v>
      </c>
      <c r="G9" s="2" t="n">
        <v>2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4270</v>
      </c>
      <c r="E10" s="2" t="s">
        <v>4271</v>
      </c>
      <c r="F10" s="2" t="s">
        <v>8</v>
      </c>
      <c r="G10" s="2" t="n">
        <v>3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39</v>
      </c>
      <c r="D11" s="2" t="s">
        <v>4272</v>
      </c>
      <c r="E11" s="2" t="s">
        <v>4271</v>
      </c>
      <c r="F11" s="2" t="s">
        <v>8</v>
      </c>
      <c r="G11" s="2" t="n">
        <v>3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44</v>
      </c>
      <c r="D12" s="2" t="s">
        <v>4273</v>
      </c>
      <c r="E12" s="2" t="s">
        <v>4261</v>
      </c>
      <c r="F12" s="2" t="s">
        <v>8</v>
      </c>
      <c r="G12" s="2" t="n">
        <v>4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44</v>
      </c>
      <c r="D13" s="2" t="s">
        <v>4274</v>
      </c>
      <c r="E13" s="2" t="s">
        <v>4261</v>
      </c>
      <c r="F13" s="2" t="s">
        <v>8</v>
      </c>
      <c r="G13" s="2" t="n">
        <v>4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s">
        <v>44</v>
      </c>
      <c r="D14" s="2" t="s">
        <v>4275</v>
      </c>
      <c r="E14" s="2" t="s">
        <v>4261</v>
      </c>
      <c r="F14" s="2" t="s">
        <v>8</v>
      </c>
      <c r="G14" s="2" t="n">
        <v>4</v>
      </c>
    </row>
    <row r="15" customFormat="false" ht="15" hidden="false" customHeight="false" outlineLevel="0" collapsed="false">
      <c r="A15" s="2" t="s">
        <v>42</v>
      </c>
      <c r="B15" s="2" t="s">
        <v>43</v>
      </c>
      <c r="C15" s="2" t="s">
        <v>44</v>
      </c>
      <c r="D15" s="2" t="s">
        <v>4276</v>
      </c>
      <c r="E15" s="2" t="s">
        <v>4261</v>
      </c>
      <c r="F15" s="2" t="s">
        <v>8</v>
      </c>
      <c r="G15" s="2" t="n">
        <v>4</v>
      </c>
    </row>
    <row r="16" customFormat="false" ht="15" hidden="false" customHeight="false" outlineLevel="0" collapsed="false">
      <c r="A16" s="2" t="s">
        <v>42</v>
      </c>
      <c r="B16" s="2" t="s">
        <v>43</v>
      </c>
      <c r="C16" s="2" t="s">
        <v>44</v>
      </c>
      <c r="D16" s="2" t="s">
        <v>4277</v>
      </c>
      <c r="E16" s="2" t="s">
        <v>4271</v>
      </c>
      <c r="F16" s="2" t="s">
        <v>8</v>
      </c>
      <c r="G16" s="2" t="n">
        <v>4</v>
      </c>
    </row>
    <row r="17" customFormat="false" ht="15" hidden="false" customHeight="false" outlineLevel="0" collapsed="false">
      <c r="A17" s="2" t="s">
        <v>42</v>
      </c>
      <c r="B17" s="2" t="s">
        <v>43</v>
      </c>
      <c r="C17" s="2" t="s">
        <v>44</v>
      </c>
      <c r="D17" s="2" t="s">
        <v>4278</v>
      </c>
      <c r="E17" s="2" t="s">
        <v>4261</v>
      </c>
      <c r="F17" s="2" t="s">
        <v>8</v>
      </c>
      <c r="G17" s="2" t="n">
        <v>4</v>
      </c>
    </row>
    <row r="18" customFormat="false" ht="15" hidden="false" customHeight="false" outlineLevel="0" collapsed="false">
      <c r="A18" s="2" t="s">
        <v>42</v>
      </c>
      <c r="B18" s="2" t="s">
        <v>43</v>
      </c>
      <c r="C18" s="2" t="s">
        <v>44</v>
      </c>
      <c r="D18" s="2" t="s">
        <v>4279</v>
      </c>
      <c r="E18" s="2" t="s">
        <v>4264</v>
      </c>
      <c r="F18" s="2" t="s">
        <v>8</v>
      </c>
      <c r="G18" s="2" t="n">
        <v>4</v>
      </c>
    </row>
    <row r="19" customFormat="false" ht="15" hidden="false" customHeight="false" outlineLevel="0" collapsed="false">
      <c r="A19" s="2" t="s">
        <v>42</v>
      </c>
      <c r="B19" s="2" t="s">
        <v>43</v>
      </c>
      <c r="C19" s="2" t="s">
        <v>44</v>
      </c>
      <c r="D19" s="2" t="s">
        <v>4280</v>
      </c>
      <c r="E19" s="2" t="s">
        <v>4261</v>
      </c>
      <c r="F19" s="2" t="s">
        <v>8</v>
      </c>
      <c r="G19" s="2" t="n">
        <v>4</v>
      </c>
    </row>
    <row r="20" customFormat="false" ht="15" hidden="false" customHeight="false" outlineLevel="0" collapsed="false">
      <c r="A20" s="2" t="s">
        <v>42</v>
      </c>
      <c r="B20" s="2" t="s">
        <v>43</v>
      </c>
      <c r="C20" s="2" t="s">
        <v>44</v>
      </c>
      <c r="D20" s="2" t="s">
        <v>4281</v>
      </c>
      <c r="E20" s="2" t="s">
        <v>4271</v>
      </c>
      <c r="F20" s="2" t="s">
        <v>8</v>
      </c>
      <c r="G20" s="2" t="n">
        <v>4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44</v>
      </c>
      <c r="D21" s="2" t="s">
        <v>4282</v>
      </c>
      <c r="E21" s="2" t="s">
        <v>4261</v>
      </c>
      <c r="F21" s="2" t="s">
        <v>8</v>
      </c>
      <c r="G21" s="2" t="n">
        <v>4</v>
      </c>
    </row>
    <row r="22" customFormat="false" ht="15" hidden="false" customHeight="false" outlineLevel="0" collapsed="false">
      <c r="A22" s="2" t="s">
        <v>42</v>
      </c>
      <c r="B22" s="2" t="s">
        <v>43</v>
      </c>
      <c r="C22" s="2" t="s">
        <v>44</v>
      </c>
      <c r="D22" s="2" t="s">
        <v>4283</v>
      </c>
      <c r="E22" s="2" t="s">
        <v>4264</v>
      </c>
      <c r="F22" s="2" t="s">
        <v>8</v>
      </c>
      <c r="G22" s="2" t="n">
        <v>4</v>
      </c>
    </row>
    <row r="23" customFormat="false" ht="15" hidden="false" customHeight="false" outlineLevel="0" collapsed="false">
      <c r="A23" s="2" t="s">
        <v>42</v>
      </c>
      <c r="B23" s="2" t="s">
        <v>43</v>
      </c>
      <c r="C23" s="2" t="s">
        <v>44</v>
      </c>
      <c r="D23" s="2" t="s">
        <v>4284</v>
      </c>
      <c r="E23" s="2" t="s">
        <v>4264</v>
      </c>
      <c r="F23" s="2" t="s">
        <v>8</v>
      </c>
      <c r="G23" s="2" t="n">
        <v>4</v>
      </c>
    </row>
    <row r="24" customFormat="false" ht="15" hidden="false" customHeight="false" outlineLevel="0" collapsed="false">
      <c r="A24" s="2" t="s">
        <v>42</v>
      </c>
      <c r="B24" s="2" t="s">
        <v>43</v>
      </c>
      <c r="C24" s="2" t="s">
        <v>44</v>
      </c>
      <c r="D24" s="2" t="s">
        <v>4285</v>
      </c>
      <c r="E24" s="2" t="s">
        <v>4264</v>
      </c>
      <c r="F24" s="2" t="s">
        <v>8</v>
      </c>
      <c r="G24" s="2" t="n">
        <v>4</v>
      </c>
    </row>
    <row r="25" customFormat="false" ht="15" hidden="false" customHeight="false" outlineLevel="0" collapsed="false">
      <c r="A25" s="2" t="s">
        <v>42</v>
      </c>
      <c r="B25" s="2" t="s">
        <v>43</v>
      </c>
      <c r="C25" s="2" t="s">
        <v>44</v>
      </c>
      <c r="D25" s="2" t="s">
        <v>4286</v>
      </c>
      <c r="E25" s="2" t="s">
        <v>4261</v>
      </c>
      <c r="F25" s="2" t="s">
        <v>8</v>
      </c>
      <c r="G25" s="2" t="n">
        <v>4</v>
      </c>
    </row>
    <row r="26" customFormat="false" ht="15" hidden="false" customHeight="false" outlineLevel="0" collapsed="false">
      <c r="A26" s="2" t="s">
        <v>42</v>
      </c>
      <c r="B26" s="2" t="s">
        <v>43</v>
      </c>
      <c r="C26" s="2" t="s">
        <v>44</v>
      </c>
      <c r="D26" s="2" t="s">
        <v>4287</v>
      </c>
      <c r="E26" s="2" t="s">
        <v>4264</v>
      </c>
      <c r="F26" s="2" t="s">
        <v>8</v>
      </c>
      <c r="G26" s="2" t="n">
        <v>4</v>
      </c>
    </row>
    <row r="27" customFormat="false" ht="15" hidden="false" customHeight="false" outlineLevel="0" collapsed="false">
      <c r="A27" s="2" t="s">
        <v>46</v>
      </c>
      <c r="B27" s="2" t="s">
        <v>38</v>
      </c>
      <c r="C27" s="2" t="s">
        <v>39</v>
      </c>
      <c r="D27" s="2" t="s">
        <v>47</v>
      </c>
      <c r="E27" s="2" t="s">
        <v>4264</v>
      </c>
      <c r="F27" s="2" t="s">
        <v>8</v>
      </c>
      <c r="G27" s="2" t="n">
        <v>5</v>
      </c>
    </row>
    <row r="28" customFormat="false" ht="15" hidden="false" customHeight="false" outlineLevel="0" collapsed="false">
      <c r="A28" s="2" t="s">
        <v>48</v>
      </c>
      <c r="B28" s="2" t="s">
        <v>49</v>
      </c>
      <c r="C28" s="2" t="s">
        <v>50</v>
      </c>
      <c r="D28" s="2" t="s">
        <v>4288</v>
      </c>
      <c r="E28" s="2" t="s">
        <v>4261</v>
      </c>
      <c r="F28" s="2" t="s">
        <v>9</v>
      </c>
      <c r="G28" s="2" t="n">
        <v>6</v>
      </c>
    </row>
    <row r="29" customFormat="false" ht="15" hidden="false" customHeight="false" outlineLevel="0" collapsed="false">
      <c r="A29" s="2" t="s">
        <v>48</v>
      </c>
      <c r="B29" s="2" t="s">
        <v>49</v>
      </c>
      <c r="C29" s="2" t="s">
        <v>50</v>
      </c>
      <c r="D29" s="2" t="s">
        <v>4289</v>
      </c>
      <c r="E29" s="2" t="s">
        <v>4261</v>
      </c>
      <c r="F29" s="2" t="s">
        <v>9</v>
      </c>
      <c r="G29" s="2" t="n">
        <v>6</v>
      </c>
    </row>
    <row r="30" customFormat="false" ht="15" hidden="false" customHeight="false" outlineLevel="0" collapsed="false">
      <c r="A30" s="2" t="s">
        <v>48</v>
      </c>
      <c r="B30" s="2" t="s">
        <v>49</v>
      </c>
      <c r="C30" s="2" t="s">
        <v>50</v>
      </c>
      <c r="D30" s="2" t="s">
        <v>4290</v>
      </c>
      <c r="E30" s="2" t="s">
        <v>4261</v>
      </c>
      <c r="F30" s="2" t="s">
        <v>9</v>
      </c>
      <c r="G30" s="2" t="n">
        <v>6</v>
      </c>
    </row>
    <row r="31" customFormat="false" ht="15" hidden="false" customHeight="false" outlineLevel="0" collapsed="false">
      <c r="A31" s="2" t="s">
        <v>48</v>
      </c>
      <c r="B31" s="2" t="s">
        <v>49</v>
      </c>
      <c r="C31" s="2" t="s">
        <v>50</v>
      </c>
      <c r="D31" s="2" t="s">
        <v>112</v>
      </c>
      <c r="E31" s="2" t="s">
        <v>4261</v>
      </c>
      <c r="F31" s="2" t="s">
        <v>9</v>
      </c>
      <c r="G31" s="2" t="n">
        <v>6</v>
      </c>
    </row>
    <row r="32" customFormat="false" ht="15" hidden="false" customHeight="false" outlineLevel="0" collapsed="false">
      <c r="A32" s="2" t="s">
        <v>48</v>
      </c>
      <c r="B32" s="2" t="s">
        <v>49</v>
      </c>
      <c r="C32" s="2" t="s">
        <v>50</v>
      </c>
      <c r="D32" s="2" t="s">
        <v>4291</v>
      </c>
      <c r="E32" s="2" t="s">
        <v>4261</v>
      </c>
      <c r="F32" s="2" t="s">
        <v>9</v>
      </c>
      <c r="G32" s="2" t="n">
        <v>6</v>
      </c>
    </row>
    <row r="33" customFormat="false" ht="15" hidden="false" customHeight="false" outlineLevel="0" collapsed="false">
      <c r="A33" s="2" t="s">
        <v>48</v>
      </c>
      <c r="B33" s="2" t="s">
        <v>49</v>
      </c>
      <c r="C33" s="2" t="s">
        <v>50</v>
      </c>
      <c r="D33" s="2" t="s">
        <v>4292</v>
      </c>
      <c r="E33" s="2" t="s">
        <v>4261</v>
      </c>
      <c r="F33" s="2" t="s">
        <v>9</v>
      </c>
      <c r="G33" s="2" t="n">
        <v>6</v>
      </c>
    </row>
    <row r="34" customFormat="false" ht="15" hidden="false" customHeight="false" outlineLevel="0" collapsed="false">
      <c r="A34" s="2" t="s">
        <v>48</v>
      </c>
      <c r="B34" s="2" t="s">
        <v>49</v>
      </c>
      <c r="C34" s="2" t="s">
        <v>50</v>
      </c>
      <c r="D34" s="2" t="s">
        <v>4293</v>
      </c>
      <c r="E34" s="2" t="s">
        <v>4261</v>
      </c>
      <c r="F34" s="2" t="s">
        <v>9</v>
      </c>
      <c r="G34" s="2" t="n">
        <v>6</v>
      </c>
    </row>
    <row r="35" customFormat="false" ht="15" hidden="false" customHeight="false" outlineLevel="0" collapsed="false">
      <c r="A35" s="2" t="s">
        <v>48</v>
      </c>
      <c r="B35" s="2" t="s">
        <v>49</v>
      </c>
      <c r="C35" s="2" t="s">
        <v>50</v>
      </c>
      <c r="D35" s="2" t="s">
        <v>4294</v>
      </c>
      <c r="E35" s="2" t="s">
        <v>4261</v>
      </c>
      <c r="F35" s="2" t="s">
        <v>9</v>
      </c>
      <c r="G35" s="2" t="n">
        <v>6</v>
      </c>
    </row>
    <row r="36" customFormat="false" ht="15" hidden="false" customHeight="false" outlineLevel="0" collapsed="false">
      <c r="A36" s="2" t="s">
        <v>48</v>
      </c>
      <c r="B36" s="2" t="s">
        <v>49</v>
      </c>
      <c r="C36" s="2" t="s">
        <v>50</v>
      </c>
      <c r="D36" s="2" t="s">
        <v>4295</v>
      </c>
      <c r="E36" s="2" t="s">
        <v>4261</v>
      </c>
      <c r="F36" s="2" t="s">
        <v>9</v>
      </c>
      <c r="G36" s="2" t="n">
        <v>6</v>
      </c>
    </row>
    <row r="37" customFormat="false" ht="15" hidden="false" customHeight="false" outlineLevel="0" collapsed="false">
      <c r="A37" s="2" t="s">
        <v>48</v>
      </c>
      <c r="B37" s="2" t="s">
        <v>49</v>
      </c>
      <c r="C37" s="2" t="s">
        <v>50</v>
      </c>
      <c r="D37" s="2" t="s">
        <v>4296</v>
      </c>
      <c r="E37" s="2" t="s">
        <v>4261</v>
      </c>
      <c r="F37" s="2" t="s">
        <v>9</v>
      </c>
      <c r="G37" s="2" t="n">
        <v>6</v>
      </c>
    </row>
    <row r="38" customFormat="false" ht="15" hidden="false" customHeight="false" outlineLevel="0" collapsed="false">
      <c r="A38" s="2" t="s">
        <v>48</v>
      </c>
      <c r="B38" s="2" t="s">
        <v>49</v>
      </c>
      <c r="C38" s="2" t="s">
        <v>50</v>
      </c>
      <c r="D38" s="2" t="s">
        <v>4297</v>
      </c>
      <c r="E38" s="2" t="s">
        <v>4261</v>
      </c>
      <c r="F38" s="2" t="s">
        <v>9</v>
      </c>
      <c r="G38" s="2" t="n">
        <v>6</v>
      </c>
    </row>
    <row r="39" customFormat="false" ht="15" hidden="false" customHeight="false" outlineLevel="0" collapsed="false">
      <c r="A39" s="2" t="s">
        <v>48</v>
      </c>
      <c r="B39" s="2" t="s">
        <v>49</v>
      </c>
      <c r="C39" s="2" t="s">
        <v>50</v>
      </c>
      <c r="D39" s="2" t="s">
        <v>4298</v>
      </c>
      <c r="E39" s="2" t="s">
        <v>4261</v>
      </c>
      <c r="F39" s="2" t="s">
        <v>9</v>
      </c>
      <c r="G39" s="2" t="n">
        <v>6</v>
      </c>
    </row>
    <row r="40" customFormat="false" ht="15" hidden="false" customHeight="false" outlineLevel="0" collapsed="false">
      <c r="A40" s="2" t="s">
        <v>48</v>
      </c>
      <c r="B40" s="2" t="s">
        <v>49</v>
      </c>
      <c r="C40" s="2" t="s">
        <v>50</v>
      </c>
      <c r="D40" s="2" t="s">
        <v>4299</v>
      </c>
      <c r="E40" s="2" t="s">
        <v>4264</v>
      </c>
      <c r="F40" s="2" t="s">
        <v>9</v>
      </c>
      <c r="G40" s="2" t="n">
        <v>6</v>
      </c>
    </row>
    <row r="41" customFormat="false" ht="15" hidden="false" customHeight="false" outlineLevel="0" collapsed="false">
      <c r="A41" s="2" t="s">
        <v>48</v>
      </c>
      <c r="B41" s="2" t="s">
        <v>49</v>
      </c>
      <c r="C41" s="2" t="s">
        <v>50</v>
      </c>
      <c r="D41" s="2" t="s">
        <v>4300</v>
      </c>
      <c r="E41" s="2" t="s">
        <v>4261</v>
      </c>
      <c r="F41" s="2" t="s">
        <v>9</v>
      </c>
      <c r="G41" s="2" t="n">
        <v>6</v>
      </c>
    </row>
    <row r="42" customFormat="false" ht="15" hidden="false" customHeight="false" outlineLevel="0" collapsed="false">
      <c r="A42" s="2" t="s">
        <v>48</v>
      </c>
      <c r="B42" s="2" t="s">
        <v>49</v>
      </c>
      <c r="C42" s="2" t="s">
        <v>50</v>
      </c>
      <c r="D42" s="2" t="s">
        <v>4301</v>
      </c>
      <c r="E42" s="2" t="s">
        <v>4261</v>
      </c>
      <c r="F42" s="2" t="s">
        <v>9</v>
      </c>
      <c r="G42" s="2" t="n">
        <v>6</v>
      </c>
    </row>
    <row r="43" customFormat="false" ht="15" hidden="false" customHeight="false" outlineLevel="0" collapsed="false">
      <c r="A43" s="2" t="s">
        <v>48</v>
      </c>
      <c r="B43" s="2" t="s">
        <v>49</v>
      </c>
      <c r="C43" s="2" t="s">
        <v>50</v>
      </c>
      <c r="D43" s="2" t="s">
        <v>4302</v>
      </c>
      <c r="E43" s="2" t="s">
        <v>4271</v>
      </c>
      <c r="F43" s="2" t="s">
        <v>9</v>
      </c>
      <c r="G43" s="2" t="n">
        <v>6</v>
      </c>
    </row>
    <row r="44" customFormat="false" ht="15" hidden="false" customHeight="false" outlineLevel="0" collapsed="false">
      <c r="A44" s="2" t="s">
        <v>48</v>
      </c>
      <c r="B44" s="2" t="s">
        <v>49</v>
      </c>
      <c r="C44" s="2" t="s">
        <v>50</v>
      </c>
      <c r="D44" s="2" t="s">
        <v>4303</v>
      </c>
      <c r="E44" s="2" t="s">
        <v>4261</v>
      </c>
      <c r="F44" s="2" t="s">
        <v>9</v>
      </c>
      <c r="G44" s="2" t="n">
        <v>6</v>
      </c>
    </row>
    <row r="45" customFormat="false" ht="15" hidden="false" customHeight="false" outlineLevel="0" collapsed="false">
      <c r="A45" s="2" t="s">
        <v>48</v>
      </c>
      <c r="B45" s="2" t="s">
        <v>49</v>
      </c>
      <c r="C45" s="2" t="s">
        <v>50</v>
      </c>
      <c r="D45" s="2" t="s">
        <v>4304</v>
      </c>
      <c r="E45" s="2" t="s">
        <v>4261</v>
      </c>
      <c r="F45" s="2" t="s">
        <v>9</v>
      </c>
      <c r="G45" s="2" t="n">
        <v>6</v>
      </c>
    </row>
    <row r="46" customFormat="false" ht="15" hidden="false" customHeight="false" outlineLevel="0" collapsed="false">
      <c r="A46" s="2" t="s">
        <v>48</v>
      </c>
      <c r="B46" s="2" t="s">
        <v>49</v>
      </c>
      <c r="C46" s="2" t="s">
        <v>50</v>
      </c>
      <c r="D46" s="2" t="s">
        <v>4305</v>
      </c>
      <c r="E46" s="2" t="s">
        <v>4261</v>
      </c>
      <c r="F46" s="2" t="s">
        <v>9</v>
      </c>
      <c r="G46" s="2" t="n">
        <v>6</v>
      </c>
    </row>
    <row r="47" customFormat="false" ht="15" hidden="false" customHeight="false" outlineLevel="0" collapsed="false">
      <c r="A47" s="2" t="s">
        <v>48</v>
      </c>
      <c r="B47" s="2" t="s">
        <v>49</v>
      </c>
      <c r="C47" s="2" t="s">
        <v>50</v>
      </c>
      <c r="D47" s="2" t="s">
        <v>4306</v>
      </c>
      <c r="E47" s="2" t="s">
        <v>4261</v>
      </c>
      <c r="F47" s="2" t="s">
        <v>9</v>
      </c>
      <c r="G47" s="2" t="n">
        <v>6</v>
      </c>
    </row>
    <row r="48" customFormat="false" ht="15" hidden="false" customHeight="false" outlineLevel="0" collapsed="false">
      <c r="A48" s="2" t="s">
        <v>48</v>
      </c>
      <c r="B48" s="2" t="s">
        <v>49</v>
      </c>
      <c r="C48" s="2" t="s">
        <v>50</v>
      </c>
      <c r="D48" s="2" t="s">
        <v>4307</v>
      </c>
      <c r="E48" s="2" t="s">
        <v>4261</v>
      </c>
      <c r="F48" s="2" t="s">
        <v>9</v>
      </c>
      <c r="G48" s="2" t="n">
        <v>6</v>
      </c>
    </row>
    <row r="49" customFormat="false" ht="15" hidden="false" customHeight="false" outlineLevel="0" collapsed="false">
      <c r="A49" s="2" t="s">
        <v>48</v>
      </c>
      <c r="B49" s="2" t="s">
        <v>49</v>
      </c>
      <c r="C49" s="2" t="s">
        <v>50</v>
      </c>
      <c r="D49" s="2" t="s">
        <v>4308</v>
      </c>
      <c r="E49" s="2" t="s">
        <v>4264</v>
      </c>
      <c r="F49" s="2" t="s">
        <v>9</v>
      </c>
      <c r="G49" s="2" t="n">
        <v>6</v>
      </c>
    </row>
    <row r="50" customFormat="false" ht="15" hidden="false" customHeight="false" outlineLevel="0" collapsed="false">
      <c r="A50" s="2" t="s">
        <v>48</v>
      </c>
      <c r="B50" s="2" t="s">
        <v>49</v>
      </c>
      <c r="C50" s="2" t="s">
        <v>50</v>
      </c>
      <c r="D50" s="2" t="s">
        <v>4309</v>
      </c>
      <c r="E50" s="2" t="s">
        <v>4261</v>
      </c>
      <c r="F50" s="2" t="s">
        <v>9</v>
      </c>
      <c r="G50" s="2" t="n">
        <v>6</v>
      </c>
    </row>
    <row r="51" customFormat="false" ht="15" hidden="false" customHeight="false" outlineLevel="0" collapsed="false">
      <c r="A51" s="2" t="s">
        <v>48</v>
      </c>
      <c r="B51" s="2" t="s">
        <v>49</v>
      </c>
      <c r="C51" s="2" t="s">
        <v>50</v>
      </c>
      <c r="D51" s="2" t="s">
        <v>4310</v>
      </c>
      <c r="E51" s="2" t="s">
        <v>4264</v>
      </c>
      <c r="F51" s="2" t="s">
        <v>9</v>
      </c>
      <c r="G51" s="2" t="n">
        <v>6</v>
      </c>
    </row>
    <row r="52" customFormat="false" ht="15" hidden="false" customHeight="false" outlineLevel="0" collapsed="false">
      <c r="A52" s="2" t="s">
        <v>48</v>
      </c>
      <c r="B52" s="2" t="s">
        <v>49</v>
      </c>
      <c r="C52" s="2" t="s">
        <v>50</v>
      </c>
      <c r="D52" s="2" t="s">
        <v>4311</v>
      </c>
      <c r="E52" s="2" t="s">
        <v>4261</v>
      </c>
      <c r="F52" s="2" t="s">
        <v>9</v>
      </c>
      <c r="G52" s="2" t="n">
        <v>6</v>
      </c>
    </row>
    <row r="53" customFormat="false" ht="15" hidden="false" customHeight="false" outlineLevel="0" collapsed="false">
      <c r="A53" s="2" t="s">
        <v>48</v>
      </c>
      <c r="B53" s="2" t="s">
        <v>49</v>
      </c>
      <c r="C53" s="2" t="s">
        <v>50</v>
      </c>
      <c r="D53" s="2" t="s">
        <v>4312</v>
      </c>
      <c r="E53" s="2" t="s">
        <v>4261</v>
      </c>
      <c r="F53" s="2" t="s">
        <v>9</v>
      </c>
      <c r="G53" s="2" t="n">
        <v>6</v>
      </c>
    </row>
    <row r="54" customFormat="false" ht="15" hidden="false" customHeight="false" outlineLevel="0" collapsed="false">
      <c r="A54" s="2" t="s">
        <v>48</v>
      </c>
      <c r="B54" s="2" t="s">
        <v>49</v>
      </c>
      <c r="C54" s="2" t="s">
        <v>50</v>
      </c>
      <c r="D54" s="2" t="s">
        <v>4313</v>
      </c>
      <c r="E54" s="2" t="s">
        <v>4261</v>
      </c>
      <c r="F54" s="2" t="s">
        <v>9</v>
      </c>
      <c r="G54" s="2" t="n">
        <v>6</v>
      </c>
    </row>
    <row r="55" customFormat="false" ht="15" hidden="false" customHeight="false" outlineLevel="0" collapsed="false">
      <c r="A55" s="2" t="s">
        <v>48</v>
      </c>
      <c r="B55" s="2" t="s">
        <v>49</v>
      </c>
      <c r="C55" s="2" t="s">
        <v>50</v>
      </c>
      <c r="D55" s="2" t="s">
        <v>4314</v>
      </c>
      <c r="E55" s="2" t="s">
        <v>4261</v>
      </c>
      <c r="F55" s="2" t="s">
        <v>9</v>
      </c>
      <c r="G55" s="2" t="n">
        <v>6</v>
      </c>
    </row>
    <row r="56" customFormat="false" ht="15" hidden="false" customHeight="false" outlineLevel="0" collapsed="false">
      <c r="A56" s="2" t="s">
        <v>48</v>
      </c>
      <c r="B56" s="2" t="s">
        <v>49</v>
      </c>
      <c r="C56" s="2" t="s">
        <v>50</v>
      </c>
      <c r="D56" s="2" t="s">
        <v>4315</v>
      </c>
      <c r="E56" s="2" t="s">
        <v>4261</v>
      </c>
      <c r="F56" s="2" t="s">
        <v>9</v>
      </c>
      <c r="G56" s="2" t="n">
        <v>6</v>
      </c>
    </row>
    <row r="57" customFormat="false" ht="15" hidden="false" customHeight="false" outlineLevel="0" collapsed="false">
      <c r="A57" s="2" t="s">
        <v>48</v>
      </c>
      <c r="B57" s="2" t="s">
        <v>49</v>
      </c>
      <c r="C57" s="2" t="s">
        <v>50</v>
      </c>
      <c r="D57" s="2" t="s">
        <v>4316</v>
      </c>
      <c r="E57" s="2" t="s">
        <v>4261</v>
      </c>
      <c r="F57" s="2" t="s">
        <v>9</v>
      </c>
      <c r="G57" s="2" t="n">
        <v>6</v>
      </c>
    </row>
    <row r="58" customFormat="false" ht="15" hidden="false" customHeight="false" outlineLevel="0" collapsed="false">
      <c r="A58" s="2" t="s">
        <v>48</v>
      </c>
      <c r="B58" s="2" t="s">
        <v>49</v>
      </c>
      <c r="C58" s="2" t="s">
        <v>50</v>
      </c>
      <c r="D58" s="2" t="s">
        <v>4317</v>
      </c>
      <c r="E58" s="2" t="s">
        <v>4261</v>
      </c>
      <c r="F58" s="2" t="s">
        <v>9</v>
      </c>
      <c r="G58" s="2" t="n">
        <v>6</v>
      </c>
    </row>
    <row r="59" customFormat="false" ht="15" hidden="false" customHeight="false" outlineLevel="0" collapsed="false">
      <c r="A59" s="2" t="s">
        <v>48</v>
      </c>
      <c r="B59" s="2" t="s">
        <v>49</v>
      </c>
      <c r="C59" s="2" t="s">
        <v>50</v>
      </c>
      <c r="D59" s="2" t="s">
        <v>4318</v>
      </c>
      <c r="E59" s="2" t="s">
        <v>4261</v>
      </c>
      <c r="F59" s="2" t="s">
        <v>9</v>
      </c>
      <c r="G59" s="2" t="n">
        <v>6</v>
      </c>
    </row>
    <row r="60" customFormat="false" ht="15" hidden="false" customHeight="false" outlineLevel="0" collapsed="false">
      <c r="A60" s="2" t="s">
        <v>48</v>
      </c>
      <c r="B60" s="2" t="s">
        <v>49</v>
      </c>
      <c r="C60" s="2" t="s">
        <v>50</v>
      </c>
      <c r="D60" s="2" t="s">
        <v>4319</v>
      </c>
      <c r="E60" s="2" t="s">
        <v>4261</v>
      </c>
      <c r="F60" s="2" t="s">
        <v>9</v>
      </c>
      <c r="G60" s="2" t="n">
        <v>6</v>
      </c>
    </row>
    <row r="61" customFormat="false" ht="15" hidden="false" customHeight="false" outlineLevel="0" collapsed="false">
      <c r="A61" s="2" t="s">
        <v>48</v>
      </c>
      <c r="B61" s="2" t="s">
        <v>49</v>
      </c>
      <c r="C61" s="2" t="s">
        <v>50</v>
      </c>
      <c r="D61" s="2" t="s">
        <v>4320</v>
      </c>
      <c r="E61" s="2" t="s">
        <v>4261</v>
      </c>
      <c r="F61" s="2" t="s">
        <v>9</v>
      </c>
      <c r="G61" s="2" t="n">
        <v>6</v>
      </c>
    </row>
    <row r="62" customFormat="false" ht="15" hidden="false" customHeight="false" outlineLevel="0" collapsed="false">
      <c r="A62" s="2" t="s">
        <v>48</v>
      </c>
      <c r="B62" s="2" t="s">
        <v>49</v>
      </c>
      <c r="C62" s="2" t="s">
        <v>50</v>
      </c>
      <c r="D62" s="2" t="s">
        <v>4321</v>
      </c>
      <c r="E62" s="2" t="s">
        <v>4261</v>
      </c>
      <c r="F62" s="2" t="s">
        <v>9</v>
      </c>
      <c r="G62" s="2" t="n">
        <v>6</v>
      </c>
    </row>
    <row r="63" customFormat="false" ht="15" hidden="false" customHeight="false" outlineLevel="0" collapsed="false">
      <c r="A63" s="2" t="s">
        <v>48</v>
      </c>
      <c r="B63" s="2" t="s">
        <v>49</v>
      </c>
      <c r="C63" s="2" t="s">
        <v>50</v>
      </c>
      <c r="D63" s="2" t="s">
        <v>4322</v>
      </c>
      <c r="E63" s="2" t="s">
        <v>4261</v>
      </c>
      <c r="F63" s="2" t="s">
        <v>9</v>
      </c>
      <c r="G63" s="2" t="n">
        <v>6</v>
      </c>
    </row>
    <row r="64" customFormat="false" ht="15" hidden="false" customHeight="false" outlineLevel="0" collapsed="false">
      <c r="A64" s="2" t="s">
        <v>48</v>
      </c>
      <c r="B64" s="2" t="s">
        <v>49</v>
      </c>
      <c r="C64" s="2" t="s">
        <v>50</v>
      </c>
      <c r="D64" s="2" t="s">
        <v>4323</v>
      </c>
      <c r="E64" s="2" t="s">
        <v>4261</v>
      </c>
      <c r="F64" s="2" t="s">
        <v>9</v>
      </c>
      <c r="G64" s="2" t="n">
        <v>6</v>
      </c>
    </row>
    <row r="65" customFormat="false" ht="15" hidden="false" customHeight="false" outlineLevel="0" collapsed="false">
      <c r="A65" s="2" t="s">
        <v>48</v>
      </c>
      <c r="B65" s="2" t="s">
        <v>49</v>
      </c>
      <c r="C65" s="2" t="s">
        <v>50</v>
      </c>
      <c r="D65" s="2" t="s">
        <v>4324</v>
      </c>
      <c r="E65" s="2" t="s">
        <v>4264</v>
      </c>
      <c r="F65" s="2" t="s">
        <v>9</v>
      </c>
      <c r="G65" s="2" t="n">
        <v>6</v>
      </c>
    </row>
    <row r="66" customFormat="false" ht="15" hidden="false" customHeight="false" outlineLevel="0" collapsed="false">
      <c r="A66" s="2" t="s">
        <v>48</v>
      </c>
      <c r="B66" s="2" t="s">
        <v>49</v>
      </c>
      <c r="C66" s="2" t="s">
        <v>50</v>
      </c>
      <c r="D66" s="2" t="s">
        <v>4325</v>
      </c>
      <c r="E66" s="2" t="s">
        <v>4261</v>
      </c>
      <c r="F66" s="2" t="s">
        <v>9</v>
      </c>
      <c r="G66" s="2" t="n">
        <v>6</v>
      </c>
    </row>
    <row r="67" customFormat="false" ht="15" hidden="false" customHeight="false" outlineLevel="0" collapsed="false">
      <c r="A67" s="2" t="s">
        <v>48</v>
      </c>
      <c r="B67" s="2" t="s">
        <v>49</v>
      </c>
      <c r="C67" s="2" t="s">
        <v>50</v>
      </c>
      <c r="D67" s="2" t="s">
        <v>4326</v>
      </c>
      <c r="E67" s="2" t="s">
        <v>4271</v>
      </c>
      <c r="F67" s="2" t="s">
        <v>9</v>
      </c>
      <c r="G67" s="2" t="n">
        <v>6</v>
      </c>
    </row>
    <row r="68" customFormat="false" ht="15" hidden="false" customHeight="false" outlineLevel="0" collapsed="false">
      <c r="A68" s="2" t="s">
        <v>48</v>
      </c>
      <c r="B68" s="2" t="s">
        <v>49</v>
      </c>
      <c r="C68" s="2" t="s">
        <v>50</v>
      </c>
      <c r="D68" s="2" t="s">
        <v>4327</v>
      </c>
      <c r="E68" s="2" t="s">
        <v>4261</v>
      </c>
      <c r="F68" s="2" t="s">
        <v>9</v>
      </c>
      <c r="G68" s="2" t="n">
        <v>6</v>
      </c>
    </row>
    <row r="69" customFormat="false" ht="15" hidden="false" customHeight="false" outlineLevel="0" collapsed="false">
      <c r="A69" s="2" t="s">
        <v>48</v>
      </c>
      <c r="B69" s="2" t="s">
        <v>49</v>
      </c>
      <c r="C69" s="2" t="s">
        <v>50</v>
      </c>
      <c r="D69" s="2" t="s">
        <v>4328</v>
      </c>
      <c r="E69" s="2" t="s">
        <v>4261</v>
      </c>
      <c r="F69" s="2" t="s">
        <v>9</v>
      </c>
      <c r="G69" s="2" t="n">
        <v>6</v>
      </c>
    </row>
    <row r="70" customFormat="false" ht="15" hidden="false" customHeight="false" outlineLevel="0" collapsed="false">
      <c r="A70" s="2" t="s">
        <v>48</v>
      </c>
      <c r="B70" s="2" t="s">
        <v>49</v>
      </c>
      <c r="C70" s="2" t="s">
        <v>50</v>
      </c>
      <c r="D70" s="2" t="s">
        <v>4329</v>
      </c>
      <c r="E70" s="2" t="s">
        <v>4264</v>
      </c>
      <c r="F70" s="2" t="s">
        <v>9</v>
      </c>
      <c r="G70" s="2" t="n">
        <v>6</v>
      </c>
    </row>
    <row r="71" customFormat="false" ht="15" hidden="false" customHeight="false" outlineLevel="0" collapsed="false">
      <c r="A71" s="2" t="s">
        <v>53</v>
      </c>
      <c r="B71" s="2" t="s">
        <v>44</v>
      </c>
      <c r="C71" s="2" t="s">
        <v>44</v>
      </c>
      <c r="D71" s="2" t="s">
        <v>4330</v>
      </c>
      <c r="E71" s="2" t="s">
        <v>4264</v>
      </c>
      <c r="F71" s="2" t="s">
        <v>8</v>
      </c>
      <c r="G71" s="2" t="n">
        <v>7</v>
      </c>
    </row>
    <row r="72" customFormat="false" ht="15" hidden="false" customHeight="false" outlineLevel="0" collapsed="false">
      <c r="A72" s="2" t="s">
        <v>53</v>
      </c>
      <c r="B72" s="2" t="s">
        <v>44</v>
      </c>
      <c r="C72" s="2" t="s">
        <v>44</v>
      </c>
      <c r="D72" s="2" t="s">
        <v>4331</v>
      </c>
      <c r="E72" s="2" t="s">
        <v>4271</v>
      </c>
      <c r="F72" s="2" t="s">
        <v>8</v>
      </c>
      <c r="G72" s="2" t="n">
        <v>7</v>
      </c>
    </row>
    <row r="73" customFormat="false" ht="15" hidden="false" customHeight="false" outlineLevel="0" collapsed="false">
      <c r="A73" s="2" t="s">
        <v>53</v>
      </c>
      <c r="B73" s="2" t="s">
        <v>44</v>
      </c>
      <c r="C73" s="2" t="s">
        <v>44</v>
      </c>
      <c r="D73" s="2" t="s">
        <v>4332</v>
      </c>
      <c r="E73" s="2" t="s">
        <v>4271</v>
      </c>
      <c r="F73" s="2" t="s">
        <v>8</v>
      </c>
      <c r="G73" s="2" t="n">
        <v>7</v>
      </c>
    </row>
    <row r="74" customFormat="false" ht="15" hidden="false" customHeight="false" outlineLevel="0" collapsed="false">
      <c r="A74" s="2" t="s">
        <v>53</v>
      </c>
      <c r="B74" s="2" t="s">
        <v>44</v>
      </c>
      <c r="C74" s="2" t="s">
        <v>44</v>
      </c>
      <c r="D74" s="2" t="s">
        <v>4333</v>
      </c>
      <c r="E74" s="2" t="s">
        <v>4261</v>
      </c>
      <c r="F74" s="2" t="s">
        <v>8</v>
      </c>
      <c r="G74" s="2" t="n">
        <v>7</v>
      </c>
    </row>
    <row r="75" customFormat="false" ht="15" hidden="false" customHeight="false" outlineLevel="0" collapsed="false">
      <c r="A75" s="2" t="s">
        <v>53</v>
      </c>
      <c r="B75" s="2" t="s">
        <v>44</v>
      </c>
      <c r="C75" s="2" t="s">
        <v>44</v>
      </c>
      <c r="D75" s="2" t="s">
        <v>4334</v>
      </c>
      <c r="E75" s="2" t="s">
        <v>4264</v>
      </c>
      <c r="F75" s="2" t="s">
        <v>8</v>
      </c>
      <c r="G75" s="2" t="n">
        <v>7</v>
      </c>
    </row>
    <row r="76" customFormat="false" ht="15" hidden="false" customHeight="false" outlineLevel="0" collapsed="false">
      <c r="A76" s="2" t="s">
        <v>53</v>
      </c>
      <c r="B76" s="2" t="s">
        <v>44</v>
      </c>
      <c r="C76" s="2" t="s">
        <v>44</v>
      </c>
      <c r="D76" s="2" t="s">
        <v>4335</v>
      </c>
      <c r="E76" s="2" t="s">
        <v>4261</v>
      </c>
      <c r="F76" s="2" t="s">
        <v>8</v>
      </c>
      <c r="G76" s="2" t="n">
        <v>7</v>
      </c>
    </row>
    <row r="77" customFormat="false" ht="15" hidden="false" customHeight="false" outlineLevel="0" collapsed="false">
      <c r="A77" s="2" t="s">
        <v>53</v>
      </c>
      <c r="B77" s="2" t="s">
        <v>44</v>
      </c>
      <c r="C77" s="2" t="s">
        <v>44</v>
      </c>
      <c r="D77" s="2" t="s">
        <v>4336</v>
      </c>
      <c r="E77" s="2" t="s">
        <v>4264</v>
      </c>
      <c r="F77" s="2" t="s">
        <v>8</v>
      </c>
      <c r="G77" s="2" t="n">
        <v>7</v>
      </c>
    </row>
    <row r="78" customFormat="false" ht="15" hidden="false" customHeight="false" outlineLevel="0" collapsed="false">
      <c r="A78" s="2" t="s">
        <v>53</v>
      </c>
      <c r="B78" s="2" t="s">
        <v>44</v>
      </c>
      <c r="C78" s="2" t="s">
        <v>44</v>
      </c>
      <c r="D78" s="2" t="s">
        <v>4337</v>
      </c>
      <c r="E78" s="2" t="s">
        <v>4264</v>
      </c>
      <c r="F78" s="2" t="s">
        <v>8</v>
      </c>
      <c r="G78" s="2" t="n">
        <v>7</v>
      </c>
    </row>
    <row r="79" customFormat="false" ht="15" hidden="false" customHeight="false" outlineLevel="0" collapsed="false">
      <c r="A79" s="2" t="s">
        <v>53</v>
      </c>
      <c r="B79" s="2" t="s">
        <v>44</v>
      </c>
      <c r="C79" s="2" t="s">
        <v>44</v>
      </c>
      <c r="D79" s="2" t="s">
        <v>4338</v>
      </c>
      <c r="E79" s="2" t="s">
        <v>4264</v>
      </c>
      <c r="F79" s="2" t="s">
        <v>8</v>
      </c>
      <c r="G79" s="2" t="n">
        <v>7</v>
      </c>
    </row>
    <row r="80" customFormat="false" ht="15" hidden="false" customHeight="false" outlineLevel="0" collapsed="false">
      <c r="A80" s="2" t="s">
        <v>53</v>
      </c>
      <c r="B80" s="2" t="s">
        <v>44</v>
      </c>
      <c r="C80" s="2" t="s">
        <v>44</v>
      </c>
      <c r="D80" s="2" t="s">
        <v>4339</v>
      </c>
      <c r="E80" s="2" t="s">
        <v>4261</v>
      </c>
      <c r="F80" s="2" t="s">
        <v>8</v>
      </c>
      <c r="G80" s="2" t="n">
        <v>7</v>
      </c>
    </row>
    <row r="81" customFormat="false" ht="15" hidden="false" customHeight="false" outlineLevel="0" collapsed="false">
      <c r="A81" s="2" t="s">
        <v>53</v>
      </c>
      <c r="B81" s="2" t="s">
        <v>44</v>
      </c>
      <c r="C81" s="2" t="s">
        <v>44</v>
      </c>
      <c r="D81" s="2" t="s">
        <v>4340</v>
      </c>
      <c r="E81" s="2" t="s">
        <v>4261</v>
      </c>
      <c r="F81" s="2" t="s">
        <v>8</v>
      </c>
      <c r="G81" s="2" t="n">
        <v>7</v>
      </c>
    </row>
    <row r="82" customFormat="false" ht="15" hidden="false" customHeight="false" outlineLevel="0" collapsed="false">
      <c r="A82" s="2" t="s">
        <v>53</v>
      </c>
      <c r="B82" s="2" t="s">
        <v>44</v>
      </c>
      <c r="C82" s="2" t="s">
        <v>44</v>
      </c>
      <c r="D82" s="2" t="s">
        <v>4341</v>
      </c>
      <c r="E82" s="2" t="s">
        <v>4261</v>
      </c>
      <c r="F82" s="2" t="s">
        <v>8</v>
      </c>
      <c r="G82" s="2" t="n">
        <v>7</v>
      </c>
    </row>
    <row r="83" customFormat="false" ht="15" hidden="false" customHeight="false" outlineLevel="0" collapsed="false">
      <c r="A83" s="2" t="s">
        <v>53</v>
      </c>
      <c r="B83" s="2" t="s">
        <v>44</v>
      </c>
      <c r="C83" s="2" t="s">
        <v>44</v>
      </c>
      <c r="D83" s="2" t="s">
        <v>970</v>
      </c>
      <c r="E83" s="2" t="s">
        <v>4261</v>
      </c>
      <c r="F83" s="2" t="s">
        <v>8</v>
      </c>
      <c r="G83" s="2" t="n">
        <v>7</v>
      </c>
    </row>
    <row r="84" customFormat="false" ht="15" hidden="false" customHeight="false" outlineLevel="0" collapsed="false">
      <c r="A84" s="2" t="s">
        <v>55</v>
      </c>
      <c r="B84" s="2" t="s">
        <v>56</v>
      </c>
      <c r="C84" s="2" t="s">
        <v>56</v>
      </c>
      <c r="D84" s="2" t="s">
        <v>4342</v>
      </c>
      <c r="E84" s="2" t="s">
        <v>4264</v>
      </c>
      <c r="F84" s="2" t="s">
        <v>8</v>
      </c>
      <c r="G84" s="2" t="n">
        <v>8</v>
      </c>
    </row>
    <row r="85" customFormat="false" ht="15" hidden="false" customHeight="false" outlineLevel="0" collapsed="false">
      <c r="A85" s="2" t="s">
        <v>55</v>
      </c>
      <c r="B85" s="2" t="s">
        <v>56</v>
      </c>
      <c r="C85" s="2" t="s">
        <v>56</v>
      </c>
      <c r="D85" s="2" t="s">
        <v>4343</v>
      </c>
      <c r="E85" s="2" t="s">
        <v>4264</v>
      </c>
      <c r="F85" s="2" t="s">
        <v>8</v>
      </c>
      <c r="G85" s="2" t="n">
        <v>8</v>
      </c>
    </row>
    <row r="86" customFormat="false" ht="15" hidden="false" customHeight="false" outlineLevel="0" collapsed="false">
      <c r="A86" s="2" t="s">
        <v>55</v>
      </c>
      <c r="B86" s="2" t="s">
        <v>56</v>
      </c>
      <c r="C86" s="2" t="s">
        <v>56</v>
      </c>
      <c r="D86" s="2" t="s">
        <v>4344</v>
      </c>
      <c r="E86" s="2" t="s">
        <v>4264</v>
      </c>
      <c r="F86" s="2" t="s">
        <v>8</v>
      </c>
      <c r="G86" s="2" t="n">
        <v>8</v>
      </c>
    </row>
    <row r="87" customFormat="false" ht="15" hidden="false" customHeight="false" outlineLevel="0" collapsed="false">
      <c r="A87" s="2" t="s">
        <v>55</v>
      </c>
      <c r="B87" s="2" t="s">
        <v>56</v>
      </c>
      <c r="C87" s="2" t="s">
        <v>56</v>
      </c>
      <c r="D87" s="2" t="s">
        <v>4345</v>
      </c>
      <c r="E87" s="2" t="s">
        <v>4261</v>
      </c>
      <c r="F87" s="2" t="s">
        <v>8</v>
      </c>
      <c r="G87" s="2" t="n">
        <v>8</v>
      </c>
    </row>
    <row r="88" customFormat="false" ht="15" hidden="false" customHeight="false" outlineLevel="0" collapsed="false">
      <c r="A88" s="2" t="s">
        <v>55</v>
      </c>
      <c r="B88" s="2" t="s">
        <v>56</v>
      </c>
      <c r="C88" s="2" t="s">
        <v>56</v>
      </c>
      <c r="D88" s="2" t="s">
        <v>4346</v>
      </c>
      <c r="E88" s="2" t="s">
        <v>4261</v>
      </c>
      <c r="F88" s="2" t="s">
        <v>8</v>
      </c>
      <c r="G88" s="2" t="n">
        <v>8</v>
      </c>
    </row>
    <row r="89" customFormat="false" ht="15" hidden="false" customHeight="false" outlineLevel="0" collapsed="false">
      <c r="A89" s="2" t="s">
        <v>55</v>
      </c>
      <c r="B89" s="2" t="s">
        <v>56</v>
      </c>
      <c r="C89" s="2" t="s">
        <v>56</v>
      </c>
      <c r="D89" s="2" t="s">
        <v>4347</v>
      </c>
      <c r="E89" s="2" t="s">
        <v>4261</v>
      </c>
      <c r="F89" s="2" t="s">
        <v>8</v>
      </c>
      <c r="G89" s="2" t="n">
        <v>8</v>
      </c>
    </row>
    <row r="90" customFormat="false" ht="15" hidden="false" customHeight="false" outlineLevel="0" collapsed="false">
      <c r="A90" s="2" t="s">
        <v>55</v>
      </c>
      <c r="B90" s="2" t="s">
        <v>56</v>
      </c>
      <c r="C90" s="2" t="s">
        <v>56</v>
      </c>
      <c r="D90" s="2" t="s">
        <v>4348</v>
      </c>
      <c r="E90" s="2" t="s">
        <v>4261</v>
      </c>
      <c r="F90" s="2" t="s">
        <v>8</v>
      </c>
      <c r="G90" s="2" t="n">
        <v>8</v>
      </c>
    </row>
    <row r="91" customFormat="false" ht="15" hidden="false" customHeight="false" outlineLevel="0" collapsed="false">
      <c r="A91" s="2" t="s">
        <v>60</v>
      </c>
      <c r="B91" s="2" t="s">
        <v>61</v>
      </c>
      <c r="C91" s="2" t="s">
        <v>62</v>
      </c>
      <c r="D91" s="2" t="s">
        <v>4349</v>
      </c>
      <c r="E91" s="2" t="s">
        <v>4261</v>
      </c>
      <c r="F91" s="2" t="s">
        <v>8</v>
      </c>
      <c r="G91" s="2" t="n">
        <v>10</v>
      </c>
    </row>
    <row r="92" customFormat="false" ht="15" hidden="false" customHeight="false" outlineLevel="0" collapsed="false">
      <c r="A92" s="2" t="s">
        <v>60</v>
      </c>
      <c r="B92" s="2" t="s">
        <v>61</v>
      </c>
      <c r="C92" s="2" t="s">
        <v>62</v>
      </c>
      <c r="D92" s="2" t="s">
        <v>4350</v>
      </c>
      <c r="E92" s="2" t="s">
        <v>4264</v>
      </c>
      <c r="F92" s="2" t="s">
        <v>8</v>
      </c>
      <c r="G92" s="2" t="n">
        <v>10</v>
      </c>
    </row>
    <row r="93" customFormat="false" ht="15" hidden="false" customHeight="false" outlineLevel="0" collapsed="false">
      <c r="A93" s="2" t="s">
        <v>60</v>
      </c>
      <c r="B93" s="2" t="s">
        <v>61</v>
      </c>
      <c r="C93" s="2" t="s">
        <v>62</v>
      </c>
      <c r="D93" s="2" t="s">
        <v>4351</v>
      </c>
      <c r="E93" s="2" t="s">
        <v>4261</v>
      </c>
      <c r="F93" s="2" t="s">
        <v>8</v>
      </c>
      <c r="G93" s="2" t="n">
        <v>10</v>
      </c>
    </row>
    <row r="94" customFormat="false" ht="15" hidden="false" customHeight="false" outlineLevel="0" collapsed="false">
      <c r="A94" s="2" t="s">
        <v>64</v>
      </c>
      <c r="B94" s="2" t="s">
        <v>38</v>
      </c>
      <c r="C94" s="2" t="s">
        <v>39</v>
      </c>
      <c r="D94" s="2" t="s">
        <v>65</v>
      </c>
      <c r="E94" s="2" t="s">
        <v>4261</v>
      </c>
      <c r="F94" s="2" t="s">
        <v>8</v>
      </c>
      <c r="G94" s="2" t="n">
        <v>11</v>
      </c>
    </row>
    <row r="95" customFormat="false" ht="15" hidden="false" customHeight="false" outlineLevel="0" collapsed="false">
      <c r="A95" s="2" t="s">
        <v>66</v>
      </c>
      <c r="B95" s="2" t="s">
        <v>67</v>
      </c>
      <c r="C95" s="2" t="s">
        <v>62</v>
      </c>
      <c r="D95" s="2" t="s">
        <v>4352</v>
      </c>
      <c r="E95" s="2" t="s">
        <v>4264</v>
      </c>
      <c r="F95" s="2" t="s">
        <v>8</v>
      </c>
      <c r="G95" s="2" t="n">
        <v>12</v>
      </c>
    </row>
    <row r="96" customFormat="false" ht="15" hidden="false" customHeight="false" outlineLevel="0" collapsed="false">
      <c r="A96" s="2" t="s">
        <v>66</v>
      </c>
      <c r="B96" s="2" t="s">
        <v>67</v>
      </c>
      <c r="C96" s="2" t="s">
        <v>62</v>
      </c>
      <c r="D96" s="2" t="s">
        <v>4353</v>
      </c>
      <c r="E96" s="2" t="s">
        <v>4261</v>
      </c>
      <c r="F96" s="2" t="s">
        <v>8</v>
      </c>
      <c r="G96" s="2" t="n">
        <v>12</v>
      </c>
    </row>
    <row r="97" customFormat="false" ht="15" hidden="false" customHeight="false" outlineLevel="0" collapsed="false">
      <c r="A97" s="2" t="s">
        <v>66</v>
      </c>
      <c r="B97" s="2" t="s">
        <v>67</v>
      </c>
      <c r="C97" s="2" t="s">
        <v>62</v>
      </c>
      <c r="D97" s="2" t="s">
        <v>4354</v>
      </c>
      <c r="E97" s="2" t="s">
        <v>4261</v>
      </c>
      <c r="F97" s="2" t="s">
        <v>8</v>
      </c>
      <c r="G97" s="2" t="n">
        <v>12</v>
      </c>
    </row>
    <row r="98" customFormat="false" ht="15" hidden="false" customHeight="false" outlineLevel="0" collapsed="false">
      <c r="A98" s="2" t="s">
        <v>69</v>
      </c>
      <c r="B98" s="2" t="s">
        <v>70</v>
      </c>
      <c r="C98" s="2" t="s">
        <v>70</v>
      </c>
      <c r="D98" s="2" t="s">
        <v>4355</v>
      </c>
      <c r="E98" s="2" t="s">
        <v>4261</v>
      </c>
      <c r="F98" s="2" t="s">
        <v>8</v>
      </c>
      <c r="G98" s="2" t="n">
        <v>13</v>
      </c>
    </row>
    <row r="99" customFormat="false" ht="15" hidden="false" customHeight="false" outlineLevel="0" collapsed="false">
      <c r="A99" s="2" t="s">
        <v>69</v>
      </c>
      <c r="B99" s="2" t="s">
        <v>70</v>
      </c>
      <c r="C99" s="2" t="s">
        <v>70</v>
      </c>
      <c r="D99" s="2" t="s">
        <v>2757</v>
      </c>
      <c r="E99" s="2" t="s">
        <v>4264</v>
      </c>
      <c r="F99" s="2" t="s">
        <v>8</v>
      </c>
      <c r="G99" s="2" t="n">
        <v>13</v>
      </c>
    </row>
    <row r="100" customFormat="false" ht="15" hidden="false" customHeight="false" outlineLevel="0" collapsed="false">
      <c r="A100" s="2" t="s">
        <v>69</v>
      </c>
      <c r="B100" s="2" t="s">
        <v>70</v>
      </c>
      <c r="C100" s="2" t="s">
        <v>70</v>
      </c>
      <c r="D100" s="2" t="s">
        <v>4356</v>
      </c>
      <c r="E100" s="2" t="s">
        <v>4271</v>
      </c>
      <c r="F100" s="2" t="s">
        <v>8</v>
      </c>
      <c r="G100" s="2" t="n">
        <v>13</v>
      </c>
    </row>
    <row r="101" customFormat="false" ht="15" hidden="false" customHeight="false" outlineLevel="0" collapsed="false">
      <c r="A101" s="2" t="s">
        <v>69</v>
      </c>
      <c r="B101" s="2" t="s">
        <v>70</v>
      </c>
      <c r="C101" s="2" t="s">
        <v>70</v>
      </c>
      <c r="D101" s="2" t="s">
        <v>4357</v>
      </c>
      <c r="E101" s="2" t="s">
        <v>4261</v>
      </c>
      <c r="F101" s="2" t="s">
        <v>8</v>
      </c>
      <c r="G101" s="2" t="n">
        <v>13</v>
      </c>
    </row>
    <row r="102" customFormat="false" ht="15" hidden="false" customHeight="false" outlineLevel="0" collapsed="false">
      <c r="A102" s="2" t="s">
        <v>73</v>
      </c>
      <c r="B102" s="2" t="s">
        <v>74</v>
      </c>
      <c r="C102" s="2" t="s">
        <v>34</v>
      </c>
      <c r="D102" s="2" t="s">
        <v>4358</v>
      </c>
      <c r="E102" s="2" t="s">
        <v>4261</v>
      </c>
      <c r="F102" s="2" t="s">
        <v>8</v>
      </c>
      <c r="G102" s="2" t="n">
        <v>14</v>
      </c>
    </row>
    <row r="103" customFormat="false" ht="15" hidden="false" customHeight="false" outlineLevel="0" collapsed="false">
      <c r="A103" s="2" t="s">
        <v>73</v>
      </c>
      <c r="B103" s="2" t="s">
        <v>74</v>
      </c>
      <c r="C103" s="2" t="s">
        <v>34</v>
      </c>
      <c r="D103" s="2" t="s">
        <v>4359</v>
      </c>
      <c r="E103" s="2" t="s">
        <v>4261</v>
      </c>
      <c r="F103" s="2" t="s">
        <v>8</v>
      </c>
      <c r="G103" s="2" t="n">
        <v>14</v>
      </c>
    </row>
    <row r="104" customFormat="false" ht="15" hidden="false" customHeight="false" outlineLevel="0" collapsed="false">
      <c r="A104" s="2" t="s">
        <v>73</v>
      </c>
      <c r="B104" s="2" t="s">
        <v>74</v>
      </c>
      <c r="C104" s="2" t="s">
        <v>34</v>
      </c>
      <c r="D104" s="2" t="s">
        <v>4360</v>
      </c>
      <c r="E104" s="2" t="s">
        <v>4261</v>
      </c>
      <c r="F104" s="2" t="s">
        <v>8</v>
      </c>
      <c r="G104" s="2" t="n">
        <v>14</v>
      </c>
    </row>
    <row r="105" customFormat="false" ht="15" hidden="false" customHeight="false" outlineLevel="0" collapsed="false">
      <c r="A105" s="2" t="s">
        <v>73</v>
      </c>
      <c r="B105" s="2" t="s">
        <v>74</v>
      </c>
      <c r="C105" s="2" t="s">
        <v>34</v>
      </c>
      <c r="D105" s="2" t="s">
        <v>4361</v>
      </c>
      <c r="E105" s="2" t="s">
        <v>4261</v>
      </c>
      <c r="F105" s="2" t="s">
        <v>8</v>
      </c>
      <c r="G105" s="2" t="n">
        <v>14</v>
      </c>
    </row>
    <row r="106" customFormat="false" ht="15" hidden="false" customHeight="false" outlineLevel="0" collapsed="false">
      <c r="A106" s="2" t="s">
        <v>80</v>
      </c>
      <c r="B106" s="2" t="s">
        <v>81</v>
      </c>
      <c r="C106" s="2" t="s">
        <v>34</v>
      </c>
      <c r="D106" s="2" t="s">
        <v>4362</v>
      </c>
      <c r="E106" s="2" t="s">
        <v>4271</v>
      </c>
      <c r="F106" s="2" t="s">
        <v>8</v>
      </c>
      <c r="G106" s="2" t="n">
        <v>17</v>
      </c>
    </row>
    <row r="107" customFormat="false" ht="15" hidden="false" customHeight="false" outlineLevel="0" collapsed="false">
      <c r="A107" s="2" t="s">
        <v>80</v>
      </c>
      <c r="B107" s="2" t="s">
        <v>81</v>
      </c>
      <c r="C107" s="2" t="s">
        <v>34</v>
      </c>
      <c r="D107" s="2" t="s">
        <v>4363</v>
      </c>
      <c r="E107" s="2" t="s">
        <v>4271</v>
      </c>
      <c r="F107" s="2" t="s">
        <v>8</v>
      </c>
      <c r="G107" s="2" t="n">
        <v>17</v>
      </c>
    </row>
    <row r="108" customFormat="false" ht="15" hidden="false" customHeight="false" outlineLevel="0" collapsed="false">
      <c r="A108" s="2" t="s">
        <v>80</v>
      </c>
      <c r="B108" s="2" t="s">
        <v>81</v>
      </c>
      <c r="C108" s="2" t="s">
        <v>34</v>
      </c>
      <c r="D108" s="2" t="s">
        <v>4364</v>
      </c>
      <c r="E108" s="2" t="s">
        <v>4261</v>
      </c>
      <c r="F108" s="2" t="s">
        <v>8</v>
      </c>
      <c r="G108" s="2" t="n">
        <v>17</v>
      </c>
    </row>
    <row r="109" customFormat="false" ht="15" hidden="false" customHeight="false" outlineLevel="0" collapsed="false">
      <c r="A109" s="2" t="s">
        <v>80</v>
      </c>
      <c r="B109" s="2" t="s">
        <v>81</v>
      </c>
      <c r="C109" s="2" t="s">
        <v>34</v>
      </c>
      <c r="D109" s="2" t="s">
        <v>4365</v>
      </c>
      <c r="E109" s="2" t="s">
        <v>4261</v>
      </c>
      <c r="F109" s="2" t="s">
        <v>8</v>
      </c>
      <c r="G109" s="2" t="n">
        <v>17</v>
      </c>
    </row>
    <row r="110" customFormat="false" ht="15" hidden="false" customHeight="false" outlineLevel="0" collapsed="false">
      <c r="A110" s="2" t="s">
        <v>85</v>
      </c>
      <c r="B110" s="2" t="s">
        <v>86</v>
      </c>
      <c r="C110" s="2" t="s">
        <v>44</v>
      </c>
      <c r="D110" s="2" t="s">
        <v>4366</v>
      </c>
      <c r="E110" s="2" t="s">
        <v>4264</v>
      </c>
      <c r="F110" s="2" t="s">
        <v>8</v>
      </c>
      <c r="G110" s="2" t="n">
        <v>19</v>
      </c>
    </row>
    <row r="111" customFormat="false" ht="15" hidden="false" customHeight="false" outlineLevel="0" collapsed="false">
      <c r="A111" s="2" t="s">
        <v>85</v>
      </c>
      <c r="B111" s="2" t="s">
        <v>86</v>
      </c>
      <c r="C111" s="2" t="s">
        <v>44</v>
      </c>
      <c r="D111" s="2" t="s">
        <v>4367</v>
      </c>
      <c r="E111" s="2" t="s">
        <v>4261</v>
      </c>
      <c r="F111" s="2" t="s">
        <v>8</v>
      </c>
      <c r="G111" s="2" t="n">
        <v>19</v>
      </c>
    </row>
    <row r="112" customFormat="false" ht="15" hidden="false" customHeight="false" outlineLevel="0" collapsed="false">
      <c r="A112" s="2" t="s">
        <v>85</v>
      </c>
      <c r="B112" s="2" t="s">
        <v>86</v>
      </c>
      <c r="C112" s="2" t="s">
        <v>44</v>
      </c>
      <c r="D112" s="2" t="s">
        <v>4368</v>
      </c>
      <c r="E112" s="2" t="s">
        <v>4264</v>
      </c>
      <c r="F112" s="2" t="s">
        <v>8</v>
      </c>
      <c r="G112" s="2" t="n">
        <v>19</v>
      </c>
    </row>
    <row r="113" customFormat="false" ht="15" hidden="false" customHeight="false" outlineLevel="0" collapsed="false">
      <c r="A113" s="2" t="s">
        <v>85</v>
      </c>
      <c r="B113" s="2" t="s">
        <v>86</v>
      </c>
      <c r="C113" s="2" t="s">
        <v>44</v>
      </c>
      <c r="D113" s="2" t="s">
        <v>4369</v>
      </c>
      <c r="E113" s="2" t="s">
        <v>4261</v>
      </c>
      <c r="F113" s="2" t="s">
        <v>8</v>
      </c>
      <c r="G113" s="2" t="n">
        <v>19</v>
      </c>
    </row>
    <row r="114" customFormat="false" ht="15" hidden="false" customHeight="false" outlineLevel="0" collapsed="false">
      <c r="A114" s="2" t="s">
        <v>85</v>
      </c>
      <c r="B114" s="2" t="s">
        <v>86</v>
      </c>
      <c r="C114" s="2" t="s">
        <v>44</v>
      </c>
      <c r="D114" s="2" t="s">
        <v>4370</v>
      </c>
      <c r="E114" s="2" t="s">
        <v>4261</v>
      </c>
      <c r="F114" s="2" t="s">
        <v>8</v>
      </c>
      <c r="G114" s="2" t="n">
        <v>19</v>
      </c>
    </row>
    <row r="115" customFormat="false" ht="15" hidden="false" customHeight="false" outlineLevel="0" collapsed="false">
      <c r="A115" s="2" t="s">
        <v>85</v>
      </c>
      <c r="B115" s="2" t="s">
        <v>86</v>
      </c>
      <c r="C115" s="2" t="s">
        <v>44</v>
      </c>
      <c r="D115" s="2" t="s">
        <v>4371</v>
      </c>
      <c r="E115" s="2" t="s">
        <v>4261</v>
      </c>
      <c r="F115" s="2" t="s">
        <v>8</v>
      </c>
      <c r="G115" s="2" t="n">
        <v>19</v>
      </c>
    </row>
    <row r="116" customFormat="false" ht="15" hidden="false" customHeight="false" outlineLevel="0" collapsed="false">
      <c r="A116" s="2" t="s">
        <v>85</v>
      </c>
      <c r="B116" s="2" t="s">
        <v>86</v>
      </c>
      <c r="C116" s="2" t="s">
        <v>44</v>
      </c>
      <c r="D116" s="2" t="s">
        <v>4372</v>
      </c>
      <c r="E116" s="2" t="s">
        <v>4264</v>
      </c>
      <c r="F116" s="2" t="s">
        <v>8</v>
      </c>
      <c r="G116" s="2" t="n">
        <v>19</v>
      </c>
    </row>
    <row r="117" customFormat="false" ht="15" hidden="false" customHeight="false" outlineLevel="0" collapsed="false">
      <c r="A117" s="2" t="s">
        <v>85</v>
      </c>
      <c r="B117" s="2" t="s">
        <v>86</v>
      </c>
      <c r="C117" s="2" t="s">
        <v>44</v>
      </c>
      <c r="D117" s="2" t="s">
        <v>4373</v>
      </c>
      <c r="E117" s="2" t="s">
        <v>4264</v>
      </c>
      <c r="F117" s="2" t="s">
        <v>8</v>
      </c>
      <c r="G117" s="2" t="n">
        <v>19</v>
      </c>
    </row>
    <row r="118" customFormat="false" ht="15" hidden="false" customHeight="false" outlineLevel="0" collapsed="false">
      <c r="A118" s="2" t="s">
        <v>85</v>
      </c>
      <c r="B118" s="2" t="s">
        <v>86</v>
      </c>
      <c r="C118" s="2" t="s">
        <v>44</v>
      </c>
      <c r="D118" s="2" t="s">
        <v>4374</v>
      </c>
      <c r="E118" s="2" t="s">
        <v>4264</v>
      </c>
      <c r="F118" s="2" t="s">
        <v>8</v>
      </c>
      <c r="G118" s="2" t="n">
        <v>19</v>
      </c>
    </row>
    <row r="119" customFormat="false" ht="15" hidden="false" customHeight="false" outlineLevel="0" collapsed="false">
      <c r="A119" s="2" t="s">
        <v>85</v>
      </c>
      <c r="B119" s="2" t="s">
        <v>86</v>
      </c>
      <c r="C119" s="2" t="s">
        <v>44</v>
      </c>
      <c r="D119" s="2" t="s">
        <v>4375</v>
      </c>
      <c r="E119" s="2" t="s">
        <v>4261</v>
      </c>
      <c r="F119" s="2" t="s">
        <v>8</v>
      </c>
      <c r="G119" s="2" t="n">
        <v>19</v>
      </c>
    </row>
    <row r="120" customFormat="false" ht="15" hidden="false" customHeight="false" outlineLevel="0" collapsed="false">
      <c r="A120" s="2" t="s">
        <v>85</v>
      </c>
      <c r="B120" s="2" t="s">
        <v>86</v>
      </c>
      <c r="C120" s="2" t="s">
        <v>44</v>
      </c>
      <c r="D120" s="2" t="s">
        <v>4376</v>
      </c>
      <c r="E120" s="2" t="s">
        <v>4264</v>
      </c>
      <c r="F120" s="2" t="s">
        <v>8</v>
      </c>
      <c r="G120" s="2" t="n">
        <v>19</v>
      </c>
    </row>
    <row r="121" customFormat="false" ht="15" hidden="false" customHeight="false" outlineLevel="0" collapsed="false">
      <c r="A121" s="2" t="s">
        <v>85</v>
      </c>
      <c r="B121" s="2" t="s">
        <v>86</v>
      </c>
      <c r="C121" s="2" t="s">
        <v>44</v>
      </c>
      <c r="D121" s="2" t="s">
        <v>86</v>
      </c>
      <c r="E121" s="2" t="s">
        <v>4271</v>
      </c>
      <c r="F121" s="2" t="s">
        <v>8</v>
      </c>
      <c r="G121" s="2" t="n">
        <v>19</v>
      </c>
    </row>
    <row r="122" customFormat="false" ht="15" hidden="false" customHeight="false" outlineLevel="0" collapsed="false">
      <c r="A122" s="2" t="s">
        <v>85</v>
      </c>
      <c r="B122" s="2" t="s">
        <v>86</v>
      </c>
      <c r="C122" s="2" t="s">
        <v>44</v>
      </c>
      <c r="D122" s="2" t="s">
        <v>4377</v>
      </c>
      <c r="E122" s="2" t="s">
        <v>4264</v>
      </c>
      <c r="F122" s="2" t="s">
        <v>8</v>
      </c>
      <c r="G122" s="2" t="n">
        <v>19</v>
      </c>
    </row>
    <row r="123" customFormat="false" ht="15" hidden="false" customHeight="false" outlineLevel="0" collapsed="false">
      <c r="A123" s="2" t="s">
        <v>85</v>
      </c>
      <c r="B123" s="2" t="s">
        <v>86</v>
      </c>
      <c r="C123" s="2" t="s">
        <v>44</v>
      </c>
      <c r="D123" s="2" t="s">
        <v>4378</v>
      </c>
      <c r="E123" s="2" t="s">
        <v>4264</v>
      </c>
      <c r="F123" s="2" t="s">
        <v>8</v>
      </c>
      <c r="G123" s="2" t="n">
        <v>19</v>
      </c>
    </row>
    <row r="124" customFormat="false" ht="15" hidden="false" customHeight="false" outlineLevel="0" collapsed="false">
      <c r="A124" s="2" t="s">
        <v>85</v>
      </c>
      <c r="B124" s="2" t="s">
        <v>86</v>
      </c>
      <c r="C124" s="2" t="s">
        <v>44</v>
      </c>
      <c r="D124" s="2" t="s">
        <v>4379</v>
      </c>
      <c r="E124" s="2" t="s">
        <v>4264</v>
      </c>
      <c r="F124" s="2" t="s">
        <v>8</v>
      </c>
      <c r="G124" s="2" t="n">
        <v>19</v>
      </c>
    </row>
    <row r="125" customFormat="false" ht="15" hidden="false" customHeight="false" outlineLevel="0" collapsed="false">
      <c r="A125" s="2" t="s">
        <v>85</v>
      </c>
      <c r="B125" s="2" t="s">
        <v>86</v>
      </c>
      <c r="C125" s="2" t="s">
        <v>44</v>
      </c>
      <c r="D125" s="2" t="s">
        <v>4380</v>
      </c>
      <c r="E125" s="2" t="s">
        <v>4264</v>
      </c>
      <c r="F125" s="2" t="s">
        <v>8</v>
      </c>
      <c r="G125" s="2" t="n">
        <v>19</v>
      </c>
    </row>
    <row r="126" customFormat="false" ht="15" hidden="false" customHeight="false" outlineLevel="0" collapsed="false">
      <c r="A126" s="2" t="s">
        <v>85</v>
      </c>
      <c r="B126" s="2" t="s">
        <v>86</v>
      </c>
      <c r="C126" s="2" t="s">
        <v>44</v>
      </c>
      <c r="D126" s="2" t="s">
        <v>4381</v>
      </c>
      <c r="E126" s="2" t="s">
        <v>4264</v>
      </c>
      <c r="F126" s="2" t="s">
        <v>8</v>
      </c>
      <c r="G126" s="2" t="n">
        <v>19</v>
      </c>
    </row>
    <row r="127" customFormat="false" ht="15" hidden="false" customHeight="false" outlineLevel="0" collapsed="false">
      <c r="A127" s="2" t="s">
        <v>85</v>
      </c>
      <c r="B127" s="2" t="s">
        <v>86</v>
      </c>
      <c r="C127" s="2" t="s">
        <v>44</v>
      </c>
      <c r="D127" s="2" t="s">
        <v>4382</v>
      </c>
      <c r="E127" s="2" t="s">
        <v>4264</v>
      </c>
      <c r="F127" s="2" t="s">
        <v>8</v>
      </c>
      <c r="G127" s="2" t="n">
        <v>19</v>
      </c>
    </row>
    <row r="128" customFormat="false" ht="15" hidden="false" customHeight="false" outlineLevel="0" collapsed="false">
      <c r="A128" s="2" t="s">
        <v>85</v>
      </c>
      <c r="B128" s="2" t="s">
        <v>86</v>
      </c>
      <c r="C128" s="2" t="s">
        <v>44</v>
      </c>
      <c r="D128" s="2" t="s">
        <v>4383</v>
      </c>
      <c r="E128" s="2" t="s">
        <v>4264</v>
      </c>
      <c r="F128" s="2" t="s">
        <v>8</v>
      </c>
      <c r="G128" s="2" t="n">
        <v>19</v>
      </c>
    </row>
    <row r="129" customFormat="false" ht="15" hidden="false" customHeight="false" outlineLevel="0" collapsed="false">
      <c r="A129" s="2" t="s">
        <v>85</v>
      </c>
      <c r="B129" s="2" t="s">
        <v>86</v>
      </c>
      <c r="C129" s="2" t="s">
        <v>44</v>
      </c>
      <c r="D129" s="2" t="s">
        <v>4384</v>
      </c>
      <c r="E129" s="2" t="s">
        <v>4264</v>
      </c>
      <c r="F129" s="2" t="s">
        <v>8</v>
      </c>
      <c r="G129" s="2" t="n">
        <v>19</v>
      </c>
    </row>
    <row r="130" customFormat="false" ht="15" hidden="false" customHeight="false" outlineLevel="0" collapsed="false">
      <c r="A130" s="2" t="s">
        <v>85</v>
      </c>
      <c r="B130" s="2" t="s">
        <v>86</v>
      </c>
      <c r="C130" s="2" t="s">
        <v>44</v>
      </c>
      <c r="D130" s="2" t="s">
        <v>4385</v>
      </c>
      <c r="E130" s="2" t="s">
        <v>4261</v>
      </c>
      <c r="F130" s="2" t="s">
        <v>8</v>
      </c>
      <c r="G130" s="2" t="n">
        <v>19</v>
      </c>
    </row>
    <row r="131" customFormat="false" ht="15" hidden="false" customHeight="false" outlineLevel="0" collapsed="false">
      <c r="A131" s="2" t="s">
        <v>85</v>
      </c>
      <c r="B131" s="2" t="s">
        <v>86</v>
      </c>
      <c r="C131" s="2" t="s">
        <v>44</v>
      </c>
      <c r="D131" s="2" t="s">
        <v>4386</v>
      </c>
      <c r="E131" s="2" t="s">
        <v>4264</v>
      </c>
      <c r="F131" s="2" t="s">
        <v>8</v>
      </c>
      <c r="G131" s="2" t="n">
        <v>19</v>
      </c>
    </row>
    <row r="132" customFormat="false" ht="15" hidden="false" customHeight="false" outlineLevel="0" collapsed="false">
      <c r="A132" s="2" t="s">
        <v>85</v>
      </c>
      <c r="B132" s="2" t="s">
        <v>86</v>
      </c>
      <c r="C132" s="2" t="s">
        <v>44</v>
      </c>
      <c r="D132" s="2" t="s">
        <v>4387</v>
      </c>
      <c r="E132" s="2" t="s">
        <v>4261</v>
      </c>
      <c r="F132" s="2" t="s">
        <v>8</v>
      </c>
      <c r="G132" s="2" t="n">
        <v>19</v>
      </c>
    </row>
    <row r="133" customFormat="false" ht="15" hidden="false" customHeight="false" outlineLevel="0" collapsed="false">
      <c r="A133" s="2" t="s">
        <v>85</v>
      </c>
      <c r="B133" s="2" t="s">
        <v>86</v>
      </c>
      <c r="C133" s="2" t="s">
        <v>44</v>
      </c>
      <c r="D133" s="2" t="s">
        <v>4388</v>
      </c>
      <c r="E133" s="2" t="s">
        <v>4261</v>
      </c>
      <c r="F133" s="2" t="s">
        <v>8</v>
      </c>
      <c r="G133" s="2" t="n">
        <v>19</v>
      </c>
    </row>
    <row r="134" customFormat="false" ht="15" hidden="false" customHeight="false" outlineLevel="0" collapsed="false">
      <c r="A134" s="2" t="s">
        <v>85</v>
      </c>
      <c r="B134" s="2" t="s">
        <v>86</v>
      </c>
      <c r="C134" s="2" t="s">
        <v>44</v>
      </c>
      <c r="D134" s="2" t="s">
        <v>4389</v>
      </c>
      <c r="E134" s="2" t="s">
        <v>4261</v>
      </c>
      <c r="F134" s="2" t="s">
        <v>8</v>
      </c>
      <c r="G134" s="2" t="n">
        <v>19</v>
      </c>
    </row>
    <row r="135" customFormat="false" ht="15" hidden="false" customHeight="false" outlineLevel="0" collapsed="false">
      <c r="A135" s="2" t="s">
        <v>85</v>
      </c>
      <c r="B135" s="2" t="s">
        <v>86</v>
      </c>
      <c r="C135" s="2" t="s">
        <v>44</v>
      </c>
      <c r="D135" s="2" t="s">
        <v>4390</v>
      </c>
      <c r="E135" s="2" t="s">
        <v>4261</v>
      </c>
      <c r="F135" s="2" t="s">
        <v>8</v>
      </c>
      <c r="G135" s="2" t="n">
        <v>19</v>
      </c>
    </row>
    <row r="136" customFormat="false" ht="15" hidden="false" customHeight="false" outlineLevel="0" collapsed="false">
      <c r="A136" s="2" t="s">
        <v>85</v>
      </c>
      <c r="B136" s="2" t="s">
        <v>86</v>
      </c>
      <c r="C136" s="2" t="s">
        <v>44</v>
      </c>
      <c r="D136" s="2" t="s">
        <v>4391</v>
      </c>
      <c r="E136" s="2" t="s">
        <v>4261</v>
      </c>
      <c r="F136" s="2" t="s">
        <v>8</v>
      </c>
      <c r="G136" s="2" t="n">
        <v>19</v>
      </c>
    </row>
    <row r="137" customFormat="false" ht="15" hidden="false" customHeight="false" outlineLevel="0" collapsed="false">
      <c r="A137" s="2" t="s">
        <v>85</v>
      </c>
      <c r="B137" s="2" t="s">
        <v>86</v>
      </c>
      <c r="C137" s="2" t="s">
        <v>44</v>
      </c>
      <c r="D137" s="2" t="s">
        <v>4392</v>
      </c>
      <c r="E137" s="2" t="s">
        <v>4261</v>
      </c>
      <c r="F137" s="2" t="s">
        <v>8</v>
      </c>
      <c r="G137" s="2" t="n">
        <v>19</v>
      </c>
    </row>
    <row r="138" customFormat="false" ht="15" hidden="false" customHeight="false" outlineLevel="0" collapsed="false">
      <c r="A138" s="2" t="s">
        <v>85</v>
      </c>
      <c r="B138" s="2" t="s">
        <v>86</v>
      </c>
      <c r="C138" s="2" t="s">
        <v>44</v>
      </c>
      <c r="D138" s="2" t="s">
        <v>4393</v>
      </c>
      <c r="E138" s="2" t="s">
        <v>4261</v>
      </c>
      <c r="F138" s="2" t="s">
        <v>8</v>
      </c>
      <c r="G138" s="2" t="n">
        <v>19</v>
      </c>
    </row>
    <row r="139" customFormat="false" ht="15" hidden="false" customHeight="false" outlineLevel="0" collapsed="false">
      <c r="A139" s="2" t="s">
        <v>85</v>
      </c>
      <c r="B139" s="2" t="s">
        <v>86</v>
      </c>
      <c r="C139" s="2" t="s">
        <v>44</v>
      </c>
      <c r="D139" s="2" t="s">
        <v>4394</v>
      </c>
      <c r="E139" s="2" t="s">
        <v>4261</v>
      </c>
      <c r="F139" s="2" t="s">
        <v>8</v>
      </c>
      <c r="G139" s="2" t="n">
        <v>19</v>
      </c>
    </row>
    <row r="140" customFormat="false" ht="15" hidden="false" customHeight="false" outlineLevel="0" collapsed="false">
      <c r="A140" s="2" t="s">
        <v>85</v>
      </c>
      <c r="B140" s="2" t="s">
        <v>86</v>
      </c>
      <c r="C140" s="2" t="s">
        <v>44</v>
      </c>
      <c r="D140" s="2" t="s">
        <v>4395</v>
      </c>
      <c r="E140" s="2" t="s">
        <v>4261</v>
      </c>
      <c r="F140" s="2" t="s">
        <v>8</v>
      </c>
      <c r="G140" s="2" t="n">
        <v>19</v>
      </c>
    </row>
    <row r="141" customFormat="false" ht="15" hidden="false" customHeight="false" outlineLevel="0" collapsed="false">
      <c r="A141" s="2" t="s">
        <v>85</v>
      </c>
      <c r="B141" s="2" t="s">
        <v>86</v>
      </c>
      <c r="C141" s="2" t="s">
        <v>44</v>
      </c>
      <c r="D141" s="2" t="s">
        <v>4396</v>
      </c>
      <c r="E141" s="2" t="s">
        <v>4261</v>
      </c>
      <c r="F141" s="2" t="s">
        <v>8</v>
      </c>
      <c r="G141" s="2" t="n">
        <v>19</v>
      </c>
    </row>
    <row r="142" customFormat="false" ht="15" hidden="false" customHeight="false" outlineLevel="0" collapsed="false">
      <c r="A142" s="2" t="s">
        <v>85</v>
      </c>
      <c r="B142" s="2" t="s">
        <v>86</v>
      </c>
      <c r="C142" s="2" t="s">
        <v>44</v>
      </c>
      <c r="D142" s="2" t="s">
        <v>4397</v>
      </c>
      <c r="E142" s="2" t="s">
        <v>4264</v>
      </c>
      <c r="F142" s="2" t="s">
        <v>8</v>
      </c>
      <c r="G142" s="2" t="n">
        <v>19</v>
      </c>
    </row>
    <row r="143" customFormat="false" ht="15" hidden="false" customHeight="false" outlineLevel="0" collapsed="false">
      <c r="A143" s="2" t="s">
        <v>85</v>
      </c>
      <c r="B143" s="2" t="s">
        <v>86</v>
      </c>
      <c r="C143" s="2" t="s">
        <v>44</v>
      </c>
      <c r="D143" s="2" t="s">
        <v>4398</v>
      </c>
      <c r="E143" s="2" t="s">
        <v>4264</v>
      </c>
      <c r="F143" s="2" t="s">
        <v>8</v>
      </c>
      <c r="G143" s="2" t="n">
        <v>19</v>
      </c>
    </row>
    <row r="144" customFormat="false" ht="15" hidden="false" customHeight="false" outlineLevel="0" collapsed="false">
      <c r="A144" s="2" t="s">
        <v>85</v>
      </c>
      <c r="B144" s="2" t="s">
        <v>86</v>
      </c>
      <c r="C144" s="2" t="s">
        <v>44</v>
      </c>
      <c r="D144" s="2" t="s">
        <v>4399</v>
      </c>
      <c r="E144" s="2" t="s">
        <v>4261</v>
      </c>
      <c r="F144" s="2" t="s">
        <v>8</v>
      </c>
      <c r="G144" s="2" t="n">
        <v>19</v>
      </c>
    </row>
    <row r="145" customFormat="false" ht="15" hidden="false" customHeight="false" outlineLevel="0" collapsed="false">
      <c r="A145" s="2" t="s">
        <v>85</v>
      </c>
      <c r="B145" s="2" t="s">
        <v>86</v>
      </c>
      <c r="C145" s="2" t="s">
        <v>44</v>
      </c>
      <c r="D145" s="2" t="s">
        <v>4400</v>
      </c>
      <c r="E145" s="2" t="s">
        <v>4261</v>
      </c>
      <c r="F145" s="2" t="s">
        <v>8</v>
      </c>
      <c r="G145" s="2" t="n">
        <v>19</v>
      </c>
    </row>
    <row r="146" customFormat="false" ht="15" hidden="false" customHeight="false" outlineLevel="0" collapsed="false">
      <c r="A146" s="2" t="s">
        <v>85</v>
      </c>
      <c r="B146" s="2" t="s">
        <v>86</v>
      </c>
      <c r="C146" s="2" t="s">
        <v>44</v>
      </c>
      <c r="D146" s="2" t="s">
        <v>4401</v>
      </c>
      <c r="E146" s="2" t="s">
        <v>4261</v>
      </c>
      <c r="F146" s="2" t="s">
        <v>8</v>
      </c>
      <c r="G146" s="2" t="n">
        <v>19</v>
      </c>
    </row>
    <row r="147" customFormat="false" ht="15" hidden="false" customHeight="false" outlineLevel="0" collapsed="false">
      <c r="A147" s="2" t="s">
        <v>85</v>
      </c>
      <c r="B147" s="2" t="s">
        <v>86</v>
      </c>
      <c r="C147" s="2" t="s">
        <v>44</v>
      </c>
      <c r="D147" s="2" t="s">
        <v>4402</v>
      </c>
      <c r="E147" s="2" t="s">
        <v>4264</v>
      </c>
      <c r="F147" s="2" t="s">
        <v>8</v>
      </c>
      <c r="G147" s="2" t="n">
        <v>19</v>
      </c>
    </row>
    <row r="148" customFormat="false" ht="15" hidden="false" customHeight="false" outlineLevel="0" collapsed="false">
      <c r="A148" s="2" t="s">
        <v>85</v>
      </c>
      <c r="B148" s="2" t="s">
        <v>86</v>
      </c>
      <c r="C148" s="2" t="s">
        <v>44</v>
      </c>
      <c r="D148" s="2" t="s">
        <v>4403</v>
      </c>
      <c r="E148" s="2" t="s">
        <v>4261</v>
      </c>
      <c r="F148" s="2" t="s">
        <v>8</v>
      </c>
      <c r="G148" s="2" t="n">
        <v>19</v>
      </c>
    </row>
    <row r="149" customFormat="false" ht="15" hidden="false" customHeight="false" outlineLevel="0" collapsed="false">
      <c r="A149" s="2" t="s">
        <v>85</v>
      </c>
      <c r="B149" s="2" t="s">
        <v>86</v>
      </c>
      <c r="C149" s="2" t="s">
        <v>44</v>
      </c>
      <c r="D149" s="2" t="s">
        <v>4404</v>
      </c>
      <c r="E149" s="2" t="s">
        <v>4261</v>
      </c>
      <c r="F149" s="2" t="s">
        <v>8</v>
      </c>
      <c r="G149" s="2" t="n">
        <v>19</v>
      </c>
    </row>
    <row r="150" customFormat="false" ht="15" hidden="false" customHeight="false" outlineLevel="0" collapsed="false">
      <c r="A150" s="2" t="s">
        <v>88</v>
      </c>
      <c r="B150" s="2" t="s">
        <v>38</v>
      </c>
      <c r="C150" s="2" t="s">
        <v>39</v>
      </c>
      <c r="D150" s="2" t="s">
        <v>89</v>
      </c>
      <c r="E150" s="2" t="s">
        <v>4271</v>
      </c>
      <c r="F150" s="2" t="s">
        <v>8</v>
      </c>
      <c r="G150" s="2" t="n">
        <v>20</v>
      </c>
    </row>
    <row r="151" customFormat="false" ht="15" hidden="false" customHeight="false" outlineLevel="0" collapsed="false">
      <c r="A151" s="2" t="s">
        <v>90</v>
      </c>
      <c r="B151" s="2" t="s">
        <v>91</v>
      </c>
      <c r="C151" s="2" t="s">
        <v>44</v>
      </c>
      <c r="D151" s="2" t="s">
        <v>4405</v>
      </c>
      <c r="E151" s="2" t="s">
        <v>4264</v>
      </c>
      <c r="F151" s="2" t="s">
        <v>8</v>
      </c>
      <c r="G151" s="2" t="n">
        <v>21</v>
      </c>
    </row>
    <row r="152" customFormat="false" ht="15" hidden="false" customHeight="false" outlineLevel="0" collapsed="false">
      <c r="A152" s="2" t="s">
        <v>90</v>
      </c>
      <c r="B152" s="2" t="s">
        <v>91</v>
      </c>
      <c r="C152" s="2" t="s">
        <v>44</v>
      </c>
      <c r="D152" s="2" t="s">
        <v>4406</v>
      </c>
      <c r="E152" s="2" t="s">
        <v>4271</v>
      </c>
      <c r="F152" s="2" t="s">
        <v>8</v>
      </c>
      <c r="G152" s="2" t="n">
        <v>21</v>
      </c>
    </row>
    <row r="153" customFormat="false" ht="15" hidden="false" customHeight="false" outlineLevel="0" collapsed="false">
      <c r="A153" s="2" t="s">
        <v>90</v>
      </c>
      <c r="B153" s="2" t="s">
        <v>91</v>
      </c>
      <c r="C153" s="2" t="s">
        <v>44</v>
      </c>
      <c r="D153" s="2" t="s">
        <v>4407</v>
      </c>
      <c r="E153" s="2" t="s">
        <v>4264</v>
      </c>
      <c r="F153" s="2" t="s">
        <v>8</v>
      </c>
      <c r="G153" s="2" t="n">
        <v>21</v>
      </c>
    </row>
    <row r="154" customFormat="false" ht="15" hidden="false" customHeight="false" outlineLevel="0" collapsed="false">
      <c r="A154" s="2" t="s">
        <v>90</v>
      </c>
      <c r="B154" s="2" t="s">
        <v>91</v>
      </c>
      <c r="C154" s="2" t="s">
        <v>44</v>
      </c>
      <c r="D154" s="2" t="s">
        <v>4408</v>
      </c>
      <c r="E154" s="2" t="s">
        <v>4264</v>
      </c>
      <c r="F154" s="2" t="s">
        <v>8</v>
      </c>
      <c r="G154" s="2" t="n">
        <v>21</v>
      </c>
    </row>
    <row r="155" customFormat="false" ht="15" hidden="false" customHeight="false" outlineLevel="0" collapsed="false">
      <c r="A155" s="2" t="s">
        <v>90</v>
      </c>
      <c r="B155" s="2" t="s">
        <v>91</v>
      </c>
      <c r="C155" s="2" t="s">
        <v>44</v>
      </c>
      <c r="D155" s="2" t="s">
        <v>4409</v>
      </c>
      <c r="E155" s="2" t="s">
        <v>4264</v>
      </c>
      <c r="F155" s="2" t="s">
        <v>8</v>
      </c>
      <c r="G155" s="2" t="n">
        <v>21</v>
      </c>
    </row>
    <row r="156" customFormat="false" ht="15" hidden="false" customHeight="false" outlineLevel="0" collapsed="false">
      <c r="A156" s="2" t="s">
        <v>90</v>
      </c>
      <c r="B156" s="2" t="s">
        <v>91</v>
      </c>
      <c r="C156" s="2" t="s">
        <v>44</v>
      </c>
      <c r="D156" s="2" t="s">
        <v>4410</v>
      </c>
      <c r="E156" s="2" t="s">
        <v>4264</v>
      </c>
      <c r="F156" s="2" t="s">
        <v>8</v>
      </c>
      <c r="G156" s="2" t="n">
        <v>21</v>
      </c>
    </row>
    <row r="157" customFormat="false" ht="15" hidden="false" customHeight="false" outlineLevel="0" collapsed="false">
      <c r="A157" s="2" t="s">
        <v>90</v>
      </c>
      <c r="B157" s="2" t="s">
        <v>91</v>
      </c>
      <c r="C157" s="2" t="s">
        <v>44</v>
      </c>
      <c r="D157" s="2" t="s">
        <v>4411</v>
      </c>
      <c r="E157" s="2" t="s">
        <v>4264</v>
      </c>
      <c r="F157" s="2" t="s">
        <v>8</v>
      </c>
      <c r="G157" s="2" t="n">
        <v>21</v>
      </c>
    </row>
    <row r="158" customFormat="false" ht="15" hidden="false" customHeight="false" outlineLevel="0" collapsed="false">
      <c r="A158" s="2" t="s">
        <v>93</v>
      </c>
      <c r="B158" s="2" t="s">
        <v>94</v>
      </c>
      <c r="C158" s="2" t="s">
        <v>95</v>
      </c>
      <c r="D158" s="2" t="s">
        <v>96</v>
      </c>
      <c r="E158" s="2" t="s">
        <v>4261</v>
      </c>
      <c r="F158" s="2" t="s">
        <v>8</v>
      </c>
      <c r="G158" s="2" t="n">
        <v>22</v>
      </c>
    </row>
    <row r="159" customFormat="false" ht="15" hidden="false" customHeight="false" outlineLevel="0" collapsed="false">
      <c r="A159" s="2" t="s">
        <v>97</v>
      </c>
      <c r="B159" s="2" t="s">
        <v>44</v>
      </c>
      <c r="C159" s="2" t="s">
        <v>44</v>
      </c>
      <c r="D159" s="2" t="s">
        <v>4412</v>
      </c>
      <c r="E159" s="2" t="s">
        <v>4264</v>
      </c>
      <c r="F159" s="2" t="s">
        <v>8</v>
      </c>
      <c r="G159" s="2" t="n">
        <v>23</v>
      </c>
    </row>
    <row r="160" customFormat="false" ht="15" hidden="false" customHeight="false" outlineLevel="0" collapsed="false">
      <c r="A160" s="2" t="s">
        <v>97</v>
      </c>
      <c r="B160" s="2" t="s">
        <v>44</v>
      </c>
      <c r="C160" s="2" t="s">
        <v>44</v>
      </c>
      <c r="D160" s="2" t="s">
        <v>4413</v>
      </c>
      <c r="E160" s="2" t="s">
        <v>4264</v>
      </c>
      <c r="F160" s="2" t="s">
        <v>8</v>
      </c>
      <c r="G160" s="2" t="n">
        <v>23</v>
      </c>
    </row>
    <row r="161" customFormat="false" ht="15" hidden="false" customHeight="false" outlineLevel="0" collapsed="false">
      <c r="A161" s="2" t="s">
        <v>97</v>
      </c>
      <c r="B161" s="2" t="s">
        <v>44</v>
      </c>
      <c r="C161" s="2" t="s">
        <v>44</v>
      </c>
      <c r="D161" s="2" t="s">
        <v>4414</v>
      </c>
      <c r="E161" s="2" t="s">
        <v>4261</v>
      </c>
      <c r="F161" s="2" t="s">
        <v>8</v>
      </c>
      <c r="G161" s="2" t="n">
        <v>23</v>
      </c>
    </row>
    <row r="162" customFormat="false" ht="15" hidden="false" customHeight="false" outlineLevel="0" collapsed="false">
      <c r="A162" s="2" t="s">
        <v>97</v>
      </c>
      <c r="B162" s="2" t="s">
        <v>44</v>
      </c>
      <c r="C162" s="2" t="s">
        <v>44</v>
      </c>
      <c r="D162" s="2" t="s">
        <v>4415</v>
      </c>
      <c r="E162" s="2" t="s">
        <v>4264</v>
      </c>
      <c r="F162" s="2" t="s">
        <v>8</v>
      </c>
      <c r="G162" s="2" t="n">
        <v>23</v>
      </c>
    </row>
    <row r="163" customFormat="false" ht="15" hidden="false" customHeight="false" outlineLevel="0" collapsed="false">
      <c r="A163" s="2" t="s">
        <v>97</v>
      </c>
      <c r="B163" s="2" t="s">
        <v>44</v>
      </c>
      <c r="C163" s="2" t="s">
        <v>44</v>
      </c>
      <c r="D163" s="2" t="s">
        <v>4416</v>
      </c>
      <c r="E163" s="2" t="s">
        <v>4264</v>
      </c>
      <c r="F163" s="2" t="s">
        <v>8</v>
      </c>
      <c r="G163" s="2" t="n">
        <v>23</v>
      </c>
    </row>
    <row r="164" customFormat="false" ht="15" hidden="false" customHeight="false" outlineLevel="0" collapsed="false">
      <c r="A164" s="2" t="s">
        <v>97</v>
      </c>
      <c r="B164" s="2" t="s">
        <v>44</v>
      </c>
      <c r="C164" s="2" t="s">
        <v>44</v>
      </c>
      <c r="D164" s="2" t="s">
        <v>4417</v>
      </c>
      <c r="E164" s="2" t="s">
        <v>4264</v>
      </c>
      <c r="F164" s="2" t="s">
        <v>8</v>
      </c>
      <c r="G164" s="2" t="n">
        <v>23</v>
      </c>
    </row>
    <row r="165" customFormat="false" ht="15" hidden="false" customHeight="false" outlineLevel="0" collapsed="false">
      <c r="A165" s="2" t="s">
        <v>97</v>
      </c>
      <c r="B165" s="2" t="s">
        <v>44</v>
      </c>
      <c r="C165" s="2" t="s">
        <v>44</v>
      </c>
      <c r="D165" s="2" t="s">
        <v>4418</v>
      </c>
      <c r="E165" s="2" t="s">
        <v>4261</v>
      </c>
      <c r="F165" s="2" t="s">
        <v>8</v>
      </c>
      <c r="G165" s="2" t="n">
        <v>23</v>
      </c>
    </row>
    <row r="166" customFormat="false" ht="15" hidden="false" customHeight="false" outlineLevel="0" collapsed="false">
      <c r="A166" s="2" t="s">
        <v>97</v>
      </c>
      <c r="B166" s="2" t="s">
        <v>44</v>
      </c>
      <c r="C166" s="2" t="s">
        <v>44</v>
      </c>
      <c r="D166" s="2" t="s">
        <v>4419</v>
      </c>
      <c r="E166" s="2" t="s">
        <v>4264</v>
      </c>
      <c r="F166" s="2" t="s">
        <v>8</v>
      </c>
      <c r="G166" s="2" t="n">
        <v>23</v>
      </c>
    </row>
    <row r="167" customFormat="false" ht="15" hidden="false" customHeight="false" outlineLevel="0" collapsed="false">
      <c r="A167" s="2" t="s">
        <v>97</v>
      </c>
      <c r="B167" s="2" t="s">
        <v>44</v>
      </c>
      <c r="C167" s="2" t="s">
        <v>44</v>
      </c>
      <c r="D167" s="2" t="s">
        <v>4420</v>
      </c>
      <c r="E167" s="2" t="s">
        <v>4264</v>
      </c>
      <c r="F167" s="2" t="s">
        <v>8</v>
      </c>
      <c r="G167" s="2" t="n">
        <v>23</v>
      </c>
    </row>
    <row r="168" customFormat="false" ht="15" hidden="false" customHeight="false" outlineLevel="0" collapsed="false">
      <c r="A168" s="2" t="s">
        <v>97</v>
      </c>
      <c r="B168" s="2" t="s">
        <v>44</v>
      </c>
      <c r="C168" s="2" t="s">
        <v>44</v>
      </c>
      <c r="D168" s="2" t="s">
        <v>4421</v>
      </c>
      <c r="E168" s="2" t="s">
        <v>4271</v>
      </c>
      <c r="F168" s="2" t="s">
        <v>8</v>
      </c>
      <c r="G168" s="2" t="n">
        <v>23</v>
      </c>
    </row>
    <row r="169" customFormat="false" ht="15" hidden="false" customHeight="false" outlineLevel="0" collapsed="false">
      <c r="A169" s="2" t="s">
        <v>97</v>
      </c>
      <c r="B169" s="2" t="s">
        <v>44</v>
      </c>
      <c r="C169" s="2" t="s">
        <v>44</v>
      </c>
      <c r="D169" s="2" t="s">
        <v>4422</v>
      </c>
      <c r="E169" s="2" t="s">
        <v>4264</v>
      </c>
      <c r="F169" s="2" t="s">
        <v>8</v>
      </c>
      <c r="G169" s="2" t="n">
        <v>23</v>
      </c>
    </row>
    <row r="170" customFormat="false" ht="15" hidden="false" customHeight="false" outlineLevel="0" collapsed="false">
      <c r="A170" s="2" t="s">
        <v>97</v>
      </c>
      <c r="B170" s="2" t="s">
        <v>44</v>
      </c>
      <c r="C170" s="2" t="s">
        <v>44</v>
      </c>
      <c r="D170" s="2" t="s">
        <v>4423</v>
      </c>
      <c r="E170" s="2" t="s">
        <v>4261</v>
      </c>
      <c r="F170" s="2" t="s">
        <v>8</v>
      </c>
      <c r="G170" s="2" t="n">
        <v>23</v>
      </c>
    </row>
    <row r="171" customFormat="false" ht="15" hidden="false" customHeight="false" outlineLevel="0" collapsed="false">
      <c r="A171" s="2" t="s">
        <v>97</v>
      </c>
      <c r="B171" s="2" t="s">
        <v>44</v>
      </c>
      <c r="C171" s="2" t="s">
        <v>44</v>
      </c>
      <c r="D171" s="2" t="s">
        <v>4424</v>
      </c>
      <c r="E171" s="2" t="s">
        <v>4264</v>
      </c>
      <c r="F171" s="2" t="s">
        <v>8</v>
      </c>
      <c r="G171" s="2" t="n">
        <v>23</v>
      </c>
    </row>
    <row r="172" customFormat="false" ht="15" hidden="false" customHeight="false" outlineLevel="0" collapsed="false">
      <c r="A172" s="2" t="s">
        <v>97</v>
      </c>
      <c r="B172" s="2" t="s">
        <v>44</v>
      </c>
      <c r="C172" s="2" t="s">
        <v>44</v>
      </c>
      <c r="D172" s="2" t="s">
        <v>4425</v>
      </c>
      <c r="E172" s="2" t="s">
        <v>4261</v>
      </c>
      <c r="F172" s="2" t="s">
        <v>8</v>
      </c>
      <c r="G172" s="2" t="n">
        <v>23</v>
      </c>
    </row>
    <row r="173" customFormat="false" ht="15" hidden="false" customHeight="false" outlineLevel="0" collapsed="false">
      <c r="A173" s="2" t="s">
        <v>97</v>
      </c>
      <c r="B173" s="2" t="s">
        <v>44</v>
      </c>
      <c r="C173" s="2" t="s">
        <v>44</v>
      </c>
      <c r="D173" s="2" t="s">
        <v>4426</v>
      </c>
      <c r="E173" s="2" t="s">
        <v>4261</v>
      </c>
      <c r="F173" s="2" t="s">
        <v>8</v>
      </c>
      <c r="G173" s="2" t="n">
        <v>23</v>
      </c>
    </row>
    <row r="174" customFormat="false" ht="15" hidden="false" customHeight="false" outlineLevel="0" collapsed="false">
      <c r="A174" s="2" t="s">
        <v>97</v>
      </c>
      <c r="B174" s="2" t="s">
        <v>44</v>
      </c>
      <c r="C174" s="2" t="s">
        <v>44</v>
      </c>
      <c r="D174" s="2" t="s">
        <v>4427</v>
      </c>
      <c r="E174" s="2" t="s">
        <v>4264</v>
      </c>
      <c r="F174" s="2" t="s">
        <v>8</v>
      </c>
      <c r="G174" s="2" t="n">
        <v>23</v>
      </c>
    </row>
    <row r="175" customFormat="false" ht="15" hidden="false" customHeight="false" outlineLevel="0" collapsed="false">
      <c r="A175" s="2" t="s">
        <v>97</v>
      </c>
      <c r="B175" s="2" t="s">
        <v>44</v>
      </c>
      <c r="C175" s="2" t="s">
        <v>44</v>
      </c>
      <c r="D175" s="2" t="s">
        <v>4428</v>
      </c>
      <c r="E175" s="2" t="s">
        <v>4261</v>
      </c>
      <c r="F175" s="2" t="s">
        <v>8</v>
      </c>
      <c r="G175" s="2" t="n">
        <v>23</v>
      </c>
    </row>
    <row r="176" customFormat="false" ht="15" hidden="false" customHeight="false" outlineLevel="0" collapsed="false">
      <c r="A176" s="2" t="s">
        <v>97</v>
      </c>
      <c r="B176" s="2" t="s">
        <v>44</v>
      </c>
      <c r="C176" s="2" t="s">
        <v>44</v>
      </c>
      <c r="D176" s="2" t="s">
        <v>4429</v>
      </c>
      <c r="E176" s="2" t="s">
        <v>4264</v>
      </c>
      <c r="F176" s="2" t="s">
        <v>8</v>
      </c>
      <c r="G176" s="2" t="n">
        <v>23</v>
      </c>
    </row>
    <row r="177" customFormat="false" ht="15" hidden="false" customHeight="false" outlineLevel="0" collapsed="false">
      <c r="A177" s="2" t="s">
        <v>97</v>
      </c>
      <c r="B177" s="2" t="s">
        <v>44</v>
      </c>
      <c r="C177" s="2" t="s">
        <v>44</v>
      </c>
      <c r="D177" s="2" t="s">
        <v>4430</v>
      </c>
      <c r="E177" s="2" t="s">
        <v>4261</v>
      </c>
      <c r="F177" s="2" t="s">
        <v>8</v>
      </c>
      <c r="G177" s="2" t="n">
        <v>23</v>
      </c>
    </row>
    <row r="178" customFormat="false" ht="15" hidden="false" customHeight="false" outlineLevel="0" collapsed="false">
      <c r="A178" s="2" t="s">
        <v>97</v>
      </c>
      <c r="B178" s="2" t="s">
        <v>44</v>
      </c>
      <c r="C178" s="2" t="s">
        <v>44</v>
      </c>
      <c r="D178" s="2" t="s">
        <v>4431</v>
      </c>
      <c r="E178" s="2" t="s">
        <v>4271</v>
      </c>
      <c r="F178" s="2" t="s">
        <v>8</v>
      </c>
      <c r="G178" s="2" t="n">
        <v>23</v>
      </c>
    </row>
    <row r="179" customFormat="false" ht="15" hidden="false" customHeight="false" outlineLevel="0" collapsed="false">
      <c r="A179" s="2" t="s">
        <v>97</v>
      </c>
      <c r="B179" s="2" t="s">
        <v>44</v>
      </c>
      <c r="C179" s="2" t="s">
        <v>44</v>
      </c>
      <c r="D179" s="2" t="s">
        <v>4432</v>
      </c>
      <c r="E179" s="2" t="s">
        <v>4264</v>
      </c>
      <c r="F179" s="2" t="s">
        <v>8</v>
      </c>
      <c r="G179" s="2" t="n">
        <v>23</v>
      </c>
    </row>
    <row r="180" customFormat="false" ht="15" hidden="false" customHeight="false" outlineLevel="0" collapsed="false">
      <c r="A180" s="2" t="s">
        <v>97</v>
      </c>
      <c r="B180" s="2" t="s">
        <v>44</v>
      </c>
      <c r="C180" s="2" t="s">
        <v>44</v>
      </c>
      <c r="D180" s="2" t="s">
        <v>4433</v>
      </c>
      <c r="E180" s="2" t="s">
        <v>4261</v>
      </c>
      <c r="F180" s="2" t="s">
        <v>8</v>
      </c>
      <c r="G180" s="2" t="n">
        <v>23</v>
      </c>
    </row>
    <row r="181" customFormat="false" ht="15" hidden="false" customHeight="false" outlineLevel="0" collapsed="false">
      <c r="A181" s="2" t="s">
        <v>97</v>
      </c>
      <c r="B181" s="2" t="s">
        <v>44</v>
      </c>
      <c r="C181" s="2" t="s">
        <v>44</v>
      </c>
      <c r="D181" s="2" t="s">
        <v>4434</v>
      </c>
      <c r="E181" s="2" t="s">
        <v>4264</v>
      </c>
      <c r="F181" s="2" t="s">
        <v>8</v>
      </c>
      <c r="G181" s="2" t="n">
        <v>23</v>
      </c>
    </row>
    <row r="182" customFormat="false" ht="15" hidden="false" customHeight="false" outlineLevel="0" collapsed="false">
      <c r="A182" s="2" t="s">
        <v>97</v>
      </c>
      <c r="B182" s="2" t="s">
        <v>44</v>
      </c>
      <c r="C182" s="2" t="s">
        <v>44</v>
      </c>
      <c r="D182" s="2" t="s">
        <v>4435</v>
      </c>
      <c r="E182" s="2" t="s">
        <v>4264</v>
      </c>
      <c r="F182" s="2" t="s">
        <v>8</v>
      </c>
      <c r="G182" s="2" t="n">
        <v>23</v>
      </c>
    </row>
    <row r="183" customFormat="false" ht="15" hidden="false" customHeight="false" outlineLevel="0" collapsed="false">
      <c r="A183" s="2" t="s">
        <v>99</v>
      </c>
      <c r="B183" s="2" t="s">
        <v>84</v>
      </c>
      <c r="C183" s="2" t="s">
        <v>70</v>
      </c>
      <c r="D183" s="2" t="s">
        <v>100</v>
      </c>
      <c r="E183" s="2" t="s">
        <v>4271</v>
      </c>
      <c r="F183" s="2" t="s">
        <v>8</v>
      </c>
      <c r="G183" s="2" t="n">
        <v>24</v>
      </c>
    </row>
    <row r="184" customFormat="false" ht="15" hidden="false" customHeight="false" outlineLevel="0" collapsed="false">
      <c r="A184" s="2" t="s">
        <v>101</v>
      </c>
      <c r="B184" s="2" t="s">
        <v>70</v>
      </c>
      <c r="C184" s="2" t="s">
        <v>70</v>
      </c>
      <c r="D184" s="2" t="s">
        <v>2929</v>
      </c>
      <c r="E184" s="2" t="s">
        <v>4271</v>
      </c>
      <c r="F184" s="2" t="s">
        <v>8</v>
      </c>
      <c r="G184" s="2" t="n">
        <v>25</v>
      </c>
    </row>
    <row r="185" customFormat="false" ht="15" hidden="false" customHeight="false" outlineLevel="0" collapsed="false">
      <c r="A185" s="2" t="s">
        <v>101</v>
      </c>
      <c r="B185" s="2" t="s">
        <v>70</v>
      </c>
      <c r="C185" s="2" t="s">
        <v>70</v>
      </c>
      <c r="D185" s="2" t="s">
        <v>4436</v>
      </c>
      <c r="E185" s="2" t="s">
        <v>4261</v>
      </c>
      <c r="F185" s="2" t="s">
        <v>8</v>
      </c>
      <c r="G185" s="2" t="n">
        <v>25</v>
      </c>
    </row>
    <row r="186" customFormat="false" ht="15" hidden="false" customHeight="false" outlineLevel="0" collapsed="false">
      <c r="A186" s="2" t="s">
        <v>101</v>
      </c>
      <c r="B186" s="2" t="s">
        <v>70</v>
      </c>
      <c r="C186" s="2" t="s">
        <v>70</v>
      </c>
      <c r="D186" s="2" t="s">
        <v>4437</v>
      </c>
      <c r="E186" s="2" t="s">
        <v>4261</v>
      </c>
      <c r="F186" s="2" t="s">
        <v>8</v>
      </c>
      <c r="G186" s="2" t="n">
        <v>25</v>
      </c>
    </row>
    <row r="187" customFormat="false" ht="15" hidden="false" customHeight="false" outlineLevel="0" collapsed="false">
      <c r="A187" s="2" t="s">
        <v>101</v>
      </c>
      <c r="B187" s="2" t="s">
        <v>70</v>
      </c>
      <c r="C187" s="2" t="s">
        <v>70</v>
      </c>
      <c r="D187" s="2" t="s">
        <v>4438</v>
      </c>
      <c r="E187" s="2" t="s">
        <v>4261</v>
      </c>
      <c r="F187" s="2" t="s">
        <v>8</v>
      </c>
      <c r="G187" s="2" t="n">
        <v>25</v>
      </c>
    </row>
    <row r="188" customFormat="false" ht="15" hidden="false" customHeight="false" outlineLevel="0" collapsed="false">
      <c r="A188" s="2" t="s">
        <v>101</v>
      </c>
      <c r="B188" s="2" t="s">
        <v>70</v>
      </c>
      <c r="C188" s="2" t="s">
        <v>70</v>
      </c>
      <c r="D188" s="2" t="s">
        <v>4439</v>
      </c>
      <c r="E188" s="2" t="s">
        <v>4261</v>
      </c>
      <c r="F188" s="2" t="s">
        <v>8</v>
      </c>
      <c r="G188" s="2" t="n">
        <v>25</v>
      </c>
    </row>
    <row r="189" customFormat="false" ht="15" hidden="false" customHeight="false" outlineLevel="0" collapsed="false">
      <c r="A189" s="2" t="s">
        <v>101</v>
      </c>
      <c r="B189" s="2" t="s">
        <v>70</v>
      </c>
      <c r="C189" s="2" t="s">
        <v>70</v>
      </c>
      <c r="D189" s="2" t="s">
        <v>4440</v>
      </c>
      <c r="E189" s="2" t="s">
        <v>4264</v>
      </c>
      <c r="F189" s="2" t="s">
        <v>8</v>
      </c>
      <c r="G189" s="2" t="n">
        <v>25</v>
      </c>
    </row>
    <row r="190" customFormat="false" ht="15" hidden="false" customHeight="false" outlineLevel="0" collapsed="false">
      <c r="A190" s="2" t="s">
        <v>101</v>
      </c>
      <c r="B190" s="2" t="s">
        <v>70</v>
      </c>
      <c r="C190" s="2" t="s">
        <v>70</v>
      </c>
      <c r="D190" s="2" t="s">
        <v>4441</v>
      </c>
      <c r="E190" s="2" t="s">
        <v>4261</v>
      </c>
      <c r="F190" s="2" t="s">
        <v>8</v>
      </c>
      <c r="G190" s="2" t="n">
        <v>25</v>
      </c>
    </row>
    <row r="191" customFormat="false" ht="15" hidden="false" customHeight="false" outlineLevel="0" collapsed="false">
      <c r="A191" s="2" t="s">
        <v>103</v>
      </c>
      <c r="B191" s="2" t="s">
        <v>104</v>
      </c>
      <c r="C191" s="2" t="s">
        <v>105</v>
      </c>
      <c r="D191" s="2" t="s">
        <v>4442</v>
      </c>
      <c r="E191" s="2" t="s">
        <v>4271</v>
      </c>
      <c r="F191" s="2" t="s">
        <v>8</v>
      </c>
      <c r="G191" s="2" t="n">
        <v>26</v>
      </c>
    </row>
    <row r="192" customFormat="false" ht="15" hidden="false" customHeight="false" outlineLevel="0" collapsed="false">
      <c r="A192" s="2" t="s">
        <v>103</v>
      </c>
      <c r="B192" s="2" t="s">
        <v>104</v>
      </c>
      <c r="C192" s="2" t="s">
        <v>105</v>
      </c>
      <c r="D192" s="2" t="s">
        <v>4443</v>
      </c>
      <c r="E192" s="2" t="s">
        <v>4271</v>
      </c>
      <c r="F192" s="2" t="s">
        <v>8</v>
      </c>
      <c r="G192" s="2" t="n">
        <v>26</v>
      </c>
    </row>
    <row r="193" customFormat="false" ht="15" hidden="false" customHeight="false" outlineLevel="0" collapsed="false">
      <c r="A193" s="2" t="s">
        <v>107</v>
      </c>
      <c r="B193" s="2" t="s">
        <v>108</v>
      </c>
      <c r="C193" s="2" t="s">
        <v>27</v>
      </c>
      <c r="D193" s="2" t="s">
        <v>109</v>
      </c>
      <c r="E193" s="2" t="s">
        <v>4261</v>
      </c>
      <c r="F193" s="2" t="s">
        <v>8</v>
      </c>
      <c r="G193" s="2" t="n">
        <v>27</v>
      </c>
    </row>
    <row r="194" customFormat="false" ht="15" hidden="false" customHeight="false" outlineLevel="0" collapsed="false">
      <c r="A194" s="2" t="s">
        <v>110</v>
      </c>
      <c r="B194" s="2" t="s">
        <v>111</v>
      </c>
      <c r="C194" s="2" t="s">
        <v>62</v>
      </c>
      <c r="D194" s="2" t="s">
        <v>112</v>
      </c>
      <c r="E194" s="2" t="s">
        <v>4261</v>
      </c>
      <c r="F194" s="2" t="s">
        <v>8</v>
      </c>
      <c r="G194" s="2" t="n">
        <v>28</v>
      </c>
    </row>
    <row r="195" customFormat="false" ht="15" hidden="false" customHeight="false" outlineLevel="0" collapsed="false">
      <c r="A195" s="2" t="s">
        <v>113</v>
      </c>
      <c r="B195" s="2" t="s">
        <v>38</v>
      </c>
      <c r="C195" s="2" t="s">
        <v>39</v>
      </c>
      <c r="D195" s="2" t="s">
        <v>114</v>
      </c>
      <c r="E195" s="2" t="s">
        <v>4271</v>
      </c>
      <c r="F195" s="2" t="s">
        <v>8</v>
      </c>
      <c r="G195" s="2" t="n">
        <v>29</v>
      </c>
    </row>
    <row r="196" customFormat="false" ht="15" hidden="false" customHeight="false" outlineLevel="0" collapsed="false">
      <c r="A196" s="2" t="s">
        <v>115</v>
      </c>
      <c r="B196" s="2" t="s">
        <v>116</v>
      </c>
      <c r="C196" s="2" t="s">
        <v>39</v>
      </c>
      <c r="D196" s="2" t="s">
        <v>117</v>
      </c>
      <c r="E196" s="2" t="s">
        <v>4261</v>
      </c>
      <c r="F196" s="2" t="s">
        <v>8</v>
      </c>
      <c r="G196" s="2" t="n">
        <v>30</v>
      </c>
    </row>
    <row r="197" customFormat="false" ht="15" hidden="false" customHeight="false" outlineLevel="0" collapsed="false">
      <c r="A197" s="2" t="s">
        <v>118</v>
      </c>
      <c r="B197" s="2" t="s">
        <v>119</v>
      </c>
      <c r="C197" s="2" t="s">
        <v>27</v>
      </c>
      <c r="D197" s="2" t="s">
        <v>4444</v>
      </c>
      <c r="E197" s="2" t="s">
        <v>4261</v>
      </c>
      <c r="F197" s="2" t="s">
        <v>9</v>
      </c>
      <c r="G197" s="2" t="n">
        <v>31</v>
      </c>
    </row>
    <row r="198" customFormat="false" ht="15" hidden="false" customHeight="false" outlineLevel="0" collapsed="false">
      <c r="A198" s="2" t="s">
        <v>118</v>
      </c>
      <c r="B198" s="2" t="s">
        <v>119</v>
      </c>
      <c r="C198" s="2" t="s">
        <v>27</v>
      </c>
      <c r="D198" s="2" t="s">
        <v>4445</v>
      </c>
      <c r="E198" s="2" t="s">
        <v>4261</v>
      </c>
      <c r="F198" s="2" t="s">
        <v>9</v>
      </c>
      <c r="G198" s="2" t="n">
        <v>31</v>
      </c>
    </row>
    <row r="199" customFormat="false" ht="15" hidden="false" customHeight="false" outlineLevel="0" collapsed="false">
      <c r="A199" s="2" t="s">
        <v>118</v>
      </c>
      <c r="B199" s="2" t="s">
        <v>119</v>
      </c>
      <c r="C199" s="2" t="s">
        <v>27</v>
      </c>
      <c r="D199" s="2" t="s">
        <v>4446</v>
      </c>
      <c r="E199" s="2" t="s">
        <v>4261</v>
      </c>
      <c r="F199" s="2" t="s">
        <v>9</v>
      </c>
      <c r="G199" s="2" t="n">
        <v>31</v>
      </c>
    </row>
    <row r="200" customFormat="false" ht="15" hidden="false" customHeight="false" outlineLevel="0" collapsed="false">
      <c r="A200" s="2" t="s">
        <v>118</v>
      </c>
      <c r="B200" s="2" t="s">
        <v>119</v>
      </c>
      <c r="C200" s="2" t="s">
        <v>27</v>
      </c>
      <c r="D200" s="2" t="s">
        <v>4447</v>
      </c>
      <c r="E200" s="2" t="s">
        <v>4271</v>
      </c>
      <c r="F200" s="2" t="s">
        <v>9</v>
      </c>
      <c r="G200" s="2" t="n">
        <v>31</v>
      </c>
    </row>
    <row r="201" customFormat="false" ht="15" hidden="false" customHeight="false" outlineLevel="0" collapsed="false">
      <c r="A201" s="2" t="s">
        <v>121</v>
      </c>
      <c r="B201" s="2" t="s">
        <v>122</v>
      </c>
      <c r="C201" s="2" t="s">
        <v>70</v>
      </c>
      <c r="D201" s="2" t="s">
        <v>4448</v>
      </c>
      <c r="E201" s="2" t="s">
        <v>4264</v>
      </c>
      <c r="F201" s="2" t="s">
        <v>8</v>
      </c>
      <c r="G201" s="2" t="n">
        <v>32</v>
      </c>
    </row>
    <row r="202" customFormat="false" ht="15" hidden="false" customHeight="false" outlineLevel="0" collapsed="false">
      <c r="A202" s="2" t="s">
        <v>121</v>
      </c>
      <c r="B202" s="2" t="s">
        <v>122</v>
      </c>
      <c r="C202" s="2" t="s">
        <v>70</v>
      </c>
      <c r="D202" s="2" t="s">
        <v>4449</v>
      </c>
      <c r="E202" s="2" t="s">
        <v>4264</v>
      </c>
      <c r="F202" s="2" t="s">
        <v>8</v>
      </c>
      <c r="G202" s="2" t="n">
        <v>32</v>
      </c>
    </row>
    <row r="203" customFormat="false" ht="15" hidden="false" customHeight="false" outlineLevel="0" collapsed="false">
      <c r="A203" s="2" t="s">
        <v>121</v>
      </c>
      <c r="B203" s="2" t="s">
        <v>122</v>
      </c>
      <c r="C203" s="2" t="s">
        <v>70</v>
      </c>
      <c r="D203" s="2" t="s">
        <v>4450</v>
      </c>
      <c r="E203" s="2" t="s">
        <v>4264</v>
      </c>
      <c r="F203" s="2" t="s">
        <v>8</v>
      </c>
      <c r="G203" s="2" t="n">
        <v>32</v>
      </c>
    </row>
    <row r="204" customFormat="false" ht="15" hidden="false" customHeight="false" outlineLevel="0" collapsed="false">
      <c r="A204" s="2" t="s">
        <v>121</v>
      </c>
      <c r="B204" s="2" t="s">
        <v>122</v>
      </c>
      <c r="C204" s="2" t="s">
        <v>70</v>
      </c>
      <c r="D204" s="2" t="s">
        <v>4451</v>
      </c>
      <c r="E204" s="2" t="s">
        <v>4264</v>
      </c>
      <c r="F204" s="2" t="s">
        <v>8</v>
      </c>
      <c r="G204" s="2" t="n">
        <v>32</v>
      </c>
    </row>
    <row r="205" customFormat="false" ht="15" hidden="false" customHeight="false" outlineLevel="0" collapsed="false">
      <c r="A205" s="2" t="s">
        <v>124</v>
      </c>
      <c r="B205" s="2" t="s">
        <v>125</v>
      </c>
      <c r="C205" s="2" t="s">
        <v>27</v>
      </c>
      <c r="D205" s="2" t="s">
        <v>2170</v>
      </c>
      <c r="E205" s="2" t="s">
        <v>4261</v>
      </c>
      <c r="F205" s="2" t="s">
        <v>9</v>
      </c>
      <c r="G205" s="2" t="n">
        <v>33</v>
      </c>
    </row>
    <row r="206" customFormat="false" ht="15" hidden="false" customHeight="false" outlineLevel="0" collapsed="false">
      <c r="A206" s="2" t="s">
        <v>124</v>
      </c>
      <c r="B206" s="2" t="s">
        <v>125</v>
      </c>
      <c r="C206" s="2" t="s">
        <v>27</v>
      </c>
      <c r="D206" s="2" t="s">
        <v>4452</v>
      </c>
      <c r="E206" s="2" t="s">
        <v>4261</v>
      </c>
      <c r="F206" s="2" t="s">
        <v>9</v>
      </c>
      <c r="G206" s="2" t="n">
        <v>33</v>
      </c>
    </row>
    <row r="207" customFormat="false" ht="15" hidden="false" customHeight="false" outlineLevel="0" collapsed="false">
      <c r="A207" s="2" t="s">
        <v>124</v>
      </c>
      <c r="B207" s="2" t="s">
        <v>125</v>
      </c>
      <c r="C207" s="2" t="s">
        <v>27</v>
      </c>
      <c r="D207" s="2" t="s">
        <v>3074</v>
      </c>
      <c r="E207" s="2" t="s">
        <v>4261</v>
      </c>
      <c r="F207" s="2" t="s">
        <v>9</v>
      </c>
      <c r="G207" s="2" t="n">
        <v>33</v>
      </c>
    </row>
    <row r="208" customFormat="false" ht="15" hidden="false" customHeight="false" outlineLevel="0" collapsed="false">
      <c r="A208" s="2" t="s">
        <v>124</v>
      </c>
      <c r="B208" s="2" t="s">
        <v>125</v>
      </c>
      <c r="C208" s="2" t="s">
        <v>27</v>
      </c>
      <c r="D208" s="2" t="s">
        <v>4453</v>
      </c>
      <c r="E208" s="2" t="s">
        <v>4261</v>
      </c>
      <c r="F208" s="2" t="s">
        <v>9</v>
      </c>
      <c r="G208" s="2" t="n">
        <v>33</v>
      </c>
    </row>
    <row r="209" customFormat="false" ht="15" hidden="false" customHeight="false" outlineLevel="0" collapsed="false">
      <c r="A209" s="2" t="s">
        <v>124</v>
      </c>
      <c r="B209" s="2" t="s">
        <v>125</v>
      </c>
      <c r="C209" s="2" t="s">
        <v>27</v>
      </c>
      <c r="D209" s="2" t="s">
        <v>4454</v>
      </c>
      <c r="E209" s="2" t="s">
        <v>4261</v>
      </c>
      <c r="F209" s="2" t="s">
        <v>9</v>
      </c>
      <c r="G209" s="2" t="n">
        <v>33</v>
      </c>
    </row>
    <row r="210" customFormat="false" ht="15" hidden="false" customHeight="false" outlineLevel="0" collapsed="false">
      <c r="A210" s="2" t="s">
        <v>124</v>
      </c>
      <c r="B210" s="2" t="s">
        <v>125</v>
      </c>
      <c r="C210" s="2" t="s">
        <v>27</v>
      </c>
      <c r="D210" s="2" t="s">
        <v>4455</v>
      </c>
      <c r="E210" s="2" t="s">
        <v>4261</v>
      </c>
      <c r="F210" s="2" t="s">
        <v>9</v>
      </c>
      <c r="G210" s="2" t="n">
        <v>33</v>
      </c>
    </row>
    <row r="211" customFormat="false" ht="15" hidden="false" customHeight="false" outlineLevel="0" collapsed="false">
      <c r="A211" s="2" t="s">
        <v>124</v>
      </c>
      <c r="B211" s="2" t="s">
        <v>125</v>
      </c>
      <c r="C211" s="2" t="s">
        <v>27</v>
      </c>
      <c r="D211" s="2" t="s">
        <v>2773</v>
      </c>
      <c r="E211" s="2" t="s">
        <v>4261</v>
      </c>
      <c r="F211" s="2" t="s">
        <v>9</v>
      </c>
      <c r="G211" s="2" t="n">
        <v>33</v>
      </c>
    </row>
    <row r="212" customFormat="false" ht="15" hidden="false" customHeight="false" outlineLevel="0" collapsed="false">
      <c r="A212" s="2" t="s">
        <v>124</v>
      </c>
      <c r="B212" s="2" t="s">
        <v>125</v>
      </c>
      <c r="C212" s="2" t="s">
        <v>27</v>
      </c>
      <c r="D212" s="2" t="s">
        <v>4456</v>
      </c>
      <c r="E212" s="2" t="s">
        <v>4261</v>
      </c>
      <c r="F212" s="2" t="s">
        <v>9</v>
      </c>
      <c r="G212" s="2" t="n">
        <v>33</v>
      </c>
    </row>
    <row r="213" customFormat="false" ht="15" hidden="false" customHeight="false" outlineLevel="0" collapsed="false">
      <c r="A213" s="2" t="s">
        <v>124</v>
      </c>
      <c r="B213" s="2" t="s">
        <v>125</v>
      </c>
      <c r="C213" s="2" t="s">
        <v>27</v>
      </c>
      <c r="D213" s="2" t="s">
        <v>4457</v>
      </c>
      <c r="E213" s="2" t="s">
        <v>4261</v>
      </c>
      <c r="F213" s="2" t="s">
        <v>9</v>
      </c>
      <c r="G213" s="2" t="n">
        <v>33</v>
      </c>
    </row>
    <row r="214" customFormat="false" ht="15" hidden="false" customHeight="false" outlineLevel="0" collapsed="false">
      <c r="A214" s="2" t="s">
        <v>124</v>
      </c>
      <c r="B214" s="2" t="s">
        <v>125</v>
      </c>
      <c r="C214" s="2" t="s">
        <v>27</v>
      </c>
      <c r="D214" s="2" t="s">
        <v>4458</v>
      </c>
      <c r="E214" s="2" t="s">
        <v>4261</v>
      </c>
      <c r="F214" s="2" t="s">
        <v>9</v>
      </c>
      <c r="G214" s="2" t="n">
        <v>33</v>
      </c>
    </row>
    <row r="215" customFormat="false" ht="15" hidden="false" customHeight="false" outlineLevel="0" collapsed="false">
      <c r="A215" s="2" t="s">
        <v>124</v>
      </c>
      <c r="B215" s="2" t="s">
        <v>125</v>
      </c>
      <c r="C215" s="2" t="s">
        <v>27</v>
      </c>
      <c r="D215" s="2" t="s">
        <v>4459</v>
      </c>
      <c r="E215" s="2" t="s">
        <v>4261</v>
      </c>
      <c r="F215" s="2" t="s">
        <v>9</v>
      </c>
      <c r="G215" s="2" t="n">
        <v>33</v>
      </c>
    </row>
    <row r="216" customFormat="false" ht="15" hidden="false" customHeight="false" outlineLevel="0" collapsed="false">
      <c r="A216" s="2" t="s">
        <v>124</v>
      </c>
      <c r="B216" s="2" t="s">
        <v>125</v>
      </c>
      <c r="C216" s="2" t="s">
        <v>27</v>
      </c>
      <c r="D216" s="2" t="s">
        <v>4460</v>
      </c>
      <c r="E216" s="2" t="s">
        <v>4261</v>
      </c>
      <c r="F216" s="2" t="s">
        <v>9</v>
      </c>
      <c r="G216" s="2" t="n">
        <v>33</v>
      </c>
    </row>
    <row r="217" customFormat="false" ht="15" hidden="false" customHeight="false" outlineLevel="0" collapsed="false">
      <c r="A217" s="2" t="s">
        <v>124</v>
      </c>
      <c r="B217" s="2" t="s">
        <v>125</v>
      </c>
      <c r="C217" s="2" t="s">
        <v>27</v>
      </c>
      <c r="D217" s="2" t="s">
        <v>4461</v>
      </c>
      <c r="E217" s="2" t="s">
        <v>4261</v>
      </c>
      <c r="F217" s="2" t="s">
        <v>9</v>
      </c>
      <c r="G217" s="2" t="n">
        <v>33</v>
      </c>
    </row>
    <row r="218" customFormat="false" ht="15" hidden="false" customHeight="false" outlineLevel="0" collapsed="false">
      <c r="A218" s="2" t="s">
        <v>124</v>
      </c>
      <c r="B218" s="2" t="s">
        <v>125</v>
      </c>
      <c r="C218" s="2" t="s">
        <v>27</v>
      </c>
      <c r="D218" s="2" t="s">
        <v>4462</v>
      </c>
      <c r="E218" s="2" t="s">
        <v>4261</v>
      </c>
      <c r="F218" s="2" t="s">
        <v>9</v>
      </c>
      <c r="G218" s="2" t="n">
        <v>33</v>
      </c>
    </row>
    <row r="219" customFormat="false" ht="15" hidden="false" customHeight="false" outlineLevel="0" collapsed="false">
      <c r="A219" s="2" t="s">
        <v>124</v>
      </c>
      <c r="B219" s="2" t="s">
        <v>125</v>
      </c>
      <c r="C219" s="2" t="s">
        <v>27</v>
      </c>
      <c r="D219" s="2" t="s">
        <v>1823</v>
      </c>
      <c r="E219" s="2" t="s">
        <v>4261</v>
      </c>
      <c r="F219" s="2" t="s">
        <v>9</v>
      </c>
      <c r="G219" s="2" t="n">
        <v>33</v>
      </c>
    </row>
    <row r="220" customFormat="false" ht="15" hidden="false" customHeight="false" outlineLevel="0" collapsed="false">
      <c r="A220" s="2" t="s">
        <v>124</v>
      </c>
      <c r="B220" s="2" t="s">
        <v>125</v>
      </c>
      <c r="C220" s="2" t="s">
        <v>27</v>
      </c>
      <c r="D220" s="2" t="s">
        <v>4463</v>
      </c>
      <c r="E220" s="2" t="s">
        <v>4261</v>
      </c>
      <c r="F220" s="2" t="s">
        <v>9</v>
      </c>
      <c r="G220" s="2" t="n">
        <v>33</v>
      </c>
    </row>
    <row r="221" customFormat="false" ht="15" hidden="false" customHeight="false" outlineLevel="0" collapsed="false">
      <c r="A221" s="2" t="s">
        <v>124</v>
      </c>
      <c r="B221" s="2" t="s">
        <v>125</v>
      </c>
      <c r="C221" s="2" t="s">
        <v>27</v>
      </c>
      <c r="D221" s="2" t="s">
        <v>4464</v>
      </c>
      <c r="E221" s="2" t="s">
        <v>4261</v>
      </c>
      <c r="F221" s="2" t="s">
        <v>9</v>
      </c>
      <c r="G221" s="2" t="n">
        <v>33</v>
      </c>
    </row>
    <row r="222" customFormat="false" ht="15" hidden="false" customHeight="false" outlineLevel="0" collapsed="false">
      <c r="A222" s="2" t="s">
        <v>124</v>
      </c>
      <c r="B222" s="2" t="s">
        <v>125</v>
      </c>
      <c r="C222" s="2" t="s">
        <v>27</v>
      </c>
      <c r="D222" s="2" t="s">
        <v>334</v>
      </c>
      <c r="E222" s="2" t="s">
        <v>4261</v>
      </c>
      <c r="F222" s="2" t="s">
        <v>9</v>
      </c>
      <c r="G222" s="2" t="n">
        <v>33</v>
      </c>
    </row>
    <row r="223" customFormat="false" ht="15" hidden="false" customHeight="false" outlineLevel="0" collapsed="false">
      <c r="A223" s="2" t="s">
        <v>127</v>
      </c>
      <c r="B223" s="2" t="s">
        <v>128</v>
      </c>
      <c r="C223" s="2" t="s">
        <v>27</v>
      </c>
      <c r="D223" s="2" t="s">
        <v>4465</v>
      </c>
      <c r="E223" s="2" t="s">
        <v>4261</v>
      </c>
      <c r="F223" s="2" t="s">
        <v>8</v>
      </c>
      <c r="G223" s="2" t="n">
        <v>34</v>
      </c>
    </row>
    <row r="224" customFormat="false" ht="15" hidden="false" customHeight="false" outlineLevel="0" collapsed="false">
      <c r="A224" s="2" t="s">
        <v>127</v>
      </c>
      <c r="B224" s="2" t="s">
        <v>128</v>
      </c>
      <c r="C224" s="2" t="s">
        <v>27</v>
      </c>
      <c r="D224" s="2" t="s">
        <v>4466</v>
      </c>
      <c r="E224" s="2" t="s">
        <v>4261</v>
      </c>
      <c r="F224" s="2" t="s">
        <v>8</v>
      </c>
      <c r="G224" s="2" t="n">
        <v>34</v>
      </c>
    </row>
    <row r="225" customFormat="false" ht="15" hidden="false" customHeight="false" outlineLevel="0" collapsed="false">
      <c r="A225" s="2" t="s">
        <v>127</v>
      </c>
      <c r="B225" s="2" t="s">
        <v>128</v>
      </c>
      <c r="C225" s="2" t="s">
        <v>27</v>
      </c>
      <c r="D225" s="2" t="s">
        <v>4467</v>
      </c>
      <c r="E225" s="2" t="s">
        <v>4261</v>
      </c>
      <c r="F225" s="2" t="s">
        <v>8</v>
      </c>
      <c r="G225" s="2" t="n">
        <v>34</v>
      </c>
    </row>
    <row r="226" customFormat="false" ht="15" hidden="false" customHeight="false" outlineLevel="0" collapsed="false">
      <c r="A226" s="2" t="s">
        <v>127</v>
      </c>
      <c r="B226" s="2" t="s">
        <v>128</v>
      </c>
      <c r="C226" s="2" t="s">
        <v>27</v>
      </c>
      <c r="D226" s="2" t="s">
        <v>550</v>
      </c>
      <c r="E226" s="2" t="s">
        <v>4261</v>
      </c>
      <c r="F226" s="2" t="s">
        <v>8</v>
      </c>
      <c r="G226" s="2" t="n">
        <v>34</v>
      </c>
    </row>
    <row r="227" customFormat="false" ht="15" hidden="false" customHeight="false" outlineLevel="0" collapsed="false">
      <c r="A227" s="2" t="s">
        <v>130</v>
      </c>
      <c r="B227" s="2" t="s">
        <v>56</v>
      </c>
      <c r="C227" s="2" t="s">
        <v>56</v>
      </c>
      <c r="D227" s="2" t="s">
        <v>4468</v>
      </c>
      <c r="E227" s="2" t="s">
        <v>4264</v>
      </c>
      <c r="F227" s="2" t="s">
        <v>8</v>
      </c>
      <c r="G227" s="2" t="n">
        <v>35</v>
      </c>
    </row>
    <row r="228" customFormat="false" ht="15" hidden="false" customHeight="false" outlineLevel="0" collapsed="false">
      <c r="A228" s="2" t="s">
        <v>130</v>
      </c>
      <c r="B228" s="2" t="s">
        <v>56</v>
      </c>
      <c r="C228" s="2" t="s">
        <v>56</v>
      </c>
      <c r="D228" s="2" t="s">
        <v>4469</v>
      </c>
      <c r="E228" s="2" t="s">
        <v>4271</v>
      </c>
      <c r="F228" s="2" t="s">
        <v>8</v>
      </c>
      <c r="G228" s="2" t="n">
        <v>35</v>
      </c>
    </row>
    <row r="229" customFormat="false" ht="15" hidden="false" customHeight="false" outlineLevel="0" collapsed="false">
      <c r="A229" s="2" t="s">
        <v>132</v>
      </c>
      <c r="B229" s="2" t="s">
        <v>133</v>
      </c>
      <c r="C229" s="2" t="s">
        <v>34</v>
      </c>
      <c r="D229" s="2" t="s">
        <v>4470</v>
      </c>
      <c r="E229" s="2" t="s">
        <v>4261</v>
      </c>
      <c r="F229" s="2" t="s">
        <v>9</v>
      </c>
      <c r="G229" s="2" t="n">
        <v>36</v>
      </c>
    </row>
    <row r="230" customFormat="false" ht="15" hidden="false" customHeight="false" outlineLevel="0" collapsed="false">
      <c r="A230" s="2" t="s">
        <v>132</v>
      </c>
      <c r="B230" s="2" t="s">
        <v>133</v>
      </c>
      <c r="C230" s="2" t="s">
        <v>34</v>
      </c>
      <c r="D230" s="2" t="s">
        <v>4471</v>
      </c>
      <c r="E230" s="2" t="s">
        <v>4261</v>
      </c>
      <c r="F230" s="2" t="s">
        <v>9</v>
      </c>
      <c r="G230" s="2" t="n">
        <v>36</v>
      </c>
    </row>
    <row r="231" customFormat="false" ht="15" hidden="false" customHeight="false" outlineLevel="0" collapsed="false">
      <c r="A231" s="2" t="s">
        <v>132</v>
      </c>
      <c r="B231" s="2" t="s">
        <v>133</v>
      </c>
      <c r="C231" s="2" t="s">
        <v>34</v>
      </c>
      <c r="D231" s="2" t="s">
        <v>1926</v>
      </c>
      <c r="E231" s="2" t="s">
        <v>4261</v>
      </c>
      <c r="F231" s="2" t="s">
        <v>9</v>
      </c>
      <c r="G231" s="2" t="n">
        <v>36</v>
      </c>
    </row>
    <row r="232" customFormat="false" ht="15" hidden="false" customHeight="false" outlineLevel="0" collapsed="false">
      <c r="A232" s="2" t="s">
        <v>132</v>
      </c>
      <c r="B232" s="2" t="s">
        <v>133</v>
      </c>
      <c r="C232" s="2" t="s">
        <v>34</v>
      </c>
      <c r="D232" s="2" t="s">
        <v>4472</v>
      </c>
      <c r="E232" s="2" t="s">
        <v>4261</v>
      </c>
      <c r="F232" s="2" t="s">
        <v>9</v>
      </c>
      <c r="G232" s="2" t="n">
        <v>36</v>
      </c>
    </row>
    <row r="233" customFormat="false" ht="15" hidden="false" customHeight="false" outlineLevel="0" collapsed="false">
      <c r="A233" s="2" t="s">
        <v>132</v>
      </c>
      <c r="B233" s="2" t="s">
        <v>133</v>
      </c>
      <c r="C233" s="2" t="s">
        <v>34</v>
      </c>
      <c r="D233" s="2" t="s">
        <v>4473</v>
      </c>
      <c r="E233" s="2" t="s">
        <v>4261</v>
      </c>
      <c r="F233" s="2" t="s">
        <v>9</v>
      </c>
      <c r="G233" s="2" t="n">
        <v>36</v>
      </c>
    </row>
    <row r="234" customFormat="false" ht="15" hidden="false" customHeight="false" outlineLevel="0" collapsed="false">
      <c r="A234" s="2" t="s">
        <v>132</v>
      </c>
      <c r="B234" s="2" t="s">
        <v>133</v>
      </c>
      <c r="C234" s="2" t="s">
        <v>34</v>
      </c>
      <c r="D234" s="2" t="s">
        <v>4474</v>
      </c>
      <c r="E234" s="2" t="s">
        <v>4261</v>
      </c>
      <c r="F234" s="2" t="s">
        <v>9</v>
      </c>
      <c r="G234" s="2" t="n">
        <v>36</v>
      </c>
    </row>
    <row r="235" customFormat="false" ht="15" hidden="false" customHeight="false" outlineLevel="0" collapsed="false">
      <c r="A235" s="2" t="s">
        <v>132</v>
      </c>
      <c r="B235" s="2" t="s">
        <v>133</v>
      </c>
      <c r="C235" s="2" t="s">
        <v>34</v>
      </c>
      <c r="D235" s="2" t="s">
        <v>1712</v>
      </c>
      <c r="E235" s="2" t="s">
        <v>4261</v>
      </c>
      <c r="F235" s="2" t="s">
        <v>9</v>
      </c>
      <c r="G235" s="2" t="n">
        <v>36</v>
      </c>
    </row>
    <row r="236" customFormat="false" ht="15" hidden="false" customHeight="false" outlineLevel="0" collapsed="false">
      <c r="A236" s="2" t="s">
        <v>137</v>
      </c>
      <c r="B236" s="2" t="s">
        <v>138</v>
      </c>
      <c r="C236" s="2" t="s">
        <v>27</v>
      </c>
      <c r="D236" s="2" t="s">
        <v>4475</v>
      </c>
      <c r="E236" s="2" t="s">
        <v>4261</v>
      </c>
      <c r="F236" s="2" t="s">
        <v>8</v>
      </c>
      <c r="G236" s="2" t="n">
        <v>38</v>
      </c>
    </row>
    <row r="237" customFormat="false" ht="15" hidden="false" customHeight="false" outlineLevel="0" collapsed="false">
      <c r="A237" s="2" t="s">
        <v>137</v>
      </c>
      <c r="B237" s="2" t="s">
        <v>138</v>
      </c>
      <c r="C237" s="2" t="s">
        <v>27</v>
      </c>
      <c r="D237" s="2" t="s">
        <v>4476</v>
      </c>
      <c r="E237" s="2" t="s">
        <v>4261</v>
      </c>
      <c r="F237" s="2" t="s">
        <v>8</v>
      </c>
      <c r="G237" s="2" t="n">
        <v>38</v>
      </c>
    </row>
    <row r="238" customFormat="false" ht="15" hidden="false" customHeight="false" outlineLevel="0" collapsed="false">
      <c r="A238" s="2" t="s">
        <v>137</v>
      </c>
      <c r="B238" s="2" t="s">
        <v>138</v>
      </c>
      <c r="C238" s="2" t="s">
        <v>27</v>
      </c>
      <c r="D238" s="2" t="s">
        <v>4477</v>
      </c>
      <c r="E238" s="2" t="s">
        <v>4264</v>
      </c>
      <c r="F238" s="2" t="s">
        <v>8</v>
      </c>
      <c r="G238" s="2" t="n">
        <v>38</v>
      </c>
    </row>
    <row r="239" customFormat="false" ht="15" hidden="false" customHeight="false" outlineLevel="0" collapsed="false">
      <c r="A239" s="2" t="s">
        <v>137</v>
      </c>
      <c r="B239" s="2" t="s">
        <v>138</v>
      </c>
      <c r="C239" s="2" t="s">
        <v>27</v>
      </c>
      <c r="D239" s="2" t="s">
        <v>4478</v>
      </c>
      <c r="E239" s="2" t="s">
        <v>4264</v>
      </c>
      <c r="F239" s="2" t="s">
        <v>8</v>
      </c>
      <c r="G239" s="2" t="n">
        <v>38</v>
      </c>
    </row>
    <row r="240" customFormat="false" ht="15" hidden="false" customHeight="false" outlineLevel="0" collapsed="false">
      <c r="A240" s="2" t="s">
        <v>137</v>
      </c>
      <c r="B240" s="2" t="s">
        <v>138</v>
      </c>
      <c r="C240" s="2" t="s">
        <v>27</v>
      </c>
      <c r="D240" s="2" t="s">
        <v>4479</v>
      </c>
      <c r="E240" s="2" t="s">
        <v>4261</v>
      </c>
      <c r="F240" s="2" t="s">
        <v>8</v>
      </c>
      <c r="G240" s="2" t="n">
        <v>38</v>
      </c>
    </row>
    <row r="241" customFormat="false" ht="15" hidden="false" customHeight="false" outlineLevel="0" collapsed="false">
      <c r="A241" s="2" t="s">
        <v>137</v>
      </c>
      <c r="B241" s="2" t="s">
        <v>138</v>
      </c>
      <c r="C241" s="2" t="s">
        <v>27</v>
      </c>
      <c r="D241" s="2" t="s">
        <v>4480</v>
      </c>
      <c r="E241" s="2" t="s">
        <v>4264</v>
      </c>
      <c r="F241" s="2" t="s">
        <v>8</v>
      </c>
      <c r="G241" s="2" t="n">
        <v>38</v>
      </c>
    </row>
    <row r="242" customFormat="false" ht="15" hidden="false" customHeight="false" outlineLevel="0" collapsed="false">
      <c r="A242" s="2" t="s">
        <v>137</v>
      </c>
      <c r="B242" s="2" t="s">
        <v>138</v>
      </c>
      <c r="C242" s="2" t="s">
        <v>27</v>
      </c>
      <c r="D242" s="2" t="s">
        <v>4481</v>
      </c>
      <c r="E242" s="2" t="s">
        <v>4264</v>
      </c>
      <c r="F242" s="2" t="s">
        <v>8</v>
      </c>
      <c r="G242" s="2" t="n">
        <v>38</v>
      </c>
    </row>
    <row r="243" customFormat="false" ht="15" hidden="false" customHeight="false" outlineLevel="0" collapsed="false">
      <c r="A243" s="2" t="s">
        <v>137</v>
      </c>
      <c r="B243" s="2" t="s">
        <v>138</v>
      </c>
      <c r="C243" s="2" t="s">
        <v>27</v>
      </c>
      <c r="D243" s="2" t="s">
        <v>4482</v>
      </c>
      <c r="E243" s="2" t="s">
        <v>4261</v>
      </c>
      <c r="F243" s="2" t="s">
        <v>8</v>
      </c>
      <c r="G243" s="2" t="n">
        <v>38</v>
      </c>
    </row>
    <row r="244" customFormat="false" ht="15" hidden="false" customHeight="false" outlineLevel="0" collapsed="false">
      <c r="A244" s="2" t="s">
        <v>137</v>
      </c>
      <c r="B244" s="2" t="s">
        <v>138</v>
      </c>
      <c r="C244" s="2" t="s">
        <v>27</v>
      </c>
      <c r="D244" s="2" t="s">
        <v>4483</v>
      </c>
      <c r="E244" s="2" t="s">
        <v>4261</v>
      </c>
      <c r="F244" s="2" t="s">
        <v>8</v>
      </c>
      <c r="G244" s="2" t="n">
        <v>38</v>
      </c>
    </row>
    <row r="245" customFormat="false" ht="15" hidden="false" customHeight="false" outlineLevel="0" collapsed="false">
      <c r="A245" s="2" t="s">
        <v>137</v>
      </c>
      <c r="B245" s="2" t="s">
        <v>138</v>
      </c>
      <c r="C245" s="2" t="s">
        <v>27</v>
      </c>
      <c r="D245" s="2" t="s">
        <v>4484</v>
      </c>
      <c r="E245" s="2" t="s">
        <v>4261</v>
      </c>
      <c r="F245" s="2" t="s">
        <v>8</v>
      </c>
      <c r="G245" s="2" t="n">
        <v>38</v>
      </c>
    </row>
    <row r="246" customFormat="false" ht="15" hidden="false" customHeight="false" outlineLevel="0" collapsed="false">
      <c r="A246" s="2" t="s">
        <v>137</v>
      </c>
      <c r="B246" s="2" t="s">
        <v>138</v>
      </c>
      <c r="C246" s="2" t="s">
        <v>27</v>
      </c>
      <c r="D246" s="2" t="s">
        <v>4485</v>
      </c>
      <c r="E246" s="2" t="s">
        <v>4264</v>
      </c>
      <c r="F246" s="2" t="s">
        <v>8</v>
      </c>
      <c r="G246" s="2" t="n">
        <v>38</v>
      </c>
    </row>
    <row r="247" customFormat="false" ht="15" hidden="false" customHeight="false" outlineLevel="0" collapsed="false">
      <c r="A247" s="2" t="s">
        <v>137</v>
      </c>
      <c r="B247" s="2" t="s">
        <v>138</v>
      </c>
      <c r="C247" s="2" t="s">
        <v>27</v>
      </c>
      <c r="D247" s="2" t="s">
        <v>4486</v>
      </c>
      <c r="E247" s="2" t="s">
        <v>4264</v>
      </c>
      <c r="F247" s="2" t="s">
        <v>8</v>
      </c>
      <c r="G247" s="2" t="n">
        <v>38</v>
      </c>
    </row>
    <row r="248" customFormat="false" ht="15" hidden="false" customHeight="false" outlineLevel="0" collapsed="false">
      <c r="A248" s="2" t="s">
        <v>137</v>
      </c>
      <c r="B248" s="2" t="s">
        <v>138</v>
      </c>
      <c r="C248" s="2" t="s">
        <v>27</v>
      </c>
      <c r="D248" s="2" t="s">
        <v>4487</v>
      </c>
      <c r="E248" s="2" t="s">
        <v>4264</v>
      </c>
      <c r="F248" s="2" t="s">
        <v>8</v>
      </c>
      <c r="G248" s="2" t="n">
        <v>38</v>
      </c>
    </row>
    <row r="249" customFormat="false" ht="15" hidden="false" customHeight="false" outlineLevel="0" collapsed="false">
      <c r="A249" s="2" t="s">
        <v>137</v>
      </c>
      <c r="B249" s="2" t="s">
        <v>138</v>
      </c>
      <c r="C249" s="2" t="s">
        <v>27</v>
      </c>
      <c r="D249" s="2" t="s">
        <v>4488</v>
      </c>
      <c r="E249" s="2" t="s">
        <v>4261</v>
      </c>
      <c r="F249" s="2" t="s">
        <v>8</v>
      </c>
      <c r="G249" s="2" t="n">
        <v>38</v>
      </c>
    </row>
    <row r="250" customFormat="false" ht="15" hidden="false" customHeight="false" outlineLevel="0" collapsed="false">
      <c r="A250" s="2" t="s">
        <v>137</v>
      </c>
      <c r="B250" s="2" t="s">
        <v>138</v>
      </c>
      <c r="C250" s="2" t="s">
        <v>27</v>
      </c>
      <c r="D250" s="2" t="s">
        <v>4489</v>
      </c>
      <c r="E250" s="2" t="s">
        <v>4261</v>
      </c>
      <c r="F250" s="2" t="s">
        <v>8</v>
      </c>
      <c r="G250" s="2" t="n">
        <v>38</v>
      </c>
    </row>
    <row r="251" customFormat="false" ht="15" hidden="false" customHeight="false" outlineLevel="0" collapsed="false">
      <c r="A251" s="2" t="s">
        <v>137</v>
      </c>
      <c r="B251" s="2" t="s">
        <v>138</v>
      </c>
      <c r="C251" s="2" t="s">
        <v>27</v>
      </c>
      <c r="D251" s="2" t="s">
        <v>4490</v>
      </c>
      <c r="E251" s="2" t="s">
        <v>4261</v>
      </c>
      <c r="F251" s="2" t="s">
        <v>8</v>
      </c>
      <c r="G251" s="2" t="n">
        <v>38</v>
      </c>
    </row>
    <row r="252" customFormat="false" ht="15" hidden="false" customHeight="false" outlineLevel="0" collapsed="false">
      <c r="A252" s="2" t="s">
        <v>137</v>
      </c>
      <c r="B252" s="2" t="s">
        <v>138</v>
      </c>
      <c r="C252" s="2" t="s">
        <v>27</v>
      </c>
      <c r="D252" s="2" t="s">
        <v>4491</v>
      </c>
      <c r="E252" s="2" t="s">
        <v>4261</v>
      </c>
      <c r="F252" s="2" t="s">
        <v>8</v>
      </c>
      <c r="G252" s="2" t="n">
        <v>38</v>
      </c>
    </row>
    <row r="253" customFormat="false" ht="15" hidden="false" customHeight="false" outlineLevel="0" collapsed="false">
      <c r="A253" s="2" t="s">
        <v>137</v>
      </c>
      <c r="B253" s="2" t="s">
        <v>138</v>
      </c>
      <c r="C253" s="2" t="s">
        <v>27</v>
      </c>
      <c r="D253" s="2" t="s">
        <v>4492</v>
      </c>
      <c r="E253" s="2" t="s">
        <v>4264</v>
      </c>
      <c r="F253" s="2" t="s">
        <v>8</v>
      </c>
      <c r="G253" s="2" t="n">
        <v>38</v>
      </c>
    </row>
    <row r="254" customFormat="false" ht="15" hidden="false" customHeight="false" outlineLevel="0" collapsed="false">
      <c r="A254" s="2" t="s">
        <v>137</v>
      </c>
      <c r="B254" s="2" t="s">
        <v>138</v>
      </c>
      <c r="C254" s="2" t="s">
        <v>27</v>
      </c>
      <c r="D254" s="2" t="s">
        <v>4493</v>
      </c>
      <c r="E254" s="2" t="s">
        <v>4261</v>
      </c>
      <c r="F254" s="2" t="s">
        <v>8</v>
      </c>
      <c r="G254" s="2" t="n">
        <v>38</v>
      </c>
    </row>
    <row r="255" customFormat="false" ht="15" hidden="false" customHeight="false" outlineLevel="0" collapsed="false">
      <c r="A255" s="2" t="s">
        <v>137</v>
      </c>
      <c r="B255" s="2" t="s">
        <v>138</v>
      </c>
      <c r="C255" s="2" t="s">
        <v>27</v>
      </c>
      <c r="D255" s="2" t="s">
        <v>4494</v>
      </c>
      <c r="E255" s="2" t="s">
        <v>4261</v>
      </c>
      <c r="F255" s="2" t="s">
        <v>8</v>
      </c>
      <c r="G255" s="2" t="n">
        <v>38</v>
      </c>
    </row>
    <row r="256" customFormat="false" ht="15" hidden="false" customHeight="false" outlineLevel="0" collapsed="false">
      <c r="A256" s="2" t="s">
        <v>137</v>
      </c>
      <c r="B256" s="2" t="s">
        <v>138</v>
      </c>
      <c r="C256" s="2" t="s">
        <v>27</v>
      </c>
      <c r="D256" s="2" t="s">
        <v>4495</v>
      </c>
      <c r="E256" s="2" t="s">
        <v>4261</v>
      </c>
      <c r="F256" s="2" t="s">
        <v>8</v>
      </c>
      <c r="G256" s="2" t="n">
        <v>38</v>
      </c>
    </row>
    <row r="257" customFormat="false" ht="15" hidden="false" customHeight="false" outlineLevel="0" collapsed="false">
      <c r="A257" s="2" t="s">
        <v>137</v>
      </c>
      <c r="B257" s="2" t="s">
        <v>138</v>
      </c>
      <c r="C257" s="2" t="s">
        <v>27</v>
      </c>
      <c r="D257" s="2" t="s">
        <v>4496</v>
      </c>
      <c r="E257" s="2" t="s">
        <v>4261</v>
      </c>
      <c r="F257" s="2" t="s">
        <v>8</v>
      </c>
      <c r="G257" s="2" t="n">
        <v>38</v>
      </c>
    </row>
    <row r="258" customFormat="false" ht="15" hidden="false" customHeight="false" outlineLevel="0" collapsed="false">
      <c r="A258" s="2" t="s">
        <v>137</v>
      </c>
      <c r="B258" s="2" t="s">
        <v>138</v>
      </c>
      <c r="C258" s="2" t="s">
        <v>27</v>
      </c>
      <c r="D258" s="2" t="s">
        <v>4497</v>
      </c>
      <c r="E258" s="2" t="s">
        <v>4261</v>
      </c>
      <c r="F258" s="2" t="s">
        <v>8</v>
      </c>
      <c r="G258" s="2" t="n">
        <v>38</v>
      </c>
    </row>
    <row r="259" customFormat="false" ht="15" hidden="false" customHeight="false" outlineLevel="0" collapsed="false">
      <c r="A259" s="2" t="s">
        <v>137</v>
      </c>
      <c r="B259" s="2" t="s">
        <v>138</v>
      </c>
      <c r="C259" s="2" t="s">
        <v>27</v>
      </c>
      <c r="D259" s="2" t="s">
        <v>4498</v>
      </c>
      <c r="E259" s="2" t="s">
        <v>4261</v>
      </c>
      <c r="F259" s="2" t="s">
        <v>8</v>
      </c>
      <c r="G259" s="2" t="n">
        <v>38</v>
      </c>
    </row>
    <row r="260" customFormat="false" ht="15" hidden="false" customHeight="false" outlineLevel="0" collapsed="false">
      <c r="A260" s="2" t="s">
        <v>137</v>
      </c>
      <c r="B260" s="2" t="s">
        <v>138</v>
      </c>
      <c r="C260" s="2" t="s">
        <v>27</v>
      </c>
      <c r="D260" s="2" t="s">
        <v>4499</v>
      </c>
      <c r="E260" s="2" t="s">
        <v>4271</v>
      </c>
      <c r="F260" s="2" t="s">
        <v>8</v>
      </c>
      <c r="G260" s="2" t="n">
        <v>38</v>
      </c>
    </row>
    <row r="261" customFormat="false" ht="15" hidden="false" customHeight="false" outlineLevel="0" collapsed="false">
      <c r="A261" s="2" t="s">
        <v>137</v>
      </c>
      <c r="B261" s="2" t="s">
        <v>138</v>
      </c>
      <c r="C261" s="2" t="s">
        <v>27</v>
      </c>
      <c r="D261" s="2" t="s">
        <v>4500</v>
      </c>
      <c r="E261" s="2" t="s">
        <v>4264</v>
      </c>
      <c r="F261" s="2" t="s">
        <v>8</v>
      </c>
      <c r="G261" s="2" t="n">
        <v>38</v>
      </c>
    </row>
    <row r="262" customFormat="false" ht="15" hidden="false" customHeight="false" outlineLevel="0" collapsed="false">
      <c r="A262" s="2" t="s">
        <v>137</v>
      </c>
      <c r="B262" s="2" t="s">
        <v>138</v>
      </c>
      <c r="C262" s="2" t="s">
        <v>27</v>
      </c>
      <c r="D262" s="2" t="s">
        <v>4501</v>
      </c>
      <c r="E262" s="2" t="s">
        <v>4261</v>
      </c>
      <c r="F262" s="2" t="s">
        <v>8</v>
      </c>
      <c r="G262" s="2" t="n">
        <v>38</v>
      </c>
    </row>
    <row r="263" customFormat="false" ht="15" hidden="false" customHeight="false" outlineLevel="0" collapsed="false">
      <c r="A263" s="2" t="s">
        <v>140</v>
      </c>
      <c r="B263" s="2" t="s">
        <v>44</v>
      </c>
      <c r="C263" s="2" t="s">
        <v>44</v>
      </c>
      <c r="D263" s="2" t="s">
        <v>4502</v>
      </c>
      <c r="E263" s="2" t="s">
        <v>4261</v>
      </c>
      <c r="F263" s="2" t="s">
        <v>8</v>
      </c>
      <c r="G263" s="2" t="n">
        <v>39</v>
      </c>
    </row>
    <row r="264" customFormat="false" ht="15" hidden="false" customHeight="false" outlineLevel="0" collapsed="false">
      <c r="A264" s="2" t="s">
        <v>140</v>
      </c>
      <c r="B264" s="2" t="s">
        <v>44</v>
      </c>
      <c r="C264" s="2" t="s">
        <v>44</v>
      </c>
      <c r="D264" s="2" t="s">
        <v>4503</v>
      </c>
      <c r="E264" s="2" t="s">
        <v>4264</v>
      </c>
      <c r="F264" s="2" t="s">
        <v>8</v>
      </c>
      <c r="G264" s="2" t="n">
        <v>39</v>
      </c>
    </row>
    <row r="265" customFormat="false" ht="15" hidden="false" customHeight="false" outlineLevel="0" collapsed="false">
      <c r="A265" s="2" t="s">
        <v>140</v>
      </c>
      <c r="B265" s="2" t="s">
        <v>44</v>
      </c>
      <c r="C265" s="2" t="s">
        <v>44</v>
      </c>
      <c r="D265" s="2" t="s">
        <v>4504</v>
      </c>
      <c r="E265" s="2" t="s">
        <v>4261</v>
      </c>
      <c r="F265" s="2" t="s">
        <v>8</v>
      </c>
      <c r="G265" s="2" t="n">
        <v>39</v>
      </c>
    </row>
    <row r="266" customFormat="false" ht="15" hidden="false" customHeight="false" outlineLevel="0" collapsed="false">
      <c r="A266" s="2" t="s">
        <v>140</v>
      </c>
      <c r="B266" s="2" t="s">
        <v>44</v>
      </c>
      <c r="C266" s="2" t="s">
        <v>44</v>
      </c>
      <c r="D266" s="2" t="s">
        <v>4505</v>
      </c>
      <c r="E266" s="2" t="s">
        <v>4261</v>
      </c>
      <c r="F266" s="2" t="s">
        <v>8</v>
      </c>
      <c r="G266" s="2" t="n">
        <v>39</v>
      </c>
    </row>
    <row r="267" customFormat="false" ht="15" hidden="false" customHeight="false" outlineLevel="0" collapsed="false">
      <c r="A267" s="2" t="s">
        <v>140</v>
      </c>
      <c r="B267" s="2" t="s">
        <v>44</v>
      </c>
      <c r="C267" s="2" t="s">
        <v>44</v>
      </c>
      <c r="D267" s="2" t="s">
        <v>4506</v>
      </c>
      <c r="E267" s="2" t="s">
        <v>4271</v>
      </c>
      <c r="F267" s="2" t="s">
        <v>8</v>
      </c>
      <c r="G267" s="2" t="n">
        <v>39</v>
      </c>
    </row>
    <row r="268" customFormat="false" ht="15" hidden="false" customHeight="false" outlineLevel="0" collapsed="false">
      <c r="A268" s="2" t="s">
        <v>140</v>
      </c>
      <c r="B268" s="2" t="s">
        <v>44</v>
      </c>
      <c r="C268" s="2" t="s">
        <v>44</v>
      </c>
      <c r="D268" s="2" t="s">
        <v>4507</v>
      </c>
      <c r="E268" s="2" t="s">
        <v>4261</v>
      </c>
      <c r="F268" s="2" t="s">
        <v>8</v>
      </c>
      <c r="G268" s="2" t="n">
        <v>39</v>
      </c>
    </row>
    <row r="269" customFormat="false" ht="15" hidden="false" customHeight="false" outlineLevel="0" collapsed="false">
      <c r="A269" s="2" t="s">
        <v>140</v>
      </c>
      <c r="B269" s="2" t="s">
        <v>44</v>
      </c>
      <c r="C269" s="2" t="s">
        <v>44</v>
      </c>
      <c r="D269" s="2" t="s">
        <v>4508</v>
      </c>
      <c r="E269" s="2" t="s">
        <v>4261</v>
      </c>
      <c r="F269" s="2" t="s">
        <v>8</v>
      </c>
      <c r="G269" s="2" t="n">
        <v>39</v>
      </c>
    </row>
    <row r="270" customFormat="false" ht="15" hidden="false" customHeight="false" outlineLevel="0" collapsed="false">
      <c r="A270" s="2" t="s">
        <v>140</v>
      </c>
      <c r="B270" s="2" t="s">
        <v>44</v>
      </c>
      <c r="C270" s="2" t="s">
        <v>44</v>
      </c>
      <c r="D270" s="2" t="s">
        <v>4509</v>
      </c>
      <c r="E270" s="2" t="s">
        <v>4264</v>
      </c>
      <c r="F270" s="2" t="s">
        <v>8</v>
      </c>
      <c r="G270" s="2" t="n">
        <v>39</v>
      </c>
    </row>
    <row r="271" customFormat="false" ht="15" hidden="false" customHeight="false" outlineLevel="0" collapsed="false">
      <c r="A271" s="2" t="s">
        <v>140</v>
      </c>
      <c r="B271" s="2" t="s">
        <v>44</v>
      </c>
      <c r="C271" s="2" t="s">
        <v>44</v>
      </c>
      <c r="D271" s="2" t="s">
        <v>4510</v>
      </c>
      <c r="E271" s="2" t="s">
        <v>4261</v>
      </c>
      <c r="F271" s="2" t="s">
        <v>8</v>
      </c>
      <c r="G271" s="2" t="n">
        <v>39</v>
      </c>
    </row>
    <row r="272" customFormat="false" ht="15" hidden="false" customHeight="false" outlineLevel="0" collapsed="false">
      <c r="A272" s="2" t="s">
        <v>140</v>
      </c>
      <c r="B272" s="2" t="s">
        <v>44</v>
      </c>
      <c r="C272" s="2" t="s">
        <v>44</v>
      </c>
      <c r="D272" s="2" t="s">
        <v>4511</v>
      </c>
      <c r="E272" s="2" t="s">
        <v>4261</v>
      </c>
      <c r="F272" s="2" t="s">
        <v>8</v>
      </c>
      <c r="G272" s="2" t="n">
        <v>39</v>
      </c>
    </row>
    <row r="273" customFormat="false" ht="15" hidden="false" customHeight="false" outlineLevel="0" collapsed="false">
      <c r="A273" s="2" t="s">
        <v>140</v>
      </c>
      <c r="B273" s="2" t="s">
        <v>44</v>
      </c>
      <c r="C273" s="2" t="s">
        <v>44</v>
      </c>
      <c r="D273" s="2" t="s">
        <v>4512</v>
      </c>
      <c r="E273" s="2" t="s">
        <v>4261</v>
      </c>
      <c r="F273" s="2" t="s">
        <v>8</v>
      </c>
      <c r="G273" s="2" t="n">
        <v>39</v>
      </c>
    </row>
    <row r="274" customFormat="false" ht="15" hidden="false" customHeight="false" outlineLevel="0" collapsed="false">
      <c r="A274" s="2" t="s">
        <v>140</v>
      </c>
      <c r="B274" s="2" t="s">
        <v>44</v>
      </c>
      <c r="C274" s="2" t="s">
        <v>44</v>
      </c>
      <c r="D274" s="2" t="s">
        <v>4513</v>
      </c>
      <c r="E274" s="2" t="s">
        <v>4264</v>
      </c>
      <c r="F274" s="2" t="s">
        <v>8</v>
      </c>
      <c r="G274" s="2" t="n">
        <v>39</v>
      </c>
    </row>
    <row r="275" customFormat="false" ht="15" hidden="false" customHeight="false" outlineLevel="0" collapsed="false">
      <c r="A275" s="2" t="s">
        <v>140</v>
      </c>
      <c r="B275" s="2" t="s">
        <v>44</v>
      </c>
      <c r="C275" s="2" t="s">
        <v>44</v>
      </c>
      <c r="D275" s="2" t="s">
        <v>4514</v>
      </c>
      <c r="E275" s="2" t="s">
        <v>4261</v>
      </c>
      <c r="F275" s="2" t="s">
        <v>8</v>
      </c>
      <c r="G275" s="2" t="n">
        <v>39</v>
      </c>
    </row>
    <row r="276" customFormat="false" ht="15" hidden="false" customHeight="false" outlineLevel="0" collapsed="false">
      <c r="A276" s="2" t="s">
        <v>140</v>
      </c>
      <c r="B276" s="2" t="s">
        <v>44</v>
      </c>
      <c r="C276" s="2" t="s">
        <v>44</v>
      </c>
      <c r="D276" s="2" t="s">
        <v>4515</v>
      </c>
      <c r="E276" s="2" t="s">
        <v>4264</v>
      </c>
      <c r="F276" s="2" t="s">
        <v>8</v>
      </c>
      <c r="G276" s="2" t="n">
        <v>39</v>
      </c>
    </row>
    <row r="277" customFormat="false" ht="15" hidden="false" customHeight="false" outlineLevel="0" collapsed="false">
      <c r="A277" s="2" t="s">
        <v>140</v>
      </c>
      <c r="B277" s="2" t="s">
        <v>44</v>
      </c>
      <c r="C277" s="2" t="s">
        <v>44</v>
      </c>
      <c r="D277" s="2" t="s">
        <v>4516</v>
      </c>
      <c r="E277" s="2" t="s">
        <v>4264</v>
      </c>
      <c r="F277" s="2" t="s">
        <v>8</v>
      </c>
      <c r="G277" s="2" t="n">
        <v>39</v>
      </c>
    </row>
    <row r="278" customFormat="false" ht="15" hidden="false" customHeight="false" outlineLevel="0" collapsed="false">
      <c r="A278" s="2" t="s">
        <v>140</v>
      </c>
      <c r="B278" s="2" t="s">
        <v>44</v>
      </c>
      <c r="C278" s="2" t="s">
        <v>44</v>
      </c>
      <c r="D278" s="2" t="s">
        <v>4517</v>
      </c>
      <c r="E278" s="2" t="s">
        <v>4264</v>
      </c>
      <c r="F278" s="2" t="s">
        <v>8</v>
      </c>
      <c r="G278" s="2" t="n">
        <v>39</v>
      </c>
    </row>
    <row r="279" customFormat="false" ht="15" hidden="false" customHeight="false" outlineLevel="0" collapsed="false">
      <c r="A279" s="2" t="s">
        <v>140</v>
      </c>
      <c r="B279" s="2" t="s">
        <v>44</v>
      </c>
      <c r="C279" s="2" t="s">
        <v>44</v>
      </c>
      <c r="D279" s="2" t="s">
        <v>4518</v>
      </c>
      <c r="E279" s="2" t="s">
        <v>4261</v>
      </c>
      <c r="F279" s="2" t="s">
        <v>8</v>
      </c>
      <c r="G279" s="2" t="n">
        <v>39</v>
      </c>
    </row>
    <row r="280" customFormat="false" ht="15" hidden="false" customHeight="false" outlineLevel="0" collapsed="false">
      <c r="A280" s="2" t="s">
        <v>140</v>
      </c>
      <c r="B280" s="2" t="s">
        <v>44</v>
      </c>
      <c r="C280" s="2" t="s">
        <v>44</v>
      </c>
      <c r="D280" s="2" t="s">
        <v>4519</v>
      </c>
      <c r="E280" s="2" t="s">
        <v>4261</v>
      </c>
      <c r="F280" s="2" t="s">
        <v>8</v>
      </c>
      <c r="G280" s="2" t="n">
        <v>39</v>
      </c>
    </row>
    <row r="281" customFormat="false" ht="15" hidden="false" customHeight="false" outlineLevel="0" collapsed="false">
      <c r="A281" s="2" t="s">
        <v>140</v>
      </c>
      <c r="B281" s="2" t="s">
        <v>44</v>
      </c>
      <c r="C281" s="2" t="s">
        <v>44</v>
      </c>
      <c r="D281" s="2" t="s">
        <v>4520</v>
      </c>
      <c r="E281" s="2" t="s">
        <v>4261</v>
      </c>
      <c r="F281" s="2" t="s">
        <v>8</v>
      </c>
      <c r="G281" s="2" t="n">
        <v>39</v>
      </c>
    </row>
    <row r="282" customFormat="false" ht="15" hidden="false" customHeight="false" outlineLevel="0" collapsed="false">
      <c r="A282" s="2" t="s">
        <v>140</v>
      </c>
      <c r="B282" s="2" t="s">
        <v>44</v>
      </c>
      <c r="C282" s="2" t="s">
        <v>44</v>
      </c>
      <c r="D282" s="2" t="s">
        <v>4521</v>
      </c>
      <c r="E282" s="2" t="s">
        <v>4261</v>
      </c>
      <c r="F282" s="2" t="s">
        <v>8</v>
      </c>
      <c r="G282" s="2" t="n">
        <v>39</v>
      </c>
    </row>
    <row r="283" customFormat="false" ht="15" hidden="false" customHeight="false" outlineLevel="0" collapsed="false">
      <c r="A283" s="2" t="s">
        <v>140</v>
      </c>
      <c r="B283" s="2" t="s">
        <v>44</v>
      </c>
      <c r="C283" s="2" t="s">
        <v>44</v>
      </c>
      <c r="D283" s="2" t="s">
        <v>4171</v>
      </c>
      <c r="E283" s="2" t="s">
        <v>4264</v>
      </c>
      <c r="F283" s="2" t="s">
        <v>8</v>
      </c>
      <c r="G283" s="2" t="n">
        <v>39</v>
      </c>
    </row>
    <row r="284" customFormat="false" ht="15" hidden="false" customHeight="false" outlineLevel="0" collapsed="false">
      <c r="A284" s="2" t="s">
        <v>142</v>
      </c>
      <c r="B284" s="2" t="s">
        <v>143</v>
      </c>
      <c r="C284" s="2" t="s">
        <v>44</v>
      </c>
      <c r="D284" s="2" t="s">
        <v>4522</v>
      </c>
      <c r="E284" s="2" t="s">
        <v>4264</v>
      </c>
      <c r="F284" s="2" t="s">
        <v>9</v>
      </c>
      <c r="G284" s="2" t="n">
        <v>40</v>
      </c>
    </row>
    <row r="285" customFormat="false" ht="15" hidden="false" customHeight="false" outlineLevel="0" collapsed="false">
      <c r="A285" s="2" t="s">
        <v>142</v>
      </c>
      <c r="B285" s="2" t="s">
        <v>143</v>
      </c>
      <c r="C285" s="2" t="s">
        <v>44</v>
      </c>
      <c r="D285" s="2" t="s">
        <v>4523</v>
      </c>
      <c r="E285" s="2" t="s">
        <v>4261</v>
      </c>
      <c r="F285" s="2" t="s">
        <v>9</v>
      </c>
      <c r="G285" s="2" t="n">
        <v>40</v>
      </c>
    </row>
    <row r="286" customFormat="false" ht="15" hidden="false" customHeight="false" outlineLevel="0" collapsed="false">
      <c r="A286" s="2" t="s">
        <v>142</v>
      </c>
      <c r="B286" s="2" t="s">
        <v>143</v>
      </c>
      <c r="C286" s="2" t="s">
        <v>44</v>
      </c>
      <c r="D286" s="2" t="s">
        <v>4524</v>
      </c>
      <c r="E286" s="2" t="s">
        <v>4261</v>
      </c>
      <c r="F286" s="2" t="s">
        <v>9</v>
      </c>
      <c r="G286" s="2" t="n">
        <v>40</v>
      </c>
    </row>
    <row r="287" customFormat="false" ht="15" hidden="false" customHeight="false" outlineLevel="0" collapsed="false">
      <c r="A287" s="2" t="s">
        <v>142</v>
      </c>
      <c r="B287" s="2" t="s">
        <v>143</v>
      </c>
      <c r="C287" s="2" t="s">
        <v>44</v>
      </c>
      <c r="D287" s="2" t="s">
        <v>4525</v>
      </c>
      <c r="E287" s="2" t="s">
        <v>4261</v>
      </c>
      <c r="F287" s="2" t="s">
        <v>9</v>
      </c>
      <c r="G287" s="2" t="n">
        <v>40</v>
      </c>
    </row>
    <row r="288" customFormat="false" ht="15" hidden="false" customHeight="false" outlineLevel="0" collapsed="false">
      <c r="A288" s="2" t="s">
        <v>142</v>
      </c>
      <c r="B288" s="2" t="s">
        <v>143</v>
      </c>
      <c r="C288" s="2" t="s">
        <v>44</v>
      </c>
      <c r="D288" s="2" t="s">
        <v>4526</v>
      </c>
      <c r="E288" s="2" t="s">
        <v>4261</v>
      </c>
      <c r="F288" s="2" t="s">
        <v>9</v>
      </c>
      <c r="G288" s="2" t="n">
        <v>40</v>
      </c>
    </row>
    <row r="289" customFormat="false" ht="15" hidden="false" customHeight="false" outlineLevel="0" collapsed="false">
      <c r="A289" s="2" t="s">
        <v>142</v>
      </c>
      <c r="B289" s="2" t="s">
        <v>143</v>
      </c>
      <c r="C289" s="2" t="s">
        <v>44</v>
      </c>
      <c r="D289" s="2" t="s">
        <v>4527</v>
      </c>
      <c r="E289" s="2" t="s">
        <v>4261</v>
      </c>
      <c r="F289" s="2" t="s">
        <v>9</v>
      </c>
      <c r="G289" s="2" t="n">
        <v>40</v>
      </c>
    </row>
    <row r="290" customFormat="false" ht="15" hidden="false" customHeight="false" outlineLevel="0" collapsed="false">
      <c r="A290" s="2" t="s">
        <v>142</v>
      </c>
      <c r="B290" s="2" t="s">
        <v>143</v>
      </c>
      <c r="C290" s="2" t="s">
        <v>44</v>
      </c>
      <c r="D290" s="2" t="s">
        <v>4528</v>
      </c>
      <c r="E290" s="2" t="s">
        <v>4261</v>
      </c>
      <c r="F290" s="2" t="s">
        <v>9</v>
      </c>
      <c r="G290" s="2" t="n">
        <v>40</v>
      </c>
    </row>
    <row r="291" customFormat="false" ht="15" hidden="false" customHeight="false" outlineLevel="0" collapsed="false">
      <c r="A291" s="2" t="s">
        <v>142</v>
      </c>
      <c r="B291" s="2" t="s">
        <v>143</v>
      </c>
      <c r="C291" s="2" t="s">
        <v>44</v>
      </c>
      <c r="D291" s="2" t="s">
        <v>4529</v>
      </c>
      <c r="E291" s="2" t="s">
        <v>4261</v>
      </c>
      <c r="F291" s="2" t="s">
        <v>9</v>
      </c>
      <c r="G291" s="2" t="n">
        <v>40</v>
      </c>
    </row>
    <row r="292" customFormat="false" ht="15" hidden="false" customHeight="false" outlineLevel="0" collapsed="false">
      <c r="A292" s="2" t="s">
        <v>142</v>
      </c>
      <c r="B292" s="2" t="s">
        <v>143</v>
      </c>
      <c r="C292" s="2" t="s">
        <v>44</v>
      </c>
      <c r="D292" s="2" t="s">
        <v>4530</v>
      </c>
      <c r="E292" s="2" t="s">
        <v>4261</v>
      </c>
      <c r="F292" s="2" t="s">
        <v>9</v>
      </c>
      <c r="G292" s="2" t="n">
        <v>40</v>
      </c>
    </row>
    <row r="293" customFormat="false" ht="15" hidden="false" customHeight="false" outlineLevel="0" collapsed="false">
      <c r="A293" s="2" t="s">
        <v>142</v>
      </c>
      <c r="B293" s="2" t="s">
        <v>143</v>
      </c>
      <c r="C293" s="2" t="s">
        <v>44</v>
      </c>
      <c r="D293" s="2" t="s">
        <v>4531</v>
      </c>
      <c r="E293" s="2" t="s">
        <v>4261</v>
      </c>
      <c r="F293" s="2" t="s">
        <v>9</v>
      </c>
      <c r="G293" s="2" t="n">
        <v>40</v>
      </c>
    </row>
    <row r="294" customFormat="false" ht="15" hidden="false" customHeight="false" outlineLevel="0" collapsed="false">
      <c r="A294" s="2" t="s">
        <v>142</v>
      </c>
      <c r="B294" s="2" t="s">
        <v>143</v>
      </c>
      <c r="C294" s="2" t="s">
        <v>44</v>
      </c>
      <c r="D294" s="2" t="s">
        <v>4532</v>
      </c>
      <c r="E294" s="2" t="s">
        <v>4261</v>
      </c>
      <c r="F294" s="2" t="s">
        <v>9</v>
      </c>
      <c r="G294" s="2" t="n">
        <v>40</v>
      </c>
    </row>
    <row r="295" customFormat="false" ht="15" hidden="false" customHeight="false" outlineLevel="0" collapsed="false">
      <c r="A295" s="2" t="s">
        <v>142</v>
      </c>
      <c r="B295" s="2" t="s">
        <v>143</v>
      </c>
      <c r="C295" s="2" t="s">
        <v>44</v>
      </c>
      <c r="D295" s="2" t="s">
        <v>4533</v>
      </c>
      <c r="E295" s="2" t="s">
        <v>4261</v>
      </c>
      <c r="F295" s="2" t="s">
        <v>9</v>
      </c>
      <c r="G295" s="2" t="n">
        <v>40</v>
      </c>
    </row>
    <row r="296" customFormat="false" ht="15" hidden="false" customHeight="false" outlineLevel="0" collapsed="false">
      <c r="A296" s="2" t="s">
        <v>142</v>
      </c>
      <c r="B296" s="2" t="s">
        <v>143</v>
      </c>
      <c r="C296" s="2" t="s">
        <v>44</v>
      </c>
      <c r="D296" s="2" t="s">
        <v>4534</v>
      </c>
      <c r="E296" s="2" t="s">
        <v>4261</v>
      </c>
      <c r="F296" s="2" t="s">
        <v>9</v>
      </c>
      <c r="G296" s="2" t="n">
        <v>40</v>
      </c>
    </row>
    <row r="297" customFormat="false" ht="15" hidden="false" customHeight="false" outlineLevel="0" collapsed="false">
      <c r="A297" s="2" t="s">
        <v>142</v>
      </c>
      <c r="B297" s="2" t="s">
        <v>143</v>
      </c>
      <c r="C297" s="2" t="s">
        <v>44</v>
      </c>
      <c r="D297" s="2" t="s">
        <v>4535</v>
      </c>
      <c r="E297" s="2" t="s">
        <v>4261</v>
      </c>
      <c r="F297" s="2" t="s">
        <v>9</v>
      </c>
      <c r="G297" s="2" t="n">
        <v>40</v>
      </c>
    </row>
    <row r="298" customFormat="false" ht="15" hidden="false" customHeight="false" outlineLevel="0" collapsed="false">
      <c r="A298" s="2" t="s">
        <v>142</v>
      </c>
      <c r="B298" s="2" t="s">
        <v>143</v>
      </c>
      <c r="C298" s="2" t="s">
        <v>44</v>
      </c>
      <c r="D298" s="2" t="s">
        <v>4536</v>
      </c>
      <c r="E298" s="2" t="s">
        <v>4264</v>
      </c>
      <c r="F298" s="2" t="s">
        <v>9</v>
      </c>
      <c r="G298" s="2" t="n">
        <v>40</v>
      </c>
    </row>
    <row r="299" customFormat="false" ht="15" hidden="false" customHeight="false" outlineLevel="0" collapsed="false">
      <c r="A299" s="2" t="s">
        <v>142</v>
      </c>
      <c r="B299" s="2" t="s">
        <v>143</v>
      </c>
      <c r="C299" s="2" t="s">
        <v>44</v>
      </c>
      <c r="D299" s="2" t="s">
        <v>4537</v>
      </c>
      <c r="E299" s="2" t="s">
        <v>4261</v>
      </c>
      <c r="F299" s="2" t="s">
        <v>9</v>
      </c>
      <c r="G299" s="2" t="n">
        <v>40</v>
      </c>
    </row>
    <row r="300" customFormat="false" ht="15" hidden="false" customHeight="false" outlineLevel="0" collapsed="false">
      <c r="A300" s="2" t="s">
        <v>142</v>
      </c>
      <c r="B300" s="2" t="s">
        <v>143</v>
      </c>
      <c r="C300" s="2" t="s">
        <v>44</v>
      </c>
      <c r="D300" s="2" t="s">
        <v>4538</v>
      </c>
      <c r="E300" s="2" t="s">
        <v>4261</v>
      </c>
      <c r="F300" s="2" t="s">
        <v>9</v>
      </c>
      <c r="G300" s="2" t="n">
        <v>40</v>
      </c>
    </row>
    <row r="301" customFormat="false" ht="15" hidden="false" customHeight="false" outlineLevel="0" collapsed="false">
      <c r="A301" s="2" t="s">
        <v>142</v>
      </c>
      <c r="B301" s="2" t="s">
        <v>143</v>
      </c>
      <c r="C301" s="2" t="s">
        <v>44</v>
      </c>
      <c r="D301" s="2" t="s">
        <v>4539</v>
      </c>
      <c r="E301" s="2" t="s">
        <v>4261</v>
      </c>
      <c r="F301" s="2" t="s">
        <v>9</v>
      </c>
      <c r="G301" s="2" t="n">
        <v>40</v>
      </c>
    </row>
    <row r="302" customFormat="false" ht="15" hidden="false" customHeight="false" outlineLevel="0" collapsed="false">
      <c r="A302" s="2" t="s">
        <v>142</v>
      </c>
      <c r="B302" s="2" t="s">
        <v>143</v>
      </c>
      <c r="C302" s="2" t="s">
        <v>44</v>
      </c>
      <c r="D302" s="2" t="s">
        <v>4540</v>
      </c>
      <c r="E302" s="2" t="s">
        <v>4261</v>
      </c>
      <c r="F302" s="2" t="s">
        <v>9</v>
      </c>
      <c r="G302" s="2" t="n">
        <v>40</v>
      </c>
    </row>
    <row r="303" customFormat="false" ht="15" hidden="false" customHeight="false" outlineLevel="0" collapsed="false">
      <c r="A303" s="2" t="s">
        <v>142</v>
      </c>
      <c r="B303" s="2" t="s">
        <v>143</v>
      </c>
      <c r="C303" s="2" t="s">
        <v>44</v>
      </c>
      <c r="D303" s="2" t="s">
        <v>4541</v>
      </c>
      <c r="E303" s="2" t="s">
        <v>4261</v>
      </c>
      <c r="F303" s="2" t="s">
        <v>9</v>
      </c>
      <c r="G303" s="2" t="n">
        <v>40</v>
      </c>
    </row>
    <row r="304" customFormat="false" ht="15" hidden="false" customHeight="false" outlineLevel="0" collapsed="false">
      <c r="A304" s="2" t="s">
        <v>142</v>
      </c>
      <c r="B304" s="2" t="s">
        <v>143</v>
      </c>
      <c r="C304" s="2" t="s">
        <v>44</v>
      </c>
      <c r="D304" s="2" t="s">
        <v>4542</v>
      </c>
      <c r="E304" s="2" t="s">
        <v>4261</v>
      </c>
      <c r="F304" s="2" t="s">
        <v>9</v>
      </c>
      <c r="G304" s="2" t="n">
        <v>40</v>
      </c>
    </row>
    <row r="305" customFormat="false" ht="15" hidden="false" customHeight="false" outlineLevel="0" collapsed="false">
      <c r="A305" s="2" t="s">
        <v>142</v>
      </c>
      <c r="B305" s="2" t="s">
        <v>143</v>
      </c>
      <c r="C305" s="2" t="s">
        <v>44</v>
      </c>
      <c r="D305" s="2" t="s">
        <v>4543</v>
      </c>
      <c r="E305" s="2" t="s">
        <v>4261</v>
      </c>
      <c r="F305" s="2" t="s">
        <v>9</v>
      </c>
      <c r="G305" s="2" t="n">
        <v>40</v>
      </c>
    </row>
    <row r="306" customFormat="false" ht="15" hidden="false" customHeight="false" outlineLevel="0" collapsed="false">
      <c r="A306" s="2" t="s">
        <v>142</v>
      </c>
      <c r="B306" s="2" t="s">
        <v>143</v>
      </c>
      <c r="C306" s="2" t="s">
        <v>44</v>
      </c>
      <c r="D306" s="2" t="s">
        <v>4544</v>
      </c>
      <c r="E306" s="2" t="s">
        <v>4261</v>
      </c>
      <c r="F306" s="2" t="s">
        <v>9</v>
      </c>
      <c r="G306" s="2" t="n">
        <v>40</v>
      </c>
    </row>
    <row r="307" customFormat="false" ht="15" hidden="false" customHeight="false" outlineLevel="0" collapsed="false">
      <c r="A307" s="2" t="s">
        <v>142</v>
      </c>
      <c r="B307" s="2" t="s">
        <v>143</v>
      </c>
      <c r="C307" s="2" t="s">
        <v>44</v>
      </c>
      <c r="D307" s="2" t="s">
        <v>4545</v>
      </c>
      <c r="E307" s="2" t="s">
        <v>4261</v>
      </c>
      <c r="F307" s="2" t="s">
        <v>9</v>
      </c>
      <c r="G307" s="2" t="n">
        <v>40</v>
      </c>
    </row>
    <row r="308" customFormat="false" ht="15" hidden="false" customHeight="false" outlineLevel="0" collapsed="false">
      <c r="A308" s="2" t="s">
        <v>142</v>
      </c>
      <c r="B308" s="2" t="s">
        <v>143</v>
      </c>
      <c r="C308" s="2" t="s">
        <v>44</v>
      </c>
      <c r="D308" s="2" t="s">
        <v>4546</v>
      </c>
      <c r="E308" s="2" t="s">
        <v>4261</v>
      </c>
      <c r="F308" s="2" t="s">
        <v>9</v>
      </c>
      <c r="G308" s="2" t="n">
        <v>40</v>
      </c>
    </row>
    <row r="309" customFormat="false" ht="15" hidden="false" customHeight="false" outlineLevel="0" collapsed="false">
      <c r="A309" s="2" t="s">
        <v>142</v>
      </c>
      <c r="B309" s="2" t="s">
        <v>143</v>
      </c>
      <c r="C309" s="2" t="s">
        <v>44</v>
      </c>
      <c r="D309" s="2" t="s">
        <v>4547</v>
      </c>
      <c r="E309" s="2" t="s">
        <v>4261</v>
      </c>
      <c r="F309" s="2" t="s">
        <v>9</v>
      </c>
      <c r="G309" s="2" t="n">
        <v>40</v>
      </c>
    </row>
    <row r="310" customFormat="false" ht="15" hidden="false" customHeight="false" outlineLevel="0" collapsed="false">
      <c r="A310" s="2" t="s">
        <v>142</v>
      </c>
      <c r="B310" s="2" t="s">
        <v>143</v>
      </c>
      <c r="C310" s="2" t="s">
        <v>44</v>
      </c>
      <c r="D310" s="2" t="s">
        <v>4548</v>
      </c>
      <c r="E310" s="2" t="s">
        <v>4261</v>
      </c>
      <c r="F310" s="2" t="s">
        <v>9</v>
      </c>
      <c r="G310" s="2" t="n">
        <v>40</v>
      </c>
    </row>
    <row r="311" customFormat="false" ht="15" hidden="false" customHeight="false" outlineLevel="0" collapsed="false">
      <c r="A311" s="2" t="s">
        <v>142</v>
      </c>
      <c r="B311" s="2" t="s">
        <v>143</v>
      </c>
      <c r="C311" s="2" t="s">
        <v>44</v>
      </c>
      <c r="D311" s="2" t="s">
        <v>4549</v>
      </c>
      <c r="E311" s="2" t="s">
        <v>4261</v>
      </c>
      <c r="F311" s="2" t="s">
        <v>9</v>
      </c>
      <c r="G311" s="2" t="n">
        <v>40</v>
      </c>
    </row>
    <row r="312" customFormat="false" ht="15" hidden="false" customHeight="false" outlineLevel="0" collapsed="false">
      <c r="A312" s="2" t="s">
        <v>142</v>
      </c>
      <c r="B312" s="2" t="s">
        <v>143</v>
      </c>
      <c r="C312" s="2" t="s">
        <v>44</v>
      </c>
      <c r="D312" s="2" t="s">
        <v>276</v>
      </c>
      <c r="E312" s="2" t="s">
        <v>4261</v>
      </c>
      <c r="F312" s="2" t="s">
        <v>9</v>
      </c>
      <c r="G312" s="2" t="n">
        <v>40</v>
      </c>
    </row>
    <row r="313" customFormat="false" ht="15" hidden="false" customHeight="false" outlineLevel="0" collapsed="false">
      <c r="A313" s="2" t="s">
        <v>142</v>
      </c>
      <c r="B313" s="2" t="s">
        <v>143</v>
      </c>
      <c r="C313" s="2" t="s">
        <v>44</v>
      </c>
      <c r="D313" s="2" t="s">
        <v>4550</v>
      </c>
      <c r="E313" s="2" t="s">
        <v>4261</v>
      </c>
      <c r="F313" s="2" t="s">
        <v>9</v>
      </c>
      <c r="G313" s="2" t="n">
        <v>40</v>
      </c>
    </row>
    <row r="314" customFormat="false" ht="15" hidden="false" customHeight="false" outlineLevel="0" collapsed="false">
      <c r="A314" s="2" t="s">
        <v>142</v>
      </c>
      <c r="B314" s="2" t="s">
        <v>143</v>
      </c>
      <c r="C314" s="2" t="s">
        <v>44</v>
      </c>
      <c r="D314" s="2" t="s">
        <v>4551</v>
      </c>
      <c r="E314" s="2" t="s">
        <v>4264</v>
      </c>
      <c r="F314" s="2" t="s">
        <v>9</v>
      </c>
      <c r="G314" s="2" t="n">
        <v>40</v>
      </c>
    </row>
    <row r="315" customFormat="false" ht="15" hidden="false" customHeight="false" outlineLevel="0" collapsed="false">
      <c r="A315" s="2" t="s">
        <v>142</v>
      </c>
      <c r="B315" s="2" t="s">
        <v>143</v>
      </c>
      <c r="C315" s="2" t="s">
        <v>44</v>
      </c>
      <c r="D315" s="2" t="s">
        <v>4552</v>
      </c>
      <c r="E315" s="2" t="s">
        <v>4264</v>
      </c>
      <c r="F315" s="2" t="s">
        <v>9</v>
      </c>
      <c r="G315" s="2" t="n">
        <v>40</v>
      </c>
    </row>
    <row r="316" customFormat="false" ht="15" hidden="false" customHeight="false" outlineLevel="0" collapsed="false">
      <c r="A316" s="2" t="s">
        <v>142</v>
      </c>
      <c r="B316" s="2" t="s">
        <v>143</v>
      </c>
      <c r="C316" s="2" t="s">
        <v>44</v>
      </c>
      <c r="D316" s="2" t="s">
        <v>4553</v>
      </c>
      <c r="E316" s="2" t="s">
        <v>4261</v>
      </c>
      <c r="F316" s="2" t="s">
        <v>9</v>
      </c>
      <c r="G316" s="2" t="n">
        <v>40</v>
      </c>
    </row>
    <row r="317" customFormat="false" ht="15" hidden="false" customHeight="false" outlineLevel="0" collapsed="false">
      <c r="A317" s="2" t="s">
        <v>142</v>
      </c>
      <c r="B317" s="2" t="s">
        <v>143</v>
      </c>
      <c r="C317" s="2" t="s">
        <v>44</v>
      </c>
      <c r="D317" s="2" t="s">
        <v>4554</v>
      </c>
      <c r="E317" s="2" t="s">
        <v>4261</v>
      </c>
      <c r="F317" s="2" t="s">
        <v>9</v>
      </c>
      <c r="G317" s="2" t="n">
        <v>40</v>
      </c>
    </row>
    <row r="318" customFormat="false" ht="15" hidden="false" customHeight="false" outlineLevel="0" collapsed="false">
      <c r="A318" s="2" t="s">
        <v>142</v>
      </c>
      <c r="B318" s="2" t="s">
        <v>143</v>
      </c>
      <c r="C318" s="2" t="s">
        <v>44</v>
      </c>
      <c r="D318" s="2" t="s">
        <v>4555</v>
      </c>
      <c r="E318" s="2" t="s">
        <v>4261</v>
      </c>
      <c r="F318" s="2" t="s">
        <v>9</v>
      </c>
      <c r="G318" s="2" t="n">
        <v>40</v>
      </c>
    </row>
    <row r="319" customFormat="false" ht="15" hidden="false" customHeight="false" outlineLevel="0" collapsed="false">
      <c r="A319" s="2" t="s">
        <v>142</v>
      </c>
      <c r="B319" s="2" t="s">
        <v>143</v>
      </c>
      <c r="C319" s="2" t="s">
        <v>44</v>
      </c>
      <c r="D319" s="2" t="s">
        <v>4556</v>
      </c>
      <c r="E319" s="2" t="s">
        <v>4261</v>
      </c>
      <c r="F319" s="2" t="s">
        <v>9</v>
      </c>
      <c r="G319" s="2" t="n">
        <v>40</v>
      </c>
    </row>
    <row r="320" customFormat="false" ht="15" hidden="false" customHeight="false" outlineLevel="0" collapsed="false">
      <c r="A320" s="2" t="s">
        <v>142</v>
      </c>
      <c r="B320" s="2" t="s">
        <v>143</v>
      </c>
      <c r="C320" s="2" t="s">
        <v>44</v>
      </c>
      <c r="D320" s="2" t="s">
        <v>4557</v>
      </c>
      <c r="E320" s="2" t="s">
        <v>4261</v>
      </c>
      <c r="F320" s="2" t="s">
        <v>9</v>
      </c>
      <c r="G320" s="2" t="n">
        <v>40</v>
      </c>
    </row>
    <row r="321" customFormat="false" ht="15" hidden="false" customHeight="false" outlineLevel="0" collapsed="false">
      <c r="A321" s="2" t="s">
        <v>142</v>
      </c>
      <c r="B321" s="2" t="s">
        <v>143</v>
      </c>
      <c r="C321" s="2" t="s">
        <v>44</v>
      </c>
      <c r="D321" s="2" t="s">
        <v>4558</v>
      </c>
      <c r="E321" s="2" t="s">
        <v>4261</v>
      </c>
      <c r="F321" s="2" t="s">
        <v>9</v>
      </c>
      <c r="G321" s="2" t="n">
        <v>40</v>
      </c>
    </row>
    <row r="322" customFormat="false" ht="15" hidden="false" customHeight="false" outlineLevel="0" collapsed="false">
      <c r="A322" s="2" t="s">
        <v>142</v>
      </c>
      <c r="B322" s="2" t="s">
        <v>143</v>
      </c>
      <c r="C322" s="2" t="s">
        <v>44</v>
      </c>
      <c r="D322" s="2" t="s">
        <v>4559</v>
      </c>
      <c r="E322" s="2" t="s">
        <v>4261</v>
      </c>
      <c r="F322" s="2" t="s">
        <v>9</v>
      </c>
      <c r="G322" s="2" t="n">
        <v>40</v>
      </c>
    </row>
    <row r="323" customFormat="false" ht="15" hidden="false" customHeight="false" outlineLevel="0" collapsed="false">
      <c r="A323" s="2" t="s">
        <v>142</v>
      </c>
      <c r="B323" s="2" t="s">
        <v>143</v>
      </c>
      <c r="C323" s="2" t="s">
        <v>44</v>
      </c>
      <c r="D323" s="2" t="s">
        <v>4560</v>
      </c>
      <c r="E323" s="2" t="s">
        <v>4261</v>
      </c>
      <c r="F323" s="2" t="s">
        <v>9</v>
      </c>
      <c r="G323" s="2" t="n">
        <v>40</v>
      </c>
    </row>
    <row r="324" customFormat="false" ht="15" hidden="false" customHeight="false" outlineLevel="0" collapsed="false">
      <c r="A324" s="2" t="s">
        <v>142</v>
      </c>
      <c r="B324" s="2" t="s">
        <v>143</v>
      </c>
      <c r="C324" s="2" t="s">
        <v>44</v>
      </c>
      <c r="D324" s="2" t="s">
        <v>4561</v>
      </c>
      <c r="E324" s="2" t="s">
        <v>4261</v>
      </c>
      <c r="F324" s="2" t="s">
        <v>9</v>
      </c>
      <c r="G324" s="2" t="n">
        <v>40</v>
      </c>
    </row>
    <row r="325" customFormat="false" ht="15" hidden="false" customHeight="false" outlineLevel="0" collapsed="false">
      <c r="A325" s="2" t="s">
        <v>142</v>
      </c>
      <c r="B325" s="2" t="s">
        <v>143</v>
      </c>
      <c r="C325" s="2" t="s">
        <v>44</v>
      </c>
      <c r="D325" s="2" t="s">
        <v>4562</v>
      </c>
      <c r="E325" s="2" t="s">
        <v>4261</v>
      </c>
      <c r="F325" s="2" t="s">
        <v>9</v>
      </c>
      <c r="G325" s="2" t="n">
        <v>40</v>
      </c>
    </row>
    <row r="326" customFormat="false" ht="15" hidden="false" customHeight="false" outlineLevel="0" collapsed="false">
      <c r="A326" s="2" t="s">
        <v>142</v>
      </c>
      <c r="B326" s="2" t="s">
        <v>143</v>
      </c>
      <c r="C326" s="2" t="s">
        <v>44</v>
      </c>
      <c r="D326" s="2" t="s">
        <v>4563</v>
      </c>
      <c r="E326" s="2" t="s">
        <v>4264</v>
      </c>
      <c r="F326" s="2" t="s">
        <v>9</v>
      </c>
      <c r="G326" s="2" t="n">
        <v>40</v>
      </c>
    </row>
    <row r="327" customFormat="false" ht="15" hidden="false" customHeight="false" outlineLevel="0" collapsed="false">
      <c r="A327" s="2" t="s">
        <v>142</v>
      </c>
      <c r="B327" s="2" t="s">
        <v>143</v>
      </c>
      <c r="C327" s="2" t="s">
        <v>44</v>
      </c>
      <c r="D327" s="2" t="s">
        <v>4564</v>
      </c>
      <c r="E327" s="2" t="s">
        <v>4261</v>
      </c>
      <c r="F327" s="2" t="s">
        <v>9</v>
      </c>
      <c r="G327" s="2" t="n">
        <v>40</v>
      </c>
    </row>
    <row r="328" customFormat="false" ht="15" hidden="false" customHeight="false" outlineLevel="0" collapsed="false">
      <c r="A328" s="2" t="s">
        <v>142</v>
      </c>
      <c r="B328" s="2" t="s">
        <v>143</v>
      </c>
      <c r="C328" s="2" t="s">
        <v>44</v>
      </c>
      <c r="D328" s="2" t="s">
        <v>4565</v>
      </c>
      <c r="E328" s="2" t="s">
        <v>4264</v>
      </c>
      <c r="F328" s="2" t="s">
        <v>9</v>
      </c>
      <c r="G328" s="2" t="n">
        <v>40</v>
      </c>
    </row>
    <row r="329" customFormat="false" ht="15" hidden="false" customHeight="false" outlineLevel="0" collapsed="false">
      <c r="A329" s="2" t="s">
        <v>142</v>
      </c>
      <c r="B329" s="2" t="s">
        <v>143</v>
      </c>
      <c r="C329" s="2" t="s">
        <v>44</v>
      </c>
      <c r="D329" s="2" t="s">
        <v>4566</v>
      </c>
      <c r="E329" s="2" t="s">
        <v>4261</v>
      </c>
      <c r="F329" s="2" t="s">
        <v>9</v>
      </c>
      <c r="G329" s="2" t="n">
        <v>40</v>
      </c>
    </row>
    <row r="330" customFormat="false" ht="15" hidden="false" customHeight="false" outlineLevel="0" collapsed="false">
      <c r="A330" s="2" t="s">
        <v>142</v>
      </c>
      <c r="B330" s="2" t="s">
        <v>143</v>
      </c>
      <c r="C330" s="2" t="s">
        <v>44</v>
      </c>
      <c r="D330" s="2" t="s">
        <v>4567</v>
      </c>
      <c r="E330" s="2" t="s">
        <v>4261</v>
      </c>
      <c r="F330" s="2" t="s">
        <v>9</v>
      </c>
      <c r="G330" s="2" t="n">
        <v>40</v>
      </c>
    </row>
    <row r="331" customFormat="false" ht="15" hidden="false" customHeight="false" outlineLevel="0" collapsed="false">
      <c r="A331" s="2" t="s">
        <v>142</v>
      </c>
      <c r="B331" s="2" t="s">
        <v>143</v>
      </c>
      <c r="C331" s="2" t="s">
        <v>44</v>
      </c>
      <c r="D331" s="2" t="s">
        <v>4568</v>
      </c>
      <c r="E331" s="2" t="s">
        <v>4261</v>
      </c>
      <c r="F331" s="2" t="s">
        <v>9</v>
      </c>
      <c r="G331" s="2" t="n">
        <v>40</v>
      </c>
    </row>
    <row r="332" customFormat="false" ht="15" hidden="false" customHeight="false" outlineLevel="0" collapsed="false">
      <c r="A332" s="2" t="s">
        <v>142</v>
      </c>
      <c r="B332" s="2" t="s">
        <v>143</v>
      </c>
      <c r="C332" s="2" t="s">
        <v>44</v>
      </c>
      <c r="D332" s="2" t="s">
        <v>4569</v>
      </c>
      <c r="E332" s="2" t="s">
        <v>4261</v>
      </c>
      <c r="F332" s="2" t="s">
        <v>9</v>
      </c>
      <c r="G332" s="2" t="n">
        <v>40</v>
      </c>
    </row>
    <row r="333" customFormat="false" ht="15" hidden="false" customHeight="false" outlineLevel="0" collapsed="false">
      <c r="A333" s="2" t="s">
        <v>142</v>
      </c>
      <c r="B333" s="2" t="s">
        <v>143</v>
      </c>
      <c r="C333" s="2" t="s">
        <v>44</v>
      </c>
      <c r="D333" s="2" t="s">
        <v>4570</v>
      </c>
      <c r="E333" s="2" t="s">
        <v>4261</v>
      </c>
      <c r="F333" s="2" t="s">
        <v>9</v>
      </c>
      <c r="G333" s="2" t="n">
        <v>40</v>
      </c>
    </row>
    <row r="334" customFormat="false" ht="15" hidden="false" customHeight="false" outlineLevel="0" collapsed="false">
      <c r="A334" s="2" t="s">
        <v>142</v>
      </c>
      <c r="B334" s="2" t="s">
        <v>143</v>
      </c>
      <c r="C334" s="2" t="s">
        <v>44</v>
      </c>
      <c r="D334" s="2" t="s">
        <v>4571</v>
      </c>
      <c r="E334" s="2" t="s">
        <v>4261</v>
      </c>
      <c r="F334" s="2" t="s">
        <v>9</v>
      </c>
      <c r="G334" s="2" t="n">
        <v>40</v>
      </c>
    </row>
    <row r="335" customFormat="false" ht="15" hidden="false" customHeight="false" outlineLevel="0" collapsed="false">
      <c r="A335" s="2" t="s">
        <v>142</v>
      </c>
      <c r="B335" s="2" t="s">
        <v>143</v>
      </c>
      <c r="C335" s="2" t="s">
        <v>44</v>
      </c>
      <c r="D335" s="2" t="s">
        <v>4572</v>
      </c>
      <c r="E335" s="2" t="s">
        <v>4261</v>
      </c>
      <c r="F335" s="2" t="s">
        <v>9</v>
      </c>
      <c r="G335" s="2" t="n">
        <v>40</v>
      </c>
    </row>
    <row r="336" customFormat="false" ht="15" hidden="false" customHeight="false" outlineLevel="0" collapsed="false">
      <c r="A336" s="2" t="s">
        <v>142</v>
      </c>
      <c r="B336" s="2" t="s">
        <v>143</v>
      </c>
      <c r="C336" s="2" t="s">
        <v>44</v>
      </c>
      <c r="D336" s="2" t="s">
        <v>4573</v>
      </c>
      <c r="E336" s="2" t="s">
        <v>4261</v>
      </c>
      <c r="F336" s="2" t="s">
        <v>9</v>
      </c>
      <c r="G336" s="2" t="n">
        <v>40</v>
      </c>
    </row>
    <row r="337" customFormat="false" ht="15" hidden="false" customHeight="false" outlineLevel="0" collapsed="false">
      <c r="A337" s="2" t="s">
        <v>142</v>
      </c>
      <c r="B337" s="2" t="s">
        <v>143</v>
      </c>
      <c r="C337" s="2" t="s">
        <v>44</v>
      </c>
      <c r="D337" s="2" t="s">
        <v>4574</v>
      </c>
      <c r="E337" s="2" t="s">
        <v>4261</v>
      </c>
      <c r="F337" s="2" t="s">
        <v>9</v>
      </c>
      <c r="G337" s="2" t="n">
        <v>40</v>
      </c>
    </row>
    <row r="338" customFormat="false" ht="15" hidden="false" customHeight="false" outlineLevel="0" collapsed="false">
      <c r="A338" s="2" t="s">
        <v>142</v>
      </c>
      <c r="B338" s="2" t="s">
        <v>143</v>
      </c>
      <c r="C338" s="2" t="s">
        <v>44</v>
      </c>
      <c r="D338" s="2" t="s">
        <v>4575</v>
      </c>
      <c r="E338" s="2" t="s">
        <v>4264</v>
      </c>
      <c r="F338" s="2" t="s">
        <v>9</v>
      </c>
      <c r="G338" s="2" t="n">
        <v>40</v>
      </c>
    </row>
    <row r="339" customFormat="false" ht="15" hidden="false" customHeight="false" outlineLevel="0" collapsed="false">
      <c r="A339" s="2" t="s">
        <v>142</v>
      </c>
      <c r="B339" s="2" t="s">
        <v>143</v>
      </c>
      <c r="C339" s="2" t="s">
        <v>44</v>
      </c>
      <c r="D339" s="2" t="s">
        <v>4576</v>
      </c>
      <c r="E339" s="2" t="s">
        <v>4261</v>
      </c>
      <c r="F339" s="2" t="s">
        <v>9</v>
      </c>
      <c r="G339" s="2" t="n">
        <v>40</v>
      </c>
    </row>
    <row r="340" customFormat="false" ht="15" hidden="false" customHeight="false" outlineLevel="0" collapsed="false">
      <c r="A340" s="2" t="s">
        <v>142</v>
      </c>
      <c r="B340" s="2" t="s">
        <v>143</v>
      </c>
      <c r="C340" s="2" t="s">
        <v>44</v>
      </c>
      <c r="D340" s="2" t="s">
        <v>4577</v>
      </c>
      <c r="E340" s="2" t="s">
        <v>4261</v>
      </c>
      <c r="F340" s="2" t="s">
        <v>9</v>
      </c>
      <c r="G340" s="2" t="n">
        <v>40</v>
      </c>
    </row>
    <row r="341" customFormat="false" ht="15" hidden="false" customHeight="false" outlineLevel="0" collapsed="false">
      <c r="A341" s="2" t="s">
        <v>142</v>
      </c>
      <c r="B341" s="2" t="s">
        <v>143</v>
      </c>
      <c r="C341" s="2" t="s">
        <v>44</v>
      </c>
      <c r="D341" s="2" t="s">
        <v>4578</v>
      </c>
      <c r="E341" s="2" t="s">
        <v>4261</v>
      </c>
      <c r="F341" s="2" t="s">
        <v>9</v>
      </c>
      <c r="G341" s="2" t="n">
        <v>40</v>
      </c>
    </row>
    <row r="342" customFormat="false" ht="15" hidden="false" customHeight="false" outlineLevel="0" collapsed="false">
      <c r="A342" s="2" t="s">
        <v>142</v>
      </c>
      <c r="B342" s="2" t="s">
        <v>143</v>
      </c>
      <c r="C342" s="2" t="s">
        <v>44</v>
      </c>
      <c r="D342" s="2" t="s">
        <v>4579</v>
      </c>
      <c r="E342" s="2" t="s">
        <v>4261</v>
      </c>
      <c r="F342" s="2" t="s">
        <v>9</v>
      </c>
      <c r="G342" s="2" t="n">
        <v>40</v>
      </c>
    </row>
    <row r="343" customFormat="false" ht="15" hidden="false" customHeight="false" outlineLevel="0" collapsed="false">
      <c r="A343" s="2" t="s">
        <v>142</v>
      </c>
      <c r="B343" s="2" t="s">
        <v>143</v>
      </c>
      <c r="C343" s="2" t="s">
        <v>44</v>
      </c>
      <c r="D343" s="2" t="s">
        <v>4462</v>
      </c>
      <c r="E343" s="2" t="s">
        <v>4261</v>
      </c>
      <c r="F343" s="2" t="s">
        <v>9</v>
      </c>
      <c r="G343" s="2" t="n">
        <v>40</v>
      </c>
    </row>
    <row r="344" customFormat="false" ht="15" hidden="false" customHeight="false" outlineLevel="0" collapsed="false">
      <c r="A344" s="2" t="s">
        <v>142</v>
      </c>
      <c r="B344" s="2" t="s">
        <v>143</v>
      </c>
      <c r="C344" s="2" t="s">
        <v>44</v>
      </c>
      <c r="D344" s="2" t="s">
        <v>4580</v>
      </c>
      <c r="E344" s="2" t="s">
        <v>4261</v>
      </c>
      <c r="F344" s="2" t="s">
        <v>9</v>
      </c>
      <c r="G344" s="2" t="n">
        <v>40</v>
      </c>
    </row>
    <row r="345" customFormat="false" ht="15" hidden="false" customHeight="false" outlineLevel="0" collapsed="false">
      <c r="A345" s="2" t="s">
        <v>142</v>
      </c>
      <c r="B345" s="2" t="s">
        <v>143</v>
      </c>
      <c r="C345" s="2" t="s">
        <v>44</v>
      </c>
      <c r="D345" s="2" t="s">
        <v>4581</v>
      </c>
      <c r="E345" s="2" t="s">
        <v>4261</v>
      </c>
      <c r="F345" s="2" t="s">
        <v>9</v>
      </c>
      <c r="G345" s="2" t="n">
        <v>40</v>
      </c>
    </row>
    <row r="346" customFormat="false" ht="15" hidden="false" customHeight="false" outlineLevel="0" collapsed="false">
      <c r="A346" s="2" t="s">
        <v>142</v>
      </c>
      <c r="B346" s="2" t="s">
        <v>143</v>
      </c>
      <c r="C346" s="2" t="s">
        <v>44</v>
      </c>
      <c r="D346" s="2" t="s">
        <v>4267</v>
      </c>
      <c r="E346" s="2" t="s">
        <v>4261</v>
      </c>
      <c r="F346" s="2" t="s">
        <v>9</v>
      </c>
      <c r="G346" s="2" t="n">
        <v>40</v>
      </c>
    </row>
    <row r="347" customFormat="false" ht="15" hidden="false" customHeight="false" outlineLevel="0" collapsed="false">
      <c r="A347" s="2" t="s">
        <v>142</v>
      </c>
      <c r="B347" s="2" t="s">
        <v>143</v>
      </c>
      <c r="C347" s="2" t="s">
        <v>44</v>
      </c>
      <c r="D347" s="2" t="s">
        <v>4582</v>
      </c>
      <c r="E347" s="2" t="s">
        <v>4261</v>
      </c>
      <c r="F347" s="2" t="s">
        <v>9</v>
      </c>
      <c r="G347" s="2" t="n">
        <v>40</v>
      </c>
    </row>
    <row r="348" customFormat="false" ht="15" hidden="false" customHeight="false" outlineLevel="0" collapsed="false">
      <c r="A348" s="2" t="s">
        <v>142</v>
      </c>
      <c r="B348" s="2" t="s">
        <v>143</v>
      </c>
      <c r="C348" s="2" t="s">
        <v>44</v>
      </c>
      <c r="D348" s="2" t="s">
        <v>4583</v>
      </c>
      <c r="E348" s="2" t="s">
        <v>4261</v>
      </c>
      <c r="F348" s="2" t="s">
        <v>9</v>
      </c>
      <c r="G348" s="2" t="n">
        <v>40</v>
      </c>
    </row>
    <row r="349" customFormat="false" ht="15" hidden="false" customHeight="false" outlineLevel="0" collapsed="false">
      <c r="A349" s="2" t="s">
        <v>142</v>
      </c>
      <c r="B349" s="2" t="s">
        <v>143</v>
      </c>
      <c r="C349" s="2" t="s">
        <v>44</v>
      </c>
      <c r="D349" s="2" t="s">
        <v>2270</v>
      </c>
      <c r="E349" s="2" t="s">
        <v>4264</v>
      </c>
      <c r="F349" s="2" t="s">
        <v>9</v>
      </c>
      <c r="G349" s="2" t="n">
        <v>40</v>
      </c>
    </row>
    <row r="350" customFormat="false" ht="15" hidden="false" customHeight="false" outlineLevel="0" collapsed="false">
      <c r="A350" s="2" t="s">
        <v>142</v>
      </c>
      <c r="B350" s="2" t="s">
        <v>143</v>
      </c>
      <c r="C350" s="2" t="s">
        <v>44</v>
      </c>
      <c r="D350" s="2" t="s">
        <v>4584</v>
      </c>
      <c r="E350" s="2" t="s">
        <v>4261</v>
      </c>
      <c r="F350" s="2" t="s">
        <v>9</v>
      </c>
      <c r="G350" s="2" t="n">
        <v>40</v>
      </c>
    </row>
    <row r="351" customFormat="false" ht="15" hidden="false" customHeight="false" outlineLevel="0" collapsed="false">
      <c r="A351" s="2" t="s">
        <v>142</v>
      </c>
      <c r="B351" s="2" t="s">
        <v>143</v>
      </c>
      <c r="C351" s="2" t="s">
        <v>44</v>
      </c>
      <c r="D351" s="2" t="s">
        <v>4585</v>
      </c>
      <c r="E351" s="2" t="s">
        <v>4261</v>
      </c>
      <c r="F351" s="2" t="s">
        <v>9</v>
      </c>
      <c r="G351" s="2" t="n">
        <v>40</v>
      </c>
    </row>
    <row r="352" customFormat="false" ht="15" hidden="false" customHeight="false" outlineLevel="0" collapsed="false">
      <c r="A352" s="2" t="s">
        <v>145</v>
      </c>
      <c r="B352" s="2" t="s">
        <v>146</v>
      </c>
      <c r="C352" s="2" t="s">
        <v>27</v>
      </c>
      <c r="D352" s="2" t="s">
        <v>4510</v>
      </c>
      <c r="E352" s="2" t="s">
        <v>4271</v>
      </c>
      <c r="F352" s="2" t="s">
        <v>9</v>
      </c>
      <c r="G352" s="2" t="n">
        <v>41</v>
      </c>
    </row>
    <row r="353" customFormat="false" ht="15" hidden="false" customHeight="false" outlineLevel="0" collapsed="false">
      <c r="A353" s="2" t="s">
        <v>145</v>
      </c>
      <c r="B353" s="2" t="s">
        <v>146</v>
      </c>
      <c r="C353" s="2" t="s">
        <v>27</v>
      </c>
      <c r="D353" s="2" t="s">
        <v>4586</v>
      </c>
      <c r="E353" s="2" t="s">
        <v>4271</v>
      </c>
      <c r="F353" s="2" t="s">
        <v>9</v>
      </c>
      <c r="G353" s="2" t="n">
        <v>41</v>
      </c>
    </row>
    <row r="354" customFormat="false" ht="15" hidden="false" customHeight="false" outlineLevel="0" collapsed="false">
      <c r="A354" s="2" t="s">
        <v>145</v>
      </c>
      <c r="B354" s="2" t="s">
        <v>146</v>
      </c>
      <c r="C354" s="2" t="s">
        <v>27</v>
      </c>
      <c r="D354" s="2" t="s">
        <v>4587</v>
      </c>
      <c r="E354" s="2" t="s">
        <v>4271</v>
      </c>
      <c r="F354" s="2" t="s">
        <v>9</v>
      </c>
      <c r="G354" s="2" t="n">
        <v>41</v>
      </c>
    </row>
    <row r="355" customFormat="false" ht="15" hidden="false" customHeight="false" outlineLevel="0" collapsed="false">
      <c r="A355" s="2" t="s">
        <v>148</v>
      </c>
      <c r="B355" s="2" t="s">
        <v>70</v>
      </c>
      <c r="C355" s="2" t="s">
        <v>70</v>
      </c>
      <c r="D355" s="2" t="s">
        <v>4588</v>
      </c>
      <c r="E355" s="2" t="s">
        <v>4261</v>
      </c>
      <c r="F355" s="2" t="s">
        <v>8</v>
      </c>
      <c r="G355" s="2" t="n">
        <v>42</v>
      </c>
    </row>
    <row r="356" customFormat="false" ht="15" hidden="false" customHeight="false" outlineLevel="0" collapsed="false">
      <c r="A356" s="2" t="s">
        <v>148</v>
      </c>
      <c r="B356" s="2" t="s">
        <v>70</v>
      </c>
      <c r="C356" s="2" t="s">
        <v>70</v>
      </c>
      <c r="D356" s="2" t="s">
        <v>4589</v>
      </c>
      <c r="E356" s="2" t="s">
        <v>4261</v>
      </c>
      <c r="F356" s="2" t="s">
        <v>8</v>
      </c>
      <c r="G356" s="2" t="n">
        <v>42</v>
      </c>
    </row>
    <row r="357" customFormat="false" ht="15" hidden="false" customHeight="false" outlineLevel="0" collapsed="false">
      <c r="A357" s="2" t="s">
        <v>148</v>
      </c>
      <c r="B357" s="2" t="s">
        <v>70</v>
      </c>
      <c r="C357" s="2" t="s">
        <v>70</v>
      </c>
      <c r="D357" s="2" t="s">
        <v>4590</v>
      </c>
      <c r="E357" s="2" t="s">
        <v>4264</v>
      </c>
      <c r="F357" s="2" t="s">
        <v>8</v>
      </c>
      <c r="G357" s="2" t="n">
        <v>42</v>
      </c>
    </row>
    <row r="358" customFormat="false" ht="15" hidden="false" customHeight="false" outlineLevel="0" collapsed="false">
      <c r="A358" s="2" t="s">
        <v>148</v>
      </c>
      <c r="B358" s="2" t="s">
        <v>70</v>
      </c>
      <c r="C358" s="2" t="s">
        <v>70</v>
      </c>
      <c r="D358" s="2" t="s">
        <v>4591</v>
      </c>
      <c r="E358" s="2" t="s">
        <v>4261</v>
      </c>
      <c r="F358" s="2" t="s">
        <v>8</v>
      </c>
      <c r="G358" s="2" t="n">
        <v>42</v>
      </c>
    </row>
    <row r="359" customFormat="false" ht="15" hidden="false" customHeight="false" outlineLevel="0" collapsed="false">
      <c r="A359" s="2" t="s">
        <v>152</v>
      </c>
      <c r="B359" s="2" t="s">
        <v>153</v>
      </c>
      <c r="C359" s="2" t="s">
        <v>70</v>
      </c>
      <c r="D359" s="2" t="s">
        <v>4592</v>
      </c>
      <c r="E359" s="2" t="s">
        <v>4264</v>
      </c>
      <c r="F359" s="2" t="s">
        <v>8</v>
      </c>
      <c r="G359" s="2" t="n">
        <v>44</v>
      </c>
    </row>
    <row r="360" customFormat="false" ht="15" hidden="false" customHeight="false" outlineLevel="0" collapsed="false">
      <c r="A360" s="2" t="s">
        <v>152</v>
      </c>
      <c r="B360" s="2" t="s">
        <v>153</v>
      </c>
      <c r="C360" s="2" t="s">
        <v>70</v>
      </c>
      <c r="D360" s="2" t="s">
        <v>4593</v>
      </c>
      <c r="E360" s="2" t="s">
        <v>4261</v>
      </c>
      <c r="F360" s="2" t="s">
        <v>8</v>
      </c>
      <c r="G360" s="2" t="n">
        <v>44</v>
      </c>
    </row>
    <row r="361" customFormat="false" ht="15" hidden="false" customHeight="false" outlineLevel="0" collapsed="false">
      <c r="A361" s="2" t="s">
        <v>152</v>
      </c>
      <c r="B361" s="2" t="s">
        <v>153</v>
      </c>
      <c r="C361" s="2" t="s">
        <v>70</v>
      </c>
      <c r="D361" s="2" t="s">
        <v>4594</v>
      </c>
      <c r="E361" s="2" t="s">
        <v>4261</v>
      </c>
      <c r="F361" s="2" t="s">
        <v>8</v>
      </c>
      <c r="G361" s="2" t="n">
        <v>44</v>
      </c>
    </row>
    <row r="362" customFormat="false" ht="15" hidden="false" customHeight="false" outlineLevel="0" collapsed="false">
      <c r="A362" s="2" t="s">
        <v>155</v>
      </c>
      <c r="B362" s="2" t="s">
        <v>156</v>
      </c>
      <c r="C362" s="2" t="s">
        <v>27</v>
      </c>
      <c r="D362" s="2" t="s">
        <v>4595</v>
      </c>
      <c r="E362" s="2" t="s">
        <v>4261</v>
      </c>
      <c r="F362" s="2" t="s">
        <v>8</v>
      </c>
      <c r="G362" s="2" t="n">
        <v>45</v>
      </c>
    </row>
    <row r="363" customFormat="false" ht="15" hidden="false" customHeight="false" outlineLevel="0" collapsed="false">
      <c r="A363" s="2" t="s">
        <v>155</v>
      </c>
      <c r="B363" s="2" t="s">
        <v>156</v>
      </c>
      <c r="C363" s="2" t="s">
        <v>27</v>
      </c>
      <c r="D363" s="2" t="s">
        <v>4596</v>
      </c>
      <c r="E363" s="2" t="s">
        <v>4261</v>
      </c>
      <c r="F363" s="2" t="s">
        <v>8</v>
      </c>
      <c r="G363" s="2" t="n">
        <v>45</v>
      </c>
    </row>
    <row r="364" customFormat="false" ht="15" hidden="false" customHeight="false" outlineLevel="0" collapsed="false">
      <c r="A364" s="2" t="s">
        <v>158</v>
      </c>
      <c r="B364" s="2" t="s">
        <v>159</v>
      </c>
      <c r="C364" s="2" t="s">
        <v>34</v>
      </c>
      <c r="D364" s="2" t="s">
        <v>4597</v>
      </c>
      <c r="E364" s="2" t="s">
        <v>4271</v>
      </c>
      <c r="F364" s="2" t="s">
        <v>8</v>
      </c>
      <c r="G364" s="2" t="n">
        <v>46</v>
      </c>
    </row>
    <row r="365" customFormat="false" ht="15" hidden="false" customHeight="false" outlineLevel="0" collapsed="false">
      <c r="A365" s="2" t="s">
        <v>158</v>
      </c>
      <c r="B365" s="2" t="s">
        <v>159</v>
      </c>
      <c r="C365" s="2" t="s">
        <v>34</v>
      </c>
      <c r="D365" s="2" t="s">
        <v>4598</v>
      </c>
      <c r="E365" s="2" t="s">
        <v>4264</v>
      </c>
      <c r="F365" s="2" t="s">
        <v>8</v>
      </c>
      <c r="G365" s="2" t="n">
        <v>46</v>
      </c>
    </row>
    <row r="366" customFormat="false" ht="15" hidden="false" customHeight="false" outlineLevel="0" collapsed="false">
      <c r="A366" s="2" t="s">
        <v>158</v>
      </c>
      <c r="B366" s="2" t="s">
        <v>159</v>
      </c>
      <c r="C366" s="2" t="s">
        <v>34</v>
      </c>
      <c r="D366" s="2" t="s">
        <v>4599</v>
      </c>
      <c r="E366" s="2" t="s">
        <v>4261</v>
      </c>
      <c r="F366" s="2" t="s">
        <v>8</v>
      </c>
      <c r="G366" s="2" t="n">
        <v>46</v>
      </c>
    </row>
    <row r="367" customFormat="false" ht="15" hidden="false" customHeight="false" outlineLevel="0" collapsed="false">
      <c r="A367" s="2" t="s">
        <v>158</v>
      </c>
      <c r="B367" s="2" t="s">
        <v>159</v>
      </c>
      <c r="C367" s="2" t="s">
        <v>34</v>
      </c>
      <c r="D367" s="2" t="s">
        <v>4600</v>
      </c>
      <c r="E367" s="2" t="s">
        <v>4271</v>
      </c>
      <c r="F367" s="2" t="s">
        <v>8</v>
      </c>
      <c r="G367" s="2" t="n">
        <v>46</v>
      </c>
    </row>
    <row r="368" customFormat="false" ht="15" hidden="false" customHeight="false" outlineLevel="0" collapsed="false">
      <c r="A368" s="2" t="s">
        <v>161</v>
      </c>
      <c r="B368" s="2" t="s">
        <v>162</v>
      </c>
      <c r="C368" s="2" t="s">
        <v>70</v>
      </c>
      <c r="D368" s="2" t="s">
        <v>331</v>
      </c>
      <c r="E368" s="2" t="s">
        <v>4271</v>
      </c>
      <c r="F368" s="2" t="s">
        <v>8</v>
      </c>
      <c r="G368" s="2" t="n">
        <v>47</v>
      </c>
    </row>
    <row r="369" customFormat="false" ht="15" hidden="false" customHeight="false" outlineLevel="0" collapsed="false">
      <c r="A369" s="2" t="s">
        <v>161</v>
      </c>
      <c r="B369" s="2" t="s">
        <v>162</v>
      </c>
      <c r="C369" s="2" t="s">
        <v>70</v>
      </c>
      <c r="D369" s="2" t="s">
        <v>4425</v>
      </c>
      <c r="E369" s="2" t="s">
        <v>4271</v>
      </c>
      <c r="F369" s="2" t="s">
        <v>8</v>
      </c>
      <c r="G369" s="2" t="n">
        <v>47</v>
      </c>
    </row>
    <row r="370" customFormat="false" ht="15" hidden="false" customHeight="false" outlineLevel="0" collapsed="false">
      <c r="A370" s="2" t="s">
        <v>161</v>
      </c>
      <c r="B370" s="2" t="s">
        <v>162</v>
      </c>
      <c r="C370" s="2" t="s">
        <v>70</v>
      </c>
      <c r="D370" s="2" t="s">
        <v>4601</v>
      </c>
      <c r="E370" s="2" t="s">
        <v>4271</v>
      </c>
      <c r="F370" s="2" t="s">
        <v>8</v>
      </c>
      <c r="G370" s="2" t="n">
        <v>47</v>
      </c>
    </row>
    <row r="371" customFormat="false" ht="15" hidden="false" customHeight="false" outlineLevel="0" collapsed="false">
      <c r="A371" s="2" t="s">
        <v>164</v>
      </c>
      <c r="B371" s="2" t="s">
        <v>165</v>
      </c>
      <c r="C371" s="2" t="s">
        <v>105</v>
      </c>
      <c r="D371" s="2" t="s">
        <v>4602</v>
      </c>
      <c r="E371" s="2" t="s">
        <v>4261</v>
      </c>
      <c r="F371" s="2" t="s">
        <v>8</v>
      </c>
      <c r="G371" s="2" t="n">
        <v>48</v>
      </c>
    </row>
    <row r="372" customFormat="false" ht="15" hidden="false" customHeight="false" outlineLevel="0" collapsed="false">
      <c r="A372" s="2" t="s">
        <v>164</v>
      </c>
      <c r="B372" s="2" t="s">
        <v>165</v>
      </c>
      <c r="C372" s="2" t="s">
        <v>105</v>
      </c>
      <c r="D372" s="2" t="s">
        <v>4603</v>
      </c>
      <c r="E372" s="2" t="s">
        <v>4261</v>
      </c>
      <c r="F372" s="2" t="s">
        <v>8</v>
      </c>
      <c r="G372" s="2" t="n">
        <v>48</v>
      </c>
    </row>
    <row r="373" customFormat="false" ht="15" hidden="false" customHeight="false" outlineLevel="0" collapsed="false">
      <c r="A373" s="2" t="s">
        <v>164</v>
      </c>
      <c r="B373" s="2" t="s">
        <v>165</v>
      </c>
      <c r="C373" s="2" t="s">
        <v>105</v>
      </c>
      <c r="D373" s="2" t="s">
        <v>4604</v>
      </c>
      <c r="E373" s="2" t="s">
        <v>4261</v>
      </c>
      <c r="F373" s="2" t="s">
        <v>8</v>
      </c>
      <c r="G373" s="2" t="n">
        <v>48</v>
      </c>
    </row>
    <row r="374" customFormat="false" ht="15" hidden="false" customHeight="false" outlineLevel="0" collapsed="false">
      <c r="A374" s="2" t="s">
        <v>164</v>
      </c>
      <c r="B374" s="2" t="s">
        <v>165</v>
      </c>
      <c r="C374" s="2" t="s">
        <v>105</v>
      </c>
      <c r="D374" s="2" t="s">
        <v>4605</v>
      </c>
      <c r="E374" s="2" t="s">
        <v>4261</v>
      </c>
      <c r="F374" s="2" t="s">
        <v>8</v>
      </c>
      <c r="G374" s="2" t="n">
        <v>48</v>
      </c>
    </row>
    <row r="375" customFormat="false" ht="15" hidden="false" customHeight="false" outlineLevel="0" collapsed="false">
      <c r="A375" s="2" t="s">
        <v>164</v>
      </c>
      <c r="B375" s="2" t="s">
        <v>165</v>
      </c>
      <c r="C375" s="2" t="s">
        <v>105</v>
      </c>
      <c r="D375" s="2" t="s">
        <v>4606</v>
      </c>
      <c r="E375" s="2" t="s">
        <v>4261</v>
      </c>
      <c r="F375" s="2" t="s">
        <v>8</v>
      </c>
      <c r="G375" s="2" t="n">
        <v>48</v>
      </c>
    </row>
    <row r="376" customFormat="false" ht="15" hidden="false" customHeight="false" outlineLevel="0" collapsed="false">
      <c r="A376" s="2" t="s">
        <v>164</v>
      </c>
      <c r="B376" s="2" t="s">
        <v>165</v>
      </c>
      <c r="C376" s="2" t="s">
        <v>105</v>
      </c>
      <c r="D376" s="2" t="s">
        <v>4607</v>
      </c>
      <c r="E376" s="2" t="s">
        <v>4261</v>
      </c>
      <c r="F376" s="2" t="s">
        <v>8</v>
      </c>
      <c r="G376" s="2" t="n">
        <v>48</v>
      </c>
    </row>
    <row r="377" customFormat="false" ht="15" hidden="false" customHeight="false" outlineLevel="0" collapsed="false">
      <c r="A377" s="2" t="s">
        <v>164</v>
      </c>
      <c r="B377" s="2" t="s">
        <v>165</v>
      </c>
      <c r="C377" s="2" t="s">
        <v>105</v>
      </c>
      <c r="D377" s="2" t="s">
        <v>4608</v>
      </c>
      <c r="E377" s="2" t="s">
        <v>4261</v>
      </c>
      <c r="F377" s="2" t="s">
        <v>8</v>
      </c>
      <c r="G377" s="2" t="n">
        <v>48</v>
      </c>
    </row>
    <row r="378" customFormat="false" ht="15" hidden="false" customHeight="false" outlineLevel="0" collapsed="false">
      <c r="A378" s="2" t="s">
        <v>164</v>
      </c>
      <c r="B378" s="2" t="s">
        <v>165</v>
      </c>
      <c r="C378" s="2" t="s">
        <v>105</v>
      </c>
      <c r="D378" s="2" t="s">
        <v>4609</v>
      </c>
      <c r="E378" s="2" t="s">
        <v>4261</v>
      </c>
      <c r="F378" s="2" t="s">
        <v>8</v>
      </c>
      <c r="G378" s="2" t="n">
        <v>48</v>
      </c>
    </row>
    <row r="379" customFormat="false" ht="15" hidden="false" customHeight="false" outlineLevel="0" collapsed="false">
      <c r="A379" s="2" t="s">
        <v>164</v>
      </c>
      <c r="B379" s="2" t="s">
        <v>165</v>
      </c>
      <c r="C379" s="2" t="s">
        <v>105</v>
      </c>
      <c r="D379" s="2" t="s">
        <v>4462</v>
      </c>
      <c r="E379" s="2" t="s">
        <v>4261</v>
      </c>
      <c r="F379" s="2" t="s">
        <v>8</v>
      </c>
      <c r="G379" s="2" t="n">
        <v>48</v>
      </c>
    </row>
    <row r="380" customFormat="false" ht="15" hidden="false" customHeight="false" outlineLevel="0" collapsed="false">
      <c r="A380" s="2" t="s">
        <v>164</v>
      </c>
      <c r="B380" s="2" t="s">
        <v>165</v>
      </c>
      <c r="C380" s="2" t="s">
        <v>105</v>
      </c>
      <c r="D380" s="2" t="s">
        <v>4610</v>
      </c>
      <c r="E380" s="2" t="s">
        <v>4261</v>
      </c>
      <c r="F380" s="2" t="s">
        <v>8</v>
      </c>
      <c r="G380" s="2" t="n">
        <v>48</v>
      </c>
    </row>
    <row r="381" customFormat="false" ht="15" hidden="false" customHeight="false" outlineLevel="0" collapsed="false">
      <c r="A381" s="2" t="s">
        <v>164</v>
      </c>
      <c r="B381" s="2" t="s">
        <v>165</v>
      </c>
      <c r="C381" s="2" t="s">
        <v>105</v>
      </c>
      <c r="D381" s="2" t="s">
        <v>4611</v>
      </c>
      <c r="E381" s="2" t="s">
        <v>4261</v>
      </c>
      <c r="F381" s="2" t="s">
        <v>8</v>
      </c>
      <c r="G381" s="2" t="n">
        <v>48</v>
      </c>
    </row>
    <row r="382" customFormat="false" ht="15" hidden="false" customHeight="false" outlineLevel="0" collapsed="false">
      <c r="A382" s="2" t="s">
        <v>168</v>
      </c>
      <c r="B382" s="2" t="s">
        <v>169</v>
      </c>
      <c r="C382" s="2" t="s">
        <v>62</v>
      </c>
      <c r="D382" s="2" t="s">
        <v>4612</v>
      </c>
      <c r="E382" s="2" t="s">
        <v>4261</v>
      </c>
      <c r="F382" s="2" t="s">
        <v>8</v>
      </c>
      <c r="G382" s="2" t="n">
        <v>50</v>
      </c>
    </row>
    <row r="383" customFormat="false" ht="15" hidden="false" customHeight="false" outlineLevel="0" collapsed="false">
      <c r="A383" s="2" t="s">
        <v>168</v>
      </c>
      <c r="B383" s="2" t="s">
        <v>169</v>
      </c>
      <c r="C383" s="2" t="s">
        <v>62</v>
      </c>
      <c r="D383" s="2" t="s">
        <v>4613</v>
      </c>
      <c r="E383" s="2" t="s">
        <v>4261</v>
      </c>
      <c r="F383" s="2" t="s">
        <v>8</v>
      </c>
      <c r="G383" s="2" t="n">
        <v>50</v>
      </c>
    </row>
    <row r="384" customFormat="false" ht="15" hidden="false" customHeight="false" outlineLevel="0" collapsed="false">
      <c r="A384" s="2" t="s">
        <v>171</v>
      </c>
      <c r="B384" s="2" t="s">
        <v>44</v>
      </c>
      <c r="C384" s="2" t="s">
        <v>44</v>
      </c>
      <c r="D384" s="2" t="s">
        <v>4614</v>
      </c>
      <c r="E384" s="2" t="s">
        <v>4261</v>
      </c>
      <c r="F384" s="2" t="s">
        <v>8</v>
      </c>
      <c r="G384" s="2" t="n">
        <v>51</v>
      </c>
    </row>
    <row r="385" customFormat="false" ht="15" hidden="false" customHeight="false" outlineLevel="0" collapsed="false">
      <c r="A385" s="2" t="s">
        <v>171</v>
      </c>
      <c r="B385" s="2" t="s">
        <v>44</v>
      </c>
      <c r="C385" s="2" t="s">
        <v>44</v>
      </c>
      <c r="D385" s="2" t="s">
        <v>4615</v>
      </c>
      <c r="E385" s="2" t="s">
        <v>4261</v>
      </c>
      <c r="F385" s="2" t="s">
        <v>8</v>
      </c>
      <c r="G385" s="2" t="n">
        <v>51</v>
      </c>
    </row>
    <row r="386" customFormat="false" ht="15" hidden="false" customHeight="false" outlineLevel="0" collapsed="false">
      <c r="A386" s="2" t="s">
        <v>171</v>
      </c>
      <c r="B386" s="2" t="s">
        <v>44</v>
      </c>
      <c r="C386" s="2" t="s">
        <v>44</v>
      </c>
      <c r="D386" s="2" t="s">
        <v>4616</v>
      </c>
      <c r="E386" s="2" t="s">
        <v>4264</v>
      </c>
      <c r="F386" s="2" t="s">
        <v>8</v>
      </c>
      <c r="G386" s="2" t="n">
        <v>51</v>
      </c>
    </row>
    <row r="387" customFormat="false" ht="15" hidden="false" customHeight="false" outlineLevel="0" collapsed="false">
      <c r="A387" s="2" t="s">
        <v>171</v>
      </c>
      <c r="B387" s="2" t="s">
        <v>44</v>
      </c>
      <c r="C387" s="2" t="s">
        <v>44</v>
      </c>
      <c r="D387" s="2" t="s">
        <v>4617</v>
      </c>
      <c r="E387" s="2" t="s">
        <v>4261</v>
      </c>
      <c r="F387" s="2" t="s">
        <v>8</v>
      </c>
      <c r="G387" s="2" t="n">
        <v>51</v>
      </c>
    </row>
    <row r="388" customFormat="false" ht="15" hidden="false" customHeight="false" outlineLevel="0" collapsed="false">
      <c r="A388" s="2" t="s">
        <v>171</v>
      </c>
      <c r="B388" s="2" t="s">
        <v>44</v>
      </c>
      <c r="C388" s="2" t="s">
        <v>44</v>
      </c>
      <c r="D388" s="2" t="s">
        <v>4618</v>
      </c>
      <c r="E388" s="2" t="s">
        <v>4264</v>
      </c>
      <c r="F388" s="2" t="s">
        <v>8</v>
      </c>
      <c r="G388" s="2" t="n">
        <v>51</v>
      </c>
    </row>
    <row r="389" customFormat="false" ht="15" hidden="false" customHeight="false" outlineLevel="0" collapsed="false">
      <c r="A389" s="2" t="s">
        <v>171</v>
      </c>
      <c r="B389" s="2" t="s">
        <v>44</v>
      </c>
      <c r="C389" s="2" t="s">
        <v>44</v>
      </c>
      <c r="D389" s="2" t="s">
        <v>465</v>
      </c>
      <c r="E389" s="2" t="s">
        <v>4264</v>
      </c>
      <c r="F389" s="2" t="s">
        <v>8</v>
      </c>
      <c r="G389" s="2" t="n">
        <v>51</v>
      </c>
    </row>
    <row r="390" customFormat="false" ht="15" hidden="false" customHeight="false" outlineLevel="0" collapsed="false">
      <c r="A390" s="2" t="s">
        <v>171</v>
      </c>
      <c r="B390" s="2" t="s">
        <v>44</v>
      </c>
      <c r="C390" s="2" t="s">
        <v>44</v>
      </c>
      <c r="D390" s="2" t="s">
        <v>4619</v>
      </c>
      <c r="E390" s="2" t="s">
        <v>4264</v>
      </c>
      <c r="F390" s="2" t="s">
        <v>8</v>
      </c>
      <c r="G390" s="2" t="n">
        <v>51</v>
      </c>
    </row>
    <row r="391" customFormat="false" ht="15" hidden="false" customHeight="false" outlineLevel="0" collapsed="false">
      <c r="A391" s="2" t="s">
        <v>171</v>
      </c>
      <c r="B391" s="2" t="s">
        <v>44</v>
      </c>
      <c r="C391" s="2" t="s">
        <v>44</v>
      </c>
      <c r="D391" s="2" t="s">
        <v>393</v>
      </c>
      <c r="E391" s="2" t="s">
        <v>4264</v>
      </c>
      <c r="F391" s="2" t="s">
        <v>8</v>
      </c>
      <c r="G391" s="2" t="n">
        <v>51</v>
      </c>
    </row>
    <row r="392" customFormat="false" ht="15" hidden="false" customHeight="false" outlineLevel="0" collapsed="false">
      <c r="A392" s="2" t="s">
        <v>171</v>
      </c>
      <c r="B392" s="2" t="s">
        <v>44</v>
      </c>
      <c r="C392" s="2" t="s">
        <v>44</v>
      </c>
      <c r="D392" s="2" t="s">
        <v>4620</v>
      </c>
      <c r="E392" s="2" t="s">
        <v>4264</v>
      </c>
      <c r="F392" s="2" t="s">
        <v>8</v>
      </c>
      <c r="G392" s="2" t="n">
        <v>51</v>
      </c>
    </row>
    <row r="393" customFormat="false" ht="15" hidden="false" customHeight="false" outlineLevel="0" collapsed="false">
      <c r="A393" s="2" t="s">
        <v>171</v>
      </c>
      <c r="B393" s="2" t="s">
        <v>44</v>
      </c>
      <c r="C393" s="2" t="s">
        <v>44</v>
      </c>
      <c r="D393" s="2" t="s">
        <v>4621</v>
      </c>
      <c r="E393" s="2" t="s">
        <v>4271</v>
      </c>
      <c r="F393" s="2" t="s">
        <v>8</v>
      </c>
      <c r="G393" s="2" t="n">
        <v>51</v>
      </c>
    </row>
    <row r="394" customFormat="false" ht="15" hidden="false" customHeight="false" outlineLevel="0" collapsed="false">
      <c r="A394" s="2" t="s">
        <v>171</v>
      </c>
      <c r="B394" s="2" t="s">
        <v>44</v>
      </c>
      <c r="C394" s="2" t="s">
        <v>44</v>
      </c>
      <c r="D394" s="2" t="s">
        <v>4622</v>
      </c>
      <c r="E394" s="2" t="s">
        <v>4271</v>
      </c>
      <c r="F394" s="2" t="s">
        <v>8</v>
      </c>
      <c r="G394" s="2" t="n">
        <v>51</v>
      </c>
    </row>
    <row r="395" customFormat="false" ht="15" hidden="false" customHeight="false" outlineLevel="0" collapsed="false">
      <c r="A395" s="2" t="s">
        <v>171</v>
      </c>
      <c r="B395" s="2" t="s">
        <v>44</v>
      </c>
      <c r="C395" s="2" t="s">
        <v>44</v>
      </c>
      <c r="D395" s="2" t="s">
        <v>1052</v>
      </c>
      <c r="E395" s="2" t="s">
        <v>4264</v>
      </c>
      <c r="F395" s="2" t="s">
        <v>8</v>
      </c>
      <c r="G395" s="2" t="n">
        <v>51</v>
      </c>
    </row>
    <row r="396" customFormat="false" ht="15" hidden="false" customHeight="false" outlineLevel="0" collapsed="false">
      <c r="A396" s="2" t="s">
        <v>171</v>
      </c>
      <c r="B396" s="2" t="s">
        <v>44</v>
      </c>
      <c r="C396" s="2" t="s">
        <v>44</v>
      </c>
      <c r="D396" s="2" t="s">
        <v>4623</v>
      </c>
      <c r="E396" s="2" t="s">
        <v>4264</v>
      </c>
      <c r="F396" s="2" t="s">
        <v>8</v>
      </c>
      <c r="G396" s="2" t="n">
        <v>51</v>
      </c>
    </row>
    <row r="397" customFormat="false" ht="15" hidden="false" customHeight="false" outlineLevel="0" collapsed="false">
      <c r="A397" s="2" t="s">
        <v>171</v>
      </c>
      <c r="B397" s="2" t="s">
        <v>44</v>
      </c>
      <c r="C397" s="2" t="s">
        <v>44</v>
      </c>
      <c r="D397" s="2" t="s">
        <v>4624</v>
      </c>
      <c r="E397" s="2" t="s">
        <v>4264</v>
      </c>
      <c r="F397" s="2" t="s">
        <v>8</v>
      </c>
      <c r="G397" s="2" t="n">
        <v>51</v>
      </c>
    </row>
    <row r="398" customFormat="false" ht="15" hidden="false" customHeight="false" outlineLevel="0" collapsed="false">
      <c r="A398" s="2" t="s">
        <v>171</v>
      </c>
      <c r="B398" s="2" t="s">
        <v>44</v>
      </c>
      <c r="C398" s="2" t="s">
        <v>44</v>
      </c>
      <c r="D398" s="2" t="s">
        <v>4625</v>
      </c>
      <c r="E398" s="2" t="s">
        <v>4264</v>
      </c>
      <c r="F398" s="2" t="s">
        <v>8</v>
      </c>
      <c r="G398" s="2" t="n">
        <v>51</v>
      </c>
    </row>
    <row r="399" customFormat="false" ht="15" hidden="false" customHeight="false" outlineLevel="0" collapsed="false">
      <c r="A399" s="2" t="s">
        <v>171</v>
      </c>
      <c r="B399" s="2" t="s">
        <v>44</v>
      </c>
      <c r="C399" s="2" t="s">
        <v>44</v>
      </c>
      <c r="D399" s="2" t="s">
        <v>4626</v>
      </c>
      <c r="E399" s="2" t="s">
        <v>4261</v>
      </c>
      <c r="F399" s="2" t="s">
        <v>8</v>
      </c>
      <c r="G399" s="2" t="n">
        <v>51</v>
      </c>
    </row>
    <row r="400" customFormat="false" ht="15" hidden="false" customHeight="false" outlineLevel="0" collapsed="false">
      <c r="A400" s="2" t="s">
        <v>173</v>
      </c>
      <c r="B400" s="2" t="s">
        <v>174</v>
      </c>
      <c r="C400" s="2" t="s">
        <v>62</v>
      </c>
      <c r="D400" s="2" t="s">
        <v>4627</v>
      </c>
      <c r="E400" s="2" t="s">
        <v>4261</v>
      </c>
      <c r="F400" s="2" t="s">
        <v>8</v>
      </c>
      <c r="G400" s="2" t="n">
        <v>52</v>
      </c>
    </row>
    <row r="401" customFormat="false" ht="15" hidden="false" customHeight="false" outlineLevel="0" collapsed="false">
      <c r="A401" s="2" t="s">
        <v>173</v>
      </c>
      <c r="B401" s="2" t="s">
        <v>174</v>
      </c>
      <c r="C401" s="2" t="s">
        <v>62</v>
      </c>
      <c r="D401" s="2" t="s">
        <v>4628</v>
      </c>
      <c r="E401" s="2" t="s">
        <v>4261</v>
      </c>
      <c r="F401" s="2" t="s">
        <v>8</v>
      </c>
      <c r="G401" s="2" t="n">
        <v>52</v>
      </c>
    </row>
    <row r="402" customFormat="false" ht="15" hidden="false" customHeight="false" outlineLevel="0" collapsed="false">
      <c r="A402" s="2" t="s">
        <v>173</v>
      </c>
      <c r="B402" s="2" t="s">
        <v>174</v>
      </c>
      <c r="C402" s="2" t="s">
        <v>62</v>
      </c>
      <c r="D402" s="2" t="s">
        <v>4629</v>
      </c>
      <c r="E402" s="2" t="s">
        <v>4261</v>
      </c>
      <c r="F402" s="2" t="s">
        <v>8</v>
      </c>
      <c r="G402" s="2" t="n">
        <v>52</v>
      </c>
    </row>
    <row r="403" customFormat="false" ht="15" hidden="false" customHeight="false" outlineLevel="0" collapsed="false">
      <c r="A403" s="2" t="s">
        <v>173</v>
      </c>
      <c r="B403" s="2" t="s">
        <v>174</v>
      </c>
      <c r="C403" s="2" t="s">
        <v>62</v>
      </c>
      <c r="D403" s="2" t="s">
        <v>4630</v>
      </c>
      <c r="E403" s="2" t="s">
        <v>4261</v>
      </c>
      <c r="F403" s="2" t="s">
        <v>8</v>
      </c>
      <c r="G403" s="2" t="n">
        <v>52</v>
      </c>
    </row>
    <row r="404" customFormat="false" ht="15" hidden="false" customHeight="false" outlineLevel="0" collapsed="false">
      <c r="A404" s="2" t="s">
        <v>173</v>
      </c>
      <c r="B404" s="2" t="s">
        <v>174</v>
      </c>
      <c r="C404" s="2" t="s">
        <v>62</v>
      </c>
      <c r="D404" s="2" t="s">
        <v>4631</v>
      </c>
      <c r="E404" s="2" t="s">
        <v>4261</v>
      </c>
      <c r="F404" s="2" t="s">
        <v>8</v>
      </c>
      <c r="G404" s="2" t="n">
        <v>52</v>
      </c>
    </row>
    <row r="405" customFormat="false" ht="15" hidden="false" customHeight="false" outlineLevel="0" collapsed="false">
      <c r="A405" s="2" t="s">
        <v>173</v>
      </c>
      <c r="B405" s="2" t="s">
        <v>174</v>
      </c>
      <c r="C405" s="2" t="s">
        <v>62</v>
      </c>
      <c r="D405" s="2" t="s">
        <v>4632</v>
      </c>
      <c r="E405" s="2" t="s">
        <v>4261</v>
      </c>
      <c r="F405" s="2" t="s">
        <v>8</v>
      </c>
      <c r="G405" s="2" t="n">
        <v>52</v>
      </c>
    </row>
    <row r="406" customFormat="false" ht="15" hidden="false" customHeight="false" outlineLevel="0" collapsed="false">
      <c r="A406" s="2" t="s">
        <v>173</v>
      </c>
      <c r="B406" s="2" t="s">
        <v>174</v>
      </c>
      <c r="C406" s="2" t="s">
        <v>62</v>
      </c>
      <c r="D406" s="2" t="s">
        <v>4633</v>
      </c>
      <c r="E406" s="2" t="s">
        <v>4261</v>
      </c>
      <c r="F406" s="2" t="s">
        <v>8</v>
      </c>
      <c r="G406" s="2" t="n">
        <v>52</v>
      </c>
    </row>
    <row r="407" customFormat="false" ht="15" hidden="false" customHeight="false" outlineLevel="0" collapsed="false">
      <c r="A407" s="2" t="s">
        <v>173</v>
      </c>
      <c r="B407" s="2" t="s">
        <v>174</v>
      </c>
      <c r="C407" s="2" t="s">
        <v>62</v>
      </c>
      <c r="D407" s="2" t="s">
        <v>4634</v>
      </c>
      <c r="E407" s="2" t="s">
        <v>4261</v>
      </c>
      <c r="F407" s="2" t="s">
        <v>8</v>
      </c>
      <c r="G407" s="2" t="n">
        <v>52</v>
      </c>
    </row>
    <row r="408" customFormat="false" ht="15" hidden="false" customHeight="false" outlineLevel="0" collapsed="false">
      <c r="A408" s="2" t="s">
        <v>173</v>
      </c>
      <c r="B408" s="2" t="s">
        <v>174</v>
      </c>
      <c r="C408" s="2" t="s">
        <v>62</v>
      </c>
      <c r="D408" s="2" t="s">
        <v>4635</v>
      </c>
      <c r="E408" s="2" t="s">
        <v>4261</v>
      </c>
      <c r="F408" s="2" t="s">
        <v>8</v>
      </c>
      <c r="G408" s="2" t="n">
        <v>52</v>
      </c>
    </row>
    <row r="409" customFormat="false" ht="15" hidden="false" customHeight="false" outlineLevel="0" collapsed="false">
      <c r="A409" s="2" t="s">
        <v>173</v>
      </c>
      <c r="B409" s="2" t="s">
        <v>174</v>
      </c>
      <c r="C409" s="2" t="s">
        <v>62</v>
      </c>
      <c r="D409" s="2" t="s">
        <v>3468</v>
      </c>
      <c r="E409" s="2" t="s">
        <v>4261</v>
      </c>
      <c r="F409" s="2" t="s">
        <v>8</v>
      </c>
      <c r="G409" s="2" t="n">
        <v>52</v>
      </c>
    </row>
    <row r="410" customFormat="false" ht="15" hidden="false" customHeight="false" outlineLevel="0" collapsed="false">
      <c r="A410" s="2" t="s">
        <v>173</v>
      </c>
      <c r="B410" s="2" t="s">
        <v>174</v>
      </c>
      <c r="C410" s="2" t="s">
        <v>62</v>
      </c>
      <c r="D410" s="2" t="s">
        <v>4636</v>
      </c>
      <c r="E410" s="2" t="s">
        <v>4261</v>
      </c>
      <c r="F410" s="2" t="s">
        <v>8</v>
      </c>
      <c r="G410" s="2" t="n">
        <v>52</v>
      </c>
    </row>
    <row r="411" customFormat="false" ht="15" hidden="false" customHeight="false" outlineLevel="0" collapsed="false">
      <c r="A411" s="2" t="s">
        <v>176</v>
      </c>
      <c r="B411" s="2" t="s">
        <v>81</v>
      </c>
      <c r="C411" s="2" t="s">
        <v>34</v>
      </c>
      <c r="D411" s="2" t="s">
        <v>4637</v>
      </c>
      <c r="E411" s="2" t="s">
        <v>4271</v>
      </c>
      <c r="F411" s="2" t="s">
        <v>8</v>
      </c>
      <c r="G411" s="2" t="n">
        <v>53</v>
      </c>
    </row>
    <row r="412" customFormat="false" ht="15" hidden="false" customHeight="false" outlineLevel="0" collapsed="false">
      <c r="A412" s="2" t="s">
        <v>176</v>
      </c>
      <c r="B412" s="2" t="s">
        <v>81</v>
      </c>
      <c r="C412" s="2" t="s">
        <v>34</v>
      </c>
      <c r="D412" s="2" t="s">
        <v>4638</v>
      </c>
      <c r="E412" s="2" t="s">
        <v>4271</v>
      </c>
      <c r="F412" s="2" t="s">
        <v>8</v>
      </c>
      <c r="G412" s="2" t="n">
        <v>53</v>
      </c>
    </row>
    <row r="413" customFormat="false" ht="15" hidden="false" customHeight="false" outlineLevel="0" collapsed="false">
      <c r="A413" s="2" t="s">
        <v>178</v>
      </c>
      <c r="B413" s="2" t="s">
        <v>179</v>
      </c>
      <c r="C413" s="2" t="s">
        <v>27</v>
      </c>
      <c r="D413" s="2" t="s">
        <v>4639</v>
      </c>
      <c r="E413" s="2" t="s">
        <v>4261</v>
      </c>
      <c r="F413" s="2" t="s">
        <v>8</v>
      </c>
      <c r="G413" s="2" t="n">
        <v>54</v>
      </c>
    </row>
    <row r="414" customFormat="false" ht="15" hidden="false" customHeight="false" outlineLevel="0" collapsed="false">
      <c r="A414" s="2" t="s">
        <v>178</v>
      </c>
      <c r="B414" s="2" t="s">
        <v>179</v>
      </c>
      <c r="C414" s="2" t="s">
        <v>27</v>
      </c>
      <c r="D414" s="2" t="s">
        <v>4640</v>
      </c>
      <c r="E414" s="2" t="s">
        <v>4271</v>
      </c>
      <c r="F414" s="2" t="s">
        <v>8</v>
      </c>
      <c r="G414" s="2" t="n">
        <v>54</v>
      </c>
    </row>
    <row r="415" customFormat="false" ht="15" hidden="false" customHeight="false" outlineLevel="0" collapsed="false">
      <c r="A415" s="2" t="s">
        <v>181</v>
      </c>
      <c r="B415" s="2" t="s">
        <v>70</v>
      </c>
      <c r="C415" s="2" t="s">
        <v>70</v>
      </c>
      <c r="D415" s="2" t="s">
        <v>182</v>
      </c>
      <c r="E415" s="2" t="s">
        <v>4261</v>
      </c>
      <c r="F415" s="2" t="s">
        <v>8</v>
      </c>
      <c r="G415" s="2" t="n">
        <v>55</v>
      </c>
    </row>
    <row r="416" customFormat="false" ht="15" hidden="false" customHeight="false" outlineLevel="0" collapsed="false">
      <c r="A416" s="2" t="s">
        <v>183</v>
      </c>
      <c r="B416" s="2" t="s">
        <v>184</v>
      </c>
      <c r="C416" s="2" t="s">
        <v>27</v>
      </c>
      <c r="D416" s="2" t="s">
        <v>4641</v>
      </c>
      <c r="E416" s="2" t="s">
        <v>4271</v>
      </c>
      <c r="F416" s="2" t="s">
        <v>8</v>
      </c>
      <c r="G416" s="2" t="n">
        <v>56</v>
      </c>
    </row>
    <row r="417" customFormat="false" ht="15" hidden="false" customHeight="false" outlineLevel="0" collapsed="false">
      <c r="A417" s="2" t="s">
        <v>183</v>
      </c>
      <c r="B417" s="2" t="s">
        <v>184</v>
      </c>
      <c r="C417" s="2" t="s">
        <v>27</v>
      </c>
      <c r="D417" s="2" t="s">
        <v>4642</v>
      </c>
      <c r="E417" s="2" t="s">
        <v>4271</v>
      </c>
      <c r="F417" s="2" t="s">
        <v>8</v>
      </c>
      <c r="G417" s="2" t="n">
        <v>56</v>
      </c>
    </row>
    <row r="418" customFormat="false" ht="15" hidden="false" customHeight="false" outlineLevel="0" collapsed="false">
      <c r="A418" s="2" t="s">
        <v>183</v>
      </c>
      <c r="B418" s="2" t="s">
        <v>184</v>
      </c>
      <c r="C418" s="2" t="s">
        <v>27</v>
      </c>
      <c r="D418" s="2" t="s">
        <v>4643</v>
      </c>
      <c r="E418" s="2" t="s">
        <v>4271</v>
      </c>
      <c r="F418" s="2" t="s">
        <v>8</v>
      </c>
      <c r="G418" s="2" t="n">
        <v>56</v>
      </c>
    </row>
    <row r="419" customFormat="false" ht="15" hidden="false" customHeight="false" outlineLevel="0" collapsed="false">
      <c r="A419" s="2" t="s">
        <v>186</v>
      </c>
      <c r="B419" s="2" t="s">
        <v>187</v>
      </c>
      <c r="C419" s="2" t="s">
        <v>95</v>
      </c>
      <c r="D419" s="2" t="s">
        <v>4644</v>
      </c>
      <c r="E419" s="2" t="s">
        <v>4261</v>
      </c>
      <c r="F419" s="2" t="s">
        <v>8</v>
      </c>
      <c r="G419" s="2" t="n">
        <v>57</v>
      </c>
    </row>
    <row r="420" customFormat="false" ht="15" hidden="false" customHeight="false" outlineLevel="0" collapsed="false">
      <c r="A420" s="2" t="s">
        <v>186</v>
      </c>
      <c r="B420" s="2" t="s">
        <v>187</v>
      </c>
      <c r="C420" s="2" t="s">
        <v>95</v>
      </c>
      <c r="D420" s="2" t="s">
        <v>4645</v>
      </c>
      <c r="E420" s="2" t="s">
        <v>4261</v>
      </c>
      <c r="F420" s="2" t="s">
        <v>8</v>
      </c>
      <c r="G420" s="2" t="n">
        <v>57</v>
      </c>
    </row>
    <row r="421" customFormat="false" ht="15" hidden="false" customHeight="false" outlineLevel="0" collapsed="false">
      <c r="A421" s="2" t="s">
        <v>186</v>
      </c>
      <c r="B421" s="2" t="s">
        <v>187</v>
      </c>
      <c r="C421" s="2" t="s">
        <v>95</v>
      </c>
      <c r="D421" s="2" t="s">
        <v>4646</v>
      </c>
      <c r="E421" s="2" t="s">
        <v>4261</v>
      </c>
      <c r="F421" s="2" t="s">
        <v>8</v>
      </c>
      <c r="G421" s="2" t="n">
        <v>57</v>
      </c>
    </row>
    <row r="422" customFormat="false" ht="15" hidden="false" customHeight="false" outlineLevel="0" collapsed="false">
      <c r="A422" s="2" t="s">
        <v>191</v>
      </c>
      <c r="B422" s="2" t="s">
        <v>70</v>
      </c>
      <c r="C422" s="2" t="s">
        <v>70</v>
      </c>
      <c r="D422" s="2" t="s">
        <v>4647</v>
      </c>
      <c r="E422" s="2" t="s">
        <v>4271</v>
      </c>
      <c r="F422" s="2" t="s">
        <v>8</v>
      </c>
      <c r="G422" s="2" t="n">
        <v>59</v>
      </c>
    </row>
    <row r="423" customFormat="false" ht="15" hidden="false" customHeight="false" outlineLevel="0" collapsed="false">
      <c r="A423" s="2" t="s">
        <v>191</v>
      </c>
      <c r="B423" s="2" t="s">
        <v>70</v>
      </c>
      <c r="C423" s="2" t="s">
        <v>70</v>
      </c>
      <c r="D423" s="2" t="s">
        <v>4648</v>
      </c>
      <c r="E423" s="2" t="s">
        <v>4261</v>
      </c>
      <c r="F423" s="2" t="s">
        <v>8</v>
      </c>
      <c r="G423" s="2" t="n">
        <v>59</v>
      </c>
    </row>
    <row r="424" customFormat="false" ht="15" hidden="false" customHeight="false" outlineLevel="0" collapsed="false">
      <c r="A424" s="2" t="s">
        <v>193</v>
      </c>
      <c r="B424" s="2" t="s">
        <v>56</v>
      </c>
      <c r="C424" s="2" t="s">
        <v>56</v>
      </c>
      <c r="D424" s="2" t="s">
        <v>4649</v>
      </c>
      <c r="E424" s="2" t="s">
        <v>4264</v>
      </c>
      <c r="F424" s="2" t="s">
        <v>8</v>
      </c>
      <c r="G424" s="2" t="n">
        <v>60</v>
      </c>
    </row>
    <row r="425" customFormat="false" ht="15" hidden="false" customHeight="false" outlineLevel="0" collapsed="false">
      <c r="A425" s="2" t="s">
        <v>193</v>
      </c>
      <c r="B425" s="2" t="s">
        <v>56</v>
      </c>
      <c r="C425" s="2" t="s">
        <v>56</v>
      </c>
      <c r="D425" s="2" t="s">
        <v>4650</v>
      </c>
      <c r="E425" s="2" t="s">
        <v>4264</v>
      </c>
      <c r="F425" s="2" t="s">
        <v>8</v>
      </c>
      <c r="G425" s="2" t="n">
        <v>60</v>
      </c>
    </row>
    <row r="426" customFormat="false" ht="15" hidden="false" customHeight="false" outlineLevel="0" collapsed="false">
      <c r="A426" s="2" t="s">
        <v>193</v>
      </c>
      <c r="B426" s="2" t="s">
        <v>56</v>
      </c>
      <c r="C426" s="2" t="s">
        <v>56</v>
      </c>
      <c r="D426" s="2" t="s">
        <v>4651</v>
      </c>
      <c r="E426" s="2" t="s">
        <v>4264</v>
      </c>
      <c r="F426" s="2" t="s">
        <v>8</v>
      </c>
      <c r="G426" s="2" t="n">
        <v>60</v>
      </c>
    </row>
    <row r="427" customFormat="false" ht="15" hidden="false" customHeight="false" outlineLevel="0" collapsed="false">
      <c r="A427" s="2" t="s">
        <v>193</v>
      </c>
      <c r="B427" s="2" t="s">
        <v>56</v>
      </c>
      <c r="C427" s="2" t="s">
        <v>56</v>
      </c>
      <c r="D427" s="2" t="s">
        <v>4652</v>
      </c>
      <c r="E427" s="2" t="s">
        <v>4261</v>
      </c>
      <c r="F427" s="2" t="s">
        <v>8</v>
      </c>
      <c r="G427" s="2" t="n">
        <v>60</v>
      </c>
    </row>
    <row r="428" customFormat="false" ht="15" hidden="false" customHeight="false" outlineLevel="0" collapsed="false">
      <c r="A428" s="2" t="s">
        <v>198</v>
      </c>
      <c r="B428" s="2" t="s">
        <v>199</v>
      </c>
      <c r="C428" s="2" t="s">
        <v>62</v>
      </c>
      <c r="D428" s="2" t="s">
        <v>4653</v>
      </c>
      <c r="E428" s="2" t="s">
        <v>4264</v>
      </c>
      <c r="F428" s="2" t="s">
        <v>8</v>
      </c>
      <c r="G428" s="2" t="n">
        <v>62</v>
      </c>
    </row>
    <row r="429" customFormat="false" ht="15" hidden="false" customHeight="false" outlineLevel="0" collapsed="false">
      <c r="A429" s="2" t="s">
        <v>198</v>
      </c>
      <c r="B429" s="2" t="s">
        <v>199</v>
      </c>
      <c r="C429" s="2" t="s">
        <v>62</v>
      </c>
      <c r="D429" s="2" t="s">
        <v>1712</v>
      </c>
      <c r="E429" s="2" t="s">
        <v>4264</v>
      </c>
      <c r="F429" s="2" t="s">
        <v>8</v>
      </c>
      <c r="G429" s="2" t="n">
        <v>62</v>
      </c>
    </row>
    <row r="430" customFormat="false" ht="15" hidden="false" customHeight="false" outlineLevel="0" collapsed="false">
      <c r="A430" s="2" t="s">
        <v>201</v>
      </c>
      <c r="B430" s="2" t="s">
        <v>202</v>
      </c>
      <c r="C430" s="2" t="s">
        <v>105</v>
      </c>
      <c r="D430" s="2" t="s">
        <v>203</v>
      </c>
      <c r="E430" s="2" t="s">
        <v>4264</v>
      </c>
      <c r="F430" s="2" t="s">
        <v>8</v>
      </c>
      <c r="G430" s="2" t="n">
        <v>63</v>
      </c>
    </row>
    <row r="431" customFormat="false" ht="15" hidden="false" customHeight="false" outlineLevel="0" collapsed="false">
      <c r="A431" s="2" t="s">
        <v>204</v>
      </c>
      <c r="B431" s="2" t="s">
        <v>205</v>
      </c>
      <c r="C431" s="2" t="s">
        <v>105</v>
      </c>
      <c r="D431" s="2" t="s">
        <v>4654</v>
      </c>
      <c r="E431" s="2" t="s">
        <v>4261</v>
      </c>
      <c r="F431" s="2" t="s">
        <v>8</v>
      </c>
      <c r="G431" s="2" t="n">
        <v>64</v>
      </c>
    </row>
    <row r="432" customFormat="false" ht="15" hidden="false" customHeight="false" outlineLevel="0" collapsed="false">
      <c r="A432" s="2" t="s">
        <v>204</v>
      </c>
      <c r="B432" s="2" t="s">
        <v>205</v>
      </c>
      <c r="C432" s="2" t="s">
        <v>105</v>
      </c>
      <c r="D432" s="2" t="s">
        <v>4655</v>
      </c>
      <c r="E432" s="2" t="s">
        <v>4264</v>
      </c>
      <c r="F432" s="2" t="s">
        <v>8</v>
      </c>
      <c r="G432" s="2" t="n">
        <v>64</v>
      </c>
    </row>
    <row r="433" customFormat="false" ht="15" hidden="false" customHeight="false" outlineLevel="0" collapsed="false">
      <c r="A433" s="2" t="s">
        <v>204</v>
      </c>
      <c r="B433" s="2" t="s">
        <v>205</v>
      </c>
      <c r="C433" s="2" t="s">
        <v>105</v>
      </c>
      <c r="D433" s="2" t="s">
        <v>4656</v>
      </c>
      <c r="E433" s="2" t="s">
        <v>4261</v>
      </c>
      <c r="F433" s="2" t="s">
        <v>8</v>
      </c>
      <c r="G433" s="2" t="n">
        <v>64</v>
      </c>
    </row>
    <row r="434" customFormat="false" ht="15" hidden="false" customHeight="false" outlineLevel="0" collapsed="false">
      <c r="A434" s="2" t="s">
        <v>208</v>
      </c>
      <c r="B434" s="2" t="s">
        <v>56</v>
      </c>
      <c r="C434" s="2" t="s">
        <v>56</v>
      </c>
      <c r="D434" s="2" t="s">
        <v>4657</v>
      </c>
      <c r="E434" s="2" t="s">
        <v>4261</v>
      </c>
      <c r="F434" s="2" t="s">
        <v>8</v>
      </c>
      <c r="G434" s="2" t="n">
        <v>66</v>
      </c>
    </row>
    <row r="435" customFormat="false" ht="15" hidden="false" customHeight="false" outlineLevel="0" collapsed="false">
      <c r="A435" s="2" t="s">
        <v>208</v>
      </c>
      <c r="B435" s="2" t="s">
        <v>56</v>
      </c>
      <c r="C435" s="2" t="s">
        <v>56</v>
      </c>
      <c r="D435" s="2" t="s">
        <v>4658</v>
      </c>
      <c r="E435" s="2" t="s">
        <v>4261</v>
      </c>
      <c r="F435" s="2" t="s">
        <v>8</v>
      </c>
      <c r="G435" s="2" t="n">
        <v>66</v>
      </c>
    </row>
    <row r="436" customFormat="false" ht="15" hidden="false" customHeight="false" outlineLevel="0" collapsed="false">
      <c r="A436" s="2" t="s">
        <v>208</v>
      </c>
      <c r="B436" s="2" t="s">
        <v>56</v>
      </c>
      <c r="C436" s="2" t="s">
        <v>56</v>
      </c>
      <c r="D436" s="2" t="s">
        <v>4659</v>
      </c>
      <c r="E436" s="2" t="s">
        <v>4271</v>
      </c>
      <c r="F436" s="2" t="s">
        <v>8</v>
      </c>
      <c r="G436" s="2" t="n">
        <v>66</v>
      </c>
    </row>
    <row r="437" customFormat="false" ht="15" hidden="false" customHeight="false" outlineLevel="0" collapsed="false">
      <c r="A437" s="2" t="s">
        <v>210</v>
      </c>
      <c r="B437" s="2" t="s">
        <v>70</v>
      </c>
      <c r="C437" s="2" t="s">
        <v>70</v>
      </c>
      <c r="D437" s="2" t="s">
        <v>4660</v>
      </c>
      <c r="E437" s="2" t="s">
        <v>4264</v>
      </c>
      <c r="F437" s="2" t="s">
        <v>8</v>
      </c>
      <c r="G437" s="2" t="n">
        <v>67</v>
      </c>
    </row>
    <row r="438" customFormat="false" ht="15" hidden="false" customHeight="false" outlineLevel="0" collapsed="false">
      <c r="A438" s="2" t="s">
        <v>210</v>
      </c>
      <c r="B438" s="2" t="s">
        <v>70</v>
      </c>
      <c r="C438" s="2" t="s">
        <v>70</v>
      </c>
      <c r="D438" s="2" t="s">
        <v>4661</v>
      </c>
      <c r="E438" s="2" t="s">
        <v>4264</v>
      </c>
      <c r="F438" s="2" t="s">
        <v>8</v>
      </c>
      <c r="G438" s="2" t="n">
        <v>67</v>
      </c>
    </row>
    <row r="439" customFormat="false" ht="15" hidden="false" customHeight="false" outlineLevel="0" collapsed="false">
      <c r="A439" s="2" t="s">
        <v>210</v>
      </c>
      <c r="B439" s="2" t="s">
        <v>70</v>
      </c>
      <c r="C439" s="2" t="s">
        <v>70</v>
      </c>
      <c r="D439" s="2" t="s">
        <v>4662</v>
      </c>
      <c r="E439" s="2" t="s">
        <v>4261</v>
      </c>
      <c r="F439" s="2" t="s">
        <v>8</v>
      </c>
      <c r="G439" s="2" t="n">
        <v>67</v>
      </c>
    </row>
    <row r="440" customFormat="false" ht="15" hidden="false" customHeight="false" outlineLevel="0" collapsed="false">
      <c r="A440" s="2" t="s">
        <v>210</v>
      </c>
      <c r="B440" s="2" t="s">
        <v>70</v>
      </c>
      <c r="C440" s="2" t="s">
        <v>70</v>
      </c>
      <c r="D440" s="2" t="s">
        <v>4663</v>
      </c>
      <c r="E440" s="2" t="s">
        <v>4261</v>
      </c>
      <c r="F440" s="2" t="s">
        <v>8</v>
      </c>
      <c r="G440" s="2" t="n">
        <v>67</v>
      </c>
    </row>
    <row r="441" customFormat="false" ht="15" hidden="false" customHeight="false" outlineLevel="0" collapsed="false">
      <c r="A441" s="2" t="s">
        <v>210</v>
      </c>
      <c r="B441" s="2" t="s">
        <v>70</v>
      </c>
      <c r="C441" s="2" t="s">
        <v>70</v>
      </c>
      <c r="D441" s="2" t="s">
        <v>4664</v>
      </c>
      <c r="E441" s="2" t="s">
        <v>4261</v>
      </c>
      <c r="F441" s="2" t="s">
        <v>8</v>
      </c>
      <c r="G441" s="2" t="n">
        <v>67</v>
      </c>
    </row>
    <row r="442" customFormat="false" ht="15" hidden="false" customHeight="false" outlineLevel="0" collapsed="false">
      <c r="A442" s="2" t="s">
        <v>212</v>
      </c>
      <c r="B442" s="2" t="s">
        <v>213</v>
      </c>
      <c r="C442" s="2" t="s">
        <v>27</v>
      </c>
      <c r="D442" s="2" t="s">
        <v>4665</v>
      </c>
      <c r="E442" s="2" t="s">
        <v>4271</v>
      </c>
      <c r="F442" s="2" t="s">
        <v>9</v>
      </c>
      <c r="G442" s="2" t="n">
        <v>68</v>
      </c>
    </row>
    <row r="443" customFormat="false" ht="15" hidden="false" customHeight="false" outlineLevel="0" collapsed="false">
      <c r="A443" s="2" t="s">
        <v>212</v>
      </c>
      <c r="B443" s="2" t="s">
        <v>213</v>
      </c>
      <c r="C443" s="2" t="s">
        <v>27</v>
      </c>
      <c r="D443" s="2" t="s">
        <v>4666</v>
      </c>
      <c r="E443" s="2" t="s">
        <v>4271</v>
      </c>
      <c r="F443" s="2" t="s">
        <v>9</v>
      </c>
      <c r="G443" s="2" t="n">
        <v>68</v>
      </c>
    </row>
    <row r="444" customFormat="false" ht="15" hidden="false" customHeight="false" outlineLevel="0" collapsed="false">
      <c r="A444" s="2" t="s">
        <v>216</v>
      </c>
      <c r="B444" s="2" t="s">
        <v>217</v>
      </c>
      <c r="C444" s="2" t="s">
        <v>27</v>
      </c>
      <c r="D444" s="2" t="s">
        <v>4667</v>
      </c>
      <c r="E444" s="2" t="s">
        <v>4271</v>
      </c>
      <c r="F444" s="2" t="s">
        <v>8</v>
      </c>
      <c r="G444" s="2" t="n">
        <v>70</v>
      </c>
    </row>
    <row r="445" customFormat="false" ht="15" hidden="false" customHeight="false" outlineLevel="0" collapsed="false">
      <c r="A445" s="2" t="s">
        <v>216</v>
      </c>
      <c r="B445" s="2" t="s">
        <v>217</v>
      </c>
      <c r="C445" s="2" t="s">
        <v>27</v>
      </c>
      <c r="D445" s="2" t="s">
        <v>4668</v>
      </c>
      <c r="E445" s="2" t="s">
        <v>4271</v>
      </c>
      <c r="F445" s="2" t="s">
        <v>8</v>
      </c>
      <c r="G445" s="2" t="n">
        <v>70</v>
      </c>
    </row>
    <row r="446" customFormat="false" ht="15" hidden="false" customHeight="false" outlineLevel="0" collapsed="false">
      <c r="A446" s="2" t="s">
        <v>216</v>
      </c>
      <c r="B446" s="2" t="s">
        <v>217</v>
      </c>
      <c r="C446" s="2" t="s">
        <v>27</v>
      </c>
      <c r="D446" s="2" t="s">
        <v>4669</v>
      </c>
      <c r="E446" s="2" t="s">
        <v>4271</v>
      </c>
      <c r="F446" s="2" t="s">
        <v>8</v>
      </c>
      <c r="G446" s="2" t="n">
        <v>70</v>
      </c>
    </row>
    <row r="447" customFormat="false" ht="15" hidden="false" customHeight="false" outlineLevel="0" collapsed="false">
      <c r="A447" s="2" t="s">
        <v>216</v>
      </c>
      <c r="B447" s="2" t="s">
        <v>217</v>
      </c>
      <c r="C447" s="2" t="s">
        <v>27</v>
      </c>
      <c r="D447" s="2" t="s">
        <v>4670</v>
      </c>
      <c r="E447" s="2" t="s">
        <v>4271</v>
      </c>
      <c r="F447" s="2" t="s">
        <v>8</v>
      </c>
      <c r="G447" s="2" t="n">
        <v>70</v>
      </c>
    </row>
    <row r="448" customFormat="false" ht="15" hidden="false" customHeight="false" outlineLevel="0" collapsed="false">
      <c r="A448" s="2" t="s">
        <v>216</v>
      </c>
      <c r="B448" s="2" t="s">
        <v>217</v>
      </c>
      <c r="C448" s="2" t="s">
        <v>27</v>
      </c>
      <c r="D448" s="2" t="s">
        <v>4671</v>
      </c>
      <c r="E448" s="2" t="s">
        <v>4271</v>
      </c>
      <c r="F448" s="2" t="s">
        <v>8</v>
      </c>
      <c r="G448" s="2" t="n">
        <v>70</v>
      </c>
    </row>
    <row r="449" customFormat="false" ht="15" hidden="false" customHeight="false" outlineLevel="0" collapsed="false">
      <c r="A449" s="2" t="s">
        <v>216</v>
      </c>
      <c r="B449" s="2" t="s">
        <v>217</v>
      </c>
      <c r="C449" s="2" t="s">
        <v>27</v>
      </c>
      <c r="D449" s="2" t="s">
        <v>4672</v>
      </c>
      <c r="E449" s="2" t="s">
        <v>4261</v>
      </c>
      <c r="F449" s="2" t="s">
        <v>8</v>
      </c>
      <c r="G449" s="2" t="n">
        <v>70</v>
      </c>
    </row>
    <row r="450" customFormat="false" ht="15" hidden="false" customHeight="false" outlineLevel="0" collapsed="false">
      <c r="A450" s="2" t="s">
        <v>216</v>
      </c>
      <c r="B450" s="2" t="s">
        <v>217</v>
      </c>
      <c r="C450" s="2" t="s">
        <v>27</v>
      </c>
      <c r="D450" s="2" t="s">
        <v>4673</v>
      </c>
      <c r="E450" s="2" t="s">
        <v>4271</v>
      </c>
      <c r="F450" s="2" t="s">
        <v>8</v>
      </c>
      <c r="G450" s="2" t="n">
        <v>70</v>
      </c>
    </row>
    <row r="451" customFormat="false" ht="15" hidden="false" customHeight="false" outlineLevel="0" collapsed="false">
      <c r="A451" s="2" t="s">
        <v>219</v>
      </c>
      <c r="B451" s="2" t="s">
        <v>220</v>
      </c>
      <c r="C451" s="2" t="s">
        <v>27</v>
      </c>
      <c r="D451" s="2" t="s">
        <v>221</v>
      </c>
      <c r="E451" s="2" t="s">
        <v>4271</v>
      </c>
      <c r="F451" s="2" t="s">
        <v>9</v>
      </c>
      <c r="G451" s="2" t="n">
        <v>71</v>
      </c>
    </row>
    <row r="452" customFormat="false" ht="15" hidden="false" customHeight="false" outlineLevel="0" collapsed="false">
      <c r="A452" s="2" t="s">
        <v>223</v>
      </c>
      <c r="B452" s="2" t="s">
        <v>224</v>
      </c>
      <c r="C452" s="2" t="s">
        <v>62</v>
      </c>
      <c r="D452" s="2" t="s">
        <v>225</v>
      </c>
      <c r="E452" s="2" t="s">
        <v>4264</v>
      </c>
      <c r="F452" s="2" t="s">
        <v>8</v>
      </c>
      <c r="G452" s="2" t="n">
        <v>73</v>
      </c>
    </row>
    <row r="453" customFormat="false" ht="15" hidden="false" customHeight="false" outlineLevel="0" collapsed="false">
      <c r="A453" s="2" t="s">
        <v>226</v>
      </c>
      <c r="B453" s="2" t="s">
        <v>62</v>
      </c>
      <c r="C453" s="2" t="s">
        <v>62</v>
      </c>
      <c r="D453" s="2" t="s">
        <v>227</v>
      </c>
      <c r="E453" s="2" t="s">
        <v>4264</v>
      </c>
      <c r="F453" s="2" t="s">
        <v>8</v>
      </c>
      <c r="G453" s="2" t="n">
        <v>74</v>
      </c>
    </row>
    <row r="454" customFormat="false" ht="15" hidden="false" customHeight="false" outlineLevel="0" collapsed="false">
      <c r="A454" s="2" t="s">
        <v>228</v>
      </c>
      <c r="B454" s="2" t="s">
        <v>169</v>
      </c>
      <c r="C454" s="2" t="s">
        <v>62</v>
      </c>
      <c r="D454" s="2" t="s">
        <v>229</v>
      </c>
      <c r="E454" s="2" t="s">
        <v>4261</v>
      </c>
      <c r="F454" s="2" t="s">
        <v>8</v>
      </c>
      <c r="G454" s="2" t="n">
        <v>75</v>
      </c>
    </row>
    <row r="455" customFormat="false" ht="15" hidden="false" customHeight="false" outlineLevel="0" collapsed="false">
      <c r="A455" s="2" t="s">
        <v>230</v>
      </c>
      <c r="B455" s="2" t="s">
        <v>56</v>
      </c>
      <c r="C455" s="2" t="s">
        <v>56</v>
      </c>
      <c r="D455" s="2" t="s">
        <v>4674</v>
      </c>
      <c r="E455" s="2" t="s">
        <v>4261</v>
      </c>
      <c r="F455" s="2" t="s">
        <v>8</v>
      </c>
      <c r="G455" s="2" t="n">
        <v>76</v>
      </c>
    </row>
    <row r="456" customFormat="false" ht="15" hidden="false" customHeight="false" outlineLevel="0" collapsed="false">
      <c r="A456" s="2" t="s">
        <v>230</v>
      </c>
      <c r="B456" s="2" t="s">
        <v>56</v>
      </c>
      <c r="C456" s="2" t="s">
        <v>56</v>
      </c>
      <c r="D456" s="2" t="s">
        <v>1707</v>
      </c>
      <c r="E456" s="2" t="s">
        <v>4261</v>
      </c>
      <c r="F456" s="2" t="s">
        <v>8</v>
      </c>
      <c r="G456" s="2" t="n">
        <v>76</v>
      </c>
    </row>
    <row r="457" customFormat="false" ht="15" hidden="false" customHeight="false" outlineLevel="0" collapsed="false">
      <c r="A457" s="2" t="s">
        <v>230</v>
      </c>
      <c r="B457" s="2" t="s">
        <v>56</v>
      </c>
      <c r="C457" s="2" t="s">
        <v>56</v>
      </c>
      <c r="D457" s="2" t="s">
        <v>4675</v>
      </c>
      <c r="E457" s="2" t="s">
        <v>4264</v>
      </c>
      <c r="F457" s="2" t="s">
        <v>8</v>
      </c>
      <c r="G457" s="2" t="n">
        <v>76</v>
      </c>
    </row>
    <row r="458" customFormat="false" ht="15" hidden="false" customHeight="false" outlineLevel="0" collapsed="false">
      <c r="A458" s="2" t="s">
        <v>230</v>
      </c>
      <c r="B458" s="2" t="s">
        <v>56</v>
      </c>
      <c r="C458" s="2" t="s">
        <v>56</v>
      </c>
      <c r="D458" s="2" t="s">
        <v>4676</v>
      </c>
      <c r="E458" s="2" t="s">
        <v>4261</v>
      </c>
      <c r="F458" s="2" t="s">
        <v>8</v>
      </c>
      <c r="G458" s="2" t="n">
        <v>76</v>
      </c>
    </row>
    <row r="459" customFormat="false" ht="15" hidden="false" customHeight="false" outlineLevel="0" collapsed="false">
      <c r="A459" s="2" t="s">
        <v>233</v>
      </c>
      <c r="B459" s="2" t="s">
        <v>133</v>
      </c>
      <c r="C459" s="2" t="s">
        <v>34</v>
      </c>
      <c r="D459" s="2" t="s">
        <v>4677</v>
      </c>
      <c r="E459" s="2" t="s">
        <v>4261</v>
      </c>
      <c r="F459" s="2" t="s">
        <v>8</v>
      </c>
      <c r="G459" s="2" t="n">
        <v>78</v>
      </c>
    </row>
    <row r="460" customFormat="false" ht="15" hidden="false" customHeight="false" outlineLevel="0" collapsed="false">
      <c r="A460" s="2" t="s">
        <v>233</v>
      </c>
      <c r="B460" s="2" t="s">
        <v>133</v>
      </c>
      <c r="C460" s="2" t="s">
        <v>34</v>
      </c>
      <c r="D460" s="2" t="s">
        <v>4678</v>
      </c>
      <c r="E460" s="2" t="s">
        <v>4261</v>
      </c>
      <c r="F460" s="2" t="s">
        <v>8</v>
      </c>
      <c r="G460" s="2" t="n">
        <v>78</v>
      </c>
    </row>
    <row r="461" customFormat="false" ht="15" hidden="false" customHeight="false" outlineLevel="0" collapsed="false">
      <c r="A461" s="2" t="s">
        <v>233</v>
      </c>
      <c r="B461" s="2" t="s">
        <v>133</v>
      </c>
      <c r="C461" s="2" t="s">
        <v>34</v>
      </c>
      <c r="D461" s="2" t="s">
        <v>4679</v>
      </c>
      <c r="E461" s="2" t="s">
        <v>4271</v>
      </c>
      <c r="F461" s="2" t="s">
        <v>8</v>
      </c>
      <c r="G461" s="2" t="n">
        <v>78</v>
      </c>
    </row>
    <row r="462" customFormat="false" ht="15" hidden="false" customHeight="false" outlineLevel="0" collapsed="false">
      <c r="A462" s="2" t="s">
        <v>233</v>
      </c>
      <c r="B462" s="2" t="s">
        <v>133</v>
      </c>
      <c r="C462" s="2" t="s">
        <v>34</v>
      </c>
      <c r="D462" s="2" t="s">
        <v>4680</v>
      </c>
      <c r="E462" s="2" t="s">
        <v>4261</v>
      </c>
      <c r="F462" s="2" t="s">
        <v>8</v>
      </c>
      <c r="G462" s="2" t="n">
        <v>78</v>
      </c>
    </row>
    <row r="463" customFormat="false" ht="15" hidden="false" customHeight="false" outlineLevel="0" collapsed="false">
      <c r="A463" s="2" t="s">
        <v>235</v>
      </c>
      <c r="B463" s="2" t="s">
        <v>56</v>
      </c>
      <c r="C463" s="2" t="s">
        <v>56</v>
      </c>
      <c r="D463" s="2" t="s">
        <v>4681</v>
      </c>
      <c r="E463" s="2" t="s">
        <v>4264</v>
      </c>
      <c r="F463" s="2" t="s">
        <v>8</v>
      </c>
      <c r="G463" s="2" t="n">
        <v>79</v>
      </c>
    </row>
    <row r="464" customFormat="false" ht="15" hidden="false" customHeight="false" outlineLevel="0" collapsed="false">
      <c r="A464" s="2" t="s">
        <v>235</v>
      </c>
      <c r="B464" s="2" t="s">
        <v>56</v>
      </c>
      <c r="C464" s="2" t="s">
        <v>56</v>
      </c>
      <c r="D464" s="2" t="s">
        <v>4682</v>
      </c>
      <c r="E464" s="2" t="s">
        <v>4264</v>
      </c>
      <c r="F464" s="2" t="s">
        <v>8</v>
      </c>
      <c r="G464" s="2" t="n">
        <v>79</v>
      </c>
    </row>
    <row r="465" customFormat="false" ht="15" hidden="false" customHeight="false" outlineLevel="0" collapsed="false">
      <c r="A465" s="2" t="s">
        <v>235</v>
      </c>
      <c r="B465" s="2" t="s">
        <v>56</v>
      </c>
      <c r="C465" s="2" t="s">
        <v>56</v>
      </c>
      <c r="D465" s="2" t="s">
        <v>4683</v>
      </c>
      <c r="E465" s="2" t="s">
        <v>4271</v>
      </c>
      <c r="F465" s="2" t="s">
        <v>8</v>
      </c>
      <c r="G465" s="2" t="n">
        <v>79</v>
      </c>
    </row>
    <row r="466" customFormat="false" ht="15" hidden="false" customHeight="false" outlineLevel="0" collapsed="false">
      <c r="A466" s="2" t="s">
        <v>237</v>
      </c>
      <c r="B466" s="2" t="s">
        <v>187</v>
      </c>
      <c r="C466" s="2" t="s">
        <v>95</v>
      </c>
      <c r="D466" s="2" t="s">
        <v>238</v>
      </c>
      <c r="E466" s="2" t="s">
        <v>4261</v>
      </c>
      <c r="F466" s="2" t="s">
        <v>8</v>
      </c>
      <c r="G466" s="2" t="n">
        <v>80</v>
      </c>
    </row>
    <row r="467" customFormat="false" ht="15" hidden="false" customHeight="false" outlineLevel="0" collapsed="false">
      <c r="A467" s="2" t="s">
        <v>239</v>
      </c>
      <c r="B467" s="2" t="s">
        <v>70</v>
      </c>
      <c r="C467" s="2" t="s">
        <v>70</v>
      </c>
      <c r="D467" s="2" t="s">
        <v>240</v>
      </c>
      <c r="E467" s="2" t="s">
        <v>4271</v>
      </c>
      <c r="F467" s="2" t="s">
        <v>8</v>
      </c>
      <c r="G467" s="2" t="n">
        <v>81</v>
      </c>
    </row>
    <row r="468" customFormat="false" ht="15" hidden="false" customHeight="false" outlineLevel="0" collapsed="false">
      <c r="A468" s="2" t="s">
        <v>241</v>
      </c>
      <c r="B468" s="2" t="s">
        <v>242</v>
      </c>
      <c r="C468" s="2" t="s">
        <v>70</v>
      </c>
      <c r="D468" s="2" t="s">
        <v>4684</v>
      </c>
      <c r="E468" s="2" t="s">
        <v>4261</v>
      </c>
      <c r="F468" s="2" t="s">
        <v>8</v>
      </c>
      <c r="G468" s="2" t="n">
        <v>82</v>
      </c>
    </row>
    <row r="469" customFormat="false" ht="15" hidden="false" customHeight="false" outlineLevel="0" collapsed="false">
      <c r="A469" s="2" t="s">
        <v>241</v>
      </c>
      <c r="B469" s="2" t="s">
        <v>242</v>
      </c>
      <c r="C469" s="2" t="s">
        <v>70</v>
      </c>
      <c r="D469" s="2" t="s">
        <v>242</v>
      </c>
      <c r="E469" s="2" t="s">
        <v>4271</v>
      </c>
      <c r="F469" s="2" t="s">
        <v>8</v>
      </c>
      <c r="G469" s="2" t="n">
        <v>82</v>
      </c>
    </row>
    <row r="470" customFormat="false" ht="15" hidden="false" customHeight="false" outlineLevel="0" collapsed="false">
      <c r="A470" s="2" t="s">
        <v>241</v>
      </c>
      <c r="B470" s="2" t="s">
        <v>242</v>
      </c>
      <c r="C470" s="2" t="s">
        <v>70</v>
      </c>
      <c r="D470" s="2" t="s">
        <v>4685</v>
      </c>
      <c r="E470" s="2" t="s">
        <v>4271</v>
      </c>
      <c r="F470" s="2" t="s">
        <v>8</v>
      </c>
      <c r="G470" s="2" t="n">
        <v>82</v>
      </c>
    </row>
    <row r="471" customFormat="false" ht="15" hidden="false" customHeight="false" outlineLevel="0" collapsed="false">
      <c r="A471" s="2" t="s">
        <v>244</v>
      </c>
      <c r="B471" s="2" t="s">
        <v>245</v>
      </c>
      <c r="C471" s="2" t="s">
        <v>70</v>
      </c>
      <c r="D471" s="2" t="s">
        <v>246</v>
      </c>
      <c r="E471" s="2" t="s">
        <v>4261</v>
      </c>
      <c r="F471" s="2" t="s">
        <v>8</v>
      </c>
      <c r="G471" s="2" t="n">
        <v>83</v>
      </c>
    </row>
    <row r="472" customFormat="false" ht="15" hidden="false" customHeight="false" outlineLevel="0" collapsed="false">
      <c r="A472" s="2" t="s">
        <v>247</v>
      </c>
      <c r="B472" s="2" t="s">
        <v>100</v>
      </c>
      <c r="C472" s="2" t="s">
        <v>39</v>
      </c>
      <c r="D472" s="2" t="s">
        <v>248</v>
      </c>
      <c r="E472" s="2" t="s">
        <v>4261</v>
      </c>
      <c r="F472" s="2" t="s">
        <v>8</v>
      </c>
      <c r="G472" s="2" t="n">
        <v>84</v>
      </c>
    </row>
    <row r="473" customFormat="false" ht="15" hidden="false" customHeight="false" outlineLevel="0" collapsed="false">
      <c r="A473" s="2" t="s">
        <v>249</v>
      </c>
      <c r="B473" s="2" t="s">
        <v>250</v>
      </c>
      <c r="C473" s="2" t="s">
        <v>70</v>
      </c>
      <c r="D473" s="2" t="s">
        <v>251</v>
      </c>
      <c r="E473" s="2" t="s">
        <v>4264</v>
      </c>
      <c r="F473" s="2" t="s">
        <v>8</v>
      </c>
      <c r="G473" s="2" t="n">
        <v>85</v>
      </c>
    </row>
    <row r="474" customFormat="false" ht="15" hidden="false" customHeight="false" outlineLevel="0" collapsed="false">
      <c r="A474" s="2" t="s">
        <v>252</v>
      </c>
      <c r="B474" s="2" t="s">
        <v>165</v>
      </c>
      <c r="C474" s="2" t="s">
        <v>105</v>
      </c>
      <c r="D474" s="2" t="s">
        <v>4686</v>
      </c>
      <c r="E474" s="2" t="s">
        <v>4261</v>
      </c>
      <c r="F474" s="2" t="s">
        <v>8</v>
      </c>
      <c r="G474" s="2" t="n">
        <v>86</v>
      </c>
    </row>
    <row r="475" customFormat="false" ht="15" hidden="false" customHeight="false" outlineLevel="0" collapsed="false">
      <c r="A475" s="2" t="s">
        <v>252</v>
      </c>
      <c r="B475" s="2" t="s">
        <v>165</v>
      </c>
      <c r="C475" s="2" t="s">
        <v>105</v>
      </c>
      <c r="D475" s="2" t="s">
        <v>4687</v>
      </c>
      <c r="E475" s="2" t="s">
        <v>4261</v>
      </c>
      <c r="F475" s="2" t="s">
        <v>8</v>
      </c>
      <c r="G475" s="2" t="n">
        <v>86</v>
      </c>
    </row>
    <row r="476" customFormat="false" ht="15" hidden="false" customHeight="false" outlineLevel="0" collapsed="false">
      <c r="A476" s="2" t="s">
        <v>252</v>
      </c>
      <c r="B476" s="2" t="s">
        <v>165</v>
      </c>
      <c r="C476" s="2" t="s">
        <v>105</v>
      </c>
      <c r="D476" s="2" t="s">
        <v>4688</v>
      </c>
      <c r="E476" s="2" t="s">
        <v>4261</v>
      </c>
      <c r="F476" s="2" t="s">
        <v>8</v>
      </c>
      <c r="G476" s="2" t="n">
        <v>86</v>
      </c>
    </row>
    <row r="477" customFormat="false" ht="15" hidden="false" customHeight="false" outlineLevel="0" collapsed="false">
      <c r="A477" s="2" t="s">
        <v>252</v>
      </c>
      <c r="B477" s="2" t="s">
        <v>165</v>
      </c>
      <c r="C477" s="2" t="s">
        <v>105</v>
      </c>
      <c r="D477" s="2" t="s">
        <v>4689</v>
      </c>
      <c r="E477" s="2" t="s">
        <v>4261</v>
      </c>
      <c r="F477" s="2" t="s">
        <v>8</v>
      </c>
      <c r="G477" s="2" t="n">
        <v>86</v>
      </c>
    </row>
    <row r="478" customFormat="false" ht="15" hidden="false" customHeight="false" outlineLevel="0" collapsed="false">
      <c r="A478" s="2" t="s">
        <v>254</v>
      </c>
      <c r="B478" s="2" t="s">
        <v>255</v>
      </c>
      <c r="C478" s="2" t="s">
        <v>39</v>
      </c>
      <c r="D478" s="2" t="s">
        <v>4690</v>
      </c>
      <c r="E478" s="2" t="s">
        <v>4264</v>
      </c>
      <c r="F478" s="2" t="s">
        <v>8</v>
      </c>
      <c r="G478" s="2" t="n">
        <v>87</v>
      </c>
    </row>
    <row r="479" customFormat="false" ht="15" hidden="false" customHeight="false" outlineLevel="0" collapsed="false">
      <c r="A479" s="2" t="s">
        <v>254</v>
      </c>
      <c r="B479" s="2" t="s">
        <v>255</v>
      </c>
      <c r="C479" s="2" t="s">
        <v>39</v>
      </c>
      <c r="D479" s="2" t="s">
        <v>4691</v>
      </c>
      <c r="E479" s="2" t="s">
        <v>4264</v>
      </c>
      <c r="F479" s="2" t="s">
        <v>8</v>
      </c>
      <c r="G479" s="2" t="n">
        <v>87</v>
      </c>
    </row>
    <row r="480" customFormat="false" ht="15" hidden="false" customHeight="false" outlineLevel="0" collapsed="false">
      <c r="A480" s="2" t="s">
        <v>254</v>
      </c>
      <c r="B480" s="2" t="s">
        <v>255</v>
      </c>
      <c r="C480" s="2" t="s">
        <v>39</v>
      </c>
      <c r="D480" s="2" t="s">
        <v>4692</v>
      </c>
      <c r="E480" s="2" t="s">
        <v>4264</v>
      </c>
      <c r="F480" s="2" t="s">
        <v>8</v>
      </c>
      <c r="G480" s="2" t="n">
        <v>87</v>
      </c>
    </row>
    <row r="481" customFormat="false" ht="15" hidden="false" customHeight="false" outlineLevel="0" collapsed="false">
      <c r="A481" s="2" t="s">
        <v>254</v>
      </c>
      <c r="B481" s="2" t="s">
        <v>255</v>
      </c>
      <c r="C481" s="2" t="s">
        <v>39</v>
      </c>
      <c r="D481" s="2" t="s">
        <v>4693</v>
      </c>
      <c r="E481" s="2" t="s">
        <v>4264</v>
      </c>
      <c r="F481" s="2" t="s">
        <v>8</v>
      </c>
      <c r="G481" s="2" t="n">
        <v>87</v>
      </c>
    </row>
    <row r="482" customFormat="false" ht="15" hidden="false" customHeight="false" outlineLevel="0" collapsed="false">
      <c r="A482" s="2" t="s">
        <v>254</v>
      </c>
      <c r="B482" s="2" t="s">
        <v>255</v>
      </c>
      <c r="C482" s="2" t="s">
        <v>39</v>
      </c>
      <c r="D482" s="2" t="s">
        <v>4694</v>
      </c>
      <c r="E482" s="2" t="s">
        <v>4261</v>
      </c>
      <c r="F482" s="2" t="s">
        <v>8</v>
      </c>
      <c r="G482" s="2" t="n">
        <v>87</v>
      </c>
    </row>
    <row r="483" customFormat="false" ht="15" hidden="false" customHeight="false" outlineLevel="0" collapsed="false">
      <c r="A483" s="2" t="s">
        <v>254</v>
      </c>
      <c r="B483" s="2" t="s">
        <v>255</v>
      </c>
      <c r="C483" s="2" t="s">
        <v>39</v>
      </c>
      <c r="D483" s="2" t="s">
        <v>4695</v>
      </c>
      <c r="E483" s="2" t="s">
        <v>4261</v>
      </c>
      <c r="F483" s="2" t="s">
        <v>8</v>
      </c>
      <c r="G483" s="2" t="n">
        <v>87</v>
      </c>
    </row>
    <row r="484" customFormat="false" ht="15" hidden="false" customHeight="false" outlineLevel="0" collapsed="false">
      <c r="A484" s="2" t="s">
        <v>257</v>
      </c>
      <c r="B484" s="2" t="s">
        <v>258</v>
      </c>
      <c r="C484" s="2" t="s">
        <v>39</v>
      </c>
      <c r="D484" s="2" t="s">
        <v>4696</v>
      </c>
      <c r="E484" s="2" t="s">
        <v>4264</v>
      </c>
      <c r="F484" s="2" t="s">
        <v>8</v>
      </c>
      <c r="G484" s="2" t="n">
        <v>88</v>
      </c>
    </row>
    <row r="485" customFormat="false" ht="15" hidden="false" customHeight="false" outlineLevel="0" collapsed="false">
      <c r="A485" s="2" t="s">
        <v>257</v>
      </c>
      <c r="B485" s="2" t="s">
        <v>258</v>
      </c>
      <c r="C485" s="2" t="s">
        <v>39</v>
      </c>
      <c r="D485" s="2" t="s">
        <v>4697</v>
      </c>
      <c r="E485" s="2" t="s">
        <v>4264</v>
      </c>
      <c r="F485" s="2" t="s">
        <v>8</v>
      </c>
      <c r="G485" s="2" t="n">
        <v>88</v>
      </c>
    </row>
    <row r="486" customFormat="false" ht="15" hidden="false" customHeight="false" outlineLevel="0" collapsed="false">
      <c r="A486" s="2" t="s">
        <v>257</v>
      </c>
      <c r="B486" s="2" t="s">
        <v>258</v>
      </c>
      <c r="C486" s="2" t="s">
        <v>39</v>
      </c>
      <c r="D486" s="2" t="s">
        <v>4698</v>
      </c>
      <c r="E486" s="2" t="s">
        <v>4261</v>
      </c>
      <c r="F486" s="2" t="s">
        <v>8</v>
      </c>
      <c r="G486" s="2" t="n">
        <v>88</v>
      </c>
    </row>
    <row r="487" customFormat="false" ht="15" hidden="false" customHeight="false" outlineLevel="0" collapsed="false">
      <c r="A487" s="2" t="s">
        <v>260</v>
      </c>
      <c r="B487" s="2" t="s">
        <v>184</v>
      </c>
      <c r="C487" s="2" t="s">
        <v>27</v>
      </c>
      <c r="D487" s="2" t="s">
        <v>4699</v>
      </c>
      <c r="E487" s="2" t="s">
        <v>4261</v>
      </c>
      <c r="F487" s="2" t="s">
        <v>8</v>
      </c>
      <c r="G487" s="2" t="n">
        <v>89</v>
      </c>
    </row>
    <row r="488" customFormat="false" ht="15" hidden="false" customHeight="false" outlineLevel="0" collapsed="false">
      <c r="A488" s="2" t="s">
        <v>260</v>
      </c>
      <c r="B488" s="2" t="s">
        <v>184</v>
      </c>
      <c r="C488" s="2" t="s">
        <v>27</v>
      </c>
      <c r="D488" s="2" t="s">
        <v>4700</v>
      </c>
      <c r="E488" s="2" t="s">
        <v>4261</v>
      </c>
      <c r="F488" s="2" t="s">
        <v>8</v>
      </c>
      <c r="G488" s="2" t="n">
        <v>89</v>
      </c>
    </row>
    <row r="489" customFormat="false" ht="15" hidden="false" customHeight="false" outlineLevel="0" collapsed="false">
      <c r="A489" s="2" t="s">
        <v>260</v>
      </c>
      <c r="B489" s="2" t="s">
        <v>184</v>
      </c>
      <c r="C489" s="2" t="s">
        <v>27</v>
      </c>
      <c r="D489" s="2" t="s">
        <v>4701</v>
      </c>
      <c r="E489" s="2" t="s">
        <v>4261</v>
      </c>
      <c r="F489" s="2" t="s">
        <v>8</v>
      </c>
      <c r="G489" s="2" t="n">
        <v>89</v>
      </c>
    </row>
    <row r="490" customFormat="false" ht="15" hidden="false" customHeight="false" outlineLevel="0" collapsed="false">
      <c r="A490" s="2" t="s">
        <v>260</v>
      </c>
      <c r="B490" s="2" t="s">
        <v>184</v>
      </c>
      <c r="C490" s="2" t="s">
        <v>27</v>
      </c>
      <c r="D490" s="2" t="s">
        <v>4702</v>
      </c>
      <c r="E490" s="2" t="s">
        <v>4271</v>
      </c>
      <c r="F490" s="2" t="s">
        <v>8</v>
      </c>
      <c r="G490" s="2" t="n">
        <v>89</v>
      </c>
    </row>
    <row r="491" customFormat="false" ht="15" hidden="false" customHeight="false" outlineLevel="0" collapsed="false">
      <c r="A491" s="2" t="s">
        <v>260</v>
      </c>
      <c r="B491" s="2" t="s">
        <v>184</v>
      </c>
      <c r="C491" s="2" t="s">
        <v>27</v>
      </c>
      <c r="D491" s="2" t="s">
        <v>4703</v>
      </c>
      <c r="E491" s="2" t="s">
        <v>4261</v>
      </c>
      <c r="F491" s="2" t="s">
        <v>8</v>
      </c>
      <c r="G491" s="2" t="n">
        <v>89</v>
      </c>
    </row>
    <row r="492" customFormat="false" ht="15" hidden="false" customHeight="false" outlineLevel="0" collapsed="false">
      <c r="A492" s="2" t="s">
        <v>260</v>
      </c>
      <c r="B492" s="2" t="s">
        <v>184</v>
      </c>
      <c r="C492" s="2" t="s">
        <v>27</v>
      </c>
      <c r="D492" s="2" t="s">
        <v>187</v>
      </c>
      <c r="E492" s="2" t="s">
        <v>4271</v>
      </c>
      <c r="F492" s="2" t="s">
        <v>8</v>
      </c>
      <c r="G492" s="2" t="n">
        <v>89</v>
      </c>
    </row>
    <row r="493" customFormat="false" ht="15" hidden="false" customHeight="false" outlineLevel="0" collapsed="false">
      <c r="A493" s="2" t="s">
        <v>260</v>
      </c>
      <c r="B493" s="2" t="s">
        <v>184</v>
      </c>
      <c r="C493" s="2" t="s">
        <v>27</v>
      </c>
      <c r="D493" s="2" t="s">
        <v>4704</v>
      </c>
      <c r="E493" s="2" t="s">
        <v>4261</v>
      </c>
      <c r="F493" s="2" t="s">
        <v>8</v>
      </c>
      <c r="G493" s="2" t="n">
        <v>89</v>
      </c>
    </row>
    <row r="494" customFormat="false" ht="15" hidden="false" customHeight="false" outlineLevel="0" collapsed="false">
      <c r="A494" s="2" t="s">
        <v>262</v>
      </c>
      <c r="B494" s="2" t="s">
        <v>263</v>
      </c>
      <c r="C494" s="2" t="s">
        <v>27</v>
      </c>
      <c r="D494" s="2" t="s">
        <v>4705</v>
      </c>
      <c r="E494" s="2" t="s">
        <v>4271</v>
      </c>
      <c r="F494" s="2" t="s">
        <v>8</v>
      </c>
      <c r="G494" s="2" t="n">
        <v>90</v>
      </c>
    </row>
    <row r="495" customFormat="false" ht="15" hidden="false" customHeight="false" outlineLevel="0" collapsed="false">
      <c r="A495" s="2" t="s">
        <v>262</v>
      </c>
      <c r="B495" s="2" t="s">
        <v>263</v>
      </c>
      <c r="C495" s="2" t="s">
        <v>27</v>
      </c>
      <c r="D495" s="2" t="s">
        <v>4706</v>
      </c>
      <c r="E495" s="2" t="s">
        <v>4271</v>
      </c>
      <c r="F495" s="2" t="s">
        <v>8</v>
      </c>
      <c r="G495" s="2" t="n">
        <v>90</v>
      </c>
    </row>
    <row r="496" customFormat="false" ht="15" hidden="false" customHeight="false" outlineLevel="0" collapsed="false">
      <c r="A496" s="2" t="s">
        <v>262</v>
      </c>
      <c r="B496" s="2" t="s">
        <v>263</v>
      </c>
      <c r="C496" s="2" t="s">
        <v>27</v>
      </c>
      <c r="D496" s="2" t="s">
        <v>4707</v>
      </c>
      <c r="E496" s="2" t="s">
        <v>4271</v>
      </c>
      <c r="F496" s="2" t="s">
        <v>8</v>
      </c>
      <c r="G496" s="2" t="n">
        <v>90</v>
      </c>
    </row>
    <row r="497" customFormat="false" ht="15" hidden="false" customHeight="false" outlineLevel="0" collapsed="false">
      <c r="A497" s="2" t="s">
        <v>262</v>
      </c>
      <c r="B497" s="2" t="s">
        <v>263</v>
      </c>
      <c r="C497" s="2" t="s">
        <v>27</v>
      </c>
      <c r="D497" s="2" t="s">
        <v>4708</v>
      </c>
      <c r="E497" s="2" t="s">
        <v>4271</v>
      </c>
      <c r="F497" s="2" t="s">
        <v>8</v>
      </c>
      <c r="G497" s="2" t="n">
        <v>90</v>
      </c>
    </row>
    <row r="498" customFormat="false" ht="15" hidden="false" customHeight="false" outlineLevel="0" collapsed="false">
      <c r="A498" s="2" t="s">
        <v>262</v>
      </c>
      <c r="B498" s="2" t="s">
        <v>263</v>
      </c>
      <c r="C498" s="2" t="s">
        <v>27</v>
      </c>
      <c r="D498" s="2" t="s">
        <v>4709</v>
      </c>
      <c r="E498" s="2" t="s">
        <v>4271</v>
      </c>
      <c r="F498" s="2" t="s">
        <v>8</v>
      </c>
      <c r="G498" s="2" t="n">
        <v>90</v>
      </c>
    </row>
    <row r="499" customFormat="false" ht="15" hidden="false" customHeight="false" outlineLevel="0" collapsed="false">
      <c r="A499" s="2" t="s">
        <v>262</v>
      </c>
      <c r="B499" s="2" t="s">
        <v>263</v>
      </c>
      <c r="C499" s="2" t="s">
        <v>27</v>
      </c>
      <c r="D499" s="2" t="s">
        <v>4710</v>
      </c>
      <c r="E499" s="2" t="s">
        <v>4261</v>
      </c>
      <c r="F499" s="2" t="s">
        <v>8</v>
      </c>
      <c r="G499" s="2" t="n">
        <v>90</v>
      </c>
    </row>
    <row r="500" customFormat="false" ht="15" hidden="false" customHeight="false" outlineLevel="0" collapsed="false">
      <c r="A500" s="2" t="s">
        <v>262</v>
      </c>
      <c r="B500" s="2" t="s">
        <v>263</v>
      </c>
      <c r="C500" s="2" t="s">
        <v>27</v>
      </c>
      <c r="D500" s="2" t="s">
        <v>1629</v>
      </c>
      <c r="E500" s="2" t="s">
        <v>4271</v>
      </c>
      <c r="F500" s="2" t="s">
        <v>8</v>
      </c>
      <c r="G500" s="2" t="n">
        <v>90</v>
      </c>
    </row>
    <row r="501" customFormat="false" ht="15" hidden="false" customHeight="false" outlineLevel="0" collapsed="false">
      <c r="A501" s="2" t="s">
        <v>262</v>
      </c>
      <c r="B501" s="2" t="s">
        <v>263</v>
      </c>
      <c r="C501" s="2" t="s">
        <v>27</v>
      </c>
      <c r="D501" s="2" t="s">
        <v>4711</v>
      </c>
      <c r="E501" s="2" t="s">
        <v>4271</v>
      </c>
      <c r="F501" s="2" t="s">
        <v>8</v>
      </c>
      <c r="G501" s="2" t="n">
        <v>90</v>
      </c>
    </row>
    <row r="502" customFormat="false" ht="15" hidden="false" customHeight="false" outlineLevel="0" collapsed="false">
      <c r="A502" s="2" t="s">
        <v>262</v>
      </c>
      <c r="B502" s="2" t="s">
        <v>263</v>
      </c>
      <c r="C502" s="2" t="s">
        <v>27</v>
      </c>
      <c r="D502" s="2" t="s">
        <v>4712</v>
      </c>
      <c r="E502" s="2" t="s">
        <v>4271</v>
      </c>
      <c r="F502" s="2" t="s">
        <v>8</v>
      </c>
      <c r="G502" s="2" t="n">
        <v>90</v>
      </c>
    </row>
    <row r="503" customFormat="false" ht="15" hidden="false" customHeight="false" outlineLevel="0" collapsed="false">
      <c r="A503" s="2" t="s">
        <v>262</v>
      </c>
      <c r="B503" s="2" t="s">
        <v>263</v>
      </c>
      <c r="C503" s="2" t="s">
        <v>27</v>
      </c>
      <c r="D503" s="2" t="s">
        <v>4713</v>
      </c>
      <c r="E503" s="2" t="s">
        <v>4261</v>
      </c>
      <c r="F503" s="2" t="s">
        <v>8</v>
      </c>
      <c r="G503" s="2" t="n">
        <v>90</v>
      </c>
    </row>
    <row r="504" customFormat="false" ht="15" hidden="false" customHeight="false" outlineLevel="0" collapsed="false">
      <c r="A504" s="2" t="s">
        <v>262</v>
      </c>
      <c r="B504" s="2" t="s">
        <v>263</v>
      </c>
      <c r="C504" s="2" t="s">
        <v>27</v>
      </c>
      <c r="D504" s="2" t="s">
        <v>4714</v>
      </c>
      <c r="E504" s="2" t="s">
        <v>4271</v>
      </c>
      <c r="F504" s="2" t="s">
        <v>8</v>
      </c>
      <c r="G504" s="2" t="n">
        <v>90</v>
      </c>
    </row>
    <row r="505" customFormat="false" ht="15" hidden="false" customHeight="false" outlineLevel="0" collapsed="false">
      <c r="A505" s="2" t="s">
        <v>262</v>
      </c>
      <c r="B505" s="2" t="s">
        <v>263</v>
      </c>
      <c r="C505" s="2" t="s">
        <v>27</v>
      </c>
      <c r="D505" s="2" t="s">
        <v>4715</v>
      </c>
      <c r="E505" s="2" t="s">
        <v>4261</v>
      </c>
      <c r="F505" s="2" t="s">
        <v>8</v>
      </c>
      <c r="G505" s="2" t="n">
        <v>90</v>
      </c>
    </row>
    <row r="506" customFormat="false" ht="15" hidden="false" customHeight="false" outlineLevel="0" collapsed="false">
      <c r="A506" s="2" t="s">
        <v>267</v>
      </c>
      <c r="B506" s="2" t="s">
        <v>34</v>
      </c>
      <c r="C506" s="2" t="s">
        <v>34</v>
      </c>
      <c r="D506" s="2" t="s">
        <v>4716</v>
      </c>
      <c r="E506" s="2" t="s">
        <v>4261</v>
      </c>
      <c r="F506" s="2" t="s">
        <v>8</v>
      </c>
      <c r="G506" s="2" t="n">
        <v>92</v>
      </c>
    </row>
    <row r="507" customFormat="false" ht="15" hidden="false" customHeight="false" outlineLevel="0" collapsed="false">
      <c r="A507" s="2" t="s">
        <v>267</v>
      </c>
      <c r="B507" s="2" t="s">
        <v>34</v>
      </c>
      <c r="C507" s="2" t="s">
        <v>34</v>
      </c>
      <c r="D507" s="2" t="s">
        <v>4717</v>
      </c>
      <c r="E507" s="2" t="s">
        <v>4261</v>
      </c>
      <c r="F507" s="2" t="s">
        <v>8</v>
      </c>
      <c r="G507" s="2" t="n">
        <v>92</v>
      </c>
    </row>
    <row r="508" customFormat="false" ht="15" hidden="false" customHeight="false" outlineLevel="0" collapsed="false">
      <c r="A508" s="2" t="s">
        <v>267</v>
      </c>
      <c r="B508" s="2" t="s">
        <v>34</v>
      </c>
      <c r="C508" s="2" t="s">
        <v>34</v>
      </c>
      <c r="D508" s="2" t="s">
        <v>4718</v>
      </c>
      <c r="E508" s="2" t="s">
        <v>4261</v>
      </c>
      <c r="F508" s="2" t="s">
        <v>8</v>
      </c>
      <c r="G508" s="2" t="n">
        <v>92</v>
      </c>
    </row>
    <row r="509" customFormat="false" ht="15" hidden="false" customHeight="false" outlineLevel="0" collapsed="false">
      <c r="A509" s="2" t="s">
        <v>267</v>
      </c>
      <c r="B509" s="2" t="s">
        <v>34</v>
      </c>
      <c r="C509" s="2" t="s">
        <v>34</v>
      </c>
      <c r="D509" s="2" t="s">
        <v>4719</v>
      </c>
      <c r="E509" s="2" t="s">
        <v>4261</v>
      </c>
      <c r="F509" s="2" t="s">
        <v>8</v>
      </c>
      <c r="G509" s="2" t="n">
        <v>92</v>
      </c>
    </row>
    <row r="510" customFormat="false" ht="15" hidden="false" customHeight="false" outlineLevel="0" collapsed="false">
      <c r="A510" s="2" t="s">
        <v>267</v>
      </c>
      <c r="B510" s="2" t="s">
        <v>34</v>
      </c>
      <c r="C510" s="2" t="s">
        <v>34</v>
      </c>
      <c r="D510" s="2" t="s">
        <v>4720</v>
      </c>
      <c r="E510" s="2" t="s">
        <v>4261</v>
      </c>
      <c r="F510" s="2" t="s">
        <v>8</v>
      </c>
      <c r="G510" s="2" t="n">
        <v>92</v>
      </c>
    </row>
    <row r="511" customFormat="false" ht="15" hidden="false" customHeight="false" outlineLevel="0" collapsed="false">
      <c r="A511" s="2" t="s">
        <v>267</v>
      </c>
      <c r="B511" s="2" t="s">
        <v>34</v>
      </c>
      <c r="C511" s="2" t="s">
        <v>34</v>
      </c>
      <c r="D511" s="2" t="s">
        <v>4721</v>
      </c>
      <c r="E511" s="2" t="s">
        <v>4261</v>
      </c>
      <c r="F511" s="2" t="s">
        <v>8</v>
      </c>
      <c r="G511" s="2" t="n">
        <v>92</v>
      </c>
    </row>
    <row r="512" customFormat="false" ht="15" hidden="false" customHeight="false" outlineLevel="0" collapsed="false">
      <c r="A512" s="2" t="s">
        <v>271</v>
      </c>
      <c r="B512" s="2" t="s">
        <v>272</v>
      </c>
      <c r="C512" s="2" t="s">
        <v>273</v>
      </c>
      <c r="D512" s="2" t="s">
        <v>4722</v>
      </c>
      <c r="E512" s="2" t="s">
        <v>4261</v>
      </c>
      <c r="F512" s="2" t="s">
        <v>8</v>
      </c>
      <c r="G512" s="2" t="n">
        <v>94</v>
      </c>
    </row>
    <row r="513" customFormat="false" ht="15" hidden="false" customHeight="false" outlineLevel="0" collapsed="false">
      <c r="A513" s="2" t="s">
        <v>271</v>
      </c>
      <c r="B513" s="2" t="s">
        <v>272</v>
      </c>
      <c r="C513" s="2" t="s">
        <v>273</v>
      </c>
      <c r="D513" s="2" t="s">
        <v>4723</v>
      </c>
      <c r="E513" s="2" t="s">
        <v>4261</v>
      </c>
      <c r="F513" s="2" t="s">
        <v>8</v>
      </c>
      <c r="G513" s="2" t="n">
        <v>94</v>
      </c>
    </row>
    <row r="514" customFormat="false" ht="15" hidden="false" customHeight="false" outlineLevel="0" collapsed="false">
      <c r="A514" s="2" t="s">
        <v>271</v>
      </c>
      <c r="B514" s="2" t="s">
        <v>272</v>
      </c>
      <c r="C514" s="2" t="s">
        <v>273</v>
      </c>
      <c r="D514" s="2" t="s">
        <v>4724</v>
      </c>
      <c r="E514" s="2" t="s">
        <v>4261</v>
      </c>
      <c r="F514" s="2" t="s">
        <v>8</v>
      </c>
      <c r="G514" s="2" t="n">
        <v>94</v>
      </c>
    </row>
    <row r="515" customFormat="false" ht="15" hidden="false" customHeight="false" outlineLevel="0" collapsed="false">
      <c r="A515" s="2" t="s">
        <v>271</v>
      </c>
      <c r="B515" s="2" t="s">
        <v>272</v>
      </c>
      <c r="C515" s="2" t="s">
        <v>273</v>
      </c>
      <c r="D515" s="2" t="s">
        <v>4725</v>
      </c>
      <c r="E515" s="2" t="s">
        <v>4261</v>
      </c>
      <c r="F515" s="2" t="s">
        <v>8</v>
      </c>
      <c r="G515" s="2" t="n">
        <v>94</v>
      </c>
    </row>
    <row r="516" customFormat="false" ht="15" hidden="false" customHeight="false" outlineLevel="0" collapsed="false">
      <c r="A516" s="2" t="s">
        <v>277</v>
      </c>
      <c r="B516" s="2" t="s">
        <v>278</v>
      </c>
      <c r="C516" s="2" t="s">
        <v>70</v>
      </c>
      <c r="D516" s="2" t="s">
        <v>4726</v>
      </c>
      <c r="E516" s="2" t="s">
        <v>4261</v>
      </c>
      <c r="F516" s="2" t="s">
        <v>8</v>
      </c>
      <c r="G516" s="2" t="n">
        <v>96</v>
      </c>
    </row>
    <row r="517" customFormat="false" ht="15" hidden="false" customHeight="false" outlineLevel="0" collapsed="false">
      <c r="A517" s="2" t="s">
        <v>277</v>
      </c>
      <c r="B517" s="2" t="s">
        <v>278</v>
      </c>
      <c r="C517" s="2" t="s">
        <v>70</v>
      </c>
      <c r="D517" s="2" t="s">
        <v>4727</v>
      </c>
      <c r="E517" s="2" t="s">
        <v>4261</v>
      </c>
      <c r="F517" s="2" t="s">
        <v>8</v>
      </c>
      <c r="G517" s="2" t="n">
        <v>96</v>
      </c>
    </row>
    <row r="518" customFormat="false" ht="15" hidden="false" customHeight="false" outlineLevel="0" collapsed="false">
      <c r="A518" s="2" t="s">
        <v>277</v>
      </c>
      <c r="B518" s="2" t="s">
        <v>278</v>
      </c>
      <c r="C518" s="2" t="s">
        <v>70</v>
      </c>
      <c r="D518" s="2" t="s">
        <v>4728</v>
      </c>
      <c r="E518" s="2" t="s">
        <v>4271</v>
      </c>
      <c r="F518" s="2" t="s">
        <v>8</v>
      </c>
      <c r="G518" s="2" t="n">
        <v>96</v>
      </c>
    </row>
    <row r="519" customFormat="false" ht="15" hidden="false" customHeight="false" outlineLevel="0" collapsed="false">
      <c r="A519" s="2" t="s">
        <v>281</v>
      </c>
      <c r="B519" s="2" t="s">
        <v>197</v>
      </c>
      <c r="C519" s="2" t="s">
        <v>197</v>
      </c>
      <c r="D519" s="2" t="s">
        <v>4729</v>
      </c>
      <c r="E519" s="2" t="s">
        <v>4271</v>
      </c>
      <c r="F519" s="2" t="s">
        <v>8</v>
      </c>
      <c r="G519" s="2" t="n">
        <v>98</v>
      </c>
    </row>
    <row r="520" customFormat="false" ht="15" hidden="false" customHeight="false" outlineLevel="0" collapsed="false">
      <c r="A520" s="2" t="s">
        <v>281</v>
      </c>
      <c r="B520" s="2" t="s">
        <v>197</v>
      </c>
      <c r="C520" s="2" t="s">
        <v>197</v>
      </c>
      <c r="D520" s="2" t="s">
        <v>4730</v>
      </c>
      <c r="E520" s="2" t="s">
        <v>4261</v>
      </c>
      <c r="F520" s="2" t="s">
        <v>8</v>
      </c>
      <c r="G520" s="2" t="n">
        <v>98</v>
      </c>
    </row>
    <row r="521" customFormat="false" ht="15" hidden="false" customHeight="false" outlineLevel="0" collapsed="false">
      <c r="A521" s="2" t="s">
        <v>281</v>
      </c>
      <c r="B521" s="2" t="s">
        <v>197</v>
      </c>
      <c r="C521" s="2" t="s">
        <v>197</v>
      </c>
      <c r="D521" s="2" t="s">
        <v>2776</v>
      </c>
      <c r="E521" s="2" t="s">
        <v>4271</v>
      </c>
      <c r="F521" s="2" t="s">
        <v>8</v>
      </c>
      <c r="G521" s="2" t="n">
        <v>98</v>
      </c>
    </row>
    <row r="522" customFormat="false" ht="15" hidden="false" customHeight="false" outlineLevel="0" collapsed="false">
      <c r="A522" s="2" t="s">
        <v>283</v>
      </c>
      <c r="B522" s="2" t="s">
        <v>44</v>
      </c>
      <c r="C522" s="2" t="s">
        <v>44</v>
      </c>
      <c r="D522" s="2" t="s">
        <v>4731</v>
      </c>
      <c r="E522" s="2" t="s">
        <v>4264</v>
      </c>
      <c r="F522" s="2" t="s">
        <v>8</v>
      </c>
      <c r="G522" s="2" t="n">
        <v>99</v>
      </c>
    </row>
    <row r="523" customFormat="false" ht="15" hidden="false" customHeight="false" outlineLevel="0" collapsed="false">
      <c r="A523" s="2" t="s">
        <v>283</v>
      </c>
      <c r="B523" s="2" t="s">
        <v>44</v>
      </c>
      <c r="C523" s="2" t="s">
        <v>44</v>
      </c>
      <c r="D523" s="2" t="s">
        <v>4732</v>
      </c>
      <c r="E523" s="2" t="s">
        <v>4261</v>
      </c>
      <c r="F523" s="2" t="s">
        <v>8</v>
      </c>
      <c r="G523" s="2" t="n">
        <v>99</v>
      </c>
    </row>
    <row r="524" customFormat="false" ht="15" hidden="false" customHeight="false" outlineLevel="0" collapsed="false">
      <c r="A524" s="2" t="s">
        <v>283</v>
      </c>
      <c r="B524" s="2" t="s">
        <v>44</v>
      </c>
      <c r="C524" s="2" t="s">
        <v>44</v>
      </c>
      <c r="D524" s="2" t="s">
        <v>4733</v>
      </c>
      <c r="E524" s="2" t="s">
        <v>4261</v>
      </c>
      <c r="F524" s="2" t="s">
        <v>8</v>
      </c>
      <c r="G524" s="2" t="n">
        <v>99</v>
      </c>
    </row>
    <row r="525" customFormat="false" ht="15" hidden="false" customHeight="false" outlineLevel="0" collapsed="false">
      <c r="A525" s="2" t="s">
        <v>283</v>
      </c>
      <c r="B525" s="2" t="s">
        <v>44</v>
      </c>
      <c r="C525" s="2" t="s">
        <v>44</v>
      </c>
      <c r="D525" s="2" t="s">
        <v>4734</v>
      </c>
      <c r="E525" s="2" t="s">
        <v>4261</v>
      </c>
      <c r="F525" s="2" t="s">
        <v>8</v>
      </c>
      <c r="G525" s="2" t="n">
        <v>99</v>
      </c>
    </row>
    <row r="526" customFormat="false" ht="15" hidden="false" customHeight="false" outlineLevel="0" collapsed="false">
      <c r="A526" s="2" t="s">
        <v>283</v>
      </c>
      <c r="B526" s="2" t="s">
        <v>44</v>
      </c>
      <c r="C526" s="2" t="s">
        <v>44</v>
      </c>
      <c r="D526" s="2" t="s">
        <v>4735</v>
      </c>
      <c r="E526" s="2" t="s">
        <v>4264</v>
      </c>
      <c r="F526" s="2" t="s">
        <v>8</v>
      </c>
      <c r="G526" s="2" t="n">
        <v>99</v>
      </c>
    </row>
    <row r="527" customFormat="false" ht="15" hidden="false" customHeight="false" outlineLevel="0" collapsed="false">
      <c r="A527" s="2" t="s">
        <v>283</v>
      </c>
      <c r="B527" s="2" t="s">
        <v>44</v>
      </c>
      <c r="C527" s="2" t="s">
        <v>44</v>
      </c>
      <c r="D527" s="2" t="s">
        <v>4736</v>
      </c>
      <c r="E527" s="2" t="s">
        <v>4261</v>
      </c>
      <c r="F527" s="2" t="s">
        <v>8</v>
      </c>
      <c r="G527" s="2" t="n">
        <v>99</v>
      </c>
    </row>
    <row r="528" customFormat="false" ht="15" hidden="false" customHeight="false" outlineLevel="0" collapsed="false">
      <c r="A528" s="2" t="s">
        <v>283</v>
      </c>
      <c r="B528" s="2" t="s">
        <v>44</v>
      </c>
      <c r="C528" s="2" t="s">
        <v>44</v>
      </c>
      <c r="D528" s="2" t="s">
        <v>4737</v>
      </c>
      <c r="E528" s="2" t="s">
        <v>4264</v>
      </c>
      <c r="F528" s="2" t="s">
        <v>8</v>
      </c>
      <c r="G528" s="2" t="n">
        <v>99</v>
      </c>
    </row>
    <row r="529" customFormat="false" ht="15" hidden="false" customHeight="false" outlineLevel="0" collapsed="false">
      <c r="A529" s="2" t="s">
        <v>283</v>
      </c>
      <c r="B529" s="2" t="s">
        <v>44</v>
      </c>
      <c r="C529" s="2" t="s">
        <v>44</v>
      </c>
      <c r="D529" s="2" t="s">
        <v>4738</v>
      </c>
      <c r="E529" s="2" t="s">
        <v>4261</v>
      </c>
      <c r="F529" s="2" t="s">
        <v>8</v>
      </c>
      <c r="G529" s="2" t="n">
        <v>99</v>
      </c>
    </row>
    <row r="530" customFormat="false" ht="15" hidden="false" customHeight="false" outlineLevel="0" collapsed="false">
      <c r="A530" s="2" t="s">
        <v>283</v>
      </c>
      <c r="B530" s="2" t="s">
        <v>44</v>
      </c>
      <c r="C530" s="2" t="s">
        <v>44</v>
      </c>
      <c r="D530" s="2" t="s">
        <v>1016</v>
      </c>
      <c r="E530" s="2" t="s">
        <v>4271</v>
      </c>
      <c r="F530" s="2" t="s">
        <v>8</v>
      </c>
      <c r="G530" s="2" t="n">
        <v>99</v>
      </c>
    </row>
    <row r="531" customFormat="false" ht="15" hidden="false" customHeight="false" outlineLevel="0" collapsed="false">
      <c r="A531" s="2" t="s">
        <v>283</v>
      </c>
      <c r="B531" s="2" t="s">
        <v>44</v>
      </c>
      <c r="C531" s="2" t="s">
        <v>44</v>
      </c>
      <c r="D531" s="2" t="s">
        <v>4739</v>
      </c>
      <c r="E531" s="2" t="s">
        <v>4261</v>
      </c>
      <c r="F531" s="2" t="s">
        <v>8</v>
      </c>
      <c r="G531" s="2" t="n">
        <v>99</v>
      </c>
    </row>
    <row r="532" customFormat="false" ht="15" hidden="false" customHeight="false" outlineLevel="0" collapsed="false">
      <c r="A532" s="2" t="s">
        <v>283</v>
      </c>
      <c r="B532" s="2" t="s">
        <v>44</v>
      </c>
      <c r="C532" s="2" t="s">
        <v>44</v>
      </c>
      <c r="D532" s="2" t="s">
        <v>4740</v>
      </c>
      <c r="E532" s="2" t="s">
        <v>4261</v>
      </c>
      <c r="F532" s="2" t="s">
        <v>8</v>
      </c>
      <c r="G532" s="2" t="n">
        <v>99</v>
      </c>
    </row>
    <row r="533" customFormat="false" ht="15" hidden="false" customHeight="false" outlineLevel="0" collapsed="false">
      <c r="A533" s="2" t="s">
        <v>283</v>
      </c>
      <c r="B533" s="2" t="s">
        <v>44</v>
      </c>
      <c r="C533" s="2" t="s">
        <v>44</v>
      </c>
      <c r="D533" s="2" t="s">
        <v>4741</v>
      </c>
      <c r="E533" s="2" t="s">
        <v>4264</v>
      </c>
      <c r="F533" s="2" t="s">
        <v>8</v>
      </c>
      <c r="G533" s="2" t="n">
        <v>99</v>
      </c>
    </row>
    <row r="534" customFormat="false" ht="15" hidden="false" customHeight="false" outlineLevel="0" collapsed="false">
      <c r="A534" s="2" t="s">
        <v>283</v>
      </c>
      <c r="B534" s="2" t="s">
        <v>44</v>
      </c>
      <c r="C534" s="2" t="s">
        <v>44</v>
      </c>
      <c r="D534" s="2" t="s">
        <v>4742</v>
      </c>
      <c r="E534" s="2" t="s">
        <v>4264</v>
      </c>
      <c r="F534" s="2" t="s">
        <v>8</v>
      </c>
      <c r="G534" s="2" t="n">
        <v>99</v>
      </c>
    </row>
    <row r="535" customFormat="false" ht="15" hidden="false" customHeight="false" outlineLevel="0" collapsed="false">
      <c r="A535" s="2" t="s">
        <v>283</v>
      </c>
      <c r="B535" s="2" t="s">
        <v>44</v>
      </c>
      <c r="C535" s="2" t="s">
        <v>44</v>
      </c>
      <c r="D535" s="2" t="s">
        <v>4743</v>
      </c>
      <c r="E535" s="2" t="s">
        <v>4264</v>
      </c>
      <c r="F535" s="2" t="s">
        <v>8</v>
      </c>
      <c r="G535" s="2" t="n">
        <v>99</v>
      </c>
    </row>
    <row r="536" customFormat="false" ht="15" hidden="false" customHeight="false" outlineLevel="0" collapsed="false">
      <c r="A536" s="2" t="s">
        <v>283</v>
      </c>
      <c r="B536" s="2" t="s">
        <v>44</v>
      </c>
      <c r="C536" s="2" t="s">
        <v>44</v>
      </c>
      <c r="D536" s="2" t="s">
        <v>4744</v>
      </c>
      <c r="E536" s="2" t="s">
        <v>4261</v>
      </c>
      <c r="F536" s="2" t="s">
        <v>8</v>
      </c>
      <c r="G536" s="2" t="n">
        <v>99</v>
      </c>
    </row>
    <row r="537" customFormat="false" ht="15" hidden="false" customHeight="false" outlineLevel="0" collapsed="false">
      <c r="A537" s="2" t="s">
        <v>283</v>
      </c>
      <c r="B537" s="2" t="s">
        <v>44</v>
      </c>
      <c r="C537" s="2" t="s">
        <v>44</v>
      </c>
      <c r="D537" s="2" t="s">
        <v>4745</v>
      </c>
      <c r="E537" s="2" t="s">
        <v>4261</v>
      </c>
      <c r="F537" s="2" t="s">
        <v>8</v>
      </c>
      <c r="G537" s="2" t="n">
        <v>99</v>
      </c>
    </row>
    <row r="538" customFormat="false" ht="15" hidden="false" customHeight="false" outlineLevel="0" collapsed="false">
      <c r="A538" s="2" t="s">
        <v>283</v>
      </c>
      <c r="B538" s="2" t="s">
        <v>44</v>
      </c>
      <c r="C538" s="2" t="s">
        <v>44</v>
      </c>
      <c r="D538" s="2" t="s">
        <v>4746</v>
      </c>
      <c r="E538" s="2" t="s">
        <v>4261</v>
      </c>
      <c r="F538" s="2" t="s">
        <v>8</v>
      </c>
      <c r="G538" s="2" t="n">
        <v>99</v>
      </c>
    </row>
    <row r="539" customFormat="false" ht="15" hidden="false" customHeight="false" outlineLevel="0" collapsed="false">
      <c r="A539" s="2" t="s">
        <v>283</v>
      </c>
      <c r="B539" s="2" t="s">
        <v>44</v>
      </c>
      <c r="C539" s="2" t="s">
        <v>44</v>
      </c>
      <c r="D539" s="2" t="s">
        <v>4747</v>
      </c>
      <c r="E539" s="2" t="s">
        <v>4264</v>
      </c>
      <c r="F539" s="2" t="s">
        <v>8</v>
      </c>
      <c r="G539" s="2" t="n">
        <v>99</v>
      </c>
    </row>
    <row r="540" customFormat="false" ht="15" hidden="false" customHeight="false" outlineLevel="0" collapsed="false">
      <c r="A540" s="2" t="s">
        <v>283</v>
      </c>
      <c r="B540" s="2" t="s">
        <v>44</v>
      </c>
      <c r="C540" s="2" t="s">
        <v>44</v>
      </c>
      <c r="D540" s="2" t="s">
        <v>4748</v>
      </c>
      <c r="E540" s="2" t="s">
        <v>4264</v>
      </c>
      <c r="F540" s="2" t="s">
        <v>8</v>
      </c>
      <c r="G540" s="2" t="n">
        <v>99</v>
      </c>
    </row>
    <row r="541" customFormat="false" ht="15" hidden="false" customHeight="false" outlineLevel="0" collapsed="false">
      <c r="A541" s="2" t="s">
        <v>283</v>
      </c>
      <c r="B541" s="2" t="s">
        <v>44</v>
      </c>
      <c r="C541" s="2" t="s">
        <v>44</v>
      </c>
      <c r="D541" s="2" t="s">
        <v>4749</v>
      </c>
      <c r="E541" s="2" t="s">
        <v>4261</v>
      </c>
      <c r="F541" s="2" t="s">
        <v>8</v>
      </c>
      <c r="G541" s="2" t="n">
        <v>99</v>
      </c>
    </row>
    <row r="542" customFormat="false" ht="15" hidden="false" customHeight="false" outlineLevel="0" collapsed="false">
      <c r="A542" s="2" t="s">
        <v>283</v>
      </c>
      <c r="B542" s="2" t="s">
        <v>44</v>
      </c>
      <c r="C542" s="2" t="s">
        <v>44</v>
      </c>
      <c r="D542" s="2" t="s">
        <v>4750</v>
      </c>
      <c r="E542" s="2" t="s">
        <v>4264</v>
      </c>
      <c r="F542" s="2" t="s">
        <v>8</v>
      </c>
      <c r="G542" s="2" t="n">
        <v>99</v>
      </c>
    </row>
    <row r="543" customFormat="false" ht="15" hidden="false" customHeight="false" outlineLevel="0" collapsed="false">
      <c r="A543" s="2" t="s">
        <v>283</v>
      </c>
      <c r="B543" s="2" t="s">
        <v>44</v>
      </c>
      <c r="C543" s="2" t="s">
        <v>44</v>
      </c>
      <c r="D543" s="2" t="s">
        <v>4751</v>
      </c>
      <c r="E543" s="2" t="s">
        <v>4271</v>
      </c>
      <c r="F543" s="2" t="s">
        <v>8</v>
      </c>
      <c r="G543" s="2" t="n">
        <v>99</v>
      </c>
    </row>
    <row r="544" customFormat="false" ht="15" hidden="false" customHeight="false" outlineLevel="0" collapsed="false">
      <c r="A544" s="2" t="s">
        <v>283</v>
      </c>
      <c r="B544" s="2" t="s">
        <v>44</v>
      </c>
      <c r="C544" s="2" t="s">
        <v>44</v>
      </c>
      <c r="D544" s="2" t="s">
        <v>4752</v>
      </c>
      <c r="E544" s="2" t="s">
        <v>4264</v>
      </c>
      <c r="F544" s="2" t="s">
        <v>8</v>
      </c>
      <c r="G544" s="2" t="n">
        <v>99</v>
      </c>
    </row>
    <row r="545" customFormat="false" ht="15" hidden="false" customHeight="false" outlineLevel="0" collapsed="false">
      <c r="A545" s="2" t="s">
        <v>283</v>
      </c>
      <c r="B545" s="2" t="s">
        <v>44</v>
      </c>
      <c r="C545" s="2" t="s">
        <v>44</v>
      </c>
      <c r="D545" s="2" t="s">
        <v>4753</v>
      </c>
      <c r="E545" s="2" t="s">
        <v>4261</v>
      </c>
      <c r="F545" s="2" t="s">
        <v>8</v>
      </c>
      <c r="G545" s="2" t="n">
        <v>99</v>
      </c>
    </row>
    <row r="546" customFormat="false" ht="15" hidden="false" customHeight="false" outlineLevel="0" collapsed="false">
      <c r="A546" s="2" t="s">
        <v>283</v>
      </c>
      <c r="B546" s="2" t="s">
        <v>44</v>
      </c>
      <c r="C546" s="2" t="s">
        <v>44</v>
      </c>
      <c r="D546" s="2" t="s">
        <v>4754</v>
      </c>
      <c r="E546" s="2" t="s">
        <v>4261</v>
      </c>
      <c r="F546" s="2" t="s">
        <v>8</v>
      </c>
      <c r="G546" s="2" t="n">
        <v>99</v>
      </c>
    </row>
    <row r="547" customFormat="false" ht="15" hidden="false" customHeight="false" outlineLevel="0" collapsed="false">
      <c r="A547" s="2" t="s">
        <v>283</v>
      </c>
      <c r="B547" s="2" t="s">
        <v>44</v>
      </c>
      <c r="C547" s="2" t="s">
        <v>44</v>
      </c>
      <c r="D547" s="2" t="s">
        <v>4755</v>
      </c>
      <c r="E547" s="2" t="s">
        <v>4264</v>
      </c>
      <c r="F547" s="2" t="s">
        <v>8</v>
      </c>
      <c r="G547" s="2" t="n">
        <v>99</v>
      </c>
    </row>
    <row r="548" customFormat="false" ht="15" hidden="false" customHeight="false" outlineLevel="0" collapsed="false">
      <c r="A548" s="2" t="s">
        <v>283</v>
      </c>
      <c r="B548" s="2" t="s">
        <v>44</v>
      </c>
      <c r="C548" s="2" t="s">
        <v>44</v>
      </c>
      <c r="D548" s="2" t="s">
        <v>4756</v>
      </c>
      <c r="E548" s="2" t="s">
        <v>4264</v>
      </c>
      <c r="F548" s="2" t="s">
        <v>8</v>
      </c>
      <c r="G548" s="2" t="n">
        <v>99</v>
      </c>
    </row>
    <row r="549" customFormat="false" ht="15" hidden="false" customHeight="false" outlineLevel="0" collapsed="false">
      <c r="A549" s="2" t="s">
        <v>283</v>
      </c>
      <c r="B549" s="2" t="s">
        <v>44</v>
      </c>
      <c r="C549" s="2" t="s">
        <v>44</v>
      </c>
      <c r="D549" s="2" t="s">
        <v>4757</v>
      </c>
      <c r="E549" s="2" t="s">
        <v>4264</v>
      </c>
      <c r="F549" s="2" t="s">
        <v>8</v>
      </c>
      <c r="G549" s="2" t="n">
        <v>99</v>
      </c>
    </row>
    <row r="550" customFormat="false" ht="15" hidden="false" customHeight="false" outlineLevel="0" collapsed="false">
      <c r="A550" s="2" t="s">
        <v>283</v>
      </c>
      <c r="B550" s="2" t="s">
        <v>44</v>
      </c>
      <c r="C550" s="2" t="s">
        <v>44</v>
      </c>
      <c r="D550" s="2" t="s">
        <v>4758</v>
      </c>
      <c r="E550" s="2" t="s">
        <v>4261</v>
      </c>
      <c r="F550" s="2" t="s">
        <v>8</v>
      </c>
      <c r="G550" s="2" t="n">
        <v>99</v>
      </c>
    </row>
    <row r="551" customFormat="false" ht="15" hidden="false" customHeight="false" outlineLevel="0" collapsed="false">
      <c r="A551" s="2" t="s">
        <v>283</v>
      </c>
      <c r="B551" s="2" t="s">
        <v>44</v>
      </c>
      <c r="C551" s="2" t="s">
        <v>44</v>
      </c>
      <c r="D551" s="2" t="s">
        <v>2545</v>
      </c>
      <c r="E551" s="2" t="s">
        <v>4261</v>
      </c>
      <c r="F551" s="2" t="s">
        <v>8</v>
      </c>
      <c r="G551" s="2" t="n">
        <v>99</v>
      </c>
    </row>
    <row r="552" customFormat="false" ht="15" hidden="false" customHeight="false" outlineLevel="0" collapsed="false">
      <c r="A552" s="2" t="s">
        <v>283</v>
      </c>
      <c r="B552" s="2" t="s">
        <v>44</v>
      </c>
      <c r="C552" s="2" t="s">
        <v>44</v>
      </c>
      <c r="D552" s="2" t="s">
        <v>4759</v>
      </c>
      <c r="E552" s="2" t="s">
        <v>4264</v>
      </c>
      <c r="F552" s="2" t="s">
        <v>8</v>
      </c>
      <c r="G552" s="2" t="n">
        <v>99</v>
      </c>
    </row>
    <row r="553" customFormat="false" ht="15" hidden="false" customHeight="false" outlineLevel="0" collapsed="false">
      <c r="A553" s="2" t="s">
        <v>283</v>
      </c>
      <c r="B553" s="2" t="s">
        <v>44</v>
      </c>
      <c r="C553" s="2" t="s">
        <v>44</v>
      </c>
      <c r="D553" s="2" t="s">
        <v>4760</v>
      </c>
      <c r="E553" s="2" t="s">
        <v>4261</v>
      </c>
      <c r="F553" s="2" t="s">
        <v>8</v>
      </c>
      <c r="G553" s="2" t="n">
        <v>99</v>
      </c>
    </row>
    <row r="554" customFormat="false" ht="15" hidden="false" customHeight="false" outlineLevel="0" collapsed="false">
      <c r="A554" s="2" t="s">
        <v>283</v>
      </c>
      <c r="B554" s="2" t="s">
        <v>44</v>
      </c>
      <c r="C554" s="2" t="s">
        <v>44</v>
      </c>
      <c r="D554" s="2" t="s">
        <v>4761</v>
      </c>
      <c r="E554" s="2" t="s">
        <v>4261</v>
      </c>
      <c r="F554" s="2" t="s">
        <v>8</v>
      </c>
      <c r="G554" s="2" t="n">
        <v>99</v>
      </c>
    </row>
    <row r="555" customFormat="false" ht="15" hidden="false" customHeight="false" outlineLevel="0" collapsed="false">
      <c r="A555" s="2" t="s">
        <v>283</v>
      </c>
      <c r="B555" s="2" t="s">
        <v>44</v>
      </c>
      <c r="C555" s="2" t="s">
        <v>44</v>
      </c>
      <c r="D555" s="2" t="s">
        <v>4762</v>
      </c>
      <c r="E555" s="2" t="s">
        <v>4271</v>
      </c>
      <c r="F555" s="2" t="s">
        <v>8</v>
      </c>
      <c r="G555" s="2" t="n">
        <v>99</v>
      </c>
    </row>
    <row r="556" customFormat="false" ht="15" hidden="false" customHeight="false" outlineLevel="0" collapsed="false">
      <c r="A556" s="2" t="s">
        <v>351</v>
      </c>
      <c r="B556" s="2" t="s">
        <v>352</v>
      </c>
      <c r="C556" s="2" t="s">
        <v>70</v>
      </c>
      <c r="D556" s="2" t="s">
        <v>4763</v>
      </c>
      <c r="E556" s="2" t="s">
        <v>4271</v>
      </c>
      <c r="F556" s="2" t="s">
        <v>8</v>
      </c>
      <c r="G556" s="2" t="n">
        <v>101</v>
      </c>
    </row>
    <row r="557" customFormat="false" ht="15" hidden="false" customHeight="false" outlineLevel="0" collapsed="false">
      <c r="A557" s="2" t="s">
        <v>351</v>
      </c>
      <c r="B557" s="2" t="s">
        <v>352</v>
      </c>
      <c r="C557" s="2" t="s">
        <v>70</v>
      </c>
      <c r="D557" s="2" t="s">
        <v>4764</v>
      </c>
      <c r="E557" s="2" t="s">
        <v>4264</v>
      </c>
      <c r="F557" s="2" t="s">
        <v>8</v>
      </c>
      <c r="G557" s="2" t="n">
        <v>101</v>
      </c>
    </row>
    <row r="558" customFormat="false" ht="15" hidden="false" customHeight="false" outlineLevel="0" collapsed="false">
      <c r="A558" s="2" t="s">
        <v>354</v>
      </c>
      <c r="B558" s="2" t="s">
        <v>355</v>
      </c>
      <c r="C558" s="2" t="s">
        <v>44</v>
      </c>
      <c r="D558" s="2" t="s">
        <v>4765</v>
      </c>
      <c r="E558" s="2" t="s">
        <v>4261</v>
      </c>
      <c r="F558" s="2" t="s">
        <v>8</v>
      </c>
      <c r="G558" s="2" t="n">
        <v>102</v>
      </c>
    </row>
    <row r="559" customFormat="false" ht="15" hidden="false" customHeight="false" outlineLevel="0" collapsed="false">
      <c r="A559" s="2" t="s">
        <v>354</v>
      </c>
      <c r="B559" s="2" t="s">
        <v>355</v>
      </c>
      <c r="C559" s="2" t="s">
        <v>44</v>
      </c>
      <c r="D559" s="2" t="s">
        <v>4766</v>
      </c>
      <c r="E559" s="2" t="s">
        <v>4264</v>
      </c>
      <c r="F559" s="2" t="s">
        <v>8</v>
      </c>
      <c r="G559" s="2" t="n">
        <v>102</v>
      </c>
    </row>
    <row r="560" customFormat="false" ht="15" hidden="false" customHeight="false" outlineLevel="0" collapsed="false">
      <c r="A560" s="2" t="s">
        <v>354</v>
      </c>
      <c r="B560" s="2" t="s">
        <v>355</v>
      </c>
      <c r="C560" s="2" t="s">
        <v>44</v>
      </c>
      <c r="D560" s="2" t="s">
        <v>4767</v>
      </c>
      <c r="E560" s="2" t="s">
        <v>4264</v>
      </c>
      <c r="F560" s="2" t="s">
        <v>8</v>
      </c>
      <c r="G560" s="2" t="n">
        <v>102</v>
      </c>
    </row>
    <row r="561" customFormat="false" ht="15" hidden="false" customHeight="false" outlineLevel="0" collapsed="false">
      <c r="A561" s="2" t="s">
        <v>354</v>
      </c>
      <c r="B561" s="2" t="s">
        <v>355</v>
      </c>
      <c r="C561" s="2" t="s">
        <v>44</v>
      </c>
      <c r="D561" s="2" t="s">
        <v>4768</v>
      </c>
      <c r="E561" s="2" t="s">
        <v>4261</v>
      </c>
      <c r="F561" s="2" t="s">
        <v>8</v>
      </c>
      <c r="G561" s="2" t="n">
        <v>102</v>
      </c>
    </row>
    <row r="562" customFormat="false" ht="15" hidden="false" customHeight="false" outlineLevel="0" collapsed="false">
      <c r="A562" s="2" t="s">
        <v>354</v>
      </c>
      <c r="B562" s="2" t="s">
        <v>355</v>
      </c>
      <c r="C562" s="2" t="s">
        <v>44</v>
      </c>
      <c r="D562" s="2" t="s">
        <v>4769</v>
      </c>
      <c r="E562" s="2" t="s">
        <v>4264</v>
      </c>
      <c r="F562" s="2" t="s">
        <v>8</v>
      </c>
      <c r="G562" s="2" t="n">
        <v>102</v>
      </c>
    </row>
    <row r="563" customFormat="false" ht="15" hidden="false" customHeight="false" outlineLevel="0" collapsed="false">
      <c r="A563" s="2" t="s">
        <v>354</v>
      </c>
      <c r="B563" s="2" t="s">
        <v>355</v>
      </c>
      <c r="C563" s="2" t="s">
        <v>44</v>
      </c>
      <c r="D563" s="2" t="s">
        <v>946</v>
      </c>
      <c r="E563" s="2" t="s">
        <v>4264</v>
      </c>
      <c r="F563" s="2" t="s">
        <v>8</v>
      </c>
      <c r="G563" s="2" t="n">
        <v>102</v>
      </c>
    </row>
    <row r="564" customFormat="false" ht="15" hidden="false" customHeight="false" outlineLevel="0" collapsed="false">
      <c r="A564" s="2" t="s">
        <v>354</v>
      </c>
      <c r="B564" s="2" t="s">
        <v>355</v>
      </c>
      <c r="C564" s="2" t="s">
        <v>44</v>
      </c>
      <c r="D564" s="2" t="s">
        <v>4770</v>
      </c>
      <c r="E564" s="2" t="s">
        <v>4264</v>
      </c>
      <c r="F564" s="2" t="s">
        <v>8</v>
      </c>
      <c r="G564" s="2" t="n">
        <v>102</v>
      </c>
    </row>
    <row r="565" customFormat="false" ht="15" hidden="false" customHeight="false" outlineLevel="0" collapsed="false">
      <c r="A565" s="2" t="s">
        <v>357</v>
      </c>
      <c r="B565" s="2" t="s">
        <v>358</v>
      </c>
      <c r="C565" s="2" t="s">
        <v>70</v>
      </c>
      <c r="D565" s="2" t="s">
        <v>359</v>
      </c>
      <c r="E565" s="2" t="s">
        <v>4271</v>
      </c>
      <c r="F565" s="2" t="s">
        <v>9</v>
      </c>
      <c r="G565" s="2" t="n">
        <v>103</v>
      </c>
    </row>
    <row r="566" customFormat="false" ht="15" hidden="false" customHeight="false" outlineLevel="0" collapsed="false">
      <c r="A566" s="2" t="s">
        <v>360</v>
      </c>
      <c r="B566" s="2" t="s">
        <v>38</v>
      </c>
      <c r="C566" s="2" t="s">
        <v>39</v>
      </c>
      <c r="D566" s="2" t="s">
        <v>4771</v>
      </c>
      <c r="E566" s="2" t="s">
        <v>4261</v>
      </c>
      <c r="F566" s="2" t="s">
        <v>8</v>
      </c>
      <c r="G566" s="2" t="n">
        <v>104</v>
      </c>
    </row>
    <row r="567" customFormat="false" ht="15" hidden="false" customHeight="false" outlineLevel="0" collapsed="false">
      <c r="A567" s="2" t="s">
        <v>360</v>
      </c>
      <c r="B567" s="2" t="s">
        <v>38</v>
      </c>
      <c r="C567" s="2" t="s">
        <v>39</v>
      </c>
      <c r="D567" s="2" t="s">
        <v>4772</v>
      </c>
      <c r="E567" s="2" t="s">
        <v>4261</v>
      </c>
      <c r="F567" s="2" t="s">
        <v>8</v>
      </c>
      <c r="G567" s="2" t="n">
        <v>104</v>
      </c>
    </row>
    <row r="568" customFormat="false" ht="15" hidden="false" customHeight="false" outlineLevel="0" collapsed="false">
      <c r="A568" s="2" t="s">
        <v>362</v>
      </c>
      <c r="B568" s="2" t="s">
        <v>363</v>
      </c>
      <c r="C568" s="2" t="s">
        <v>27</v>
      </c>
      <c r="D568" s="2" t="s">
        <v>4773</v>
      </c>
      <c r="E568" s="2" t="s">
        <v>4261</v>
      </c>
      <c r="F568" s="2" t="s">
        <v>8</v>
      </c>
      <c r="G568" s="2" t="n">
        <v>105</v>
      </c>
    </row>
    <row r="569" customFormat="false" ht="15" hidden="false" customHeight="false" outlineLevel="0" collapsed="false">
      <c r="A569" s="2" t="s">
        <v>362</v>
      </c>
      <c r="B569" s="2" t="s">
        <v>363</v>
      </c>
      <c r="C569" s="2" t="s">
        <v>27</v>
      </c>
      <c r="D569" s="2" t="s">
        <v>4774</v>
      </c>
      <c r="E569" s="2" t="s">
        <v>4261</v>
      </c>
      <c r="F569" s="2" t="s">
        <v>8</v>
      </c>
      <c r="G569" s="2" t="n">
        <v>105</v>
      </c>
    </row>
    <row r="570" customFormat="false" ht="15" hidden="false" customHeight="false" outlineLevel="0" collapsed="false">
      <c r="A570" s="2" t="s">
        <v>362</v>
      </c>
      <c r="B570" s="2" t="s">
        <v>363</v>
      </c>
      <c r="C570" s="2" t="s">
        <v>27</v>
      </c>
      <c r="D570" s="2" t="s">
        <v>4775</v>
      </c>
      <c r="E570" s="2" t="s">
        <v>4271</v>
      </c>
      <c r="F570" s="2" t="s">
        <v>8</v>
      </c>
      <c r="G570" s="2" t="n">
        <v>105</v>
      </c>
    </row>
    <row r="571" customFormat="false" ht="15" hidden="false" customHeight="false" outlineLevel="0" collapsed="false">
      <c r="A571" s="2" t="s">
        <v>365</v>
      </c>
      <c r="B571" s="2" t="s">
        <v>44</v>
      </c>
      <c r="C571" s="2" t="s">
        <v>44</v>
      </c>
      <c r="D571" s="2" t="s">
        <v>4776</v>
      </c>
      <c r="E571" s="2" t="s">
        <v>4264</v>
      </c>
      <c r="F571" s="2" t="s">
        <v>9</v>
      </c>
      <c r="G571" s="2" t="n">
        <v>106</v>
      </c>
    </row>
    <row r="572" customFormat="false" ht="15" hidden="false" customHeight="false" outlineLevel="0" collapsed="false">
      <c r="A572" s="2" t="s">
        <v>365</v>
      </c>
      <c r="B572" s="2" t="s">
        <v>44</v>
      </c>
      <c r="C572" s="2" t="s">
        <v>44</v>
      </c>
      <c r="D572" s="2" t="s">
        <v>4777</v>
      </c>
      <c r="E572" s="2" t="s">
        <v>4264</v>
      </c>
      <c r="F572" s="2" t="s">
        <v>9</v>
      </c>
      <c r="G572" s="2" t="n">
        <v>106</v>
      </c>
    </row>
    <row r="573" customFormat="false" ht="15" hidden="false" customHeight="false" outlineLevel="0" collapsed="false">
      <c r="A573" s="2" t="s">
        <v>365</v>
      </c>
      <c r="B573" s="2" t="s">
        <v>44</v>
      </c>
      <c r="C573" s="2" t="s">
        <v>44</v>
      </c>
      <c r="D573" s="2" t="s">
        <v>4778</v>
      </c>
      <c r="E573" s="2" t="s">
        <v>4261</v>
      </c>
      <c r="F573" s="2" t="s">
        <v>9</v>
      </c>
      <c r="G573" s="2" t="n">
        <v>106</v>
      </c>
    </row>
    <row r="574" customFormat="false" ht="15" hidden="false" customHeight="false" outlineLevel="0" collapsed="false">
      <c r="A574" s="2" t="s">
        <v>365</v>
      </c>
      <c r="B574" s="2" t="s">
        <v>44</v>
      </c>
      <c r="C574" s="2" t="s">
        <v>44</v>
      </c>
      <c r="D574" s="2" t="s">
        <v>4779</v>
      </c>
      <c r="E574" s="2" t="s">
        <v>4271</v>
      </c>
      <c r="F574" s="2" t="s">
        <v>9</v>
      </c>
      <c r="G574" s="2" t="n">
        <v>106</v>
      </c>
    </row>
    <row r="575" customFormat="false" ht="15" hidden="false" customHeight="false" outlineLevel="0" collapsed="false">
      <c r="A575" s="2" t="s">
        <v>365</v>
      </c>
      <c r="B575" s="2" t="s">
        <v>44</v>
      </c>
      <c r="C575" s="2" t="s">
        <v>44</v>
      </c>
      <c r="D575" s="2" t="s">
        <v>4780</v>
      </c>
      <c r="E575" s="2" t="s">
        <v>4261</v>
      </c>
      <c r="F575" s="2" t="s">
        <v>9</v>
      </c>
      <c r="G575" s="2" t="n">
        <v>106</v>
      </c>
    </row>
    <row r="576" customFormat="false" ht="15" hidden="false" customHeight="false" outlineLevel="0" collapsed="false">
      <c r="A576" s="2" t="s">
        <v>365</v>
      </c>
      <c r="B576" s="2" t="s">
        <v>44</v>
      </c>
      <c r="C576" s="2" t="s">
        <v>44</v>
      </c>
      <c r="D576" s="2" t="s">
        <v>4781</v>
      </c>
      <c r="E576" s="2" t="s">
        <v>4261</v>
      </c>
      <c r="F576" s="2" t="s">
        <v>9</v>
      </c>
      <c r="G576" s="2" t="n">
        <v>106</v>
      </c>
    </row>
    <row r="577" customFormat="false" ht="15" hidden="false" customHeight="false" outlineLevel="0" collapsed="false">
      <c r="A577" s="2" t="s">
        <v>365</v>
      </c>
      <c r="B577" s="2" t="s">
        <v>44</v>
      </c>
      <c r="C577" s="2" t="s">
        <v>44</v>
      </c>
      <c r="D577" s="2" t="s">
        <v>4782</v>
      </c>
      <c r="E577" s="2" t="s">
        <v>4264</v>
      </c>
      <c r="F577" s="2" t="s">
        <v>9</v>
      </c>
      <c r="G577" s="2" t="n">
        <v>106</v>
      </c>
    </row>
    <row r="578" customFormat="false" ht="15" hidden="false" customHeight="false" outlineLevel="0" collapsed="false">
      <c r="A578" s="2" t="s">
        <v>365</v>
      </c>
      <c r="B578" s="2" t="s">
        <v>44</v>
      </c>
      <c r="C578" s="2" t="s">
        <v>44</v>
      </c>
      <c r="D578" s="2" t="s">
        <v>4783</v>
      </c>
      <c r="E578" s="2" t="s">
        <v>4264</v>
      </c>
      <c r="F578" s="2" t="s">
        <v>9</v>
      </c>
      <c r="G578" s="2" t="n">
        <v>106</v>
      </c>
    </row>
    <row r="579" customFormat="false" ht="15" hidden="false" customHeight="false" outlineLevel="0" collapsed="false">
      <c r="A579" s="2" t="s">
        <v>365</v>
      </c>
      <c r="B579" s="2" t="s">
        <v>44</v>
      </c>
      <c r="C579" s="2" t="s">
        <v>44</v>
      </c>
      <c r="D579" s="2" t="s">
        <v>4784</v>
      </c>
      <c r="E579" s="2" t="s">
        <v>4271</v>
      </c>
      <c r="F579" s="2" t="s">
        <v>9</v>
      </c>
      <c r="G579" s="2" t="n">
        <v>106</v>
      </c>
    </row>
    <row r="580" customFormat="false" ht="15" hidden="false" customHeight="false" outlineLevel="0" collapsed="false">
      <c r="A580" s="2" t="s">
        <v>365</v>
      </c>
      <c r="B580" s="2" t="s">
        <v>44</v>
      </c>
      <c r="C580" s="2" t="s">
        <v>44</v>
      </c>
      <c r="D580" s="2" t="s">
        <v>4785</v>
      </c>
      <c r="E580" s="2" t="s">
        <v>4271</v>
      </c>
      <c r="F580" s="2" t="s">
        <v>9</v>
      </c>
      <c r="G580" s="2" t="n">
        <v>106</v>
      </c>
    </row>
    <row r="581" customFormat="false" ht="15" hidden="false" customHeight="false" outlineLevel="0" collapsed="false">
      <c r="A581" s="2" t="s">
        <v>365</v>
      </c>
      <c r="B581" s="2" t="s">
        <v>44</v>
      </c>
      <c r="C581" s="2" t="s">
        <v>44</v>
      </c>
      <c r="D581" s="2" t="s">
        <v>4786</v>
      </c>
      <c r="E581" s="2" t="s">
        <v>4264</v>
      </c>
      <c r="F581" s="2" t="s">
        <v>9</v>
      </c>
      <c r="G581" s="2" t="n">
        <v>106</v>
      </c>
    </row>
    <row r="582" customFormat="false" ht="15" hidden="false" customHeight="false" outlineLevel="0" collapsed="false">
      <c r="A582" s="2" t="s">
        <v>365</v>
      </c>
      <c r="B582" s="2" t="s">
        <v>44</v>
      </c>
      <c r="C582" s="2" t="s">
        <v>44</v>
      </c>
      <c r="D582" s="2" t="s">
        <v>2141</v>
      </c>
      <c r="E582" s="2" t="s">
        <v>4264</v>
      </c>
      <c r="F582" s="2" t="s">
        <v>9</v>
      </c>
      <c r="G582" s="2" t="n">
        <v>106</v>
      </c>
    </row>
    <row r="583" customFormat="false" ht="15" hidden="false" customHeight="false" outlineLevel="0" collapsed="false">
      <c r="A583" s="2" t="s">
        <v>365</v>
      </c>
      <c r="B583" s="2" t="s">
        <v>44</v>
      </c>
      <c r="C583" s="2" t="s">
        <v>44</v>
      </c>
      <c r="D583" s="2" t="s">
        <v>4787</v>
      </c>
      <c r="E583" s="2" t="s">
        <v>4264</v>
      </c>
      <c r="F583" s="2" t="s">
        <v>9</v>
      </c>
      <c r="G583" s="2" t="n">
        <v>106</v>
      </c>
    </row>
    <row r="584" customFormat="false" ht="15" hidden="false" customHeight="false" outlineLevel="0" collapsed="false">
      <c r="A584" s="2" t="s">
        <v>365</v>
      </c>
      <c r="B584" s="2" t="s">
        <v>44</v>
      </c>
      <c r="C584" s="2" t="s">
        <v>44</v>
      </c>
      <c r="D584" s="2" t="s">
        <v>4788</v>
      </c>
      <c r="E584" s="2" t="s">
        <v>4261</v>
      </c>
      <c r="F584" s="2" t="s">
        <v>9</v>
      </c>
      <c r="G584" s="2" t="n">
        <v>106</v>
      </c>
    </row>
    <row r="585" customFormat="false" ht="15" hidden="false" customHeight="false" outlineLevel="0" collapsed="false">
      <c r="A585" s="2" t="s">
        <v>369</v>
      </c>
      <c r="B585" s="2" t="s">
        <v>358</v>
      </c>
      <c r="C585" s="2" t="s">
        <v>70</v>
      </c>
      <c r="D585" s="2" t="s">
        <v>358</v>
      </c>
      <c r="E585" s="2" t="s">
        <v>4271</v>
      </c>
      <c r="F585" s="2" t="s">
        <v>9</v>
      </c>
      <c r="G585" s="2" t="n">
        <v>108</v>
      </c>
    </row>
    <row r="586" customFormat="false" ht="15" hidden="false" customHeight="false" outlineLevel="0" collapsed="false">
      <c r="A586" s="2" t="s">
        <v>369</v>
      </c>
      <c r="B586" s="2" t="s">
        <v>358</v>
      </c>
      <c r="C586" s="2" t="s">
        <v>70</v>
      </c>
      <c r="D586" s="2" t="s">
        <v>4789</v>
      </c>
      <c r="E586" s="2" t="s">
        <v>4261</v>
      </c>
      <c r="F586" s="2" t="s">
        <v>9</v>
      </c>
      <c r="G586" s="2" t="n">
        <v>108</v>
      </c>
    </row>
    <row r="587" customFormat="false" ht="15" hidden="false" customHeight="false" outlineLevel="0" collapsed="false">
      <c r="A587" s="2" t="s">
        <v>371</v>
      </c>
      <c r="B587" s="2" t="s">
        <v>44</v>
      </c>
      <c r="C587" s="2" t="s">
        <v>44</v>
      </c>
      <c r="D587" s="2" t="s">
        <v>4790</v>
      </c>
      <c r="E587" s="2" t="s">
        <v>4261</v>
      </c>
      <c r="F587" s="2" t="s">
        <v>8</v>
      </c>
      <c r="G587" s="2" t="n">
        <v>109</v>
      </c>
    </row>
    <row r="588" customFormat="false" ht="15" hidden="false" customHeight="false" outlineLevel="0" collapsed="false">
      <c r="A588" s="2" t="s">
        <v>371</v>
      </c>
      <c r="B588" s="2" t="s">
        <v>44</v>
      </c>
      <c r="C588" s="2" t="s">
        <v>44</v>
      </c>
      <c r="D588" s="2" t="s">
        <v>4791</v>
      </c>
      <c r="E588" s="2" t="s">
        <v>4264</v>
      </c>
      <c r="F588" s="2" t="s">
        <v>8</v>
      </c>
      <c r="G588" s="2" t="n">
        <v>109</v>
      </c>
    </row>
    <row r="589" customFormat="false" ht="15" hidden="false" customHeight="false" outlineLevel="0" collapsed="false">
      <c r="A589" s="2" t="s">
        <v>371</v>
      </c>
      <c r="B589" s="2" t="s">
        <v>44</v>
      </c>
      <c r="C589" s="2" t="s">
        <v>44</v>
      </c>
      <c r="D589" s="2" t="s">
        <v>4792</v>
      </c>
      <c r="E589" s="2" t="s">
        <v>4264</v>
      </c>
      <c r="F589" s="2" t="s">
        <v>8</v>
      </c>
      <c r="G589" s="2" t="n">
        <v>109</v>
      </c>
    </row>
    <row r="590" customFormat="false" ht="15" hidden="false" customHeight="false" outlineLevel="0" collapsed="false">
      <c r="A590" s="2" t="s">
        <v>371</v>
      </c>
      <c r="B590" s="2" t="s">
        <v>44</v>
      </c>
      <c r="C590" s="2" t="s">
        <v>44</v>
      </c>
      <c r="D590" s="2" t="s">
        <v>4793</v>
      </c>
      <c r="E590" s="2" t="s">
        <v>4261</v>
      </c>
      <c r="F590" s="2" t="s">
        <v>8</v>
      </c>
      <c r="G590" s="2" t="n">
        <v>109</v>
      </c>
    </row>
    <row r="591" customFormat="false" ht="15" hidden="false" customHeight="false" outlineLevel="0" collapsed="false">
      <c r="A591" s="2" t="s">
        <v>371</v>
      </c>
      <c r="B591" s="2" t="s">
        <v>44</v>
      </c>
      <c r="C591" s="2" t="s">
        <v>44</v>
      </c>
      <c r="D591" s="2" t="s">
        <v>4794</v>
      </c>
      <c r="E591" s="2" t="s">
        <v>4261</v>
      </c>
      <c r="F591" s="2" t="s">
        <v>8</v>
      </c>
      <c r="G591" s="2" t="n">
        <v>109</v>
      </c>
    </row>
    <row r="592" customFormat="false" ht="15" hidden="false" customHeight="false" outlineLevel="0" collapsed="false">
      <c r="A592" s="2" t="s">
        <v>371</v>
      </c>
      <c r="B592" s="2" t="s">
        <v>44</v>
      </c>
      <c r="C592" s="2" t="s">
        <v>44</v>
      </c>
      <c r="D592" s="2" t="s">
        <v>4795</v>
      </c>
      <c r="E592" s="2" t="s">
        <v>4271</v>
      </c>
      <c r="F592" s="2" t="s">
        <v>8</v>
      </c>
      <c r="G592" s="2" t="n">
        <v>109</v>
      </c>
    </row>
    <row r="593" customFormat="false" ht="15" hidden="false" customHeight="false" outlineLevel="0" collapsed="false">
      <c r="A593" s="2" t="s">
        <v>371</v>
      </c>
      <c r="B593" s="2" t="s">
        <v>44</v>
      </c>
      <c r="C593" s="2" t="s">
        <v>44</v>
      </c>
      <c r="D593" s="2" t="s">
        <v>4796</v>
      </c>
      <c r="E593" s="2" t="s">
        <v>4271</v>
      </c>
      <c r="F593" s="2" t="s">
        <v>8</v>
      </c>
      <c r="G593" s="2" t="n">
        <v>109</v>
      </c>
    </row>
    <row r="594" customFormat="false" ht="15" hidden="false" customHeight="false" outlineLevel="0" collapsed="false">
      <c r="A594" s="2" t="s">
        <v>371</v>
      </c>
      <c r="B594" s="2" t="s">
        <v>44</v>
      </c>
      <c r="C594" s="2" t="s">
        <v>44</v>
      </c>
      <c r="D594" s="2" t="s">
        <v>4797</v>
      </c>
      <c r="E594" s="2" t="s">
        <v>4261</v>
      </c>
      <c r="F594" s="2" t="s">
        <v>8</v>
      </c>
      <c r="G594" s="2" t="n">
        <v>109</v>
      </c>
    </row>
    <row r="595" customFormat="false" ht="15" hidden="false" customHeight="false" outlineLevel="0" collapsed="false">
      <c r="A595" s="2" t="s">
        <v>371</v>
      </c>
      <c r="B595" s="2" t="s">
        <v>44</v>
      </c>
      <c r="C595" s="2" t="s">
        <v>44</v>
      </c>
      <c r="D595" s="2" t="s">
        <v>4798</v>
      </c>
      <c r="E595" s="2" t="s">
        <v>4261</v>
      </c>
      <c r="F595" s="2" t="s">
        <v>8</v>
      </c>
      <c r="G595" s="2" t="n">
        <v>109</v>
      </c>
    </row>
    <row r="596" customFormat="false" ht="15" hidden="false" customHeight="false" outlineLevel="0" collapsed="false">
      <c r="A596" s="2" t="s">
        <v>371</v>
      </c>
      <c r="B596" s="2" t="s">
        <v>44</v>
      </c>
      <c r="C596" s="2" t="s">
        <v>44</v>
      </c>
      <c r="D596" s="2" t="s">
        <v>4799</v>
      </c>
      <c r="E596" s="2" t="s">
        <v>4261</v>
      </c>
      <c r="F596" s="2" t="s">
        <v>8</v>
      </c>
      <c r="G596" s="2" t="n">
        <v>109</v>
      </c>
    </row>
    <row r="597" customFormat="false" ht="15" hidden="false" customHeight="false" outlineLevel="0" collapsed="false">
      <c r="A597" s="2" t="s">
        <v>371</v>
      </c>
      <c r="B597" s="2" t="s">
        <v>44</v>
      </c>
      <c r="C597" s="2" t="s">
        <v>44</v>
      </c>
      <c r="D597" s="2" t="s">
        <v>4800</v>
      </c>
      <c r="E597" s="2" t="s">
        <v>4261</v>
      </c>
      <c r="F597" s="2" t="s">
        <v>8</v>
      </c>
      <c r="G597" s="2" t="n">
        <v>109</v>
      </c>
    </row>
    <row r="598" customFormat="false" ht="15" hidden="false" customHeight="false" outlineLevel="0" collapsed="false">
      <c r="A598" s="2" t="s">
        <v>371</v>
      </c>
      <c r="B598" s="2" t="s">
        <v>44</v>
      </c>
      <c r="C598" s="2" t="s">
        <v>44</v>
      </c>
      <c r="D598" s="2" t="s">
        <v>4801</v>
      </c>
      <c r="E598" s="2" t="s">
        <v>4261</v>
      </c>
      <c r="F598" s="2" t="s">
        <v>8</v>
      </c>
      <c r="G598" s="2" t="n">
        <v>109</v>
      </c>
    </row>
    <row r="599" customFormat="false" ht="15" hidden="false" customHeight="false" outlineLevel="0" collapsed="false">
      <c r="A599" s="2" t="s">
        <v>371</v>
      </c>
      <c r="B599" s="2" t="s">
        <v>44</v>
      </c>
      <c r="C599" s="2" t="s">
        <v>44</v>
      </c>
      <c r="D599" s="2" t="s">
        <v>4802</v>
      </c>
      <c r="E599" s="2" t="s">
        <v>4261</v>
      </c>
      <c r="F599" s="2" t="s">
        <v>8</v>
      </c>
      <c r="G599" s="2" t="n">
        <v>109</v>
      </c>
    </row>
    <row r="600" customFormat="false" ht="15" hidden="false" customHeight="false" outlineLevel="0" collapsed="false">
      <c r="A600" s="2" t="s">
        <v>371</v>
      </c>
      <c r="B600" s="2" t="s">
        <v>44</v>
      </c>
      <c r="C600" s="2" t="s">
        <v>44</v>
      </c>
      <c r="D600" s="2" t="s">
        <v>4803</v>
      </c>
      <c r="E600" s="2" t="s">
        <v>4261</v>
      </c>
      <c r="F600" s="2" t="s">
        <v>8</v>
      </c>
      <c r="G600" s="2" t="n">
        <v>109</v>
      </c>
    </row>
    <row r="601" customFormat="false" ht="15" hidden="false" customHeight="false" outlineLevel="0" collapsed="false">
      <c r="A601" s="2" t="s">
        <v>373</v>
      </c>
      <c r="B601" s="2" t="s">
        <v>81</v>
      </c>
      <c r="C601" s="2" t="s">
        <v>34</v>
      </c>
      <c r="D601" s="2" t="s">
        <v>4804</v>
      </c>
      <c r="E601" s="2" t="s">
        <v>4261</v>
      </c>
      <c r="F601" s="2" t="s">
        <v>8</v>
      </c>
      <c r="G601" s="2" t="n">
        <v>110</v>
      </c>
    </row>
    <row r="602" customFormat="false" ht="15" hidden="false" customHeight="false" outlineLevel="0" collapsed="false">
      <c r="A602" s="2" t="s">
        <v>373</v>
      </c>
      <c r="B602" s="2" t="s">
        <v>81</v>
      </c>
      <c r="C602" s="2" t="s">
        <v>34</v>
      </c>
      <c r="D602" s="2" t="s">
        <v>4805</v>
      </c>
      <c r="E602" s="2" t="s">
        <v>4264</v>
      </c>
      <c r="F602" s="2" t="s">
        <v>8</v>
      </c>
      <c r="G602" s="2" t="n">
        <v>110</v>
      </c>
    </row>
    <row r="603" customFormat="false" ht="15" hidden="false" customHeight="false" outlineLevel="0" collapsed="false">
      <c r="A603" s="2" t="s">
        <v>373</v>
      </c>
      <c r="B603" s="2" t="s">
        <v>81</v>
      </c>
      <c r="C603" s="2" t="s">
        <v>34</v>
      </c>
      <c r="D603" s="2" t="s">
        <v>4806</v>
      </c>
      <c r="E603" s="2" t="s">
        <v>4271</v>
      </c>
      <c r="F603" s="2" t="s">
        <v>8</v>
      </c>
      <c r="G603" s="2" t="n">
        <v>110</v>
      </c>
    </row>
    <row r="604" customFormat="false" ht="15" hidden="false" customHeight="false" outlineLevel="0" collapsed="false">
      <c r="A604" s="2" t="s">
        <v>373</v>
      </c>
      <c r="B604" s="2" t="s">
        <v>81</v>
      </c>
      <c r="C604" s="2" t="s">
        <v>34</v>
      </c>
      <c r="D604" s="2" t="s">
        <v>4807</v>
      </c>
      <c r="E604" s="2" t="s">
        <v>4261</v>
      </c>
      <c r="F604" s="2" t="s">
        <v>8</v>
      </c>
      <c r="G604" s="2" t="n">
        <v>110</v>
      </c>
    </row>
    <row r="605" customFormat="false" ht="15" hidden="false" customHeight="false" outlineLevel="0" collapsed="false">
      <c r="A605" s="2" t="s">
        <v>373</v>
      </c>
      <c r="B605" s="2" t="s">
        <v>81</v>
      </c>
      <c r="C605" s="2" t="s">
        <v>34</v>
      </c>
      <c r="D605" s="2" t="s">
        <v>4808</v>
      </c>
      <c r="E605" s="2" t="s">
        <v>4264</v>
      </c>
      <c r="F605" s="2" t="s">
        <v>8</v>
      </c>
      <c r="G605" s="2" t="n">
        <v>110</v>
      </c>
    </row>
    <row r="606" customFormat="false" ht="15" hidden="false" customHeight="false" outlineLevel="0" collapsed="false">
      <c r="A606" s="2" t="s">
        <v>375</v>
      </c>
      <c r="B606" s="2" t="s">
        <v>376</v>
      </c>
      <c r="C606" s="2" t="s">
        <v>62</v>
      </c>
      <c r="D606" s="2" t="s">
        <v>377</v>
      </c>
      <c r="E606" s="2" t="s">
        <v>4261</v>
      </c>
      <c r="F606" s="2" t="s">
        <v>8</v>
      </c>
      <c r="G606" s="2" t="n">
        <v>111</v>
      </c>
    </row>
    <row r="607" customFormat="false" ht="15" hidden="false" customHeight="false" outlineLevel="0" collapsed="false">
      <c r="A607" s="2" t="s">
        <v>383</v>
      </c>
      <c r="B607" s="2" t="s">
        <v>156</v>
      </c>
      <c r="C607" s="2" t="s">
        <v>27</v>
      </c>
      <c r="D607" s="2" t="s">
        <v>4809</v>
      </c>
      <c r="E607" s="2" t="s">
        <v>4271</v>
      </c>
      <c r="F607" s="2" t="s">
        <v>8</v>
      </c>
      <c r="G607" s="2" t="n">
        <v>113</v>
      </c>
    </row>
    <row r="608" customFormat="false" ht="15" hidden="false" customHeight="false" outlineLevel="0" collapsed="false">
      <c r="A608" s="2" t="s">
        <v>383</v>
      </c>
      <c r="B608" s="2" t="s">
        <v>156</v>
      </c>
      <c r="C608" s="2" t="s">
        <v>27</v>
      </c>
      <c r="D608" s="2" t="s">
        <v>4810</v>
      </c>
      <c r="E608" s="2" t="s">
        <v>4271</v>
      </c>
      <c r="F608" s="2" t="s">
        <v>8</v>
      </c>
      <c r="G608" s="2" t="n">
        <v>113</v>
      </c>
    </row>
    <row r="609" customFormat="false" ht="15" hidden="false" customHeight="false" outlineLevel="0" collapsed="false">
      <c r="A609" s="2" t="s">
        <v>385</v>
      </c>
      <c r="B609" s="2" t="s">
        <v>386</v>
      </c>
      <c r="C609" s="2" t="s">
        <v>105</v>
      </c>
      <c r="D609" s="2" t="s">
        <v>4811</v>
      </c>
      <c r="E609" s="2" t="s">
        <v>4261</v>
      </c>
      <c r="F609" s="2" t="s">
        <v>8</v>
      </c>
      <c r="G609" s="2" t="n">
        <v>114</v>
      </c>
    </row>
    <row r="610" customFormat="false" ht="15" hidden="false" customHeight="false" outlineLevel="0" collapsed="false">
      <c r="A610" s="2" t="s">
        <v>385</v>
      </c>
      <c r="B610" s="2" t="s">
        <v>386</v>
      </c>
      <c r="C610" s="2" t="s">
        <v>105</v>
      </c>
      <c r="D610" s="2" t="s">
        <v>4812</v>
      </c>
      <c r="E610" s="2" t="s">
        <v>4261</v>
      </c>
      <c r="F610" s="2" t="s">
        <v>8</v>
      </c>
      <c r="G610" s="2" t="n">
        <v>114</v>
      </c>
    </row>
    <row r="611" customFormat="false" ht="15" hidden="false" customHeight="false" outlineLevel="0" collapsed="false">
      <c r="A611" s="2" t="s">
        <v>385</v>
      </c>
      <c r="B611" s="2" t="s">
        <v>386</v>
      </c>
      <c r="C611" s="2" t="s">
        <v>105</v>
      </c>
      <c r="D611" s="2" t="s">
        <v>4813</v>
      </c>
      <c r="E611" s="2" t="s">
        <v>4271</v>
      </c>
      <c r="F611" s="2" t="s">
        <v>8</v>
      </c>
      <c r="G611" s="2" t="n">
        <v>114</v>
      </c>
    </row>
    <row r="612" customFormat="false" ht="15" hidden="false" customHeight="false" outlineLevel="0" collapsed="false">
      <c r="A612" s="2" t="s">
        <v>389</v>
      </c>
      <c r="B612" s="2" t="s">
        <v>70</v>
      </c>
      <c r="C612" s="2" t="s">
        <v>70</v>
      </c>
      <c r="D612" s="2" t="s">
        <v>4814</v>
      </c>
      <c r="E612" s="2" t="s">
        <v>4264</v>
      </c>
      <c r="F612" s="2" t="s">
        <v>8</v>
      </c>
      <c r="G612" s="2" t="n">
        <v>116</v>
      </c>
    </row>
    <row r="613" customFormat="false" ht="15" hidden="false" customHeight="false" outlineLevel="0" collapsed="false">
      <c r="A613" s="2" t="s">
        <v>389</v>
      </c>
      <c r="B613" s="2" t="s">
        <v>70</v>
      </c>
      <c r="C613" s="2" t="s">
        <v>70</v>
      </c>
      <c r="D613" s="2" t="s">
        <v>4815</v>
      </c>
      <c r="E613" s="2" t="s">
        <v>4264</v>
      </c>
      <c r="F613" s="2" t="s">
        <v>8</v>
      </c>
      <c r="G613" s="2" t="n">
        <v>116</v>
      </c>
    </row>
    <row r="614" customFormat="false" ht="15" hidden="false" customHeight="false" outlineLevel="0" collapsed="false">
      <c r="A614" s="2" t="s">
        <v>389</v>
      </c>
      <c r="B614" s="2" t="s">
        <v>70</v>
      </c>
      <c r="C614" s="2" t="s">
        <v>70</v>
      </c>
      <c r="D614" s="2" t="s">
        <v>4816</v>
      </c>
      <c r="E614" s="2" t="s">
        <v>4261</v>
      </c>
      <c r="F614" s="2" t="s">
        <v>8</v>
      </c>
      <c r="G614" s="2" t="n">
        <v>116</v>
      </c>
    </row>
    <row r="615" customFormat="false" ht="15" hidden="false" customHeight="false" outlineLevel="0" collapsed="false">
      <c r="A615" s="2" t="s">
        <v>389</v>
      </c>
      <c r="B615" s="2" t="s">
        <v>70</v>
      </c>
      <c r="C615" s="2" t="s">
        <v>70</v>
      </c>
      <c r="D615" s="2" t="s">
        <v>4817</v>
      </c>
      <c r="E615" s="2" t="s">
        <v>4264</v>
      </c>
      <c r="F615" s="2" t="s">
        <v>8</v>
      </c>
      <c r="G615" s="2" t="n">
        <v>116</v>
      </c>
    </row>
    <row r="616" customFormat="false" ht="15" hidden="false" customHeight="false" outlineLevel="0" collapsed="false">
      <c r="A616" s="2" t="s">
        <v>391</v>
      </c>
      <c r="B616" s="2" t="s">
        <v>392</v>
      </c>
      <c r="C616" s="2" t="s">
        <v>27</v>
      </c>
      <c r="D616" s="2" t="s">
        <v>393</v>
      </c>
      <c r="E616" s="2" t="s">
        <v>4264</v>
      </c>
      <c r="F616" s="2" t="s">
        <v>9</v>
      </c>
      <c r="G616" s="2" t="n">
        <v>117</v>
      </c>
    </row>
    <row r="617" customFormat="false" ht="15" hidden="false" customHeight="false" outlineLevel="0" collapsed="false">
      <c r="A617" s="2" t="s">
        <v>394</v>
      </c>
      <c r="B617" s="2" t="s">
        <v>395</v>
      </c>
      <c r="C617" s="2" t="s">
        <v>273</v>
      </c>
      <c r="D617" s="2" t="s">
        <v>396</v>
      </c>
      <c r="E617" s="2" t="s">
        <v>4261</v>
      </c>
      <c r="F617" s="2" t="s">
        <v>8</v>
      </c>
      <c r="G617" s="2" t="n">
        <v>118</v>
      </c>
    </row>
    <row r="618" customFormat="false" ht="15" hidden="false" customHeight="false" outlineLevel="0" collapsed="false">
      <c r="A618" s="2" t="s">
        <v>397</v>
      </c>
      <c r="B618" s="2" t="s">
        <v>56</v>
      </c>
      <c r="C618" s="2" t="s">
        <v>56</v>
      </c>
      <c r="D618" s="2" t="s">
        <v>4818</v>
      </c>
      <c r="E618" s="2" t="s">
        <v>4264</v>
      </c>
      <c r="F618" s="2" t="s">
        <v>8</v>
      </c>
      <c r="G618" s="2" t="n">
        <v>119</v>
      </c>
    </row>
    <row r="619" customFormat="false" ht="15" hidden="false" customHeight="false" outlineLevel="0" collapsed="false">
      <c r="A619" s="2" t="s">
        <v>397</v>
      </c>
      <c r="B619" s="2" t="s">
        <v>56</v>
      </c>
      <c r="C619" s="2" t="s">
        <v>56</v>
      </c>
      <c r="D619" s="2" t="s">
        <v>4819</v>
      </c>
      <c r="E619" s="2" t="s">
        <v>4261</v>
      </c>
      <c r="F619" s="2" t="s">
        <v>8</v>
      </c>
      <c r="G619" s="2" t="n">
        <v>119</v>
      </c>
    </row>
    <row r="620" customFormat="false" ht="15" hidden="false" customHeight="false" outlineLevel="0" collapsed="false">
      <c r="A620" s="2" t="s">
        <v>397</v>
      </c>
      <c r="B620" s="2" t="s">
        <v>56</v>
      </c>
      <c r="C620" s="2" t="s">
        <v>56</v>
      </c>
      <c r="D620" s="2" t="s">
        <v>4820</v>
      </c>
      <c r="E620" s="2" t="s">
        <v>4264</v>
      </c>
      <c r="F620" s="2" t="s">
        <v>8</v>
      </c>
      <c r="G620" s="2" t="n">
        <v>119</v>
      </c>
    </row>
    <row r="621" customFormat="false" ht="15" hidden="false" customHeight="false" outlineLevel="0" collapsed="false">
      <c r="A621" s="2" t="s">
        <v>399</v>
      </c>
      <c r="B621" s="2" t="s">
        <v>56</v>
      </c>
      <c r="C621" s="2" t="s">
        <v>56</v>
      </c>
      <c r="D621" s="2" t="s">
        <v>4821</v>
      </c>
      <c r="E621" s="2" t="s">
        <v>4261</v>
      </c>
      <c r="F621" s="2" t="s">
        <v>8</v>
      </c>
      <c r="G621" s="2" t="n">
        <v>120</v>
      </c>
    </row>
    <row r="622" customFormat="false" ht="15" hidden="false" customHeight="false" outlineLevel="0" collapsed="false">
      <c r="A622" s="2" t="s">
        <v>399</v>
      </c>
      <c r="B622" s="2" t="s">
        <v>56</v>
      </c>
      <c r="C622" s="2" t="s">
        <v>56</v>
      </c>
      <c r="D622" s="2" t="s">
        <v>4822</v>
      </c>
      <c r="E622" s="2" t="s">
        <v>4261</v>
      </c>
      <c r="F622" s="2" t="s">
        <v>8</v>
      </c>
      <c r="G622" s="2" t="n">
        <v>120</v>
      </c>
    </row>
    <row r="623" customFormat="false" ht="15" hidden="false" customHeight="false" outlineLevel="0" collapsed="false">
      <c r="A623" s="2" t="s">
        <v>399</v>
      </c>
      <c r="B623" s="2" t="s">
        <v>56</v>
      </c>
      <c r="C623" s="2" t="s">
        <v>56</v>
      </c>
      <c r="D623" s="2" t="s">
        <v>4823</v>
      </c>
      <c r="E623" s="2" t="s">
        <v>4261</v>
      </c>
      <c r="F623" s="2" t="s">
        <v>8</v>
      </c>
      <c r="G623" s="2" t="n">
        <v>120</v>
      </c>
    </row>
    <row r="624" customFormat="false" ht="15" hidden="false" customHeight="false" outlineLevel="0" collapsed="false">
      <c r="A624" s="2" t="s">
        <v>399</v>
      </c>
      <c r="B624" s="2" t="s">
        <v>56</v>
      </c>
      <c r="C624" s="2" t="s">
        <v>56</v>
      </c>
      <c r="D624" s="2" t="s">
        <v>4824</v>
      </c>
      <c r="E624" s="2" t="s">
        <v>4261</v>
      </c>
      <c r="F624" s="2" t="s">
        <v>8</v>
      </c>
      <c r="G624" s="2" t="n">
        <v>120</v>
      </c>
    </row>
    <row r="625" customFormat="false" ht="15" hidden="false" customHeight="false" outlineLevel="0" collapsed="false">
      <c r="A625" s="2" t="s">
        <v>399</v>
      </c>
      <c r="B625" s="2" t="s">
        <v>56</v>
      </c>
      <c r="C625" s="2" t="s">
        <v>56</v>
      </c>
      <c r="D625" s="2" t="s">
        <v>4825</v>
      </c>
      <c r="E625" s="2" t="s">
        <v>4261</v>
      </c>
      <c r="F625" s="2" t="s">
        <v>8</v>
      </c>
      <c r="G625" s="2" t="n">
        <v>120</v>
      </c>
    </row>
    <row r="626" customFormat="false" ht="15" hidden="false" customHeight="false" outlineLevel="0" collapsed="false">
      <c r="A626" s="2" t="s">
        <v>399</v>
      </c>
      <c r="B626" s="2" t="s">
        <v>56</v>
      </c>
      <c r="C626" s="2" t="s">
        <v>56</v>
      </c>
      <c r="D626" s="2" t="s">
        <v>4826</v>
      </c>
      <c r="E626" s="2" t="s">
        <v>4261</v>
      </c>
      <c r="F626" s="2" t="s">
        <v>8</v>
      </c>
      <c r="G626" s="2" t="n">
        <v>120</v>
      </c>
    </row>
    <row r="627" customFormat="false" ht="15" hidden="false" customHeight="false" outlineLevel="0" collapsed="false">
      <c r="A627" s="2" t="s">
        <v>401</v>
      </c>
      <c r="B627" s="2" t="s">
        <v>402</v>
      </c>
      <c r="C627" s="2" t="s">
        <v>70</v>
      </c>
      <c r="D627" s="2" t="s">
        <v>402</v>
      </c>
      <c r="E627" s="2" t="s">
        <v>4271</v>
      </c>
      <c r="F627" s="2" t="s">
        <v>8</v>
      </c>
      <c r="G627" s="2" t="n">
        <v>121</v>
      </c>
    </row>
    <row r="628" customFormat="false" ht="15" hidden="false" customHeight="false" outlineLevel="0" collapsed="false">
      <c r="A628" s="2" t="s">
        <v>408</v>
      </c>
      <c r="B628" s="2" t="s">
        <v>263</v>
      </c>
      <c r="C628" s="2" t="s">
        <v>27</v>
      </c>
      <c r="D628" s="2" t="s">
        <v>4827</v>
      </c>
      <c r="E628" s="2" t="s">
        <v>4261</v>
      </c>
      <c r="F628" s="2" t="s">
        <v>8</v>
      </c>
      <c r="G628" s="2" t="n">
        <v>124</v>
      </c>
    </row>
    <row r="629" customFormat="false" ht="15" hidden="false" customHeight="false" outlineLevel="0" collapsed="false">
      <c r="A629" s="2" t="s">
        <v>408</v>
      </c>
      <c r="B629" s="2" t="s">
        <v>263</v>
      </c>
      <c r="C629" s="2" t="s">
        <v>27</v>
      </c>
      <c r="D629" s="2" t="s">
        <v>4828</v>
      </c>
      <c r="E629" s="2" t="s">
        <v>4271</v>
      </c>
      <c r="F629" s="2" t="s">
        <v>8</v>
      </c>
      <c r="G629" s="2" t="n">
        <v>124</v>
      </c>
    </row>
    <row r="630" customFormat="false" ht="15" hidden="false" customHeight="false" outlineLevel="0" collapsed="false">
      <c r="A630" s="2" t="s">
        <v>408</v>
      </c>
      <c r="B630" s="2" t="s">
        <v>263</v>
      </c>
      <c r="C630" s="2" t="s">
        <v>27</v>
      </c>
      <c r="D630" s="2" t="s">
        <v>4829</v>
      </c>
      <c r="E630" s="2" t="s">
        <v>4271</v>
      </c>
      <c r="F630" s="2" t="s">
        <v>8</v>
      </c>
      <c r="G630" s="2" t="n">
        <v>124</v>
      </c>
    </row>
    <row r="631" customFormat="false" ht="15" hidden="false" customHeight="false" outlineLevel="0" collapsed="false">
      <c r="A631" s="2" t="s">
        <v>408</v>
      </c>
      <c r="B631" s="2" t="s">
        <v>263</v>
      </c>
      <c r="C631" s="2" t="s">
        <v>27</v>
      </c>
      <c r="D631" s="2" t="s">
        <v>4830</v>
      </c>
      <c r="E631" s="2" t="s">
        <v>4271</v>
      </c>
      <c r="F631" s="2" t="s">
        <v>8</v>
      </c>
      <c r="G631" s="2" t="n">
        <v>124</v>
      </c>
    </row>
    <row r="632" customFormat="false" ht="15" hidden="false" customHeight="false" outlineLevel="0" collapsed="false">
      <c r="A632" s="2" t="s">
        <v>408</v>
      </c>
      <c r="B632" s="2" t="s">
        <v>263</v>
      </c>
      <c r="C632" s="2" t="s">
        <v>27</v>
      </c>
      <c r="D632" s="2" t="s">
        <v>4831</v>
      </c>
      <c r="E632" s="2" t="s">
        <v>4261</v>
      </c>
      <c r="F632" s="2" t="s">
        <v>8</v>
      </c>
      <c r="G632" s="2" t="n">
        <v>124</v>
      </c>
    </row>
    <row r="633" customFormat="false" ht="15" hidden="false" customHeight="false" outlineLevel="0" collapsed="false">
      <c r="A633" s="2" t="s">
        <v>408</v>
      </c>
      <c r="B633" s="2" t="s">
        <v>263</v>
      </c>
      <c r="C633" s="2" t="s">
        <v>27</v>
      </c>
      <c r="D633" s="2" t="s">
        <v>4832</v>
      </c>
      <c r="E633" s="2" t="s">
        <v>4261</v>
      </c>
      <c r="F633" s="2" t="s">
        <v>8</v>
      </c>
      <c r="G633" s="2" t="n">
        <v>124</v>
      </c>
    </row>
    <row r="634" customFormat="false" ht="15" hidden="false" customHeight="false" outlineLevel="0" collapsed="false">
      <c r="A634" s="2" t="s">
        <v>408</v>
      </c>
      <c r="B634" s="2" t="s">
        <v>263</v>
      </c>
      <c r="C634" s="2" t="s">
        <v>27</v>
      </c>
      <c r="D634" s="2" t="s">
        <v>4833</v>
      </c>
      <c r="E634" s="2" t="s">
        <v>4271</v>
      </c>
      <c r="F634" s="2" t="s">
        <v>8</v>
      </c>
      <c r="G634" s="2" t="n">
        <v>124</v>
      </c>
    </row>
    <row r="635" customFormat="false" ht="15" hidden="false" customHeight="false" outlineLevel="0" collapsed="false">
      <c r="A635" s="2" t="s">
        <v>408</v>
      </c>
      <c r="B635" s="2" t="s">
        <v>263</v>
      </c>
      <c r="C635" s="2" t="s">
        <v>27</v>
      </c>
      <c r="D635" s="2" t="s">
        <v>4834</v>
      </c>
      <c r="E635" s="2" t="s">
        <v>4271</v>
      </c>
      <c r="F635" s="2" t="s">
        <v>8</v>
      </c>
      <c r="G635" s="2" t="n">
        <v>124</v>
      </c>
    </row>
    <row r="636" customFormat="false" ht="15" hidden="false" customHeight="false" outlineLevel="0" collapsed="false">
      <c r="A636" s="2" t="s">
        <v>408</v>
      </c>
      <c r="B636" s="2" t="s">
        <v>263</v>
      </c>
      <c r="C636" s="2" t="s">
        <v>27</v>
      </c>
      <c r="D636" s="2" t="s">
        <v>4835</v>
      </c>
      <c r="E636" s="2" t="s">
        <v>4261</v>
      </c>
      <c r="F636" s="2" t="s">
        <v>8</v>
      </c>
      <c r="G636" s="2" t="n">
        <v>124</v>
      </c>
    </row>
    <row r="637" customFormat="false" ht="15" hidden="false" customHeight="false" outlineLevel="0" collapsed="false">
      <c r="A637" s="2" t="s">
        <v>408</v>
      </c>
      <c r="B637" s="2" t="s">
        <v>263</v>
      </c>
      <c r="C637" s="2" t="s">
        <v>27</v>
      </c>
      <c r="D637" s="2" t="s">
        <v>62</v>
      </c>
      <c r="E637" s="2" t="s">
        <v>4261</v>
      </c>
      <c r="F637" s="2" t="s">
        <v>8</v>
      </c>
      <c r="G637" s="2" t="n">
        <v>124</v>
      </c>
    </row>
    <row r="638" customFormat="false" ht="15" hidden="false" customHeight="false" outlineLevel="0" collapsed="false">
      <c r="A638" s="2" t="s">
        <v>408</v>
      </c>
      <c r="B638" s="2" t="s">
        <v>263</v>
      </c>
      <c r="C638" s="2" t="s">
        <v>27</v>
      </c>
      <c r="D638" s="2" t="s">
        <v>4836</v>
      </c>
      <c r="E638" s="2" t="s">
        <v>4271</v>
      </c>
      <c r="F638" s="2" t="s">
        <v>8</v>
      </c>
      <c r="G638" s="2" t="n">
        <v>124</v>
      </c>
    </row>
    <row r="639" customFormat="false" ht="15" hidden="false" customHeight="false" outlineLevel="0" collapsed="false">
      <c r="A639" s="2" t="s">
        <v>408</v>
      </c>
      <c r="B639" s="2" t="s">
        <v>263</v>
      </c>
      <c r="C639" s="2" t="s">
        <v>27</v>
      </c>
      <c r="D639" s="2" t="s">
        <v>4837</v>
      </c>
      <c r="E639" s="2" t="s">
        <v>4271</v>
      </c>
      <c r="F639" s="2" t="s">
        <v>8</v>
      </c>
      <c r="G639" s="2" t="n">
        <v>124</v>
      </c>
    </row>
    <row r="640" customFormat="false" ht="15" hidden="false" customHeight="false" outlineLevel="0" collapsed="false">
      <c r="A640" s="2" t="s">
        <v>408</v>
      </c>
      <c r="B640" s="2" t="s">
        <v>263</v>
      </c>
      <c r="C640" s="2" t="s">
        <v>27</v>
      </c>
      <c r="D640" s="2" t="s">
        <v>4838</v>
      </c>
      <c r="E640" s="2" t="s">
        <v>4261</v>
      </c>
      <c r="F640" s="2" t="s">
        <v>8</v>
      </c>
      <c r="G640" s="2" t="n">
        <v>124</v>
      </c>
    </row>
    <row r="641" customFormat="false" ht="15" hidden="false" customHeight="false" outlineLevel="0" collapsed="false">
      <c r="A641" s="2" t="s">
        <v>408</v>
      </c>
      <c r="B641" s="2" t="s">
        <v>263</v>
      </c>
      <c r="C641" s="2" t="s">
        <v>27</v>
      </c>
      <c r="D641" s="2" t="s">
        <v>4839</v>
      </c>
      <c r="E641" s="2" t="s">
        <v>4271</v>
      </c>
      <c r="F641" s="2" t="s">
        <v>8</v>
      </c>
      <c r="G641" s="2" t="n">
        <v>124</v>
      </c>
    </row>
    <row r="642" customFormat="false" ht="15" hidden="false" customHeight="false" outlineLevel="0" collapsed="false">
      <c r="A642" s="2" t="s">
        <v>408</v>
      </c>
      <c r="B642" s="2" t="s">
        <v>263</v>
      </c>
      <c r="C642" s="2" t="s">
        <v>27</v>
      </c>
      <c r="D642" s="2" t="s">
        <v>4840</v>
      </c>
      <c r="E642" s="2" t="s">
        <v>4261</v>
      </c>
      <c r="F642" s="2" t="s">
        <v>8</v>
      </c>
      <c r="G642" s="2" t="n">
        <v>124</v>
      </c>
    </row>
    <row r="643" customFormat="false" ht="15" hidden="false" customHeight="false" outlineLevel="0" collapsed="false">
      <c r="A643" s="2" t="s">
        <v>408</v>
      </c>
      <c r="B643" s="2" t="s">
        <v>263</v>
      </c>
      <c r="C643" s="2" t="s">
        <v>27</v>
      </c>
      <c r="D643" s="2" t="s">
        <v>4841</v>
      </c>
      <c r="E643" s="2" t="s">
        <v>4261</v>
      </c>
      <c r="F643" s="2" t="s">
        <v>8</v>
      </c>
      <c r="G643" s="2" t="n">
        <v>124</v>
      </c>
    </row>
    <row r="644" customFormat="false" ht="15" hidden="false" customHeight="false" outlineLevel="0" collapsed="false">
      <c r="A644" s="2" t="s">
        <v>410</v>
      </c>
      <c r="B644" s="2" t="s">
        <v>202</v>
      </c>
      <c r="C644" s="2" t="s">
        <v>105</v>
      </c>
      <c r="D644" s="2" t="s">
        <v>4842</v>
      </c>
      <c r="E644" s="2" t="s">
        <v>4271</v>
      </c>
      <c r="F644" s="2" t="s">
        <v>8</v>
      </c>
      <c r="G644" s="2" t="n">
        <v>125</v>
      </c>
    </row>
    <row r="645" customFormat="false" ht="15" hidden="false" customHeight="false" outlineLevel="0" collapsed="false">
      <c r="A645" s="2" t="s">
        <v>410</v>
      </c>
      <c r="B645" s="2" t="s">
        <v>202</v>
      </c>
      <c r="C645" s="2" t="s">
        <v>105</v>
      </c>
      <c r="D645" s="2" t="s">
        <v>4843</v>
      </c>
      <c r="E645" s="2" t="s">
        <v>4264</v>
      </c>
      <c r="F645" s="2" t="s">
        <v>8</v>
      </c>
      <c r="G645" s="2" t="n">
        <v>125</v>
      </c>
    </row>
    <row r="646" customFormat="false" ht="15" hidden="false" customHeight="false" outlineLevel="0" collapsed="false">
      <c r="A646" s="2" t="s">
        <v>410</v>
      </c>
      <c r="B646" s="2" t="s">
        <v>202</v>
      </c>
      <c r="C646" s="2" t="s">
        <v>105</v>
      </c>
      <c r="D646" s="2" t="s">
        <v>4404</v>
      </c>
      <c r="E646" s="2" t="s">
        <v>4264</v>
      </c>
      <c r="F646" s="2" t="s">
        <v>8</v>
      </c>
      <c r="G646" s="2" t="n">
        <v>125</v>
      </c>
    </row>
    <row r="647" customFormat="false" ht="15" hidden="false" customHeight="false" outlineLevel="0" collapsed="false">
      <c r="A647" s="2" t="s">
        <v>412</v>
      </c>
      <c r="B647" s="2" t="s">
        <v>413</v>
      </c>
      <c r="C647" s="2" t="s">
        <v>70</v>
      </c>
      <c r="D647" s="2" t="s">
        <v>413</v>
      </c>
      <c r="E647" s="2" t="s">
        <v>4271</v>
      </c>
      <c r="F647" s="2" t="s">
        <v>8</v>
      </c>
      <c r="G647" s="2" t="n">
        <v>126</v>
      </c>
    </row>
    <row r="648" customFormat="false" ht="15" hidden="false" customHeight="false" outlineLevel="0" collapsed="false">
      <c r="A648" s="2" t="s">
        <v>412</v>
      </c>
      <c r="B648" s="2" t="s">
        <v>413</v>
      </c>
      <c r="C648" s="2" t="s">
        <v>70</v>
      </c>
      <c r="D648" s="2" t="s">
        <v>4844</v>
      </c>
      <c r="E648" s="2" t="s">
        <v>4261</v>
      </c>
      <c r="F648" s="2" t="s">
        <v>8</v>
      </c>
      <c r="G648" s="2" t="n">
        <v>126</v>
      </c>
    </row>
    <row r="649" customFormat="false" ht="15" hidden="false" customHeight="false" outlineLevel="0" collapsed="false">
      <c r="A649" s="2" t="s">
        <v>415</v>
      </c>
      <c r="B649" s="2" t="s">
        <v>91</v>
      </c>
      <c r="C649" s="2" t="s">
        <v>44</v>
      </c>
      <c r="D649" s="2" t="s">
        <v>4845</v>
      </c>
      <c r="E649" s="2" t="s">
        <v>4264</v>
      </c>
      <c r="F649" s="2" t="s">
        <v>8</v>
      </c>
      <c r="G649" s="2" t="n">
        <v>127</v>
      </c>
    </row>
    <row r="650" customFormat="false" ht="15" hidden="false" customHeight="false" outlineLevel="0" collapsed="false">
      <c r="A650" s="2" t="s">
        <v>415</v>
      </c>
      <c r="B650" s="2" t="s">
        <v>91</v>
      </c>
      <c r="C650" s="2" t="s">
        <v>44</v>
      </c>
      <c r="D650" s="2" t="s">
        <v>4846</v>
      </c>
      <c r="E650" s="2" t="s">
        <v>4264</v>
      </c>
      <c r="F650" s="2" t="s">
        <v>8</v>
      </c>
      <c r="G650" s="2" t="n">
        <v>127</v>
      </c>
    </row>
    <row r="651" customFormat="false" ht="15" hidden="false" customHeight="false" outlineLevel="0" collapsed="false">
      <c r="A651" s="2" t="s">
        <v>415</v>
      </c>
      <c r="B651" s="2" t="s">
        <v>91</v>
      </c>
      <c r="C651" s="2" t="s">
        <v>44</v>
      </c>
      <c r="D651" s="2" t="s">
        <v>4847</v>
      </c>
      <c r="E651" s="2" t="s">
        <v>4264</v>
      </c>
      <c r="F651" s="2" t="s">
        <v>8</v>
      </c>
      <c r="G651" s="2" t="n">
        <v>127</v>
      </c>
    </row>
    <row r="652" customFormat="false" ht="15" hidden="false" customHeight="false" outlineLevel="0" collapsed="false">
      <c r="A652" s="2" t="s">
        <v>415</v>
      </c>
      <c r="B652" s="2" t="s">
        <v>91</v>
      </c>
      <c r="C652" s="2" t="s">
        <v>44</v>
      </c>
      <c r="D652" s="2" t="s">
        <v>4848</v>
      </c>
      <c r="E652" s="2" t="s">
        <v>4261</v>
      </c>
      <c r="F652" s="2" t="s">
        <v>8</v>
      </c>
      <c r="G652" s="2" t="n">
        <v>127</v>
      </c>
    </row>
    <row r="653" customFormat="false" ht="15" hidden="false" customHeight="false" outlineLevel="0" collapsed="false">
      <c r="A653" s="2" t="s">
        <v>415</v>
      </c>
      <c r="B653" s="2" t="s">
        <v>91</v>
      </c>
      <c r="C653" s="2" t="s">
        <v>44</v>
      </c>
      <c r="D653" s="2" t="s">
        <v>4849</v>
      </c>
      <c r="E653" s="2" t="s">
        <v>4261</v>
      </c>
      <c r="F653" s="2" t="s">
        <v>8</v>
      </c>
      <c r="G653" s="2" t="n">
        <v>127</v>
      </c>
    </row>
    <row r="654" customFormat="false" ht="15" hidden="false" customHeight="false" outlineLevel="0" collapsed="false">
      <c r="A654" s="2" t="s">
        <v>415</v>
      </c>
      <c r="B654" s="2" t="s">
        <v>91</v>
      </c>
      <c r="C654" s="2" t="s">
        <v>44</v>
      </c>
      <c r="D654" s="2" t="s">
        <v>4850</v>
      </c>
      <c r="E654" s="2" t="s">
        <v>4264</v>
      </c>
      <c r="F654" s="2" t="s">
        <v>8</v>
      </c>
      <c r="G654" s="2" t="n">
        <v>127</v>
      </c>
    </row>
    <row r="655" customFormat="false" ht="15" hidden="false" customHeight="false" outlineLevel="0" collapsed="false">
      <c r="A655" s="2" t="s">
        <v>415</v>
      </c>
      <c r="B655" s="2" t="s">
        <v>91</v>
      </c>
      <c r="C655" s="2" t="s">
        <v>44</v>
      </c>
      <c r="D655" s="2" t="s">
        <v>4851</v>
      </c>
      <c r="E655" s="2" t="s">
        <v>4264</v>
      </c>
      <c r="F655" s="2" t="s">
        <v>8</v>
      </c>
      <c r="G655" s="2" t="n">
        <v>127</v>
      </c>
    </row>
    <row r="656" customFormat="false" ht="15" hidden="false" customHeight="false" outlineLevel="0" collapsed="false">
      <c r="A656" s="2" t="s">
        <v>415</v>
      </c>
      <c r="B656" s="2" t="s">
        <v>91</v>
      </c>
      <c r="C656" s="2" t="s">
        <v>44</v>
      </c>
      <c r="D656" s="2" t="s">
        <v>4852</v>
      </c>
      <c r="E656" s="2" t="s">
        <v>4264</v>
      </c>
      <c r="F656" s="2" t="s">
        <v>8</v>
      </c>
      <c r="G656" s="2" t="n">
        <v>127</v>
      </c>
    </row>
    <row r="657" customFormat="false" ht="15" hidden="false" customHeight="false" outlineLevel="0" collapsed="false">
      <c r="A657" s="2" t="s">
        <v>417</v>
      </c>
      <c r="B657" s="2" t="s">
        <v>418</v>
      </c>
      <c r="C657" s="2" t="s">
        <v>273</v>
      </c>
      <c r="D657" s="2" t="s">
        <v>419</v>
      </c>
      <c r="E657" s="2" t="s">
        <v>4261</v>
      </c>
      <c r="F657" s="2" t="s">
        <v>8</v>
      </c>
      <c r="G657" s="2" t="n">
        <v>128</v>
      </c>
    </row>
    <row r="658" customFormat="false" ht="15" hidden="false" customHeight="false" outlineLevel="0" collapsed="false">
      <c r="A658" s="2" t="s">
        <v>420</v>
      </c>
      <c r="B658" s="2" t="s">
        <v>278</v>
      </c>
      <c r="C658" s="2" t="s">
        <v>70</v>
      </c>
      <c r="D658" s="2" t="s">
        <v>4853</v>
      </c>
      <c r="E658" s="2" t="s">
        <v>4261</v>
      </c>
      <c r="F658" s="2" t="s">
        <v>8</v>
      </c>
      <c r="G658" s="2" t="n">
        <v>129</v>
      </c>
    </row>
    <row r="659" customFormat="false" ht="15" hidden="false" customHeight="false" outlineLevel="0" collapsed="false">
      <c r="A659" s="2" t="s">
        <v>420</v>
      </c>
      <c r="B659" s="2" t="s">
        <v>278</v>
      </c>
      <c r="C659" s="2" t="s">
        <v>70</v>
      </c>
      <c r="D659" s="2" t="s">
        <v>4854</v>
      </c>
      <c r="E659" s="2" t="s">
        <v>4261</v>
      </c>
      <c r="F659" s="2" t="s">
        <v>8</v>
      </c>
      <c r="G659" s="2" t="n">
        <v>129</v>
      </c>
    </row>
    <row r="660" customFormat="false" ht="15" hidden="false" customHeight="false" outlineLevel="0" collapsed="false">
      <c r="A660" s="2" t="s">
        <v>420</v>
      </c>
      <c r="B660" s="2" t="s">
        <v>278</v>
      </c>
      <c r="C660" s="2" t="s">
        <v>70</v>
      </c>
      <c r="D660" s="2" t="s">
        <v>4855</v>
      </c>
      <c r="E660" s="2" t="s">
        <v>4261</v>
      </c>
      <c r="F660" s="2" t="s">
        <v>8</v>
      </c>
      <c r="G660" s="2" t="n">
        <v>129</v>
      </c>
    </row>
    <row r="661" customFormat="false" ht="15" hidden="false" customHeight="false" outlineLevel="0" collapsed="false">
      <c r="A661" s="2" t="s">
        <v>420</v>
      </c>
      <c r="B661" s="2" t="s">
        <v>278</v>
      </c>
      <c r="C661" s="2" t="s">
        <v>70</v>
      </c>
      <c r="D661" s="2" t="s">
        <v>4856</v>
      </c>
      <c r="E661" s="2" t="s">
        <v>4261</v>
      </c>
      <c r="F661" s="2" t="s">
        <v>8</v>
      </c>
      <c r="G661" s="2" t="n">
        <v>129</v>
      </c>
    </row>
    <row r="662" customFormat="false" ht="15" hidden="false" customHeight="false" outlineLevel="0" collapsed="false">
      <c r="A662" s="2" t="s">
        <v>420</v>
      </c>
      <c r="B662" s="2" t="s">
        <v>278</v>
      </c>
      <c r="C662" s="2" t="s">
        <v>70</v>
      </c>
      <c r="D662" s="2" t="s">
        <v>4857</v>
      </c>
      <c r="E662" s="2" t="s">
        <v>4261</v>
      </c>
      <c r="F662" s="2" t="s">
        <v>8</v>
      </c>
      <c r="G662" s="2" t="n">
        <v>129</v>
      </c>
    </row>
    <row r="663" customFormat="false" ht="15" hidden="false" customHeight="false" outlineLevel="0" collapsed="false">
      <c r="A663" s="2" t="s">
        <v>422</v>
      </c>
      <c r="B663" s="2" t="s">
        <v>423</v>
      </c>
      <c r="C663" s="2" t="s">
        <v>423</v>
      </c>
      <c r="D663" s="2" t="s">
        <v>424</v>
      </c>
      <c r="E663" s="2" t="s">
        <v>4261</v>
      </c>
      <c r="F663" s="2" t="s">
        <v>8</v>
      </c>
      <c r="G663" s="2" t="n">
        <v>130</v>
      </c>
    </row>
    <row r="664" customFormat="false" ht="15" hidden="false" customHeight="false" outlineLevel="0" collapsed="false">
      <c r="A664" s="2" t="s">
        <v>427</v>
      </c>
      <c r="B664" s="2" t="s">
        <v>428</v>
      </c>
      <c r="C664" s="2" t="s">
        <v>39</v>
      </c>
      <c r="D664" s="2" t="s">
        <v>4858</v>
      </c>
      <c r="E664" s="2" t="s">
        <v>4261</v>
      </c>
      <c r="F664" s="2" t="s">
        <v>8</v>
      </c>
      <c r="G664" s="2" t="n">
        <v>131</v>
      </c>
    </row>
    <row r="665" customFormat="false" ht="15" hidden="false" customHeight="false" outlineLevel="0" collapsed="false">
      <c r="A665" s="2" t="s">
        <v>427</v>
      </c>
      <c r="B665" s="2" t="s">
        <v>428</v>
      </c>
      <c r="C665" s="2" t="s">
        <v>39</v>
      </c>
      <c r="D665" s="2" t="s">
        <v>4859</v>
      </c>
      <c r="E665" s="2" t="s">
        <v>4261</v>
      </c>
      <c r="F665" s="2" t="s">
        <v>8</v>
      </c>
      <c r="G665" s="2" t="n">
        <v>131</v>
      </c>
    </row>
    <row r="666" customFormat="false" ht="15" hidden="false" customHeight="false" outlineLevel="0" collapsed="false">
      <c r="A666" s="2" t="s">
        <v>427</v>
      </c>
      <c r="B666" s="2" t="s">
        <v>428</v>
      </c>
      <c r="C666" s="2" t="s">
        <v>39</v>
      </c>
      <c r="D666" s="2" t="s">
        <v>4860</v>
      </c>
      <c r="E666" s="2" t="s">
        <v>4261</v>
      </c>
      <c r="F666" s="2" t="s">
        <v>8</v>
      </c>
      <c r="G666" s="2" t="n">
        <v>131</v>
      </c>
    </row>
    <row r="667" customFormat="false" ht="15" hidden="false" customHeight="false" outlineLevel="0" collapsed="false">
      <c r="A667" s="2" t="s">
        <v>427</v>
      </c>
      <c r="B667" s="2" t="s">
        <v>428</v>
      </c>
      <c r="C667" s="2" t="s">
        <v>39</v>
      </c>
      <c r="D667" s="2" t="s">
        <v>4861</v>
      </c>
      <c r="E667" s="2" t="s">
        <v>4261</v>
      </c>
      <c r="F667" s="2" t="s">
        <v>8</v>
      </c>
      <c r="G667" s="2" t="n">
        <v>131</v>
      </c>
    </row>
    <row r="668" customFormat="false" ht="15" hidden="false" customHeight="false" outlineLevel="0" collapsed="false">
      <c r="A668" s="2" t="s">
        <v>427</v>
      </c>
      <c r="B668" s="2" t="s">
        <v>428</v>
      </c>
      <c r="C668" s="2" t="s">
        <v>39</v>
      </c>
      <c r="D668" s="2" t="s">
        <v>4862</v>
      </c>
      <c r="E668" s="2" t="s">
        <v>4261</v>
      </c>
      <c r="F668" s="2" t="s">
        <v>8</v>
      </c>
      <c r="G668" s="2" t="n">
        <v>131</v>
      </c>
    </row>
    <row r="669" customFormat="false" ht="15" hidden="false" customHeight="false" outlineLevel="0" collapsed="false">
      <c r="A669" s="2" t="s">
        <v>427</v>
      </c>
      <c r="B669" s="2" t="s">
        <v>428</v>
      </c>
      <c r="C669" s="2" t="s">
        <v>39</v>
      </c>
      <c r="D669" s="2" t="s">
        <v>4863</v>
      </c>
      <c r="E669" s="2" t="s">
        <v>4261</v>
      </c>
      <c r="F669" s="2" t="s">
        <v>8</v>
      </c>
      <c r="G669" s="2" t="n">
        <v>131</v>
      </c>
    </row>
    <row r="670" customFormat="false" ht="15" hidden="false" customHeight="false" outlineLevel="0" collapsed="false">
      <c r="A670" s="2" t="s">
        <v>427</v>
      </c>
      <c r="B670" s="2" t="s">
        <v>428</v>
      </c>
      <c r="C670" s="2" t="s">
        <v>39</v>
      </c>
      <c r="D670" s="2" t="s">
        <v>2100</v>
      </c>
      <c r="E670" s="2" t="s">
        <v>4261</v>
      </c>
      <c r="F670" s="2" t="s">
        <v>8</v>
      </c>
      <c r="G670" s="2" t="n">
        <v>131</v>
      </c>
    </row>
    <row r="671" customFormat="false" ht="15" hidden="false" customHeight="false" outlineLevel="0" collapsed="false">
      <c r="A671" s="2" t="s">
        <v>427</v>
      </c>
      <c r="B671" s="2" t="s">
        <v>428</v>
      </c>
      <c r="C671" s="2" t="s">
        <v>39</v>
      </c>
      <c r="D671" s="2" t="s">
        <v>4864</v>
      </c>
      <c r="E671" s="2" t="s">
        <v>4261</v>
      </c>
      <c r="F671" s="2" t="s">
        <v>8</v>
      </c>
      <c r="G671" s="2" t="n">
        <v>131</v>
      </c>
    </row>
    <row r="672" customFormat="false" ht="15" hidden="false" customHeight="false" outlineLevel="0" collapsed="false">
      <c r="A672" s="2" t="s">
        <v>432</v>
      </c>
      <c r="B672" s="2" t="s">
        <v>433</v>
      </c>
      <c r="C672" s="2" t="s">
        <v>27</v>
      </c>
      <c r="D672" s="2" t="s">
        <v>434</v>
      </c>
      <c r="E672" s="2" t="s">
        <v>4271</v>
      </c>
      <c r="F672" s="2" t="s">
        <v>8</v>
      </c>
      <c r="G672" s="2" t="n">
        <v>132</v>
      </c>
    </row>
    <row r="673" customFormat="false" ht="15" hidden="false" customHeight="false" outlineLevel="0" collapsed="false">
      <c r="A673" s="2" t="s">
        <v>436</v>
      </c>
      <c r="B673" s="2" t="s">
        <v>70</v>
      </c>
      <c r="C673" s="2" t="s">
        <v>70</v>
      </c>
      <c r="D673" s="2" t="s">
        <v>4865</v>
      </c>
      <c r="E673" s="2" t="s">
        <v>4261</v>
      </c>
      <c r="F673" s="2" t="s">
        <v>8</v>
      </c>
      <c r="G673" s="2" t="n">
        <v>133</v>
      </c>
    </row>
    <row r="674" customFormat="false" ht="15" hidden="false" customHeight="false" outlineLevel="0" collapsed="false">
      <c r="A674" s="2" t="s">
        <v>436</v>
      </c>
      <c r="B674" s="2" t="s">
        <v>70</v>
      </c>
      <c r="C674" s="2" t="s">
        <v>70</v>
      </c>
      <c r="D674" s="2" t="s">
        <v>4866</v>
      </c>
      <c r="E674" s="2" t="s">
        <v>4264</v>
      </c>
      <c r="F674" s="2" t="s">
        <v>8</v>
      </c>
      <c r="G674" s="2" t="n">
        <v>133</v>
      </c>
    </row>
    <row r="675" customFormat="false" ht="15" hidden="false" customHeight="false" outlineLevel="0" collapsed="false">
      <c r="A675" s="2" t="s">
        <v>436</v>
      </c>
      <c r="B675" s="2" t="s">
        <v>70</v>
      </c>
      <c r="C675" s="2" t="s">
        <v>70</v>
      </c>
      <c r="D675" s="2" t="s">
        <v>4867</v>
      </c>
      <c r="E675" s="2" t="s">
        <v>4264</v>
      </c>
      <c r="F675" s="2" t="s">
        <v>8</v>
      </c>
      <c r="G675" s="2" t="n">
        <v>133</v>
      </c>
    </row>
    <row r="676" customFormat="false" ht="15" hidden="false" customHeight="false" outlineLevel="0" collapsed="false">
      <c r="A676" s="2" t="s">
        <v>438</v>
      </c>
      <c r="B676" s="2" t="s">
        <v>439</v>
      </c>
      <c r="C676" s="2" t="s">
        <v>27</v>
      </c>
      <c r="D676" s="2" t="s">
        <v>4868</v>
      </c>
      <c r="E676" s="2" t="s">
        <v>4271</v>
      </c>
      <c r="F676" s="2" t="s">
        <v>9</v>
      </c>
      <c r="G676" s="2" t="n">
        <v>134</v>
      </c>
    </row>
    <row r="677" customFormat="false" ht="15" hidden="false" customHeight="false" outlineLevel="0" collapsed="false">
      <c r="A677" s="2" t="s">
        <v>438</v>
      </c>
      <c r="B677" s="2" t="s">
        <v>439</v>
      </c>
      <c r="C677" s="2" t="s">
        <v>27</v>
      </c>
      <c r="D677" s="2" t="s">
        <v>86</v>
      </c>
      <c r="E677" s="2" t="s">
        <v>4261</v>
      </c>
      <c r="F677" s="2" t="s">
        <v>9</v>
      </c>
      <c r="G677" s="2" t="n">
        <v>134</v>
      </c>
    </row>
    <row r="678" customFormat="false" ht="15" hidden="false" customHeight="false" outlineLevel="0" collapsed="false">
      <c r="A678" s="2" t="s">
        <v>438</v>
      </c>
      <c r="B678" s="2" t="s">
        <v>439</v>
      </c>
      <c r="C678" s="2" t="s">
        <v>27</v>
      </c>
      <c r="D678" s="2" t="s">
        <v>4869</v>
      </c>
      <c r="E678" s="2" t="s">
        <v>4271</v>
      </c>
      <c r="F678" s="2" t="s">
        <v>9</v>
      </c>
      <c r="G678" s="2" t="n">
        <v>134</v>
      </c>
    </row>
    <row r="679" customFormat="false" ht="15" hidden="false" customHeight="false" outlineLevel="0" collapsed="false">
      <c r="A679" s="2" t="s">
        <v>441</v>
      </c>
      <c r="B679" s="2" t="s">
        <v>70</v>
      </c>
      <c r="C679" s="2" t="s">
        <v>70</v>
      </c>
      <c r="D679" s="2" t="s">
        <v>4870</v>
      </c>
      <c r="E679" s="2" t="s">
        <v>4264</v>
      </c>
      <c r="F679" s="2" t="s">
        <v>8</v>
      </c>
      <c r="G679" s="2" t="n">
        <v>135</v>
      </c>
    </row>
    <row r="680" customFormat="false" ht="15" hidden="false" customHeight="false" outlineLevel="0" collapsed="false">
      <c r="A680" s="2" t="s">
        <v>441</v>
      </c>
      <c r="B680" s="2" t="s">
        <v>70</v>
      </c>
      <c r="C680" s="2" t="s">
        <v>70</v>
      </c>
      <c r="D680" s="2" t="s">
        <v>4871</v>
      </c>
      <c r="E680" s="2" t="s">
        <v>4271</v>
      </c>
      <c r="F680" s="2" t="s">
        <v>8</v>
      </c>
      <c r="G680" s="2" t="n">
        <v>135</v>
      </c>
    </row>
    <row r="681" customFormat="false" ht="15" hidden="false" customHeight="false" outlineLevel="0" collapsed="false">
      <c r="A681" s="2" t="s">
        <v>441</v>
      </c>
      <c r="B681" s="2" t="s">
        <v>70</v>
      </c>
      <c r="C681" s="2" t="s">
        <v>70</v>
      </c>
      <c r="D681" s="2" t="s">
        <v>4872</v>
      </c>
      <c r="E681" s="2" t="s">
        <v>4261</v>
      </c>
      <c r="F681" s="2" t="s">
        <v>8</v>
      </c>
      <c r="G681" s="2" t="n">
        <v>135</v>
      </c>
    </row>
    <row r="682" customFormat="false" ht="15" hidden="false" customHeight="false" outlineLevel="0" collapsed="false">
      <c r="A682" s="2" t="s">
        <v>441</v>
      </c>
      <c r="B682" s="2" t="s">
        <v>70</v>
      </c>
      <c r="C682" s="2" t="s">
        <v>70</v>
      </c>
      <c r="D682" s="2" t="s">
        <v>4873</v>
      </c>
      <c r="E682" s="2" t="s">
        <v>4264</v>
      </c>
      <c r="F682" s="2" t="s">
        <v>8</v>
      </c>
      <c r="G682" s="2" t="n">
        <v>135</v>
      </c>
    </row>
    <row r="683" customFormat="false" ht="15" hidden="false" customHeight="false" outlineLevel="0" collapsed="false">
      <c r="A683" s="2" t="s">
        <v>441</v>
      </c>
      <c r="B683" s="2" t="s">
        <v>70</v>
      </c>
      <c r="C683" s="2" t="s">
        <v>70</v>
      </c>
      <c r="D683" s="2" t="s">
        <v>4874</v>
      </c>
      <c r="E683" s="2" t="s">
        <v>4264</v>
      </c>
      <c r="F683" s="2" t="s">
        <v>8</v>
      </c>
      <c r="G683" s="2" t="n">
        <v>135</v>
      </c>
    </row>
    <row r="684" customFormat="false" ht="15" hidden="false" customHeight="false" outlineLevel="0" collapsed="false">
      <c r="A684" s="2" t="s">
        <v>441</v>
      </c>
      <c r="B684" s="2" t="s">
        <v>70</v>
      </c>
      <c r="C684" s="2" t="s">
        <v>70</v>
      </c>
      <c r="D684" s="2" t="s">
        <v>4875</v>
      </c>
      <c r="E684" s="2" t="s">
        <v>4264</v>
      </c>
      <c r="F684" s="2" t="s">
        <v>8</v>
      </c>
      <c r="G684" s="2" t="n">
        <v>135</v>
      </c>
    </row>
    <row r="685" customFormat="false" ht="15" hidden="false" customHeight="false" outlineLevel="0" collapsed="false">
      <c r="A685" s="2" t="s">
        <v>445</v>
      </c>
      <c r="B685" s="2" t="s">
        <v>446</v>
      </c>
      <c r="C685" s="2" t="s">
        <v>70</v>
      </c>
      <c r="D685" s="2" t="s">
        <v>446</v>
      </c>
      <c r="E685" s="2" t="s">
        <v>4271</v>
      </c>
      <c r="F685" s="2" t="s">
        <v>8</v>
      </c>
      <c r="G685" s="2" t="n">
        <v>137</v>
      </c>
    </row>
    <row r="686" customFormat="false" ht="15" hidden="false" customHeight="false" outlineLevel="0" collapsed="false">
      <c r="A686" s="2" t="s">
        <v>445</v>
      </c>
      <c r="B686" s="2" t="s">
        <v>446</v>
      </c>
      <c r="C686" s="2" t="s">
        <v>70</v>
      </c>
      <c r="D686" s="2" t="s">
        <v>4876</v>
      </c>
      <c r="E686" s="2" t="s">
        <v>4271</v>
      </c>
      <c r="F686" s="2" t="s">
        <v>8</v>
      </c>
      <c r="G686" s="2" t="n">
        <v>137</v>
      </c>
    </row>
    <row r="687" customFormat="false" ht="15" hidden="false" customHeight="false" outlineLevel="0" collapsed="false">
      <c r="A687" s="2" t="s">
        <v>453</v>
      </c>
      <c r="B687" s="2" t="s">
        <v>454</v>
      </c>
      <c r="C687" s="2" t="s">
        <v>455</v>
      </c>
      <c r="D687" s="2" t="s">
        <v>4877</v>
      </c>
      <c r="E687" s="2" t="s">
        <v>4261</v>
      </c>
      <c r="F687" s="2" t="s">
        <v>9</v>
      </c>
      <c r="G687" s="2" t="n">
        <v>140</v>
      </c>
    </row>
    <row r="688" customFormat="false" ht="15" hidden="false" customHeight="false" outlineLevel="0" collapsed="false">
      <c r="A688" s="2" t="s">
        <v>453</v>
      </c>
      <c r="B688" s="2" t="s">
        <v>454</v>
      </c>
      <c r="C688" s="2" t="s">
        <v>455</v>
      </c>
      <c r="D688" s="2" t="s">
        <v>854</v>
      </c>
      <c r="E688" s="2" t="s">
        <v>4261</v>
      </c>
      <c r="F688" s="2" t="s">
        <v>9</v>
      </c>
      <c r="G688" s="2" t="n">
        <v>140</v>
      </c>
    </row>
    <row r="689" customFormat="false" ht="15" hidden="false" customHeight="false" outlineLevel="0" collapsed="false">
      <c r="A689" s="2" t="s">
        <v>453</v>
      </c>
      <c r="B689" s="2" t="s">
        <v>454</v>
      </c>
      <c r="C689" s="2" t="s">
        <v>455</v>
      </c>
      <c r="D689" s="2" t="s">
        <v>4878</v>
      </c>
      <c r="E689" s="2" t="s">
        <v>4261</v>
      </c>
      <c r="F689" s="2" t="s">
        <v>9</v>
      </c>
      <c r="G689" s="2" t="n">
        <v>140</v>
      </c>
    </row>
    <row r="690" customFormat="false" ht="15" hidden="false" customHeight="false" outlineLevel="0" collapsed="false">
      <c r="A690" s="2" t="s">
        <v>453</v>
      </c>
      <c r="B690" s="2" t="s">
        <v>454</v>
      </c>
      <c r="C690" s="2" t="s">
        <v>455</v>
      </c>
      <c r="D690" s="2" t="s">
        <v>4879</v>
      </c>
      <c r="E690" s="2" t="s">
        <v>4261</v>
      </c>
      <c r="F690" s="2" t="s">
        <v>9</v>
      </c>
      <c r="G690" s="2" t="n">
        <v>140</v>
      </c>
    </row>
    <row r="691" customFormat="false" ht="15" hidden="false" customHeight="false" outlineLevel="0" collapsed="false">
      <c r="A691" s="2" t="s">
        <v>459</v>
      </c>
      <c r="B691" s="2" t="s">
        <v>460</v>
      </c>
      <c r="C691" s="2" t="s">
        <v>105</v>
      </c>
      <c r="D691" s="2" t="s">
        <v>4880</v>
      </c>
      <c r="E691" s="2" t="s">
        <v>4261</v>
      </c>
      <c r="F691" s="2" t="s">
        <v>8</v>
      </c>
      <c r="G691" s="2" t="n">
        <v>141</v>
      </c>
    </row>
    <row r="692" customFormat="false" ht="15" hidden="false" customHeight="false" outlineLevel="0" collapsed="false">
      <c r="A692" s="2" t="s">
        <v>459</v>
      </c>
      <c r="B692" s="2" t="s">
        <v>460</v>
      </c>
      <c r="C692" s="2" t="s">
        <v>105</v>
      </c>
      <c r="D692" s="2" t="s">
        <v>4881</v>
      </c>
      <c r="E692" s="2" t="s">
        <v>4261</v>
      </c>
      <c r="F692" s="2" t="s">
        <v>8</v>
      </c>
      <c r="G692" s="2" t="n">
        <v>141</v>
      </c>
    </row>
    <row r="693" customFormat="false" ht="15" hidden="false" customHeight="false" outlineLevel="0" collapsed="false">
      <c r="A693" s="2" t="s">
        <v>459</v>
      </c>
      <c r="B693" s="2" t="s">
        <v>460</v>
      </c>
      <c r="C693" s="2" t="s">
        <v>105</v>
      </c>
      <c r="D693" s="2" t="s">
        <v>4882</v>
      </c>
      <c r="E693" s="2" t="s">
        <v>4261</v>
      </c>
      <c r="F693" s="2" t="s">
        <v>8</v>
      </c>
      <c r="G693" s="2" t="n">
        <v>141</v>
      </c>
    </row>
    <row r="694" customFormat="false" ht="15" hidden="false" customHeight="false" outlineLevel="0" collapsed="false">
      <c r="A694" s="2" t="s">
        <v>459</v>
      </c>
      <c r="B694" s="2" t="s">
        <v>460</v>
      </c>
      <c r="C694" s="2" t="s">
        <v>105</v>
      </c>
      <c r="D694" s="2" t="s">
        <v>4883</v>
      </c>
      <c r="E694" s="2" t="s">
        <v>4261</v>
      </c>
      <c r="F694" s="2" t="s">
        <v>8</v>
      </c>
      <c r="G694" s="2" t="n">
        <v>141</v>
      </c>
    </row>
    <row r="695" customFormat="false" ht="15" hidden="false" customHeight="false" outlineLevel="0" collapsed="false">
      <c r="A695" s="2" t="s">
        <v>459</v>
      </c>
      <c r="B695" s="2" t="s">
        <v>460</v>
      </c>
      <c r="C695" s="2" t="s">
        <v>105</v>
      </c>
      <c r="D695" s="2" t="s">
        <v>4884</v>
      </c>
      <c r="E695" s="2" t="s">
        <v>4261</v>
      </c>
      <c r="F695" s="2" t="s">
        <v>8</v>
      </c>
      <c r="G695" s="2" t="n">
        <v>141</v>
      </c>
    </row>
    <row r="696" customFormat="false" ht="15" hidden="false" customHeight="false" outlineLevel="0" collapsed="false">
      <c r="A696" s="2" t="s">
        <v>462</v>
      </c>
      <c r="B696" s="2" t="s">
        <v>33</v>
      </c>
      <c r="C696" s="2" t="s">
        <v>34</v>
      </c>
      <c r="D696" s="2" t="s">
        <v>4885</v>
      </c>
      <c r="E696" s="2" t="s">
        <v>4261</v>
      </c>
      <c r="F696" s="2" t="s">
        <v>9</v>
      </c>
      <c r="G696" s="2" t="n">
        <v>142</v>
      </c>
    </row>
    <row r="697" customFormat="false" ht="15" hidden="false" customHeight="false" outlineLevel="0" collapsed="false">
      <c r="A697" s="2" t="s">
        <v>462</v>
      </c>
      <c r="B697" s="2" t="s">
        <v>33</v>
      </c>
      <c r="C697" s="2" t="s">
        <v>34</v>
      </c>
      <c r="D697" s="2" t="s">
        <v>4886</v>
      </c>
      <c r="E697" s="2" t="s">
        <v>4261</v>
      </c>
      <c r="F697" s="2" t="s">
        <v>9</v>
      </c>
      <c r="G697" s="2" t="n">
        <v>142</v>
      </c>
    </row>
    <row r="698" customFormat="false" ht="15" hidden="false" customHeight="false" outlineLevel="0" collapsed="false">
      <c r="A698" s="2" t="s">
        <v>462</v>
      </c>
      <c r="B698" s="2" t="s">
        <v>33</v>
      </c>
      <c r="C698" s="2" t="s">
        <v>34</v>
      </c>
      <c r="D698" s="2" t="s">
        <v>4887</v>
      </c>
      <c r="E698" s="2" t="s">
        <v>4261</v>
      </c>
      <c r="F698" s="2" t="s">
        <v>9</v>
      </c>
      <c r="G698" s="2" t="n">
        <v>142</v>
      </c>
    </row>
    <row r="699" customFormat="false" ht="15" hidden="false" customHeight="false" outlineLevel="0" collapsed="false">
      <c r="A699" s="2" t="s">
        <v>462</v>
      </c>
      <c r="B699" s="2" t="s">
        <v>33</v>
      </c>
      <c r="C699" s="2" t="s">
        <v>34</v>
      </c>
      <c r="D699" s="2" t="s">
        <v>4888</v>
      </c>
      <c r="E699" s="2" t="s">
        <v>4261</v>
      </c>
      <c r="F699" s="2" t="s">
        <v>9</v>
      </c>
      <c r="G699" s="2" t="n">
        <v>142</v>
      </c>
    </row>
    <row r="700" customFormat="false" ht="15" hidden="false" customHeight="false" outlineLevel="0" collapsed="false">
      <c r="A700" s="2" t="s">
        <v>462</v>
      </c>
      <c r="B700" s="2" t="s">
        <v>33</v>
      </c>
      <c r="C700" s="2" t="s">
        <v>34</v>
      </c>
      <c r="D700" s="2" t="s">
        <v>4889</v>
      </c>
      <c r="E700" s="2" t="s">
        <v>4261</v>
      </c>
      <c r="F700" s="2" t="s">
        <v>9</v>
      </c>
      <c r="G700" s="2" t="n">
        <v>142</v>
      </c>
    </row>
    <row r="701" customFormat="false" ht="15" hidden="false" customHeight="false" outlineLevel="0" collapsed="false">
      <c r="A701" s="2" t="s">
        <v>462</v>
      </c>
      <c r="B701" s="2" t="s">
        <v>33</v>
      </c>
      <c r="C701" s="2" t="s">
        <v>34</v>
      </c>
      <c r="D701" s="2" t="s">
        <v>4890</v>
      </c>
      <c r="E701" s="2" t="s">
        <v>4261</v>
      </c>
      <c r="F701" s="2" t="s">
        <v>9</v>
      </c>
      <c r="G701" s="2" t="n">
        <v>142</v>
      </c>
    </row>
    <row r="702" customFormat="false" ht="15" hidden="false" customHeight="false" outlineLevel="0" collapsed="false">
      <c r="A702" s="2" t="s">
        <v>462</v>
      </c>
      <c r="B702" s="2" t="s">
        <v>33</v>
      </c>
      <c r="C702" s="2" t="s">
        <v>34</v>
      </c>
      <c r="D702" s="2" t="s">
        <v>4891</v>
      </c>
      <c r="E702" s="2" t="s">
        <v>4261</v>
      </c>
      <c r="F702" s="2" t="s">
        <v>9</v>
      </c>
      <c r="G702" s="2" t="n">
        <v>142</v>
      </c>
    </row>
    <row r="703" customFormat="false" ht="15" hidden="false" customHeight="false" outlineLevel="0" collapsed="false">
      <c r="A703" s="2" t="s">
        <v>462</v>
      </c>
      <c r="B703" s="2" t="s">
        <v>33</v>
      </c>
      <c r="C703" s="2" t="s">
        <v>34</v>
      </c>
      <c r="D703" s="2" t="s">
        <v>4892</v>
      </c>
      <c r="E703" s="2" t="s">
        <v>4261</v>
      </c>
      <c r="F703" s="2" t="s">
        <v>9</v>
      </c>
      <c r="G703" s="2" t="n">
        <v>142</v>
      </c>
    </row>
    <row r="704" customFormat="false" ht="15" hidden="false" customHeight="false" outlineLevel="0" collapsed="false">
      <c r="A704" s="2" t="s">
        <v>462</v>
      </c>
      <c r="B704" s="2" t="s">
        <v>33</v>
      </c>
      <c r="C704" s="2" t="s">
        <v>34</v>
      </c>
      <c r="D704" s="2" t="s">
        <v>4893</v>
      </c>
      <c r="E704" s="2" t="s">
        <v>4261</v>
      </c>
      <c r="F704" s="2" t="s">
        <v>9</v>
      </c>
      <c r="G704" s="2" t="n">
        <v>142</v>
      </c>
    </row>
    <row r="705" customFormat="false" ht="15" hidden="false" customHeight="false" outlineLevel="0" collapsed="false">
      <c r="A705" s="2" t="s">
        <v>462</v>
      </c>
      <c r="B705" s="2" t="s">
        <v>33</v>
      </c>
      <c r="C705" s="2" t="s">
        <v>34</v>
      </c>
      <c r="D705" s="2" t="s">
        <v>4894</v>
      </c>
      <c r="E705" s="2" t="s">
        <v>4261</v>
      </c>
      <c r="F705" s="2" t="s">
        <v>9</v>
      </c>
      <c r="G705" s="2" t="n">
        <v>142</v>
      </c>
    </row>
    <row r="706" customFormat="false" ht="15" hidden="false" customHeight="false" outlineLevel="0" collapsed="false">
      <c r="A706" s="2" t="s">
        <v>462</v>
      </c>
      <c r="B706" s="2" t="s">
        <v>33</v>
      </c>
      <c r="C706" s="2" t="s">
        <v>34</v>
      </c>
      <c r="D706" s="2" t="s">
        <v>4895</v>
      </c>
      <c r="E706" s="2" t="s">
        <v>4261</v>
      </c>
      <c r="F706" s="2" t="s">
        <v>9</v>
      </c>
      <c r="G706" s="2" t="n">
        <v>142</v>
      </c>
    </row>
    <row r="707" customFormat="false" ht="15" hidden="false" customHeight="false" outlineLevel="0" collapsed="false">
      <c r="A707" s="2" t="s">
        <v>462</v>
      </c>
      <c r="B707" s="2" t="s">
        <v>33</v>
      </c>
      <c r="C707" s="2" t="s">
        <v>34</v>
      </c>
      <c r="D707" s="2" t="s">
        <v>4896</v>
      </c>
      <c r="E707" s="2" t="s">
        <v>4261</v>
      </c>
      <c r="F707" s="2" t="s">
        <v>9</v>
      </c>
      <c r="G707" s="2" t="n">
        <v>142</v>
      </c>
    </row>
    <row r="708" customFormat="false" ht="15" hidden="false" customHeight="false" outlineLevel="0" collapsed="false">
      <c r="A708" s="2" t="s">
        <v>462</v>
      </c>
      <c r="B708" s="2" t="s">
        <v>33</v>
      </c>
      <c r="C708" s="2" t="s">
        <v>34</v>
      </c>
      <c r="D708" s="2" t="s">
        <v>4897</v>
      </c>
      <c r="E708" s="2" t="s">
        <v>4261</v>
      </c>
      <c r="F708" s="2" t="s">
        <v>9</v>
      </c>
      <c r="G708" s="2" t="n">
        <v>142</v>
      </c>
    </row>
    <row r="709" customFormat="false" ht="15" hidden="false" customHeight="false" outlineLevel="0" collapsed="false">
      <c r="A709" s="2" t="s">
        <v>462</v>
      </c>
      <c r="B709" s="2" t="s">
        <v>33</v>
      </c>
      <c r="C709" s="2" t="s">
        <v>34</v>
      </c>
      <c r="D709" s="2" t="s">
        <v>4898</v>
      </c>
      <c r="E709" s="2" t="s">
        <v>4261</v>
      </c>
      <c r="F709" s="2" t="s">
        <v>9</v>
      </c>
      <c r="G709" s="2" t="n">
        <v>142</v>
      </c>
    </row>
    <row r="710" customFormat="false" ht="15" hidden="false" customHeight="false" outlineLevel="0" collapsed="false">
      <c r="A710" s="2" t="s">
        <v>462</v>
      </c>
      <c r="B710" s="2" t="s">
        <v>33</v>
      </c>
      <c r="C710" s="2" t="s">
        <v>34</v>
      </c>
      <c r="D710" s="2" t="s">
        <v>4899</v>
      </c>
      <c r="E710" s="2" t="s">
        <v>4261</v>
      </c>
      <c r="F710" s="2" t="s">
        <v>9</v>
      </c>
      <c r="G710" s="2" t="n">
        <v>142</v>
      </c>
    </row>
    <row r="711" customFormat="false" ht="15" hidden="false" customHeight="false" outlineLevel="0" collapsed="false">
      <c r="A711" s="2" t="s">
        <v>462</v>
      </c>
      <c r="B711" s="2" t="s">
        <v>33</v>
      </c>
      <c r="C711" s="2" t="s">
        <v>34</v>
      </c>
      <c r="D711" s="2" t="s">
        <v>4900</v>
      </c>
      <c r="E711" s="2" t="s">
        <v>4261</v>
      </c>
      <c r="F711" s="2" t="s">
        <v>9</v>
      </c>
      <c r="G711" s="2" t="n">
        <v>142</v>
      </c>
    </row>
    <row r="712" customFormat="false" ht="15" hidden="false" customHeight="false" outlineLevel="0" collapsed="false">
      <c r="A712" s="2" t="s">
        <v>462</v>
      </c>
      <c r="B712" s="2" t="s">
        <v>33</v>
      </c>
      <c r="C712" s="2" t="s">
        <v>34</v>
      </c>
      <c r="D712" s="2" t="s">
        <v>4901</v>
      </c>
      <c r="E712" s="2" t="s">
        <v>4261</v>
      </c>
      <c r="F712" s="2" t="s">
        <v>9</v>
      </c>
      <c r="G712" s="2" t="n">
        <v>142</v>
      </c>
    </row>
    <row r="713" customFormat="false" ht="15" hidden="false" customHeight="false" outlineLevel="0" collapsed="false">
      <c r="A713" s="2" t="s">
        <v>462</v>
      </c>
      <c r="B713" s="2" t="s">
        <v>33</v>
      </c>
      <c r="C713" s="2" t="s">
        <v>34</v>
      </c>
      <c r="D713" s="2" t="s">
        <v>4902</v>
      </c>
      <c r="E713" s="2" t="s">
        <v>4261</v>
      </c>
      <c r="F713" s="2" t="s">
        <v>9</v>
      </c>
      <c r="G713" s="2" t="n">
        <v>142</v>
      </c>
    </row>
    <row r="714" customFormat="false" ht="15" hidden="false" customHeight="false" outlineLevel="0" collapsed="false">
      <c r="A714" s="2" t="s">
        <v>462</v>
      </c>
      <c r="B714" s="2" t="s">
        <v>33</v>
      </c>
      <c r="C714" s="2" t="s">
        <v>34</v>
      </c>
      <c r="D714" s="2" t="s">
        <v>4032</v>
      </c>
      <c r="E714" s="2" t="s">
        <v>4261</v>
      </c>
      <c r="F714" s="2" t="s">
        <v>9</v>
      </c>
      <c r="G714" s="2" t="n">
        <v>142</v>
      </c>
    </row>
    <row r="715" customFormat="false" ht="15" hidden="false" customHeight="false" outlineLevel="0" collapsed="false">
      <c r="A715" s="2" t="s">
        <v>462</v>
      </c>
      <c r="B715" s="2" t="s">
        <v>33</v>
      </c>
      <c r="C715" s="2" t="s">
        <v>34</v>
      </c>
      <c r="D715" s="2" t="s">
        <v>1510</v>
      </c>
      <c r="E715" s="2" t="s">
        <v>4261</v>
      </c>
      <c r="F715" s="2" t="s">
        <v>9</v>
      </c>
      <c r="G715" s="2" t="n">
        <v>142</v>
      </c>
    </row>
    <row r="716" customFormat="false" ht="15" hidden="false" customHeight="false" outlineLevel="0" collapsed="false">
      <c r="A716" s="2" t="s">
        <v>462</v>
      </c>
      <c r="B716" s="2" t="s">
        <v>33</v>
      </c>
      <c r="C716" s="2" t="s">
        <v>34</v>
      </c>
      <c r="D716" s="2" t="s">
        <v>4903</v>
      </c>
      <c r="E716" s="2" t="s">
        <v>4261</v>
      </c>
      <c r="F716" s="2" t="s">
        <v>9</v>
      </c>
      <c r="G716" s="2" t="n">
        <v>142</v>
      </c>
    </row>
    <row r="717" customFormat="false" ht="15" hidden="false" customHeight="false" outlineLevel="0" collapsed="false">
      <c r="A717" s="2" t="s">
        <v>462</v>
      </c>
      <c r="B717" s="2" t="s">
        <v>33</v>
      </c>
      <c r="C717" s="2" t="s">
        <v>34</v>
      </c>
      <c r="D717" s="2" t="s">
        <v>4904</v>
      </c>
      <c r="E717" s="2" t="s">
        <v>4261</v>
      </c>
      <c r="F717" s="2" t="s">
        <v>9</v>
      </c>
      <c r="G717" s="2" t="n">
        <v>142</v>
      </c>
    </row>
    <row r="718" customFormat="false" ht="15" hidden="false" customHeight="false" outlineLevel="0" collapsed="false">
      <c r="A718" s="2" t="s">
        <v>462</v>
      </c>
      <c r="B718" s="2" t="s">
        <v>33</v>
      </c>
      <c r="C718" s="2" t="s">
        <v>34</v>
      </c>
      <c r="D718" s="2" t="s">
        <v>4905</v>
      </c>
      <c r="E718" s="2" t="s">
        <v>4261</v>
      </c>
      <c r="F718" s="2" t="s">
        <v>9</v>
      </c>
      <c r="G718" s="2" t="n">
        <v>142</v>
      </c>
    </row>
    <row r="719" customFormat="false" ht="15" hidden="false" customHeight="false" outlineLevel="0" collapsed="false">
      <c r="A719" s="2" t="s">
        <v>462</v>
      </c>
      <c r="B719" s="2" t="s">
        <v>33</v>
      </c>
      <c r="C719" s="2" t="s">
        <v>34</v>
      </c>
      <c r="D719" s="2" t="s">
        <v>4906</v>
      </c>
      <c r="E719" s="2" t="s">
        <v>4261</v>
      </c>
      <c r="F719" s="2" t="s">
        <v>9</v>
      </c>
      <c r="G719" s="2" t="n">
        <v>142</v>
      </c>
    </row>
    <row r="720" customFormat="false" ht="15" hidden="false" customHeight="false" outlineLevel="0" collapsed="false">
      <c r="A720" s="2" t="s">
        <v>462</v>
      </c>
      <c r="B720" s="2" t="s">
        <v>33</v>
      </c>
      <c r="C720" s="2" t="s">
        <v>34</v>
      </c>
      <c r="D720" s="2" t="s">
        <v>4907</v>
      </c>
      <c r="E720" s="2" t="s">
        <v>4261</v>
      </c>
      <c r="F720" s="2" t="s">
        <v>9</v>
      </c>
      <c r="G720" s="2" t="n">
        <v>142</v>
      </c>
    </row>
    <row r="721" customFormat="false" ht="15" hidden="false" customHeight="false" outlineLevel="0" collapsed="false">
      <c r="A721" s="2" t="s">
        <v>462</v>
      </c>
      <c r="B721" s="2" t="s">
        <v>33</v>
      </c>
      <c r="C721" s="2" t="s">
        <v>34</v>
      </c>
      <c r="D721" s="2" t="s">
        <v>4908</v>
      </c>
      <c r="E721" s="2" t="s">
        <v>4261</v>
      </c>
      <c r="F721" s="2" t="s">
        <v>9</v>
      </c>
      <c r="G721" s="2" t="n">
        <v>142</v>
      </c>
    </row>
    <row r="722" customFormat="false" ht="15" hidden="false" customHeight="false" outlineLevel="0" collapsed="false">
      <c r="A722" s="2" t="s">
        <v>462</v>
      </c>
      <c r="B722" s="2" t="s">
        <v>33</v>
      </c>
      <c r="C722" s="2" t="s">
        <v>34</v>
      </c>
      <c r="D722" s="2" t="s">
        <v>4909</v>
      </c>
      <c r="E722" s="2" t="s">
        <v>4261</v>
      </c>
      <c r="F722" s="2" t="s">
        <v>9</v>
      </c>
      <c r="G722" s="2" t="n">
        <v>142</v>
      </c>
    </row>
    <row r="723" customFormat="false" ht="15" hidden="false" customHeight="false" outlineLevel="0" collapsed="false">
      <c r="A723" s="2" t="s">
        <v>462</v>
      </c>
      <c r="B723" s="2" t="s">
        <v>33</v>
      </c>
      <c r="C723" s="2" t="s">
        <v>34</v>
      </c>
      <c r="D723" s="2" t="s">
        <v>4910</v>
      </c>
      <c r="E723" s="2" t="s">
        <v>4261</v>
      </c>
      <c r="F723" s="2" t="s">
        <v>9</v>
      </c>
      <c r="G723" s="2" t="n">
        <v>142</v>
      </c>
    </row>
    <row r="724" customFormat="false" ht="15" hidden="false" customHeight="false" outlineLevel="0" collapsed="false">
      <c r="A724" s="2" t="s">
        <v>462</v>
      </c>
      <c r="B724" s="2" t="s">
        <v>33</v>
      </c>
      <c r="C724" s="2" t="s">
        <v>34</v>
      </c>
      <c r="D724" s="2" t="s">
        <v>717</v>
      </c>
      <c r="E724" s="2" t="s">
        <v>4261</v>
      </c>
      <c r="F724" s="2" t="s">
        <v>9</v>
      </c>
      <c r="G724" s="2" t="n">
        <v>142</v>
      </c>
    </row>
    <row r="725" customFormat="false" ht="15" hidden="false" customHeight="false" outlineLevel="0" collapsed="false">
      <c r="A725" s="2" t="s">
        <v>462</v>
      </c>
      <c r="B725" s="2" t="s">
        <v>33</v>
      </c>
      <c r="C725" s="2" t="s">
        <v>34</v>
      </c>
      <c r="D725" s="2" t="s">
        <v>4911</v>
      </c>
      <c r="E725" s="2" t="s">
        <v>4261</v>
      </c>
      <c r="F725" s="2" t="s">
        <v>9</v>
      </c>
      <c r="G725" s="2" t="n">
        <v>142</v>
      </c>
    </row>
    <row r="726" customFormat="false" ht="15" hidden="false" customHeight="false" outlineLevel="0" collapsed="false">
      <c r="A726" s="2" t="s">
        <v>462</v>
      </c>
      <c r="B726" s="2" t="s">
        <v>33</v>
      </c>
      <c r="C726" s="2" t="s">
        <v>34</v>
      </c>
      <c r="D726" s="2" t="s">
        <v>4912</v>
      </c>
      <c r="E726" s="2" t="s">
        <v>4261</v>
      </c>
      <c r="F726" s="2" t="s">
        <v>9</v>
      </c>
      <c r="G726" s="2" t="n">
        <v>142</v>
      </c>
    </row>
    <row r="727" customFormat="false" ht="15" hidden="false" customHeight="false" outlineLevel="0" collapsed="false">
      <c r="A727" s="2" t="s">
        <v>462</v>
      </c>
      <c r="B727" s="2" t="s">
        <v>33</v>
      </c>
      <c r="C727" s="2" t="s">
        <v>34</v>
      </c>
      <c r="D727" s="2" t="s">
        <v>4913</v>
      </c>
      <c r="E727" s="2" t="s">
        <v>4261</v>
      </c>
      <c r="F727" s="2" t="s">
        <v>9</v>
      </c>
      <c r="G727" s="2" t="n">
        <v>142</v>
      </c>
    </row>
    <row r="728" customFormat="false" ht="15" hidden="false" customHeight="false" outlineLevel="0" collapsed="false">
      <c r="A728" s="2" t="s">
        <v>462</v>
      </c>
      <c r="B728" s="2" t="s">
        <v>33</v>
      </c>
      <c r="C728" s="2" t="s">
        <v>34</v>
      </c>
      <c r="D728" s="2" t="s">
        <v>4497</v>
      </c>
      <c r="E728" s="2" t="s">
        <v>4261</v>
      </c>
      <c r="F728" s="2" t="s">
        <v>9</v>
      </c>
      <c r="G728" s="2" t="n">
        <v>142</v>
      </c>
    </row>
    <row r="729" customFormat="false" ht="15" hidden="false" customHeight="false" outlineLevel="0" collapsed="false">
      <c r="A729" s="2" t="s">
        <v>462</v>
      </c>
      <c r="B729" s="2" t="s">
        <v>33</v>
      </c>
      <c r="C729" s="2" t="s">
        <v>34</v>
      </c>
      <c r="D729" s="2" t="s">
        <v>4914</v>
      </c>
      <c r="E729" s="2" t="s">
        <v>4261</v>
      </c>
      <c r="F729" s="2" t="s">
        <v>9</v>
      </c>
      <c r="G729" s="2" t="n">
        <v>142</v>
      </c>
    </row>
    <row r="730" customFormat="false" ht="15" hidden="false" customHeight="false" outlineLevel="0" collapsed="false">
      <c r="A730" s="2" t="s">
        <v>462</v>
      </c>
      <c r="B730" s="2" t="s">
        <v>33</v>
      </c>
      <c r="C730" s="2" t="s">
        <v>34</v>
      </c>
      <c r="D730" s="2" t="s">
        <v>4915</v>
      </c>
      <c r="E730" s="2" t="s">
        <v>4261</v>
      </c>
      <c r="F730" s="2" t="s">
        <v>9</v>
      </c>
      <c r="G730" s="2" t="n">
        <v>142</v>
      </c>
    </row>
    <row r="731" customFormat="false" ht="15" hidden="false" customHeight="false" outlineLevel="0" collapsed="false">
      <c r="A731" s="2" t="s">
        <v>462</v>
      </c>
      <c r="B731" s="2" t="s">
        <v>33</v>
      </c>
      <c r="C731" s="2" t="s">
        <v>34</v>
      </c>
      <c r="D731" s="2" t="s">
        <v>4327</v>
      </c>
      <c r="E731" s="2" t="s">
        <v>4261</v>
      </c>
      <c r="F731" s="2" t="s">
        <v>9</v>
      </c>
      <c r="G731" s="2" t="n">
        <v>142</v>
      </c>
    </row>
    <row r="732" customFormat="false" ht="15" hidden="false" customHeight="false" outlineLevel="0" collapsed="false">
      <c r="A732" s="2" t="s">
        <v>462</v>
      </c>
      <c r="B732" s="2" t="s">
        <v>33</v>
      </c>
      <c r="C732" s="2" t="s">
        <v>34</v>
      </c>
      <c r="D732" s="2" t="s">
        <v>4916</v>
      </c>
      <c r="E732" s="2" t="s">
        <v>4261</v>
      </c>
      <c r="F732" s="2" t="s">
        <v>9</v>
      </c>
      <c r="G732" s="2" t="n">
        <v>142</v>
      </c>
    </row>
    <row r="733" customFormat="false" ht="15" hidden="false" customHeight="false" outlineLevel="0" collapsed="false">
      <c r="A733" s="2" t="s">
        <v>462</v>
      </c>
      <c r="B733" s="2" t="s">
        <v>33</v>
      </c>
      <c r="C733" s="2" t="s">
        <v>34</v>
      </c>
      <c r="D733" s="2" t="s">
        <v>4917</v>
      </c>
      <c r="E733" s="2" t="s">
        <v>4261</v>
      </c>
      <c r="F733" s="2" t="s">
        <v>9</v>
      </c>
      <c r="G733" s="2" t="n">
        <v>142</v>
      </c>
    </row>
    <row r="734" customFormat="false" ht="15" hidden="false" customHeight="false" outlineLevel="0" collapsed="false">
      <c r="A734" s="2" t="s">
        <v>462</v>
      </c>
      <c r="B734" s="2" t="s">
        <v>33</v>
      </c>
      <c r="C734" s="2" t="s">
        <v>34</v>
      </c>
      <c r="D734" s="2" t="s">
        <v>4918</v>
      </c>
      <c r="E734" s="2" t="s">
        <v>4261</v>
      </c>
      <c r="F734" s="2" t="s">
        <v>9</v>
      </c>
      <c r="G734" s="2" t="n">
        <v>142</v>
      </c>
    </row>
    <row r="735" customFormat="false" ht="15" hidden="false" customHeight="false" outlineLevel="0" collapsed="false">
      <c r="A735" s="2" t="s">
        <v>466</v>
      </c>
      <c r="B735" s="2" t="s">
        <v>74</v>
      </c>
      <c r="C735" s="2" t="s">
        <v>34</v>
      </c>
      <c r="D735" s="2" t="s">
        <v>467</v>
      </c>
      <c r="E735" s="2" t="s">
        <v>4264</v>
      </c>
      <c r="F735" s="2" t="s">
        <v>8</v>
      </c>
      <c r="G735" s="2" t="n">
        <v>144</v>
      </c>
    </row>
    <row r="736" customFormat="false" ht="15" hidden="false" customHeight="false" outlineLevel="0" collapsed="false">
      <c r="A736" s="2" t="s">
        <v>468</v>
      </c>
      <c r="B736" s="2" t="s">
        <v>352</v>
      </c>
      <c r="C736" s="2" t="s">
        <v>70</v>
      </c>
      <c r="D736" s="2" t="s">
        <v>4919</v>
      </c>
      <c r="E736" s="2" t="s">
        <v>4264</v>
      </c>
      <c r="F736" s="2" t="s">
        <v>8</v>
      </c>
      <c r="G736" s="2" t="n">
        <v>145</v>
      </c>
    </row>
    <row r="737" customFormat="false" ht="15" hidden="false" customHeight="false" outlineLevel="0" collapsed="false">
      <c r="A737" s="2" t="s">
        <v>468</v>
      </c>
      <c r="B737" s="2" t="s">
        <v>352</v>
      </c>
      <c r="C737" s="2" t="s">
        <v>70</v>
      </c>
      <c r="D737" s="2" t="s">
        <v>4920</v>
      </c>
      <c r="E737" s="2" t="s">
        <v>4264</v>
      </c>
      <c r="F737" s="2" t="s">
        <v>8</v>
      </c>
      <c r="G737" s="2" t="n">
        <v>145</v>
      </c>
    </row>
    <row r="738" customFormat="false" ht="15" hidden="false" customHeight="false" outlineLevel="0" collapsed="false">
      <c r="A738" s="2" t="s">
        <v>468</v>
      </c>
      <c r="B738" s="2" t="s">
        <v>352</v>
      </c>
      <c r="C738" s="2" t="s">
        <v>70</v>
      </c>
      <c r="D738" s="2" t="s">
        <v>4921</v>
      </c>
      <c r="E738" s="2" t="s">
        <v>4264</v>
      </c>
      <c r="F738" s="2" t="s">
        <v>8</v>
      </c>
      <c r="G738" s="2" t="n">
        <v>145</v>
      </c>
    </row>
    <row r="739" customFormat="false" ht="15" hidden="false" customHeight="false" outlineLevel="0" collapsed="false">
      <c r="A739" s="2" t="s">
        <v>470</v>
      </c>
      <c r="B739" s="2" t="s">
        <v>471</v>
      </c>
      <c r="C739" s="2" t="s">
        <v>39</v>
      </c>
      <c r="D739" s="2" t="s">
        <v>4922</v>
      </c>
      <c r="E739" s="2" t="s">
        <v>4261</v>
      </c>
      <c r="F739" s="2" t="s">
        <v>8</v>
      </c>
      <c r="G739" s="2" t="n">
        <v>146</v>
      </c>
    </row>
    <row r="740" customFormat="false" ht="15" hidden="false" customHeight="false" outlineLevel="0" collapsed="false">
      <c r="A740" s="2" t="s">
        <v>470</v>
      </c>
      <c r="B740" s="2" t="s">
        <v>471</v>
      </c>
      <c r="C740" s="2" t="s">
        <v>39</v>
      </c>
      <c r="D740" s="2" t="s">
        <v>4923</v>
      </c>
      <c r="E740" s="2" t="s">
        <v>4271</v>
      </c>
      <c r="F740" s="2" t="s">
        <v>8</v>
      </c>
      <c r="G740" s="2" t="n">
        <v>146</v>
      </c>
    </row>
    <row r="741" customFormat="false" ht="15" hidden="false" customHeight="false" outlineLevel="0" collapsed="false">
      <c r="A741" s="2" t="s">
        <v>473</v>
      </c>
      <c r="B741" s="2" t="s">
        <v>474</v>
      </c>
      <c r="C741" s="2" t="s">
        <v>70</v>
      </c>
      <c r="D741" s="2" t="s">
        <v>475</v>
      </c>
      <c r="E741" s="2" t="s">
        <v>4264</v>
      </c>
      <c r="F741" s="2" t="s">
        <v>9</v>
      </c>
      <c r="G741" s="2" t="n">
        <v>147</v>
      </c>
    </row>
    <row r="742" customFormat="false" ht="15" hidden="false" customHeight="false" outlineLevel="0" collapsed="false">
      <c r="A742" s="2" t="s">
        <v>478</v>
      </c>
      <c r="B742" s="2" t="s">
        <v>84</v>
      </c>
      <c r="C742" s="2" t="s">
        <v>70</v>
      </c>
      <c r="D742" s="2" t="s">
        <v>4924</v>
      </c>
      <c r="E742" s="2" t="s">
        <v>4271</v>
      </c>
      <c r="F742" s="2" t="s">
        <v>8</v>
      </c>
      <c r="G742" s="2" t="n">
        <v>150</v>
      </c>
    </row>
    <row r="743" customFormat="false" ht="15" hidden="false" customHeight="false" outlineLevel="0" collapsed="false">
      <c r="A743" s="2" t="s">
        <v>478</v>
      </c>
      <c r="B743" s="2" t="s">
        <v>84</v>
      </c>
      <c r="C743" s="2" t="s">
        <v>70</v>
      </c>
      <c r="D743" s="2" t="s">
        <v>4925</v>
      </c>
      <c r="E743" s="2" t="s">
        <v>4261</v>
      </c>
      <c r="F743" s="2" t="s">
        <v>8</v>
      </c>
      <c r="G743" s="2" t="n">
        <v>150</v>
      </c>
    </row>
    <row r="744" customFormat="false" ht="15" hidden="false" customHeight="false" outlineLevel="0" collapsed="false">
      <c r="A744" s="2" t="s">
        <v>478</v>
      </c>
      <c r="B744" s="2" t="s">
        <v>84</v>
      </c>
      <c r="C744" s="2" t="s">
        <v>70</v>
      </c>
      <c r="D744" s="2" t="s">
        <v>4926</v>
      </c>
      <c r="E744" s="2" t="s">
        <v>4271</v>
      </c>
      <c r="F744" s="2" t="s">
        <v>8</v>
      </c>
      <c r="G744" s="2" t="n">
        <v>150</v>
      </c>
    </row>
    <row r="745" customFormat="false" ht="15" hidden="false" customHeight="false" outlineLevel="0" collapsed="false">
      <c r="A745" s="2" t="s">
        <v>482</v>
      </c>
      <c r="B745" s="2" t="s">
        <v>133</v>
      </c>
      <c r="C745" s="2" t="s">
        <v>34</v>
      </c>
      <c r="D745" s="2" t="s">
        <v>4927</v>
      </c>
      <c r="E745" s="2" t="s">
        <v>4261</v>
      </c>
      <c r="F745" s="2" t="s">
        <v>8</v>
      </c>
      <c r="G745" s="2" t="n">
        <v>153</v>
      </c>
    </row>
    <row r="746" customFormat="false" ht="15" hidden="false" customHeight="false" outlineLevel="0" collapsed="false">
      <c r="A746" s="2" t="s">
        <v>482</v>
      </c>
      <c r="B746" s="2" t="s">
        <v>133</v>
      </c>
      <c r="C746" s="2" t="s">
        <v>34</v>
      </c>
      <c r="D746" s="2" t="s">
        <v>4928</v>
      </c>
      <c r="E746" s="2" t="s">
        <v>4261</v>
      </c>
      <c r="F746" s="2" t="s">
        <v>8</v>
      </c>
      <c r="G746" s="2" t="n">
        <v>153</v>
      </c>
    </row>
    <row r="747" customFormat="false" ht="15" hidden="false" customHeight="false" outlineLevel="0" collapsed="false">
      <c r="A747" s="2" t="s">
        <v>482</v>
      </c>
      <c r="B747" s="2" t="s">
        <v>133</v>
      </c>
      <c r="C747" s="2" t="s">
        <v>34</v>
      </c>
      <c r="D747" s="2" t="s">
        <v>2794</v>
      </c>
      <c r="E747" s="2" t="s">
        <v>4261</v>
      </c>
      <c r="F747" s="2" t="s">
        <v>8</v>
      </c>
      <c r="G747" s="2" t="n">
        <v>153</v>
      </c>
    </row>
    <row r="748" customFormat="false" ht="15" hidden="false" customHeight="false" outlineLevel="0" collapsed="false">
      <c r="A748" s="2" t="s">
        <v>482</v>
      </c>
      <c r="B748" s="2" t="s">
        <v>133</v>
      </c>
      <c r="C748" s="2" t="s">
        <v>34</v>
      </c>
      <c r="D748" s="2" t="s">
        <v>4929</v>
      </c>
      <c r="E748" s="2" t="s">
        <v>4261</v>
      </c>
      <c r="F748" s="2" t="s">
        <v>8</v>
      </c>
      <c r="G748" s="2" t="n">
        <v>153</v>
      </c>
    </row>
    <row r="749" customFormat="false" ht="15" hidden="false" customHeight="false" outlineLevel="0" collapsed="false">
      <c r="A749" s="2" t="s">
        <v>484</v>
      </c>
      <c r="B749" s="2" t="s">
        <v>44</v>
      </c>
      <c r="C749" s="2" t="s">
        <v>44</v>
      </c>
      <c r="D749" s="2" t="s">
        <v>4930</v>
      </c>
      <c r="E749" s="2" t="s">
        <v>4264</v>
      </c>
      <c r="F749" s="2" t="s">
        <v>9</v>
      </c>
      <c r="G749" s="2" t="n">
        <v>154</v>
      </c>
    </row>
    <row r="750" customFormat="false" ht="15" hidden="false" customHeight="false" outlineLevel="0" collapsed="false">
      <c r="A750" s="2" t="s">
        <v>484</v>
      </c>
      <c r="B750" s="2" t="s">
        <v>44</v>
      </c>
      <c r="C750" s="2" t="s">
        <v>44</v>
      </c>
      <c r="D750" s="2" t="s">
        <v>4931</v>
      </c>
      <c r="E750" s="2" t="s">
        <v>4264</v>
      </c>
      <c r="F750" s="2" t="s">
        <v>9</v>
      </c>
      <c r="G750" s="2" t="n">
        <v>154</v>
      </c>
    </row>
    <row r="751" customFormat="false" ht="15" hidden="false" customHeight="false" outlineLevel="0" collapsed="false">
      <c r="A751" s="2" t="s">
        <v>484</v>
      </c>
      <c r="B751" s="2" t="s">
        <v>44</v>
      </c>
      <c r="C751" s="2" t="s">
        <v>44</v>
      </c>
      <c r="D751" s="2" t="s">
        <v>4932</v>
      </c>
      <c r="E751" s="2" t="s">
        <v>4261</v>
      </c>
      <c r="F751" s="2" t="s">
        <v>9</v>
      </c>
      <c r="G751" s="2" t="n">
        <v>154</v>
      </c>
    </row>
    <row r="752" customFormat="false" ht="15" hidden="false" customHeight="false" outlineLevel="0" collapsed="false">
      <c r="A752" s="2" t="s">
        <v>484</v>
      </c>
      <c r="B752" s="2" t="s">
        <v>44</v>
      </c>
      <c r="C752" s="2" t="s">
        <v>44</v>
      </c>
      <c r="D752" s="2" t="s">
        <v>4933</v>
      </c>
      <c r="E752" s="2" t="s">
        <v>4261</v>
      </c>
      <c r="F752" s="2" t="s">
        <v>9</v>
      </c>
      <c r="G752" s="2" t="n">
        <v>154</v>
      </c>
    </row>
    <row r="753" customFormat="false" ht="15" hidden="false" customHeight="false" outlineLevel="0" collapsed="false">
      <c r="A753" s="2" t="s">
        <v>484</v>
      </c>
      <c r="B753" s="2" t="s">
        <v>44</v>
      </c>
      <c r="C753" s="2" t="s">
        <v>44</v>
      </c>
      <c r="D753" s="2" t="s">
        <v>4934</v>
      </c>
      <c r="E753" s="2" t="s">
        <v>4264</v>
      </c>
      <c r="F753" s="2" t="s">
        <v>9</v>
      </c>
      <c r="G753" s="2" t="n">
        <v>154</v>
      </c>
    </row>
    <row r="754" customFormat="false" ht="15" hidden="false" customHeight="false" outlineLevel="0" collapsed="false">
      <c r="A754" s="2" t="s">
        <v>484</v>
      </c>
      <c r="B754" s="2" t="s">
        <v>44</v>
      </c>
      <c r="C754" s="2" t="s">
        <v>44</v>
      </c>
      <c r="D754" s="2" t="s">
        <v>4596</v>
      </c>
      <c r="E754" s="2" t="s">
        <v>4264</v>
      </c>
      <c r="F754" s="2" t="s">
        <v>9</v>
      </c>
      <c r="G754" s="2" t="n">
        <v>154</v>
      </c>
    </row>
    <row r="755" customFormat="false" ht="15" hidden="false" customHeight="false" outlineLevel="0" collapsed="false">
      <c r="A755" s="2" t="s">
        <v>484</v>
      </c>
      <c r="B755" s="2" t="s">
        <v>44</v>
      </c>
      <c r="C755" s="2" t="s">
        <v>44</v>
      </c>
      <c r="D755" s="2" t="s">
        <v>4935</v>
      </c>
      <c r="E755" s="2" t="s">
        <v>4271</v>
      </c>
      <c r="F755" s="2" t="s">
        <v>9</v>
      </c>
      <c r="G755" s="2" t="n">
        <v>154</v>
      </c>
    </row>
    <row r="756" customFormat="false" ht="15" hidden="false" customHeight="false" outlineLevel="0" collapsed="false">
      <c r="A756" s="2" t="s">
        <v>484</v>
      </c>
      <c r="B756" s="2" t="s">
        <v>44</v>
      </c>
      <c r="C756" s="2" t="s">
        <v>44</v>
      </c>
      <c r="D756" s="2" t="s">
        <v>4936</v>
      </c>
      <c r="E756" s="2" t="s">
        <v>4264</v>
      </c>
      <c r="F756" s="2" t="s">
        <v>9</v>
      </c>
      <c r="G756" s="2" t="n">
        <v>154</v>
      </c>
    </row>
    <row r="757" customFormat="false" ht="15" hidden="false" customHeight="false" outlineLevel="0" collapsed="false">
      <c r="A757" s="2" t="s">
        <v>484</v>
      </c>
      <c r="B757" s="2" t="s">
        <v>44</v>
      </c>
      <c r="C757" s="2" t="s">
        <v>44</v>
      </c>
      <c r="D757" s="2" t="s">
        <v>4937</v>
      </c>
      <c r="E757" s="2" t="s">
        <v>4264</v>
      </c>
      <c r="F757" s="2" t="s">
        <v>9</v>
      </c>
      <c r="G757" s="2" t="n">
        <v>154</v>
      </c>
    </row>
    <row r="758" customFormat="false" ht="15" hidden="false" customHeight="false" outlineLevel="0" collapsed="false">
      <c r="A758" s="2" t="s">
        <v>484</v>
      </c>
      <c r="B758" s="2" t="s">
        <v>44</v>
      </c>
      <c r="C758" s="2" t="s">
        <v>44</v>
      </c>
      <c r="D758" s="2" t="s">
        <v>4938</v>
      </c>
      <c r="E758" s="2" t="s">
        <v>4271</v>
      </c>
      <c r="F758" s="2" t="s">
        <v>9</v>
      </c>
      <c r="G758" s="2" t="n">
        <v>154</v>
      </c>
    </row>
    <row r="759" customFormat="false" ht="15" hidden="false" customHeight="false" outlineLevel="0" collapsed="false">
      <c r="A759" s="2" t="s">
        <v>484</v>
      </c>
      <c r="B759" s="2" t="s">
        <v>44</v>
      </c>
      <c r="C759" s="2" t="s">
        <v>44</v>
      </c>
      <c r="D759" s="2" t="s">
        <v>4939</v>
      </c>
      <c r="E759" s="2" t="s">
        <v>4264</v>
      </c>
      <c r="F759" s="2" t="s">
        <v>9</v>
      </c>
      <c r="G759" s="2" t="n">
        <v>154</v>
      </c>
    </row>
    <row r="760" customFormat="false" ht="15" hidden="false" customHeight="false" outlineLevel="0" collapsed="false">
      <c r="A760" s="2" t="s">
        <v>484</v>
      </c>
      <c r="B760" s="2" t="s">
        <v>44</v>
      </c>
      <c r="C760" s="2" t="s">
        <v>44</v>
      </c>
      <c r="D760" s="2" t="s">
        <v>4940</v>
      </c>
      <c r="E760" s="2" t="s">
        <v>4264</v>
      </c>
      <c r="F760" s="2" t="s">
        <v>9</v>
      </c>
      <c r="G760" s="2" t="n">
        <v>154</v>
      </c>
    </row>
    <row r="761" customFormat="false" ht="15" hidden="false" customHeight="false" outlineLevel="0" collapsed="false">
      <c r="A761" s="2" t="s">
        <v>484</v>
      </c>
      <c r="B761" s="2" t="s">
        <v>44</v>
      </c>
      <c r="C761" s="2" t="s">
        <v>44</v>
      </c>
      <c r="D761" s="2" t="s">
        <v>4941</v>
      </c>
      <c r="E761" s="2" t="s">
        <v>4261</v>
      </c>
      <c r="F761" s="2" t="s">
        <v>9</v>
      </c>
      <c r="G761" s="2" t="n">
        <v>154</v>
      </c>
    </row>
    <row r="762" customFormat="false" ht="15" hidden="false" customHeight="false" outlineLevel="0" collapsed="false">
      <c r="A762" s="2" t="s">
        <v>484</v>
      </c>
      <c r="B762" s="2" t="s">
        <v>44</v>
      </c>
      <c r="C762" s="2" t="s">
        <v>44</v>
      </c>
      <c r="D762" s="2" t="s">
        <v>4942</v>
      </c>
      <c r="E762" s="2" t="s">
        <v>4264</v>
      </c>
      <c r="F762" s="2" t="s">
        <v>9</v>
      </c>
      <c r="G762" s="2" t="n">
        <v>154</v>
      </c>
    </row>
    <row r="763" customFormat="false" ht="15" hidden="false" customHeight="false" outlineLevel="0" collapsed="false">
      <c r="A763" s="2" t="s">
        <v>486</v>
      </c>
      <c r="B763" s="2" t="s">
        <v>380</v>
      </c>
      <c r="C763" s="2" t="s">
        <v>380</v>
      </c>
      <c r="D763" s="2" t="s">
        <v>4943</v>
      </c>
      <c r="E763" s="2" t="s">
        <v>4271</v>
      </c>
      <c r="F763" s="2" t="s">
        <v>8</v>
      </c>
      <c r="G763" s="2" t="n">
        <v>155</v>
      </c>
    </row>
    <row r="764" customFormat="false" ht="15" hidden="false" customHeight="false" outlineLevel="0" collapsed="false">
      <c r="A764" s="2" t="s">
        <v>486</v>
      </c>
      <c r="B764" s="2" t="s">
        <v>380</v>
      </c>
      <c r="C764" s="2" t="s">
        <v>380</v>
      </c>
      <c r="D764" s="2" t="s">
        <v>4944</v>
      </c>
      <c r="E764" s="2" t="s">
        <v>4261</v>
      </c>
      <c r="F764" s="2" t="s">
        <v>8</v>
      </c>
      <c r="G764" s="2" t="n">
        <v>155</v>
      </c>
    </row>
    <row r="765" customFormat="false" ht="15" hidden="false" customHeight="false" outlineLevel="0" collapsed="false">
      <c r="A765" s="2" t="s">
        <v>486</v>
      </c>
      <c r="B765" s="2" t="s">
        <v>380</v>
      </c>
      <c r="C765" s="2" t="s">
        <v>380</v>
      </c>
      <c r="D765" s="2" t="s">
        <v>4945</v>
      </c>
      <c r="E765" s="2" t="s">
        <v>4271</v>
      </c>
      <c r="F765" s="2" t="s">
        <v>8</v>
      </c>
      <c r="G765" s="2" t="n">
        <v>155</v>
      </c>
    </row>
    <row r="766" customFormat="false" ht="15" hidden="false" customHeight="false" outlineLevel="0" collapsed="false">
      <c r="A766" s="2" t="s">
        <v>486</v>
      </c>
      <c r="B766" s="2" t="s">
        <v>380</v>
      </c>
      <c r="C766" s="2" t="s">
        <v>380</v>
      </c>
      <c r="D766" s="2" t="s">
        <v>4946</v>
      </c>
      <c r="E766" s="2" t="s">
        <v>4261</v>
      </c>
      <c r="F766" s="2" t="s">
        <v>8</v>
      </c>
      <c r="G766" s="2" t="n">
        <v>155</v>
      </c>
    </row>
    <row r="767" customFormat="false" ht="15" hidden="false" customHeight="false" outlineLevel="0" collapsed="false">
      <c r="A767" s="2" t="s">
        <v>486</v>
      </c>
      <c r="B767" s="2" t="s">
        <v>380</v>
      </c>
      <c r="C767" s="2" t="s">
        <v>380</v>
      </c>
      <c r="D767" s="2" t="s">
        <v>4947</v>
      </c>
      <c r="E767" s="2" t="s">
        <v>4261</v>
      </c>
      <c r="F767" s="2" t="s">
        <v>8</v>
      </c>
      <c r="G767" s="2" t="n">
        <v>155</v>
      </c>
    </row>
    <row r="768" customFormat="false" ht="15" hidden="false" customHeight="false" outlineLevel="0" collapsed="false">
      <c r="A768" s="2" t="s">
        <v>486</v>
      </c>
      <c r="B768" s="2" t="s">
        <v>380</v>
      </c>
      <c r="C768" s="2" t="s">
        <v>380</v>
      </c>
      <c r="D768" s="2" t="s">
        <v>4948</v>
      </c>
      <c r="E768" s="2" t="s">
        <v>4261</v>
      </c>
      <c r="F768" s="2" t="s">
        <v>8</v>
      </c>
      <c r="G768" s="2" t="n">
        <v>155</v>
      </c>
    </row>
    <row r="769" customFormat="false" ht="15" hidden="false" customHeight="false" outlineLevel="0" collapsed="false">
      <c r="A769" s="2" t="s">
        <v>486</v>
      </c>
      <c r="B769" s="2" t="s">
        <v>380</v>
      </c>
      <c r="C769" s="2" t="s">
        <v>380</v>
      </c>
      <c r="D769" s="2" t="s">
        <v>4949</v>
      </c>
      <c r="E769" s="2" t="s">
        <v>4261</v>
      </c>
      <c r="F769" s="2" t="s">
        <v>8</v>
      </c>
      <c r="G769" s="2" t="n">
        <v>155</v>
      </c>
    </row>
    <row r="770" customFormat="false" ht="15" hidden="false" customHeight="false" outlineLevel="0" collapsed="false">
      <c r="A770" s="2" t="s">
        <v>486</v>
      </c>
      <c r="B770" s="2" t="s">
        <v>380</v>
      </c>
      <c r="C770" s="2" t="s">
        <v>380</v>
      </c>
      <c r="D770" s="2" t="s">
        <v>4950</v>
      </c>
      <c r="E770" s="2" t="s">
        <v>4264</v>
      </c>
      <c r="F770" s="2" t="s">
        <v>8</v>
      </c>
      <c r="G770" s="2" t="n">
        <v>155</v>
      </c>
    </row>
    <row r="771" customFormat="false" ht="15" hidden="false" customHeight="false" outlineLevel="0" collapsed="false">
      <c r="A771" s="2" t="s">
        <v>488</v>
      </c>
      <c r="B771" s="2" t="s">
        <v>428</v>
      </c>
      <c r="C771" s="2" t="s">
        <v>39</v>
      </c>
      <c r="D771" s="2" t="s">
        <v>4951</v>
      </c>
      <c r="E771" s="2" t="s">
        <v>4261</v>
      </c>
      <c r="F771" s="2" t="s">
        <v>8</v>
      </c>
      <c r="G771" s="2" t="n">
        <v>156</v>
      </c>
    </row>
    <row r="772" customFormat="false" ht="15" hidden="false" customHeight="false" outlineLevel="0" collapsed="false">
      <c r="A772" s="2" t="s">
        <v>488</v>
      </c>
      <c r="B772" s="2" t="s">
        <v>428</v>
      </c>
      <c r="C772" s="2" t="s">
        <v>39</v>
      </c>
      <c r="D772" s="2" t="s">
        <v>4952</v>
      </c>
      <c r="E772" s="2" t="s">
        <v>4261</v>
      </c>
      <c r="F772" s="2" t="s">
        <v>8</v>
      </c>
      <c r="G772" s="2" t="n">
        <v>156</v>
      </c>
    </row>
    <row r="773" customFormat="false" ht="15" hidden="false" customHeight="false" outlineLevel="0" collapsed="false">
      <c r="A773" s="2" t="s">
        <v>488</v>
      </c>
      <c r="B773" s="2" t="s">
        <v>428</v>
      </c>
      <c r="C773" s="2" t="s">
        <v>39</v>
      </c>
      <c r="D773" s="2" t="s">
        <v>4953</v>
      </c>
      <c r="E773" s="2" t="s">
        <v>4261</v>
      </c>
      <c r="F773" s="2" t="s">
        <v>8</v>
      </c>
      <c r="G773" s="2" t="n">
        <v>156</v>
      </c>
    </row>
    <row r="774" customFormat="false" ht="15" hidden="false" customHeight="false" outlineLevel="0" collapsed="false">
      <c r="A774" s="2" t="s">
        <v>488</v>
      </c>
      <c r="B774" s="2" t="s">
        <v>428</v>
      </c>
      <c r="C774" s="2" t="s">
        <v>39</v>
      </c>
      <c r="D774" s="2" t="s">
        <v>4954</v>
      </c>
      <c r="E774" s="2" t="s">
        <v>4261</v>
      </c>
      <c r="F774" s="2" t="s">
        <v>8</v>
      </c>
      <c r="G774" s="2" t="n">
        <v>156</v>
      </c>
    </row>
    <row r="775" customFormat="false" ht="15" hidden="false" customHeight="false" outlineLevel="0" collapsed="false">
      <c r="A775" s="2" t="s">
        <v>488</v>
      </c>
      <c r="B775" s="2" t="s">
        <v>428</v>
      </c>
      <c r="C775" s="2" t="s">
        <v>39</v>
      </c>
      <c r="D775" s="2" t="s">
        <v>4955</v>
      </c>
      <c r="E775" s="2" t="s">
        <v>4261</v>
      </c>
      <c r="F775" s="2" t="s">
        <v>8</v>
      </c>
      <c r="G775" s="2" t="n">
        <v>156</v>
      </c>
    </row>
    <row r="776" customFormat="false" ht="15" hidden="false" customHeight="false" outlineLevel="0" collapsed="false">
      <c r="A776" s="2" t="s">
        <v>488</v>
      </c>
      <c r="B776" s="2" t="s">
        <v>428</v>
      </c>
      <c r="C776" s="2" t="s">
        <v>39</v>
      </c>
      <c r="D776" s="2" t="s">
        <v>4956</v>
      </c>
      <c r="E776" s="2" t="s">
        <v>4261</v>
      </c>
      <c r="F776" s="2" t="s">
        <v>8</v>
      </c>
      <c r="G776" s="2" t="n">
        <v>156</v>
      </c>
    </row>
    <row r="777" customFormat="false" ht="15" hidden="false" customHeight="false" outlineLevel="0" collapsed="false">
      <c r="A777" s="2" t="s">
        <v>488</v>
      </c>
      <c r="B777" s="2" t="s">
        <v>428</v>
      </c>
      <c r="C777" s="2" t="s">
        <v>39</v>
      </c>
      <c r="D777" s="2" t="s">
        <v>4957</v>
      </c>
      <c r="E777" s="2" t="s">
        <v>4261</v>
      </c>
      <c r="F777" s="2" t="s">
        <v>8</v>
      </c>
      <c r="G777" s="2" t="n">
        <v>156</v>
      </c>
    </row>
    <row r="778" customFormat="false" ht="15" hidden="false" customHeight="false" outlineLevel="0" collapsed="false">
      <c r="A778" s="2" t="s">
        <v>488</v>
      </c>
      <c r="B778" s="2" t="s">
        <v>428</v>
      </c>
      <c r="C778" s="2" t="s">
        <v>39</v>
      </c>
      <c r="D778" s="2" t="s">
        <v>4958</v>
      </c>
      <c r="E778" s="2" t="s">
        <v>4261</v>
      </c>
      <c r="F778" s="2" t="s">
        <v>8</v>
      </c>
      <c r="G778" s="2" t="n">
        <v>156</v>
      </c>
    </row>
    <row r="779" customFormat="false" ht="15" hidden="false" customHeight="false" outlineLevel="0" collapsed="false">
      <c r="A779" s="2" t="s">
        <v>488</v>
      </c>
      <c r="B779" s="2" t="s">
        <v>428</v>
      </c>
      <c r="C779" s="2" t="s">
        <v>39</v>
      </c>
      <c r="D779" s="2" t="s">
        <v>4959</v>
      </c>
      <c r="E779" s="2" t="s">
        <v>4261</v>
      </c>
      <c r="F779" s="2" t="s">
        <v>8</v>
      </c>
      <c r="G779" s="2" t="n">
        <v>156</v>
      </c>
    </row>
    <row r="780" customFormat="false" ht="15" hidden="false" customHeight="false" outlineLevel="0" collapsed="false">
      <c r="A780" s="2" t="s">
        <v>488</v>
      </c>
      <c r="B780" s="2" t="s">
        <v>428</v>
      </c>
      <c r="C780" s="2" t="s">
        <v>39</v>
      </c>
      <c r="D780" s="2" t="s">
        <v>273</v>
      </c>
      <c r="E780" s="2" t="s">
        <v>4261</v>
      </c>
      <c r="F780" s="2" t="s">
        <v>8</v>
      </c>
      <c r="G780" s="2" t="n">
        <v>156</v>
      </c>
    </row>
    <row r="781" customFormat="false" ht="15" hidden="false" customHeight="false" outlineLevel="0" collapsed="false">
      <c r="A781" s="2" t="s">
        <v>492</v>
      </c>
      <c r="B781" s="2" t="s">
        <v>38</v>
      </c>
      <c r="C781" s="2" t="s">
        <v>39</v>
      </c>
      <c r="D781" s="2" t="s">
        <v>493</v>
      </c>
      <c r="E781" s="2" t="s">
        <v>4261</v>
      </c>
      <c r="F781" s="2" t="s">
        <v>8</v>
      </c>
      <c r="G781" s="2" t="n">
        <v>158</v>
      </c>
    </row>
    <row r="782" customFormat="false" ht="15" hidden="false" customHeight="false" outlineLevel="0" collapsed="false">
      <c r="A782" s="2" t="s">
        <v>495</v>
      </c>
      <c r="B782" s="2" t="s">
        <v>70</v>
      </c>
      <c r="C782" s="2" t="s">
        <v>70</v>
      </c>
      <c r="D782" s="2" t="s">
        <v>4960</v>
      </c>
      <c r="E782" s="2" t="s">
        <v>4271</v>
      </c>
      <c r="F782" s="2" t="s">
        <v>9</v>
      </c>
      <c r="G782" s="2" t="n">
        <v>160</v>
      </c>
    </row>
    <row r="783" customFormat="false" ht="15" hidden="false" customHeight="false" outlineLevel="0" collapsed="false">
      <c r="A783" s="2" t="s">
        <v>495</v>
      </c>
      <c r="B783" s="2" t="s">
        <v>70</v>
      </c>
      <c r="C783" s="2" t="s">
        <v>70</v>
      </c>
      <c r="D783" s="2" t="s">
        <v>4961</v>
      </c>
      <c r="E783" s="2" t="s">
        <v>4261</v>
      </c>
      <c r="F783" s="2" t="s">
        <v>9</v>
      </c>
      <c r="G783" s="2" t="n">
        <v>160</v>
      </c>
    </row>
    <row r="784" customFormat="false" ht="15" hidden="false" customHeight="false" outlineLevel="0" collapsed="false">
      <c r="A784" s="2" t="s">
        <v>497</v>
      </c>
      <c r="B784" s="2" t="s">
        <v>44</v>
      </c>
      <c r="C784" s="2" t="s">
        <v>44</v>
      </c>
      <c r="D784" s="2" t="s">
        <v>4962</v>
      </c>
      <c r="E784" s="2" t="s">
        <v>4264</v>
      </c>
      <c r="F784" s="2" t="s">
        <v>8</v>
      </c>
      <c r="G784" s="2" t="n">
        <v>161</v>
      </c>
    </row>
    <row r="785" customFormat="false" ht="15" hidden="false" customHeight="false" outlineLevel="0" collapsed="false">
      <c r="A785" s="2" t="s">
        <v>497</v>
      </c>
      <c r="B785" s="2" t="s">
        <v>44</v>
      </c>
      <c r="C785" s="2" t="s">
        <v>44</v>
      </c>
      <c r="D785" s="2" t="s">
        <v>4963</v>
      </c>
      <c r="E785" s="2" t="s">
        <v>4261</v>
      </c>
      <c r="F785" s="2" t="s">
        <v>8</v>
      </c>
      <c r="G785" s="2" t="n">
        <v>161</v>
      </c>
    </row>
    <row r="786" customFormat="false" ht="15" hidden="false" customHeight="false" outlineLevel="0" collapsed="false">
      <c r="A786" s="2" t="s">
        <v>497</v>
      </c>
      <c r="B786" s="2" t="s">
        <v>44</v>
      </c>
      <c r="C786" s="2" t="s">
        <v>44</v>
      </c>
      <c r="D786" s="2" t="s">
        <v>4964</v>
      </c>
      <c r="E786" s="2" t="s">
        <v>4264</v>
      </c>
      <c r="F786" s="2" t="s">
        <v>8</v>
      </c>
      <c r="G786" s="2" t="n">
        <v>161</v>
      </c>
    </row>
    <row r="787" customFormat="false" ht="15" hidden="false" customHeight="false" outlineLevel="0" collapsed="false">
      <c r="A787" s="2" t="s">
        <v>497</v>
      </c>
      <c r="B787" s="2" t="s">
        <v>44</v>
      </c>
      <c r="C787" s="2" t="s">
        <v>44</v>
      </c>
      <c r="D787" s="2" t="s">
        <v>4965</v>
      </c>
      <c r="E787" s="2" t="s">
        <v>4264</v>
      </c>
      <c r="F787" s="2" t="s">
        <v>8</v>
      </c>
      <c r="G787" s="2" t="n">
        <v>161</v>
      </c>
    </row>
    <row r="788" customFormat="false" ht="15" hidden="false" customHeight="false" outlineLevel="0" collapsed="false">
      <c r="A788" s="2" t="s">
        <v>497</v>
      </c>
      <c r="B788" s="2" t="s">
        <v>44</v>
      </c>
      <c r="C788" s="2" t="s">
        <v>44</v>
      </c>
      <c r="D788" s="2" t="s">
        <v>850</v>
      </c>
      <c r="E788" s="2" t="s">
        <v>4261</v>
      </c>
      <c r="F788" s="2" t="s">
        <v>8</v>
      </c>
      <c r="G788" s="2" t="n">
        <v>161</v>
      </c>
    </row>
    <row r="789" customFormat="false" ht="15" hidden="false" customHeight="false" outlineLevel="0" collapsed="false">
      <c r="A789" s="2" t="s">
        <v>497</v>
      </c>
      <c r="B789" s="2" t="s">
        <v>44</v>
      </c>
      <c r="C789" s="2" t="s">
        <v>44</v>
      </c>
      <c r="D789" s="2" t="s">
        <v>4966</v>
      </c>
      <c r="E789" s="2" t="s">
        <v>4264</v>
      </c>
      <c r="F789" s="2" t="s">
        <v>8</v>
      </c>
      <c r="G789" s="2" t="n">
        <v>161</v>
      </c>
    </row>
    <row r="790" customFormat="false" ht="15" hidden="false" customHeight="false" outlineLevel="0" collapsed="false">
      <c r="A790" s="2" t="s">
        <v>497</v>
      </c>
      <c r="B790" s="2" t="s">
        <v>44</v>
      </c>
      <c r="C790" s="2" t="s">
        <v>44</v>
      </c>
      <c r="D790" s="2" t="s">
        <v>4967</v>
      </c>
      <c r="E790" s="2" t="s">
        <v>4261</v>
      </c>
      <c r="F790" s="2" t="s">
        <v>8</v>
      </c>
      <c r="G790" s="2" t="n">
        <v>161</v>
      </c>
    </row>
    <row r="791" customFormat="false" ht="15" hidden="false" customHeight="false" outlineLevel="0" collapsed="false">
      <c r="A791" s="2" t="s">
        <v>497</v>
      </c>
      <c r="B791" s="2" t="s">
        <v>44</v>
      </c>
      <c r="C791" s="2" t="s">
        <v>44</v>
      </c>
      <c r="D791" s="2" t="s">
        <v>4968</v>
      </c>
      <c r="E791" s="2" t="s">
        <v>4261</v>
      </c>
      <c r="F791" s="2" t="s">
        <v>8</v>
      </c>
      <c r="G791" s="2" t="n">
        <v>161</v>
      </c>
    </row>
    <row r="792" customFormat="false" ht="15" hidden="false" customHeight="false" outlineLevel="0" collapsed="false">
      <c r="A792" s="2" t="s">
        <v>497</v>
      </c>
      <c r="B792" s="2" t="s">
        <v>44</v>
      </c>
      <c r="C792" s="2" t="s">
        <v>44</v>
      </c>
      <c r="D792" s="2" t="s">
        <v>1760</v>
      </c>
      <c r="E792" s="2" t="s">
        <v>4264</v>
      </c>
      <c r="F792" s="2" t="s">
        <v>8</v>
      </c>
      <c r="G792" s="2" t="n">
        <v>161</v>
      </c>
    </row>
    <row r="793" customFormat="false" ht="15" hidden="false" customHeight="false" outlineLevel="0" collapsed="false">
      <c r="A793" s="2" t="s">
        <v>497</v>
      </c>
      <c r="B793" s="2" t="s">
        <v>44</v>
      </c>
      <c r="C793" s="2" t="s">
        <v>44</v>
      </c>
      <c r="D793" s="2" t="s">
        <v>4969</v>
      </c>
      <c r="E793" s="2" t="s">
        <v>4261</v>
      </c>
      <c r="F793" s="2" t="s">
        <v>8</v>
      </c>
      <c r="G793" s="2" t="n">
        <v>161</v>
      </c>
    </row>
    <row r="794" customFormat="false" ht="15" hidden="false" customHeight="false" outlineLevel="0" collapsed="false">
      <c r="A794" s="2" t="s">
        <v>499</v>
      </c>
      <c r="B794" s="2" t="s">
        <v>500</v>
      </c>
      <c r="C794" s="2" t="s">
        <v>70</v>
      </c>
      <c r="D794" s="2" t="s">
        <v>4970</v>
      </c>
      <c r="E794" s="2" t="s">
        <v>4264</v>
      </c>
      <c r="F794" s="2" t="s">
        <v>8</v>
      </c>
      <c r="G794" s="2" t="n">
        <v>162</v>
      </c>
    </row>
    <row r="795" customFormat="false" ht="15" hidden="false" customHeight="false" outlineLevel="0" collapsed="false">
      <c r="A795" s="2" t="s">
        <v>499</v>
      </c>
      <c r="B795" s="2" t="s">
        <v>500</v>
      </c>
      <c r="C795" s="2" t="s">
        <v>70</v>
      </c>
      <c r="D795" s="2" t="s">
        <v>4971</v>
      </c>
      <c r="E795" s="2" t="s">
        <v>4261</v>
      </c>
      <c r="F795" s="2" t="s">
        <v>8</v>
      </c>
      <c r="G795" s="2" t="n">
        <v>162</v>
      </c>
    </row>
    <row r="796" customFormat="false" ht="15" hidden="false" customHeight="false" outlineLevel="0" collapsed="false">
      <c r="A796" s="2" t="s">
        <v>499</v>
      </c>
      <c r="B796" s="2" t="s">
        <v>500</v>
      </c>
      <c r="C796" s="2" t="s">
        <v>70</v>
      </c>
      <c r="D796" s="2" t="s">
        <v>500</v>
      </c>
      <c r="E796" s="2" t="s">
        <v>4271</v>
      </c>
      <c r="F796" s="2" t="s">
        <v>8</v>
      </c>
      <c r="G796" s="2" t="n">
        <v>162</v>
      </c>
    </row>
    <row r="797" customFormat="false" ht="15" hidden="false" customHeight="false" outlineLevel="0" collapsed="false">
      <c r="A797" s="2" t="s">
        <v>499</v>
      </c>
      <c r="B797" s="2" t="s">
        <v>500</v>
      </c>
      <c r="C797" s="2" t="s">
        <v>70</v>
      </c>
      <c r="D797" s="2" t="s">
        <v>4972</v>
      </c>
      <c r="E797" s="2" t="s">
        <v>4271</v>
      </c>
      <c r="F797" s="2" t="s">
        <v>8</v>
      </c>
      <c r="G797" s="2" t="n">
        <v>162</v>
      </c>
    </row>
    <row r="798" customFormat="false" ht="15" hidden="false" customHeight="false" outlineLevel="0" collapsed="false">
      <c r="A798" s="2" t="s">
        <v>506</v>
      </c>
      <c r="B798" s="2" t="s">
        <v>507</v>
      </c>
      <c r="C798" s="2" t="s">
        <v>190</v>
      </c>
      <c r="D798" s="2" t="s">
        <v>4973</v>
      </c>
      <c r="E798" s="2" t="s">
        <v>4261</v>
      </c>
      <c r="F798" s="2" t="s">
        <v>9</v>
      </c>
      <c r="G798" s="2" t="n">
        <v>164</v>
      </c>
    </row>
    <row r="799" customFormat="false" ht="15" hidden="false" customHeight="false" outlineLevel="0" collapsed="false">
      <c r="A799" s="2" t="s">
        <v>506</v>
      </c>
      <c r="B799" s="2" t="s">
        <v>507</v>
      </c>
      <c r="C799" s="2" t="s">
        <v>190</v>
      </c>
      <c r="D799" s="2" t="s">
        <v>4974</v>
      </c>
      <c r="E799" s="2" t="s">
        <v>4261</v>
      </c>
      <c r="F799" s="2" t="s">
        <v>9</v>
      </c>
      <c r="G799" s="2" t="n">
        <v>164</v>
      </c>
    </row>
    <row r="800" customFormat="false" ht="15" hidden="false" customHeight="false" outlineLevel="0" collapsed="false">
      <c r="A800" s="2" t="s">
        <v>509</v>
      </c>
      <c r="B800" s="2" t="s">
        <v>91</v>
      </c>
      <c r="C800" s="2" t="s">
        <v>44</v>
      </c>
      <c r="D800" s="2" t="s">
        <v>4975</v>
      </c>
      <c r="E800" s="2" t="s">
        <v>4261</v>
      </c>
      <c r="F800" s="2" t="s">
        <v>8</v>
      </c>
      <c r="G800" s="2" t="n">
        <v>165</v>
      </c>
    </row>
    <row r="801" customFormat="false" ht="15" hidden="false" customHeight="false" outlineLevel="0" collapsed="false">
      <c r="A801" s="2" t="s">
        <v>509</v>
      </c>
      <c r="B801" s="2" t="s">
        <v>91</v>
      </c>
      <c r="C801" s="2" t="s">
        <v>44</v>
      </c>
      <c r="D801" s="2" t="s">
        <v>4976</v>
      </c>
      <c r="E801" s="2" t="s">
        <v>4264</v>
      </c>
      <c r="F801" s="2" t="s">
        <v>8</v>
      </c>
      <c r="G801" s="2" t="n">
        <v>165</v>
      </c>
    </row>
    <row r="802" customFormat="false" ht="15" hidden="false" customHeight="false" outlineLevel="0" collapsed="false">
      <c r="A802" s="2" t="s">
        <v>509</v>
      </c>
      <c r="B802" s="2" t="s">
        <v>91</v>
      </c>
      <c r="C802" s="2" t="s">
        <v>44</v>
      </c>
      <c r="D802" s="2" t="s">
        <v>4977</v>
      </c>
      <c r="E802" s="2" t="s">
        <v>4261</v>
      </c>
      <c r="F802" s="2" t="s">
        <v>8</v>
      </c>
      <c r="G802" s="2" t="n">
        <v>165</v>
      </c>
    </row>
    <row r="803" customFormat="false" ht="15" hidden="false" customHeight="false" outlineLevel="0" collapsed="false">
      <c r="A803" s="2" t="s">
        <v>509</v>
      </c>
      <c r="B803" s="2" t="s">
        <v>91</v>
      </c>
      <c r="C803" s="2" t="s">
        <v>44</v>
      </c>
      <c r="D803" s="2" t="s">
        <v>4978</v>
      </c>
      <c r="E803" s="2" t="s">
        <v>4261</v>
      </c>
      <c r="F803" s="2" t="s">
        <v>8</v>
      </c>
      <c r="G803" s="2" t="n">
        <v>165</v>
      </c>
    </row>
    <row r="804" customFormat="false" ht="15" hidden="false" customHeight="false" outlineLevel="0" collapsed="false">
      <c r="A804" s="2" t="s">
        <v>509</v>
      </c>
      <c r="B804" s="2" t="s">
        <v>91</v>
      </c>
      <c r="C804" s="2" t="s">
        <v>44</v>
      </c>
      <c r="D804" s="2" t="s">
        <v>4979</v>
      </c>
      <c r="E804" s="2" t="s">
        <v>4261</v>
      </c>
      <c r="F804" s="2" t="s">
        <v>8</v>
      </c>
      <c r="G804" s="2" t="n">
        <v>165</v>
      </c>
    </row>
    <row r="805" customFormat="false" ht="15" hidden="false" customHeight="false" outlineLevel="0" collapsed="false">
      <c r="A805" s="2" t="s">
        <v>509</v>
      </c>
      <c r="B805" s="2" t="s">
        <v>91</v>
      </c>
      <c r="C805" s="2" t="s">
        <v>44</v>
      </c>
      <c r="D805" s="2" t="s">
        <v>4980</v>
      </c>
      <c r="E805" s="2" t="s">
        <v>4261</v>
      </c>
      <c r="F805" s="2" t="s">
        <v>8</v>
      </c>
      <c r="G805" s="2" t="n">
        <v>165</v>
      </c>
    </row>
    <row r="806" customFormat="false" ht="15" hidden="false" customHeight="false" outlineLevel="0" collapsed="false">
      <c r="A806" s="2" t="s">
        <v>509</v>
      </c>
      <c r="B806" s="2" t="s">
        <v>91</v>
      </c>
      <c r="C806" s="2" t="s">
        <v>44</v>
      </c>
      <c r="D806" s="2" t="s">
        <v>4981</v>
      </c>
      <c r="E806" s="2" t="s">
        <v>4261</v>
      </c>
      <c r="F806" s="2" t="s">
        <v>8</v>
      </c>
      <c r="G806" s="2" t="n">
        <v>165</v>
      </c>
    </row>
    <row r="807" customFormat="false" ht="15" hidden="false" customHeight="false" outlineLevel="0" collapsed="false">
      <c r="A807" s="2" t="s">
        <v>509</v>
      </c>
      <c r="B807" s="2" t="s">
        <v>91</v>
      </c>
      <c r="C807" s="2" t="s">
        <v>44</v>
      </c>
      <c r="D807" s="2" t="s">
        <v>4982</v>
      </c>
      <c r="E807" s="2" t="s">
        <v>4261</v>
      </c>
      <c r="F807" s="2" t="s">
        <v>8</v>
      </c>
      <c r="G807" s="2" t="n">
        <v>165</v>
      </c>
    </row>
    <row r="808" customFormat="false" ht="15" hidden="false" customHeight="false" outlineLevel="0" collapsed="false">
      <c r="A808" s="2" t="s">
        <v>509</v>
      </c>
      <c r="B808" s="2" t="s">
        <v>91</v>
      </c>
      <c r="C808" s="2" t="s">
        <v>44</v>
      </c>
      <c r="D808" s="2" t="s">
        <v>4983</v>
      </c>
      <c r="E808" s="2" t="s">
        <v>4261</v>
      </c>
      <c r="F808" s="2" t="s">
        <v>8</v>
      </c>
      <c r="G808" s="2" t="n">
        <v>165</v>
      </c>
    </row>
    <row r="809" customFormat="false" ht="15" hidden="false" customHeight="false" outlineLevel="0" collapsed="false">
      <c r="A809" s="2" t="s">
        <v>509</v>
      </c>
      <c r="B809" s="2" t="s">
        <v>91</v>
      </c>
      <c r="C809" s="2" t="s">
        <v>44</v>
      </c>
      <c r="D809" s="2" t="s">
        <v>4984</v>
      </c>
      <c r="E809" s="2" t="s">
        <v>4261</v>
      </c>
      <c r="F809" s="2" t="s">
        <v>8</v>
      </c>
      <c r="G809" s="2" t="n">
        <v>165</v>
      </c>
    </row>
    <row r="810" customFormat="false" ht="15" hidden="false" customHeight="false" outlineLevel="0" collapsed="false">
      <c r="A810" s="2" t="s">
        <v>509</v>
      </c>
      <c r="B810" s="2" t="s">
        <v>91</v>
      </c>
      <c r="C810" s="2" t="s">
        <v>44</v>
      </c>
      <c r="D810" s="2" t="s">
        <v>4985</v>
      </c>
      <c r="E810" s="2" t="s">
        <v>4261</v>
      </c>
      <c r="F810" s="2" t="s">
        <v>8</v>
      </c>
      <c r="G810" s="2" t="n">
        <v>165</v>
      </c>
    </row>
    <row r="811" customFormat="false" ht="15" hidden="false" customHeight="false" outlineLevel="0" collapsed="false">
      <c r="A811" s="2" t="s">
        <v>509</v>
      </c>
      <c r="B811" s="2" t="s">
        <v>91</v>
      </c>
      <c r="C811" s="2" t="s">
        <v>44</v>
      </c>
      <c r="D811" s="2" t="s">
        <v>4986</v>
      </c>
      <c r="E811" s="2" t="s">
        <v>4261</v>
      </c>
      <c r="F811" s="2" t="s">
        <v>8</v>
      </c>
      <c r="G811" s="2" t="n">
        <v>165</v>
      </c>
    </row>
    <row r="812" customFormat="false" ht="15" hidden="false" customHeight="false" outlineLevel="0" collapsed="false">
      <c r="A812" s="2" t="s">
        <v>509</v>
      </c>
      <c r="B812" s="2" t="s">
        <v>91</v>
      </c>
      <c r="C812" s="2" t="s">
        <v>44</v>
      </c>
      <c r="D812" s="2" t="s">
        <v>4659</v>
      </c>
      <c r="E812" s="2" t="s">
        <v>4261</v>
      </c>
      <c r="F812" s="2" t="s">
        <v>8</v>
      </c>
      <c r="G812" s="2" t="n">
        <v>165</v>
      </c>
    </row>
    <row r="813" customFormat="false" ht="15" hidden="false" customHeight="false" outlineLevel="0" collapsed="false">
      <c r="A813" s="2" t="s">
        <v>509</v>
      </c>
      <c r="B813" s="2" t="s">
        <v>91</v>
      </c>
      <c r="C813" s="2" t="s">
        <v>44</v>
      </c>
      <c r="D813" s="2" t="s">
        <v>4987</v>
      </c>
      <c r="E813" s="2" t="s">
        <v>4261</v>
      </c>
      <c r="F813" s="2" t="s">
        <v>8</v>
      </c>
      <c r="G813" s="2" t="n">
        <v>165</v>
      </c>
    </row>
    <row r="814" customFormat="false" ht="15" hidden="false" customHeight="false" outlineLevel="0" collapsed="false">
      <c r="A814" s="2" t="s">
        <v>509</v>
      </c>
      <c r="B814" s="2" t="s">
        <v>91</v>
      </c>
      <c r="C814" s="2" t="s">
        <v>44</v>
      </c>
      <c r="D814" s="2" t="s">
        <v>4988</v>
      </c>
      <c r="E814" s="2" t="s">
        <v>4264</v>
      </c>
      <c r="F814" s="2" t="s">
        <v>8</v>
      </c>
      <c r="G814" s="2" t="n">
        <v>165</v>
      </c>
    </row>
    <row r="815" customFormat="false" ht="15" hidden="false" customHeight="false" outlineLevel="0" collapsed="false">
      <c r="A815" s="2" t="s">
        <v>509</v>
      </c>
      <c r="B815" s="2" t="s">
        <v>91</v>
      </c>
      <c r="C815" s="2" t="s">
        <v>44</v>
      </c>
      <c r="D815" s="2" t="s">
        <v>4989</v>
      </c>
      <c r="E815" s="2" t="s">
        <v>4264</v>
      </c>
      <c r="F815" s="2" t="s">
        <v>8</v>
      </c>
      <c r="G815" s="2" t="n">
        <v>165</v>
      </c>
    </row>
    <row r="816" customFormat="false" ht="15" hidden="false" customHeight="false" outlineLevel="0" collapsed="false">
      <c r="A816" s="2" t="s">
        <v>509</v>
      </c>
      <c r="B816" s="2" t="s">
        <v>91</v>
      </c>
      <c r="C816" s="2" t="s">
        <v>44</v>
      </c>
      <c r="D816" s="2" t="s">
        <v>4990</v>
      </c>
      <c r="E816" s="2" t="s">
        <v>4261</v>
      </c>
      <c r="F816" s="2" t="s">
        <v>8</v>
      </c>
      <c r="G816" s="2" t="n">
        <v>165</v>
      </c>
    </row>
    <row r="817" customFormat="false" ht="15" hidden="false" customHeight="false" outlineLevel="0" collapsed="false">
      <c r="A817" s="2" t="s">
        <v>509</v>
      </c>
      <c r="B817" s="2" t="s">
        <v>91</v>
      </c>
      <c r="C817" s="2" t="s">
        <v>44</v>
      </c>
      <c r="D817" s="2" t="s">
        <v>4991</v>
      </c>
      <c r="E817" s="2" t="s">
        <v>4261</v>
      </c>
      <c r="F817" s="2" t="s">
        <v>8</v>
      </c>
      <c r="G817" s="2" t="n">
        <v>165</v>
      </c>
    </row>
    <row r="818" customFormat="false" ht="15" hidden="false" customHeight="false" outlineLevel="0" collapsed="false">
      <c r="A818" s="2" t="s">
        <v>509</v>
      </c>
      <c r="B818" s="2" t="s">
        <v>91</v>
      </c>
      <c r="C818" s="2" t="s">
        <v>44</v>
      </c>
      <c r="D818" s="2" t="s">
        <v>4992</v>
      </c>
      <c r="E818" s="2" t="s">
        <v>4261</v>
      </c>
      <c r="F818" s="2" t="s">
        <v>8</v>
      </c>
      <c r="G818" s="2" t="n">
        <v>165</v>
      </c>
    </row>
    <row r="819" customFormat="false" ht="15" hidden="false" customHeight="false" outlineLevel="0" collapsed="false">
      <c r="A819" s="2" t="s">
        <v>509</v>
      </c>
      <c r="B819" s="2" t="s">
        <v>91</v>
      </c>
      <c r="C819" s="2" t="s">
        <v>44</v>
      </c>
      <c r="D819" s="2" t="s">
        <v>4993</v>
      </c>
      <c r="E819" s="2" t="s">
        <v>4261</v>
      </c>
      <c r="F819" s="2" t="s">
        <v>8</v>
      </c>
      <c r="G819" s="2" t="n">
        <v>165</v>
      </c>
    </row>
    <row r="820" customFormat="false" ht="15" hidden="false" customHeight="false" outlineLevel="0" collapsed="false">
      <c r="A820" s="2" t="s">
        <v>509</v>
      </c>
      <c r="B820" s="2" t="s">
        <v>91</v>
      </c>
      <c r="C820" s="2" t="s">
        <v>44</v>
      </c>
      <c r="D820" s="2" t="s">
        <v>4994</v>
      </c>
      <c r="E820" s="2" t="s">
        <v>4261</v>
      </c>
      <c r="F820" s="2" t="s">
        <v>8</v>
      </c>
      <c r="G820" s="2" t="n">
        <v>165</v>
      </c>
    </row>
    <row r="821" customFormat="false" ht="15" hidden="false" customHeight="false" outlineLevel="0" collapsed="false">
      <c r="A821" s="2" t="s">
        <v>509</v>
      </c>
      <c r="B821" s="2" t="s">
        <v>91</v>
      </c>
      <c r="C821" s="2" t="s">
        <v>44</v>
      </c>
      <c r="D821" s="2" t="s">
        <v>4995</v>
      </c>
      <c r="E821" s="2" t="s">
        <v>4261</v>
      </c>
      <c r="F821" s="2" t="s">
        <v>8</v>
      </c>
      <c r="G821" s="2" t="n">
        <v>165</v>
      </c>
    </row>
    <row r="822" customFormat="false" ht="15" hidden="false" customHeight="false" outlineLevel="0" collapsed="false">
      <c r="A822" s="2" t="s">
        <v>511</v>
      </c>
      <c r="B822" s="2" t="s">
        <v>44</v>
      </c>
      <c r="C822" s="2" t="s">
        <v>44</v>
      </c>
      <c r="D822" s="2" t="s">
        <v>4996</v>
      </c>
      <c r="E822" s="2" t="s">
        <v>4261</v>
      </c>
      <c r="F822" s="2" t="s">
        <v>8</v>
      </c>
      <c r="G822" s="2" t="n">
        <v>166</v>
      </c>
    </row>
    <row r="823" customFormat="false" ht="15" hidden="false" customHeight="false" outlineLevel="0" collapsed="false">
      <c r="A823" s="2" t="s">
        <v>511</v>
      </c>
      <c r="B823" s="2" t="s">
        <v>44</v>
      </c>
      <c r="C823" s="2" t="s">
        <v>44</v>
      </c>
      <c r="D823" s="2" t="s">
        <v>4043</v>
      </c>
      <c r="E823" s="2" t="s">
        <v>4271</v>
      </c>
      <c r="F823" s="2" t="s">
        <v>8</v>
      </c>
      <c r="G823" s="2" t="n">
        <v>166</v>
      </c>
    </row>
    <row r="824" customFormat="false" ht="15" hidden="false" customHeight="false" outlineLevel="0" collapsed="false">
      <c r="A824" s="2" t="s">
        <v>511</v>
      </c>
      <c r="B824" s="2" t="s">
        <v>44</v>
      </c>
      <c r="C824" s="2" t="s">
        <v>44</v>
      </c>
      <c r="D824" s="2" t="s">
        <v>3326</v>
      </c>
      <c r="E824" s="2" t="s">
        <v>4271</v>
      </c>
      <c r="F824" s="2" t="s">
        <v>8</v>
      </c>
      <c r="G824" s="2" t="n">
        <v>166</v>
      </c>
    </row>
    <row r="825" customFormat="false" ht="15" hidden="false" customHeight="false" outlineLevel="0" collapsed="false">
      <c r="A825" s="2" t="s">
        <v>511</v>
      </c>
      <c r="B825" s="2" t="s">
        <v>44</v>
      </c>
      <c r="C825" s="2" t="s">
        <v>44</v>
      </c>
      <c r="D825" s="2" t="s">
        <v>4997</v>
      </c>
      <c r="E825" s="2" t="s">
        <v>4271</v>
      </c>
      <c r="F825" s="2" t="s">
        <v>8</v>
      </c>
      <c r="G825" s="2" t="n">
        <v>166</v>
      </c>
    </row>
    <row r="826" customFormat="false" ht="15" hidden="false" customHeight="false" outlineLevel="0" collapsed="false">
      <c r="A826" s="2" t="s">
        <v>511</v>
      </c>
      <c r="B826" s="2" t="s">
        <v>44</v>
      </c>
      <c r="C826" s="2" t="s">
        <v>44</v>
      </c>
      <c r="D826" s="2" t="s">
        <v>4998</v>
      </c>
      <c r="E826" s="2" t="s">
        <v>4264</v>
      </c>
      <c r="F826" s="2" t="s">
        <v>8</v>
      </c>
      <c r="G826" s="2" t="n">
        <v>166</v>
      </c>
    </row>
    <row r="827" customFormat="false" ht="15" hidden="false" customHeight="false" outlineLevel="0" collapsed="false">
      <c r="A827" s="2" t="s">
        <v>511</v>
      </c>
      <c r="B827" s="2" t="s">
        <v>44</v>
      </c>
      <c r="C827" s="2" t="s">
        <v>44</v>
      </c>
      <c r="D827" s="2" t="s">
        <v>4999</v>
      </c>
      <c r="E827" s="2" t="s">
        <v>4264</v>
      </c>
      <c r="F827" s="2" t="s">
        <v>8</v>
      </c>
      <c r="G827" s="2" t="n">
        <v>166</v>
      </c>
    </row>
    <row r="828" customFormat="false" ht="15" hidden="false" customHeight="false" outlineLevel="0" collapsed="false">
      <c r="A828" s="2" t="s">
        <v>511</v>
      </c>
      <c r="B828" s="2" t="s">
        <v>44</v>
      </c>
      <c r="C828" s="2" t="s">
        <v>44</v>
      </c>
      <c r="D828" s="2" t="s">
        <v>5000</v>
      </c>
      <c r="E828" s="2" t="s">
        <v>4264</v>
      </c>
      <c r="F828" s="2" t="s">
        <v>8</v>
      </c>
      <c r="G828" s="2" t="n">
        <v>166</v>
      </c>
    </row>
    <row r="829" customFormat="false" ht="15" hidden="false" customHeight="false" outlineLevel="0" collapsed="false">
      <c r="A829" s="2" t="s">
        <v>513</v>
      </c>
      <c r="B829" s="2" t="s">
        <v>428</v>
      </c>
      <c r="C829" s="2" t="s">
        <v>39</v>
      </c>
      <c r="D829" s="2" t="s">
        <v>5001</v>
      </c>
      <c r="E829" s="2" t="s">
        <v>4261</v>
      </c>
      <c r="F829" s="2" t="s">
        <v>8</v>
      </c>
      <c r="G829" s="2" t="n">
        <v>167</v>
      </c>
    </row>
    <row r="830" customFormat="false" ht="15" hidden="false" customHeight="false" outlineLevel="0" collapsed="false">
      <c r="A830" s="2" t="s">
        <v>513</v>
      </c>
      <c r="B830" s="2" t="s">
        <v>428</v>
      </c>
      <c r="C830" s="2" t="s">
        <v>39</v>
      </c>
      <c r="D830" s="2" t="s">
        <v>5002</v>
      </c>
      <c r="E830" s="2" t="s">
        <v>4261</v>
      </c>
      <c r="F830" s="2" t="s">
        <v>8</v>
      </c>
      <c r="G830" s="2" t="n">
        <v>167</v>
      </c>
    </row>
    <row r="831" customFormat="false" ht="15" hidden="false" customHeight="false" outlineLevel="0" collapsed="false">
      <c r="A831" s="2" t="s">
        <v>513</v>
      </c>
      <c r="B831" s="2" t="s">
        <v>428</v>
      </c>
      <c r="C831" s="2" t="s">
        <v>39</v>
      </c>
      <c r="D831" s="2" t="s">
        <v>5003</v>
      </c>
      <c r="E831" s="2" t="s">
        <v>4261</v>
      </c>
      <c r="F831" s="2" t="s">
        <v>8</v>
      </c>
      <c r="G831" s="2" t="n">
        <v>167</v>
      </c>
    </row>
    <row r="832" customFormat="false" ht="15" hidden="false" customHeight="false" outlineLevel="0" collapsed="false">
      <c r="A832" s="2" t="s">
        <v>513</v>
      </c>
      <c r="B832" s="2" t="s">
        <v>428</v>
      </c>
      <c r="C832" s="2" t="s">
        <v>39</v>
      </c>
      <c r="D832" s="2" t="s">
        <v>5004</v>
      </c>
      <c r="E832" s="2" t="s">
        <v>4261</v>
      </c>
      <c r="F832" s="2" t="s">
        <v>8</v>
      </c>
      <c r="G832" s="2" t="n">
        <v>167</v>
      </c>
    </row>
    <row r="833" customFormat="false" ht="15" hidden="false" customHeight="false" outlineLevel="0" collapsed="false">
      <c r="A833" s="2" t="s">
        <v>513</v>
      </c>
      <c r="B833" s="2" t="s">
        <v>428</v>
      </c>
      <c r="C833" s="2" t="s">
        <v>39</v>
      </c>
      <c r="D833" s="2" t="s">
        <v>5005</v>
      </c>
      <c r="E833" s="2" t="s">
        <v>4261</v>
      </c>
      <c r="F833" s="2" t="s">
        <v>8</v>
      </c>
      <c r="G833" s="2" t="n">
        <v>167</v>
      </c>
    </row>
    <row r="834" customFormat="false" ht="15" hidden="false" customHeight="false" outlineLevel="0" collapsed="false">
      <c r="A834" s="2" t="s">
        <v>513</v>
      </c>
      <c r="B834" s="2" t="s">
        <v>428</v>
      </c>
      <c r="C834" s="2" t="s">
        <v>39</v>
      </c>
      <c r="D834" s="2" t="s">
        <v>5006</v>
      </c>
      <c r="E834" s="2" t="s">
        <v>4261</v>
      </c>
      <c r="F834" s="2" t="s">
        <v>8</v>
      </c>
      <c r="G834" s="2" t="n">
        <v>167</v>
      </c>
    </row>
    <row r="835" customFormat="false" ht="15" hidden="false" customHeight="false" outlineLevel="0" collapsed="false">
      <c r="A835" s="2" t="s">
        <v>515</v>
      </c>
      <c r="B835" s="2" t="s">
        <v>516</v>
      </c>
      <c r="C835" s="2" t="s">
        <v>105</v>
      </c>
      <c r="D835" s="2" t="s">
        <v>5007</v>
      </c>
      <c r="E835" s="2" t="s">
        <v>4261</v>
      </c>
      <c r="F835" s="2" t="s">
        <v>8</v>
      </c>
      <c r="G835" s="2" t="n">
        <v>168</v>
      </c>
    </row>
    <row r="836" customFormat="false" ht="15" hidden="false" customHeight="false" outlineLevel="0" collapsed="false">
      <c r="A836" s="2" t="s">
        <v>515</v>
      </c>
      <c r="B836" s="2" t="s">
        <v>516</v>
      </c>
      <c r="C836" s="2" t="s">
        <v>105</v>
      </c>
      <c r="D836" s="2" t="s">
        <v>5008</v>
      </c>
      <c r="E836" s="2" t="s">
        <v>4261</v>
      </c>
      <c r="F836" s="2" t="s">
        <v>8</v>
      </c>
      <c r="G836" s="2" t="n">
        <v>168</v>
      </c>
    </row>
    <row r="837" customFormat="false" ht="15" hidden="false" customHeight="false" outlineLevel="0" collapsed="false">
      <c r="A837" s="2" t="s">
        <v>515</v>
      </c>
      <c r="B837" s="2" t="s">
        <v>516</v>
      </c>
      <c r="C837" s="2" t="s">
        <v>105</v>
      </c>
      <c r="D837" s="2" t="s">
        <v>5009</v>
      </c>
      <c r="E837" s="2" t="s">
        <v>4261</v>
      </c>
      <c r="F837" s="2" t="s">
        <v>8</v>
      </c>
      <c r="G837" s="2" t="n">
        <v>168</v>
      </c>
    </row>
    <row r="838" customFormat="false" ht="15" hidden="false" customHeight="false" outlineLevel="0" collapsed="false">
      <c r="A838" s="2" t="s">
        <v>518</v>
      </c>
      <c r="B838" s="2" t="s">
        <v>38</v>
      </c>
      <c r="C838" s="2" t="s">
        <v>39</v>
      </c>
      <c r="D838" s="2" t="s">
        <v>5010</v>
      </c>
      <c r="E838" s="2" t="s">
        <v>4261</v>
      </c>
      <c r="F838" s="2" t="s">
        <v>8</v>
      </c>
      <c r="G838" s="2" t="n">
        <v>169</v>
      </c>
    </row>
    <row r="839" customFormat="false" ht="15" hidden="false" customHeight="false" outlineLevel="0" collapsed="false">
      <c r="A839" s="2" t="s">
        <v>518</v>
      </c>
      <c r="B839" s="2" t="s">
        <v>38</v>
      </c>
      <c r="C839" s="2" t="s">
        <v>39</v>
      </c>
      <c r="D839" s="2" t="s">
        <v>5011</v>
      </c>
      <c r="E839" s="2" t="s">
        <v>4261</v>
      </c>
      <c r="F839" s="2" t="s">
        <v>8</v>
      </c>
      <c r="G839" s="2" t="n">
        <v>169</v>
      </c>
    </row>
    <row r="840" customFormat="false" ht="15" hidden="false" customHeight="false" outlineLevel="0" collapsed="false">
      <c r="A840" s="2" t="s">
        <v>518</v>
      </c>
      <c r="B840" s="2" t="s">
        <v>38</v>
      </c>
      <c r="C840" s="2" t="s">
        <v>39</v>
      </c>
      <c r="D840" s="2" t="s">
        <v>5012</v>
      </c>
      <c r="E840" s="2" t="s">
        <v>4271</v>
      </c>
      <c r="F840" s="2" t="s">
        <v>8</v>
      </c>
      <c r="G840" s="2" t="n">
        <v>169</v>
      </c>
    </row>
    <row r="841" customFormat="false" ht="15" hidden="false" customHeight="false" outlineLevel="0" collapsed="false">
      <c r="A841" s="2" t="s">
        <v>518</v>
      </c>
      <c r="B841" s="2" t="s">
        <v>38</v>
      </c>
      <c r="C841" s="2" t="s">
        <v>39</v>
      </c>
      <c r="D841" s="2" t="s">
        <v>5013</v>
      </c>
      <c r="E841" s="2" t="s">
        <v>4271</v>
      </c>
      <c r="F841" s="2" t="s">
        <v>8</v>
      </c>
      <c r="G841" s="2" t="n">
        <v>169</v>
      </c>
    </row>
    <row r="842" customFormat="false" ht="15" hidden="false" customHeight="false" outlineLevel="0" collapsed="false">
      <c r="A842" s="2" t="s">
        <v>518</v>
      </c>
      <c r="B842" s="2" t="s">
        <v>38</v>
      </c>
      <c r="C842" s="2" t="s">
        <v>39</v>
      </c>
      <c r="D842" s="2" t="s">
        <v>5014</v>
      </c>
      <c r="E842" s="2" t="s">
        <v>4261</v>
      </c>
      <c r="F842" s="2" t="s">
        <v>8</v>
      </c>
      <c r="G842" s="2" t="n">
        <v>169</v>
      </c>
    </row>
    <row r="843" customFormat="false" ht="15" hidden="false" customHeight="false" outlineLevel="0" collapsed="false">
      <c r="A843" s="2" t="s">
        <v>518</v>
      </c>
      <c r="B843" s="2" t="s">
        <v>38</v>
      </c>
      <c r="C843" s="2" t="s">
        <v>39</v>
      </c>
      <c r="D843" s="2" t="s">
        <v>5015</v>
      </c>
      <c r="E843" s="2" t="s">
        <v>4261</v>
      </c>
      <c r="F843" s="2" t="s">
        <v>8</v>
      </c>
      <c r="G843" s="2" t="n">
        <v>169</v>
      </c>
    </row>
    <row r="844" customFormat="false" ht="15" hidden="false" customHeight="false" outlineLevel="0" collapsed="false">
      <c r="A844" s="2" t="s">
        <v>518</v>
      </c>
      <c r="B844" s="2" t="s">
        <v>38</v>
      </c>
      <c r="C844" s="2" t="s">
        <v>39</v>
      </c>
      <c r="D844" s="2" t="s">
        <v>5016</v>
      </c>
      <c r="E844" s="2" t="s">
        <v>4261</v>
      </c>
      <c r="F844" s="2" t="s">
        <v>8</v>
      </c>
      <c r="G844" s="2" t="n">
        <v>169</v>
      </c>
    </row>
    <row r="845" customFormat="false" ht="15" hidden="false" customHeight="false" outlineLevel="0" collapsed="false">
      <c r="A845" s="2" t="s">
        <v>525</v>
      </c>
      <c r="B845" s="2" t="s">
        <v>526</v>
      </c>
      <c r="C845" s="2" t="s">
        <v>34</v>
      </c>
      <c r="D845" s="2" t="s">
        <v>5017</v>
      </c>
      <c r="E845" s="2" t="s">
        <v>4261</v>
      </c>
      <c r="F845" s="2" t="s">
        <v>9</v>
      </c>
      <c r="G845" s="2" t="n">
        <v>172</v>
      </c>
    </row>
    <row r="846" customFormat="false" ht="15" hidden="false" customHeight="false" outlineLevel="0" collapsed="false">
      <c r="A846" s="2" t="s">
        <v>525</v>
      </c>
      <c r="B846" s="2" t="s">
        <v>526</v>
      </c>
      <c r="C846" s="2" t="s">
        <v>34</v>
      </c>
      <c r="D846" s="2" t="s">
        <v>5018</v>
      </c>
      <c r="E846" s="2" t="s">
        <v>4261</v>
      </c>
      <c r="F846" s="2" t="s">
        <v>9</v>
      </c>
      <c r="G846" s="2" t="n">
        <v>172</v>
      </c>
    </row>
    <row r="847" customFormat="false" ht="15" hidden="false" customHeight="false" outlineLevel="0" collapsed="false">
      <c r="A847" s="2" t="s">
        <v>528</v>
      </c>
      <c r="B847" s="2" t="s">
        <v>355</v>
      </c>
      <c r="C847" s="2" t="s">
        <v>44</v>
      </c>
      <c r="D847" s="2" t="s">
        <v>5019</v>
      </c>
      <c r="E847" s="2" t="s">
        <v>4261</v>
      </c>
      <c r="F847" s="2" t="s">
        <v>10</v>
      </c>
      <c r="G847" s="2" t="n">
        <v>173</v>
      </c>
    </row>
    <row r="848" customFormat="false" ht="15" hidden="false" customHeight="false" outlineLevel="0" collapsed="false">
      <c r="A848" s="2" t="s">
        <v>528</v>
      </c>
      <c r="B848" s="2" t="s">
        <v>355</v>
      </c>
      <c r="C848" s="2" t="s">
        <v>44</v>
      </c>
      <c r="D848" s="2" t="s">
        <v>5020</v>
      </c>
      <c r="E848" s="2" t="s">
        <v>4264</v>
      </c>
      <c r="F848" s="2" t="s">
        <v>10</v>
      </c>
      <c r="G848" s="2" t="n">
        <v>173</v>
      </c>
    </row>
    <row r="849" customFormat="false" ht="15" hidden="false" customHeight="false" outlineLevel="0" collapsed="false">
      <c r="A849" s="2" t="s">
        <v>528</v>
      </c>
      <c r="B849" s="2" t="s">
        <v>355</v>
      </c>
      <c r="C849" s="2" t="s">
        <v>44</v>
      </c>
      <c r="D849" s="2" t="s">
        <v>5021</v>
      </c>
      <c r="E849" s="2" t="s">
        <v>4264</v>
      </c>
      <c r="F849" s="2" t="s">
        <v>10</v>
      </c>
      <c r="G849" s="2" t="n">
        <v>173</v>
      </c>
    </row>
    <row r="850" customFormat="false" ht="15" hidden="false" customHeight="false" outlineLevel="0" collapsed="false">
      <c r="A850" s="2" t="s">
        <v>528</v>
      </c>
      <c r="B850" s="2" t="s">
        <v>355</v>
      </c>
      <c r="C850" s="2" t="s">
        <v>44</v>
      </c>
      <c r="D850" s="2" t="s">
        <v>5022</v>
      </c>
      <c r="E850" s="2" t="s">
        <v>4264</v>
      </c>
      <c r="F850" s="2" t="s">
        <v>10</v>
      </c>
      <c r="G850" s="2" t="n">
        <v>173</v>
      </c>
    </row>
    <row r="851" customFormat="false" ht="15" hidden="false" customHeight="false" outlineLevel="0" collapsed="false">
      <c r="A851" s="2" t="s">
        <v>528</v>
      </c>
      <c r="B851" s="2" t="s">
        <v>355</v>
      </c>
      <c r="C851" s="2" t="s">
        <v>44</v>
      </c>
      <c r="D851" s="2" t="s">
        <v>5023</v>
      </c>
      <c r="E851" s="2" t="s">
        <v>4261</v>
      </c>
      <c r="F851" s="2" t="s">
        <v>10</v>
      </c>
      <c r="G851" s="2" t="n">
        <v>173</v>
      </c>
    </row>
    <row r="852" customFormat="false" ht="15" hidden="false" customHeight="false" outlineLevel="0" collapsed="false">
      <c r="A852" s="2" t="s">
        <v>528</v>
      </c>
      <c r="B852" s="2" t="s">
        <v>355</v>
      </c>
      <c r="C852" s="2" t="s">
        <v>44</v>
      </c>
      <c r="D852" s="2" t="s">
        <v>5024</v>
      </c>
      <c r="E852" s="2" t="s">
        <v>4264</v>
      </c>
      <c r="F852" s="2" t="s">
        <v>10</v>
      </c>
      <c r="G852" s="2" t="n">
        <v>173</v>
      </c>
    </row>
    <row r="853" customFormat="false" ht="15" hidden="false" customHeight="false" outlineLevel="0" collapsed="false">
      <c r="A853" s="2" t="s">
        <v>530</v>
      </c>
      <c r="B853" s="2" t="s">
        <v>197</v>
      </c>
      <c r="C853" s="2" t="s">
        <v>197</v>
      </c>
      <c r="D853" s="2" t="s">
        <v>5025</v>
      </c>
      <c r="E853" s="2" t="s">
        <v>4261</v>
      </c>
      <c r="F853" s="2" t="s">
        <v>8</v>
      </c>
      <c r="G853" s="2" t="n">
        <v>174</v>
      </c>
    </row>
    <row r="854" customFormat="false" ht="15" hidden="false" customHeight="false" outlineLevel="0" collapsed="false">
      <c r="A854" s="2" t="s">
        <v>530</v>
      </c>
      <c r="B854" s="2" t="s">
        <v>197</v>
      </c>
      <c r="C854" s="2" t="s">
        <v>197</v>
      </c>
      <c r="D854" s="2" t="s">
        <v>5026</v>
      </c>
      <c r="E854" s="2" t="s">
        <v>4271</v>
      </c>
      <c r="F854" s="2" t="s">
        <v>8</v>
      </c>
      <c r="G854" s="2" t="n">
        <v>174</v>
      </c>
    </row>
    <row r="855" customFormat="false" ht="15" hidden="false" customHeight="false" outlineLevel="0" collapsed="false">
      <c r="A855" s="2" t="s">
        <v>530</v>
      </c>
      <c r="B855" s="2" t="s">
        <v>197</v>
      </c>
      <c r="C855" s="2" t="s">
        <v>197</v>
      </c>
      <c r="D855" s="2" t="s">
        <v>4991</v>
      </c>
      <c r="E855" s="2" t="s">
        <v>4271</v>
      </c>
      <c r="F855" s="2" t="s">
        <v>8</v>
      </c>
      <c r="G855" s="2" t="n">
        <v>174</v>
      </c>
    </row>
    <row r="856" customFormat="false" ht="15" hidden="false" customHeight="false" outlineLevel="0" collapsed="false">
      <c r="A856" s="2" t="s">
        <v>534</v>
      </c>
      <c r="B856" s="2" t="s">
        <v>44</v>
      </c>
      <c r="C856" s="2" t="s">
        <v>44</v>
      </c>
      <c r="D856" s="2" t="s">
        <v>5027</v>
      </c>
      <c r="E856" s="2" t="s">
        <v>4271</v>
      </c>
      <c r="F856" s="2" t="s">
        <v>9</v>
      </c>
      <c r="G856" s="2" t="n">
        <v>176</v>
      </c>
    </row>
    <row r="857" customFormat="false" ht="15" hidden="false" customHeight="false" outlineLevel="0" collapsed="false">
      <c r="A857" s="2" t="s">
        <v>534</v>
      </c>
      <c r="B857" s="2" t="s">
        <v>44</v>
      </c>
      <c r="C857" s="2" t="s">
        <v>44</v>
      </c>
      <c r="D857" s="2" t="s">
        <v>5028</v>
      </c>
      <c r="E857" s="2" t="s">
        <v>4271</v>
      </c>
      <c r="F857" s="2" t="s">
        <v>9</v>
      </c>
      <c r="G857" s="2" t="n">
        <v>176</v>
      </c>
    </row>
    <row r="858" customFormat="false" ht="15" hidden="false" customHeight="false" outlineLevel="0" collapsed="false">
      <c r="A858" s="2" t="s">
        <v>534</v>
      </c>
      <c r="B858" s="2" t="s">
        <v>44</v>
      </c>
      <c r="C858" s="2" t="s">
        <v>44</v>
      </c>
      <c r="D858" s="2" t="s">
        <v>5029</v>
      </c>
      <c r="E858" s="2" t="s">
        <v>4271</v>
      </c>
      <c r="F858" s="2" t="s">
        <v>9</v>
      </c>
      <c r="G858" s="2" t="n">
        <v>176</v>
      </c>
    </row>
    <row r="859" customFormat="false" ht="15" hidden="false" customHeight="false" outlineLevel="0" collapsed="false">
      <c r="A859" s="2" t="s">
        <v>534</v>
      </c>
      <c r="B859" s="2" t="s">
        <v>44</v>
      </c>
      <c r="C859" s="2" t="s">
        <v>44</v>
      </c>
      <c r="D859" s="2" t="s">
        <v>5030</v>
      </c>
      <c r="E859" s="2" t="s">
        <v>4271</v>
      </c>
      <c r="F859" s="2" t="s">
        <v>9</v>
      </c>
      <c r="G859" s="2" t="n">
        <v>176</v>
      </c>
    </row>
    <row r="860" customFormat="false" ht="15" hidden="false" customHeight="false" outlineLevel="0" collapsed="false">
      <c r="A860" s="2" t="s">
        <v>536</v>
      </c>
      <c r="B860" s="2" t="s">
        <v>537</v>
      </c>
      <c r="C860" s="2" t="s">
        <v>27</v>
      </c>
      <c r="D860" s="2" t="s">
        <v>538</v>
      </c>
      <c r="E860" s="2" t="s">
        <v>4261</v>
      </c>
      <c r="F860" s="2" t="s">
        <v>9</v>
      </c>
      <c r="G860" s="2" t="n">
        <v>177</v>
      </c>
    </row>
    <row r="861" customFormat="false" ht="15" hidden="false" customHeight="false" outlineLevel="0" collapsed="false">
      <c r="A861" s="2" t="s">
        <v>542</v>
      </c>
      <c r="B861" s="2" t="s">
        <v>70</v>
      </c>
      <c r="C861" s="2" t="s">
        <v>70</v>
      </c>
      <c r="D861" s="2" t="s">
        <v>5031</v>
      </c>
      <c r="E861" s="2" t="s">
        <v>4261</v>
      </c>
      <c r="F861" s="2" t="s">
        <v>8</v>
      </c>
      <c r="G861" s="2" t="n">
        <v>179</v>
      </c>
    </row>
    <row r="862" customFormat="false" ht="15" hidden="false" customHeight="false" outlineLevel="0" collapsed="false">
      <c r="A862" s="2" t="s">
        <v>542</v>
      </c>
      <c r="B862" s="2" t="s">
        <v>70</v>
      </c>
      <c r="C862" s="2" t="s">
        <v>70</v>
      </c>
      <c r="D862" s="2" t="s">
        <v>5032</v>
      </c>
      <c r="E862" s="2" t="s">
        <v>4271</v>
      </c>
      <c r="F862" s="2" t="s">
        <v>8</v>
      </c>
      <c r="G862" s="2" t="n">
        <v>179</v>
      </c>
    </row>
    <row r="863" customFormat="false" ht="15" hidden="false" customHeight="false" outlineLevel="0" collapsed="false">
      <c r="A863" s="2" t="s">
        <v>542</v>
      </c>
      <c r="B863" s="2" t="s">
        <v>70</v>
      </c>
      <c r="C863" s="2" t="s">
        <v>70</v>
      </c>
      <c r="D863" s="2" t="s">
        <v>5033</v>
      </c>
      <c r="E863" s="2" t="s">
        <v>4264</v>
      </c>
      <c r="F863" s="2" t="s">
        <v>8</v>
      </c>
      <c r="G863" s="2" t="n">
        <v>179</v>
      </c>
    </row>
    <row r="864" customFormat="false" ht="15" hidden="false" customHeight="false" outlineLevel="0" collapsed="false">
      <c r="A864" s="2" t="s">
        <v>542</v>
      </c>
      <c r="B864" s="2" t="s">
        <v>70</v>
      </c>
      <c r="C864" s="2" t="s">
        <v>70</v>
      </c>
      <c r="D864" s="2" t="s">
        <v>5034</v>
      </c>
      <c r="E864" s="2" t="s">
        <v>4261</v>
      </c>
      <c r="F864" s="2" t="s">
        <v>8</v>
      </c>
      <c r="G864" s="2" t="n">
        <v>179</v>
      </c>
    </row>
    <row r="865" customFormat="false" ht="15" hidden="false" customHeight="false" outlineLevel="0" collapsed="false">
      <c r="A865" s="2" t="s">
        <v>544</v>
      </c>
      <c r="B865" s="2" t="s">
        <v>545</v>
      </c>
      <c r="C865" s="2" t="s">
        <v>27</v>
      </c>
      <c r="D865" s="2" t="s">
        <v>5035</v>
      </c>
      <c r="E865" s="2" t="s">
        <v>4264</v>
      </c>
      <c r="F865" s="2" t="s">
        <v>8</v>
      </c>
      <c r="G865" s="2" t="n">
        <v>180</v>
      </c>
    </row>
    <row r="866" customFormat="false" ht="15" hidden="false" customHeight="false" outlineLevel="0" collapsed="false">
      <c r="A866" s="2" t="s">
        <v>544</v>
      </c>
      <c r="B866" s="2" t="s">
        <v>545</v>
      </c>
      <c r="C866" s="2" t="s">
        <v>27</v>
      </c>
      <c r="D866" s="2" t="s">
        <v>5036</v>
      </c>
      <c r="E866" s="2" t="s">
        <v>4264</v>
      </c>
      <c r="F866" s="2" t="s">
        <v>8</v>
      </c>
      <c r="G866" s="2" t="n">
        <v>180</v>
      </c>
    </row>
    <row r="867" customFormat="false" ht="15" hidden="false" customHeight="false" outlineLevel="0" collapsed="false">
      <c r="A867" s="2" t="s">
        <v>547</v>
      </c>
      <c r="B867" s="2" t="s">
        <v>70</v>
      </c>
      <c r="C867" s="2" t="s">
        <v>70</v>
      </c>
      <c r="D867" s="2" t="s">
        <v>548</v>
      </c>
      <c r="E867" s="2" t="s">
        <v>4271</v>
      </c>
      <c r="F867" s="2" t="s">
        <v>8</v>
      </c>
      <c r="G867" s="2" t="n">
        <v>181</v>
      </c>
    </row>
    <row r="868" customFormat="false" ht="15" hidden="false" customHeight="false" outlineLevel="0" collapsed="false">
      <c r="A868" s="2" t="s">
        <v>554</v>
      </c>
      <c r="B868" s="2" t="s">
        <v>84</v>
      </c>
      <c r="C868" s="2" t="s">
        <v>70</v>
      </c>
      <c r="D868" s="2" t="s">
        <v>555</v>
      </c>
      <c r="E868" s="2" t="s">
        <v>4271</v>
      </c>
      <c r="F868" s="2" t="s">
        <v>9</v>
      </c>
      <c r="G868" s="2" t="n">
        <v>184</v>
      </c>
    </row>
    <row r="869" customFormat="false" ht="15" hidden="false" customHeight="false" outlineLevel="0" collapsed="false">
      <c r="A869" s="2" t="s">
        <v>556</v>
      </c>
      <c r="B869" s="2" t="s">
        <v>557</v>
      </c>
      <c r="C869" s="2" t="s">
        <v>70</v>
      </c>
      <c r="D869" s="2" t="s">
        <v>5037</v>
      </c>
      <c r="E869" s="2" t="s">
        <v>4261</v>
      </c>
      <c r="F869" s="2" t="s">
        <v>8</v>
      </c>
      <c r="G869" s="2" t="n">
        <v>185</v>
      </c>
    </row>
    <row r="870" customFormat="false" ht="15" hidden="false" customHeight="false" outlineLevel="0" collapsed="false">
      <c r="A870" s="2" t="s">
        <v>556</v>
      </c>
      <c r="B870" s="2" t="s">
        <v>557</v>
      </c>
      <c r="C870" s="2" t="s">
        <v>70</v>
      </c>
      <c r="D870" s="2" t="s">
        <v>5038</v>
      </c>
      <c r="E870" s="2" t="s">
        <v>4261</v>
      </c>
      <c r="F870" s="2" t="s">
        <v>8</v>
      </c>
      <c r="G870" s="2" t="n">
        <v>185</v>
      </c>
    </row>
    <row r="871" customFormat="false" ht="15" hidden="false" customHeight="false" outlineLevel="0" collapsed="false">
      <c r="A871" s="2" t="s">
        <v>560</v>
      </c>
      <c r="B871" s="2" t="s">
        <v>561</v>
      </c>
      <c r="C871" s="2" t="s">
        <v>105</v>
      </c>
      <c r="D871" s="2" t="s">
        <v>5039</v>
      </c>
      <c r="E871" s="2" t="s">
        <v>4261</v>
      </c>
      <c r="F871" s="2" t="s">
        <v>9</v>
      </c>
      <c r="G871" s="2" t="n">
        <v>186</v>
      </c>
    </row>
    <row r="872" customFormat="false" ht="15" hidden="false" customHeight="false" outlineLevel="0" collapsed="false">
      <c r="A872" s="2" t="s">
        <v>560</v>
      </c>
      <c r="B872" s="2" t="s">
        <v>561</v>
      </c>
      <c r="C872" s="2" t="s">
        <v>105</v>
      </c>
      <c r="D872" s="2" t="s">
        <v>4595</v>
      </c>
      <c r="E872" s="2" t="s">
        <v>4261</v>
      </c>
      <c r="F872" s="2" t="s">
        <v>9</v>
      </c>
      <c r="G872" s="2" t="n">
        <v>186</v>
      </c>
    </row>
    <row r="873" customFormat="false" ht="15" hidden="false" customHeight="false" outlineLevel="0" collapsed="false">
      <c r="A873" s="2" t="s">
        <v>560</v>
      </c>
      <c r="B873" s="2" t="s">
        <v>561</v>
      </c>
      <c r="C873" s="2" t="s">
        <v>105</v>
      </c>
      <c r="D873" s="2" t="s">
        <v>5040</v>
      </c>
      <c r="E873" s="2" t="s">
        <v>4261</v>
      </c>
      <c r="F873" s="2" t="s">
        <v>9</v>
      </c>
      <c r="G873" s="2" t="n">
        <v>186</v>
      </c>
    </row>
    <row r="874" customFormat="false" ht="15" hidden="false" customHeight="false" outlineLevel="0" collapsed="false">
      <c r="A874" s="2" t="s">
        <v>560</v>
      </c>
      <c r="B874" s="2" t="s">
        <v>561</v>
      </c>
      <c r="C874" s="2" t="s">
        <v>105</v>
      </c>
      <c r="D874" s="2" t="s">
        <v>5041</v>
      </c>
      <c r="E874" s="2" t="s">
        <v>4261</v>
      </c>
      <c r="F874" s="2" t="s">
        <v>9</v>
      </c>
      <c r="G874" s="2" t="n">
        <v>186</v>
      </c>
    </row>
    <row r="875" customFormat="false" ht="15" hidden="false" customHeight="false" outlineLevel="0" collapsed="false">
      <c r="A875" s="2" t="s">
        <v>560</v>
      </c>
      <c r="B875" s="2" t="s">
        <v>561</v>
      </c>
      <c r="C875" s="2" t="s">
        <v>105</v>
      </c>
      <c r="D875" s="2" t="s">
        <v>5042</v>
      </c>
      <c r="E875" s="2" t="s">
        <v>4261</v>
      </c>
      <c r="F875" s="2" t="s">
        <v>9</v>
      </c>
      <c r="G875" s="2" t="n">
        <v>186</v>
      </c>
    </row>
    <row r="876" customFormat="false" ht="15" hidden="false" customHeight="false" outlineLevel="0" collapsed="false">
      <c r="A876" s="2" t="s">
        <v>560</v>
      </c>
      <c r="B876" s="2" t="s">
        <v>561</v>
      </c>
      <c r="C876" s="2" t="s">
        <v>105</v>
      </c>
      <c r="D876" s="2" t="s">
        <v>5043</v>
      </c>
      <c r="E876" s="2" t="s">
        <v>4261</v>
      </c>
      <c r="F876" s="2" t="s">
        <v>9</v>
      </c>
      <c r="G876" s="2" t="n">
        <v>186</v>
      </c>
    </row>
    <row r="877" customFormat="false" ht="15" hidden="false" customHeight="false" outlineLevel="0" collapsed="false">
      <c r="A877" s="2" t="s">
        <v>560</v>
      </c>
      <c r="B877" s="2" t="s">
        <v>561</v>
      </c>
      <c r="C877" s="2" t="s">
        <v>105</v>
      </c>
      <c r="D877" s="2" t="s">
        <v>5044</v>
      </c>
      <c r="E877" s="2" t="s">
        <v>4261</v>
      </c>
      <c r="F877" s="2" t="s">
        <v>9</v>
      </c>
      <c r="G877" s="2" t="n">
        <v>186</v>
      </c>
    </row>
    <row r="878" customFormat="false" ht="15" hidden="false" customHeight="false" outlineLevel="0" collapsed="false">
      <c r="A878" s="2" t="s">
        <v>560</v>
      </c>
      <c r="B878" s="2" t="s">
        <v>561</v>
      </c>
      <c r="C878" s="2" t="s">
        <v>105</v>
      </c>
      <c r="D878" s="2" t="s">
        <v>5045</v>
      </c>
      <c r="E878" s="2" t="s">
        <v>4261</v>
      </c>
      <c r="F878" s="2" t="s">
        <v>9</v>
      </c>
      <c r="G878" s="2" t="n">
        <v>186</v>
      </c>
    </row>
    <row r="879" customFormat="false" ht="15" hidden="false" customHeight="false" outlineLevel="0" collapsed="false">
      <c r="A879" s="2" t="s">
        <v>560</v>
      </c>
      <c r="B879" s="2" t="s">
        <v>561</v>
      </c>
      <c r="C879" s="2" t="s">
        <v>105</v>
      </c>
      <c r="D879" s="2" t="s">
        <v>5046</v>
      </c>
      <c r="E879" s="2" t="s">
        <v>4261</v>
      </c>
      <c r="F879" s="2" t="s">
        <v>9</v>
      </c>
      <c r="G879" s="2" t="n">
        <v>186</v>
      </c>
    </row>
    <row r="880" customFormat="false" ht="15" hidden="false" customHeight="false" outlineLevel="0" collapsed="false">
      <c r="A880" s="2" t="s">
        <v>560</v>
      </c>
      <c r="B880" s="2" t="s">
        <v>561</v>
      </c>
      <c r="C880" s="2" t="s">
        <v>105</v>
      </c>
      <c r="D880" s="2" t="s">
        <v>5047</v>
      </c>
      <c r="E880" s="2" t="s">
        <v>4261</v>
      </c>
      <c r="F880" s="2" t="s">
        <v>9</v>
      </c>
      <c r="G880" s="2" t="n">
        <v>186</v>
      </c>
    </row>
    <row r="881" customFormat="false" ht="15" hidden="false" customHeight="false" outlineLevel="0" collapsed="false">
      <c r="A881" s="2" t="s">
        <v>560</v>
      </c>
      <c r="B881" s="2" t="s">
        <v>561</v>
      </c>
      <c r="C881" s="2" t="s">
        <v>105</v>
      </c>
      <c r="D881" s="2" t="s">
        <v>5048</v>
      </c>
      <c r="E881" s="2" t="s">
        <v>4261</v>
      </c>
      <c r="F881" s="2" t="s">
        <v>9</v>
      </c>
      <c r="G881" s="2" t="n">
        <v>186</v>
      </c>
    </row>
    <row r="882" customFormat="false" ht="15" hidden="false" customHeight="false" outlineLevel="0" collapsed="false">
      <c r="A882" s="2" t="s">
        <v>560</v>
      </c>
      <c r="B882" s="2" t="s">
        <v>561</v>
      </c>
      <c r="C882" s="2" t="s">
        <v>105</v>
      </c>
      <c r="D882" s="2" t="s">
        <v>5049</v>
      </c>
      <c r="E882" s="2" t="s">
        <v>4261</v>
      </c>
      <c r="F882" s="2" t="s">
        <v>9</v>
      </c>
      <c r="G882" s="2" t="n">
        <v>186</v>
      </c>
    </row>
    <row r="883" customFormat="false" ht="15" hidden="false" customHeight="false" outlineLevel="0" collapsed="false">
      <c r="A883" s="2" t="s">
        <v>560</v>
      </c>
      <c r="B883" s="2" t="s">
        <v>561</v>
      </c>
      <c r="C883" s="2" t="s">
        <v>105</v>
      </c>
      <c r="D883" s="2" t="s">
        <v>5050</v>
      </c>
      <c r="E883" s="2" t="s">
        <v>4261</v>
      </c>
      <c r="F883" s="2" t="s">
        <v>9</v>
      </c>
      <c r="G883" s="2" t="n">
        <v>186</v>
      </c>
    </row>
    <row r="884" customFormat="false" ht="15" hidden="false" customHeight="false" outlineLevel="0" collapsed="false">
      <c r="A884" s="2" t="s">
        <v>560</v>
      </c>
      <c r="B884" s="2" t="s">
        <v>561</v>
      </c>
      <c r="C884" s="2" t="s">
        <v>105</v>
      </c>
      <c r="D884" s="2" t="s">
        <v>5051</v>
      </c>
      <c r="E884" s="2" t="s">
        <v>4261</v>
      </c>
      <c r="F884" s="2" t="s">
        <v>9</v>
      </c>
      <c r="G884" s="2" t="n">
        <v>186</v>
      </c>
    </row>
    <row r="885" customFormat="false" ht="15" hidden="false" customHeight="false" outlineLevel="0" collapsed="false">
      <c r="A885" s="2" t="s">
        <v>560</v>
      </c>
      <c r="B885" s="2" t="s">
        <v>561</v>
      </c>
      <c r="C885" s="2" t="s">
        <v>105</v>
      </c>
      <c r="D885" s="2" t="s">
        <v>5052</v>
      </c>
      <c r="E885" s="2" t="s">
        <v>4261</v>
      </c>
      <c r="F885" s="2" t="s">
        <v>9</v>
      </c>
      <c r="G885" s="2" t="n">
        <v>186</v>
      </c>
    </row>
    <row r="886" customFormat="false" ht="15" hidden="false" customHeight="false" outlineLevel="0" collapsed="false">
      <c r="A886" s="2" t="s">
        <v>560</v>
      </c>
      <c r="B886" s="2" t="s">
        <v>561</v>
      </c>
      <c r="C886" s="2" t="s">
        <v>105</v>
      </c>
      <c r="D886" s="2" t="s">
        <v>5053</v>
      </c>
      <c r="E886" s="2" t="s">
        <v>4261</v>
      </c>
      <c r="F886" s="2" t="s">
        <v>9</v>
      </c>
      <c r="G886" s="2" t="n">
        <v>186</v>
      </c>
    </row>
    <row r="887" customFormat="false" ht="15" hidden="false" customHeight="false" outlineLevel="0" collapsed="false">
      <c r="A887" s="2" t="s">
        <v>560</v>
      </c>
      <c r="B887" s="2" t="s">
        <v>561</v>
      </c>
      <c r="C887" s="2" t="s">
        <v>105</v>
      </c>
      <c r="D887" s="2" t="s">
        <v>5054</v>
      </c>
      <c r="E887" s="2" t="s">
        <v>4261</v>
      </c>
      <c r="F887" s="2" t="s">
        <v>9</v>
      </c>
      <c r="G887" s="2" t="n">
        <v>186</v>
      </c>
    </row>
    <row r="888" customFormat="false" ht="15" hidden="false" customHeight="false" outlineLevel="0" collapsed="false">
      <c r="A888" s="2" t="s">
        <v>560</v>
      </c>
      <c r="B888" s="2" t="s">
        <v>561</v>
      </c>
      <c r="C888" s="2" t="s">
        <v>105</v>
      </c>
      <c r="D888" s="2" t="s">
        <v>5055</v>
      </c>
      <c r="E888" s="2" t="s">
        <v>4261</v>
      </c>
      <c r="F888" s="2" t="s">
        <v>9</v>
      </c>
      <c r="G888" s="2" t="n">
        <v>186</v>
      </c>
    </row>
    <row r="889" customFormat="false" ht="15" hidden="false" customHeight="false" outlineLevel="0" collapsed="false">
      <c r="A889" s="2" t="s">
        <v>560</v>
      </c>
      <c r="B889" s="2" t="s">
        <v>561</v>
      </c>
      <c r="C889" s="2" t="s">
        <v>105</v>
      </c>
      <c r="D889" s="2" t="s">
        <v>5056</v>
      </c>
      <c r="E889" s="2" t="s">
        <v>4261</v>
      </c>
      <c r="F889" s="2" t="s">
        <v>9</v>
      </c>
      <c r="G889" s="2" t="n">
        <v>186</v>
      </c>
    </row>
    <row r="890" customFormat="false" ht="15" hidden="false" customHeight="false" outlineLevel="0" collapsed="false">
      <c r="A890" s="2" t="s">
        <v>565</v>
      </c>
      <c r="B890" s="2" t="s">
        <v>44</v>
      </c>
      <c r="C890" s="2" t="s">
        <v>44</v>
      </c>
      <c r="D890" s="2" t="s">
        <v>5057</v>
      </c>
      <c r="E890" s="2" t="s">
        <v>4261</v>
      </c>
      <c r="F890" s="2" t="s">
        <v>8</v>
      </c>
      <c r="G890" s="2" t="n">
        <v>188</v>
      </c>
    </row>
    <row r="891" customFormat="false" ht="15" hidden="false" customHeight="false" outlineLevel="0" collapsed="false">
      <c r="A891" s="2" t="s">
        <v>565</v>
      </c>
      <c r="B891" s="2" t="s">
        <v>44</v>
      </c>
      <c r="C891" s="2" t="s">
        <v>44</v>
      </c>
      <c r="D891" s="2" t="s">
        <v>5058</v>
      </c>
      <c r="E891" s="2" t="s">
        <v>4264</v>
      </c>
      <c r="F891" s="2" t="s">
        <v>8</v>
      </c>
      <c r="G891" s="2" t="n">
        <v>188</v>
      </c>
    </row>
    <row r="892" customFormat="false" ht="15" hidden="false" customHeight="false" outlineLevel="0" collapsed="false">
      <c r="A892" s="2" t="s">
        <v>565</v>
      </c>
      <c r="B892" s="2" t="s">
        <v>44</v>
      </c>
      <c r="C892" s="2" t="s">
        <v>44</v>
      </c>
      <c r="D892" s="2" t="s">
        <v>5059</v>
      </c>
      <c r="E892" s="2" t="s">
        <v>4261</v>
      </c>
      <c r="F892" s="2" t="s">
        <v>8</v>
      </c>
      <c r="G892" s="2" t="n">
        <v>188</v>
      </c>
    </row>
    <row r="893" customFormat="false" ht="15" hidden="false" customHeight="false" outlineLevel="0" collapsed="false">
      <c r="A893" s="2" t="s">
        <v>565</v>
      </c>
      <c r="B893" s="2" t="s">
        <v>44</v>
      </c>
      <c r="C893" s="2" t="s">
        <v>44</v>
      </c>
      <c r="D893" s="2" t="s">
        <v>5060</v>
      </c>
      <c r="E893" s="2" t="s">
        <v>4261</v>
      </c>
      <c r="F893" s="2" t="s">
        <v>8</v>
      </c>
      <c r="G893" s="2" t="n">
        <v>188</v>
      </c>
    </row>
    <row r="894" customFormat="false" ht="15" hidden="false" customHeight="false" outlineLevel="0" collapsed="false">
      <c r="A894" s="2" t="s">
        <v>565</v>
      </c>
      <c r="B894" s="2" t="s">
        <v>44</v>
      </c>
      <c r="C894" s="2" t="s">
        <v>44</v>
      </c>
      <c r="D894" s="2" t="s">
        <v>5061</v>
      </c>
      <c r="E894" s="2" t="s">
        <v>4261</v>
      </c>
      <c r="F894" s="2" t="s">
        <v>8</v>
      </c>
      <c r="G894" s="2" t="n">
        <v>188</v>
      </c>
    </row>
    <row r="895" customFormat="false" ht="15" hidden="false" customHeight="false" outlineLevel="0" collapsed="false">
      <c r="A895" s="2" t="s">
        <v>565</v>
      </c>
      <c r="B895" s="2" t="s">
        <v>44</v>
      </c>
      <c r="C895" s="2" t="s">
        <v>44</v>
      </c>
      <c r="D895" s="2" t="s">
        <v>5062</v>
      </c>
      <c r="E895" s="2" t="s">
        <v>4271</v>
      </c>
      <c r="F895" s="2" t="s">
        <v>8</v>
      </c>
      <c r="G895" s="2" t="n">
        <v>188</v>
      </c>
    </row>
    <row r="896" customFormat="false" ht="15" hidden="false" customHeight="false" outlineLevel="0" collapsed="false">
      <c r="A896" s="2" t="s">
        <v>565</v>
      </c>
      <c r="B896" s="2" t="s">
        <v>44</v>
      </c>
      <c r="C896" s="2" t="s">
        <v>44</v>
      </c>
      <c r="D896" s="2" t="s">
        <v>5063</v>
      </c>
      <c r="E896" s="2" t="s">
        <v>4264</v>
      </c>
      <c r="F896" s="2" t="s">
        <v>8</v>
      </c>
      <c r="G896" s="2" t="n">
        <v>188</v>
      </c>
    </row>
    <row r="897" customFormat="false" ht="15" hidden="false" customHeight="false" outlineLevel="0" collapsed="false">
      <c r="A897" s="2" t="s">
        <v>565</v>
      </c>
      <c r="B897" s="2" t="s">
        <v>44</v>
      </c>
      <c r="C897" s="2" t="s">
        <v>44</v>
      </c>
      <c r="D897" s="2" t="s">
        <v>5064</v>
      </c>
      <c r="E897" s="2" t="s">
        <v>4271</v>
      </c>
      <c r="F897" s="2" t="s">
        <v>8</v>
      </c>
      <c r="G897" s="2" t="n">
        <v>188</v>
      </c>
    </row>
    <row r="898" customFormat="false" ht="15" hidden="false" customHeight="false" outlineLevel="0" collapsed="false">
      <c r="A898" s="2" t="s">
        <v>565</v>
      </c>
      <c r="B898" s="2" t="s">
        <v>44</v>
      </c>
      <c r="C898" s="2" t="s">
        <v>44</v>
      </c>
      <c r="D898" s="2" t="s">
        <v>174</v>
      </c>
      <c r="E898" s="2" t="s">
        <v>4261</v>
      </c>
      <c r="F898" s="2" t="s">
        <v>8</v>
      </c>
      <c r="G898" s="2" t="n">
        <v>188</v>
      </c>
    </row>
    <row r="899" customFormat="false" ht="15" hidden="false" customHeight="false" outlineLevel="0" collapsed="false">
      <c r="A899" s="2" t="s">
        <v>565</v>
      </c>
      <c r="B899" s="2" t="s">
        <v>44</v>
      </c>
      <c r="C899" s="2" t="s">
        <v>44</v>
      </c>
      <c r="D899" s="2" t="s">
        <v>5065</v>
      </c>
      <c r="E899" s="2" t="s">
        <v>4261</v>
      </c>
      <c r="F899" s="2" t="s">
        <v>8</v>
      </c>
      <c r="G899" s="2" t="n">
        <v>188</v>
      </c>
    </row>
    <row r="900" customFormat="false" ht="15" hidden="false" customHeight="false" outlineLevel="0" collapsed="false">
      <c r="A900" s="2" t="s">
        <v>565</v>
      </c>
      <c r="B900" s="2" t="s">
        <v>44</v>
      </c>
      <c r="C900" s="2" t="s">
        <v>44</v>
      </c>
      <c r="D900" s="2" t="s">
        <v>5066</v>
      </c>
      <c r="E900" s="2" t="s">
        <v>4261</v>
      </c>
      <c r="F900" s="2" t="s">
        <v>8</v>
      </c>
      <c r="G900" s="2" t="n">
        <v>188</v>
      </c>
    </row>
    <row r="901" customFormat="false" ht="15" hidden="false" customHeight="false" outlineLevel="0" collapsed="false">
      <c r="A901" s="2" t="s">
        <v>565</v>
      </c>
      <c r="B901" s="2" t="s">
        <v>44</v>
      </c>
      <c r="C901" s="2" t="s">
        <v>44</v>
      </c>
      <c r="D901" s="2" t="s">
        <v>5067</v>
      </c>
      <c r="E901" s="2" t="s">
        <v>4264</v>
      </c>
      <c r="F901" s="2" t="s">
        <v>8</v>
      </c>
      <c r="G901" s="2" t="n">
        <v>188</v>
      </c>
    </row>
    <row r="902" customFormat="false" ht="15" hidden="false" customHeight="false" outlineLevel="0" collapsed="false">
      <c r="A902" s="2" t="s">
        <v>565</v>
      </c>
      <c r="B902" s="2" t="s">
        <v>44</v>
      </c>
      <c r="C902" s="2" t="s">
        <v>44</v>
      </c>
      <c r="D902" s="2" t="s">
        <v>5068</v>
      </c>
      <c r="E902" s="2" t="s">
        <v>4261</v>
      </c>
      <c r="F902" s="2" t="s">
        <v>8</v>
      </c>
      <c r="G902" s="2" t="n">
        <v>188</v>
      </c>
    </row>
    <row r="903" customFormat="false" ht="15" hidden="false" customHeight="false" outlineLevel="0" collapsed="false">
      <c r="A903" s="2" t="s">
        <v>565</v>
      </c>
      <c r="B903" s="2" t="s">
        <v>44</v>
      </c>
      <c r="C903" s="2" t="s">
        <v>44</v>
      </c>
      <c r="D903" s="2" t="s">
        <v>5069</v>
      </c>
      <c r="E903" s="2" t="s">
        <v>4264</v>
      </c>
      <c r="F903" s="2" t="s">
        <v>8</v>
      </c>
      <c r="G903" s="2" t="n">
        <v>188</v>
      </c>
    </row>
    <row r="904" customFormat="false" ht="15" hidden="false" customHeight="false" outlineLevel="0" collapsed="false">
      <c r="A904" s="2" t="s">
        <v>565</v>
      </c>
      <c r="B904" s="2" t="s">
        <v>44</v>
      </c>
      <c r="C904" s="2" t="s">
        <v>44</v>
      </c>
      <c r="D904" s="2" t="s">
        <v>5070</v>
      </c>
      <c r="E904" s="2" t="s">
        <v>4264</v>
      </c>
      <c r="F904" s="2" t="s">
        <v>8</v>
      </c>
      <c r="G904" s="2" t="n">
        <v>188</v>
      </c>
    </row>
    <row r="905" customFormat="false" ht="15" hidden="false" customHeight="false" outlineLevel="0" collapsed="false">
      <c r="A905" s="2" t="s">
        <v>567</v>
      </c>
      <c r="B905" s="2" t="s">
        <v>44</v>
      </c>
      <c r="C905" s="2" t="s">
        <v>44</v>
      </c>
      <c r="D905" s="2" t="s">
        <v>5071</v>
      </c>
      <c r="E905" s="2" t="s">
        <v>4264</v>
      </c>
      <c r="F905" s="2" t="s">
        <v>8</v>
      </c>
      <c r="G905" s="2" t="n">
        <v>189</v>
      </c>
    </row>
    <row r="906" customFormat="false" ht="15" hidden="false" customHeight="false" outlineLevel="0" collapsed="false">
      <c r="A906" s="2" t="s">
        <v>567</v>
      </c>
      <c r="B906" s="2" t="s">
        <v>44</v>
      </c>
      <c r="C906" s="2" t="s">
        <v>44</v>
      </c>
      <c r="D906" s="2" t="s">
        <v>5072</v>
      </c>
      <c r="E906" s="2" t="s">
        <v>4271</v>
      </c>
      <c r="F906" s="2" t="s">
        <v>8</v>
      </c>
      <c r="G906" s="2" t="n">
        <v>189</v>
      </c>
    </row>
    <row r="907" customFormat="false" ht="15" hidden="false" customHeight="false" outlineLevel="0" collapsed="false">
      <c r="A907" s="2" t="s">
        <v>569</v>
      </c>
      <c r="B907" s="2" t="s">
        <v>570</v>
      </c>
      <c r="C907" s="2" t="s">
        <v>70</v>
      </c>
      <c r="D907" s="2" t="s">
        <v>5073</v>
      </c>
      <c r="E907" s="2" t="s">
        <v>4264</v>
      </c>
      <c r="F907" s="2" t="s">
        <v>8</v>
      </c>
      <c r="G907" s="2" t="n">
        <v>190</v>
      </c>
    </row>
    <row r="908" customFormat="false" ht="15" hidden="false" customHeight="false" outlineLevel="0" collapsed="false">
      <c r="A908" s="2" t="s">
        <v>569</v>
      </c>
      <c r="B908" s="2" t="s">
        <v>570</v>
      </c>
      <c r="C908" s="2" t="s">
        <v>70</v>
      </c>
      <c r="D908" s="2" t="s">
        <v>5074</v>
      </c>
      <c r="E908" s="2" t="s">
        <v>4264</v>
      </c>
      <c r="F908" s="2" t="s">
        <v>8</v>
      </c>
      <c r="G908" s="2" t="n">
        <v>190</v>
      </c>
    </row>
    <row r="909" customFormat="false" ht="15" hidden="false" customHeight="false" outlineLevel="0" collapsed="false">
      <c r="A909" s="2" t="s">
        <v>572</v>
      </c>
      <c r="B909" s="2" t="s">
        <v>573</v>
      </c>
      <c r="C909" s="2" t="s">
        <v>27</v>
      </c>
      <c r="D909" s="2" t="s">
        <v>574</v>
      </c>
      <c r="E909" s="2" t="s">
        <v>4264</v>
      </c>
      <c r="F909" s="2" t="s">
        <v>9</v>
      </c>
      <c r="G909" s="2" t="n">
        <v>191</v>
      </c>
    </row>
    <row r="910" customFormat="false" ht="15" hidden="false" customHeight="false" outlineLevel="0" collapsed="false">
      <c r="A910" s="2" t="s">
        <v>576</v>
      </c>
      <c r="B910" s="2" t="s">
        <v>44</v>
      </c>
      <c r="C910" s="2" t="s">
        <v>44</v>
      </c>
      <c r="D910" s="2" t="s">
        <v>533</v>
      </c>
      <c r="E910" s="2" t="s">
        <v>4264</v>
      </c>
      <c r="F910" s="2" t="s">
        <v>8</v>
      </c>
      <c r="G910" s="2" t="n">
        <v>193</v>
      </c>
    </row>
    <row r="911" customFormat="false" ht="15" hidden="false" customHeight="false" outlineLevel="0" collapsed="false">
      <c r="A911" s="2" t="s">
        <v>576</v>
      </c>
      <c r="B911" s="2" t="s">
        <v>44</v>
      </c>
      <c r="C911" s="2" t="s">
        <v>44</v>
      </c>
      <c r="D911" s="2" t="s">
        <v>61</v>
      </c>
      <c r="E911" s="2" t="s">
        <v>4264</v>
      </c>
      <c r="F911" s="2" t="s">
        <v>8</v>
      </c>
      <c r="G911" s="2" t="n">
        <v>193</v>
      </c>
    </row>
    <row r="912" customFormat="false" ht="15" hidden="false" customHeight="false" outlineLevel="0" collapsed="false">
      <c r="A912" s="2" t="s">
        <v>576</v>
      </c>
      <c r="B912" s="2" t="s">
        <v>44</v>
      </c>
      <c r="C912" s="2" t="s">
        <v>44</v>
      </c>
      <c r="D912" s="2" t="s">
        <v>5075</v>
      </c>
      <c r="E912" s="2" t="s">
        <v>4264</v>
      </c>
      <c r="F912" s="2" t="s">
        <v>8</v>
      </c>
      <c r="G912" s="2" t="n">
        <v>193</v>
      </c>
    </row>
    <row r="913" customFormat="false" ht="15" hidden="false" customHeight="false" outlineLevel="0" collapsed="false">
      <c r="A913" s="2" t="s">
        <v>576</v>
      </c>
      <c r="B913" s="2" t="s">
        <v>44</v>
      </c>
      <c r="C913" s="2" t="s">
        <v>44</v>
      </c>
      <c r="D913" s="2" t="s">
        <v>5076</v>
      </c>
      <c r="E913" s="2" t="s">
        <v>4264</v>
      </c>
      <c r="F913" s="2" t="s">
        <v>8</v>
      </c>
      <c r="G913" s="2" t="n">
        <v>193</v>
      </c>
    </row>
    <row r="914" customFormat="false" ht="15" hidden="false" customHeight="false" outlineLevel="0" collapsed="false">
      <c r="A914" s="2" t="s">
        <v>576</v>
      </c>
      <c r="B914" s="2" t="s">
        <v>44</v>
      </c>
      <c r="C914" s="2" t="s">
        <v>44</v>
      </c>
      <c r="D914" s="2" t="s">
        <v>5077</v>
      </c>
      <c r="E914" s="2" t="s">
        <v>4261</v>
      </c>
      <c r="F914" s="2" t="s">
        <v>8</v>
      </c>
      <c r="G914" s="2" t="n">
        <v>193</v>
      </c>
    </row>
    <row r="915" customFormat="false" ht="15" hidden="false" customHeight="false" outlineLevel="0" collapsed="false">
      <c r="A915" s="2" t="s">
        <v>576</v>
      </c>
      <c r="B915" s="2" t="s">
        <v>44</v>
      </c>
      <c r="C915" s="2" t="s">
        <v>44</v>
      </c>
      <c r="D915" s="2" t="s">
        <v>1926</v>
      </c>
      <c r="E915" s="2" t="s">
        <v>4264</v>
      </c>
      <c r="F915" s="2" t="s">
        <v>8</v>
      </c>
      <c r="G915" s="2" t="n">
        <v>193</v>
      </c>
    </row>
    <row r="916" customFormat="false" ht="15" hidden="false" customHeight="false" outlineLevel="0" collapsed="false">
      <c r="A916" s="2" t="s">
        <v>576</v>
      </c>
      <c r="B916" s="2" t="s">
        <v>44</v>
      </c>
      <c r="C916" s="2" t="s">
        <v>44</v>
      </c>
      <c r="D916" s="2" t="s">
        <v>5078</v>
      </c>
      <c r="E916" s="2" t="s">
        <v>4271</v>
      </c>
      <c r="F916" s="2" t="s">
        <v>8</v>
      </c>
      <c r="G916" s="2" t="n">
        <v>193</v>
      </c>
    </row>
    <row r="917" customFormat="false" ht="15" hidden="false" customHeight="false" outlineLevel="0" collapsed="false">
      <c r="A917" s="2" t="s">
        <v>579</v>
      </c>
      <c r="B917" s="2" t="s">
        <v>570</v>
      </c>
      <c r="C917" s="2" t="s">
        <v>70</v>
      </c>
      <c r="D917" s="2" t="s">
        <v>580</v>
      </c>
      <c r="E917" s="2" t="s">
        <v>4261</v>
      </c>
      <c r="F917" s="2" t="s">
        <v>8</v>
      </c>
      <c r="G917" s="2" t="n">
        <v>195</v>
      </c>
    </row>
    <row r="918" customFormat="false" ht="15" hidden="false" customHeight="false" outlineLevel="0" collapsed="false">
      <c r="A918" s="2" t="s">
        <v>584</v>
      </c>
      <c r="B918" s="2" t="s">
        <v>585</v>
      </c>
      <c r="C918" s="2" t="s">
        <v>27</v>
      </c>
      <c r="D918" s="2" t="s">
        <v>586</v>
      </c>
      <c r="E918" s="2" t="s">
        <v>4261</v>
      </c>
      <c r="F918" s="2" t="s">
        <v>9</v>
      </c>
      <c r="G918" s="2" t="n">
        <v>198</v>
      </c>
    </row>
    <row r="919" customFormat="false" ht="15" hidden="false" customHeight="false" outlineLevel="0" collapsed="false">
      <c r="A919" s="2" t="s">
        <v>592</v>
      </c>
      <c r="B919" s="2" t="s">
        <v>38</v>
      </c>
      <c r="C919" s="2" t="s">
        <v>39</v>
      </c>
      <c r="D919" s="2" t="s">
        <v>5079</v>
      </c>
      <c r="E919" s="2" t="s">
        <v>4261</v>
      </c>
      <c r="F919" s="2" t="s">
        <v>8</v>
      </c>
      <c r="G919" s="2" t="n">
        <v>200</v>
      </c>
    </row>
    <row r="920" customFormat="false" ht="15" hidden="false" customHeight="false" outlineLevel="0" collapsed="false">
      <c r="A920" s="2" t="s">
        <v>592</v>
      </c>
      <c r="B920" s="2" t="s">
        <v>38</v>
      </c>
      <c r="C920" s="2" t="s">
        <v>39</v>
      </c>
      <c r="D920" s="2" t="s">
        <v>5080</v>
      </c>
      <c r="E920" s="2" t="s">
        <v>4271</v>
      </c>
      <c r="F920" s="2" t="s">
        <v>8</v>
      </c>
      <c r="G920" s="2" t="n">
        <v>200</v>
      </c>
    </row>
    <row r="921" customFormat="false" ht="15" hidden="false" customHeight="false" outlineLevel="0" collapsed="false">
      <c r="A921" s="2" t="s">
        <v>594</v>
      </c>
      <c r="B921" s="2" t="s">
        <v>595</v>
      </c>
      <c r="C921" s="2" t="s">
        <v>595</v>
      </c>
      <c r="D921" s="2" t="s">
        <v>4729</v>
      </c>
      <c r="E921" s="2" t="s">
        <v>4261</v>
      </c>
      <c r="F921" s="2" t="s">
        <v>9</v>
      </c>
      <c r="G921" s="2" t="n">
        <v>201</v>
      </c>
    </row>
    <row r="922" customFormat="false" ht="15" hidden="false" customHeight="false" outlineLevel="0" collapsed="false">
      <c r="A922" s="2" t="s">
        <v>594</v>
      </c>
      <c r="B922" s="2" t="s">
        <v>595</v>
      </c>
      <c r="C922" s="2" t="s">
        <v>595</v>
      </c>
      <c r="D922" s="2" t="s">
        <v>5012</v>
      </c>
      <c r="E922" s="2" t="s">
        <v>4261</v>
      </c>
      <c r="F922" s="2" t="s">
        <v>9</v>
      </c>
      <c r="G922" s="2" t="n">
        <v>201</v>
      </c>
    </row>
    <row r="923" customFormat="false" ht="15" hidden="false" customHeight="false" outlineLevel="0" collapsed="false">
      <c r="A923" s="2" t="s">
        <v>594</v>
      </c>
      <c r="B923" s="2" t="s">
        <v>595</v>
      </c>
      <c r="C923" s="2" t="s">
        <v>595</v>
      </c>
      <c r="D923" s="2" t="s">
        <v>5081</v>
      </c>
      <c r="E923" s="2" t="s">
        <v>4261</v>
      </c>
      <c r="F923" s="2" t="s">
        <v>9</v>
      </c>
      <c r="G923" s="2" t="n">
        <v>201</v>
      </c>
    </row>
    <row r="924" customFormat="false" ht="15" hidden="false" customHeight="false" outlineLevel="0" collapsed="false">
      <c r="A924" s="2" t="s">
        <v>594</v>
      </c>
      <c r="B924" s="2" t="s">
        <v>595</v>
      </c>
      <c r="C924" s="2" t="s">
        <v>595</v>
      </c>
      <c r="D924" s="2" t="s">
        <v>5082</v>
      </c>
      <c r="E924" s="2" t="s">
        <v>4261</v>
      </c>
      <c r="F924" s="2" t="s">
        <v>9</v>
      </c>
      <c r="G924" s="2" t="n">
        <v>201</v>
      </c>
    </row>
    <row r="925" customFormat="false" ht="15" hidden="false" customHeight="false" outlineLevel="0" collapsed="false">
      <c r="A925" s="2" t="s">
        <v>594</v>
      </c>
      <c r="B925" s="2" t="s">
        <v>595</v>
      </c>
      <c r="C925" s="2" t="s">
        <v>595</v>
      </c>
      <c r="D925" s="2" t="s">
        <v>5083</v>
      </c>
      <c r="E925" s="2" t="s">
        <v>4261</v>
      </c>
      <c r="F925" s="2" t="s">
        <v>9</v>
      </c>
      <c r="G925" s="2" t="n">
        <v>201</v>
      </c>
    </row>
    <row r="926" customFormat="false" ht="15" hidden="false" customHeight="false" outlineLevel="0" collapsed="false">
      <c r="A926" s="2" t="s">
        <v>594</v>
      </c>
      <c r="B926" s="2" t="s">
        <v>595</v>
      </c>
      <c r="C926" s="2" t="s">
        <v>595</v>
      </c>
      <c r="D926" s="2" t="s">
        <v>5084</v>
      </c>
      <c r="E926" s="2" t="s">
        <v>4261</v>
      </c>
      <c r="F926" s="2" t="s">
        <v>9</v>
      </c>
      <c r="G926" s="2" t="n">
        <v>201</v>
      </c>
    </row>
    <row r="927" customFormat="false" ht="15" hidden="false" customHeight="false" outlineLevel="0" collapsed="false">
      <c r="A927" s="2" t="s">
        <v>594</v>
      </c>
      <c r="B927" s="2" t="s">
        <v>595</v>
      </c>
      <c r="C927" s="2" t="s">
        <v>595</v>
      </c>
      <c r="D927" s="2" t="s">
        <v>5085</v>
      </c>
      <c r="E927" s="2" t="s">
        <v>4261</v>
      </c>
      <c r="F927" s="2" t="s">
        <v>9</v>
      </c>
      <c r="G927" s="2" t="n">
        <v>201</v>
      </c>
    </row>
    <row r="928" customFormat="false" ht="15" hidden="false" customHeight="false" outlineLevel="0" collapsed="false">
      <c r="A928" s="2" t="s">
        <v>594</v>
      </c>
      <c r="B928" s="2" t="s">
        <v>595</v>
      </c>
      <c r="C928" s="2" t="s">
        <v>595</v>
      </c>
      <c r="D928" s="2" t="s">
        <v>5086</v>
      </c>
      <c r="E928" s="2" t="s">
        <v>4261</v>
      </c>
      <c r="F928" s="2" t="s">
        <v>9</v>
      </c>
      <c r="G928" s="2" t="n">
        <v>201</v>
      </c>
    </row>
    <row r="929" customFormat="false" ht="15" hidden="false" customHeight="false" outlineLevel="0" collapsed="false">
      <c r="A929" s="2" t="s">
        <v>598</v>
      </c>
      <c r="B929" s="2" t="s">
        <v>263</v>
      </c>
      <c r="C929" s="2" t="s">
        <v>27</v>
      </c>
      <c r="D929" s="2" t="s">
        <v>5087</v>
      </c>
      <c r="E929" s="2" t="s">
        <v>4271</v>
      </c>
      <c r="F929" s="2" t="s">
        <v>8</v>
      </c>
      <c r="G929" s="2" t="n">
        <v>202</v>
      </c>
    </row>
    <row r="930" customFormat="false" ht="15" hidden="false" customHeight="false" outlineLevel="0" collapsed="false">
      <c r="A930" s="2" t="s">
        <v>598</v>
      </c>
      <c r="B930" s="2" t="s">
        <v>263</v>
      </c>
      <c r="C930" s="2" t="s">
        <v>27</v>
      </c>
      <c r="D930" s="2" t="s">
        <v>5088</v>
      </c>
      <c r="E930" s="2" t="s">
        <v>4271</v>
      </c>
      <c r="F930" s="2" t="s">
        <v>8</v>
      </c>
      <c r="G930" s="2" t="n">
        <v>202</v>
      </c>
    </row>
    <row r="931" customFormat="false" ht="15" hidden="false" customHeight="false" outlineLevel="0" collapsed="false">
      <c r="A931" s="2" t="s">
        <v>598</v>
      </c>
      <c r="B931" s="2" t="s">
        <v>263</v>
      </c>
      <c r="C931" s="2" t="s">
        <v>27</v>
      </c>
      <c r="D931" s="2" t="s">
        <v>5089</v>
      </c>
      <c r="E931" s="2" t="s">
        <v>4271</v>
      </c>
      <c r="F931" s="2" t="s">
        <v>8</v>
      </c>
      <c r="G931" s="2" t="n">
        <v>202</v>
      </c>
    </row>
    <row r="932" customFormat="false" ht="15" hidden="false" customHeight="false" outlineLevel="0" collapsed="false">
      <c r="A932" s="2" t="s">
        <v>610</v>
      </c>
      <c r="B932" s="2" t="s">
        <v>56</v>
      </c>
      <c r="C932" s="2" t="s">
        <v>56</v>
      </c>
      <c r="D932" s="2" t="s">
        <v>5090</v>
      </c>
      <c r="E932" s="2" t="s">
        <v>4264</v>
      </c>
      <c r="F932" s="2" t="s">
        <v>8</v>
      </c>
      <c r="G932" s="2" t="n">
        <v>208</v>
      </c>
    </row>
    <row r="933" customFormat="false" ht="15" hidden="false" customHeight="false" outlineLevel="0" collapsed="false">
      <c r="A933" s="2" t="s">
        <v>610</v>
      </c>
      <c r="B933" s="2" t="s">
        <v>56</v>
      </c>
      <c r="C933" s="2" t="s">
        <v>56</v>
      </c>
      <c r="D933" s="2" t="s">
        <v>5091</v>
      </c>
      <c r="E933" s="2" t="s">
        <v>4261</v>
      </c>
      <c r="F933" s="2" t="s">
        <v>8</v>
      </c>
      <c r="G933" s="2" t="n">
        <v>208</v>
      </c>
    </row>
    <row r="934" customFormat="false" ht="15" hidden="false" customHeight="false" outlineLevel="0" collapsed="false">
      <c r="A934" s="2" t="s">
        <v>612</v>
      </c>
      <c r="B934" s="2" t="s">
        <v>133</v>
      </c>
      <c r="C934" s="2" t="s">
        <v>34</v>
      </c>
      <c r="D934" s="2" t="s">
        <v>5092</v>
      </c>
      <c r="E934" s="2" t="s">
        <v>4261</v>
      </c>
      <c r="F934" s="2" t="s">
        <v>9</v>
      </c>
      <c r="G934" s="2" t="n">
        <v>209</v>
      </c>
    </row>
    <row r="935" customFormat="false" ht="15" hidden="false" customHeight="false" outlineLevel="0" collapsed="false">
      <c r="A935" s="2" t="s">
        <v>612</v>
      </c>
      <c r="B935" s="2" t="s">
        <v>133</v>
      </c>
      <c r="C935" s="2" t="s">
        <v>34</v>
      </c>
      <c r="D935" s="2" t="s">
        <v>5093</v>
      </c>
      <c r="E935" s="2" t="s">
        <v>4261</v>
      </c>
      <c r="F935" s="2" t="s">
        <v>9</v>
      </c>
      <c r="G935" s="2" t="n">
        <v>209</v>
      </c>
    </row>
    <row r="936" customFormat="false" ht="15" hidden="false" customHeight="false" outlineLevel="0" collapsed="false">
      <c r="A936" s="2" t="s">
        <v>614</v>
      </c>
      <c r="B936" s="2" t="s">
        <v>70</v>
      </c>
      <c r="C936" s="2" t="s">
        <v>70</v>
      </c>
      <c r="D936" s="2" t="s">
        <v>5094</v>
      </c>
      <c r="E936" s="2" t="s">
        <v>4261</v>
      </c>
      <c r="F936" s="2" t="s">
        <v>8</v>
      </c>
      <c r="G936" s="2" t="n">
        <v>210</v>
      </c>
    </row>
    <row r="937" customFormat="false" ht="15" hidden="false" customHeight="false" outlineLevel="0" collapsed="false">
      <c r="A937" s="2" t="s">
        <v>614</v>
      </c>
      <c r="B937" s="2" t="s">
        <v>70</v>
      </c>
      <c r="C937" s="2" t="s">
        <v>70</v>
      </c>
      <c r="D937" s="2" t="s">
        <v>5095</v>
      </c>
      <c r="E937" s="2" t="s">
        <v>4271</v>
      </c>
      <c r="F937" s="2" t="s">
        <v>8</v>
      </c>
      <c r="G937" s="2" t="n">
        <v>210</v>
      </c>
    </row>
    <row r="938" customFormat="false" ht="15" hidden="false" customHeight="false" outlineLevel="0" collapsed="false">
      <c r="A938" s="2" t="s">
        <v>614</v>
      </c>
      <c r="B938" s="2" t="s">
        <v>70</v>
      </c>
      <c r="C938" s="2" t="s">
        <v>70</v>
      </c>
      <c r="D938" s="2" t="s">
        <v>5096</v>
      </c>
      <c r="E938" s="2" t="s">
        <v>4261</v>
      </c>
      <c r="F938" s="2" t="s">
        <v>8</v>
      </c>
      <c r="G938" s="2" t="n">
        <v>210</v>
      </c>
    </row>
    <row r="939" customFormat="false" ht="15" hidden="false" customHeight="false" outlineLevel="0" collapsed="false">
      <c r="A939" s="2" t="s">
        <v>614</v>
      </c>
      <c r="B939" s="2" t="s">
        <v>70</v>
      </c>
      <c r="C939" s="2" t="s">
        <v>70</v>
      </c>
      <c r="D939" s="2" t="s">
        <v>5097</v>
      </c>
      <c r="E939" s="2" t="s">
        <v>4261</v>
      </c>
      <c r="F939" s="2" t="s">
        <v>8</v>
      </c>
      <c r="G939" s="2" t="n">
        <v>210</v>
      </c>
    </row>
    <row r="940" customFormat="false" ht="15" hidden="false" customHeight="false" outlineLevel="0" collapsed="false">
      <c r="A940" s="2" t="s">
        <v>616</v>
      </c>
      <c r="B940" s="2" t="s">
        <v>44</v>
      </c>
      <c r="C940" s="2" t="s">
        <v>44</v>
      </c>
      <c r="D940" s="2" t="s">
        <v>5098</v>
      </c>
      <c r="E940" s="2" t="s">
        <v>4261</v>
      </c>
      <c r="F940" s="2" t="s">
        <v>8</v>
      </c>
      <c r="G940" s="2" t="n">
        <v>211</v>
      </c>
    </row>
    <row r="941" customFormat="false" ht="15" hidden="false" customHeight="false" outlineLevel="0" collapsed="false">
      <c r="A941" s="2" t="s">
        <v>616</v>
      </c>
      <c r="B941" s="2" t="s">
        <v>44</v>
      </c>
      <c r="C941" s="2" t="s">
        <v>44</v>
      </c>
      <c r="D941" s="2" t="s">
        <v>5099</v>
      </c>
      <c r="E941" s="2" t="s">
        <v>4261</v>
      </c>
      <c r="F941" s="2" t="s">
        <v>8</v>
      </c>
      <c r="G941" s="2" t="n">
        <v>211</v>
      </c>
    </row>
    <row r="942" customFormat="false" ht="15" hidden="false" customHeight="false" outlineLevel="0" collapsed="false">
      <c r="A942" s="2" t="s">
        <v>616</v>
      </c>
      <c r="B942" s="2" t="s">
        <v>44</v>
      </c>
      <c r="C942" s="2" t="s">
        <v>44</v>
      </c>
      <c r="D942" s="2" t="s">
        <v>5100</v>
      </c>
      <c r="E942" s="2" t="s">
        <v>4261</v>
      </c>
      <c r="F942" s="2" t="s">
        <v>8</v>
      </c>
      <c r="G942" s="2" t="n">
        <v>211</v>
      </c>
    </row>
    <row r="943" customFormat="false" ht="15" hidden="false" customHeight="false" outlineLevel="0" collapsed="false">
      <c r="A943" s="2" t="s">
        <v>616</v>
      </c>
      <c r="B943" s="2" t="s">
        <v>44</v>
      </c>
      <c r="C943" s="2" t="s">
        <v>44</v>
      </c>
      <c r="D943" s="2" t="s">
        <v>5101</v>
      </c>
      <c r="E943" s="2" t="s">
        <v>4271</v>
      </c>
      <c r="F943" s="2" t="s">
        <v>8</v>
      </c>
      <c r="G943" s="2" t="n">
        <v>211</v>
      </c>
    </row>
    <row r="944" customFormat="false" ht="15" hidden="false" customHeight="false" outlineLevel="0" collapsed="false">
      <c r="A944" s="2" t="s">
        <v>616</v>
      </c>
      <c r="B944" s="2" t="s">
        <v>44</v>
      </c>
      <c r="C944" s="2" t="s">
        <v>44</v>
      </c>
      <c r="D944" s="2" t="s">
        <v>5102</v>
      </c>
      <c r="E944" s="2" t="s">
        <v>4264</v>
      </c>
      <c r="F944" s="2" t="s">
        <v>8</v>
      </c>
      <c r="G944" s="2" t="n">
        <v>211</v>
      </c>
    </row>
    <row r="945" customFormat="false" ht="15" hidden="false" customHeight="false" outlineLevel="0" collapsed="false">
      <c r="A945" s="2" t="s">
        <v>616</v>
      </c>
      <c r="B945" s="2" t="s">
        <v>44</v>
      </c>
      <c r="C945" s="2" t="s">
        <v>44</v>
      </c>
      <c r="D945" s="2" t="s">
        <v>5103</v>
      </c>
      <c r="E945" s="2" t="s">
        <v>4271</v>
      </c>
      <c r="F945" s="2" t="s">
        <v>8</v>
      </c>
      <c r="G945" s="2" t="n">
        <v>211</v>
      </c>
    </row>
    <row r="946" customFormat="false" ht="15" hidden="false" customHeight="false" outlineLevel="0" collapsed="false">
      <c r="A946" s="2" t="s">
        <v>616</v>
      </c>
      <c r="B946" s="2" t="s">
        <v>44</v>
      </c>
      <c r="C946" s="2" t="s">
        <v>44</v>
      </c>
      <c r="D946" s="2" t="s">
        <v>5104</v>
      </c>
      <c r="E946" s="2" t="s">
        <v>4264</v>
      </c>
      <c r="F946" s="2" t="s">
        <v>8</v>
      </c>
      <c r="G946" s="2" t="n">
        <v>211</v>
      </c>
    </row>
    <row r="947" customFormat="false" ht="15" hidden="false" customHeight="false" outlineLevel="0" collapsed="false">
      <c r="A947" s="2" t="s">
        <v>616</v>
      </c>
      <c r="B947" s="2" t="s">
        <v>44</v>
      </c>
      <c r="C947" s="2" t="s">
        <v>44</v>
      </c>
      <c r="D947" s="2" t="s">
        <v>5105</v>
      </c>
      <c r="E947" s="2" t="s">
        <v>4264</v>
      </c>
      <c r="F947" s="2" t="s">
        <v>8</v>
      </c>
      <c r="G947" s="2" t="n">
        <v>211</v>
      </c>
    </row>
    <row r="948" customFormat="false" ht="15" hidden="false" customHeight="false" outlineLevel="0" collapsed="false">
      <c r="A948" s="2" t="s">
        <v>618</v>
      </c>
      <c r="B948" s="2" t="s">
        <v>138</v>
      </c>
      <c r="C948" s="2" t="s">
        <v>27</v>
      </c>
      <c r="D948" s="2" t="s">
        <v>5106</v>
      </c>
      <c r="E948" s="2" t="s">
        <v>4261</v>
      </c>
      <c r="F948" s="2" t="s">
        <v>8</v>
      </c>
      <c r="G948" s="2" t="n">
        <v>212</v>
      </c>
    </row>
    <row r="949" customFormat="false" ht="15" hidden="false" customHeight="false" outlineLevel="0" collapsed="false">
      <c r="A949" s="2" t="s">
        <v>618</v>
      </c>
      <c r="B949" s="2" t="s">
        <v>138</v>
      </c>
      <c r="C949" s="2" t="s">
        <v>27</v>
      </c>
      <c r="D949" s="2" t="s">
        <v>5107</v>
      </c>
      <c r="E949" s="2" t="s">
        <v>4264</v>
      </c>
      <c r="F949" s="2" t="s">
        <v>8</v>
      </c>
      <c r="G949" s="2" t="n">
        <v>212</v>
      </c>
    </row>
    <row r="950" customFormat="false" ht="15" hidden="false" customHeight="false" outlineLevel="0" collapsed="false">
      <c r="A950" s="2" t="s">
        <v>618</v>
      </c>
      <c r="B950" s="2" t="s">
        <v>138</v>
      </c>
      <c r="C950" s="2" t="s">
        <v>27</v>
      </c>
      <c r="D950" s="2" t="s">
        <v>5108</v>
      </c>
      <c r="E950" s="2" t="s">
        <v>4261</v>
      </c>
      <c r="F950" s="2" t="s">
        <v>8</v>
      </c>
      <c r="G950" s="2" t="n">
        <v>212</v>
      </c>
    </row>
    <row r="951" customFormat="false" ht="15" hidden="false" customHeight="false" outlineLevel="0" collapsed="false">
      <c r="A951" s="2" t="s">
        <v>618</v>
      </c>
      <c r="B951" s="2" t="s">
        <v>138</v>
      </c>
      <c r="C951" s="2" t="s">
        <v>27</v>
      </c>
      <c r="D951" s="2" t="s">
        <v>5109</v>
      </c>
      <c r="E951" s="2" t="s">
        <v>4264</v>
      </c>
      <c r="F951" s="2" t="s">
        <v>8</v>
      </c>
      <c r="G951" s="2" t="n">
        <v>212</v>
      </c>
    </row>
    <row r="952" customFormat="false" ht="15" hidden="false" customHeight="false" outlineLevel="0" collapsed="false">
      <c r="A952" s="2" t="s">
        <v>618</v>
      </c>
      <c r="B952" s="2" t="s">
        <v>138</v>
      </c>
      <c r="C952" s="2" t="s">
        <v>27</v>
      </c>
      <c r="D952" s="2" t="s">
        <v>5110</v>
      </c>
      <c r="E952" s="2" t="s">
        <v>4264</v>
      </c>
      <c r="F952" s="2" t="s">
        <v>8</v>
      </c>
      <c r="G952" s="2" t="n">
        <v>212</v>
      </c>
    </row>
    <row r="953" customFormat="false" ht="15" hidden="false" customHeight="false" outlineLevel="0" collapsed="false">
      <c r="A953" s="2" t="s">
        <v>618</v>
      </c>
      <c r="B953" s="2" t="s">
        <v>138</v>
      </c>
      <c r="C953" s="2" t="s">
        <v>27</v>
      </c>
      <c r="D953" s="2" t="s">
        <v>5111</v>
      </c>
      <c r="E953" s="2" t="s">
        <v>4261</v>
      </c>
      <c r="F953" s="2" t="s">
        <v>8</v>
      </c>
      <c r="G953" s="2" t="n">
        <v>212</v>
      </c>
    </row>
    <row r="954" customFormat="false" ht="15" hidden="false" customHeight="false" outlineLevel="0" collapsed="false">
      <c r="A954" s="2" t="s">
        <v>618</v>
      </c>
      <c r="B954" s="2" t="s">
        <v>138</v>
      </c>
      <c r="C954" s="2" t="s">
        <v>27</v>
      </c>
      <c r="D954" s="2" t="s">
        <v>5112</v>
      </c>
      <c r="E954" s="2" t="s">
        <v>4264</v>
      </c>
      <c r="F954" s="2" t="s">
        <v>8</v>
      </c>
      <c r="G954" s="2" t="n">
        <v>212</v>
      </c>
    </row>
    <row r="955" customFormat="false" ht="15" hidden="false" customHeight="false" outlineLevel="0" collapsed="false">
      <c r="A955" s="2" t="s">
        <v>618</v>
      </c>
      <c r="B955" s="2" t="s">
        <v>138</v>
      </c>
      <c r="C955" s="2" t="s">
        <v>27</v>
      </c>
      <c r="D955" s="2" t="s">
        <v>5113</v>
      </c>
      <c r="E955" s="2" t="s">
        <v>4261</v>
      </c>
      <c r="F955" s="2" t="s">
        <v>8</v>
      </c>
      <c r="G955" s="2" t="n">
        <v>212</v>
      </c>
    </row>
    <row r="956" customFormat="false" ht="15" hidden="false" customHeight="false" outlineLevel="0" collapsed="false">
      <c r="A956" s="2" t="s">
        <v>618</v>
      </c>
      <c r="B956" s="2" t="s">
        <v>138</v>
      </c>
      <c r="C956" s="2" t="s">
        <v>27</v>
      </c>
      <c r="D956" s="2" t="s">
        <v>5114</v>
      </c>
      <c r="E956" s="2" t="s">
        <v>4264</v>
      </c>
      <c r="F956" s="2" t="s">
        <v>8</v>
      </c>
      <c r="G956" s="2" t="n">
        <v>212</v>
      </c>
    </row>
    <row r="957" customFormat="false" ht="15" hidden="false" customHeight="false" outlineLevel="0" collapsed="false">
      <c r="A957" s="2" t="s">
        <v>620</v>
      </c>
      <c r="B957" s="2" t="s">
        <v>56</v>
      </c>
      <c r="C957" s="2" t="s">
        <v>56</v>
      </c>
      <c r="D957" s="2" t="s">
        <v>5115</v>
      </c>
      <c r="E957" s="2" t="s">
        <v>4261</v>
      </c>
      <c r="F957" s="2" t="s">
        <v>8</v>
      </c>
      <c r="G957" s="2" t="n">
        <v>213</v>
      </c>
    </row>
    <row r="958" customFormat="false" ht="15" hidden="false" customHeight="false" outlineLevel="0" collapsed="false">
      <c r="A958" s="2" t="s">
        <v>620</v>
      </c>
      <c r="B958" s="2" t="s">
        <v>56</v>
      </c>
      <c r="C958" s="2" t="s">
        <v>56</v>
      </c>
      <c r="D958" s="2" t="s">
        <v>4137</v>
      </c>
      <c r="E958" s="2" t="s">
        <v>4264</v>
      </c>
      <c r="F958" s="2" t="s">
        <v>8</v>
      </c>
      <c r="G958" s="2" t="n">
        <v>213</v>
      </c>
    </row>
    <row r="959" customFormat="false" ht="15" hidden="false" customHeight="false" outlineLevel="0" collapsed="false">
      <c r="A959" s="2" t="s">
        <v>620</v>
      </c>
      <c r="B959" s="2" t="s">
        <v>56</v>
      </c>
      <c r="C959" s="2" t="s">
        <v>56</v>
      </c>
      <c r="D959" s="2" t="s">
        <v>5116</v>
      </c>
      <c r="E959" s="2" t="s">
        <v>4264</v>
      </c>
      <c r="F959" s="2" t="s">
        <v>8</v>
      </c>
      <c r="G959" s="2" t="n">
        <v>213</v>
      </c>
    </row>
    <row r="960" customFormat="false" ht="15" hidden="false" customHeight="false" outlineLevel="0" collapsed="false">
      <c r="A960" s="2" t="s">
        <v>622</v>
      </c>
      <c r="B960" s="2" t="s">
        <v>70</v>
      </c>
      <c r="C960" s="2" t="s">
        <v>70</v>
      </c>
      <c r="D960" s="2" t="s">
        <v>5117</v>
      </c>
      <c r="E960" s="2" t="s">
        <v>4261</v>
      </c>
      <c r="F960" s="2" t="s">
        <v>8</v>
      </c>
      <c r="G960" s="2" t="n">
        <v>214</v>
      </c>
    </row>
    <row r="961" customFormat="false" ht="15" hidden="false" customHeight="false" outlineLevel="0" collapsed="false">
      <c r="A961" s="2" t="s">
        <v>622</v>
      </c>
      <c r="B961" s="2" t="s">
        <v>70</v>
      </c>
      <c r="C961" s="2" t="s">
        <v>70</v>
      </c>
      <c r="D961" s="2" t="s">
        <v>4621</v>
      </c>
      <c r="E961" s="2" t="s">
        <v>4271</v>
      </c>
      <c r="F961" s="2" t="s">
        <v>8</v>
      </c>
      <c r="G961" s="2" t="n">
        <v>214</v>
      </c>
    </row>
    <row r="962" customFormat="false" ht="15" hidden="false" customHeight="false" outlineLevel="0" collapsed="false">
      <c r="A962" s="2" t="s">
        <v>622</v>
      </c>
      <c r="B962" s="2" t="s">
        <v>70</v>
      </c>
      <c r="C962" s="2" t="s">
        <v>70</v>
      </c>
      <c r="D962" s="2" t="s">
        <v>5118</v>
      </c>
      <c r="E962" s="2" t="s">
        <v>4261</v>
      </c>
      <c r="F962" s="2" t="s">
        <v>8</v>
      </c>
      <c r="G962" s="2" t="n">
        <v>214</v>
      </c>
    </row>
    <row r="963" customFormat="false" ht="15" hidden="false" customHeight="false" outlineLevel="0" collapsed="false">
      <c r="A963" s="2" t="s">
        <v>622</v>
      </c>
      <c r="B963" s="2" t="s">
        <v>70</v>
      </c>
      <c r="C963" s="2" t="s">
        <v>70</v>
      </c>
      <c r="D963" s="2" t="s">
        <v>5119</v>
      </c>
      <c r="E963" s="2" t="s">
        <v>4261</v>
      </c>
      <c r="F963" s="2" t="s">
        <v>8</v>
      </c>
      <c r="G963" s="2" t="n">
        <v>214</v>
      </c>
    </row>
    <row r="964" customFormat="false" ht="15" hidden="false" customHeight="false" outlineLevel="0" collapsed="false">
      <c r="A964" s="2" t="s">
        <v>622</v>
      </c>
      <c r="B964" s="2" t="s">
        <v>70</v>
      </c>
      <c r="C964" s="2" t="s">
        <v>70</v>
      </c>
      <c r="D964" s="2" t="s">
        <v>4521</v>
      </c>
      <c r="E964" s="2" t="s">
        <v>4261</v>
      </c>
      <c r="F964" s="2" t="s">
        <v>8</v>
      </c>
      <c r="G964" s="2" t="n">
        <v>214</v>
      </c>
    </row>
    <row r="965" customFormat="false" ht="15" hidden="false" customHeight="false" outlineLevel="0" collapsed="false">
      <c r="A965" s="2" t="s">
        <v>622</v>
      </c>
      <c r="B965" s="2" t="s">
        <v>70</v>
      </c>
      <c r="C965" s="2" t="s">
        <v>70</v>
      </c>
      <c r="D965" s="2" t="s">
        <v>5120</v>
      </c>
      <c r="E965" s="2" t="s">
        <v>4271</v>
      </c>
      <c r="F965" s="2" t="s">
        <v>8</v>
      </c>
      <c r="G965" s="2" t="n">
        <v>214</v>
      </c>
    </row>
    <row r="966" customFormat="false" ht="15" hidden="false" customHeight="false" outlineLevel="0" collapsed="false">
      <c r="A966" s="2" t="s">
        <v>624</v>
      </c>
      <c r="B966" s="2" t="s">
        <v>199</v>
      </c>
      <c r="C966" s="2" t="s">
        <v>62</v>
      </c>
      <c r="D966" s="2" t="s">
        <v>5121</v>
      </c>
      <c r="E966" s="2" t="s">
        <v>4261</v>
      </c>
      <c r="F966" s="2" t="s">
        <v>8</v>
      </c>
      <c r="G966" s="2" t="n">
        <v>215</v>
      </c>
    </row>
    <row r="967" customFormat="false" ht="15" hidden="false" customHeight="false" outlineLevel="0" collapsed="false">
      <c r="A967" s="2" t="s">
        <v>624</v>
      </c>
      <c r="B967" s="2" t="s">
        <v>199</v>
      </c>
      <c r="C967" s="2" t="s">
        <v>62</v>
      </c>
      <c r="D967" s="2" t="s">
        <v>5122</v>
      </c>
      <c r="E967" s="2" t="s">
        <v>4261</v>
      </c>
      <c r="F967" s="2" t="s">
        <v>8</v>
      </c>
      <c r="G967" s="2" t="n">
        <v>215</v>
      </c>
    </row>
    <row r="968" customFormat="false" ht="15" hidden="false" customHeight="false" outlineLevel="0" collapsed="false">
      <c r="A968" s="2" t="s">
        <v>626</v>
      </c>
      <c r="B968" s="2" t="s">
        <v>70</v>
      </c>
      <c r="C968" s="2" t="s">
        <v>70</v>
      </c>
      <c r="D968" s="2" t="s">
        <v>5123</v>
      </c>
      <c r="E968" s="2" t="s">
        <v>4264</v>
      </c>
      <c r="F968" s="2" t="s">
        <v>8</v>
      </c>
      <c r="G968" s="2" t="n">
        <v>216</v>
      </c>
    </row>
    <row r="969" customFormat="false" ht="15" hidden="false" customHeight="false" outlineLevel="0" collapsed="false">
      <c r="A969" s="2" t="s">
        <v>626</v>
      </c>
      <c r="B969" s="2" t="s">
        <v>70</v>
      </c>
      <c r="C969" s="2" t="s">
        <v>70</v>
      </c>
      <c r="D969" s="2" t="s">
        <v>5124</v>
      </c>
      <c r="E969" s="2" t="s">
        <v>4261</v>
      </c>
      <c r="F969" s="2" t="s">
        <v>8</v>
      </c>
      <c r="G969" s="2" t="n">
        <v>216</v>
      </c>
    </row>
    <row r="970" customFormat="false" ht="15" hidden="false" customHeight="false" outlineLevel="0" collapsed="false">
      <c r="A970" s="2" t="s">
        <v>626</v>
      </c>
      <c r="B970" s="2" t="s">
        <v>70</v>
      </c>
      <c r="C970" s="2" t="s">
        <v>70</v>
      </c>
      <c r="D970" s="2" t="s">
        <v>5125</v>
      </c>
      <c r="E970" s="2" t="s">
        <v>4261</v>
      </c>
      <c r="F970" s="2" t="s">
        <v>8</v>
      </c>
      <c r="G970" s="2" t="n">
        <v>216</v>
      </c>
    </row>
    <row r="971" customFormat="false" ht="15" hidden="false" customHeight="false" outlineLevel="0" collapsed="false">
      <c r="A971" s="2" t="s">
        <v>626</v>
      </c>
      <c r="B971" s="2" t="s">
        <v>70</v>
      </c>
      <c r="C971" s="2" t="s">
        <v>70</v>
      </c>
      <c r="D971" s="2" t="s">
        <v>5126</v>
      </c>
      <c r="E971" s="2" t="s">
        <v>4261</v>
      </c>
      <c r="F971" s="2" t="s">
        <v>8</v>
      </c>
      <c r="G971" s="2" t="n">
        <v>216</v>
      </c>
    </row>
    <row r="972" customFormat="false" ht="15" hidden="false" customHeight="false" outlineLevel="0" collapsed="false">
      <c r="A972" s="2" t="s">
        <v>626</v>
      </c>
      <c r="B972" s="2" t="s">
        <v>70</v>
      </c>
      <c r="C972" s="2" t="s">
        <v>70</v>
      </c>
      <c r="D972" s="2" t="s">
        <v>5127</v>
      </c>
      <c r="E972" s="2" t="s">
        <v>4271</v>
      </c>
      <c r="F972" s="2" t="s">
        <v>8</v>
      </c>
      <c r="G972" s="2" t="n">
        <v>216</v>
      </c>
    </row>
    <row r="973" customFormat="false" ht="15" hidden="false" customHeight="false" outlineLevel="0" collapsed="false">
      <c r="A973" s="2" t="s">
        <v>626</v>
      </c>
      <c r="B973" s="2" t="s">
        <v>70</v>
      </c>
      <c r="C973" s="2" t="s">
        <v>70</v>
      </c>
      <c r="D973" s="2" t="s">
        <v>5128</v>
      </c>
      <c r="E973" s="2" t="s">
        <v>4261</v>
      </c>
      <c r="F973" s="2" t="s">
        <v>8</v>
      </c>
      <c r="G973" s="2" t="n">
        <v>216</v>
      </c>
    </row>
    <row r="974" customFormat="false" ht="15" hidden="false" customHeight="false" outlineLevel="0" collapsed="false">
      <c r="A974" s="2" t="s">
        <v>626</v>
      </c>
      <c r="B974" s="2" t="s">
        <v>70</v>
      </c>
      <c r="C974" s="2" t="s">
        <v>70</v>
      </c>
      <c r="D974" s="2" t="s">
        <v>5129</v>
      </c>
      <c r="E974" s="2" t="s">
        <v>4261</v>
      </c>
      <c r="F974" s="2" t="s">
        <v>8</v>
      </c>
      <c r="G974" s="2" t="n">
        <v>216</v>
      </c>
    </row>
    <row r="975" customFormat="false" ht="15" hidden="false" customHeight="false" outlineLevel="0" collapsed="false">
      <c r="A975" s="2" t="s">
        <v>628</v>
      </c>
      <c r="B975" s="2" t="s">
        <v>250</v>
      </c>
      <c r="C975" s="2" t="s">
        <v>70</v>
      </c>
      <c r="D975" s="2" t="s">
        <v>250</v>
      </c>
      <c r="E975" s="2" t="s">
        <v>4271</v>
      </c>
      <c r="F975" s="2" t="s">
        <v>8</v>
      </c>
      <c r="G975" s="2" t="n">
        <v>217</v>
      </c>
    </row>
    <row r="976" customFormat="false" ht="15" hidden="false" customHeight="false" outlineLevel="0" collapsed="false">
      <c r="A976" s="2" t="s">
        <v>628</v>
      </c>
      <c r="B976" s="2" t="s">
        <v>250</v>
      </c>
      <c r="C976" s="2" t="s">
        <v>70</v>
      </c>
      <c r="D976" s="2" t="s">
        <v>5130</v>
      </c>
      <c r="E976" s="2" t="s">
        <v>4271</v>
      </c>
      <c r="F976" s="2" t="s">
        <v>8</v>
      </c>
      <c r="G976" s="2" t="n">
        <v>217</v>
      </c>
    </row>
    <row r="977" customFormat="false" ht="15" hidden="false" customHeight="false" outlineLevel="0" collapsed="false">
      <c r="A977" s="2" t="s">
        <v>630</v>
      </c>
      <c r="B977" s="2" t="s">
        <v>631</v>
      </c>
      <c r="C977" s="2" t="s">
        <v>380</v>
      </c>
      <c r="D977" s="2" t="s">
        <v>632</v>
      </c>
      <c r="E977" s="2" t="s">
        <v>4271</v>
      </c>
      <c r="F977" s="2" t="s">
        <v>8</v>
      </c>
      <c r="G977" s="2" t="n">
        <v>218</v>
      </c>
    </row>
    <row r="978" customFormat="false" ht="15" hidden="false" customHeight="false" outlineLevel="0" collapsed="false">
      <c r="A978" s="2" t="s">
        <v>633</v>
      </c>
      <c r="B978" s="2" t="s">
        <v>133</v>
      </c>
      <c r="C978" s="2" t="s">
        <v>34</v>
      </c>
      <c r="D978" s="2" t="s">
        <v>5131</v>
      </c>
      <c r="E978" s="2" t="s">
        <v>4261</v>
      </c>
      <c r="F978" s="2" t="s">
        <v>8</v>
      </c>
      <c r="G978" s="2" t="n">
        <v>219</v>
      </c>
    </row>
    <row r="979" customFormat="false" ht="15" hidden="false" customHeight="false" outlineLevel="0" collapsed="false">
      <c r="A979" s="2" t="s">
        <v>633</v>
      </c>
      <c r="B979" s="2" t="s">
        <v>133</v>
      </c>
      <c r="C979" s="2" t="s">
        <v>34</v>
      </c>
      <c r="D979" s="2" t="s">
        <v>5132</v>
      </c>
      <c r="E979" s="2" t="s">
        <v>4261</v>
      </c>
      <c r="F979" s="2" t="s">
        <v>8</v>
      </c>
      <c r="G979" s="2" t="n">
        <v>219</v>
      </c>
    </row>
    <row r="980" customFormat="false" ht="15" hidden="false" customHeight="false" outlineLevel="0" collapsed="false">
      <c r="A980" s="2" t="s">
        <v>639</v>
      </c>
      <c r="B980" s="2" t="s">
        <v>27</v>
      </c>
      <c r="C980" s="2" t="s">
        <v>27</v>
      </c>
      <c r="D980" s="2" t="s">
        <v>5133</v>
      </c>
      <c r="E980" s="2" t="s">
        <v>4271</v>
      </c>
      <c r="F980" s="2" t="s">
        <v>9</v>
      </c>
      <c r="G980" s="2" t="n">
        <v>222</v>
      </c>
    </row>
    <row r="981" customFormat="false" ht="15" hidden="false" customHeight="false" outlineLevel="0" collapsed="false">
      <c r="A981" s="2" t="s">
        <v>639</v>
      </c>
      <c r="B981" s="2" t="s">
        <v>27</v>
      </c>
      <c r="C981" s="2" t="s">
        <v>27</v>
      </c>
      <c r="D981" s="2" t="s">
        <v>5134</v>
      </c>
      <c r="E981" s="2" t="s">
        <v>4271</v>
      </c>
      <c r="F981" s="2" t="s">
        <v>9</v>
      </c>
      <c r="G981" s="2" t="n">
        <v>222</v>
      </c>
    </row>
    <row r="982" customFormat="false" ht="15" hidden="false" customHeight="false" outlineLevel="0" collapsed="false">
      <c r="A982" s="2" t="s">
        <v>639</v>
      </c>
      <c r="B982" s="2" t="s">
        <v>27</v>
      </c>
      <c r="C982" s="2" t="s">
        <v>27</v>
      </c>
      <c r="D982" s="2" t="s">
        <v>5135</v>
      </c>
      <c r="E982" s="2" t="s">
        <v>4271</v>
      </c>
      <c r="F982" s="2" t="s">
        <v>9</v>
      </c>
      <c r="G982" s="2" t="n">
        <v>222</v>
      </c>
    </row>
    <row r="983" customFormat="false" ht="15" hidden="false" customHeight="false" outlineLevel="0" collapsed="false">
      <c r="A983" s="2" t="s">
        <v>641</v>
      </c>
      <c r="B983" s="2" t="s">
        <v>642</v>
      </c>
      <c r="C983" s="2" t="s">
        <v>27</v>
      </c>
      <c r="D983" s="2" t="s">
        <v>5136</v>
      </c>
      <c r="E983" s="2" t="s">
        <v>4261</v>
      </c>
      <c r="F983" s="2" t="s">
        <v>9</v>
      </c>
      <c r="G983" s="2" t="n">
        <v>223</v>
      </c>
    </row>
    <row r="984" customFormat="false" ht="15" hidden="false" customHeight="false" outlineLevel="0" collapsed="false">
      <c r="A984" s="2" t="s">
        <v>641</v>
      </c>
      <c r="B984" s="2" t="s">
        <v>642</v>
      </c>
      <c r="C984" s="2" t="s">
        <v>27</v>
      </c>
      <c r="D984" s="2" t="s">
        <v>5137</v>
      </c>
      <c r="E984" s="2" t="s">
        <v>4271</v>
      </c>
      <c r="F984" s="2" t="s">
        <v>9</v>
      </c>
      <c r="G984" s="2" t="n">
        <v>223</v>
      </c>
    </row>
    <row r="985" customFormat="false" ht="15" hidden="false" customHeight="false" outlineLevel="0" collapsed="false">
      <c r="A985" s="2" t="s">
        <v>645</v>
      </c>
      <c r="B985" s="2" t="s">
        <v>70</v>
      </c>
      <c r="C985" s="2" t="s">
        <v>70</v>
      </c>
      <c r="D985" s="2" t="s">
        <v>5138</v>
      </c>
      <c r="E985" s="2" t="s">
        <v>4264</v>
      </c>
      <c r="F985" s="2" t="s">
        <v>8</v>
      </c>
      <c r="G985" s="2" t="n">
        <v>225</v>
      </c>
    </row>
    <row r="986" customFormat="false" ht="15" hidden="false" customHeight="false" outlineLevel="0" collapsed="false">
      <c r="A986" s="2" t="s">
        <v>645</v>
      </c>
      <c r="B986" s="2" t="s">
        <v>70</v>
      </c>
      <c r="C986" s="2" t="s">
        <v>70</v>
      </c>
      <c r="D986" s="2" t="s">
        <v>5139</v>
      </c>
      <c r="E986" s="2" t="s">
        <v>4261</v>
      </c>
      <c r="F986" s="2" t="s">
        <v>8</v>
      </c>
      <c r="G986" s="2" t="n">
        <v>225</v>
      </c>
    </row>
    <row r="987" customFormat="false" ht="15" hidden="false" customHeight="false" outlineLevel="0" collapsed="false">
      <c r="A987" s="2" t="s">
        <v>647</v>
      </c>
      <c r="B987" s="2" t="s">
        <v>648</v>
      </c>
      <c r="C987" s="2" t="s">
        <v>44</v>
      </c>
      <c r="D987" s="2" t="s">
        <v>5140</v>
      </c>
      <c r="E987" s="2" t="s">
        <v>4264</v>
      </c>
      <c r="F987" s="2" t="s">
        <v>8</v>
      </c>
      <c r="G987" s="2" t="n">
        <v>226</v>
      </c>
    </row>
    <row r="988" customFormat="false" ht="15" hidden="false" customHeight="false" outlineLevel="0" collapsed="false">
      <c r="A988" s="2" t="s">
        <v>647</v>
      </c>
      <c r="B988" s="2" t="s">
        <v>648</v>
      </c>
      <c r="C988" s="2" t="s">
        <v>44</v>
      </c>
      <c r="D988" s="2" t="s">
        <v>5141</v>
      </c>
      <c r="E988" s="2" t="s">
        <v>4271</v>
      </c>
      <c r="F988" s="2" t="s">
        <v>8</v>
      </c>
      <c r="G988" s="2" t="n">
        <v>226</v>
      </c>
    </row>
    <row r="989" customFormat="false" ht="15" hidden="false" customHeight="false" outlineLevel="0" collapsed="false">
      <c r="A989" s="2" t="s">
        <v>647</v>
      </c>
      <c r="B989" s="2" t="s">
        <v>648</v>
      </c>
      <c r="C989" s="2" t="s">
        <v>44</v>
      </c>
      <c r="D989" s="2" t="s">
        <v>5142</v>
      </c>
      <c r="E989" s="2" t="s">
        <v>4264</v>
      </c>
      <c r="F989" s="2" t="s">
        <v>8</v>
      </c>
      <c r="G989" s="2" t="n">
        <v>226</v>
      </c>
    </row>
    <row r="990" customFormat="false" ht="15" hidden="false" customHeight="false" outlineLevel="0" collapsed="false">
      <c r="A990" s="2" t="s">
        <v>647</v>
      </c>
      <c r="B990" s="2" t="s">
        <v>648</v>
      </c>
      <c r="C990" s="2" t="s">
        <v>44</v>
      </c>
      <c r="D990" s="2" t="s">
        <v>5143</v>
      </c>
      <c r="E990" s="2" t="s">
        <v>4264</v>
      </c>
      <c r="F990" s="2" t="s">
        <v>8</v>
      </c>
      <c r="G990" s="2" t="n">
        <v>226</v>
      </c>
    </row>
    <row r="991" customFormat="false" ht="15" hidden="false" customHeight="false" outlineLevel="0" collapsed="false">
      <c r="A991" s="2" t="s">
        <v>647</v>
      </c>
      <c r="B991" s="2" t="s">
        <v>648</v>
      </c>
      <c r="C991" s="2" t="s">
        <v>44</v>
      </c>
      <c r="D991" s="2" t="s">
        <v>5144</v>
      </c>
      <c r="E991" s="2" t="s">
        <v>4261</v>
      </c>
      <c r="F991" s="2" t="s">
        <v>8</v>
      </c>
      <c r="G991" s="2" t="n">
        <v>226</v>
      </c>
    </row>
    <row r="992" customFormat="false" ht="15" hidden="false" customHeight="false" outlineLevel="0" collapsed="false">
      <c r="A992" s="2" t="s">
        <v>647</v>
      </c>
      <c r="B992" s="2" t="s">
        <v>648</v>
      </c>
      <c r="C992" s="2" t="s">
        <v>44</v>
      </c>
      <c r="D992" s="2" t="s">
        <v>5145</v>
      </c>
      <c r="E992" s="2" t="s">
        <v>4264</v>
      </c>
      <c r="F992" s="2" t="s">
        <v>8</v>
      </c>
      <c r="G992" s="2" t="n">
        <v>226</v>
      </c>
    </row>
    <row r="993" customFormat="false" ht="15" hidden="false" customHeight="false" outlineLevel="0" collapsed="false">
      <c r="A993" s="2" t="s">
        <v>647</v>
      </c>
      <c r="B993" s="2" t="s">
        <v>648</v>
      </c>
      <c r="C993" s="2" t="s">
        <v>44</v>
      </c>
      <c r="D993" s="2" t="s">
        <v>5146</v>
      </c>
      <c r="E993" s="2" t="s">
        <v>4264</v>
      </c>
      <c r="F993" s="2" t="s">
        <v>8</v>
      </c>
      <c r="G993" s="2" t="n">
        <v>226</v>
      </c>
    </row>
    <row r="994" customFormat="false" ht="15" hidden="false" customHeight="false" outlineLevel="0" collapsed="false">
      <c r="A994" s="2" t="s">
        <v>647</v>
      </c>
      <c r="B994" s="2" t="s">
        <v>648</v>
      </c>
      <c r="C994" s="2" t="s">
        <v>44</v>
      </c>
      <c r="D994" s="2" t="s">
        <v>5147</v>
      </c>
      <c r="E994" s="2" t="s">
        <v>4264</v>
      </c>
      <c r="F994" s="2" t="s">
        <v>8</v>
      </c>
      <c r="G994" s="2" t="n">
        <v>226</v>
      </c>
    </row>
    <row r="995" customFormat="false" ht="15" hidden="false" customHeight="false" outlineLevel="0" collapsed="false">
      <c r="A995" s="2" t="s">
        <v>654</v>
      </c>
      <c r="B995" s="2" t="s">
        <v>38</v>
      </c>
      <c r="C995" s="2" t="s">
        <v>39</v>
      </c>
      <c r="D995" s="2" t="s">
        <v>393</v>
      </c>
      <c r="E995" s="2" t="s">
        <v>4261</v>
      </c>
      <c r="F995" s="2" t="s">
        <v>8</v>
      </c>
      <c r="G995" s="2" t="n">
        <v>230</v>
      </c>
    </row>
    <row r="996" customFormat="false" ht="15" hidden="false" customHeight="false" outlineLevel="0" collapsed="false">
      <c r="A996" s="2" t="s">
        <v>654</v>
      </c>
      <c r="B996" s="2" t="s">
        <v>38</v>
      </c>
      <c r="C996" s="2" t="s">
        <v>39</v>
      </c>
      <c r="D996" s="2" t="s">
        <v>5148</v>
      </c>
      <c r="E996" s="2" t="s">
        <v>4261</v>
      </c>
      <c r="F996" s="2" t="s">
        <v>8</v>
      </c>
      <c r="G996" s="2" t="n">
        <v>230</v>
      </c>
    </row>
    <row r="997" customFormat="false" ht="15" hidden="false" customHeight="false" outlineLevel="0" collapsed="false">
      <c r="A997" s="2" t="s">
        <v>661</v>
      </c>
      <c r="B997" s="2" t="s">
        <v>116</v>
      </c>
      <c r="C997" s="2" t="s">
        <v>39</v>
      </c>
      <c r="D997" s="2" t="s">
        <v>662</v>
      </c>
      <c r="E997" s="2" t="s">
        <v>4264</v>
      </c>
      <c r="F997" s="2" t="s">
        <v>8</v>
      </c>
      <c r="G997" s="2" t="n">
        <v>233</v>
      </c>
    </row>
    <row r="998" customFormat="false" ht="15" hidden="false" customHeight="false" outlineLevel="0" collapsed="false">
      <c r="A998" s="2" t="s">
        <v>663</v>
      </c>
      <c r="B998" s="2" t="s">
        <v>146</v>
      </c>
      <c r="C998" s="2" t="s">
        <v>27</v>
      </c>
      <c r="D998" s="2" t="s">
        <v>664</v>
      </c>
      <c r="E998" s="2" t="s">
        <v>4271</v>
      </c>
      <c r="F998" s="2" t="s">
        <v>9</v>
      </c>
      <c r="G998" s="2" t="n">
        <v>234</v>
      </c>
    </row>
    <row r="999" customFormat="false" ht="15" hidden="false" customHeight="false" outlineLevel="0" collapsed="false">
      <c r="A999" s="2" t="s">
        <v>669</v>
      </c>
      <c r="B999" s="2" t="s">
        <v>138</v>
      </c>
      <c r="C999" s="2" t="s">
        <v>27</v>
      </c>
      <c r="D999" s="2" t="s">
        <v>341</v>
      </c>
      <c r="E999" s="2" t="s">
        <v>4261</v>
      </c>
      <c r="F999" s="2" t="s">
        <v>8</v>
      </c>
      <c r="G999" s="2" t="n">
        <v>236</v>
      </c>
    </row>
    <row r="1000" customFormat="false" ht="15" hidden="false" customHeight="false" outlineLevel="0" collapsed="false">
      <c r="A1000" s="2" t="s">
        <v>669</v>
      </c>
      <c r="B1000" s="2" t="s">
        <v>138</v>
      </c>
      <c r="C1000" s="2" t="s">
        <v>27</v>
      </c>
      <c r="D1000" s="2" t="s">
        <v>5149</v>
      </c>
      <c r="E1000" s="2" t="s">
        <v>4261</v>
      </c>
      <c r="F1000" s="2" t="s">
        <v>8</v>
      </c>
      <c r="G1000" s="2" t="n">
        <v>236</v>
      </c>
    </row>
    <row r="1001" customFormat="false" ht="15" hidden="false" customHeight="false" outlineLevel="0" collapsed="false">
      <c r="A1001" s="2" t="s">
        <v>669</v>
      </c>
      <c r="B1001" s="2" t="s">
        <v>138</v>
      </c>
      <c r="C1001" s="2" t="s">
        <v>27</v>
      </c>
      <c r="D1001" s="2" t="s">
        <v>5150</v>
      </c>
      <c r="E1001" s="2" t="s">
        <v>4261</v>
      </c>
      <c r="F1001" s="2" t="s">
        <v>8</v>
      </c>
      <c r="G1001" s="2" t="n">
        <v>236</v>
      </c>
    </row>
    <row r="1002" customFormat="false" ht="15" hidden="false" customHeight="false" outlineLevel="0" collapsed="false">
      <c r="A1002" s="2" t="s">
        <v>669</v>
      </c>
      <c r="B1002" s="2" t="s">
        <v>138</v>
      </c>
      <c r="C1002" s="2" t="s">
        <v>27</v>
      </c>
      <c r="D1002" s="2" t="s">
        <v>5151</v>
      </c>
      <c r="E1002" s="2" t="s">
        <v>4261</v>
      </c>
      <c r="F1002" s="2" t="s">
        <v>8</v>
      </c>
      <c r="G1002" s="2" t="n">
        <v>236</v>
      </c>
    </row>
    <row r="1003" customFormat="false" ht="15" hidden="false" customHeight="false" outlineLevel="0" collapsed="false">
      <c r="A1003" s="2" t="s">
        <v>669</v>
      </c>
      <c r="B1003" s="2" t="s">
        <v>138</v>
      </c>
      <c r="C1003" s="2" t="s">
        <v>27</v>
      </c>
      <c r="D1003" s="2" t="s">
        <v>4444</v>
      </c>
      <c r="E1003" s="2" t="s">
        <v>4261</v>
      </c>
      <c r="F1003" s="2" t="s">
        <v>8</v>
      </c>
      <c r="G1003" s="2" t="n">
        <v>236</v>
      </c>
    </row>
    <row r="1004" customFormat="false" ht="15" hidden="false" customHeight="false" outlineLevel="0" collapsed="false">
      <c r="A1004" s="2" t="s">
        <v>669</v>
      </c>
      <c r="B1004" s="2" t="s">
        <v>138</v>
      </c>
      <c r="C1004" s="2" t="s">
        <v>27</v>
      </c>
      <c r="D1004" s="2" t="s">
        <v>5152</v>
      </c>
      <c r="E1004" s="2" t="s">
        <v>4261</v>
      </c>
      <c r="F1004" s="2" t="s">
        <v>8</v>
      </c>
      <c r="G1004" s="2" t="n">
        <v>236</v>
      </c>
    </row>
    <row r="1005" customFormat="false" ht="15" hidden="false" customHeight="false" outlineLevel="0" collapsed="false">
      <c r="A1005" s="2" t="s">
        <v>669</v>
      </c>
      <c r="B1005" s="2" t="s">
        <v>138</v>
      </c>
      <c r="C1005" s="2" t="s">
        <v>27</v>
      </c>
      <c r="D1005" s="2" t="s">
        <v>5153</v>
      </c>
      <c r="E1005" s="2" t="s">
        <v>4264</v>
      </c>
      <c r="F1005" s="2" t="s">
        <v>8</v>
      </c>
      <c r="G1005" s="2" t="n">
        <v>236</v>
      </c>
    </row>
    <row r="1006" customFormat="false" ht="15" hidden="false" customHeight="false" outlineLevel="0" collapsed="false">
      <c r="A1006" s="2" t="s">
        <v>669</v>
      </c>
      <c r="B1006" s="2" t="s">
        <v>138</v>
      </c>
      <c r="C1006" s="2" t="s">
        <v>27</v>
      </c>
      <c r="D1006" s="2" t="s">
        <v>5154</v>
      </c>
      <c r="E1006" s="2" t="s">
        <v>4261</v>
      </c>
      <c r="F1006" s="2" t="s">
        <v>8</v>
      </c>
      <c r="G1006" s="2" t="n">
        <v>236</v>
      </c>
    </row>
    <row r="1007" customFormat="false" ht="15" hidden="false" customHeight="false" outlineLevel="0" collapsed="false">
      <c r="A1007" s="2" t="s">
        <v>669</v>
      </c>
      <c r="B1007" s="2" t="s">
        <v>138</v>
      </c>
      <c r="C1007" s="2" t="s">
        <v>27</v>
      </c>
      <c r="D1007" s="2" t="s">
        <v>5155</v>
      </c>
      <c r="E1007" s="2" t="s">
        <v>4261</v>
      </c>
      <c r="F1007" s="2" t="s">
        <v>8</v>
      </c>
      <c r="G1007" s="2" t="n">
        <v>236</v>
      </c>
    </row>
    <row r="1008" customFormat="false" ht="15" hidden="false" customHeight="false" outlineLevel="0" collapsed="false">
      <c r="A1008" s="2" t="s">
        <v>669</v>
      </c>
      <c r="B1008" s="2" t="s">
        <v>138</v>
      </c>
      <c r="C1008" s="2" t="s">
        <v>27</v>
      </c>
      <c r="D1008" s="2" t="s">
        <v>5156</v>
      </c>
      <c r="E1008" s="2" t="s">
        <v>4261</v>
      </c>
      <c r="F1008" s="2" t="s">
        <v>8</v>
      </c>
      <c r="G1008" s="2" t="n">
        <v>236</v>
      </c>
    </row>
    <row r="1009" customFormat="false" ht="15" hidden="false" customHeight="false" outlineLevel="0" collapsed="false">
      <c r="A1009" s="2" t="s">
        <v>669</v>
      </c>
      <c r="B1009" s="2" t="s">
        <v>138</v>
      </c>
      <c r="C1009" s="2" t="s">
        <v>27</v>
      </c>
      <c r="D1009" s="2" t="s">
        <v>5157</v>
      </c>
      <c r="E1009" s="2" t="s">
        <v>4261</v>
      </c>
      <c r="F1009" s="2" t="s">
        <v>8</v>
      </c>
      <c r="G1009" s="2" t="n">
        <v>236</v>
      </c>
    </row>
    <row r="1010" customFormat="false" ht="15" hidden="false" customHeight="false" outlineLevel="0" collapsed="false">
      <c r="A1010" s="2" t="s">
        <v>669</v>
      </c>
      <c r="B1010" s="2" t="s">
        <v>138</v>
      </c>
      <c r="C1010" s="2" t="s">
        <v>27</v>
      </c>
      <c r="D1010" s="2" t="s">
        <v>5158</v>
      </c>
      <c r="E1010" s="2" t="s">
        <v>4264</v>
      </c>
      <c r="F1010" s="2" t="s">
        <v>8</v>
      </c>
      <c r="G1010" s="2" t="n">
        <v>236</v>
      </c>
    </row>
    <row r="1011" customFormat="false" ht="15" hidden="false" customHeight="false" outlineLevel="0" collapsed="false">
      <c r="A1011" s="2" t="s">
        <v>669</v>
      </c>
      <c r="B1011" s="2" t="s">
        <v>138</v>
      </c>
      <c r="C1011" s="2" t="s">
        <v>27</v>
      </c>
      <c r="D1011" s="2" t="s">
        <v>5159</v>
      </c>
      <c r="E1011" s="2" t="s">
        <v>4261</v>
      </c>
      <c r="F1011" s="2" t="s">
        <v>8</v>
      </c>
      <c r="G1011" s="2" t="n">
        <v>236</v>
      </c>
    </row>
    <row r="1012" customFormat="false" ht="15" hidden="false" customHeight="false" outlineLevel="0" collapsed="false">
      <c r="A1012" s="2" t="s">
        <v>669</v>
      </c>
      <c r="B1012" s="2" t="s">
        <v>138</v>
      </c>
      <c r="C1012" s="2" t="s">
        <v>27</v>
      </c>
      <c r="D1012" s="2" t="s">
        <v>5160</v>
      </c>
      <c r="E1012" s="2" t="s">
        <v>4261</v>
      </c>
      <c r="F1012" s="2" t="s">
        <v>8</v>
      </c>
      <c r="G1012" s="2" t="n">
        <v>236</v>
      </c>
    </row>
    <row r="1013" customFormat="false" ht="15" hidden="false" customHeight="false" outlineLevel="0" collapsed="false">
      <c r="A1013" s="2" t="s">
        <v>669</v>
      </c>
      <c r="B1013" s="2" t="s">
        <v>138</v>
      </c>
      <c r="C1013" s="2" t="s">
        <v>27</v>
      </c>
      <c r="D1013" s="2" t="s">
        <v>5161</v>
      </c>
      <c r="E1013" s="2" t="s">
        <v>4261</v>
      </c>
      <c r="F1013" s="2" t="s">
        <v>8</v>
      </c>
      <c r="G1013" s="2" t="n">
        <v>236</v>
      </c>
    </row>
    <row r="1014" customFormat="false" ht="15" hidden="false" customHeight="false" outlineLevel="0" collapsed="false">
      <c r="A1014" s="2" t="s">
        <v>669</v>
      </c>
      <c r="B1014" s="2" t="s">
        <v>138</v>
      </c>
      <c r="C1014" s="2" t="s">
        <v>27</v>
      </c>
      <c r="D1014" s="2" t="s">
        <v>5162</v>
      </c>
      <c r="E1014" s="2" t="s">
        <v>4261</v>
      </c>
      <c r="F1014" s="2" t="s">
        <v>8</v>
      </c>
      <c r="G1014" s="2" t="n">
        <v>236</v>
      </c>
    </row>
    <row r="1015" customFormat="false" ht="15" hidden="false" customHeight="false" outlineLevel="0" collapsed="false">
      <c r="A1015" s="2" t="s">
        <v>669</v>
      </c>
      <c r="B1015" s="2" t="s">
        <v>138</v>
      </c>
      <c r="C1015" s="2" t="s">
        <v>27</v>
      </c>
      <c r="D1015" s="2" t="s">
        <v>5163</v>
      </c>
      <c r="E1015" s="2" t="s">
        <v>4261</v>
      </c>
      <c r="F1015" s="2" t="s">
        <v>8</v>
      </c>
      <c r="G1015" s="2" t="n">
        <v>236</v>
      </c>
    </row>
    <row r="1016" customFormat="false" ht="15" hidden="false" customHeight="false" outlineLevel="0" collapsed="false">
      <c r="A1016" s="2" t="s">
        <v>669</v>
      </c>
      <c r="B1016" s="2" t="s">
        <v>138</v>
      </c>
      <c r="C1016" s="2" t="s">
        <v>27</v>
      </c>
      <c r="D1016" s="2" t="s">
        <v>5164</v>
      </c>
      <c r="E1016" s="2" t="s">
        <v>4261</v>
      </c>
      <c r="F1016" s="2" t="s">
        <v>8</v>
      </c>
      <c r="G1016" s="2" t="n">
        <v>236</v>
      </c>
    </row>
    <row r="1017" customFormat="false" ht="15" hidden="false" customHeight="false" outlineLevel="0" collapsed="false">
      <c r="A1017" s="2" t="s">
        <v>669</v>
      </c>
      <c r="B1017" s="2" t="s">
        <v>138</v>
      </c>
      <c r="C1017" s="2" t="s">
        <v>27</v>
      </c>
      <c r="D1017" s="2" t="s">
        <v>5165</v>
      </c>
      <c r="E1017" s="2" t="s">
        <v>4261</v>
      </c>
      <c r="F1017" s="2" t="s">
        <v>8</v>
      </c>
      <c r="G1017" s="2" t="n">
        <v>236</v>
      </c>
    </row>
    <row r="1018" customFormat="false" ht="15" hidden="false" customHeight="false" outlineLevel="0" collapsed="false">
      <c r="A1018" s="2" t="s">
        <v>669</v>
      </c>
      <c r="B1018" s="2" t="s">
        <v>138</v>
      </c>
      <c r="C1018" s="2" t="s">
        <v>27</v>
      </c>
      <c r="D1018" s="2" t="s">
        <v>5166</v>
      </c>
      <c r="E1018" s="2" t="s">
        <v>4261</v>
      </c>
      <c r="F1018" s="2" t="s">
        <v>8</v>
      </c>
      <c r="G1018" s="2" t="n">
        <v>236</v>
      </c>
    </row>
    <row r="1019" customFormat="false" ht="15" hidden="false" customHeight="false" outlineLevel="0" collapsed="false">
      <c r="A1019" s="2" t="s">
        <v>669</v>
      </c>
      <c r="B1019" s="2" t="s">
        <v>138</v>
      </c>
      <c r="C1019" s="2" t="s">
        <v>27</v>
      </c>
      <c r="D1019" s="2" t="s">
        <v>5167</v>
      </c>
      <c r="E1019" s="2" t="s">
        <v>4261</v>
      </c>
      <c r="F1019" s="2" t="s">
        <v>8</v>
      </c>
      <c r="G1019" s="2" t="n">
        <v>236</v>
      </c>
    </row>
    <row r="1020" customFormat="false" ht="15" hidden="false" customHeight="false" outlineLevel="0" collapsed="false">
      <c r="A1020" s="2" t="s">
        <v>675</v>
      </c>
      <c r="B1020" s="2" t="s">
        <v>676</v>
      </c>
      <c r="C1020" s="2" t="s">
        <v>39</v>
      </c>
      <c r="D1020" s="2" t="s">
        <v>677</v>
      </c>
      <c r="E1020" s="2" t="s">
        <v>4261</v>
      </c>
      <c r="F1020" s="2" t="s">
        <v>8</v>
      </c>
      <c r="G1020" s="2" t="n">
        <v>238</v>
      </c>
    </row>
    <row r="1021" customFormat="false" ht="15" hidden="false" customHeight="false" outlineLevel="0" collapsed="false">
      <c r="A1021" s="2" t="s">
        <v>682</v>
      </c>
      <c r="B1021" s="2" t="s">
        <v>683</v>
      </c>
      <c r="C1021" s="2" t="s">
        <v>105</v>
      </c>
      <c r="D1021" s="2" t="s">
        <v>5168</v>
      </c>
      <c r="E1021" s="2" t="s">
        <v>4271</v>
      </c>
      <c r="F1021" s="2" t="s">
        <v>10</v>
      </c>
      <c r="G1021" s="2" t="n">
        <v>241</v>
      </c>
    </row>
    <row r="1022" customFormat="false" ht="15" hidden="false" customHeight="false" outlineLevel="0" collapsed="false">
      <c r="A1022" s="2" t="s">
        <v>682</v>
      </c>
      <c r="B1022" s="2" t="s">
        <v>683</v>
      </c>
      <c r="C1022" s="2" t="s">
        <v>105</v>
      </c>
      <c r="D1022" s="2" t="s">
        <v>5169</v>
      </c>
      <c r="E1022" s="2" t="s">
        <v>4261</v>
      </c>
      <c r="F1022" s="2" t="s">
        <v>10</v>
      </c>
      <c r="G1022" s="2" t="n">
        <v>241</v>
      </c>
    </row>
    <row r="1023" customFormat="false" ht="15" hidden="false" customHeight="false" outlineLevel="0" collapsed="false">
      <c r="A1023" s="2" t="s">
        <v>687</v>
      </c>
      <c r="B1023" s="2" t="s">
        <v>70</v>
      </c>
      <c r="C1023" s="2" t="s">
        <v>70</v>
      </c>
      <c r="D1023" s="2" t="s">
        <v>5170</v>
      </c>
      <c r="E1023" s="2" t="s">
        <v>4261</v>
      </c>
      <c r="F1023" s="2" t="s">
        <v>9</v>
      </c>
      <c r="G1023" s="2" t="n">
        <v>243</v>
      </c>
    </row>
    <row r="1024" customFormat="false" ht="15" hidden="false" customHeight="false" outlineLevel="0" collapsed="false">
      <c r="A1024" s="2" t="s">
        <v>687</v>
      </c>
      <c r="B1024" s="2" t="s">
        <v>70</v>
      </c>
      <c r="C1024" s="2" t="s">
        <v>70</v>
      </c>
      <c r="D1024" s="2" t="s">
        <v>5171</v>
      </c>
      <c r="E1024" s="2" t="s">
        <v>4264</v>
      </c>
      <c r="F1024" s="2" t="s">
        <v>9</v>
      </c>
      <c r="G1024" s="2" t="n">
        <v>243</v>
      </c>
    </row>
    <row r="1025" customFormat="false" ht="15" hidden="false" customHeight="false" outlineLevel="0" collapsed="false">
      <c r="A1025" s="2" t="s">
        <v>687</v>
      </c>
      <c r="B1025" s="2" t="s">
        <v>70</v>
      </c>
      <c r="C1025" s="2" t="s">
        <v>70</v>
      </c>
      <c r="D1025" s="2" t="s">
        <v>5172</v>
      </c>
      <c r="E1025" s="2" t="s">
        <v>4261</v>
      </c>
      <c r="F1025" s="2" t="s">
        <v>9</v>
      </c>
      <c r="G1025" s="2" t="n">
        <v>243</v>
      </c>
    </row>
    <row r="1026" customFormat="false" ht="15" hidden="false" customHeight="false" outlineLevel="0" collapsed="false">
      <c r="A1026" s="2" t="s">
        <v>687</v>
      </c>
      <c r="B1026" s="2" t="s">
        <v>70</v>
      </c>
      <c r="C1026" s="2" t="s">
        <v>70</v>
      </c>
      <c r="D1026" s="2" t="s">
        <v>5173</v>
      </c>
      <c r="E1026" s="2" t="s">
        <v>4261</v>
      </c>
      <c r="F1026" s="2" t="s">
        <v>9</v>
      </c>
      <c r="G1026" s="2" t="n">
        <v>243</v>
      </c>
    </row>
    <row r="1027" customFormat="false" ht="15" hidden="false" customHeight="false" outlineLevel="0" collapsed="false">
      <c r="A1027" s="2" t="s">
        <v>687</v>
      </c>
      <c r="B1027" s="2" t="s">
        <v>70</v>
      </c>
      <c r="C1027" s="2" t="s">
        <v>70</v>
      </c>
      <c r="D1027" s="2" t="s">
        <v>5174</v>
      </c>
      <c r="E1027" s="2" t="s">
        <v>4261</v>
      </c>
      <c r="F1027" s="2" t="s">
        <v>9</v>
      </c>
      <c r="G1027" s="2" t="n">
        <v>243</v>
      </c>
    </row>
    <row r="1028" customFormat="false" ht="15" hidden="false" customHeight="false" outlineLevel="0" collapsed="false">
      <c r="A1028" s="2" t="s">
        <v>687</v>
      </c>
      <c r="B1028" s="2" t="s">
        <v>70</v>
      </c>
      <c r="C1028" s="2" t="s">
        <v>70</v>
      </c>
      <c r="D1028" s="2" t="s">
        <v>5175</v>
      </c>
      <c r="E1028" s="2" t="s">
        <v>4261</v>
      </c>
      <c r="F1028" s="2" t="s">
        <v>9</v>
      </c>
      <c r="G1028" s="2" t="n">
        <v>243</v>
      </c>
    </row>
    <row r="1029" customFormat="false" ht="15" hidden="false" customHeight="false" outlineLevel="0" collapsed="false">
      <c r="A1029" s="2" t="s">
        <v>693</v>
      </c>
      <c r="B1029" s="2" t="s">
        <v>674</v>
      </c>
      <c r="C1029" s="2" t="s">
        <v>423</v>
      </c>
      <c r="D1029" s="2" t="s">
        <v>5176</v>
      </c>
      <c r="E1029" s="2" t="s">
        <v>4261</v>
      </c>
      <c r="F1029" s="2" t="s">
        <v>8</v>
      </c>
      <c r="G1029" s="2" t="n">
        <v>246</v>
      </c>
    </row>
    <row r="1030" customFormat="false" ht="15" hidden="false" customHeight="false" outlineLevel="0" collapsed="false">
      <c r="A1030" s="2" t="s">
        <v>693</v>
      </c>
      <c r="B1030" s="2" t="s">
        <v>674</v>
      </c>
      <c r="C1030" s="2" t="s">
        <v>423</v>
      </c>
      <c r="D1030" s="2" t="s">
        <v>5177</v>
      </c>
      <c r="E1030" s="2" t="s">
        <v>4261</v>
      </c>
      <c r="F1030" s="2" t="s">
        <v>8</v>
      </c>
      <c r="G1030" s="2" t="n">
        <v>246</v>
      </c>
    </row>
    <row r="1031" customFormat="false" ht="15" hidden="false" customHeight="false" outlineLevel="0" collapsed="false">
      <c r="A1031" s="2" t="s">
        <v>693</v>
      </c>
      <c r="B1031" s="2" t="s">
        <v>674</v>
      </c>
      <c r="C1031" s="2" t="s">
        <v>423</v>
      </c>
      <c r="D1031" s="2" t="s">
        <v>5178</v>
      </c>
      <c r="E1031" s="2" t="s">
        <v>4261</v>
      </c>
      <c r="F1031" s="2" t="s">
        <v>8</v>
      </c>
      <c r="G1031" s="2" t="n">
        <v>246</v>
      </c>
    </row>
    <row r="1032" customFormat="false" ht="15" hidden="false" customHeight="false" outlineLevel="0" collapsed="false">
      <c r="A1032" s="2" t="s">
        <v>693</v>
      </c>
      <c r="B1032" s="2" t="s">
        <v>674</v>
      </c>
      <c r="C1032" s="2" t="s">
        <v>423</v>
      </c>
      <c r="D1032" s="2" t="s">
        <v>5179</v>
      </c>
      <c r="E1032" s="2" t="s">
        <v>4261</v>
      </c>
      <c r="F1032" s="2" t="s">
        <v>8</v>
      </c>
      <c r="G1032" s="2" t="n">
        <v>246</v>
      </c>
    </row>
    <row r="1033" customFormat="false" ht="15" hidden="false" customHeight="false" outlineLevel="0" collapsed="false">
      <c r="A1033" s="2" t="s">
        <v>693</v>
      </c>
      <c r="B1033" s="2" t="s">
        <v>674</v>
      </c>
      <c r="C1033" s="2" t="s">
        <v>423</v>
      </c>
      <c r="D1033" s="2" t="s">
        <v>5180</v>
      </c>
      <c r="E1033" s="2" t="s">
        <v>4261</v>
      </c>
      <c r="F1033" s="2" t="s">
        <v>8</v>
      </c>
      <c r="G1033" s="2" t="n">
        <v>246</v>
      </c>
    </row>
    <row r="1034" customFormat="false" ht="15" hidden="false" customHeight="false" outlineLevel="0" collapsed="false">
      <c r="A1034" s="2" t="s">
        <v>693</v>
      </c>
      <c r="B1034" s="2" t="s">
        <v>674</v>
      </c>
      <c r="C1034" s="2" t="s">
        <v>423</v>
      </c>
      <c r="D1034" s="2" t="s">
        <v>5181</v>
      </c>
      <c r="E1034" s="2" t="s">
        <v>4261</v>
      </c>
      <c r="F1034" s="2" t="s">
        <v>8</v>
      </c>
      <c r="G1034" s="2" t="n">
        <v>246</v>
      </c>
    </row>
    <row r="1035" customFormat="false" ht="15" hidden="false" customHeight="false" outlineLevel="0" collapsed="false">
      <c r="A1035" s="2" t="s">
        <v>698</v>
      </c>
      <c r="B1035" s="2" t="s">
        <v>699</v>
      </c>
      <c r="C1035" s="2" t="s">
        <v>39</v>
      </c>
      <c r="D1035" s="2" t="s">
        <v>700</v>
      </c>
      <c r="E1035" s="2" t="s">
        <v>4264</v>
      </c>
      <c r="F1035" s="2" t="s">
        <v>10</v>
      </c>
      <c r="G1035" s="2" t="n">
        <v>248</v>
      </c>
    </row>
    <row r="1036" customFormat="false" ht="15" hidden="false" customHeight="false" outlineLevel="0" collapsed="false">
      <c r="A1036" s="2" t="s">
        <v>701</v>
      </c>
      <c r="B1036" s="2" t="s">
        <v>702</v>
      </c>
      <c r="C1036" s="2" t="s">
        <v>273</v>
      </c>
      <c r="D1036" s="2" t="s">
        <v>5182</v>
      </c>
      <c r="E1036" s="2" t="s">
        <v>4261</v>
      </c>
      <c r="F1036" s="2" t="s">
        <v>10</v>
      </c>
      <c r="G1036" s="2" t="n">
        <v>249</v>
      </c>
    </row>
    <row r="1037" customFormat="false" ht="15" hidden="false" customHeight="false" outlineLevel="0" collapsed="false">
      <c r="A1037" s="2" t="s">
        <v>701</v>
      </c>
      <c r="B1037" s="2" t="s">
        <v>702</v>
      </c>
      <c r="C1037" s="2" t="s">
        <v>273</v>
      </c>
      <c r="D1037" s="2" t="s">
        <v>5183</v>
      </c>
      <c r="E1037" s="2" t="s">
        <v>4261</v>
      </c>
      <c r="F1037" s="2" t="s">
        <v>10</v>
      </c>
      <c r="G1037" s="2" t="n">
        <v>249</v>
      </c>
    </row>
    <row r="1038" customFormat="false" ht="15" hidden="false" customHeight="false" outlineLevel="0" collapsed="false">
      <c r="A1038" s="2" t="s">
        <v>701</v>
      </c>
      <c r="B1038" s="2" t="s">
        <v>702</v>
      </c>
      <c r="C1038" s="2" t="s">
        <v>273</v>
      </c>
      <c r="D1038" s="2" t="s">
        <v>702</v>
      </c>
      <c r="E1038" s="2" t="s">
        <v>4271</v>
      </c>
      <c r="F1038" s="2" t="s">
        <v>10</v>
      </c>
      <c r="G1038" s="2" t="n">
        <v>249</v>
      </c>
    </row>
    <row r="1039" customFormat="false" ht="15" hidden="false" customHeight="false" outlineLevel="0" collapsed="false">
      <c r="A1039" s="2" t="s">
        <v>701</v>
      </c>
      <c r="B1039" s="2" t="s">
        <v>702</v>
      </c>
      <c r="C1039" s="2" t="s">
        <v>273</v>
      </c>
      <c r="D1039" s="2" t="s">
        <v>5184</v>
      </c>
      <c r="E1039" s="2" t="s">
        <v>4261</v>
      </c>
      <c r="F1039" s="2" t="s">
        <v>10</v>
      </c>
      <c r="G1039" s="2" t="n">
        <v>249</v>
      </c>
    </row>
    <row r="1040" customFormat="false" ht="15" hidden="false" customHeight="false" outlineLevel="0" collapsed="false">
      <c r="A1040" s="2" t="s">
        <v>704</v>
      </c>
      <c r="B1040" s="2" t="s">
        <v>44</v>
      </c>
      <c r="C1040" s="2" t="s">
        <v>44</v>
      </c>
      <c r="D1040" s="2" t="s">
        <v>5185</v>
      </c>
      <c r="E1040" s="2" t="s">
        <v>4261</v>
      </c>
      <c r="F1040" s="2" t="s">
        <v>8</v>
      </c>
      <c r="G1040" s="2" t="n">
        <v>250</v>
      </c>
    </row>
    <row r="1041" customFormat="false" ht="15" hidden="false" customHeight="false" outlineLevel="0" collapsed="false">
      <c r="A1041" s="2" t="s">
        <v>704</v>
      </c>
      <c r="B1041" s="2" t="s">
        <v>44</v>
      </c>
      <c r="C1041" s="2" t="s">
        <v>44</v>
      </c>
      <c r="D1041" s="2" t="s">
        <v>5186</v>
      </c>
      <c r="E1041" s="2" t="s">
        <v>4261</v>
      </c>
      <c r="F1041" s="2" t="s">
        <v>8</v>
      </c>
      <c r="G1041" s="2" t="n">
        <v>250</v>
      </c>
    </row>
    <row r="1042" customFormat="false" ht="15" hidden="false" customHeight="false" outlineLevel="0" collapsed="false">
      <c r="A1042" s="2" t="s">
        <v>704</v>
      </c>
      <c r="B1042" s="2" t="s">
        <v>44</v>
      </c>
      <c r="C1042" s="2" t="s">
        <v>44</v>
      </c>
      <c r="D1042" s="2" t="s">
        <v>5187</v>
      </c>
      <c r="E1042" s="2" t="s">
        <v>4261</v>
      </c>
      <c r="F1042" s="2" t="s">
        <v>8</v>
      </c>
      <c r="G1042" s="2" t="n">
        <v>250</v>
      </c>
    </row>
    <row r="1043" customFormat="false" ht="15" hidden="false" customHeight="false" outlineLevel="0" collapsed="false">
      <c r="A1043" s="2" t="s">
        <v>704</v>
      </c>
      <c r="B1043" s="2" t="s">
        <v>44</v>
      </c>
      <c r="C1043" s="2" t="s">
        <v>44</v>
      </c>
      <c r="D1043" s="2" t="s">
        <v>5188</v>
      </c>
      <c r="E1043" s="2" t="s">
        <v>4264</v>
      </c>
      <c r="F1043" s="2" t="s">
        <v>8</v>
      </c>
      <c r="G1043" s="2" t="n">
        <v>250</v>
      </c>
    </row>
    <row r="1044" customFormat="false" ht="15" hidden="false" customHeight="false" outlineLevel="0" collapsed="false">
      <c r="A1044" s="2" t="s">
        <v>704</v>
      </c>
      <c r="B1044" s="2" t="s">
        <v>44</v>
      </c>
      <c r="C1044" s="2" t="s">
        <v>44</v>
      </c>
      <c r="D1044" s="2" t="s">
        <v>5189</v>
      </c>
      <c r="E1044" s="2" t="s">
        <v>4261</v>
      </c>
      <c r="F1044" s="2" t="s">
        <v>8</v>
      </c>
      <c r="G1044" s="2" t="n">
        <v>250</v>
      </c>
    </row>
    <row r="1045" customFormat="false" ht="15" hidden="false" customHeight="false" outlineLevel="0" collapsed="false">
      <c r="A1045" s="2" t="s">
        <v>704</v>
      </c>
      <c r="B1045" s="2" t="s">
        <v>44</v>
      </c>
      <c r="C1045" s="2" t="s">
        <v>44</v>
      </c>
      <c r="D1045" s="2" t="s">
        <v>5190</v>
      </c>
      <c r="E1045" s="2" t="s">
        <v>4264</v>
      </c>
      <c r="F1045" s="2" t="s">
        <v>8</v>
      </c>
      <c r="G1045" s="2" t="n">
        <v>250</v>
      </c>
    </row>
    <row r="1046" customFormat="false" ht="15" hidden="false" customHeight="false" outlineLevel="0" collapsed="false">
      <c r="A1046" s="2" t="s">
        <v>704</v>
      </c>
      <c r="B1046" s="2" t="s">
        <v>44</v>
      </c>
      <c r="C1046" s="2" t="s">
        <v>44</v>
      </c>
      <c r="D1046" s="2" t="s">
        <v>5191</v>
      </c>
      <c r="E1046" s="2" t="s">
        <v>4271</v>
      </c>
      <c r="F1046" s="2" t="s">
        <v>8</v>
      </c>
      <c r="G1046" s="2" t="n">
        <v>250</v>
      </c>
    </row>
    <row r="1047" customFormat="false" ht="15" hidden="false" customHeight="false" outlineLevel="0" collapsed="false">
      <c r="A1047" s="2" t="s">
        <v>704</v>
      </c>
      <c r="B1047" s="2" t="s">
        <v>44</v>
      </c>
      <c r="C1047" s="2" t="s">
        <v>44</v>
      </c>
      <c r="D1047" s="2" t="s">
        <v>5192</v>
      </c>
      <c r="E1047" s="2" t="s">
        <v>4261</v>
      </c>
      <c r="F1047" s="2" t="s">
        <v>8</v>
      </c>
      <c r="G1047" s="2" t="n">
        <v>250</v>
      </c>
    </row>
    <row r="1048" customFormat="false" ht="15" hidden="false" customHeight="false" outlineLevel="0" collapsed="false">
      <c r="A1048" s="2" t="s">
        <v>704</v>
      </c>
      <c r="B1048" s="2" t="s">
        <v>44</v>
      </c>
      <c r="C1048" s="2" t="s">
        <v>44</v>
      </c>
      <c r="D1048" s="2" t="s">
        <v>5193</v>
      </c>
      <c r="E1048" s="2" t="s">
        <v>4264</v>
      </c>
      <c r="F1048" s="2" t="s">
        <v>8</v>
      </c>
      <c r="G1048" s="2" t="n">
        <v>250</v>
      </c>
    </row>
    <row r="1049" customFormat="false" ht="15" hidden="false" customHeight="false" outlineLevel="0" collapsed="false">
      <c r="A1049" s="2" t="s">
        <v>704</v>
      </c>
      <c r="B1049" s="2" t="s">
        <v>44</v>
      </c>
      <c r="C1049" s="2" t="s">
        <v>44</v>
      </c>
      <c r="D1049" s="2" t="s">
        <v>5194</v>
      </c>
      <c r="E1049" s="2" t="s">
        <v>4264</v>
      </c>
      <c r="F1049" s="2" t="s">
        <v>8</v>
      </c>
      <c r="G1049" s="2" t="n">
        <v>250</v>
      </c>
    </row>
    <row r="1050" customFormat="false" ht="15" hidden="false" customHeight="false" outlineLevel="0" collapsed="false">
      <c r="A1050" s="2" t="s">
        <v>704</v>
      </c>
      <c r="B1050" s="2" t="s">
        <v>44</v>
      </c>
      <c r="C1050" s="2" t="s">
        <v>44</v>
      </c>
      <c r="D1050" s="2" t="s">
        <v>5195</v>
      </c>
      <c r="E1050" s="2" t="s">
        <v>4261</v>
      </c>
      <c r="F1050" s="2" t="s">
        <v>8</v>
      </c>
      <c r="G1050" s="2" t="n">
        <v>250</v>
      </c>
    </row>
    <row r="1051" customFormat="false" ht="15" hidden="false" customHeight="false" outlineLevel="0" collapsed="false">
      <c r="A1051" s="2" t="s">
        <v>706</v>
      </c>
      <c r="B1051" s="2" t="s">
        <v>44</v>
      </c>
      <c r="C1051" s="2" t="s">
        <v>44</v>
      </c>
      <c r="D1051" s="2" t="s">
        <v>5196</v>
      </c>
      <c r="E1051" s="2" t="s">
        <v>4261</v>
      </c>
      <c r="F1051" s="2" t="s">
        <v>9</v>
      </c>
      <c r="G1051" s="2" t="n">
        <v>251</v>
      </c>
    </row>
    <row r="1052" customFormat="false" ht="15" hidden="false" customHeight="false" outlineLevel="0" collapsed="false">
      <c r="A1052" s="2" t="s">
        <v>706</v>
      </c>
      <c r="B1052" s="2" t="s">
        <v>44</v>
      </c>
      <c r="C1052" s="2" t="s">
        <v>44</v>
      </c>
      <c r="D1052" s="2" t="s">
        <v>5197</v>
      </c>
      <c r="E1052" s="2" t="s">
        <v>4261</v>
      </c>
      <c r="F1052" s="2" t="s">
        <v>9</v>
      </c>
      <c r="G1052" s="2" t="n">
        <v>251</v>
      </c>
    </row>
    <row r="1053" customFormat="false" ht="15" hidden="false" customHeight="false" outlineLevel="0" collapsed="false">
      <c r="A1053" s="2" t="s">
        <v>706</v>
      </c>
      <c r="B1053" s="2" t="s">
        <v>44</v>
      </c>
      <c r="C1053" s="2" t="s">
        <v>44</v>
      </c>
      <c r="D1053" s="2" t="s">
        <v>5198</v>
      </c>
      <c r="E1053" s="2" t="s">
        <v>4261</v>
      </c>
      <c r="F1053" s="2" t="s">
        <v>9</v>
      </c>
      <c r="G1053" s="2" t="n">
        <v>251</v>
      </c>
    </row>
    <row r="1054" customFormat="false" ht="15" hidden="false" customHeight="false" outlineLevel="0" collapsed="false">
      <c r="A1054" s="2" t="s">
        <v>706</v>
      </c>
      <c r="B1054" s="2" t="s">
        <v>44</v>
      </c>
      <c r="C1054" s="2" t="s">
        <v>44</v>
      </c>
      <c r="D1054" s="2" t="s">
        <v>5199</v>
      </c>
      <c r="E1054" s="2" t="s">
        <v>4264</v>
      </c>
      <c r="F1054" s="2" t="s">
        <v>9</v>
      </c>
      <c r="G1054" s="2" t="n">
        <v>251</v>
      </c>
    </row>
    <row r="1055" customFormat="false" ht="15" hidden="false" customHeight="false" outlineLevel="0" collapsed="false">
      <c r="A1055" s="2" t="s">
        <v>706</v>
      </c>
      <c r="B1055" s="2" t="s">
        <v>44</v>
      </c>
      <c r="C1055" s="2" t="s">
        <v>44</v>
      </c>
      <c r="D1055" s="2" t="s">
        <v>5200</v>
      </c>
      <c r="E1055" s="2" t="s">
        <v>4261</v>
      </c>
      <c r="F1055" s="2" t="s">
        <v>9</v>
      </c>
      <c r="G1055" s="2" t="n">
        <v>251</v>
      </c>
    </row>
    <row r="1056" customFormat="false" ht="15" hidden="false" customHeight="false" outlineLevel="0" collapsed="false">
      <c r="A1056" s="2" t="s">
        <v>706</v>
      </c>
      <c r="B1056" s="2" t="s">
        <v>44</v>
      </c>
      <c r="C1056" s="2" t="s">
        <v>44</v>
      </c>
      <c r="D1056" s="2" t="s">
        <v>4309</v>
      </c>
      <c r="E1056" s="2" t="s">
        <v>4261</v>
      </c>
      <c r="F1056" s="2" t="s">
        <v>9</v>
      </c>
      <c r="G1056" s="2" t="n">
        <v>251</v>
      </c>
    </row>
    <row r="1057" customFormat="false" ht="15" hidden="false" customHeight="false" outlineLevel="0" collapsed="false">
      <c r="A1057" s="2" t="s">
        <v>706</v>
      </c>
      <c r="B1057" s="2" t="s">
        <v>44</v>
      </c>
      <c r="C1057" s="2" t="s">
        <v>44</v>
      </c>
      <c r="D1057" s="2" t="s">
        <v>5201</v>
      </c>
      <c r="E1057" s="2" t="s">
        <v>4264</v>
      </c>
      <c r="F1057" s="2" t="s">
        <v>9</v>
      </c>
      <c r="G1057" s="2" t="n">
        <v>251</v>
      </c>
    </row>
    <row r="1058" customFormat="false" ht="15" hidden="false" customHeight="false" outlineLevel="0" collapsed="false">
      <c r="A1058" s="2" t="s">
        <v>706</v>
      </c>
      <c r="B1058" s="2" t="s">
        <v>44</v>
      </c>
      <c r="C1058" s="2" t="s">
        <v>44</v>
      </c>
      <c r="D1058" s="2" t="s">
        <v>5202</v>
      </c>
      <c r="E1058" s="2" t="s">
        <v>4261</v>
      </c>
      <c r="F1058" s="2" t="s">
        <v>9</v>
      </c>
      <c r="G1058" s="2" t="n">
        <v>251</v>
      </c>
    </row>
    <row r="1059" customFormat="false" ht="15" hidden="false" customHeight="false" outlineLevel="0" collapsed="false">
      <c r="A1059" s="2" t="s">
        <v>706</v>
      </c>
      <c r="B1059" s="2" t="s">
        <v>44</v>
      </c>
      <c r="C1059" s="2" t="s">
        <v>44</v>
      </c>
      <c r="D1059" s="2" t="s">
        <v>5203</v>
      </c>
      <c r="E1059" s="2" t="s">
        <v>4261</v>
      </c>
      <c r="F1059" s="2" t="s">
        <v>9</v>
      </c>
      <c r="G1059" s="2" t="n">
        <v>251</v>
      </c>
    </row>
    <row r="1060" customFormat="false" ht="15" hidden="false" customHeight="false" outlineLevel="0" collapsed="false">
      <c r="A1060" s="2" t="s">
        <v>706</v>
      </c>
      <c r="B1060" s="2" t="s">
        <v>44</v>
      </c>
      <c r="C1060" s="2" t="s">
        <v>44</v>
      </c>
      <c r="D1060" s="2" t="s">
        <v>5204</v>
      </c>
      <c r="E1060" s="2" t="s">
        <v>4261</v>
      </c>
      <c r="F1060" s="2" t="s">
        <v>9</v>
      </c>
      <c r="G1060" s="2" t="n">
        <v>251</v>
      </c>
    </row>
    <row r="1061" customFormat="false" ht="15" hidden="false" customHeight="false" outlineLevel="0" collapsed="false">
      <c r="A1061" s="2" t="s">
        <v>706</v>
      </c>
      <c r="B1061" s="2" t="s">
        <v>44</v>
      </c>
      <c r="C1061" s="2" t="s">
        <v>44</v>
      </c>
      <c r="D1061" s="2" t="s">
        <v>5205</v>
      </c>
      <c r="E1061" s="2" t="s">
        <v>4264</v>
      </c>
      <c r="F1061" s="2" t="s">
        <v>9</v>
      </c>
      <c r="G1061" s="2" t="n">
        <v>251</v>
      </c>
    </row>
    <row r="1062" customFormat="false" ht="15" hidden="false" customHeight="false" outlineLevel="0" collapsed="false">
      <c r="A1062" s="2" t="s">
        <v>706</v>
      </c>
      <c r="B1062" s="2" t="s">
        <v>44</v>
      </c>
      <c r="C1062" s="2" t="s">
        <v>44</v>
      </c>
      <c r="D1062" s="2" t="s">
        <v>5206</v>
      </c>
      <c r="E1062" s="2" t="s">
        <v>4271</v>
      </c>
      <c r="F1062" s="2" t="s">
        <v>9</v>
      </c>
      <c r="G1062" s="2" t="n">
        <v>251</v>
      </c>
    </row>
    <row r="1063" customFormat="false" ht="15" hidden="false" customHeight="false" outlineLevel="0" collapsed="false">
      <c r="A1063" s="2" t="s">
        <v>706</v>
      </c>
      <c r="B1063" s="2" t="s">
        <v>44</v>
      </c>
      <c r="C1063" s="2" t="s">
        <v>44</v>
      </c>
      <c r="D1063" s="2" t="s">
        <v>5207</v>
      </c>
      <c r="E1063" s="2" t="s">
        <v>4261</v>
      </c>
      <c r="F1063" s="2" t="s">
        <v>9</v>
      </c>
      <c r="G1063" s="2" t="n">
        <v>251</v>
      </c>
    </row>
    <row r="1064" customFormat="false" ht="15" hidden="false" customHeight="false" outlineLevel="0" collapsed="false">
      <c r="A1064" s="2" t="s">
        <v>706</v>
      </c>
      <c r="B1064" s="2" t="s">
        <v>44</v>
      </c>
      <c r="C1064" s="2" t="s">
        <v>44</v>
      </c>
      <c r="D1064" s="2" t="s">
        <v>5208</v>
      </c>
      <c r="E1064" s="2" t="s">
        <v>4261</v>
      </c>
      <c r="F1064" s="2" t="s">
        <v>9</v>
      </c>
      <c r="G1064" s="2" t="n">
        <v>251</v>
      </c>
    </row>
    <row r="1065" customFormat="false" ht="15" hidden="false" customHeight="false" outlineLevel="0" collapsed="false">
      <c r="A1065" s="2" t="s">
        <v>706</v>
      </c>
      <c r="B1065" s="2" t="s">
        <v>44</v>
      </c>
      <c r="C1065" s="2" t="s">
        <v>44</v>
      </c>
      <c r="D1065" s="2" t="s">
        <v>5209</v>
      </c>
      <c r="E1065" s="2" t="s">
        <v>4261</v>
      </c>
      <c r="F1065" s="2" t="s">
        <v>9</v>
      </c>
      <c r="G1065" s="2" t="n">
        <v>251</v>
      </c>
    </row>
    <row r="1066" customFormat="false" ht="15" hidden="false" customHeight="false" outlineLevel="0" collapsed="false">
      <c r="A1066" s="2" t="s">
        <v>708</v>
      </c>
      <c r="B1066" s="2" t="s">
        <v>709</v>
      </c>
      <c r="C1066" s="2" t="s">
        <v>70</v>
      </c>
      <c r="D1066" s="2" t="s">
        <v>5210</v>
      </c>
      <c r="E1066" s="2" t="s">
        <v>4261</v>
      </c>
      <c r="F1066" s="2" t="s">
        <v>8</v>
      </c>
      <c r="G1066" s="2" t="n">
        <v>252</v>
      </c>
    </row>
    <row r="1067" customFormat="false" ht="15" hidden="false" customHeight="false" outlineLevel="0" collapsed="false">
      <c r="A1067" s="2" t="s">
        <v>708</v>
      </c>
      <c r="B1067" s="2" t="s">
        <v>709</v>
      </c>
      <c r="C1067" s="2" t="s">
        <v>70</v>
      </c>
      <c r="D1067" s="2" t="s">
        <v>5211</v>
      </c>
      <c r="E1067" s="2" t="s">
        <v>4261</v>
      </c>
      <c r="F1067" s="2" t="s">
        <v>8</v>
      </c>
      <c r="G1067" s="2" t="n">
        <v>252</v>
      </c>
    </row>
    <row r="1068" customFormat="false" ht="15" hidden="false" customHeight="false" outlineLevel="0" collapsed="false">
      <c r="A1068" s="2" t="s">
        <v>711</v>
      </c>
      <c r="B1068" s="2" t="s">
        <v>712</v>
      </c>
      <c r="C1068" s="2" t="s">
        <v>70</v>
      </c>
      <c r="D1068" s="2" t="s">
        <v>5212</v>
      </c>
      <c r="E1068" s="2" t="s">
        <v>4261</v>
      </c>
      <c r="F1068" s="2" t="s">
        <v>8</v>
      </c>
      <c r="G1068" s="2" t="n">
        <v>253</v>
      </c>
    </row>
    <row r="1069" customFormat="false" ht="15" hidden="false" customHeight="false" outlineLevel="0" collapsed="false">
      <c r="A1069" s="2" t="s">
        <v>711</v>
      </c>
      <c r="B1069" s="2" t="s">
        <v>712</v>
      </c>
      <c r="C1069" s="2" t="s">
        <v>70</v>
      </c>
      <c r="D1069" s="2" t="s">
        <v>712</v>
      </c>
      <c r="E1069" s="2" t="s">
        <v>4264</v>
      </c>
      <c r="F1069" s="2" t="s">
        <v>8</v>
      </c>
      <c r="G1069" s="2" t="n">
        <v>253</v>
      </c>
    </row>
    <row r="1070" customFormat="false" ht="15" hidden="false" customHeight="false" outlineLevel="0" collapsed="false">
      <c r="A1070" s="2" t="s">
        <v>711</v>
      </c>
      <c r="B1070" s="2" t="s">
        <v>712</v>
      </c>
      <c r="C1070" s="2" t="s">
        <v>70</v>
      </c>
      <c r="D1070" s="2" t="s">
        <v>5213</v>
      </c>
      <c r="E1070" s="2" t="s">
        <v>4264</v>
      </c>
      <c r="F1070" s="2" t="s">
        <v>8</v>
      </c>
      <c r="G1070" s="2" t="n">
        <v>253</v>
      </c>
    </row>
    <row r="1071" customFormat="false" ht="15" hidden="false" customHeight="false" outlineLevel="0" collapsed="false">
      <c r="A1071" s="2" t="s">
        <v>716</v>
      </c>
      <c r="B1071" s="2" t="s">
        <v>717</v>
      </c>
      <c r="C1071" s="2" t="s">
        <v>44</v>
      </c>
      <c r="D1071" s="2" t="s">
        <v>718</v>
      </c>
      <c r="E1071" s="2" t="s">
        <v>4261</v>
      </c>
      <c r="F1071" s="2" t="s">
        <v>10</v>
      </c>
      <c r="G1071" s="2" t="n">
        <v>255</v>
      </c>
    </row>
    <row r="1072" customFormat="false" ht="15" hidden="false" customHeight="false" outlineLevel="0" collapsed="false">
      <c r="A1072" s="2" t="s">
        <v>720</v>
      </c>
      <c r="B1072" s="2" t="s">
        <v>56</v>
      </c>
      <c r="C1072" s="2" t="s">
        <v>56</v>
      </c>
      <c r="D1072" s="2" t="s">
        <v>5214</v>
      </c>
      <c r="E1072" s="2" t="s">
        <v>4264</v>
      </c>
      <c r="F1072" s="2" t="s">
        <v>8</v>
      </c>
      <c r="G1072" s="2" t="n">
        <v>256</v>
      </c>
    </row>
    <row r="1073" customFormat="false" ht="15" hidden="false" customHeight="false" outlineLevel="0" collapsed="false">
      <c r="A1073" s="2" t="s">
        <v>720</v>
      </c>
      <c r="B1073" s="2" t="s">
        <v>56</v>
      </c>
      <c r="C1073" s="2" t="s">
        <v>56</v>
      </c>
      <c r="D1073" s="2" t="s">
        <v>5215</v>
      </c>
      <c r="E1073" s="2" t="s">
        <v>4261</v>
      </c>
      <c r="F1073" s="2" t="s">
        <v>8</v>
      </c>
      <c r="G1073" s="2" t="n">
        <v>256</v>
      </c>
    </row>
    <row r="1074" customFormat="false" ht="15" hidden="false" customHeight="false" outlineLevel="0" collapsed="false">
      <c r="A1074" s="2" t="s">
        <v>720</v>
      </c>
      <c r="B1074" s="2" t="s">
        <v>56</v>
      </c>
      <c r="C1074" s="2" t="s">
        <v>56</v>
      </c>
      <c r="D1074" s="2" t="s">
        <v>5216</v>
      </c>
      <c r="E1074" s="2" t="s">
        <v>4261</v>
      </c>
      <c r="F1074" s="2" t="s">
        <v>8</v>
      </c>
      <c r="G1074" s="2" t="n">
        <v>256</v>
      </c>
    </row>
    <row r="1075" customFormat="false" ht="15" hidden="false" customHeight="false" outlineLevel="0" collapsed="false">
      <c r="A1075" s="2" t="s">
        <v>720</v>
      </c>
      <c r="B1075" s="2" t="s">
        <v>56</v>
      </c>
      <c r="C1075" s="2" t="s">
        <v>56</v>
      </c>
      <c r="D1075" s="2" t="s">
        <v>5217</v>
      </c>
      <c r="E1075" s="2" t="s">
        <v>4261</v>
      </c>
      <c r="F1075" s="2" t="s">
        <v>8</v>
      </c>
      <c r="G1075" s="2" t="n">
        <v>256</v>
      </c>
    </row>
    <row r="1076" customFormat="false" ht="15" hidden="false" customHeight="false" outlineLevel="0" collapsed="false">
      <c r="A1076" s="2" t="s">
        <v>720</v>
      </c>
      <c r="B1076" s="2" t="s">
        <v>56</v>
      </c>
      <c r="C1076" s="2" t="s">
        <v>56</v>
      </c>
      <c r="D1076" s="2" t="s">
        <v>5218</v>
      </c>
      <c r="E1076" s="2" t="s">
        <v>4261</v>
      </c>
      <c r="F1076" s="2" t="s">
        <v>8</v>
      </c>
      <c r="G1076" s="2" t="n">
        <v>256</v>
      </c>
    </row>
    <row r="1077" customFormat="false" ht="15" hidden="false" customHeight="false" outlineLevel="0" collapsed="false">
      <c r="A1077" s="2" t="s">
        <v>720</v>
      </c>
      <c r="B1077" s="2" t="s">
        <v>56</v>
      </c>
      <c r="C1077" s="2" t="s">
        <v>56</v>
      </c>
      <c r="D1077" s="2" t="s">
        <v>5219</v>
      </c>
      <c r="E1077" s="2" t="s">
        <v>4271</v>
      </c>
      <c r="F1077" s="2" t="s">
        <v>8</v>
      </c>
      <c r="G1077" s="2" t="n">
        <v>256</v>
      </c>
    </row>
    <row r="1078" customFormat="false" ht="15" hidden="false" customHeight="false" outlineLevel="0" collapsed="false">
      <c r="A1078" s="2" t="s">
        <v>722</v>
      </c>
      <c r="B1078" s="2" t="s">
        <v>723</v>
      </c>
      <c r="C1078" s="2" t="s">
        <v>44</v>
      </c>
      <c r="D1078" s="2" t="s">
        <v>5220</v>
      </c>
      <c r="E1078" s="2" t="s">
        <v>4271</v>
      </c>
      <c r="F1078" s="2" t="s">
        <v>9</v>
      </c>
      <c r="G1078" s="2" t="n">
        <v>257</v>
      </c>
    </row>
    <row r="1079" customFormat="false" ht="15" hidden="false" customHeight="false" outlineLevel="0" collapsed="false">
      <c r="A1079" s="2" t="s">
        <v>722</v>
      </c>
      <c r="B1079" s="2" t="s">
        <v>723</v>
      </c>
      <c r="C1079" s="2" t="s">
        <v>44</v>
      </c>
      <c r="D1079" s="2" t="s">
        <v>5221</v>
      </c>
      <c r="E1079" s="2" t="s">
        <v>4264</v>
      </c>
      <c r="F1079" s="2" t="s">
        <v>9</v>
      </c>
      <c r="G1079" s="2" t="n">
        <v>257</v>
      </c>
    </row>
    <row r="1080" customFormat="false" ht="15" hidden="false" customHeight="false" outlineLevel="0" collapsed="false">
      <c r="A1080" s="2" t="s">
        <v>722</v>
      </c>
      <c r="B1080" s="2" t="s">
        <v>723</v>
      </c>
      <c r="C1080" s="2" t="s">
        <v>44</v>
      </c>
      <c r="D1080" s="2" t="s">
        <v>5222</v>
      </c>
      <c r="E1080" s="2" t="s">
        <v>4271</v>
      </c>
      <c r="F1080" s="2" t="s">
        <v>9</v>
      </c>
      <c r="G1080" s="2" t="n">
        <v>257</v>
      </c>
    </row>
    <row r="1081" customFormat="false" ht="15" hidden="false" customHeight="false" outlineLevel="0" collapsed="false">
      <c r="A1081" s="2" t="s">
        <v>722</v>
      </c>
      <c r="B1081" s="2" t="s">
        <v>723</v>
      </c>
      <c r="C1081" s="2" t="s">
        <v>44</v>
      </c>
      <c r="D1081" s="2" t="s">
        <v>5223</v>
      </c>
      <c r="E1081" s="2" t="s">
        <v>4261</v>
      </c>
      <c r="F1081" s="2" t="s">
        <v>9</v>
      </c>
      <c r="G1081" s="2" t="n">
        <v>257</v>
      </c>
    </row>
    <row r="1082" customFormat="false" ht="15" hidden="false" customHeight="false" outlineLevel="0" collapsed="false">
      <c r="A1082" s="2" t="s">
        <v>722</v>
      </c>
      <c r="B1082" s="2" t="s">
        <v>723</v>
      </c>
      <c r="C1082" s="2" t="s">
        <v>44</v>
      </c>
      <c r="D1082" s="2" t="s">
        <v>5224</v>
      </c>
      <c r="E1082" s="2" t="s">
        <v>4261</v>
      </c>
      <c r="F1082" s="2" t="s">
        <v>9</v>
      </c>
      <c r="G1082" s="2" t="n">
        <v>257</v>
      </c>
    </row>
    <row r="1083" customFormat="false" ht="15" hidden="false" customHeight="false" outlineLevel="0" collapsed="false">
      <c r="A1083" s="2" t="s">
        <v>722</v>
      </c>
      <c r="B1083" s="2" t="s">
        <v>723</v>
      </c>
      <c r="C1083" s="2" t="s">
        <v>44</v>
      </c>
      <c r="D1083" s="2" t="s">
        <v>5225</v>
      </c>
      <c r="E1083" s="2" t="s">
        <v>4261</v>
      </c>
      <c r="F1083" s="2" t="s">
        <v>9</v>
      </c>
      <c r="G1083" s="2" t="n">
        <v>257</v>
      </c>
    </row>
    <row r="1084" customFormat="false" ht="15" hidden="false" customHeight="false" outlineLevel="0" collapsed="false">
      <c r="A1084" s="2" t="s">
        <v>726</v>
      </c>
      <c r="B1084" s="2" t="s">
        <v>727</v>
      </c>
      <c r="C1084" s="2" t="s">
        <v>70</v>
      </c>
      <c r="D1084" s="2" t="s">
        <v>5226</v>
      </c>
      <c r="E1084" s="2" t="s">
        <v>4261</v>
      </c>
      <c r="F1084" s="2" t="s">
        <v>10</v>
      </c>
      <c r="G1084" s="2" t="n">
        <v>259</v>
      </c>
    </row>
    <row r="1085" customFormat="false" ht="15" hidden="false" customHeight="false" outlineLevel="0" collapsed="false">
      <c r="A1085" s="2" t="s">
        <v>726</v>
      </c>
      <c r="B1085" s="2" t="s">
        <v>727</v>
      </c>
      <c r="C1085" s="2" t="s">
        <v>70</v>
      </c>
      <c r="D1085" s="2" t="s">
        <v>727</v>
      </c>
      <c r="E1085" s="2" t="s">
        <v>4271</v>
      </c>
      <c r="F1085" s="2" t="s">
        <v>10</v>
      </c>
      <c r="G1085" s="2" t="n">
        <v>259</v>
      </c>
    </row>
    <row r="1086" customFormat="false" ht="15" hidden="false" customHeight="false" outlineLevel="0" collapsed="false">
      <c r="A1086" s="2" t="s">
        <v>726</v>
      </c>
      <c r="B1086" s="2" t="s">
        <v>727</v>
      </c>
      <c r="C1086" s="2" t="s">
        <v>70</v>
      </c>
      <c r="D1086" s="2" t="s">
        <v>5227</v>
      </c>
      <c r="E1086" s="2" t="s">
        <v>4261</v>
      </c>
      <c r="F1086" s="2" t="s">
        <v>10</v>
      </c>
      <c r="G1086" s="2" t="n">
        <v>259</v>
      </c>
    </row>
    <row r="1087" customFormat="false" ht="15" hidden="false" customHeight="false" outlineLevel="0" collapsed="false">
      <c r="A1087" s="2" t="s">
        <v>726</v>
      </c>
      <c r="B1087" s="2" t="s">
        <v>727</v>
      </c>
      <c r="C1087" s="2" t="s">
        <v>70</v>
      </c>
      <c r="D1087" s="2" t="s">
        <v>5228</v>
      </c>
      <c r="E1087" s="2" t="s">
        <v>4261</v>
      </c>
      <c r="F1087" s="2" t="s">
        <v>10</v>
      </c>
      <c r="G1087" s="2" t="n">
        <v>259</v>
      </c>
    </row>
    <row r="1088" customFormat="false" ht="15" hidden="false" customHeight="false" outlineLevel="0" collapsed="false">
      <c r="A1088" s="2" t="s">
        <v>726</v>
      </c>
      <c r="B1088" s="2" t="s">
        <v>727</v>
      </c>
      <c r="C1088" s="2" t="s">
        <v>70</v>
      </c>
      <c r="D1088" s="2" t="s">
        <v>5229</v>
      </c>
      <c r="E1088" s="2" t="s">
        <v>4261</v>
      </c>
      <c r="F1088" s="2" t="s">
        <v>10</v>
      </c>
      <c r="G1088" s="2" t="n">
        <v>259</v>
      </c>
    </row>
    <row r="1089" customFormat="false" ht="15" hidden="false" customHeight="false" outlineLevel="0" collapsed="false">
      <c r="A1089" s="2" t="s">
        <v>731</v>
      </c>
      <c r="B1089" s="2" t="s">
        <v>516</v>
      </c>
      <c r="C1089" s="2" t="s">
        <v>34</v>
      </c>
      <c r="D1089" s="2" t="s">
        <v>5230</v>
      </c>
      <c r="E1089" s="2" t="s">
        <v>4261</v>
      </c>
      <c r="F1089" s="2" t="s">
        <v>8</v>
      </c>
      <c r="G1089" s="2" t="n">
        <v>261</v>
      </c>
    </row>
    <row r="1090" customFormat="false" ht="15" hidden="false" customHeight="false" outlineLevel="0" collapsed="false">
      <c r="A1090" s="2" t="s">
        <v>731</v>
      </c>
      <c r="B1090" s="2" t="s">
        <v>516</v>
      </c>
      <c r="C1090" s="2" t="s">
        <v>34</v>
      </c>
      <c r="D1090" s="2" t="s">
        <v>349</v>
      </c>
      <c r="E1090" s="2" t="s">
        <v>4261</v>
      </c>
      <c r="F1090" s="2" t="s">
        <v>8</v>
      </c>
      <c r="G1090" s="2" t="n">
        <v>261</v>
      </c>
    </row>
    <row r="1091" customFormat="false" ht="15" hidden="false" customHeight="false" outlineLevel="0" collapsed="false">
      <c r="A1091" s="2" t="s">
        <v>733</v>
      </c>
      <c r="B1091" s="2" t="s">
        <v>734</v>
      </c>
      <c r="C1091" s="2" t="s">
        <v>70</v>
      </c>
      <c r="D1091" s="2" t="s">
        <v>735</v>
      </c>
      <c r="E1091" s="2" t="s">
        <v>4271</v>
      </c>
      <c r="F1091" s="2" t="s">
        <v>9</v>
      </c>
      <c r="G1091" s="2" t="n">
        <v>262</v>
      </c>
    </row>
    <row r="1092" customFormat="false" ht="15" hidden="false" customHeight="false" outlineLevel="0" collapsed="false">
      <c r="A1092" s="2" t="s">
        <v>736</v>
      </c>
      <c r="B1092" s="2" t="s">
        <v>44</v>
      </c>
      <c r="C1092" s="2" t="s">
        <v>44</v>
      </c>
      <c r="D1092" s="2" t="s">
        <v>111</v>
      </c>
      <c r="E1092" s="2" t="s">
        <v>4271</v>
      </c>
      <c r="F1092" s="2" t="s">
        <v>9</v>
      </c>
      <c r="G1092" s="2" t="n">
        <v>263</v>
      </c>
    </row>
    <row r="1093" customFormat="false" ht="15" hidden="false" customHeight="false" outlineLevel="0" collapsed="false">
      <c r="A1093" s="2" t="s">
        <v>737</v>
      </c>
      <c r="B1093" s="2" t="s">
        <v>738</v>
      </c>
      <c r="C1093" s="2" t="s">
        <v>44</v>
      </c>
      <c r="D1093" s="2" t="s">
        <v>5231</v>
      </c>
      <c r="E1093" s="2" t="s">
        <v>4271</v>
      </c>
      <c r="F1093" s="2" t="s">
        <v>10</v>
      </c>
      <c r="G1093" s="2" t="n">
        <v>264</v>
      </c>
    </row>
    <row r="1094" customFormat="false" ht="15" hidden="false" customHeight="false" outlineLevel="0" collapsed="false">
      <c r="A1094" s="2" t="s">
        <v>737</v>
      </c>
      <c r="B1094" s="2" t="s">
        <v>738</v>
      </c>
      <c r="C1094" s="2" t="s">
        <v>44</v>
      </c>
      <c r="D1094" s="2" t="s">
        <v>5232</v>
      </c>
      <c r="E1094" s="2" t="s">
        <v>4264</v>
      </c>
      <c r="F1094" s="2" t="s">
        <v>10</v>
      </c>
      <c r="G1094" s="2" t="n">
        <v>264</v>
      </c>
    </row>
    <row r="1095" customFormat="false" ht="15" hidden="false" customHeight="false" outlineLevel="0" collapsed="false">
      <c r="A1095" s="2" t="s">
        <v>737</v>
      </c>
      <c r="B1095" s="2" t="s">
        <v>738</v>
      </c>
      <c r="C1095" s="2" t="s">
        <v>44</v>
      </c>
      <c r="D1095" s="2" t="s">
        <v>5233</v>
      </c>
      <c r="E1095" s="2" t="s">
        <v>4264</v>
      </c>
      <c r="F1095" s="2" t="s">
        <v>10</v>
      </c>
      <c r="G1095" s="2" t="n">
        <v>264</v>
      </c>
    </row>
    <row r="1096" customFormat="false" ht="15" hidden="false" customHeight="false" outlineLevel="0" collapsed="false">
      <c r="A1096" s="2" t="s">
        <v>737</v>
      </c>
      <c r="B1096" s="2" t="s">
        <v>738</v>
      </c>
      <c r="C1096" s="2" t="s">
        <v>44</v>
      </c>
      <c r="D1096" s="2" t="s">
        <v>5234</v>
      </c>
      <c r="E1096" s="2" t="s">
        <v>4264</v>
      </c>
      <c r="F1096" s="2" t="s">
        <v>10</v>
      </c>
      <c r="G1096" s="2" t="n">
        <v>264</v>
      </c>
    </row>
    <row r="1097" customFormat="false" ht="15" hidden="false" customHeight="false" outlineLevel="0" collapsed="false">
      <c r="A1097" s="2" t="s">
        <v>740</v>
      </c>
      <c r="B1097" s="2" t="s">
        <v>84</v>
      </c>
      <c r="C1097" s="2" t="s">
        <v>70</v>
      </c>
      <c r="D1097" s="2" t="s">
        <v>5235</v>
      </c>
      <c r="E1097" s="2" t="s">
        <v>4271</v>
      </c>
      <c r="F1097" s="2" t="s">
        <v>9</v>
      </c>
      <c r="G1097" s="2" t="n">
        <v>265</v>
      </c>
    </row>
    <row r="1098" customFormat="false" ht="15" hidden="false" customHeight="false" outlineLevel="0" collapsed="false">
      <c r="A1098" s="2" t="s">
        <v>740</v>
      </c>
      <c r="B1098" s="2" t="s">
        <v>84</v>
      </c>
      <c r="C1098" s="2" t="s">
        <v>70</v>
      </c>
      <c r="D1098" s="2" t="s">
        <v>5236</v>
      </c>
      <c r="E1098" s="2" t="s">
        <v>4271</v>
      </c>
      <c r="F1098" s="2" t="s">
        <v>9</v>
      </c>
      <c r="G1098" s="2" t="n">
        <v>265</v>
      </c>
    </row>
    <row r="1099" customFormat="false" ht="15" hidden="false" customHeight="false" outlineLevel="0" collapsed="false">
      <c r="A1099" s="2" t="s">
        <v>743</v>
      </c>
      <c r="B1099" s="2" t="s">
        <v>744</v>
      </c>
      <c r="C1099" s="2" t="s">
        <v>27</v>
      </c>
      <c r="D1099" s="2" t="s">
        <v>745</v>
      </c>
      <c r="E1099" s="2" t="s">
        <v>4261</v>
      </c>
      <c r="F1099" s="2" t="s">
        <v>8</v>
      </c>
      <c r="G1099" s="2" t="n">
        <v>267</v>
      </c>
    </row>
    <row r="1100" customFormat="false" ht="15" hidden="false" customHeight="false" outlineLevel="0" collapsed="false">
      <c r="A1100" s="2" t="s">
        <v>746</v>
      </c>
      <c r="B1100" s="2" t="s">
        <v>747</v>
      </c>
      <c r="C1100" s="2" t="s">
        <v>70</v>
      </c>
      <c r="D1100" s="2" t="s">
        <v>5237</v>
      </c>
      <c r="E1100" s="2" t="s">
        <v>4261</v>
      </c>
      <c r="F1100" s="2" t="s">
        <v>8</v>
      </c>
      <c r="G1100" s="2" t="n">
        <v>268</v>
      </c>
    </row>
    <row r="1101" customFormat="false" ht="15" hidden="false" customHeight="false" outlineLevel="0" collapsed="false">
      <c r="A1101" s="2" t="s">
        <v>746</v>
      </c>
      <c r="B1101" s="2" t="s">
        <v>747</v>
      </c>
      <c r="C1101" s="2" t="s">
        <v>70</v>
      </c>
      <c r="D1101" s="2" t="s">
        <v>5238</v>
      </c>
      <c r="E1101" s="2" t="s">
        <v>4261</v>
      </c>
      <c r="F1101" s="2" t="s">
        <v>8</v>
      </c>
      <c r="G1101" s="2" t="n">
        <v>268</v>
      </c>
    </row>
    <row r="1102" customFormat="false" ht="15" hidden="false" customHeight="false" outlineLevel="0" collapsed="false">
      <c r="A1102" s="2" t="s">
        <v>749</v>
      </c>
      <c r="B1102" s="2" t="s">
        <v>403</v>
      </c>
      <c r="C1102" s="2" t="s">
        <v>70</v>
      </c>
      <c r="D1102" s="2" t="s">
        <v>5239</v>
      </c>
      <c r="E1102" s="2" t="s">
        <v>4261</v>
      </c>
      <c r="F1102" s="2" t="s">
        <v>8</v>
      </c>
      <c r="G1102" s="2" t="n">
        <v>269</v>
      </c>
    </row>
    <row r="1103" customFormat="false" ht="15" hidden="false" customHeight="false" outlineLevel="0" collapsed="false">
      <c r="A1103" s="2" t="s">
        <v>749</v>
      </c>
      <c r="B1103" s="2" t="s">
        <v>403</v>
      </c>
      <c r="C1103" s="2" t="s">
        <v>70</v>
      </c>
      <c r="D1103" s="2" t="s">
        <v>5240</v>
      </c>
      <c r="E1103" s="2" t="s">
        <v>4264</v>
      </c>
      <c r="F1103" s="2" t="s">
        <v>8</v>
      </c>
      <c r="G1103" s="2" t="n">
        <v>269</v>
      </c>
    </row>
    <row r="1104" customFormat="false" ht="15" hidden="false" customHeight="false" outlineLevel="0" collapsed="false">
      <c r="A1104" s="2" t="s">
        <v>751</v>
      </c>
      <c r="B1104" s="2" t="s">
        <v>752</v>
      </c>
      <c r="C1104" s="2" t="s">
        <v>70</v>
      </c>
      <c r="D1104" s="2" t="s">
        <v>752</v>
      </c>
      <c r="E1104" s="2" t="s">
        <v>4271</v>
      </c>
      <c r="F1104" s="2" t="s">
        <v>9</v>
      </c>
      <c r="G1104" s="2" t="n">
        <v>270</v>
      </c>
    </row>
    <row r="1105" customFormat="false" ht="15" hidden="false" customHeight="false" outlineLevel="0" collapsed="false">
      <c r="A1105" s="2" t="s">
        <v>751</v>
      </c>
      <c r="B1105" s="2" t="s">
        <v>752</v>
      </c>
      <c r="C1105" s="2" t="s">
        <v>70</v>
      </c>
      <c r="D1105" s="2" t="s">
        <v>5241</v>
      </c>
      <c r="E1105" s="2" t="s">
        <v>4271</v>
      </c>
      <c r="F1105" s="2" t="s">
        <v>9</v>
      </c>
      <c r="G1105" s="2" t="n">
        <v>270</v>
      </c>
    </row>
    <row r="1106" customFormat="false" ht="15" hidden="false" customHeight="false" outlineLevel="0" collapsed="false">
      <c r="A1106" s="2" t="s">
        <v>757</v>
      </c>
      <c r="B1106" s="2" t="s">
        <v>758</v>
      </c>
      <c r="C1106" s="2" t="s">
        <v>105</v>
      </c>
      <c r="D1106" s="2" t="s">
        <v>759</v>
      </c>
      <c r="E1106" s="2" t="s">
        <v>4261</v>
      </c>
      <c r="F1106" s="2" t="s">
        <v>8</v>
      </c>
      <c r="G1106" s="2" t="n">
        <v>273</v>
      </c>
    </row>
    <row r="1107" customFormat="false" ht="15" hidden="false" customHeight="false" outlineLevel="0" collapsed="false">
      <c r="A1107" s="2" t="s">
        <v>760</v>
      </c>
      <c r="B1107" s="2" t="s">
        <v>386</v>
      </c>
      <c r="C1107" s="2" t="s">
        <v>105</v>
      </c>
      <c r="D1107" s="2" t="s">
        <v>2620</v>
      </c>
      <c r="E1107" s="2" t="s">
        <v>4271</v>
      </c>
      <c r="F1107" s="2" t="s">
        <v>8</v>
      </c>
      <c r="G1107" s="2" t="n">
        <v>274</v>
      </c>
    </row>
    <row r="1108" customFormat="false" ht="15" hidden="false" customHeight="false" outlineLevel="0" collapsed="false">
      <c r="A1108" s="2" t="s">
        <v>760</v>
      </c>
      <c r="B1108" s="2" t="s">
        <v>386</v>
      </c>
      <c r="C1108" s="2" t="s">
        <v>105</v>
      </c>
      <c r="D1108" s="2" t="s">
        <v>5242</v>
      </c>
      <c r="E1108" s="2" t="s">
        <v>4261</v>
      </c>
      <c r="F1108" s="2" t="s">
        <v>8</v>
      </c>
      <c r="G1108" s="2" t="n">
        <v>274</v>
      </c>
    </row>
    <row r="1109" customFormat="false" ht="15" hidden="false" customHeight="false" outlineLevel="0" collapsed="false">
      <c r="A1109" s="2" t="s">
        <v>762</v>
      </c>
      <c r="B1109" s="2" t="s">
        <v>38</v>
      </c>
      <c r="C1109" s="2" t="s">
        <v>39</v>
      </c>
      <c r="D1109" s="2" t="s">
        <v>5243</v>
      </c>
      <c r="E1109" s="2" t="s">
        <v>4271</v>
      </c>
      <c r="F1109" s="2" t="s">
        <v>8</v>
      </c>
      <c r="G1109" s="2" t="n">
        <v>275</v>
      </c>
    </row>
    <row r="1110" customFormat="false" ht="15" hidden="false" customHeight="false" outlineLevel="0" collapsed="false">
      <c r="A1110" s="2" t="s">
        <v>762</v>
      </c>
      <c r="B1110" s="2" t="s">
        <v>38</v>
      </c>
      <c r="C1110" s="2" t="s">
        <v>39</v>
      </c>
      <c r="D1110" s="2" t="s">
        <v>4595</v>
      </c>
      <c r="E1110" s="2" t="s">
        <v>4261</v>
      </c>
      <c r="F1110" s="2" t="s">
        <v>8</v>
      </c>
      <c r="G1110" s="2" t="n">
        <v>275</v>
      </c>
    </row>
    <row r="1111" customFormat="false" ht="15" hidden="false" customHeight="false" outlineLevel="0" collapsed="false">
      <c r="A1111" s="2" t="s">
        <v>762</v>
      </c>
      <c r="B1111" s="2" t="s">
        <v>38</v>
      </c>
      <c r="C1111" s="2" t="s">
        <v>39</v>
      </c>
      <c r="D1111" s="2" t="s">
        <v>5244</v>
      </c>
      <c r="E1111" s="2" t="s">
        <v>4261</v>
      </c>
      <c r="F1111" s="2" t="s">
        <v>8</v>
      </c>
      <c r="G1111" s="2" t="n">
        <v>275</v>
      </c>
    </row>
    <row r="1112" customFormat="false" ht="15" hidden="false" customHeight="false" outlineLevel="0" collapsed="false">
      <c r="A1112" s="2" t="s">
        <v>762</v>
      </c>
      <c r="B1112" s="2" t="s">
        <v>38</v>
      </c>
      <c r="C1112" s="2" t="s">
        <v>39</v>
      </c>
      <c r="D1112" s="2" t="s">
        <v>5245</v>
      </c>
      <c r="E1112" s="2" t="s">
        <v>4261</v>
      </c>
      <c r="F1112" s="2" t="s">
        <v>8</v>
      </c>
      <c r="G1112" s="2" t="n">
        <v>275</v>
      </c>
    </row>
    <row r="1113" customFormat="false" ht="15" hidden="false" customHeight="false" outlineLevel="0" collapsed="false">
      <c r="A1113" s="2" t="s">
        <v>762</v>
      </c>
      <c r="B1113" s="2" t="s">
        <v>38</v>
      </c>
      <c r="C1113" s="2" t="s">
        <v>39</v>
      </c>
      <c r="D1113" s="2" t="s">
        <v>1875</v>
      </c>
      <c r="E1113" s="2" t="s">
        <v>4261</v>
      </c>
      <c r="F1113" s="2" t="s">
        <v>8</v>
      </c>
      <c r="G1113" s="2" t="n">
        <v>275</v>
      </c>
    </row>
    <row r="1114" customFormat="false" ht="15" hidden="false" customHeight="false" outlineLevel="0" collapsed="false">
      <c r="A1114" s="2" t="s">
        <v>762</v>
      </c>
      <c r="B1114" s="2" t="s">
        <v>38</v>
      </c>
      <c r="C1114" s="2" t="s">
        <v>39</v>
      </c>
      <c r="D1114" s="2" t="s">
        <v>5246</v>
      </c>
      <c r="E1114" s="2" t="s">
        <v>4271</v>
      </c>
      <c r="F1114" s="2" t="s">
        <v>8</v>
      </c>
      <c r="G1114" s="2" t="n">
        <v>275</v>
      </c>
    </row>
    <row r="1115" customFormat="false" ht="15" hidden="false" customHeight="false" outlineLevel="0" collapsed="false">
      <c r="A1115" s="2" t="s">
        <v>766</v>
      </c>
      <c r="B1115" s="2" t="s">
        <v>767</v>
      </c>
      <c r="C1115" s="2" t="s">
        <v>70</v>
      </c>
      <c r="D1115" s="2" t="s">
        <v>5247</v>
      </c>
      <c r="E1115" s="2" t="s">
        <v>4271</v>
      </c>
      <c r="F1115" s="2" t="s">
        <v>9</v>
      </c>
      <c r="G1115" s="2" t="n">
        <v>277</v>
      </c>
    </row>
    <row r="1116" customFormat="false" ht="15" hidden="false" customHeight="false" outlineLevel="0" collapsed="false">
      <c r="A1116" s="2" t="s">
        <v>766</v>
      </c>
      <c r="B1116" s="2" t="s">
        <v>767</v>
      </c>
      <c r="C1116" s="2" t="s">
        <v>70</v>
      </c>
      <c r="D1116" s="2" t="s">
        <v>5248</v>
      </c>
      <c r="E1116" s="2" t="s">
        <v>4271</v>
      </c>
      <c r="F1116" s="2" t="s">
        <v>9</v>
      </c>
      <c r="G1116" s="2" t="n">
        <v>277</v>
      </c>
    </row>
    <row r="1117" customFormat="false" ht="15" hidden="false" customHeight="false" outlineLevel="0" collapsed="false">
      <c r="A1117" s="2" t="s">
        <v>769</v>
      </c>
      <c r="B1117" s="2" t="s">
        <v>133</v>
      </c>
      <c r="C1117" s="2" t="s">
        <v>34</v>
      </c>
      <c r="D1117" s="2" t="s">
        <v>5249</v>
      </c>
      <c r="E1117" s="2" t="s">
        <v>4261</v>
      </c>
      <c r="F1117" s="2" t="s">
        <v>10</v>
      </c>
      <c r="G1117" s="2" t="n">
        <v>278</v>
      </c>
    </row>
    <row r="1118" customFormat="false" ht="15" hidden="false" customHeight="false" outlineLevel="0" collapsed="false">
      <c r="A1118" s="2" t="s">
        <v>769</v>
      </c>
      <c r="B1118" s="2" t="s">
        <v>133</v>
      </c>
      <c r="C1118" s="2" t="s">
        <v>34</v>
      </c>
      <c r="D1118" s="2" t="s">
        <v>5250</v>
      </c>
      <c r="E1118" s="2" t="s">
        <v>4261</v>
      </c>
      <c r="F1118" s="2" t="s">
        <v>10</v>
      </c>
      <c r="G1118" s="2" t="n">
        <v>278</v>
      </c>
    </row>
    <row r="1119" customFormat="false" ht="15" hidden="false" customHeight="false" outlineLevel="0" collapsed="false">
      <c r="A1119" s="2" t="s">
        <v>769</v>
      </c>
      <c r="B1119" s="2" t="s">
        <v>133</v>
      </c>
      <c r="C1119" s="2" t="s">
        <v>34</v>
      </c>
      <c r="D1119" s="2" t="s">
        <v>5251</v>
      </c>
      <c r="E1119" s="2" t="s">
        <v>4261</v>
      </c>
      <c r="F1119" s="2" t="s">
        <v>10</v>
      </c>
      <c r="G1119" s="2" t="n">
        <v>278</v>
      </c>
    </row>
    <row r="1120" customFormat="false" ht="15" hidden="false" customHeight="false" outlineLevel="0" collapsed="false">
      <c r="A1120" s="2" t="s">
        <v>771</v>
      </c>
      <c r="B1120" s="2" t="s">
        <v>772</v>
      </c>
      <c r="C1120" s="2" t="s">
        <v>105</v>
      </c>
      <c r="D1120" s="2" t="s">
        <v>5252</v>
      </c>
      <c r="E1120" s="2" t="s">
        <v>4271</v>
      </c>
      <c r="F1120" s="2" t="s">
        <v>10</v>
      </c>
      <c r="G1120" s="2" t="n">
        <v>279</v>
      </c>
    </row>
    <row r="1121" customFormat="false" ht="15" hidden="false" customHeight="false" outlineLevel="0" collapsed="false">
      <c r="A1121" s="2" t="s">
        <v>771</v>
      </c>
      <c r="B1121" s="2" t="s">
        <v>772</v>
      </c>
      <c r="C1121" s="2" t="s">
        <v>105</v>
      </c>
      <c r="D1121" s="2" t="s">
        <v>5253</v>
      </c>
      <c r="E1121" s="2" t="s">
        <v>4261</v>
      </c>
      <c r="F1121" s="2" t="s">
        <v>10</v>
      </c>
      <c r="G1121" s="2" t="n">
        <v>279</v>
      </c>
    </row>
    <row r="1122" customFormat="false" ht="15" hidden="false" customHeight="false" outlineLevel="0" collapsed="false">
      <c r="A1122" s="2" t="s">
        <v>771</v>
      </c>
      <c r="B1122" s="2" t="s">
        <v>772</v>
      </c>
      <c r="C1122" s="2" t="s">
        <v>105</v>
      </c>
      <c r="D1122" s="2" t="s">
        <v>5254</v>
      </c>
      <c r="E1122" s="2" t="s">
        <v>4261</v>
      </c>
      <c r="F1122" s="2" t="s">
        <v>10</v>
      </c>
      <c r="G1122" s="2" t="n">
        <v>279</v>
      </c>
    </row>
    <row r="1123" customFormat="false" ht="15" hidden="false" customHeight="false" outlineLevel="0" collapsed="false">
      <c r="A1123" s="2" t="s">
        <v>771</v>
      </c>
      <c r="B1123" s="2" t="s">
        <v>772</v>
      </c>
      <c r="C1123" s="2" t="s">
        <v>105</v>
      </c>
      <c r="D1123" s="2" t="s">
        <v>5255</v>
      </c>
      <c r="E1123" s="2" t="s">
        <v>4261</v>
      </c>
      <c r="F1123" s="2" t="s">
        <v>10</v>
      </c>
      <c r="G1123" s="2" t="n">
        <v>279</v>
      </c>
    </row>
    <row r="1124" customFormat="false" ht="15" hidden="false" customHeight="false" outlineLevel="0" collapsed="false">
      <c r="A1124" s="2" t="s">
        <v>771</v>
      </c>
      <c r="B1124" s="2" t="s">
        <v>772</v>
      </c>
      <c r="C1124" s="2" t="s">
        <v>105</v>
      </c>
      <c r="D1124" s="2" t="s">
        <v>503</v>
      </c>
      <c r="E1124" s="2" t="s">
        <v>4261</v>
      </c>
      <c r="F1124" s="2" t="s">
        <v>10</v>
      </c>
      <c r="G1124" s="2" t="n">
        <v>279</v>
      </c>
    </row>
    <row r="1125" customFormat="false" ht="15" hidden="false" customHeight="false" outlineLevel="0" collapsed="false">
      <c r="A1125" s="2" t="s">
        <v>771</v>
      </c>
      <c r="B1125" s="2" t="s">
        <v>772</v>
      </c>
      <c r="C1125" s="2" t="s">
        <v>105</v>
      </c>
      <c r="D1125" s="2" t="s">
        <v>5256</v>
      </c>
      <c r="E1125" s="2" t="s">
        <v>4261</v>
      </c>
      <c r="F1125" s="2" t="s">
        <v>10</v>
      </c>
      <c r="G1125" s="2" t="n">
        <v>279</v>
      </c>
    </row>
    <row r="1126" customFormat="false" ht="15" hidden="false" customHeight="false" outlineLevel="0" collapsed="false">
      <c r="A1126" s="2" t="s">
        <v>771</v>
      </c>
      <c r="B1126" s="2" t="s">
        <v>772</v>
      </c>
      <c r="C1126" s="2" t="s">
        <v>105</v>
      </c>
      <c r="D1126" s="2" t="s">
        <v>5257</v>
      </c>
      <c r="E1126" s="2" t="s">
        <v>4261</v>
      </c>
      <c r="F1126" s="2" t="s">
        <v>10</v>
      </c>
      <c r="G1126" s="2" t="n">
        <v>279</v>
      </c>
    </row>
    <row r="1127" customFormat="false" ht="15" hidden="false" customHeight="false" outlineLevel="0" collapsed="false">
      <c r="A1127" s="2" t="s">
        <v>771</v>
      </c>
      <c r="B1127" s="2" t="s">
        <v>772</v>
      </c>
      <c r="C1127" s="2" t="s">
        <v>105</v>
      </c>
      <c r="D1127" s="2" t="s">
        <v>5258</v>
      </c>
      <c r="E1127" s="2" t="s">
        <v>4261</v>
      </c>
      <c r="F1127" s="2" t="s">
        <v>10</v>
      </c>
      <c r="G1127" s="2" t="n">
        <v>279</v>
      </c>
    </row>
    <row r="1128" customFormat="false" ht="15" hidden="false" customHeight="false" outlineLevel="0" collapsed="false">
      <c r="A1128" s="2" t="s">
        <v>771</v>
      </c>
      <c r="B1128" s="2" t="s">
        <v>772</v>
      </c>
      <c r="C1128" s="2" t="s">
        <v>105</v>
      </c>
      <c r="D1128" s="2" t="s">
        <v>5259</v>
      </c>
      <c r="E1128" s="2" t="s">
        <v>4261</v>
      </c>
      <c r="F1128" s="2" t="s">
        <v>10</v>
      </c>
      <c r="G1128" s="2" t="n">
        <v>279</v>
      </c>
    </row>
    <row r="1129" customFormat="false" ht="15" hidden="false" customHeight="false" outlineLevel="0" collapsed="false">
      <c r="A1129" s="2" t="s">
        <v>776</v>
      </c>
      <c r="B1129" s="2" t="s">
        <v>352</v>
      </c>
      <c r="C1129" s="2" t="s">
        <v>70</v>
      </c>
      <c r="D1129" s="2" t="s">
        <v>5260</v>
      </c>
      <c r="E1129" s="2" t="s">
        <v>4261</v>
      </c>
      <c r="F1129" s="2" t="s">
        <v>9</v>
      </c>
      <c r="G1129" s="2" t="n">
        <v>282</v>
      </c>
    </row>
    <row r="1130" customFormat="false" ht="15" hidden="false" customHeight="false" outlineLevel="0" collapsed="false">
      <c r="A1130" s="2" t="s">
        <v>776</v>
      </c>
      <c r="B1130" s="2" t="s">
        <v>352</v>
      </c>
      <c r="C1130" s="2" t="s">
        <v>70</v>
      </c>
      <c r="D1130" s="2" t="s">
        <v>5261</v>
      </c>
      <c r="E1130" s="2" t="s">
        <v>4271</v>
      </c>
      <c r="F1130" s="2" t="s">
        <v>9</v>
      </c>
      <c r="G1130" s="2" t="n">
        <v>282</v>
      </c>
    </row>
    <row r="1131" customFormat="false" ht="15" hidden="false" customHeight="false" outlineLevel="0" collapsed="false">
      <c r="A1131" s="2" t="s">
        <v>776</v>
      </c>
      <c r="B1131" s="2" t="s">
        <v>352</v>
      </c>
      <c r="C1131" s="2" t="s">
        <v>70</v>
      </c>
      <c r="D1131" s="2" t="s">
        <v>5262</v>
      </c>
      <c r="E1131" s="2" t="s">
        <v>4261</v>
      </c>
      <c r="F1131" s="2" t="s">
        <v>9</v>
      </c>
      <c r="G1131" s="2" t="n">
        <v>282</v>
      </c>
    </row>
    <row r="1132" customFormat="false" ht="15" hidden="false" customHeight="false" outlineLevel="0" collapsed="false">
      <c r="A1132" s="2" t="s">
        <v>778</v>
      </c>
      <c r="B1132" s="2" t="s">
        <v>779</v>
      </c>
      <c r="C1132" s="2" t="s">
        <v>70</v>
      </c>
      <c r="D1132" s="2" t="s">
        <v>5263</v>
      </c>
      <c r="E1132" s="2" t="s">
        <v>4261</v>
      </c>
      <c r="F1132" s="2" t="s">
        <v>10</v>
      </c>
      <c r="G1132" s="2" t="n">
        <v>283</v>
      </c>
    </row>
    <row r="1133" customFormat="false" ht="15" hidden="false" customHeight="false" outlineLevel="0" collapsed="false">
      <c r="A1133" s="2" t="s">
        <v>778</v>
      </c>
      <c r="B1133" s="2" t="s">
        <v>779</v>
      </c>
      <c r="C1133" s="2" t="s">
        <v>70</v>
      </c>
      <c r="D1133" s="2" t="s">
        <v>5264</v>
      </c>
      <c r="E1133" s="2" t="s">
        <v>4261</v>
      </c>
      <c r="F1133" s="2" t="s">
        <v>10</v>
      </c>
      <c r="G1133" s="2" t="n">
        <v>283</v>
      </c>
    </row>
    <row r="1134" customFormat="false" ht="15" hidden="false" customHeight="false" outlineLevel="0" collapsed="false">
      <c r="A1134" s="2" t="s">
        <v>778</v>
      </c>
      <c r="B1134" s="2" t="s">
        <v>779</v>
      </c>
      <c r="C1134" s="2" t="s">
        <v>70</v>
      </c>
      <c r="D1134" s="2" t="s">
        <v>5265</v>
      </c>
      <c r="E1134" s="2" t="s">
        <v>4261</v>
      </c>
      <c r="F1134" s="2" t="s">
        <v>10</v>
      </c>
      <c r="G1134" s="2" t="n">
        <v>283</v>
      </c>
    </row>
    <row r="1135" customFormat="false" ht="15" hidden="false" customHeight="false" outlineLevel="0" collapsed="false">
      <c r="A1135" s="2" t="s">
        <v>778</v>
      </c>
      <c r="B1135" s="2" t="s">
        <v>779</v>
      </c>
      <c r="C1135" s="2" t="s">
        <v>70</v>
      </c>
      <c r="D1135" s="2" t="s">
        <v>5266</v>
      </c>
      <c r="E1135" s="2" t="s">
        <v>4271</v>
      </c>
      <c r="F1135" s="2" t="s">
        <v>10</v>
      </c>
      <c r="G1135" s="2" t="n">
        <v>283</v>
      </c>
    </row>
    <row r="1136" customFormat="false" ht="15" hidden="false" customHeight="false" outlineLevel="0" collapsed="false">
      <c r="A1136" s="2" t="s">
        <v>778</v>
      </c>
      <c r="B1136" s="2" t="s">
        <v>779</v>
      </c>
      <c r="C1136" s="2" t="s">
        <v>70</v>
      </c>
      <c r="D1136" s="2" t="s">
        <v>5267</v>
      </c>
      <c r="E1136" s="2" t="s">
        <v>4264</v>
      </c>
      <c r="F1136" s="2" t="s">
        <v>10</v>
      </c>
      <c r="G1136" s="2" t="n">
        <v>283</v>
      </c>
    </row>
    <row r="1137" customFormat="false" ht="15" hidden="false" customHeight="false" outlineLevel="0" collapsed="false">
      <c r="A1137" s="2" t="s">
        <v>778</v>
      </c>
      <c r="B1137" s="2" t="s">
        <v>779</v>
      </c>
      <c r="C1137" s="2" t="s">
        <v>70</v>
      </c>
      <c r="D1137" s="2" t="s">
        <v>5268</v>
      </c>
      <c r="E1137" s="2" t="s">
        <v>4261</v>
      </c>
      <c r="F1137" s="2" t="s">
        <v>10</v>
      </c>
      <c r="G1137" s="2" t="n">
        <v>283</v>
      </c>
    </row>
    <row r="1138" customFormat="false" ht="15" hidden="false" customHeight="false" outlineLevel="0" collapsed="false">
      <c r="A1138" s="2" t="s">
        <v>778</v>
      </c>
      <c r="B1138" s="2" t="s">
        <v>779</v>
      </c>
      <c r="C1138" s="2" t="s">
        <v>70</v>
      </c>
      <c r="D1138" s="2" t="s">
        <v>779</v>
      </c>
      <c r="E1138" s="2" t="s">
        <v>4271</v>
      </c>
      <c r="F1138" s="2" t="s">
        <v>10</v>
      </c>
      <c r="G1138" s="2" t="n">
        <v>283</v>
      </c>
    </row>
    <row r="1139" customFormat="false" ht="15" hidden="false" customHeight="false" outlineLevel="0" collapsed="false">
      <c r="A1139" s="2" t="s">
        <v>778</v>
      </c>
      <c r="B1139" s="2" t="s">
        <v>779</v>
      </c>
      <c r="C1139" s="2" t="s">
        <v>70</v>
      </c>
      <c r="D1139" s="2" t="s">
        <v>5269</v>
      </c>
      <c r="E1139" s="2" t="s">
        <v>4261</v>
      </c>
      <c r="F1139" s="2" t="s">
        <v>10</v>
      </c>
      <c r="G1139" s="2" t="n">
        <v>283</v>
      </c>
    </row>
    <row r="1140" customFormat="false" ht="15" hidden="false" customHeight="false" outlineLevel="0" collapsed="false">
      <c r="A1140" s="2" t="s">
        <v>778</v>
      </c>
      <c r="B1140" s="2" t="s">
        <v>779</v>
      </c>
      <c r="C1140" s="2" t="s">
        <v>70</v>
      </c>
      <c r="D1140" s="2" t="s">
        <v>5270</v>
      </c>
      <c r="E1140" s="2" t="s">
        <v>4261</v>
      </c>
      <c r="F1140" s="2" t="s">
        <v>10</v>
      </c>
      <c r="G1140" s="2" t="n">
        <v>283</v>
      </c>
    </row>
    <row r="1141" customFormat="false" ht="15" hidden="false" customHeight="false" outlineLevel="0" collapsed="false">
      <c r="A1141" s="2" t="s">
        <v>778</v>
      </c>
      <c r="B1141" s="2" t="s">
        <v>779</v>
      </c>
      <c r="C1141" s="2" t="s">
        <v>70</v>
      </c>
      <c r="D1141" s="2" t="s">
        <v>5271</v>
      </c>
      <c r="E1141" s="2" t="s">
        <v>4261</v>
      </c>
      <c r="F1141" s="2" t="s">
        <v>10</v>
      </c>
      <c r="G1141" s="2" t="n">
        <v>283</v>
      </c>
    </row>
    <row r="1142" customFormat="false" ht="15" hidden="false" customHeight="false" outlineLevel="0" collapsed="false">
      <c r="A1142" s="2" t="s">
        <v>778</v>
      </c>
      <c r="B1142" s="2" t="s">
        <v>779</v>
      </c>
      <c r="C1142" s="2" t="s">
        <v>70</v>
      </c>
      <c r="D1142" s="2" t="s">
        <v>4521</v>
      </c>
      <c r="E1142" s="2" t="s">
        <v>4261</v>
      </c>
      <c r="F1142" s="2" t="s">
        <v>10</v>
      </c>
      <c r="G1142" s="2" t="n">
        <v>283</v>
      </c>
    </row>
    <row r="1143" customFormat="false" ht="15" hidden="false" customHeight="false" outlineLevel="0" collapsed="false">
      <c r="A1143" s="2" t="s">
        <v>781</v>
      </c>
      <c r="B1143" s="2" t="s">
        <v>278</v>
      </c>
      <c r="C1143" s="2" t="s">
        <v>70</v>
      </c>
      <c r="D1143" s="2" t="s">
        <v>782</v>
      </c>
      <c r="E1143" s="2" t="s">
        <v>4264</v>
      </c>
      <c r="F1143" s="2" t="s">
        <v>8</v>
      </c>
      <c r="G1143" s="2" t="n">
        <v>284</v>
      </c>
    </row>
    <row r="1144" customFormat="false" ht="15" hidden="false" customHeight="false" outlineLevel="0" collapsed="false">
      <c r="A1144" s="2" t="s">
        <v>783</v>
      </c>
      <c r="B1144" s="2" t="s">
        <v>784</v>
      </c>
      <c r="C1144" s="2" t="s">
        <v>595</v>
      </c>
      <c r="D1144" s="2" t="s">
        <v>5272</v>
      </c>
      <c r="E1144" s="2" t="s">
        <v>4261</v>
      </c>
      <c r="F1144" s="2" t="s">
        <v>8</v>
      </c>
      <c r="G1144" s="2" t="n">
        <v>285</v>
      </c>
    </row>
    <row r="1145" customFormat="false" ht="15" hidden="false" customHeight="false" outlineLevel="0" collapsed="false">
      <c r="A1145" s="2" t="s">
        <v>783</v>
      </c>
      <c r="B1145" s="2" t="s">
        <v>784</v>
      </c>
      <c r="C1145" s="2" t="s">
        <v>595</v>
      </c>
      <c r="D1145" s="2" t="s">
        <v>5273</v>
      </c>
      <c r="E1145" s="2" t="s">
        <v>4261</v>
      </c>
      <c r="F1145" s="2" t="s">
        <v>8</v>
      </c>
      <c r="G1145" s="2" t="n">
        <v>285</v>
      </c>
    </row>
    <row r="1146" customFormat="false" ht="15" hidden="false" customHeight="false" outlineLevel="0" collapsed="false">
      <c r="A1146" s="2" t="s">
        <v>783</v>
      </c>
      <c r="B1146" s="2" t="s">
        <v>784</v>
      </c>
      <c r="C1146" s="2" t="s">
        <v>595</v>
      </c>
      <c r="D1146" s="2" t="s">
        <v>5274</v>
      </c>
      <c r="E1146" s="2" t="s">
        <v>4261</v>
      </c>
      <c r="F1146" s="2" t="s">
        <v>8</v>
      </c>
      <c r="G1146" s="2" t="n">
        <v>285</v>
      </c>
    </row>
    <row r="1147" customFormat="false" ht="15" hidden="false" customHeight="false" outlineLevel="0" collapsed="false">
      <c r="A1147" s="2" t="s">
        <v>783</v>
      </c>
      <c r="B1147" s="2" t="s">
        <v>784</v>
      </c>
      <c r="C1147" s="2" t="s">
        <v>595</v>
      </c>
      <c r="D1147" s="2" t="s">
        <v>5275</v>
      </c>
      <c r="E1147" s="2" t="s">
        <v>4261</v>
      </c>
      <c r="F1147" s="2" t="s">
        <v>8</v>
      </c>
      <c r="G1147" s="2" t="n">
        <v>285</v>
      </c>
    </row>
    <row r="1148" customFormat="false" ht="15" hidden="false" customHeight="false" outlineLevel="0" collapsed="false">
      <c r="A1148" s="2" t="s">
        <v>783</v>
      </c>
      <c r="B1148" s="2" t="s">
        <v>784</v>
      </c>
      <c r="C1148" s="2" t="s">
        <v>595</v>
      </c>
      <c r="D1148" s="2" t="s">
        <v>5276</v>
      </c>
      <c r="E1148" s="2" t="s">
        <v>4261</v>
      </c>
      <c r="F1148" s="2" t="s">
        <v>8</v>
      </c>
      <c r="G1148" s="2" t="n">
        <v>285</v>
      </c>
    </row>
    <row r="1149" customFormat="false" ht="15" hidden="false" customHeight="false" outlineLevel="0" collapsed="false">
      <c r="A1149" s="2" t="s">
        <v>787</v>
      </c>
      <c r="B1149" s="2" t="s">
        <v>788</v>
      </c>
      <c r="C1149" s="2" t="s">
        <v>70</v>
      </c>
      <c r="D1149" s="2" t="s">
        <v>789</v>
      </c>
      <c r="E1149" s="2" t="s">
        <v>4264</v>
      </c>
      <c r="F1149" s="2" t="s">
        <v>9</v>
      </c>
      <c r="G1149" s="2" t="n">
        <v>287</v>
      </c>
    </row>
    <row r="1150" customFormat="false" ht="15" hidden="false" customHeight="false" outlineLevel="0" collapsed="false">
      <c r="A1150" s="2" t="s">
        <v>790</v>
      </c>
      <c r="B1150" s="2" t="s">
        <v>791</v>
      </c>
      <c r="C1150" s="2" t="s">
        <v>273</v>
      </c>
      <c r="D1150" s="2" t="s">
        <v>5277</v>
      </c>
      <c r="E1150" s="2" t="s">
        <v>4271</v>
      </c>
      <c r="F1150" s="2" t="s">
        <v>10</v>
      </c>
      <c r="G1150" s="2" t="n">
        <v>288</v>
      </c>
    </row>
    <row r="1151" customFormat="false" ht="15" hidden="false" customHeight="false" outlineLevel="0" collapsed="false">
      <c r="A1151" s="2" t="s">
        <v>790</v>
      </c>
      <c r="B1151" s="2" t="s">
        <v>791</v>
      </c>
      <c r="C1151" s="2" t="s">
        <v>273</v>
      </c>
      <c r="D1151" s="2" t="s">
        <v>5278</v>
      </c>
      <c r="E1151" s="2" t="s">
        <v>4271</v>
      </c>
      <c r="F1151" s="2" t="s">
        <v>10</v>
      </c>
      <c r="G1151" s="2" t="n">
        <v>288</v>
      </c>
    </row>
    <row r="1152" customFormat="false" ht="15" hidden="false" customHeight="false" outlineLevel="0" collapsed="false">
      <c r="A1152" s="2" t="s">
        <v>790</v>
      </c>
      <c r="B1152" s="2" t="s">
        <v>791</v>
      </c>
      <c r="C1152" s="2" t="s">
        <v>273</v>
      </c>
      <c r="D1152" s="2" t="s">
        <v>1263</v>
      </c>
      <c r="E1152" s="2" t="s">
        <v>4271</v>
      </c>
      <c r="F1152" s="2" t="s">
        <v>10</v>
      </c>
      <c r="G1152" s="2" t="n">
        <v>288</v>
      </c>
    </row>
    <row r="1153" customFormat="false" ht="15" hidden="false" customHeight="false" outlineLevel="0" collapsed="false">
      <c r="A1153" s="2" t="s">
        <v>790</v>
      </c>
      <c r="B1153" s="2" t="s">
        <v>791</v>
      </c>
      <c r="C1153" s="2" t="s">
        <v>273</v>
      </c>
      <c r="D1153" s="2" t="s">
        <v>5279</v>
      </c>
      <c r="E1153" s="2" t="s">
        <v>4271</v>
      </c>
      <c r="F1153" s="2" t="s">
        <v>10</v>
      </c>
      <c r="G1153" s="2" t="n">
        <v>288</v>
      </c>
    </row>
    <row r="1154" customFormat="false" ht="15" hidden="false" customHeight="false" outlineLevel="0" collapsed="false">
      <c r="A1154" s="2" t="s">
        <v>790</v>
      </c>
      <c r="B1154" s="2" t="s">
        <v>791</v>
      </c>
      <c r="C1154" s="2" t="s">
        <v>273</v>
      </c>
      <c r="D1154" s="2" t="s">
        <v>5280</v>
      </c>
      <c r="E1154" s="2" t="s">
        <v>4271</v>
      </c>
      <c r="F1154" s="2" t="s">
        <v>10</v>
      </c>
      <c r="G1154" s="2" t="n">
        <v>288</v>
      </c>
    </row>
    <row r="1155" customFormat="false" ht="15" hidden="false" customHeight="false" outlineLevel="0" collapsed="false">
      <c r="A1155" s="2" t="s">
        <v>793</v>
      </c>
      <c r="B1155" s="2" t="s">
        <v>403</v>
      </c>
      <c r="C1155" s="2" t="s">
        <v>70</v>
      </c>
      <c r="D1155" s="2" t="s">
        <v>5281</v>
      </c>
      <c r="E1155" s="2" t="s">
        <v>4261</v>
      </c>
      <c r="F1155" s="2" t="s">
        <v>8</v>
      </c>
      <c r="G1155" s="2" t="n">
        <v>289</v>
      </c>
    </row>
    <row r="1156" customFormat="false" ht="15" hidden="false" customHeight="false" outlineLevel="0" collapsed="false">
      <c r="A1156" s="2" t="s">
        <v>793</v>
      </c>
      <c r="B1156" s="2" t="s">
        <v>403</v>
      </c>
      <c r="C1156" s="2" t="s">
        <v>70</v>
      </c>
      <c r="D1156" s="2" t="s">
        <v>5282</v>
      </c>
      <c r="E1156" s="2" t="s">
        <v>4261</v>
      </c>
      <c r="F1156" s="2" t="s">
        <v>8</v>
      </c>
      <c r="G1156" s="2" t="n">
        <v>289</v>
      </c>
    </row>
    <row r="1157" customFormat="false" ht="15" hidden="false" customHeight="false" outlineLevel="0" collapsed="false">
      <c r="A1157" s="2" t="s">
        <v>795</v>
      </c>
      <c r="B1157" s="2" t="s">
        <v>386</v>
      </c>
      <c r="C1157" s="2" t="s">
        <v>105</v>
      </c>
      <c r="D1157" s="2" t="s">
        <v>796</v>
      </c>
      <c r="E1157" s="2" t="s">
        <v>4271</v>
      </c>
      <c r="F1157" s="2" t="s">
        <v>8</v>
      </c>
      <c r="G1157" s="2" t="n">
        <v>290</v>
      </c>
    </row>
    <row r="1158" customFormat="false" ht="15" hidden="false" customHeight="false" outlineLevel="0" collapsed="false">
      <c r="A1158" s="2" t="s">
        <v>797</v>
      </c>
      <c r="B1158" s="2" t="s">
        <v>798</v>
      </c>
      <c r="C1158" s="2" t="s">
        <v>70</v>
      </c>
      <c r="D1158" s="2" t="s">
        <v>5283</v>
      </c>
      <c r="E1158" s="2" t="s">
        <v>4261</v>
      </c>
      <c r="F1158" s="2" t="s">
        <v>8</v>
      </c>
      <c r="G1158" s="2" t="n">
        <v>291</v>
      </c>
    </row>
    <row r="1159" customFormat="false" ht="15" hidden="false" customHeight="false" outlineLevel="0" collapsed="false">
      <c r="A1159" s="2" t="s">
        <v>797</v>
      </c>
      <c r="B1159" s="2" t="s">
        <v>798</v>
      </c>
      <c r="C1159" s="2" t="s">
        <v>70</v>
      </c>
      <c r="D1159" s="2" t="s">
        <v>5284</v>
      </c>
      <c r="E1159" s="2" t="s">
        <v>4261</v>
      </c>
      <c r="F1159" s="2" t="s">
        <v>8</v>
      </c>
      <c r="G1159" s="2" t="n">
        <v>291</v>
      </c>
    </row>
    <row r="1160" customFormat="false" ht="15" hidden="false" customHeight="false" outlineLevel="0" collapsed="false">
      <c r="A1160" s="2" t="s">
        <v>797</v>
      </c>
      <c r="B1160" s="2" t="s">
        <v>798</v>
      </c>
      <c r="C1160" s="2" t="s">
        <v>70</v>
      </c>
      <c r="D1160" s="2" t="s">
        <v>5285</v>
      </c>
      <c r="E1160" s="2" t="s">
        <v>4261</v>
      </c>
      <c r="F1160" s="2" t="s">
        <v>8</v>
      </c>
      <c r="G1160" s="2" t="n">
        <v>291</v>
      </c>
    </row>
    <row r="1161" customFormat="false" ht="15" hidden="false" customHeight="false" outlineLevel="0" collapsed="false">
      <c r="A1161" s="2" t="s">
        <v>800</v>
      </c>
      <c r="B1161" s="2" t="s">
        <v>44</v>
      </c>
      <c r="C1161" s="2" t="s">
        <v>44</v>
      </c>
      <c r="D1161" s="2" t="s">
        <v>5286</v>
      </c>
      <c r="E1161" s="2" t="s">
        <v>4271</v>
      </c>
      <c r="F1161" s="2" t="s">
        <v>8</v>
      </c>
      <c r="G1161" s="2" t="n">
        <v>292</v>
      </c>
    </row>
    <row r="1162" customFormat="false" ht="15" hidden="false" customHeight="false" outlineLevel="0" collapsed="false">
      <c r="A1162" s="2" t="s">
        <v>800</v>
      </c>
      <c r="B1162" s="2" t="s">
        <v>44</v>
      </c>
      <c r="C1162" s="2" t="s">
        <v>44</v>
      </c>
      <c r="D1162" s="2" t="s">
        <v>2775</v>
      </c>
      <c r="E1162" s="2" t="s">
        <v>4264</v>
      </c>
      <c r="F1162" s="2" t="s">
        <v>8</v>
      </c>
      <c r="G1162" s="2" t="n">
        <v>292</v>
      </c>
    </row>
    <row r="1163" customFormat="false" ht="15" hidden="false" customHeight="false" outlineLevel="0" collapsed="false">
      <c r="A1163" s="2" t="s">
        <v>800</v>
      </c>
      <c r="B1163" s="2" t="s">
        <v>44</v>
      </c>
      <c r="C1163" s="2" t="s">
        <v>44</v>
      </c>
      <c r="D1163" s="2" t="s">
        <v>5287</v>
      </c>
      <c r="E1163" s="2" t="s">
        <v>4261</v>
      </c>
      <c r="F1163" s="2" t="s">
        <v>8</v>
      </c>
      <c r="G1163" s="2" t="n">
        <v>292</v>
      </c>
    </row>
    <row r="1164" customFormat="false" ht="15" hidden="false" customHeight="false" outlineLevel="0" collapsed="false">
      <c r="A1164" s="2" t="s">
        <v>800</v>
      </c>
      <c r="B1164" s="2" t="s">
        <v>44</v>
      </c>
      <c r="C1164" s="2" t="s">
        <v>44</v>
      </c>
      <c r="D1164" s="2" t="s">
        <v>5288</v>
      </c>
      <c r="E1164" s="2" t="s">
        <v>4261</v>
      </c>
      <c r="F1164" s="2" t="s">
        <v>8</v>
      </c>
      <c r="G1164" s="2" t="n">
        <v>292</v>
      </c>
    </row>
    <row r="1165" customFormat="false" ht="15" hidden="false" customHeight="false" outlineLevel="0" collapsed="false">
      <c r="A1165" s="2" t="s">
        <v>800</v>
      </c>
      <c r="B1165" s="2" t="s">
        <v>44</v>
      </c>
      <c r="C1165" s="2" t="s">
        <v>44</v>
      </c>
      <c r="D1165" s="2" t="s">
        <v>5289</v>
      </c>
      <c r="E1165" s="2" t="s">
        <v>4271</v>
      </c>
      <c r="F1165" s="2" t="s">
        <v>8</v>
      </c>
      <c r="G1165" s="2" t="n">
        <v>292</v>
      </c>
    </row>
    <row r="1166" customFormat="false" ht="15" hidden="false" customHeight="false" outlineLevel="0" collapsed="false">
      <c r="A1166" s="2" t="s">
        <v>800</v>
      </c>
      <c r="B1166" s="2" t="s">
        <v>44</v>
      </c>
      <c r="C1166" s="2" t="s">
        <v>44</v>
      </c>
      <c r="D1166" s="2" t="s">
        <v>5290</v>
      </c>
      <c r="E1166" s="2" t="s">
        <v>4271</v>
      </c>
      <c r="F1166" s="2" t="s">
        <v>8</v>
      </c>
      <c r="G1166" s="2" t="n">
        <v>292</v>
      </c>
    </row>
    <row r="1167" customFormat="false" ht="15" hidden="false" customHeight="false" outlineLevel="0" collapsed="false">
      <c r="A1167" s="2" t="s">
        <v>800</v>
      </c>
      <c r="B1167" s="2" t="s">
        <v>44</v>
      </c>
      <c r="C1167" s="2" t="s">
        <v>44</v>
      </c>
      <c r="D1167" s="2" t="s">
        <v>1263</v>
      </c>
      <c r="E1167" s="2" t="s">
        <v>4271</v>
      </c>
      <c r="F1167" s="2" t="s">
        <v>8</v>
      </c>
      <c r="G1167" s="2" t="n">
        <v>292</v>
      </c>
    </row>
    <row r="1168" customFormat="false" ht="15" hidden="false" customHeight="false" outlineLevel="0" collapsed="false">
      <c r="A1168" s="2" t="s">
        <v>800</v>
      </c>
      <c r="B1168" s="2" t="s">
        <v>44</v>
      </c>
      <c r="C1168" s="2" t="s">
        <v>44</v>
      </c>
      <c r="D1168" s="2" t="s">
        <v>5291</v>
      </c>
      <c r="E1168" s="2" t="s">
        <v>4261</v>
      </c>
      <c r="F1168" s="2" t="s">
        <v>8</v>
      </c>
      <c r="G1168" s="2" t="n">
        <v>292</v>
      </c>
    </row>
    <row r="1169" customFormat="false" ht="15" hidden="false" customHeight="false" outlineLevel="0" collapsed="false">
      <c r="A1169" s="2" t="s">
        <v>800</v>
      </c>
      <c r="B1169" s="2" t="s">
        <v>44</v>
      </c>
      <c r="C1169" s="2" t="s">
        <v>44</v>
      </c>
      <c r="D1169" s="2" t="s">
        <v>5292</v>
      </c>
      <c r="E1169" s="2" t="s">
        <v>4264</v>
      </c>
      <c r="F1169" s="2" t="s">
        <v>8</v>
      </c>
      <c r="G1169" s="2" t="n">
        <v>292</v>
      </c>
    </row>
    <row r="1170" customFormat="false" ht="15" hidden="false" customHeight="false" outlineLevel="0" collapsed="false">
      <c r="A1170" s="2" t="s">
        <v>800</v>
      </c>
      <c r="B1170" s="2" t="s">
        <v>44</v>
      </c>
      <c r="C1170" s="2" t="s">
        <v>44</v>
      </c>
      <c r="D1170" s="2" t="s">
        <v>5293</v>
      </c>
      <c r="E1170" s="2" t="s">
        <v>4264</v>
      </c>
      <c r="F1170" s="2" t="s">
        <v>8</v>
      </c>
      <c r="G1170" s="2" t="n">
        <v>292</v>
      </c>
    </row>
    <row r="1171" customFormat="false" ht="15" hidden="false" customHeight="false" outlineLevel="0" collapsed="false">
      <c r="A1171" s="2" t="s">
        <v>800</v>
      </c>
      <c r="B1171" s="2" t="s">
        <v>44</v>
      </c>
      <c r="C1171" s="2" t="s">
        <v>44</v>
      </c>
      <c r="D1171" s="2" t="s">
        <v>5294</v>
      </c>
      <c r="E1171" s="2" t="s">
        <v>4264</v>
      </c>
      <c r="F1171" s="2" t="s">
        <v>8</v>
      </c>
      <c r="G1171" s="2" t="n">
        <v>292</v>
      </c>
    </row>
    <row r="1172" customFormat="false" ht="15" hidden="false" customHeight="false" outlineLevel="0" collapsed="false">
      <c r="A1172" s="2" t="s">
        <v>800</v>
      </c>
      <c r="B1172" s="2" t="s">
        <v>44</v>
      </c>
      <c r="C1172" s="2" t="s">
        <v>44</v>
      </c>
      <c r="D1172" s="2" t="s">
        <v>5295</v>
      </c>
      <c r="E1172" s="2" t="s">
        <v>4264</v>
      </c>
      <c r="F1172" s="2" t="s">
        <v>8</v>
      </c>
      <c r="G1172" s="2" t="n">
        <v>292</v>
      </c>
    </row>
    <row r="1173" customFormat="false" ht="15" hidden="false" customHeight="false" outlineLevel="0" collapsed="false">
      <c r="A1173" s="2" t="s">
        <v>802</v>
      </c>
      <c r="B1173" s="2" t="s">
        <v>791</v>
      </c>
      <c r="C1173" s="2" t="s">
        <v>273</v>
      </c>
      <c r="D1173" s="2" t="s">
        <v>5296</v>
      </c>
      <c r="E1173" s="2" t="s">
        <v>4261</v>
      </c>
      <c r="F1173" s="2" t="s">
        <v>10</v>
      </c>
      <c r="G1173" s="2" t="n">
        <v>293</v>
      </c>
    </row>
    <row r="1174" customFormat="false" ht="15" hidden="false" customHeight="false" outlineLevel="0" collapsed="false">
      <c r="A1174" s="2" t="s">
        <v>802</v>
      </c>
      <c r="B1174" s="2" t="s">
        <v>791</v>
      </c>
      <c r="C1174" s="2" t="s">
        <v>273</v>
      </c>
      <c r="D1174" s="2" t="s">
        <v>5297</v>
      </c>
      <c r="E1174" s="2" t="s">
        <v>4264</v>
      </c>
      <c r="F1174" s="2" t="s">
        <v>10</v>
      </c>
      <c r="G1174" s="2" t="n">
        <v>293</v>
      </c>
    </row>
    <row r="1175" customFormat="false" ht="15" hidden="false" customHeight="false" outlineLevel="0" collapsed="false">
      <c r="A1175" s="2" t="s">
        <v>802</v>
      </c>
      <c r="B1175" s="2" t="s">
        <v>791</v>
      </c>
      <c r="C1175" s="2" t="s">
        <v>273</v>
      </c>
      <c r="D1175" s="2" t="s">
        <v>5298</v>
      </c>
      <c r="E1175" s="2" t="s">
        <v>4271</v>
      </c>
      <c r="F1175" s="2" t="s">
        <v>10</v>
      </c>
      <c r="G1175" s="2" t="n">
        <v>293</v>
      </c>
    </row>
    <row r="1176" customFormat="false" ht="15" hidden="false" customHeight="false" outlineLevel="0" collapsed="false">
      <c r="A1176" s="2" t="s">
        <v>804</v>
      </c>
      <c r="B1176" s="2" t="s">
        <v>70</v>
      </c>
      <c r="C1176" s="2" t="s">
        <v>70</v>
      </c>
      <c r="D1176" s="2" t="s">
        <v>5299</v>
      </c>
      <c r="E1176" s="2" t="s">
        <v>4264</v>
      </c>
      <c r="F1176" s="2" t="s">
        <v>8</v>
      </c>
      <c r="G1176" s="2" t="n">
        <v>294</v>
      </c>
    </row>
    <row r="1177" customFormat="false" ht="15" hidden="false" customHeight="false" outlineLevel="0" collapsed="false">
      <c r="A1177" s="2" t="s">
        <v>804</v>
      </c>
      <c r="B1177" s="2" t="s">
        <v>70</v>
      </c>
      <c r="C1177" s="2" t="s">
        <v>70</v>
      </c>
      <c r="D1177" s="2" t="s">
        <v>5300</v>
      </c>
      <c r="E1177" s="2" t="s">
        <v>4261</v>
      </c>
      <c r="F1177" s="2" t="s">
        <v>8</v>
      </c>
      <c r="G1177" s="2" t="n">
        <v>294</v>
      </c>
    </row>
    <row r="1178" customFormat="false" ht="15" hidden="false" customHeight="false" outlineLevel="0" collapsed="false">
      <c r="A1178" s="2" t="s">
        <v>804</v>
      </c>
      <c r="B1178" s="2" t="s">
        <v>70</v>
      </c>
      <c r="C1178" s="2" t="s">
        <v>70</v>
      </c>
      <c r="D1178" s="2" t="s">
        <v>5301</v>
      </c>
      <c r="E1178" s="2" t="s">
        <v>4261</v>
      </c>
      <c r="F1178" s="2" t="s">
        <v>8</v>
      </c>
      <c r="G1178" s="2" t="n">
        <v>294</v>
      </c>
    </row>
    <row r="1179" customFormat="false" ht="15" hidden="false" customHeight="false" outlineLevel="0" collapsed="false">
      <c r="A1179" s="2" t="s">
        <v>804</v>
      </c>
      <c r="B1179" s="2" t="s">
        <v>70</v>
      </c>
      <c r="C1179" s="2" t="s">
        <v>70</v>
      </c>
      <c r="D1179" s="2" t="s">
        <v>5302</v>
      </c>
      <c r="E1179" s="2" t="s">
        <v>4261</v>
      </c>
      <c r="F1179" s="2" t="s">
        <v>8</v>
      </c>
      <c r="G1179" s="2" t="n">
        <v>294</v>
      </c>
    </row>
    <row r="1180" customFormat="false" ht="15" hidden="false" customHeight="false" outlineLevel="0" collapsed="false">
      <c r="A1180" s="2" t="s">
        <v>804</v>
      </c>
      <c r="B1180" s="2" t="s">
        <v>70</v>
      </c>
      <c r="C1180" s="2" t="s">
        <v>70</v>
      </c>
      <c r="D1180" s="2" t="s">
        <v>5303</v>
      </c>
      <c r="E1180" s="2" t="s">
        <v>4264</v>
      </c>
      <c r="F1180" s="2" t="s">
        <v>8</v>
      </c>
      <c r="G1180" s="2" t="n">
        <v>294</v>
      </c>
    </row>
    <row r="1181" customFormat="false" ht="15" hidden="false" customHeight="false" outlineLevel="0" collapsed="false">
      <c r="A1181" s="2" t="s">
        <v>806</v>
      </c>
      <c r="B1181" s="2" t="s">
        <v>91</v>
      </c>
      <c r="C1181" s="2" t="s">
        <v>44</v>
      </c>
      <c r="D1181" s="2" t="s">
        <v>5304</v>
      </c>
      <c r="E1181" s="2" t="s">
        <v>4261</v>
      </c>
      <c r="F1181" s="2" t="s">
        <v>8</v>
      </c>
      <c r="G1181" s="2" t="n">
        <v>295</v>
      </c>
    </row>
    <row r="1182" customFormat="false" ht="15" hidden="false" customHeight="false" outlineLevel="0" collapsed="false">
      <c r="A1182" s="2" t="s">
        <v>806</v>
      </c>
      <c r="B1182" s="2" t="s">
        <v>91</v>
      </c>
      <c r="C1182" s="2" t="s">
        <v>44</v>
      </c>
      <c r="D1182" s="2" t="s">
        <v>5305</v>
      </c>
      <c r="E1182" s="2" t="s">
        <v>4261</v>
      </c>
      <c r="F1182" s="2" t="s">
        <v>8</v>
      </c>
      <c r="G1182" s="2" t="n">
        <v>295</v>
      </c>
    </row>
    <row r="1183" customFormat="false" ht="15" hidden="false" customHeight="false" outlineLevel="0" collapsed="false">
      <c r="A1183" s="2" t="s">
        <v>806</v>
      </c>
      <c r="B1183" s="2" t="s">
        <v>91</v>
      </c>
      <c r="C1183" s="2" t="s">
        <v>44</v>
      </c>
      <c r="D1183" s="2" t="s">
        <v>5306</v>
      </c>
      <c r="E1183" s="2" t="s">
        <v>4261</v>
      </c>
      <c r="F1183" s="2" t="s">
        <v>8</v>
      </c>
      <c r="G1183" s="2" t="n">
        <v>295</v>
      </c>
    </row>
    <row r="1184" customFormat="false" ht="15" hidden="false" customHeight="false" outlineLevel="0" collapsed="false">
      <c r="A1184" s="2" t="s">
        <v>806</v>
      </c>
      <c r="B1184" s="2" t="s">
        <v>91</v>
      </c>
      <c r="C1184" s="2" t="s">
        <v>44</v>
      </c>
      <c r="D1184" s="2" t="s">
        <v>5307</v>
      </c>
      <c r="E1184" s="2" t="s">
        <v>4264</v>
      </c>
      <c r="F1184" s="2" t="s">
        <v>8</v>
      </c>
      <c r="G1184" s="2" t="n">
        <v>295</v>
      </c>
    </row>
    <row r="1185" customFormat="false" ht="15" hidden="false" customHeight="false" outlineLevel="0" collapsed="false">
      <c r="A1185" s="2" t="s">
        <v>806</v>
      </c>
      <c r="B1185" s="2" t="s">
        <v>91</v>
      </c>
      <c r="C1185" s="2" t="s">
        <v>44</v>
      </c>
      <c r="D1185" s="2" t="s">
        <v>5308</v>
      </c>
      <c r="E1185" s="2" t="s">
        <v>4261</v>
      </c>
      <c r="F1185" s="2" t="s">
        <v>8</v>
      </c>
      <c r="G1185" s="2" t="n">
        <v>295</v>
      </c>
    </row>
    <row r="1186" customFormat="false" ht="15" hidden="false" customHeight="false" outlineLevel="0" collapsed="false">
      <c r="A1186" s="2" t="s">
        <v>806</v>
      </c>
      <c r="B1186" s="2" t="s">
        <v>91</v>
      </c>
      <c r="C1186" s="2" t="s">
        <v>44</v>
      </c>
      <c r="D1186" s="2" t="s">
        <v>5309</v>
      </c>
      <c r="E1186" s="2" t="s">
        <v>4261</v>
      </c>
      <c r="F1186" s="2" t="s">
        <v>8</v>
      </c>
      <c r="G1186" s="2" t="n">
        <v>295</v>
      </c>
    </row>
    <row r="1187" customFormat="false" ht="15" hidden="false" customHeight="false" outlineLevel="0" collapsed="false">
      <c r="A1187" s="2" t="s">
        <v>806</v>
      </c>
      <c r="B1187" s="2" t="s">
        <v>91</v>
      </c>
      <c r="C1187" s="2" t="s">
        <v>44</v>
      </c>
      <c r="D1187" s="2" t="s">
        <v>2773</v>
      </c>
      <c r="E1187" s="2" t="s">
        <v>4261</v>
      </c>
      <c r="F1187" s="2" t="s">
        <v>8</v>
      </c>
      <c r="G1187" s="2" t="n">
        <v>295</v>
      </c>
    </row>
    <row r="1188" customFormat="false" ht="15" hidden="false" customHeight="false" outlineLevel="0" collapsed="false">
      <c r="A1188" s="2" t="s">
        <v>806</v>
      </c>
      <c r="B1188" s="2" t="s">
        <v>91</v>
      </c>
      <c r="C1188" s="2" t="s">
        <v>44</v>
      </c>
      <c r="D1188" s="2" t="s">
        <v>5310</v>
      </c>
      <c r="E1188" s="2" t="s">
        <v>4261</v>
      </c>
      <c r="F1188" s="2" t="s">
        <v>8</v>
      </c>
      <c r="G1188" s="2" t="n">
        <v>295</v>
      </c>
    </row>
    <row r="1189" customFormat="false" ht="15" hidden="false" customHeight="false" outlineLevel="0" collapsed="false">
      <c r="A1189" s="2" t="s">
        <v>806</v>
      </c>
      <c r="B1189" s="2" t="s">
        <v>91</v>
      </c>
      <c r="C1189" s="2" t="s">
        <v>44</v>
      </c>
      <c r="D1189" s="2" t="s">
        <v>5311</v>
      </c>
      <c r="E1189" s="2" t="s">
        <v>4264</v>
      </c>
      <c r="F1189" s="2" t="s">
        <v>8</v>
      </c>
      <c r="G1189" s="2" t="n">
        <v>295</v>
      </c>
    </row>
    <row r="1190" customFormat="false" ht="15" hidden="false" customHeight="false" outlineLevel="0" collapsed="false">
      <c r="A1190" s="2" t="s">
        <v>806</v>
      </c>
      <c r="B1190" s="2" t="s">
        <v>91</v>
      </c>
      <c r="C1190" s="2" t="s">
        <v>44</v>
      </c>
      <c r="D1190" s="2" t="s">
        <v>5312</v>
      </c>
      <c r="E1190" s="2" t="s">
        <v>4261</v>
      </c>
      <c r="F1190" s="2" t="s">
        <v>8</v>
      </c>
      <c r="G1190" s="2" t="n">
        <v>295</v>
      </c>
    </row>
    <row r="1191" customFormat="false" ht="15" hidden="false" customHeight="false" outlineLevel="0" collapsed="false">
      <c r="A1191" s="2" t="s">
        <v>806</v>
      </c>
      <c r="B1191" s="2" t="s">
        <v>91</v>
      </c>
      <c r="C1191" s="2" t="s">
        <v>44</v>
      </c>
      <c r="D1191" s="2" t="s">
        <v>5313</v>
      </c>
      <c r="E1191" s="2" t="s">
        <v>4261</v>
      </c>
      <c r="F1191" s="2" t="s">
        <v>8</v>
      </c>
      <c r="G1191" s="2" t="n">
        <v>295</v>
      </c>
    </row>
    <row r="1192" customFormat="false" ht="15" hidden="false" customHeight="false" outlineLevel="0" collapsed="false">
      <c r="A1192" s="2" t="s">
        <v>806</v>
      </c>
      <c r="B1192" s="2" t="s">
        <v>91</v>
      </c>
      <c r="C1192" s="2" t="s">
        <v>44</v>
      </c>
      <c r="D1192" s="2" t="s">
        <v>5314</v>
      </c>
      <c r="E1192" s="2" t="s">
        <v>4261</v>
      </c>
      <c r="F1192" s="2" t="s">
        <v>8</v>
      </c>
      <c r="G1192" s="2" t="n">
        <v>295</v>
      </c>
    </row>
    <row r="1193" customFormat="false" ht="15" hidden="false" customHeight="false" outlineLevel="0" collapsed="false">
      <c r="A1193" s="2" t="s">
        <v>806</v>
      </c>
      <c r="B1193" s="2" t="s">
        <v>91</v>
      </c>
      <c r="C1193" s="2" t="s">
        <v>44</v>
      </c>
      <c r="D1193" s="2" t="s">
        <v>5315</v>
      </c>
      <c r="E1193" s="2" t="s">
        <v>4261</v>
      </c>
      <c r="F1193" s="2" t="s">
        <v>8</v>
      </c>
      <c r="G1193" s="2" t="n">
        <v>295</v>
      </c>
    </row>
    <row r="1194" customFormat="false" ht="15" hidden="false" customHeight="false" outlineLevel="0" collapsed="false">
      <c r="A1194" s="2" t="s">
        <v>806</v>
      </c>
      <c r="B1194" s="2" t="s">
        <v>91</v>
      </c>
      <c r="C1194" s="2" t="s">
        <v>44</v>
      </c>
      <c r="D1194" s="2" t="s">
        <v>5316</v>
      </c>
      <c r="E1194" s="2" t="s">
        <v>4261</v>
      </c>
      <c r="F1194" s="2" t="s">
        <v>8</v>
      </c>
      <c r="G1194" s="2" t="n">
        <v>295</v>
      </c>
    </row>
    <row r="1195" customFormat="false" ht="15" hidden="false" customHeight="false" outlineLevel="0" collapsed="false">
      <c r="A1195" s="2" t="s">
        <v>806</v>
      </c>
      <c r="B1195" s="2" t="s">
        <v>91</v>
      </c>
      <c r="C1195" s="2" t="s">
        <v>44</v>
      </c>
      <c r="D1195" s="2" t="s">
        <v>5317</v>
      </c>
      <c r="E1195" s="2" t="s">
        <v>4264</v>
      </c>
      <c r="F1195" s="2" t="s">
        <v>8</v>
      </c>
      <c r="G1195" s="2" t="n">
        <v>295</v>
      </c>
    </row>
    <row r="1196" customFormat="false" ht="15" hidden="false" customHeight="false" outlineLevel="0" collapsed="false">
      <c r="A1196" s="2" t="s">
        <v>806</v>
      </c>
      <c r="B1196" s="2" t="s">
        <v>91</v>
      </c>
      <c r="C1196" s="2" t="s">
        <v>44</v>
      </c>
      <c r="D1196" s="2" t="s">
        <v>5318</v>
      </c>
      <c r="E1196" s="2" t="s">
        <v>4261</v>
      </c>
      <c r="F1196" s="2" t="s">
        <v>8</v>
      </c>
      <c r="G1196" s="2" t="n">
        <v>295</v>
      </c>
    </row>
    <row r="1197" customFormat="false" ht="15" hidden="false" customHeight="false" outlineLevel="0" collapsed="false">
      <c r="A1197" s="2" t="s">
        <v>806</v>
      </c>
      <c r="B1197" s="2" t="s">
        <v>91</v>
      </c>
      <c r="C1197" s="2" t="s">
        <v>44</v>
      </c>
      <c r="D1197" s="2" t="s">
        <v>5319</v>
      </c>
      <c r="E1197" s="2" t="s">
        <v>4261</v>
      </c>
      <c r="F1197" s="2" t="s">
        <v>8</v>
      </c>
      <c r="G1197" s="2" t="n">
        <v>295</v>
      </c>
    </row>
    <row r="1198" customFormat="false" ht="15" hidden="false" customHeight="false" outlineLevel="0" collapsed="false">
      <c r="A1198" s="2" t="s">
        <v>806</v>
      </c>
      <c r="B1198" s="2" t="s">
        <v>91</v>
      </c>
      <c r="C1198" s="2" t="s">
        <v>44</v>
      </c>
      <c r="D1198" s="2" t="s">
        <v>5320</v>
      </c>
      <c r="E1198" s="2" t="s">
        <v>4261</v>
      </c>
      <c r="F1198" s="2" t="s">
        <v>8</v>
      </c>
      <c r="G1198" s="2" t="n">
        <v>295</v>
      </c>
    </row>
    <row r="1199" customFormat="false" ht="15" hidden="false" customHeight="false" outlineLevel="0" collapsed="false">
      <c r="A1199" s="2" t="s">
        <v>806</v>
      </c>
      <c r="B1199" s="2" t="s">
        <v>91</v>
      </c>
      <c r="C1199" s="2" t="s">
        <v>44</v>
      </c>
      <c r="D1199" s="2" t="s">
        <v>5321</v>
      </c>
      <c r="E1199" s="2" t="s">
        <v>4261</v>
      </c>
      <c r="F1199" s="2" t="s">
        <v>8</v>
      </c>
      <c r="G1199" s="2" t="n">
        <v>295</v>
      </c>
    </row>
    <row r="1200" customFormat="false" ht="15" hidden="false" customHeight="false" outlineLevel="0" collapsed="false">
      <c r="A1200" s="2" t="s">
        <v>808</v>
      </c>
      <c r="B1200" s="2" t="s">
        <v>809</v>
      </c>
      <c r="C1200" s="2" t="s">
        <v>44</v>
      </c>
      <c r="D1200" s="2" t="s">
        <v>5322</v>
      </c>
      <c r="E1200" s="2" t="s">
        <v>4264</v>
      </c>
      <c r="F1200" s="2" t="s">
        <v>8</v>
      </c>
      <c r="G1200" s="2" t="n">
        <v>296</v>
      </c>
    </row>
    <row r="1201" customFormat="false" ht="15" hidden="false" customHeight="false" outlineLevel="0" collapsed="false">
      <c r="A1201" s="2" t="s">
        <v>808</v>
      </c>
      <c r="B1201" s="2" t="s">
        <v>809</v>
      </c>
      <c r="C1201" s="2" t="s">
        <v>44</v>
      </c>
      <c r="D1201" s="2" t="s">
        <v>5323</v>
      </c>
      <c r="E1201" s="2" t="s">
        <v>4264</v>
      </c>
      <c r="F1201" s="2" t="s">
        <v>8</v>
      </c>
      <c r="G1201" s="2" t="n">
        <v>296</v>
      </c>
    </row>
    <row r="1202" customFormat="false" ht="15" hidden="false" customHeight="false" outlineLevel="0" collapsed="false">
      <c r="A1202" s="2" t="s">
        <v>808</v>
      </c>
      <c r="B1202" s="2" t="s">
        <v>809</v>
      </c>
      <c r="C1202" s="2" t="s">
        <v>44</v>
      </c>
      <c r="D1202" s="2" t="s">
        <v>5324</v>
      </c>
      <c r="E1202" s="2" t="s">
        <v>4261</v>
      </c>
      <c r="F1202" s="2" t="s">
        <v>8</v>
      </c>
      <c r="G1202" s="2" t="n">
        <v>296</v>
      </c>
    </row>
    <row r="1203" customFormat="false" ht="15" hidden="false" customHeight="false" outlineLevel="0" collapsed="false">
      <c r="A1203" s="2" t="s">
        <v>808</v>
      </c>
      <c r="B1203" s="2" t="s">
        <v>809</v>
      </c>
      <c r="C1203" s="2" t="s">
        <v>44</v>
      </c>
      <c r="D1203" s="2" t="s">
        <v>5325</v>
      </c>
      <c r="E1203" s="2" t="s">
        <v>4271</v>
      </c>
      <c r="F1203" s="2" t="s">
        <v>8</v>
      </c>
      <c r="G1203" s="2" t="n">
        <v>296</v>
      </c>
    </row>
    <row r="1204" customFormat="false" ht="15" hidden="false" customHeight="false" outlineLevel="0" collapsed="false">
      <c r="A1204" s="2" t="s">
        <v>808</v>
      </c>
      <c r="B1204" s="2" t="s">
        <v>809</v>
      </c>
      <c r="C1204" s="2" t="s">
        <v>44</v>
      </c>
      <c r="D1204" s="2" t="s">
        <v>5326</v>
      </c>
      <c r="E1204" s="2" t="s">
        <v>4261</v>
      </c>
      <c r="F1204" s="2" t="s">
        <v>8</v>
      </c>
      <c r="G1204" s="2" t="n">
        <v>296</v>
      </c>
    </row>
    <row r="1205" customFormat="false" ht="15" hidden="false" customHeight="false" outlineLevel="0" collapsed="false">
      <c r="A1205" s="2" t="s">
        <v>808</v>
      </c>
      <c r="B1205" s="2" t="s">
        <v>809</v>
      </c>
      <c r="C1205" s="2" t="s">
        <v>44</v>
      </c>
      <c r="D1205" s="2" t="s">
        <v>5327</v>
      </c>
      <c r="E1205" s="2" t="s">
        <v>4261</v>
      </c>
      <c r="F1205" s="2" t="s">
        <v>8</v>
      </c>
      <c r="G1205" s="2" t="n">
        <v>296</v>
      </c>
    </row>
    <row r="1206" customFormat="false" ht="15" hidden="false" customHeight="false" outlineLevel="0" collapsed="false">
      <c r="A1206" s="2" t="s">
        <v>808</v>
      </c>
      <c r="B1206" s="2" t="s">
        <v>809</v>
      </c>
      <c r="C1206" s="2" t="s">
        <v>44</v>
      </c>
      <c r="D1206" s="2" t="s">
        <v>5328</v>
      </c>
      <c r="E1206" s="2" t="s">
        <v>4261</v>
      </c>
      <c r="F1206" s="2" t="s">
        <v>8</v>
      </c>
      <c r="G1206" s="2" t="n">
        <v>296</v>
      </c>
    </row>
    <row r="1207" customFormat="false" ht="15" hidden="false" customHeight="false" outlineLevel="0" collapsed="false">
      <c r="A1207" s="2" t="s">
        <v>808</v>
      </c>
      <c r="B1207" s="2" t="s">
        <v>809</v>
      </c>
      <c r="C1207" s="2" t="s">
        <v>44</v>
      </c>
      <c r="D1207" s="2" t="s">
        <v>5329</v>
      </c>
      <c r="E1207" s="2" t="s">
        <v>4264</v>
      </c>
      <c r="F1207" s="2" t="s">
        <v>8</v>
      </c>
      <c r="G1207" s="2" t="n">
        <v>296</v>
      </c>
    </row>
    <row r="1208" customFormat="false" ht="15" hidden="false" customHeight="false" outlineLevel="0" collapsed="false">
      <c r="A1208" s="2" t="s">
        <v>808</v>
      </c>
      <c r="B1208" s="2" t="s">
        <v>809</v>
      </c>
      <c r="C1208" s="2" t="s">
        <v>44</v>
      </c>
      <c r="D1208" s="2" t="s">
        <v>5330</v>
      </c>
      <c r="E1208" s="2" t="s">
        <v>4264</v>
      </c>
      <c r="F1208" s="2" t="s">
        <v>8</v>
      </c>
      <c r="G1208" s="2" t="n">
        <v>296</v>
      </c>
    </row>
    <row r="1209" customFormat="false" ht="15" hidden="false" customHeight="false" outlineLevel="0" collapsed="false">
      <c r="A1209" s="2" t="s">
        <v>811</v>
      </c>
      <c r="B1209" s="2" t="s">
        <v>38</v>
      </c>
      <c r="C1209" s="2" t="s">
        <v>39</v>
      </c>
      <c r="D1209" s="2" t="s">
        <v>812</v>
      </c>
      <c r="E1209" s="2" t="s">
        <v>4271</v>
      </c>
      <c r="F1209" s="2" t="s">
        <v>8</v>
      </c>
      <c r="G1209" s="2" t="n">
        <v>297</v>
      </c>
    </row>
    <row r="1210" customFormat="false" ht="15" hidden="false" customHeight="false" outlineLevel="0" collapsed="false">
      <c r="A1210" s="2" t="s">
        <v>813</v>
      </c>
      <c r="B1210" s="2" t="s">
        <v>814</v>
      </c>
      <c r="C1210" s="2" t="s">
        <v>70</v>
      </c>
      <c r="D1210" s="2" t="s">
        <v>5331</v>
      </c>
      <c r="E1210" s="2" t="s">
        <v>4261</v>
      </c>
      <c r="F1210" s="2" t="s">
        <v>9</v>
      </c>
      <c r="G1210" s="2" t="n">
        <v>298</v>
      </c>
    </row>
    <row r="1211" customFormat="false" ht="15" hidden="false" customHeight="false" outlineLevel="0" collapsed="false">
      <c r="A1211" s="2" t="s">
        <v>813</v>
      </c>
      <c r="B1211" s="2" t="s">
        <v>814</v>
      </c>
      <c r="C1211" s="2" t="s">
        <v>70</v>
      </c>
      <c r="D1211" s="2" t="s">
        <v>5081</v>
      </c>
      <c r="E1211" s="2" t="s">
        <v>4261</v>
      </c>
      <c r="F1211" s="2" t="s">
        <v>9</v>
      </c>
      <c r="G1211" s="2" t="n">
        <v>298</v>
      </c>
    </row>
    <row r="1212" customFormat="false" ht="15" hidden="false" customHeight="false" outlineLevel="0" collapsed="false">
      <c r="A1212" s="2" t="s">
        <v>813</v>
      </c>
      <c r="B1212" s="2" t="s">
        <v>814</v>
      </c>
      <c r="C1212" s="2" t="s">
        <v>70</v>
      </c>
      <c r="D1212" s="2" t="s">
        <v>5332</v>
      </c>
      <c r="E1212" s="2" t="s">
        <v>4264</v>
      </c>
      <c r="F1212" s="2" t="s">
        <v>9</v>
      </c>
      <c r="G1212" s="2" t="n">
        <v>298</v>
      </c>
    </row>
    <row r="1213" customFormat="false" ht="15" hidden="false" customHeight="false" outlineLevel="0" collapsed="false">
      <c r="A1213" s="2" t="s">
        <v>813</v>
      </c>
      <c r="B1213" s="2" t="s">
        <v>814</v>
      </c>
      <c r="C1213" s="2" t="s">
        <v>70</v>
      </c>
      <c r="D1213" s="2" t="s">
        <v>814</v>
      </c>
      <c r="E1213" s="2" t="s">
        <v>4271</v>
      </c>
      <c r="F1213" s="2" t="s">
        <v>9</v>
      </c>
      <c r="G1213" s="2" t="n">
        <v>298</v>
      </c>
    </row>
    <row r="1214" customFormat="false" ht="15" hidden="false" customHeight="false" outlineLevel="0" collapsed="false">
      <c r="A1214" s="2" t="s">
        <v>813</v>
      </c>
      <c r="B1214" s="2" t="s">
        <v>814</v>
      </c>
      <c r="C1214" s="2" t="s">
        <v>70</v>
      </c>
      <c r="D1214" s="2" t="s">
        <v>5333</v>
      </c>
      <c r="E1214" s="2" t="s">
        <v>4264</v>
      </c>
      <c r="F1214" s="2" t="s">
        <v>9</v>
      </c>
      <c r="G1214" s="2" t="n">
        <v>298</v>
      </c>
    </row>
    <row r="1215" customFormat="false" ht="15" hidden="false" customHeight="false" outlineLevel="0" collapsed="false">
      <c r="A1215" s="2" t="s">
        <v>826</v>
      </c>
      <c r="B1215" s="2" t="s">
        <v>827</v>
      </c>
      <c r="C1215" s="2" t="s">
        <v>95</v>
      </c>
      <c r="D1215" s="2" t="s">
        <v>828</v>
      </c>
      <c r="E1215" s="2" t="s">
        <v>4261</v>
      </c>
      <c r="F1215" s="2" t="s">
        <v>9</v>
      </c>
      <c r="G1215" s="2" t="n">
        <v>302</v>
      </c>
    </row>
    <row r="1216" customFormat="false" ht="15" hidden="false" customHeight="false" outlineLevel="0" collapsed="false">
      <c r="A1216" s="2" t="s">
        <v>829</v>
      </c>
      <c r="B1216" s="2" t="s">
        <v>38</v>
      </c>
      <c r="C1216" s="2" t="s">
        <v>39</v>
      </c>
      <c r="D1216" s="2" t="s">
        <v>830</v>
      </c>
      <c r="E1216" s="2" t="s">
        <v>4261</v>
      </c>
      <c r="F1216" s="2" t="s">
        <v>8</v>
      </c>
      <c r="G1216" s="2" t="n">
        <v>303</v>
      </c>
    </row>
    <row r="1217" customFormat="false" ht="15" hidden="false" customHeight="false" outlineLevel="0" collapsed="false">
      <c r="A1217" s="2" t="s">
        <v>831</v>
      </c>
      <c r="B1217" s="2" t="s">
        <v>832</v>
      </c>
      <c r="C1217" s="2" t="s">
        <v>27</v>
      </c>
      <c r="D1217" s="2" t="s">
        <v>833</v>
      </c>
      <c r="E1217" s="2" t="s">
        <v>4271</v>
      </c>
      <c r="F1217" s="2" t="s">
        <v>10</v>
      </c>
      <c r="G1217" s="2" t="n">
        <v>304</v>
      </c>
    </row>
    <row r="1218" customFormat="false" ht="15" hidden="false" customHeight="false" outlineLevel="0" collapsed="false">
      <c r="A1218" s="2" t="s">
        <v>834</v>
      </c>
      <c r="B1218" s="2" t="s">
        <v>835</v>
      </c>
      <c r="C1218" s="2" t="s">
        <v>44</v>
      </c>
      <c r="D1218" s="2" t="s">
        <v>5334</v>
      </c>
      <c r="E1218" s="2" t="s">
        <v>4264</v>
      </c>
      <c r="F1218" s="2" t="s">
        <v>10</v>
      </c>
      <c r="G1218" s="2" t="n">
        <v>305</v>
      </c>
    </row>
    <row r="1219" customFormat="false" ht="15" hidden="false" customHeight="false" outlineLevel="0" collapsed="false">
      <c r="A1219" s="2" t="s">
        <v>834</v>
      </c>
      <c r="B1219" s="2" t="s">
        <v>835</v>
      </c>
      <c r="C1219" s="2" t="s">
        <v>44</v>
      </c>
      <c r="D1219" s="2" t="s">
        <v>5335</v>
      </c>
      <c r="E1219" s="2" t="s">
        <v>4264</v>
      </c>
      <c r="F1219" s="2" t="s">
        <v>10</v>
      </c>
      <c r="G1219" s="2" t="n">
        <v>305</v>
      </c>
    </row>
    <row r="1220" customFormat="false" ht="15" hidden="false" customHeight="false" outlineLevel="0" collapsed="false">
      <c r="A1220" s="2" t="s">
        <v>834</v>
      </c>
      <c r="B1220" s="2" t="s">
        <v>835</v>
      </c>
      <c r="C1220" s="2" t="s">
        <v>44</v>
      </c>
      <c r="D1220" s="2" t="s">
        <v>474</v>
      </c>
      <c r="E1220" s="2" t="s">
        <v>4264</v>
      </c>
      <c r="F1220" s="2" t="s">
        <v>10</v>
      </c>
      <c r="G1220" s="2" t="n">
        <v>305</v>
      </c>
    </row>
    <row r="1221" customFormat="false" ht="15" hidden="false" customHeight="false" outlineLevel="0" collapsed="false">
      <c r="A1221" s="2" t="s">
        <v>834</v>
      </c>
      <c r="B1221" s="2" t="s">
        <v>835</v>
      </c>
      <c r="C1221" s="2" t="s">
        <v>44</v>
      </c>
      <c r="D1221" s="2" t="s">
        <v>5336</v>
      </c>
      <c r="E1221" s="2" t="s">
        <v>4264</v>
      </c>
      <c r="F1221" s="2" t="s">
        <v>10</v>
      </c>
      <c r="G1221" s="2" t="n">
        <v>305</v>
      </c>
    </row>
    <row r="1222" customFormat="false" ht="15" hidden="false" customHeight="false" outlineLevel="0" collapsed="false">
      <c r="A1222" s="2" t="s">
        <v>834</v>
      </c>
      <c r="B1222" s="2" t="s">
        <v>835</v>
      </c>
      <c r="C1222" s="2" t="s">
        <v>44</v>
      </c>
      <c r="D1222" s="2" t="s">
        <v>5337</v>
      </c>
      <c r="E1222" s="2" t="s">
        <v>4264</v>
      </c>
      <c r="F1222" s="2" t="s">
        <v>10</v>
      </c>
      <c r="G1222" s="2" t="n">
        <v>305</v>
      </c>
    </row>
    <row r="1223" customFormat="false" ht="15" hidden="false" customHeight="false" outlineLevel="0" collapsed="false">
      <c r="A1223" s="2" t="s">
        <v>834</v>
      </c>
      <c r="B1223" s="2" t="s">
        <v>835</v>
      </c>
      <c r="C1223" s="2" t="s">
        <v>44</v>
      </c>
      <c r="D1223" s="2" t="s">
        <v>5338</v>
      </c>
      <c r="E1223" s="2" t="s">
        <v>4261</v>
      </c>
      <c r="F1223" s="2" t="s">
        <v>10</v>
      </c>
      <c r="G1223" s="2" t="n">
        <v>305</v>
      </c>
    </row>
    <row r="1224" customFormat="false" ht="15" hidden="false" customHeight="false" outlineLevel="0" collapsed="false">
      <c r="A1224" s="2" t="s">
        <v>834</v>
      </c>
      <c r="B1224" s="2" t="s">
        <v>835</v>
      </c>
      <c r="C1224" s="2" t="s">
        <v>44</v>
      </c>
      <c r="D1224" s="2" t="s">
        <v>5339</v>
      </c>
      <c r="E1224" s="2" t="s">
        <v>4264</v>
      </c>
      <c r="F1224" s="2" t="s">
        <v>10</v>
      </c>
      <c r="G1224" s="2" t="n">
        <v>305</v>
      </c>
    </row>
    <row r="1225" customFormat="false" ht="15" hidden="false" customHeight="false" outlineLevel="0" collapsed="false">
      <c r="A1225" s="2" t="s">
        <v>834</v>
      </c>
      <c r="B1225" s="2" t="s">
        <v>835</v>
      </c>
      <c r="C1225" s="2" t="s">
        <v>44</v>
      </c>
      <c r="D1225" s="2" t="s">
        <v>5340</v>
      </c>
      <c r="E1225" s="2" t="s">
        <v>4271</v>
      </c>
      <c r="F1225" s="2" t="s">
        <v>10</v>
      </c>
      <c r="G1225" s="2" t="n">
        <v>305</v>
      </c>
    </row>
    <row r="1226" customFormat="false" ht="15" hidden="false" customHeight="false" outlineLevel="0" collapsed="false">
      <c r="A1226" s="2" t="s">
        <v>837</v>
      </c>
      <c r="B1226" s="2" t="s">
        <v>44</v>
      </c>
      <c r="C1226" s="2" t="s">
        <v>44</v>
      </c>
      <c r="D1226" s="2" t="s">
        <v>5341</v>
      </c>
      <c r="E1226" s="2" t="s">
        <v>4264</v>
      </c>
      <c r="F1226" s="2" t="s">
        <v>10</v>
      </c>
      <c r="G1226" s="2" t="n">
        <v>306</v>
      </c>
    </row>
    <row r="1227" customFormat="false" ht="15" hidden="false" customHeight="false" outlineLevel="0" collapsed="false">
      <c r="A1227" s="2" t="s">
        <v>837</v>
      </c>
      <c r="B1227" s="2" t="s">
        <v>44</v>
      </c>
      <c r="C1227" s="2" t="s">
        <v>44</v>
      </c>
      <c r="D1227" s="2" t="s">
        <v>5342</v>
      </c>
      <c r="E1227" s="2" t="s">
        <v>4271</v>
      </c>
      <c r="F1227" s="2" t="s">
        <v>10</v>
      </c>
      <c r="G1227" s="2" t="n">
        <v>306</v>
      </c>
    </row>
    <row r="1228" customFormat="false" ht="15" hidden="false" customHeight="false" outlineLevel="0" collapsed="false">
      <c r="A1228" s="2" t="s">
        <v>837</v>
      </c>
      <c r="B1228" s="2" t="s">
        <v>44</v>
      </c>
      <c r="C1228" s="2" t="s">
        <v>44</v>
      </c>
      <c r="D1228" s="2" t="s">
        <v>5343</v>
      </c>
      <c r="E1228" s="2" t="s">
        <v>4264</v>
      </c>
      <c r="F1228" s="2" t="s">
        <v>10</v>
      </c>
      <c r="G1228" s="2" t="n">
        <v>306</v>
      </c>
    </row>
    <row r="1229" customFormat="false" ht="15" hidden="false" customHeight="false" outlineLevel="0" collapsed="false">
      <c r="A1229" s="2" t="s">
        <v>837</v>
      </c>
      <c r="B1229" s="2" t="s">
        <v>44</v>
      </c>
      <c r="C1229" s="2" t="s">
        <v>44</v>
      </c>
      <c r="D1229" s="2" t="s">
        <v>5344</v>
      </c>
      <c r="E1229" s="2" t="s">
        <v>4264</v>
      </c>
      <c r="F1229" s="2" t="s">
        <v>10</v>
      </c>
      <c r="G1229" s="2" t="n">
        <v>306</v>
      </c>
    </row>
    <row r="1230" customFormat="false" ht="15" hidden="false" customHeight="false" outlineLevel="0" collapsed="false">
      <c r="A1230" s="2" t="s">
        <v>837</v>
      </c>
      <c r="B1230" s="2" t="s">
        <v>44</v>
      </c>
      <c r="C1230" s="2" t="s">
        <v>44</v>
      </c>
      <c r="D1230" s="2" t="s">
        <v>5345</v>
      </c>
      <c r="E1230" s="2" t="s">
        <v>4264</v>
      </c>
      <c r="F1230" s="2" t="s">
        <v>10</v>
      </c>
      <c r="G1230" s="2" t="n">
        <v>306</v>
      </c>
    </row>
    <row r="1231" customFormat="false" ht="15" hidden="false" customHeight="false" outlineLevel="0" collapsed="false">
      <c r="A1231" s="2" t="s">
        <v>837</v>
      </c>
      <c r="B1231" s="2" t="s">
        <v>44</v>
      </c>
      <c r="C1231" s="2" t="s">
        <v>44</v>
      </c>
      <c r="D1231" s="2" t="s">
        <v>5346</v>
      </c>
      <c r="E1231" s="2" t="s">
        <v>4271</v>
      </c>
      <c r="F1231" s="2" t="s">
        <v>10</v>
      </c>
      <c r="G1231" s="2" t="n">
        <v>306</v>
      </c>
    </row>
    <row r="1232" customFormat="false" ht="15" hidden="false" customHeight="false" outlineLevel="0" collapsed="false">
      <c r="A1232" s="2" t="s">
        <v>837</v>
      </c>
      <c r="B1232" s="2" t="s">
        <v>44</v>
      </c>
      <c r="C1232" s="2" t="s">
        <v>44</v>
      </c>
      <c r="D1232" s="2" t="s">
        <v>5347</v>
      </c>
      <c r="E1232" s="2" t="s">
        <v>4264</v>
      </c>
      <c r="F1232" s="2" t="s">
        <v>10</v>
      </c>
      <c r="G1232" s="2" t="n">
        <v>306</v>
      </c>
    </row>
    <row r="1233" customFormat="false" ht="15" hidden="false" customHeight="false" outlineLevel="0" collapsed="false">
      <c r="A1233" s="2" t="s">
        <v>837</v>
      </c>
      <c r="B1233" s="2" t="s">
        <v>44</v>
      </c>
      <c r="C1233" s="2" t="s">
        <v>44</v>
      </c>
      <c r="D1233" s="2" t="s">
        <v>1271</v>
      </c>
      <c r="E1233" s="2" t="s">
        <v>4264</v>
      </c>
      <c r="F1233" s="2" t="s">
        <v>10</v>
      </c>
      <c r="G1233" s="2" t="n">
        <v>306</v>
      </c>
    </row>
    <row r="1234" customFormat="false" ht="15" hidden="false" customHeight="false" outlineLevel="0" collapsed="false">
      <c r="A1234" s="2" t="s">
        <v>837</v>
      </c>
      <c r="B1234" s="2" t="s">
        <v>44</v>
      </c>
      <c r="C1234" s="2" t="s">
        <v>44</v>
      </c>
      <c r="D1234" s="2" t="s">
        <v>5348</v>
      </c>
      <c r="E1234" s="2" t="s">
        <v>4264</v>
      </c>
      <c r="F1234" s="2" t="s">
        <v>10</v>
      </c>
      <c r="G1234" s="2" t="n">
        <v>306</v>
      </c>
    </row>
    <row r="1235" customFormat="false" ht="15" hidden="false" customHeight="false" outlineLevel="0" collapsed="false">
      <c r="A1235" s="2" t="s">
        <v>837</v>
      </c>
      <c r="B1235" s="2" t="s">
        <v>44</v>
      </c>
      <c r="C1235" s="2" t="s">
        <v>44</v>
      </c>
      <c r="D1235" s="2" t="s">
        <v>5349</v>
      </c>
      <c r="E1235" s="2" t="s">
        <v>4264</v>
      </c>
      <c r="F1235" s="2" t="s">
        <v>10</v>
      </c>
      <c r="G1235" s="2" t="n">
        <v>306</v>
      </c>
    </row>
    <row r="1236" customFormat="false" ht="15" hidden="false" customHeight="false" outlineLevel="0" collapsed="false">
      <c r="A1236" s="2" t="s">
        <v>837</v>
      </c>
      <c r="B1236" s="2" t="s">
        <v>44</v>
      </c>
      <c r="C1236" s="2" t="s">
        <v>44</v>
      </c>
      <c r="D1236" s="2" t="s">
        <v>4948</v>
      </c>
      <c r="E1236" s="2" t="s">
        <v>4271</v>
      </c>
      <c r="F1236" s="2" t="s">
        <v>10</v>
      </c>
      <c r="G1236" s="2" t="n">
        <v>306</v>
      </c>
    </row>
    <row r="1237" customFormat="false" ht="15" hidden="false" customHeight="false" outlineLevel="0" collapsed="false">
      <c r="A1237" s="2" t="s">
        <v>837</v>
      </c>
      <c r="B1237" s="2" t="s">
        <v>44</v>
      </c>
      <c r="C1237" s="2" t="s">
        <v>44</v>
      </c>
      <c r="D1237" s="2" t="s">
        <v>5350</v>
      </c>
      <c r="E1237" s="2" t="s">
        <v>4271</v>
      </c>
      <c r="F1237" s="2" t="s">
        <v>10</v>
      </c>
      <c r="G1237" s="2" t="n">
        <v>306</v>
      </c>
    </row>
    <row r="1238" customFormat="false" ht="15" hidden="false" customHeight="false" outlineLevel="0" collapsed="false">
      <c r="A1238" s="2" t="s">
        <v>837</v>
      </c>
      <c r="B1238" s="2" t="s">
        <v>44</v>
      </c>
      <c r="C1238" s="2" t="s">
        <v>44</v>
      </c>
      <c r="D1238" s="2" t="s">
        <v>5351</v>
      </c>
      <c r="E1238" s="2" t="s">
        <v>4261</v>
      </c>
      <c r="F1238" s="2" t="s">
        <v>10</v>
      </c>
      <c r="G1238" s="2" t="n">
        <v>306</v>
      </c>
    </row>
    <row r="1239" customFormat="false" ht="15" hidden="false" customHeight="false" outlineLevel="0" collapsed="false">
      <c r="A1239" s="2" t="s">
        <v>837</v>
      </c>
      <c r="B1239" s="2" t="s">
        <v>44</v>
      </c>
      <c r="C1239" s="2" t="s">
        <v>44</v>
      </c>
      <c r="D1239" s="2" t="s">
        <v>5352</v>
      </c>
      <c r="E1239" s="2" t="s">
        <v>4264</v>
      </c>
      <c r="F1239" s="2" t="s">
        <v>10</v>
      </c>
      <c r="G1239" s="2" t="n">
        <v>306</v>
      </c>
    </row>
    <row r="1240" customFormat="false" ht="15" hidden="false" customHeight="false" outlineLevel="0" collapsed="false">
      <c r="A1240" s="2" t="s">
        <v>839</v>
      </c>
      <c r="B1240" s="2" t="s">
        <v>70</v>
      </c>
      <c r="C1240" s="2" t="s">
        <v>70</v>
      </c>
      <c r="D1240" s="2" t="s">
        <v>920</v>
      </c>
      <c r="E1240" s="2" t="s">
        <v>4271</v>
      </c>
      <c r="F1240" s="2" t="s">
        <v>8</v>
      </c>
      <c r="G1240" s="2" t="n">
        <v>307</v>
      </c>
    </row>
    <row r="1241" customFormat="false" ht="15" hidden="false" customHeight="false" outlineLevel="0" collapsed="false">
      <c r="A1241" s="2" t="s">
        <v>839</v>
      </c>
      <c r="B1241" s="2" t="s">
        <v>70</v>
      </c>
      <c r="C1241" s="2" t="s">
        <v>70</v>
      </c>
      <c r="D1241" s="2" t="s">
        <v>5353</v>
      </c>
      <c r="E1241" s="2" t="s">
        <v>4261</v>
      </c>
      <c r="F1241" s="2" t="s">
        <v>8</v>
      </c>
      <c r="G1241" s="2" t="n">
        <v>307</v>
      </c>
    </row>
    <row r="1242" customFormat="false" ht="15" hidden="false" customHeight="false" outlineLevel="0" collapsed="false">
      <c r="A1242" s="2" t="s">
        <v>839</v>
      </c>
      <c r="B1242" s="2" t="s">
        <v>70</v>
      </c>
      <c r="C1242" s="2" t="s">
        <v>70</v>
      </c>
      <c r="D1242" s="2" t="s">
        <v>5354</v>
      </c>
      <c r="E1242" s="2" t="s">
        <v>4261</v>
      </c>
      <c r="F1242" s="2" t="s">
        <v>8</v>
      </c>
      <c r="G1242" s="2" t="n">
        <v>307</v>
      </c>
    </row>
    <row r="1243" customFormat="false" ht="15" hidden="false" customHeight="false" outlineLevel="0" collapsed="false">
      <c r="A1243" s="2" t="s">
        <v>841</v>
      </c>
      <c r="B1243" s="2" t="s">
        <v>70</v>
      </c>
      <c r="C1243" s="2" t="s">
        <v>70</v>
      </c>
      <c r="D1243" s="2" t="s">
        <v>5355</v>
      </c>
      <c r="E1243" s="2" t="s">
        <v>4264</v>
      </c>
      <c r="F1243" s="2" t="s">
        <v>8</v>
      </c>
      <c r="G1243" s="2" t="n">
        <v>308</v>
      </c>
    </row>
    <row r="1244" customFormat="false" ht="15" hidden="false" customHeight="false" outlineLevel="0" collapsed="false">
      <c r="A1244" s="2" t="s">
        <v>841</v>
      </c>
      <c r="B1244" s="2" t="s">
        <v>70</v>
      </c>
      <c r="C1244" s="2" t="s">
        <v>70</v>
      </c>
      <c r="D1244" s="2" t="s">
        <v>5356</v>
      </c>
      <c r="E1244" s="2" t="s">
        <v>4261</v>
      </c>
      <c r="F1244" s="2" t="s">
        <v>8</v>
      </c>
      <c r="G1244" s="2" t="n">
        <v>308</v>
      </c>
    </row>
    <row r="1245" customFormat="false" ht="15" hidden="false" customHeight="false" outlineLevel="0" collapsed="false">
      <c r="A1245" s="2" t="s">
        <v>843</v>
      </c>
      <c r="B1245" s="2" t="s">
        <v>452</v>
      </c>
      <c r="C1245" s="2" t="s">
        <v>70</v>
      </c>
      <c r="D1245" s="2" t="s">
        <v>5357</v>
      </c>
      <c r="E1245" s="2" t="s">
        <v>4261</v>
      </c>
      <c r="F1245" s="2" t="s">
        <v>8</v>
      </c>
      <c r="G1245" s="2" t="n">
        <v>309</v>
      </c>
    </row>
    <row r="1246" customFormat="false" ht="15" hidden="false" customHeight="false" outlineLevel="0" collapsed="false">
      <c r="A1246" s="2" t="s">
        <v>843</v>
      </c>
      <c r="B1246" s="2" t="s">
        <v>452</v>
      </c>
      <c r="C1246" s="2" t="s">
        <v>70</v>
      </c>
      <c r="D1246" s="2" t="s">
        <v>5358</v>
      </c>
      <c r="E1246" s="2" t="s">
        <v>4264</v>
      </c>
      <c r="F1246" s="2" t="s">
        <v>8</v>
      </c>
      <c r="G1246" s="2" t="n">
        <v>309</v>
      </c>
    </row>
    <row r="1247" customFormat="false" ht="15" hidden="false" customHeight="false" outlineLevel="0" collapsed="false">
      <c r="A1247" s="2" t="s">
        <v>845</v>
      </c>
      <c r="B1247" s="2" t="s">
        <v>516</v>
      </c>
      <c r="C1247" s="2" t="s">
        <v>34</v>
      </c>
      <c r="D1247" s="2" t="s">
        <v>5359</v>
      </c>
      <c r="E1247" s="2" t="s">
        <v>4261</v>
      </c>
      <c r="F1247" s="2" t="s">
        <v>8</v>
      </c>
      <c r="G1247" s="2" t="n">
        <v>310</v>
      </c>
    </row>
    <row r="1248" customFormat="false" ht="15" hidden="false" customHeight="false" outlineLevel="0" collapsed="false">
      <c r="A1248" s="2" t="s">
        <v>845</v>
      </c>
      <c r="B1248" s="2" t="s">
        <v>516</v>
      </c>
      <c r="C1248" s="2" t="s">
        <v>34</v>
      </c>
      <c r="D1248" s="2" t="s">
        <v>5360</v>
      </c>
      <c r="E1248" s="2" t="s">
        <v>4261</v>
      </c>
      <c r="F1248" s="2" t="s">
        <v>8</v>
      </c>
      <c r="G1248" s="2" t="n">
        <v>310</v>
      </c>
    </row>
    <row r="1249" customFormat="false" ht="15" hidden="false" customHeight="false" outlineLevel="0" collapsed="false">
      <c r="A1249" s="2" t="s">
        <v>845</v>
      </c>
      <c r="B1249" s="2" t="s">
        <v>516</v>
      </c>
      <c r="C1249" s="2" t="s">
        <v>34</v>
      </c>
      <c r="D1249" s="2" t="s">
        <v>5361</v>
      </c>
      <c r="E1249" s="2" t="s">
        <v>4261</v>
      </c>
      <c r="F1249" s="2" t="s">
        <v>8</v>
      </c>
      <c r="G1249" s="2" t="n">
        <v>310</v>
      </c>
    </row>
    <row r="1250" customFormat="false" ht="15" hidden="false" customHeight="false" outlineLevel="0" collapsed="false">
      <c r="A1250" s="2" t="s">
        <v>845</v>
      </c>
      <c r="B1250" s="2" t="s">
        <v>516</v>
      </c>
      <c r="C1250" s="2" t="s">
        <v>34</v>
      </c>
      <c r="D1250" s="2" t="s">
        <v>5362</v>
      </c>
      <c r="E1250" s="2" t="s">
        <v>4261</v>
      </c>
      <c r="F1250" s="2" t="s">
        <v>8</v>
      </c>
      <c r="G1250" s="2" t="n">
        <v>310</v>
      </c>
    </row>
    <row r="1251" customFormat="false" ht="15" hidden="false" customHeight="false" outlineLevel="0" collapsed="false">
      <c r="A1251" s="2" t="s">
        <v>847</v>
      </c>
      <c r="B1251" s="2" t="s">
        <v>217</v>
      </c>
      <c r="C1251" s="2" t="s">
        <v>27</v>
      </c>
      <c r="D1251" s="2" t="s">
        <v>5363</v>
      </c>
      <c r="E1251" s="2" t="s">
        <v>4271</v>
      </c>
      <c r="F1251" s="2" t="s">
        <v>9</v>
      </c>
      <c r="G1251" s="2" t="n">
        <v>311</v>
      </c>
    </row>
    <row r="1252" customFormat="false" ht="15" hidden="false" customHeight="false" outlineLevel="0" collapsed="false">
      <c r="A1252" s="2" t="s">
        <v>847</v>
      </c>
      <c r="B1252" s="2" t="s">
        <v>217</v>
      </c>
      <c r="C1252" s="2" t="s">
        <v>27</v>
      </c>
      <c r="D1252" s="2" t="s">
        <v>5364</v>
      </c>
      <c r="E1252" s="2" t="s">
        <v>4261</v>
      </c>
      <c r="F1252" s="2" t="s">
        <v>9</v>
      </c>
      <c r="G1252" s="2" t="n">
        <v>311</v>
      </c>
    </row>
    <row r="1253" customFormat="false" ht="15" hidden="false" customHeight="false" outlineLevel="0" collapsed="false">
      <c r="A1253" s="2" t="s">
        <v>849</v>
      </c>
      <c r="B1253" s="2" t="s">
        <v>38</v>
      </c>
      <c r="C1253" s="2" t="s">
        <v>39</v>
      </c>
      <c r="D1253" s="2" t="s">
        <v>850</v>
      </c>
      <c r="E1253" s="2" t="s">
        <v>4271</v>
      </c>
      <c r="F1253" s="2" t="s">
        <v>8</v>
      </c>
      <c r="G1253" s="2" t="n">
        <v>312</v>
      </c>
    </row>
    <row r="1254" customFormat="false" ht="15" hidden="false" customHeight="false" outlineLevel="0" collapsed="false">
      <c r="A1254" s="2" t="s">
        <v>851</v>
      </c>
      <c r="B1254" s="2" t="s">
        <v>44</v>
      </c>
      <c r="C1254" s="2" t="s">
        <v>44</v>
      </c>
      <c r="D1254" s="2" t="s">
        <v>5365</v>
      </c>
      <c r="E1254" s="2" t="s">
        <v>4264</v>
      </c>
      <c r="F1254" s="2" t="s">
        <v>9</v>
      </c>
      <c r="G1254" s="2" t="n">
        <v>313</v>
      </c>
    </row>
    <row r="1255" customFormat="false" ht="15" hidden="false" customHeight="false" outlineLevel="0" collapsed="false">
      <c r="A1255" s="2" t="s">
        <v>851</v>
      </c>
      <c r="B1255" s="2" t="s">
        <v>44</v>
      </c>
      <c r="C1255" s="2" t="s">
        <v>44</v>
      </c>
      <c r="D1255" s="2" t="s">
        <v>5366</v>
      </c>
      <c r="E1255" s="2" t="s">
        <v>4264</v>
      </c>
      <c r="F1255" s="2" t="s">
        <v>9</v>
      </c>
      <c r="G1255" s="2" t="n">
        <v>313</v>
      </c>
    </row>
    <row r="1256" customFormat="false" ht="15" hidden="false" customHeight="false" outlineLevel="0" collapsed="false">
      <c r="A1256" s="2" t="s">
        <v>851</v>
      </c>
      <c r="B1256" s="2" t="s">
        <v>44</v>
      </c>
      <c r="C1256" s="2" t="s">
        <v>44</v>
      </c>
      <c r="D1256" s="2" t="s">
        <v>5367</v>
      </c>
      <c r="E1256" s="2" t="s">
        <v>4264</v>
      </c>
      <c r="F1256" s="2" t="s">
        <v>9</v>
      </c>
      <c r="G1256" s="2" t="n">
        <v>313</v>
      </c>
    </row>
    <row r="1257" customFormat="false" ht="15" hidden="false" customHeight="false" outlineLevel="0" collapsed="false">
      <c r="A1257" s="2" t="s">
        <v>851</v>
      </c>
      <c r="B1257" s="2" t="s">
        <v>44</v>
      </c>
      <c r="C1257" s="2" t="s">
        <v>44</v>
      </c>
      <c r="D1257" s="2" t="s">
        <v>5368</v>
      </c>
      <c r="E1257" s="2" t="s">
        <v>4264</v>
      </c>
      <c r="F1257" s="2" t="s">
        <v>9</v>
      </c>
      <c r="G1257" s="2" t="n">
        <v>313</v>
      </c>
    </row>
    <row r="1258" customFormat="false" ht="15" hidden="false" customHeight="false" outlineLevel="0" collapsed="false">
      <c r="A1258" s="2" t="s">
        <v>851</v>
      </c>
      <c r="B1258" s="2" t="s">
        <v>44</v>
      </c>
      <c r="C1258" s="2" t="s">
        <v>44</v>
      </c>
      <c r="D1258" s="2" t="s">
        <v>5369</v>
      </c>
      <c r="E1258" s="2" t="s">
        <v>4271</v>
      </c>
      <c r="F1258" s="2" t="s">
        <v>9</v>
      </c>
      <c r="G1258" s="2" t="n">
        <v>313</v>
      </c>
    </row>
    <row r="1259" customFormat="false" ht="15" hidden="false" customHeight="false" outlineLevel="0" collapsed="false">
      <c r="A1259" s="2" t="s">
        <v>851</v>
      </c>
      <c r="B1259" s="2" t="s">
        <v>44</v>
      </c>
      <c r="C1259" s="2" t="s">
        <v>44</v>
      </c>
      <c r="D1259" s="2" t="s">
        <v>5370</v>
      </c>
      <c r="E1259" s="2" t="s">
        <v>4264</v>
      </c>
      <c r="F1259" s="2" t="s">
        <v>9</v>
      </c>
      <c r="G1259" s="2" t="n">
        <v>313</v>
      </c>
    </row>
    <row r="1260" customFormat="false" ht="15" hidden="false" customHeight="false" outlineLevel="0" collapsed="false">
      <c r="A1260" s="2" t="s">
        <v>851</v>
      </c>
      <c r="B1260" s="2" t="s">
        <v>44</v>
      </c>
      <c r="C1260" s="2" t="s">
        <v>44</v>
      </c>
      <c r="D1260" s="2" t="s">
        <v>5371</v>
      </c>
      <c r="E1260" s="2" t="s">
        <v>4264</v>
      </c>
      <c r="F1260" s="2" t="s">
        <v>9</v>
      </c>
      <c r="G1260" s="2" t="n">
        <v>313</v>
      </c>
    </row>
    <row r="1261" customFormat="false" ht="15" hidden="false" customHeight="false" outlineLevel="0" collapsed="false">
      <c r="A1261" s="2" t="s">
        <v>851</v>
      </c>
      <c r="B1261" s="2" t="s">
        <v>44</v>
      </c>
      <c r="C1261" s="2" t="s">
        <v>44</v>
      </c>
      <c r="D1261" s="2" t="s">
        <v>5372</v>
      </c>
      <c r="E1261" s="2" t="s">
        <v>4264</v>
      </c>
      <c r="F1261" s="2" t="s">
        <v>9</v>
      </c>
      <c r="G1261" s="2" t="n">
        <v>313</v>
      </c>
    </row>
    <row r="1262" customFormat="false" ht="15" hidden="false" customHeight="false" outlineLevel="0" collapsed="false">
      <c r="A1262" s="2" t="s">
        <v>851</v>
      </c>
      <c r="B1262" s="2" t="s">
        <v>44</v>
      </c>
      <c r="C1262" s="2" t="s">
        <v>44</v>
      </c>
      <c r="D1262" s="2" t="s">
        <v>5373</v>
      </c>
      <c r="E1262" s="2" t="s">
        <v>4264</v>
      </c>
      <c r="F1262" s="2" t="s">
        <v>9</v>
      </c>
      <c r="G1262" s="2" t="n">
        <v>313</v>
      </c>
    </row>
    <row r="1263" customFormat="false" ht="15" hidden="false" customHeight="false" outlineLevel="0" collapsed="false">
      <c r="A1263" s="2" t="s">
        <v>851</v>
      </c>
      <c r="B1263" s="2" t="s">
        <v>44</v>
      </c>
      <c r="C1263" s="2" t="s">
        <v>44</v>
      </c>
      <c r="D1263" s="2" t="s">
        <v>5374</v>
      </c>
      <c r="E1263" s="2" t="s">
        <v>4264</v>
      </c>
      <c r="F1263" s="2" t="s">
        <v>9</v>
      </c>
      <c r="G1263" s="2" t="n">
        <v>313</v>
      </c>
    </row>
    <row r="1264" customFormat="false" ht="15" hidden="false" customHeight="false" outlineLevel="0" collapsed="false">
      <c r="A1264" s="2" t="s">
        <v>851</v>
      </c>
      <c r="B1264" s="2" t="s">
        <v>44</v>
      </c>
      <c r="C1264" s="2" t="s">
        <v>44</v>
      </c>
      <c r="D1264" s="2" t="s">
        <v>5049</v>
      </c>
      <c r="E1264" s="2" t="s">
        <v>4264</v>
      </c>
      <c r="F1264" s="2" t="s">
        <v>9</v>
      </c>
      <c r="G1264" s="2" t="n">
        <v>313</v>
      </c>
    </row>
    <row r="1265" customFormat="false" ht="15" hidden="false" customHeight="false" outlineLevel="0" collapsed="false">
      <c r="A1265" s="2" t="s">
        <v>851</v>
      </c>
      <c r="B1265" s="2" t="s">
        <v>44</v>
      </c>
      <c r="C1265" s="2" t="s">
        <v>44</v>
      </c>
      <c r="D1265" s="2" t="s">
        <v>5375</v>
      </c>
      <c r="E1265" s="2" t="s">
        <v>4261</v>
      </c>
      <c r="F1265" s="2" t="s">
        <v>9</v>
      </c>
      <c r="G1265" s="2" t="n">
        <v>313</v>
      </c>
    </row>
    <row r="1266" customFormat="false" ht="15" hidden="false" customHeight="false" outlineLevel="0" collapsed="false">
      <c r="A1266" s="2" t="s">
        <v>851</v>
      </c>
      <c r="B1266" s="2" t="s">
        <v>44</v>
      </c>
      <c r="C1266" s="2" t="s">
        <v>44</v>
      </c>
      <c r="D1266" s="2" t="s">
        <v>5376</v>
      </c>
      <c r="E1266" s="2" t="s">
        <v>4264</v>
      </c>
      <c r="F1266" s="2" t="s">
        <v>9</v>
      </c>
      <c r="G1266" s="2" t="n">
        <v>313</v>
      </c>
    </row>
    <row r="1267" customFormat="false" ht="15" hidden="false" customHeight="false" outlineLevel="0" collapsed="false">
      <c r="A1267" s="2" t="s">
        <v>851</v>
      </c>
      <c r="B1267" s="2" t="s">
        <v>44</v>
      </c>
      <c r="C1267" s="2" t="s">
        <v>44</v>
      </c>
      <c r="D1267" s="2" t="s">
        <v>5377</v>
      </c>
      <c r="E1267" s="2" t="s">
        <v>4264</v>
      </c>
      <c r="F1267" s="2" t="s">
        <v>9</v>
      </c>
      <c r="G1267" s="2" t="n">
        <v>313</v>
      </c>
    </row>
    <row r="1268" customFormat="false" ht="15" hidden="false" customHeight="false" outlineLevel="0" collapsed="false">
      <c r="A1268" s="2" t="s">
        <v>853</v>
      </c>
      <c r="B1268" s="2" t="s">
        <v>423</v>
      </c>
      <c r="C1268" s="2" t="s">
        <v>423</v>
      </c>
      <c r="D1268" s="2" t="s">
        <v>854</v>
      </c>
      <c r="E1268" s="2" t="s">
        <v>4261</v>
      </c>
      <c r="F1268" s="2" t="s">
        <v>8</v>
      </c>
      <c r="G1268" s="2" t="n">
        <v>314</v>
      </c>
    </row>
    <row r="1269" customFormat="false" ht="15" hidden="false" customHeight="false" outlineLevel="0" collapsed="false">
      <c r="A1269" s="2" t="s">
        <v>855</v>
      </c>
      <c r="B1269" s="2" t="s">
        <v>856</v>
      </c>
      <c r="C1269" s="2" t="s">
        <v>70</v>
      </c>
      <c r="D1269" s="2" t="s">
        <v>788</v>
      </c>
      <c r="E1269" s="2" t="s">
        <v>4271</v>
      </c>
      <c r="F1269" s="2" t="s">
        <v>9</v>
      </c>
      <c r="G1269" s="2" t="n">
        <v>315</v>
      </c>
    </row>
    <row r="1270" customFormat="false" ht="15" hidden="false" customHeight="false" outlineLevel="0" collapsed="false">
      <c r="A1270" s="2" t="s">
        <v>855</v>
      </c>
      <c r="B1270" s="2" t="s">
        <v>856</v>
      </c>
      <c r="C1270" s="2" t="s">
        <v>70</v>
      </c>
      <c r="D1270" s="2" t="s">
        <v>856</v>
      </c>
      <c r="E1270" s="2" t="s">
        <v>4271</v>
      </c>
      <c r="F1270" s="2" t="s">
        <v>9</v>
      </c>
      <c r="G1270" s="2" t="n">
        <v>315</v>
      </c>
    </row>
    <row r="1271" customFormat="false" ht="15" hidden="false" customHeight="false" outlineLevel="0" collapsed="false">
      <c r="A1271" s="2" t="s">
        <v>858</v>
      </c>
      <c r="B1271" s="2" t="s">
        <v>349</v>
      </c>
      <c r="C1271" s="2" t="s">
        <v>273</v>
      </c>
      <c r="D1271" s="2" t="s">
        <v>5378</v>
      </c>
      <c r="E1271" s="2" t="s">
        <v>4261</v>
      </c>
      <c r="F1271" s="2" t="s">
        <v>10</v>
      </c>
      <c r="G1271" s="2" t="n">
        <v>316</v>
      </c>
    </row>
    <row r="1272" customFormat="false" ht="15" hidden="false" customHeight="false" outlineLevel="0" collapsed="false">
      <c r="A1272" s="2" t="s">
        <v>858</v>
      </c>
      <c r="B1272" s="2" t="s">
        <v>349</v>
      </c>
      <c r="C1272" s="2" t="s">
        <v>273</v>
      </c>
      <c r="D1272" s="2" t="s">
        <v>5379</v>
      </c>
      <c r="E1272" s="2" t="s">
        <v>4261</v>
      </c>
      <c r="F1272" s="2" t="s">
        <v>10</v>
      </c>
      <c r="G1272" s="2" t="n">
        <v>316</v>
      </c>
    </row>
    <row r="1273" customFormat="false" ht="15" hidden="false" customHeight="false" outlineLevel="0" collapsed="false">
      <c r="A1273" s="2" t="s">
        <v>858</v>
      </c>
      <c r="B1273" s="2" t="s">
        <v>349</v>
      </c>
      <c r="C1273" s="2" t="s">
        <v>273</v>
      </c>
      <c r="D1273" s="2" t="s">
        <v>5380</v>
      </c>
      <c r="E1273" s="2" t="s">
        <v>4261</v>
      </c>
      <c r="F1273" s="2" t="s">
        <v>10</v>
      </c>
      <c r="G1273" s="2" t="n">
        <v>316</v>
      </c>
    </row>
    <row r="1274" customFormat="false" ht="15" hidden="false" customHeight="false" outlineLevel="0" collapsed="false">
      <c r="A1274" s="2" t="s">
        <v>858</v>
      </c>
      <c r="B1274" s="2" t="s">
        <v>349</v>
      </c>
      <c r="C1274" s="2" t="s">
        <v>273</v>
      </c>
      <c r="D1274" s="2" t="s">
        <v>5381</v>
      </c>
      <c r="E1274" s="2" t="s">
        <v>4261</v>
      </c>
      <c r="F1274" s="2" t="s">
        <v>10</v>
      </c>
      <c r="G1274" s="2" t="n">
        <v>316</v>
      </c>
    </row>
    <row r="1275" customFormat="false" ht="15" hidden="false" customHeight="false" outlineLevel="0" collapsed="false">
      <c r="A1275" s="2" t="s">
        <v>858</v>
      </c>
      <c r="B1275" s="2" t="s">
        <v>349</v>
      </c>
      <c r="C1275" s="2" t="s">
        <v>273</v>
      </c>
      <c r="D1275" s="2" t="s">
        <v>5382</v>
      </c>
      <c r="E1275" s="2" t="s">
        <v>4261</v>
      </c>
      <c r="F1275" s="2" t="s">
        <v>10</v>
      </c>
      <c r="G1275" s="2" t="n">
        <v>316</v>
      </c>
    </row>
    <row r="1276" customFormat="false" ht="15" hidden="false" customHeight="false" outlineLevel="0" collapsed="false">
      <c r="A1276" s="2" t="s">
        <v>858</v>
      </c>
      <c r="B1276" s="2" t="s">
        <v>349</v>
      </c>
      <c r="C1276" s="2" t="s">
        <v>273</v>
      </c>
      <c r="D1276" s="2" t="s">
        <v>5383</v>
      </c>
      <c r="E1276" s="2" t="s">
        <v>4261</v>
      </c>
      <c r="F1276" s="2" t="s">
        <v>10</v>
      </c>
      <c r="G1276" s="2" t="n">
        <v>316</v>
      </c>
    </row>
    <row r="1277" customFormat="false" ht="15" hidden="false" customHeight="false" outlineLevel="0" collapsed="false">
      <c r="A1277" s="2" t="s">
        <v>860</v>
      </c>
      <c r="B1277" s="2" t="s">
        <v>723</v>
      </c>
      <c r="C1277" s="2" t="s">
        <v>44</v>
      </c>
      <c r="D1277" s="2" t="s">
        <v>5384</v>
      </c>
      <c r="E1277" s="2" t="s">
        <v>4261</v>
      </c>
      <c r="F1277" s="2" t="s">
        <v>10</v>
      </c>
      <c r="G1277" s="2" t="n">
        <v>317</v>
      </c>
    </row>
    <row r="1278" customFormat="false" ht="15" hidden="false" customHeight="false" outlineLevel="0" collapsed="false">
      <c r="A1278" s="2" t="s">
        <v>860</v>
      </c>
      <c r="B1278" s="2" t="s">
        <v>723</v>
      </c>
      <c r="C1278" s="2" t="s">
        <v>44</v>
      </c>
      <c r="D1278" s="2" t="s">
        <v>5385</v>
      </c>
      <c r="E1278" s="2" t="s">
        <v>4261</v>
      </c>
      <c r="F1278" s="2" t="s">
        <v>10</v>
      </c>
      <c r="G1278" s="2" t="n">
        <v>317</v>
      </c>
    </row>
    <row r="1279" customFormat="false" ht="15" hidden="false" customHeight="false" outlineLevel="0" collapsed="false">
      <c r="A1279" s="2" t="s">
        <v>860</v>
      </c>
      <c r="B1279" s="2" t="s">
        <v>723</v>
      </c>
      <c r="C1279" s="2" t="s">
        <v>44</v>
      </c>
      <c r="D1279" s="2" t="s">
        <v>5386</v>
      </c>
      <c r="E1279" s="2" t="s">
        <v>4261</v>
      </c>
      <c r="F1279" s="2" t="s">
        <v>10</v>
      </c>
      <c r="G1279" s="2" t="n">
        <v>317</v>
      </c>
    </row>
    <row r="1280" customFormat="false" ht="15" hidden="false" customHeight="false" outlineLevel="0" collapsed="false">
      <c r="A1280" s="2" t="s">
        <v>860</v>
      </c>
      <c r="B1280" s="2" t="s">
        <v>723</v>
      </c>
      <c r="C1280" s="2" t="s">
        <v>44</v>
      </c>
      <c r="D1280" s="2" t="s">
        <v>5387</v>
      </c>
      <c r="E1280" s="2" t="s">
        <v>4264</v>
      </c>
      <c r="F1280" s="2" t="s">
        <v>10</v>
      </c>
      <c r="G1280" s="2" t="n">
        <v>317</v>
      </c>
    </row>
    <row r="1281" customFormat="false" ht="15" hidden="false" customHeight="false" outlineLevel="0" collapsed="false">
      <c r="A1281" s="2" t="s">
        <v>860</v>
      </c>
      <c r="B1281" s="2" t="s">
        <v>723</v>
      </c>
      <c r="C1281" s="2" t="s">
        <v>44</v>
      </c>
      <c r="D1281" s="2" t="s">
        <v>5388</v>
      </c>
      <c r="E1281" s="2" t="s">
        <v>4264</v>
      </c>
      <c r="F1281" s="2" t="s">
        <v>10</v>
      </c>
      <c r="G1281" s="2" t="n">
        <v>317</v>
      </c>
    </row>
    <row r="1282" customFormat="false" ht="15" hidden="false" customHeight="false" outlineLevel="0" collapsed="false">
      <c r="A1282" s="2" t="s">
        <v>860</v>
      </c>
      <c r="B1282" s="2" t="s">
        <v>723</v>
      </c>
      <c r="C1282" s="2" t="s">
        <v>44</v>
      </c>
      <c r="D1282" s="2" t="s">
        <v>5389</v>
      </c>
      <c r="E1282" s="2" t="s">
        <v>4264</v>
      </c>
      <c r="F1282" s="2" t="s">
        <v>10</v>
      </c>
      <c r="G1282" s="2" t="n">
        <v>317</v>
      </c>
    </row>
    <row r="1283" customFormat="false" ht="15" hidden="false" customHeight="false" outlineLevel="0" collapsed="false">
      <c r="A1283" s="2" t="s">
        <v>862</v>
      </c>
      <c r="B1283" s="2" t="s">
        <v>672</v>
      </c>
      <c r="C1283" s="2" t="s">
        <v>423</v>
      </c>
      <c r="D1283" s="2" t="s">
        <v>863</v>
      </c>
      <c r="E1283" s="2" t="s">
        <v>4261</v>
      </c>
      <c r="F1283" s="2" t="s">
        <v>8</v>
      </c>
      <c r="G1283" s="2" t="n">
        <v>318</v>
      </c>
    </row>
    <row r="1284" customFormat="false" ht="15" hidden="false" customHeight="false" outlineLevel="0" collapsed="false">
      <c r="A1284" s="2" t="s">
        <v>867</v>
      </c>
      <c r="B1284" s="2" t="s">
        <v>868</v>
      </c>
      <c r="C1284" s="2" t="s">
        <v>70</v>
      </c>
      <c r="D1284" s="2" t="s">
        <v>5390</v>
      </c>
      <c r="E1284" s="2" t="s">
        <v>4261</v>
      </c>
      <c r="F1284" s="2" t="s">
        <v>10</v>
      </c>
      <c r="G1284" s="2" t="n">
        <v>320</v>
      </c>
    </row>
    <row r="1285" customFormat="false" ht="15" hidden="false" customHeight="false" outlineLevel="0" collapsed="false">
      <c r="A1285" s="2" t="s">
        <v>867</v>
      </c>
      <c r="B1285" s="2" t="s">
        <v>868</v>
      </c>
      <c r="C1285" s="2" t="s">
        <v>70</v>
      </c>
      <c r="D1285" s="2" t="s">
        <v>5391</v>
      </c>
      <c r="E1285" s="2" t="s">
        <v>4261</v>
      </c>
      <c r="F1285" s="2" t="s">
        <v>10</v>
      </c>
      <c r="G1285" s="2" t="n">
        <v>320</v>
      </c>
    </row>
    <row r="1286" customFormat="false" ht="15" hidden="false" customHeight="false" outlineLevel="0" collapsed="false">
      <c r="A1286" s="2" t="s">
        <v>867</v>
      </c>
      <c r="B1286" s="2" t="s">
        <v>868</v>
      </c>
      <c r="C1286" s="2" t="s">
        <v>70</v>
      </c>
      <c r="D1286" s="2" t="s">
        <v>5392</v>
      </c>
      <c r="E1286" s="2" t="s">
        <v>4261</v>
      </c>
      <c r="F1286" s="2" t="s">
        <v>10</v>
      </c>
      <c r="G1286" s="2" t="n">
        <v>320</v>
      </c>
    </row>
    <row r="1287" customFormat="false" ht="15" hidden="false" customHeight="false" outlineLevel="0" collapsed="false">
      <c r="A1287" s="2" t="s">
        <v>867</v>
      </c>
      <c r="B1287" s="2" t="s">
        <v>868</v>
      </c>
      <c r="C1287" s="2" t="s">
        <v>70</v>
      </c>
      <c r="D1287" s="2" t="s">
        <v>868</v>
      </c>
      <c r="E1287" s="2" t="s">
        <v>4271</v>
      </c>
      <c r="F1287" s="2" t="s">
        <v>10</v>
      </c>
      <c r="G1287" s="2" t="n">
        <v>320</v>
      </c>
    </row>
    <row r="1288" customFormat="false" ht="15" hidden="false" customHeight="false" outlineLevel="0" collapsed="false">
      <c r="A1288" s="2" t="s">
        <v>867</v>
      </c>
      <c r="B1288" s="2" t="s">
        <v>868</v>
      </c>
      <c r="C1288" s="2" t="s">
        <v>70</v>
      </c>
      <c r="D1288" s="2" t="s">
        <v>5393</v>
      </c>
      <c r="E1288" s="2" t="s">
        <v>4271</v>
      </c>
      <c r="F1288" s="2" t="s">
        <v>10</v>
      </c>
      <c r="G1288" s="2" t="n">
        <v>320</v>
      </c>
    </row>
    <row r="1289" customFormat="false" ht="15" hidden="false" customHeight="false" outlineLevel="0" collapsed="false">
      <c r="A1289" s="2" t="s">
        <v>867</v>
      </c>
      <c r="B1289" s="2" t="s">
        <v>868</v>
      </c>
      <c r="C1289" s="2" t="s">
        <v>70</v>
      </c>
      <c r="D1289" s="2" t="s">
        <v>5394</v>
      </c>
      <c r="E1289" s="2" t="s">
        <v>4261</v>
      </c>
      <c r="F1289" s="2" t="s">
        <v>10</v>
      </c>
      <c r="G1289" s="2" t="n">
        <v>320</v>
      </c>
    </row>
    <row r="1290" customFormat="false" ht="15" hidden="false" customHeight="false" outlineLevel="0" collapsed="false">
      <c r="A1290" s="2" t="s">
        <v>867</v>
      </c>
      <c r="B1290" s="2" t="s">
        <v>868</v>
      </c>
      <c r="C1290" s="2" t="s">
        <v>70</v>
      </c>
      <c r="D1290" s="2" t="s">
        <v>5395</v>
      </c>
      <c r="E1290" s="2" t="s">
        <v>4261</v>
      </c>
      <c r="F1290" s="2" t="s">
        <v>10</v>
      </c>
      <c r="G1290" s="2" t="n">
        <v>320</v>
      </c>
    </row>
    <row r="1291" customFormat="false" ht="15" hidden="false" customHeight="false" outlineLevel="0" collapsed="false">
      <c r="A1291" s="2" t="s">
        <v>867</v>
      </c>
      <c r="B1291" s="2" t="s">
        <v>868</v>
      </c>
      <c r="C1291" s="2" t="s">
        <v>70</v>
      </c>
      <c r="D1291" s="2" t="s">
        <v>5396</v>
      </c>
      <c r="E1291" s="2" t="s">
        <v>4261</v>
      </c>
      <c r="F1291" s="2" t="s">
        <v>10</v>
      </c>
      <c r="G1291" s="2" t="n">
        <v>320</v>
      </c>
    </row>
    <row r="1292" customFormat="false" ht="15" hidden="false" customHeight="false" outlineLevel="0" collapsed="false">
      <c r="A1292" s="2" t="s">
        <v>867</v>
      </c>
      <c r="B1292" s="2" t="s">
        <v>868</v>
      </c>
      <c r="C1292" s="2" t="s">
        <v>70</v>
      </c>
      <c r="D1292" s="2" t="s">
        <v>5397</v>
      </c>
      <c r="E1292" s="2" t="s">
        <v>4261</v>
      </c>
      <c r="F1292" s="2" t="s">
        <v>10</v>
      </c>
      <c r="G1292" s="2" t="n">
        <v>320</v>
      </c>
    </row>
    <row r="1293" customFormat="false" ht="15" hidden="false" customHeight="false" outlineLevel="0" collapsed="false">
      <c r="A1293" s="2" t="s">
        <v>867</v>
      </c>
      <c r="B1293" s="2" t="s">
        <v>868</v>
      </c>
      <c r="C1293" s="2" t="s">
        <v>70</v>
      </c>
      <c r="D1293" s="2" t="s">
        <v>5398</v>
      </c>
      <c r="E1293" s="2" t="s">
        <v>4261</v>
      </c>
      <c r="F1293" s="2" t="s">
        <v>10</v>
      </c>
      <c r="G1293" s="2" t="n">
        <v>320</v>
      </c>
    </row>
    <row r="1294" customFormat="false" ht="15" hidden="false" customHeight="false" outlineLevel="0" collapsed="false">
      <c r="A1294" s="2" t="s">
        <v>867</v>
      </c>
      <c r="B1294" s="2" t="s">
        <v>868</v>
      </c>
      <c r="C1294" s="2" t="s">
        <v>70</v>
      </c>
      <c r="D1294" s="2" t="s">
        <v>5399</v>
      </c>
      <c r="E1294" s="2" t="s">
        <v>4261</v>
      </c>
      <c r="F1294" s="2" t="s">
        <v>10</v>
      </c>
      <c r="G1294" s="2" t="n">
        <v>320</v>
      </c>
    </row>
    <row r="1295" customFormat="false" ht="15" hidden="false" customHeight="false" outlineLevel="0" collapsed="false">
      <c r="A1295" s="2" t="s">
        <v>867</v>
      </c>
      <c r="B1295" s="2" t="s">
        <v>868</v>
      </c>
      <c r="C1295" s="2" t="s">
        <v>70</v>
      </c>
      <c r="D1295" s="2" t="s">
        <v>5400</v>
      </c>
      <c r="E1295" s="2" t="s">
        <v>4261</v>
      </c>
      <c r="F1295" s="2" t="s">
        <v>10</v>
      </c>
      <c r="G1295" s="2" t="n">
        <v>320</v>
      </c>
    </row>
    <row r="1296" customFormat="false" ht="15" hidden="false" customHeight="false" outlineLevel="0" collapsed="false">
      <c r="A1296" s="2" t="s">
        <v>870</v>
      </c>
      <c r="B1296" s="2" t="s">
        <v>349</v>
      </c>
      <c r="C1296" s="2" t="s">
        <v>273</v>
      </c>
      <c r="D1296" s="2" t="s">
        <v>871</v>
      </c>
      <c r="E1296" s="2" t="s">
        <v>4261</v>
      </c>
      <c r="F1296" s="2" t="s">
        <v>10</v>
      </c>
      <c r="G1296" s="2" t="n">
        <v>321</v>
      </c>
    </row>
    <row r="1297" customFormat="false" ht="15" hidden="false" customHeight="false" outlineLevel="0" collapsed="false">
      <c r="A1297" s="2" t="s">
        <v>872</v>
      </c>
      <c r="B1297" s="2" t="s">
        <v>56</v>
      </c>
      <c r="C1297" s="2" t="s">
        <v>56</v>
      </c>
      <c r="D1297" s="2" t="s">
        <v>873</v>
      </c>
      <c r="E1297" s="2" t="s">
        <v>4261</v>
      </c>
      <c r="F1297" s="2" t="s">
        <v>8</v>
      </c>
      <c r="G1297" s="2" t="n">
        <v>322</v>
      </c>
    </row>
    <row r="1298" customFormat="false" ht="15" hidden="false" customHeight="false" outlineLevel="0" collapsed="false">
      <c r="A1298" s="2" t="s">
        <v>874</v>
      </c>
      <c r="B1298" s="2" t="s">
        <v>133</v>
      </c>
      <c r="C1298" s="2" t="s">
        <v>34</v>
      </c>
      <c r="D1298" s="2" t="s">
        <v>934</v>
      </c>
      <c r="E1298" s="2" t="s">
        <v>4261</v>
      </c>
      <c r="F1298" s="2" t="s">
        <v>8</v>
      </c>
      <c r="G1298" s="2" t="n">
        <v>323</v>
      </c>
    </row>
    <row r="1299" customFormat="false" ht="15" hidden="false" customHeight="false" outlineLevel="0" collapsed="false">
      <c r="A1299" s="2" t="s">
        <v>874</v>
      </c>
      <c r="B1299" s="2" t="s">
        <v>133</v>
      </c>
      <c r="C1299" s="2" t="s">
        <v>34</v>
      </c>
      <c r="D1299" s="2" t="s">
        <v>5401</v>
      </c>
      <c r="E1299" s="2" t="s">
        <v>4261</v>
      </c>
      <c r="F1299" s="2" t="s">
        <v>8</v>
      </c>
      <c r="G1299" s="2" t="n">
        <v>323</v>
      </c>
    </row>
    <row r="1300" customFormat="false" ht="15" hidden="false" customHeight="false" outlineLevel="0" collapsed="false">
      <c r="A1300" s="2" t="s">
        <v>876</v>
      </c>
      <c r="B1300" s="2" t="s">
        <v>877</v>
      </c>
      <c r="C1300" s="2" t="s">
        <v>34</v>
      </c>
      <c r="D1300" s="2" t="s">
        <v>5402</v>
      </c>
      <c r="E1300" s="2" t="s">
        <v>4261</v>
      </c>
      <c r="F1300" s="2" t="s">
        <v>8</v>
      </c>
      <c r="G1300" s="2" t="n">
        <v>324</v>
      </c>
    </row>
    <row r="1301" customFormat="false" ht="15" hidden="false" customHeight="false" outlineLevel="0" collapsed="false">
      <c r="A1301" s="2" t="s">
        <v>876</v>
      </c>
      <c r="B1301" s="2" t="s">
        <v>877</v>
      </c>
      <c r="C1301" s="2" t="s">
        <v>34</v>
      </c>
      <c r="D1301" s="2" t="s">
        <v>5195</v>
      </c>
      <c r="E1301" s="2" t="s">
        <v>4261</v>
      </c>
      <c r="F1301" s="2" t="s">
        <v>8</v>
      </c>
      <c r="G1301" s="2" t="n">
        <v>324</v>
      </c>
    </row>
    <row r="1302" customFormat="false" ht="15" hidden="false" customHeight="false" outlineLevel="0" collapsed="false">
      <c r="A1302" s="2" t="s">
        <v>879</v>
      </c>
      <c r="B1302" s="2" t="s">
        <v>880</v>
      </c>
      <c r="C1302" s="2" t="s">
        <v>50</v>
      </c>
      <c r="D1302" s="2" t="s">
        <v>5403</v>
      </c>
      <c r="E1302" s="2" t="s">
        <v>4261</v>
      </c>
      <c r="F1302" s="2" t="s">
        <v>8</v>
      </c>
      <c r="G1302" s="2" t="n">
        <v>325</v>
      </c>
    </row>
    <row r="1303" customFormat="false" ht="15" hidden="false" customHeight="false" outlineLevel="0" collapsed="false">
      <c r="A1303" s="2" t="s">
        <v>879</v>
      </c>
      <c r="B1303" s="2" t="s">
        <v>880</v>
      </c>
      <c r="C1303" s="2" t="s">
        <v>50</v>
      </c>
      <c r="D1303" s="2" t="s">
        <v>5404</v>
      </c>
      <c r="E1303" s="2" t="s">
        <v>4261</v>
      </c>
      <c r="F1303" s="2" t="s">
        <v>8</v>
      </c>
      <c r="G1303" s="2" t="n">
        <v>325</v>
      </c>
    </row>
    <row r="1304" customFormat="false" ht="15" hidden="false" customHeight="false" outlineLevel="0" collapsed="false">
      <c r="A1304" s="2" t="s">
        <v>879</v>
      </c>
      <c r="B1304" s="2" t="s">
        <v>880</v>
      </c>
      <c r="C1304" s="2" t="s">
        <v>50</v>
      </c>
      <c r="D1304" s="2" t="s">
        <v>5405</v>
      </c>
      <c r="E1304" s="2" t="s">
        <v>4261</v>
      </c>
      <c r="F1304" s="2" t="s">
        <v>8</v>
      </c>
      <c r="G1304" s="2" t="n">
        <v>325</v>
      </c>
    </row>
    <row r="1305" customFormat="false" ht="15" hidden="false" customHeight="false" outlineLevel="0" collapsed="false">
      <c r="A1305" s="2" t="s">
        <v>879</v>
      </c>
      <c r="B1305" s="2" t="s">
        <v>880</v>
      </c>
      <c r="C1305" s="2" t="s">
        <v>50</v>
      </c>
      <c r="D1305" s="2" t="s">
        <v>5406</v>
      </c>
      <c r="E1305" s="2" t="s">
        <v>4261</v>
      </c>
      <c r="F1305" s="2" t="s">
        <v>8</v>
      </c>
      <c r="G1305" s="2" t="n">
        <v>325</v>
      </c>
    </row>
    <row r="1306" customFormat="false" ht="15" hidden="false" customHeight="false" outlineLevel="0" collapsed="false">
      <c r="A1306" s="2" t="s">
        <v>879</v>
      </c>
      <c r="B1306" s="2" t="s">
        <v>880</v>
      </c>
      <c r="C1306" s="2" t="s">
        <v>50</v>
      </c>
      <c r="D1306" s="2" t="s">
        <v>5407</v>
      </c>
      <c r="E1306" s="2" t="s">
        <v>4264</v>
      </c>
      <c r="F1306" s="2" t="s">
        <v>8</v>
      </c>
      <c r="G1306" s="2" t="n">
        <v>325</v>
      </c>
    </row>
    <row r="1307" customFormat="false" ht="15" hidden="false" customHeight="false" outlineLevel="0" collapsed="false">
      <c r="A1307" s="2" t="s">
        <v>879</v>
      </c>
      <c r="B1307" s="2" t="s">
        <v>880</v>
      </c>
      <c r="C1307" s="2" t="s">
        <v>50</v>
      </c>
      <c r="D1307" s="2" t="s">
        <v>5391</v>
      </c>
      <c r="E1307" s="2" t="s">
        <v>4261</v>
      </c>
      <c r="F1307" s="2" t="s">
        <v>8</v>
      </c>
      <c r="G1307" s="2" t="n">
        <v>325</v>
      </c>
    </row>
    <row r="1308" customFormat="false" ht="15" hidden="false" customHeight="false" outlineLevel="0" collapsed="false">
      <c r="A1308" s="2" t="s">
        <v>879</v>
      </c>
      <c r="B1308" s="2" t="s">
        <v>880</v>
      </c>
      <c r="C1308" s="2" t="s">
        <v>50</v>
      </c>
      <c r="D1308" s="2" t="s">
        <v>2534</v>
      </c>
      <c r="E1308" s="2" t="s">
        <v>4261</v>
      </c>
      <c r="F1308" s="2" t="s">
        <v>8</v>
      </c>
      <c r="G1308" s="2" t="n">
        <v>325</v>
      </c>
    </row>
    <row r="1309" customFormat="false" ht="15" hidden="false" customHeight="false" outlineLevel="0" collapsed="false">
      <c r="A1309" s="2" t="s">
        <v>879</v>
      </c>
      <c r="B1309" s="2" t="s">
        <v>880</v>
      </c>
      <c r="C1309" s="2" t="s">
        <v>50</v>
      </c>
      <c r="D1309" s="2" t="s">
        <v>125</v>
      </c>
      <c r="E1309" s="2" t="s">
        <v>4261</v>
      </c>
      <c r="F1309" s="2" t="s">
        <v>8</v>
      </c>
      <c r="G1309" s="2" t="n">
        <v>325</v>
      </c>
    </row>
    <row r="1310" customFormat="false" ht="15" hidden="false" customHeight="false" outlineLevel="0" collapsed="false">
      <c r="A1310" s="2" t="s">
        <v>879</v>
      </c>
      <c r="B1310" s="2" t="s">
        <v>880</v>
      </c>
      <c r="C1310" s="2" t="s">
        <v>50</v>
      </c>
      <c r="D1310" s="2" t="s">
        <v>5408</v>
      </c>
      <c r="E1310" s="2" t="s">
        <v>4261</v>
      </c>
      <c r="F1310" s="2" t="s">
        <v>8</v>
      </c>
      <c r="G1310" s="2" t="n">
        <v>325</v>
      </c>
    </row>
    <row r="1311" customFormat="false" ht="15" hidden="false" customHeight="false" outlineLevel="0" collapsed="false">
      <c r="A1311" s="2" t="s">
        <v>879</v>
      </c>
      <c r="B1311" s="2" t="s">
        <v>880</v>
      </c>
      <c r="C1311" s="2" t="s">
        <v>50</v>
      </c>
      <c r="D1311" s="2" t="s">
        <v>4676</v>
      </c>
      <c r="E1311" s="2" t="s">
        <v>4264</v>
      </c>
      <c r="F1311" s="2" t="s">
        <v>8</v>
      </c>
      <c r="G1311" s="2" t="n">
        <v>325</v>
      </c>
    </row>
    <row r="1312" customFormat="false" ht="15" hidden="false" customHeight="false" outlineLevel="0" collapsed="false">
      <c r="A1312" s="2" t="s">
        <v>879</v>
      </c>
      <c r="B1312" s="2" t="s">
        <v>880</v>
      </c>
      <c r="C1312" s="2" t="s">
        <v>50</v>
      </c>
      <c r="D1312" s="2" t="s">
        <v>5409</v>
      </c>
      <c r="E1312" s="2" t="s">
        <v>4261</v>
      </c>
      <c r="F1312" s="2" t="s">
        <v>8</v>
      </c>
      <c r="G1312" s="2" t="n">
        <v>325</v>
      </c>
    </row>
    <row r="1313" customFormat="false" ht="15" hidden="false" customHeight="false" outlineLevel="0" collapsed="false">
      <c r="A1313" s="2" t="s">
        <v>879</v>
      </c>
      <c r="B1313" s="2" t="s">
        <v>880</v>
      </c>
      <c r="C1313" s="2" t="s">
        <v>50</v>
      </c>
      <c r="D1313" s="2" t="s">
        <v>5410</v>
      </c>
      <c r="E1313" s="2" t="s">
        <v>4261</v>
      </c>
      <c r="F1313" s="2" t="s">
        <v>8</v>
      </c>
      <c r="G1313" s="2" t="n">
        <v>325</v>
      </c>
    </row>
    <row r="1314" customFormat="false" ht="15" hidden="false" customHeight="false" outlineLevel="0" collapsed="false">
      <c r="A1314" s="2" t="s">
        <v>879</v>
      </c>
      <c r="B1314" s="2" t="s">
        <v>880</v>
      </c>
      <c r="C1314" s="2" t="s">
        <v>50</v>
      </c>
      <c r="D1314" s="2" t="s">
        <v>5411</v>
      </c>
      <c r="E1314" s="2" t="s">
        <v>4261</v>
      </c>
      <c r="F1314" s="2" t="s">
        <v>8</v>
      </c>
      <c r="G1314" s="2" t="n">
        <v>325</v>
      </c>
    </row>
    <row r="1315" customFormat="false" ht="15" hidden="false" customHeight="false" outlineLevel="0" collapsed="false">
      <c r="A1315" s="2" t="s">
        <v>879</v>
      </c>
      <c r="B1315" s="2" t="s">
        <v>880</v>
      </c>
      <c r="C1315" s="2" t="s">
        <v>50</v>
      </c>
      <c r="D1315" s="2" t="s">
        <v>5412</v>
      </c>
      <c r="E1315" s="2" t="s">
        <v>4261</v>
      </c>
      <c r="F1315" s="2" t="s">
        <v>8</v>
      </c>
      <c r="G1315" s="2" t="n">
        <v>325</v>
      </c>
    </row>
    <row r="1316" customFormat="false" ht="15" hidden="false" customHeight="false" outlineLevel="0" collapsed="false">
      <c r="A1316" s="2" t="s">
        <v>879</v>
      </c>
      <c r="B1316" s="2" t="s">
        <v>880</v>
      </c>
      <c r="C1316" s="2" t="s">
        <v>50</v>
      </c>
      <c r="D1316" s="2" t="s">
        <v>5413</v>
      </c>
      <c r="E1316" s="2" t="s">
        <v>4261</v>
      </c>
      <c r="F1316" s="2" t="s">
        <v>8</v>
      </c>
      <c r="G1316" s="2" t="n">
        <v>325</v>
      </c>
    </row>
    <row r="1317" customFormat="false" ht="15" hidden="false" customHeight="false" outlineLevel="0" collapsed="false">
      <c r="A1317" s="2" t="s">
        <v>879</v>
      </c>
      <c r="B1317" s="2" t="s">
        <v>880</v>
      </c>
      <c r="C1317" s="2" t="s">
        <v>50</v>
      </c>
      <c r="D1317" s="2" t="s">
        <v>5414</v>
      </c>
      <c r="E1317" s="2" t="s">
        <v>4261</v>
      </c>
      <c r="F1317" s="2" t="s">
        <v>8</v>
      </c>
      <c r="G1317" s="2" t="n">
        <v>325</v>
      </c>
    </row>
    <row r="1318" customFormat="false" ht="15" hidden="false" customHeight="false" outlineLevel="0" collapsed="false">
      <c r="A1318" s="2" t="s">
        <v>879</v>
      </c>
      <c r="B1318" s="2" t="s">
        <v>880</v>
      </c>
      <c r="C1318" s="2" t="s">
        <v>50</v>
      </c>
      <c r="D1318" s="2" t="s">
        <v>5415</v>
      </c>
      <c r="E1318" s="2" t="s">
        <v>4261</v>
      </c>
      <c r="F1318" s="2" t="s">
        <v>8</v>
      </c>
      <c r="G1318" s="2" t="n">
        <v>325</v>
      </c>
    </row>
    <row r="1319" customFormat="false" ht="15" hidden="false" customHeight="false" outlineLevel="0" collapsed="false">
      <c r="A1319" s="2" t="s">
        <v>882</v>
      </c>
      <c r="B1319" s="2" t="s">
        <v>44</v>
      </c>
      <c r="C1319" s="2" t="s">
        <v>44</v>
      </c>
      <c r="D1319" s="2" t="s">
        <v>117</v>
      </c>
      <c r="E1319" s="2" t="s">
        <v>4264</v>
      </c>
      <c r="F1319" s="2" t="s">
        <v>9</v>
      </c>
      <c r="G1319" s="2" t="n">
        <v>326</v>
      </c>
    </row>
    <row r="1320" customFormat="false" ht="15" hidden="false" customHeight="false" outlineLevel="0" collapsed="false">
      <c r="A1320" s="2" t="s">
        <v>882</v>
      </c>
      <c r="B1320" s="2" t="s">
        <v>44</v>
      </c>
      <c r="C1320" s="2" t="s">
        <v>44</v>
      </c>
      <c r="D1320" s="2" t="s">
        <v>5416</v>
      </c>
      <c r="E1320" s="2" t="s">
        <v>4264</v>
      </c>
      <c r="F1320" s="2" t="s">
        <v>9</v>
      </c>
      <c r="G1320" s="2" t="n">
        <v>326</v>
      </c>
    </row>
    <row r="1321" customFormat="false" ht="15" hidden="false" customHeight="false" outlineLevel="0" collapsed="false">
      <c r="A1321" s="2" t="s">
        <v>882</v>
      </c>
      <c r="B1321" s="2" t="s">
        <v>44</v>
      </c>
      <c r="C1321" s="2" t="s">
        <v>44</v>
      </c>
      <c r="D1321" s="2" t="s">
        <v>5417</v>
      </c>
      <c r="E1321" s="2" t="s">
        <v>4264</v>
      </c>
      <c r="F1321" s="2" t="s">
        <v>9</v>
      </c>
      <c r="G1321" s="2" t="n">
        <v>326</v>
      </c>
    </row>
    <row r="1322" customFormat="false" ht="15" hidden="false" customHeight="false" outlineLevel="0" collapsed="false">
      <c r="A1322" s="2" t="s">
        <v>882</v>
      </c>
      <c r="B1322" s="2" t="s">
        <v>44</v>
      </c>
      <c r="C1322" s="2" t="s">
        <v>44</v>
      </c>
      <c r="D1322" s="2" t="s">
        <v>5418</v>
      </c>
      <c r="E1322" s="2" t="s">
        <v>4271</v>
      </c>
      <c r="F1322" s="2" t="s">
        <v>9</v>
      </c>
      <c r="G1322" s="2" t="n">
        <v>326</v>
      </c>
    </row>
    <row r="1323" customFormat="false" ht="15" hidden="false" customHeight="false" outlineLevel="0" collapsed="false">
      <c r="A1323" s="2" t="s">
        <v>882</v>
      </c>
      <c r="B1323" s="2" t="s">
        <v>44</v>
      </c>
      <c r="C1323" s="2" t="s">
        <v>44</v>
      </c>
      <c r="D1323" s="2" t="s">
        <v>5419</v>
      </c>
      <c r="E1323" s="2" t="s">
        <v>4264</v>
      </c>
      <c r="F1323" s="2" t="s">
        <v>9</v>
      </c>
      <c r="G1323" s="2" t="n">
        <v>326</v>
      </c>
    </row>
    <row r="1324" customFormat="false" ht="15" hidden="false" customHeight="false" outlineLevel="0" collapsed="false">
      <c r="A1324" s="2" t="s">
        <v>882</v>
      </c>
      <c r="B1324" s="2" t="s">
        <v>44</v>
      </c>
      <c r="C1324" s="2" t="s">
        <v>44</v>
      </c>
      <c r="D1324" s="2" t="s">
        <v>5420</v>
      </c>
      <c r="E1324" s="2" t="s">
        <v>4264</v>
      </c>
      <c r="F1324" s="2" t="s">
        <v>9</v>
      </c>
      <c r="G1324" s="2" t="n">
        <v>326</v>
      </c>
    </row>
    <row r="1325" customFormat="false" ht="15" hidden="false" customHeight="false" outlineLevel="0" collapsed="false">
      <c r="A1325" s="2" t="s">
        <v>884</v>
      </c>
      <c r="B1325" s="2" t="s">
        <v>885</v>
      </c>
      <c r="C1325" s="2" t="s">
        <v>44</v>
      </c>
      <c r="D1325" s="2" t="s">
        <v>5421</v>
      </c>
      <c r="E1325" s="2" t="s">
        <v>4271</v>
      </c>
      <c r="F1325" s="2" t="s">
        <v>10</v>
      </c>
      <c r="G1325" s="2" t="n">
        <v>327</v>
      </c>
    </row>
    <row r="1326" customFormat="false" ht="15" hidden="false" customHeight="false" outlineLevel="0" collapsed="false">
      <c r="A1326" s="2" t="s">
        <v>884</v>
      </c>
      <c r="B1326" s="2" t="s">
        <v>885</v>
      </c>
      <c r="C1326" s="2" t="s">
        <v>44</v>
      </c>
      <c r="D1326" s="2" t="s">
        <v>5422</v>
      </c>
      <c r="E1326" s="2" t="s">
        <v>4261</v>
      </c>
      <c r="F1326" s="2" t="s">
        <v>10</v>
      </c>
      <c r="G1326" s="2" t="n">
        <v>327</v>
      </c>
    </row>
    <row r="1327" customFormat="false" ht="15" hidden="false" customHeight="false" outlineLevel="0" collapsed="false">
      <c r="A1327" s="2" t="s">
        <v>884</v>
      </c>
      <c r="B1327" s="2" t="s">
        <v>885</v>
      </c>
      <c r="C1327" s="2" t="s">
        <v>44</v>
      </c>
      <c r="D1327" s="2" t="s">
        <v>5423</v>
      </c>
      <c r="E1327" s="2" t="s">
        <v>4261</v>
      </c>
      <c r="F1327" s="2" t="s">
        <v>10</v>
      </c>
      <c r="G1327" s="2" t="n">
        <v>327</v>
      </c>
    </row>
    <row r="1328" customFormat="false" ht="15" hidden="false" customHeight="false" outlineLevel="0" collapsed="false">
      <c r="A1328" s="2" t="s">
        <v>884</v>
      </c>
      <c r="B1328" s="2" t="s">
        <v>885</v>
      </c>
      <c r="C1328" s="2" t="s">
        <v>44</v>
      </c>
      <c r="D1328" s="2" t="s">
        <v>5424</v>
      </c>
      <c r="E1328" s="2" t="s">
        <v>4261</v>
      </c>
      <c r="F1328" s="2" t="s">
        <v>10</v>
      </c>
      <c r="G1328" s="2" t="n">
        <v>327</v>
      </c>
    </row>
    <row r="1329" customFormat="false" ht="15" hidden="false" customHeight="false" outlineLevel="0" collapsed="false">
      <c r="A1329" s="2" t="s">
        <v>889</v>
      </c>
      <c r="B1329" s="2" t="s">
        <v>890</v>
      </c>
      <c r="C1329" s="2" t="s">
        <v>70</v>
      </c>
      <c r="D1329" s="2" t="s">
        <v>892</v>
      </c>
      <c r="E1329" s="2" t="s">
        <v>4271</v>
      </c>
      <c r="F1329" s="2" t="s">
        <v>10</v>
      </c>
      <c r="G1329" s="2" t="n">
        <v>329</v>
      </c>
    </row>
    <row r="1330" customFormat="false" ht="15" hidden="false" customHeight="false" outlineLevel="0" collapsed="false">
      <c r="A1330" s="2" t="s">
        <v>889</v>
      </c>
      <c r="B1330" s="2" t="s">
        <v>890</v>
      </c>
      <c r="C1330" s="2" t="s">
        <v>70</v>
      </c>
      <c r="D1330" s="2" t="s">
        <v>890</v>
      </c>
      <c r="E1330" s="2" t="s">
        <v>4271</v>
      </c>
      <c r="F1330" s="2" t="s">
        <v>10</v>
      </c>
      <c r="G1330" s="2" t="n">
        <v>329</v>
      </c>
    </row>
    <row r="1331" customFormat="false" ht="15" hidden="false" customHeight="false" outlineLevel="0" collapsed="false">
      <c r="A1331" s="2" t="s">
        <v>893</v>
      </c>
      <c r="B1331" s="2" t="s">
        <v>423</v>
      </c>
      <c r="C1331" s="2" t="s">
        <v>423</v>
      </c>
      <c r="D1331" s="2" t="s">
        <v>5425</v>
      </c>
      <c r="E1331" s="2" t="s">
        <v>4261</v>
      </c>
      <c r="F1331" s="2" t="s">
        <v>8</v>
      </c>
      <c r="G1331" s="2" t="n">
        <v>330</v>
      </c>
    </row>
    <row r="1332" customFormat="false" ht="15" hidden="false" customHeight="false" outlineLevel="0" collapsed="false">
      <c r="A1332" s="2" t="s">
        <v>893</v>
      </c>
      <c r="B1332" s="2" t="s">
        <v>423</v>
      </c>
      <c r="C1332" s="2" t="s">
        <v>423</v>
      </c>
      <c r="D1332" s="2" t="s">
        <v>5426</v>
      </c>
      <c r="E1332" s="2" t="s">
        <v>4261</v>
      </c>
      <c r="F1332" s="2" t="s">
        <v>8</v>
      </c>
      <c r="G1332" s="2" t="n">
        <v>330</v>
      </c>
    </row>
    <row r="1333" customFormat="false" ht="15" hidden="false" customHeight="false" outlineLevel="0" collapsed="false">
      <c r="A1333" s="2" t="s">
        <v>893</v>
      </c>
      <c r="B1333" s="2" t="s">
        <v>423</v>
      </c>
      <c r="C1333" s="2" t="s">
        <v>423</v>
      </c>
      <c r="D1333" s="2" t="s">
        <v>2776</v>
      </c>
      <c r="E1333" s="2" t="s">
        <v>4261</v>
      </c>
      <c r="F1333" s="2" t="s">
        <v>8</v>
      </c>
      <c r="G1333" s="2" t="n">
        <v>330</v>
      </c>
    </row>
    <row r="1334" customFormat="false" ht="15" hidden="false" customHeight="false" outlineLevel="0" collapsed="false">
      <c r="A1334" s="2" t="s">
        <v>895</v>
      </c>
      <c r="B1334" s="2" t="s">
        <v>56</v>
      </c>
      <c r="C1334" s="2" t="s">
        <v>56</v>
      </c>
      <c r="D1334" s="2" t="s">
        <v>5427</v>
      </c>
      <c r="E1334" s="2" t="s">
        <v>4261</v>
      </c>
      <c r="F1334" s="2" t="s">
        <v>8</v>
      </c>
      <c r="G1334" s="2" t="n">
        <v>331</v>
      </c>
    </row>
    <row r="1335" customFormat="false" ht="15" hidden="false" customHeight="false" outlineLevel="0" collapsed="false">
      <c r="A1335" s="2" t="s">
        <v>895</v>
      </c>
      <c r="B1335" s="2" t="s">
        <v>56</v>
      </c>
      <c r="C1335" s="2" t="s">
        <v>56</v>
      </c>
      <c r="D1335" s="2" t="s">
        <v>5428</v>
      </c>
      <c r="E1335" s="2" t="s">
        <v>4264</v>
      </c>
      <c r="F1335" s="2" t="s">
        <v>8</v>
      </c>
      <c r="G1335" s="2" t="n">
        <v>331</v>
      </c>
    </row>
    <row r="1336" customFormat="false" ht="15" hidden="false" customHeight="false" outlineLevel="0" collapsed="false">
      <c r="A1336" s="2" t="s">
        <v>898</v>
      </c>
      <c r="B1336" s="2" t="s">
        <v>899</v>
      </c>
      <c r="C1336" s="2" t="s">
        <v>70</v>
      </c>
      <c r="D1336" s="2" t="s">
        <v>900</v>
      </c>
      <c r="E1336" s="2" t="s">
        <v>4261</v>
      </c>
      <c r="F1336" s="2" t="s">
        <v>9</v>
      </c>
      <c r="G1336" s="2" t="n">
        <v>333</v>
      </c>
    </row>
    <row r="1337" customFormat="false" ht="15" hidden="false" customHeight="false" outlineLevel="0" collapsed="false">
      <c r="A1337" s="2" t="s">
        <v>901</v>
      </c>
      <c r="B1337" s="2" t="s">
        <v>386</v>
      </c>
      <c r="C1337" s="2" t="s">
        <v>105</v>
      </c>
      <c r="D1337" s="2" t="s">
        <v>902</v>
      </c>
      <c r="E1337" s="2" t="s">
        <v>4271</v>
      </c>
      <c r="F1337" s="2" t="s">
        <v>8</v>
      </c>
      <c r="G1337" s="2" t="n">
        <v>334</v>
      </c>
    </row>
    <row r="1338" customFormat="false" ht="15" hidden="false" customHeight="false" outlineLevel="0" collapsed="false">
      <c r="A1338" s="2" t="s">
        <v>903</v>
      </c>
      <c r="B1338" s="2" t="s">
        <v>266</v>
      </c>
      <c r="C1338" s="2" t="s">
        <v>34</v>
      </c>
      <c r="D1338" s="2" t="s">
        <v>5429</v>
      </c>
      <c r="E1338" s="2" t="s">
        <v>4261</v>
      </c>
      <c r="F1338" s="2" t="s">
        <v>9</v>
      </c>
      <c r="G1338" s="2" t="n">
        <v>335</v>
      </c>
    </row>
    <row r="1339" customFormat="false" ht="15" hidden="false" customHeight="false" outlineLevel="0" collapsed="false">
      <c r="A1339" s="2" t="s">
        <v>903</v>
      </c>
      <c r="B1339" s="2" t="s">
        <v>266</v>
      </c>
      <c r="C1339" s="2" t="s">
        <v>34</v>
      </c>
      <c r="D1339" s="2" t="s">
        <v>5430</v>
      </c>
      <c r="E1339" s="2" t="s">
        <v>4261</v>
      </c>
      <c r="F1339" s="2" t="s">
        <v>9</v>
      </c>
      <c r="G1339" s="2" t="n">
        <v>335</v>
      </c>
    </row>
    <row r="1340" customFormat="false" ht="15" hidden="false" customHeight="false" outlineLevel="0" collapsed="false">
      <c r="A1340" s="2" t="s">
        <v>905</v>
      </c>
      <c r="B1340" s="2" t="s">
        <v>44</v>
      </c>
      <c r="C1340" s="2" t="s">
        <v>44</v>
      </c>
      <c r="D1340" s="2" t="s">
        <v>5431</v>
      </c>
      <c r="E1340" s="2" t="s">
        <v>4264</v>
      </c>
      <c r="F1340" s="2" t="s">
        <v>8</v>
      </c>
      <c r="G1340" s="2" t="n">
        <v>336</v>
      </c>
    </row>
    <row r="1341" customFormat="false" ht="15" hidden="false" customHeight="false" outlineLevel="0" collapsed="false">
      <c r="A1341" s="2" t="s">
        <v>905</v>
      </c>
      <c r="B1341" s="2" t="s">
        <v>44</v>
      </c>
      <c r="C1341" s="2" t="s">
        <v>44</v>
      </c>
      <c r="D1341" s="2" t="s">
        <v>5432</v>
      </c>
      <c r="E1341" s="2" t="s">
        <v>4271</v>
      </c>
      <c r="F1341" s="2" t="s">
        <v>8</v>
      </c>
      <c r="G1341" s="2" t="n">
        <v>336</v>
      </c>
    </row>
    <row r="1342" customFormat="false" ht="15" hidden="false" customHeight="false" outlineLevel="0" collapsed="false">
      <c r="A1342" s="2" t="s">
        <v>905</v>
      </c>
      <c r="B1342" s="2" t="s">
        <v>44</v>
      </c>
      <c r="C1342" s="2" t="s">
        <v>44</v>
      </c>
      <c r="D1342" s="2" t="s">
        <v>5433</v>
      </c>
      <c r="E1342" s="2" t="s">
        <v>4264</v>
      </c>
      <c r="F1342" s="2" t="s">
        <v>8</v>
      </c>
      <c r="G1342" s="2" t="n">
        <v>336</v>
      </c>
    </row>
    <row r="1343" customFormat="false" ht="15" hidden="false" customHeight="false" outlineLevel="0" collapsed="false">
      <c r="A1343" s="2" t="s">
        <v>905</v>
      </c>
      <c r="B1343" s="2" t="s">
        <v>44</v>
      </c>
      <c r="C1343" s="2" t="s">
        <v>44</v>
      </c>
      <c r="D1343" s="2" t="s">
        <v>5434</v>
      </c>
      <c r="E1343" s="2" t="s">
        <v>4264</v>
      </c>
      <c r="F1343" s="2" t="s">
        <v>8</v>
      </c>
      <c r="G1343" s="2" t="n">
        <v>336</v>
      </c>
    </row>
    <row r="1344" customFormat="false" ht="15" hidden="false" customHeight="false" outlineLevel="0" collapsed="false">
      <c r="A1344" s="2" t="s">
        <v>905</v>
      </c>
      <c r="B1344" s="2" t="s">
        <v>44</v>
      </c>
      <c r="C1344" s="2" t="s">
        <v>44</v>
      </c>
      <c r="D1344" s="2" t="s">
        <v>5435</v>
      </c>
      <c r="E1344" s="2" t="s">
        <v>4264</v>
      </c>
      <c r="F1344" s="2" t="s">
        <v>8</v>
      </c>
      <c r="G1344" s="2" t="n">
        <v>336</v>
      </c>
    </row>
    <row r="1345" customFormat="false" ht="15" hidden="false" customHeight="false" outlineLevel="0" collapsed="false">
      <c r="A1345" s="2" t="s">
        <v>905</v>
      </c>
      <c r="B1345" s="2" t="s">
        <v>44</v>
      </c>
      <c r="C1345" s="2" t="s">
        <v>44</v>
      </c>
      <c r="D1345" s="2" t="s">
        <v>5436</v>
      </c>
      <c r="E1345" s="2" t="s">
        <v>4264</v>
      </c>
      <c r="F1345" s="2" t="s">
        <v>8</v>
      </c>
      <c r="G1345" s="2" t="n">
        <v>336</v>
      </c>
    </row>
    <row r="1346" customFormat="false" ht="15" hidden="false" customHeight="false" outlineLevel="0" collapsed="false">
      <c r="A1346" s="2" t="s">
        <v>905</v>
      </c>
      <c r="B1346" s="2" t="s">
        <v>44</v>
      </c>
      <c r="C1346" s="2" t="s">
        <v>44</v>
      </c>
      <c r="D1346" s="2" t="s">
        <v>5437</v>
      </c>
      <c r="E1346" s="2" t="s">
        <v>4264</v>
      </c>
      <c r="F1346" s="2" t="s">
        <v>8</v>
      </c>
      <c r="G1346" s="2" t="n">
        <v>336</v>
      </c>
    </row>
    <row r="1347" customFormat="false" ht="15" hidden="false" customHeight="false" outlineLevel="0" collapsed="false">
      <c r="A1347" s="2" t="s">
        <v>905</v>
      </c>
      <c r="B1347" s="2" t="s">
        <v>44</v>
      </c>
      <c r="C1347" s="2" t="s">
        <v>44</v>
      </c>
      <c r="D1347" s="2" t="s">
        <v>3030</v>
      </c>
      <c r="E1347" s="2" t="s">
        <v>4264</v>
      </c>
      <c r="F1347" s="2" t="s">
        <v>8</v>
      </c>
      <c r="G1347" s="2" t="n">
        <v>336</v>
      </c>
    </row>
    <row r="1348" customFormat="false" ht="15" hidden="false" customHeight="false" outlineLevel="0" collapsed="false">
      <c r="A1348" s="2" t="s">
        <v>905</v>
      </c>
      <c r="B1348" s="2" t="s">
        <v>44</v>
      </c>
      <c r="C1348" s="2" t="s">
        <v>44</v>
      </c>
      <c r="D1348" s="2" t="s">
        <v>5352</v>
      </c>
      <c r="E1348" s="2" t="s">
        <v>4261</v>
      </c>
      <c r="F1348" s="2" t="s">
        <v>8</v>
      </c>
      <c r="G1348" s="2" t="n">
        <v>336</v>
      </c>
    </row>
    <row r="1349" customFormat="false" ht="15" hidden="false" customHeight="false" outlineLevel="0" collapsed="false">
      <c r="A1349" s="2" t="s">
        <v>905</v>
      </c>
      <c r="B1349" s="2" t="s">
        <v>44</v>
      </c>
      <c r="C1349" s="2" t="s">
        <v>44</v>
      </c>
      <c r="D1349" s="2" t="s">
        <v>5438</v>
      </c>
      <c r="E1349" s="2" t="s">
        <v>4264</v>
      </c>
      <c r="F1349" s="2" t="s">
        <v>8</v>
      </c>
      <c r="G1349" s="2" t="n">
        <v>336</v>
      </c>
    </row>
    <row r="1350" customFormat="false" ht="15" hidden="false" customHeight="false" outlineLevel="0" collapsed="false">
      <c r="A1350" s="2" t="s">
        <v>909</v>
      </c>
      <c r="B1350" s="2" t="s">
        <v>910</v>
      </c>
      <c r="C1350" s="2" t="s">
        <v>595</v>
      </c>
      <c r="D1350" s="2" t="s">
        <v>5439</v>
      </c>
      <c r="E1350" s="2" t="s">
        <v>4261</v>
      </c>
      <c r="F1350" s="2" t="s">
        <v>10</v>
      </c>
      <c r="G1350" s="2" t="n">
        <v>338</v>
      </c>
    </row>
    <row r="1351" customFormat="false" ht="15" hidden="false" customHeight="false" outlineLevel="0" collapsed="false">
      <c r="A1351" s="2" t="s">
        <v>909</v>
      </c>
      <c r="B1351" s="2" t="s">
        <v>910</v>
      </c>
      <c r="C1351" s="2" t="s">
        <v>595</v>
      </c>
      <c r="D1351" s="2" t="s">
        <v>3522</v>
      </c>
      <c r="E1351" s="2" t="s">
        <v>4261</v>
      </c>
      <c r="F1351" s="2" t="s">
        <v>10</v>
      </c>
      <c r="G1351" s="2" t="n">
        <v>338</v>
      </c>
    </row>
    <row r="1352" customFormat="false" ht="15" hidden="false" customHeight="false" outlineLevel="0" collapsed="false">
      <c r="A1352" s="2" t="s">
        <v>917</v>
      </c>
      <c r="B1352" s="2" t="s">
        <v>70</v>
      </c>
      <c r="C1352" s="2" t="s">
        <v>70</v>
      </c>
      <c r="D1352" s="2" t="s">
        <v>5440</v>
      </c>
      <c r="E1352" s="2" t="s">
        <v>4261</v>
      </c>
      <c r="F1352" s="2" t="s">
        <v>10</v>
      </c>
      <c r="G1352" s="2" t="n">
        <v>341</v>
      </c>
    </row>
    <row r="1353" customFormat="false" ht="15" hidden="false" customHeight="false" outlineLevel="0" collapsed="false">
      <c r="A1353" s="2" t="s">
        <v>917</v>
      </c>
      <c r="B1353" s="2" t="s">
        <v>70</v>
      </c>
      <c r="C1353" s="2" t="s">
        <v>70</v>
      </c>
      <c r="D1353" s="2" t="s">
        <v>5441</v>
      </c>
      <c r="E1353" s="2" t="s">
        <v>4264</v>
      </c>
      <c r="F1353" s="2" t="s">
        <v>10</v>
      </c>
      <c r="G1353" s="2" t="n">
        <v>341</v>
      </c>
    </row>
    <row r="1354" customFormat="false" ht="15" hidden="false" customHeight="false" outlineLevel="0" collapsed="false">
      <c r="A1354" s="2" t="s">
        <v>917</v>
      </c>
      <c r="B1354" s="2" t="s">
        <v>70</v>
      </c>
      <c r="C1354" s="2" t="s">
        <v>70</v>
      </c>
      <c r="D1354" s="2" t="s">
        <v>5442</v>
      </c>
      <c r="E1354" s="2" t="s">
        <v>4261</v>
      </c>
      <c r="F1354" s="2" t="s">
        <v>10</v>
      </c>
      <c r="G1354" s="2" t="n">
        <v>341</v>
      </c>
    </row>
    <row r="1355" customFormat="false" ht="15" hidden="false" customHeight="false" outlineLevel="0" collapsed="false">
      <c r="A1355" s="2" t="s">
        <v>917</v>
      </c>
      <c r="B1355" s="2" t="s">
        <v>70</v>
      </c>
      <c r="C1355" s="2" t="s">
        <v>70</v>
      </c>
      <c r="D1355" s="2" t="s">
        <v>5443</v>
      </c>
      <c r="E1355" s="2" t="s">
        <v>4264</v>
      </c>
      <c r="F1355" s="2" t="s">
        <v>10</v>
      </c>
      <c r="G1355" s="2" t="n">
        <v>341</v>
      </c>
    </row>
    <row r="1356" customFormat="false" ht="15" hidden="false" customHeight="false" outlineLevel="0" collapsed="false">
      <c r="A1356" s="2" t="s">
        <v>917</v>
      </c>
      <c r="B1356" s="2" t="s">
        <v>70</v>
      </c>
      <c r="C1356" s="2" t="s">
        <v>70</v>
      </c>
      <c r="D1356" s="2" t="s">
        <v>5444</v>
      </c>
      <c r="E1356" s="2" t="s">
        <v>4261</v>
      </c>
      <c r="F1356" s="2" t="s">
        <v>10</v>
      </c>
      <c r="G1356" s="2" t="n">
        <v>341</v>
      </c>
    </row>
    <row r="1357" customFormat="false" ht="15" hidden="false" customHeight="false" outlineLevel="0" collapsed="false">
      <c r="A1357" s="2" t="s">
        <v>917</v>
      </c>
      <c r="B1357" s="2" t="s">
        <v>70</v>
      </c>
      <c r="C1357" s="2" t="s">
        <v>70</v>
      </c>
      <c r="D1357" s="2" t="s">
        <v>5445</v>
      </c>
      <c r="E1357" s="2" t="s">
        <v>4271</v>
      </c>
      <c r="F1357" s="2" t="s">
        <v>10</v>
      </c>
      <c r="G1357" s="2" t="n">
        <v>341</v>
      </c>
    </row>
    <row r="1358" customFormat="false" ht="15" hidden="false" customHeight="false" outlineLevel="0" collapsed="false">
      <c r="A1358" s="2" t="s">
        <v>923</v>
      </c>
      <c r="B1358" s="2" t="s">
        <v>924</v>
      </c>
      <c r="C1358" s="2" t="s">
        <v>70</v>
      </c>
      <c r="D1358" s="2" t="s">
        <v>5446</v>
      </c>
      <c r="E1358" s="2" t="s">
        <v>4261</v>
      </c>
      <c r="F1358" s="2" t="s">
        <v>9</v>
      </c>
      <c r="G1358" s="2" t="n">
        <v>344</v>
      </c>
    </row>
    <row r="1359" customFormat="false" ht="15" hidden="false" customHeight="false" outlineLevel="0" collapsed="false">
      <c r="A1359" s="2" t="s">
        <v>923</v>
      </c>
      <c r="B1359" s="2" t="s">
        <v>924</v>
      </c>
      <c r="C1359" s="2" t="s">
        <v>70</v>
      </c>
      <c r="D1359" s="2" t="s">
        <v>5447</v>
      </c>
      <c r="E1359" s="2" t="s">
        <v>4271</v>
      </c>
      <c r="F1359" s="2" t="s">
        <v>9</v>
      </c>
      <c r="G1359" s="2" t="n">
        <v>344</v>
      </c>
    </row>
    <row r="1360" customFormat="false" ht="15" hidden="false" customHeight="false" outlineLevel="0" collapsed="false">
      <c r="A1360" s="2" t="s">
        <v>927</v>
      </c>
      <c r="B1360" s="2" t="s">
        <v>885</v>
      </c>
      <c r="C1360" s="2" t="s">
        <v>44</v>
      </c>
      <c r="D1360" s="2" t="s">
        <v>5448</v>
      </c>
      <c r="E1360" s="2" t="s">
        <v>4264</v>
      </c>
      <c r="F1360" s="2" t="s">
        <v>10</v>
      </c>
      <c r="G1360" s="2" t="n">
        <v>345</v>
      </c>
    </row>
    <row r="1361" customFormat="false" ht="15" hidden="false" customHeight="false" outlineLevel="0" collapsed="false">
      <c r="A1361" s="2" t="s">
        <v>927</v>
      </c>
      <c r="B1361" s="2" t="s">
        <v>885</v>
      </c>
      <c r="C1361" s="2" t="s">
        <v>44</v>
      </c>
      <c r="D1361" s="2" t="s">
        <v>5045</v>
      </c>
      <c r="E1361" s="2" t="s">
        <v>4261</v>
      </c>
      <c r="F1361" s="2" t="s">
        <v>10</v>
      </c>
      <c r="G1361" s="2" t="n">
        <v>345</v>
      </c>
    </row>
    <row r="1362" customFormat="false" ht="15" hidden="false" customHeight="false" outlineLevel="0" collapsed="false">
      <c r="A1362" s="2" t="s">
        <v>927</v>
      </c>
      <c r="B1362" s="2" t="s">
        <v>885</v>
      </c>
      <c r="C1362" s="2" t="s">
        <v>44</v>
      </c>
      <c r="D1362" s="2" t="s">
        <v>5347</v>
      </c>
      <c r="E1362" s="2" t="s">
        <v>4271</v>
      </c>
      <c r="F1362" s="2" t="s">
        <v>10</v>
      </c>
      <c r="G1362" s="2" t="n">
        <v>345</v>
      </c>
    </row>
    <row r="1363" customFormat="false" ht="15" hidden="false" customHeight="false" outlineLevel="0" collapsed="false">
      <c r="A1363" s="2" t="s">
        <v>927</v>
      </c>
      <c r="B1363" s="2" t="s">
        <v>885</v>
      </c>
      <c r="C1363" s="2" t="s">
        <v>44</v>
      </c>
      <c r="D1363" s="2" t="s">
        <v>5449</v>
      </c>
      <c r="E1363" s="2" t="s">
        <v>4261</v>
      </c>
      <c r="F1363" s="2" t="s">
        <v>10</v>
      </c>
      <c r="G1363" s="2" t="n">
        <v>345</v>
      </c>
    </row>
    <row r="1364" customFormat="false" ht="15" hidden="false" customHeight="false" outlineLevel="0" collapsed="false">
      <c r="A1364" s="2" t="s">
        <v>930</v>
      </c>
      <c r="B1364" s="2" t="s">
        <v>931</v>
      </c>
      <c r="C1364" s="2" t="s">
        <v>70</v>
      </c>
      <c r="D1364" s="2" t="s">
        <v>5450</v>
      </c>
      <c r="E1364" s="2" t="s">
        <v>4261</v>
      </c>
      <c r="F1364" s="2" t="s">
        <v>10</v>
      </c>
      <c r="G1364" s="2" t="n">
        <v>347</v>
      </c>
    </row>
    <row r="1365" customFormat="false" ht="15" hidden="false" customHeight="false" outlineLevel="0" collapsed="false">
      <c r="A1365" s="2" t="s">
        <v>930</v>
      </c>
      <c r="B1365" s="2" t="s">
        <v>931</v>
      </c>
      <c r="C1365" s="2" t="s">
        <v>70</v>
      </c>
      <c r="D1365" s="2" t="s">
        <v>5451</v>
      </c>
      <c r="E1365" s="2" t="s">
        <v>4261</v>
      </c>
      <c r="F1365" s="2" t="s">
        <v>10</v>
      </c>
      <c r="G1365" s="2" t="n">
        <v>347</v>
      </c>
    </row>
    <row r="1366" customFormat="false" ht="15" hidden="false" customHeight="false" outlineLevel="0" collapsed="false">
      <c r="A1366" s="2" t="s">
        <v>935</v>
      </c>
      <c r="B1366" s="2" t="s">
        <v>70</v>
      </c>
      <c r="C1366" s="2" t="s">
        <v>70</v>
      </c>
      <c r="D1366" s="2" t="s">
        <v>5452</v>
      </c>
      <c r="E1366" s="2" t="s">
        <v>4271</v>
      </c>
      <c r="F1366" s="2" t="s">
        <v>8</v>
      </c>
      <c r="G1366" s="2" t="n">
        <v>349</v>
      </c>
    </row>
    <row r="1367" customFormat="false" ht="15" hidden="false" customHeight="false" outlineLevel="0" collapsed="false">
      <c r="A1367" s="2" t="s">
        <v>935</v>
      </c>
      <c r="B1367" s="2" t="s">
        <v>70</v>
      </c>
      <c r="C1367" s="2" t="s">
        <v>70</v>
      </c>
      <c r="D1367" s="2" t="s">
        <v>5453</v>
      </c>
      <c r="E1367" s="2" t="s">
        <v>4271</v>
      </c>
      <c r="F1367" s="2" t="s">
        <v>8</v>
      </c>
      <c r="G1367" s="2" t="n">
        <v>349</v>
      </c>
    </row>
    <row r="1368" customFormat="false" ht="15" hidden="false" customHeight="false" outlineLevel="0" collapsed="false">
      <c r="A1368" s="2" t="s">
        <v>937</v>
      </c>
      <c r="B1368" s="2" t="s">
        <v>798</v>
      </c>
      <c r="C1368" s="2" t="s">
        <v>70</v>
      </c>
      <c r="D1368" s="2" t="s">
        <v>798</v>
      </c>
      <c r="E1368" s="2" t="s">
        <v>4271</v>
      </c>
      <c r="F1368" s="2" t="s">
        <v>8</v>
      </c>
      <c r="G1368" s="2" t="n">
        <v>350</v>
      </c>
    </row>
    <row r="1369" customFormat="false" ht="15" hidden="false" customHeight="false" outlineLevel="0" collapsed="false">
      <c r="A1369" s="2" t="s">
        <v>937</v>
      </c>
      <c r="B1369" s="2" t="s">
        <v>798</v>
      </c>
      <c r="C1369" s="2" t="s">
        <v>70</v>
      </c>
      <c r="D1369" s="2" t="s">
        <v>5454</v>
      </c>
      <c r="E1369" s="2" t="s">
        <v>4271</v>
      </c>
      <c r="F1369" s="2" t="s">
        <v>8</v>
      </c>
      <c r="G1369" s="2" t="n">
        <v>350</v>
      </c>
    </row>
    <row r="1370" customFormat="false" ht="15" hidden="false" customHeight="false" outlineLevel="0" collapsed="false">
      <c r="A1370" s="2" t="s">
        <v>939</v>
      </c>
      <c r="B1370" s="2" t="s">
        <v>138</v>
      </c>
      <c r="C1370" s="2" t="s">
        <v>27</v>
      </c>
      <c r="D1370" s="2" t="s">
        <v>5455</v>
      </c>
      <c r="E1370" s="2" t="s">
        <v>4261</v>
      </c>
      <c r="F1370" s="2" t="s">
        <v>8</v>
      </c>
      <c r="G1370" s="2" t="n">
        <v>351</v>
      </c>
    </row>
    <row r="1371" customFormat="false" ht="15" hidden="false" customHeight="false" outlineLevel="0" collapsed="false">
      <c r="A1371" s="2" t="s">
        <v>939</v>
      </c>
      <c r="B1371" s="2" t="s">
        <v>138</v>
      </c>
      <c r="C1371" s="2" t="s">
        <v>27</v>
      </c>
      <c r="D1371" s="2" t="s">
        <v>5456</v>
      </c>
      <c r="E1371" s="2" t="s">
        <v>4261</v>
      </c>
      <c r="F1371" s="2" t="s">
        <v>8</v>
      </c>
      <c r="G1371" s="2" t="n">
        <v>351</v>
      </c>
    </row>
    <row r="1372" customFormat="false" ht="15" hidden="false" customHeight="false" outlineLevel="0" collapsed="false">
      <c r="A1372" s="2" t="s">
        <v>939</v>
      </c>
      <c r="B1372" s="2" t="s">
        <v>138</v>
      </c>
      <c r="C1372" s="2" t="s">
        <v>27</v>
      </c>
      <c r="D1372" s="2" t="s">
        <v>5457</v>
      </c>
      <c r="E1372" s="2" t="s">
        <v>4264</v>
      </c>
      <c r="F1372" s="2" t="s">
        <v>8</v>
      </c>
      <c r="G1372" s="2" t="n">
        <v>351</v>
      </c>
    </row>
    <row r="1373" customFormat="false" ht="15" hidden="false" customHeight="false" outlineLevel="0" collapsed="false">
      <c r="A1373" s="2" t="s">
        <v>939</v>
      </c>
      <c r="B1373" s="2" t="s">
        <v>138</v>
      </c>
      <c r="C1373" s="2" t="s">
        <v>27</v>
      </c>
      <c r="D1373" s="2" t="s">
        <v>5458</v>
      </c>
      <c r="E1373" s="2" t="s">
        <v>4261</v>
      </c>
      <c r="F1373" s="2" t="s">
        <v>8</v>
      </c>
      <c r="G1373" s="2" t="n">
        <v>351</v>
      </c>
    </row>
    <row r="1374" customFormat="false" ht="15" hidden="false" customHeight="false" outlineLevel="0" collapsed="false">
      <c r="A1374" s="2" t="s">
        <v>939</v>
      </c>
      <c r="B1374" s="2" t="s">
        <v>138</v>
      </c>
      <c r="C1374" s="2" t="s">
        <v>27</v>
      </c>
      <c r="D1374" s="2" t="s">
        <v>5459</v>
      </c>
      <c r="E1374" s="2" t="s">
        <v>4261</v>
      </c>
      <c r="F1374" s="2" t="s">
        <v>8</v>
      </c>
      <c r="G1374" s="2" t="n">
        <v>351</v>
      </c>
    </row>
    <row r="1375" customFormat="false" ht="15" hidden="false" customHeight="false" outlineLevel="0" collapsed="false">
      <c r="A1375" s="2" t="s">
        <v>939</v>
      </c>
      <c r="B1375" s="2" t="s">
        <v>138</v>
      </c>
      <c r="C1375" s="2" t="s">
        <v>27</v>
      </c>
      <c r="D1375" s="2" t="s">
        <v>5460</v>
      </c>
      <c r="E1375" s="2" t="s">
        <v>4264</v>
      </c>
      <c r="F1375" s="2" t="s">
        <v>8</v>
      </c>
      <c r="G1375" s="2" t="n">
        <v>351</v>
      </c>
    </row>
    <row r="1376" customFormat="false" ht="15" hidden="false" customHeight="false" outlineLevel="0" collapsed="false">
      <c r="A1376" s="2" t="s">
        <v>939</v>
      </c>
      <c r="B1376" s="2" t="s">
        <v>138</v>
      </c>
      <c r="C1376" s="2" t="s">
        <v>27</v>
      </c>
      <c r="D1376" s="2" t="s">
        <v>5461</v>
      </c>
      <c r="E1376" s="2" t="s">
        <v>4261</v>
      </c>
      <c r="F1376" s="2" t="s">
        <v>8</v>
      </c>
      <c r="G1376" s="2" t="n">
        <v>351</v>
      </c>
    </row>
    <row r="1377" customFormat="false" ht="15" hidden="false" customHeight="false" outlineLevel="0" collapsed="false">
      <c r="A1377" s="2" t="s">
        <v>939</v>
      </c>
      <c r="B1377" s="2" t="s">
        <v>138</v>
      </c>
      <c r="C1377" s="2" t="s">
        <v>27</v>
      </c>
      <c r="D1377" s="2" t="s">
        <v>5462</v>
      </c>
      <c r="E1377" s="2" t="s">
        <v>4261</v>
      </c>
      <c r="F1377" s="2" t="s">
        <v>8</v>
      </c>
      <c r="G1377" s="2" t="n">
        <v>351</v>
      </c>
    </row>
    <row r="1378" customFormat="false" ht="15" hidden="false" customHeight="false" outlineLevel="0" collapsed="false">
      <c r="A1378" s="2" t="s">
        <v>939</v>
      </c>
      <c r="B1378" s="2" t="s">
        <v>138</v>
      </c>
      <c r="C1378" s="2" t="s">
        <v>27</v>
      </c>
      <c r="D1378" s="2" t="s">
        <v>5463</v>
      </c>
      <c r="E1378" s="2" t="s">
        <v>4261</v>
      </c>
      <c r="F1378" s="2" t="s">
        <v>8</v>
      </c>
      <c r="G1378" s="2" t="n">
        <v>351</v>
      </c>
    </row>
    <row r="1379" customFormat="false" ht="15" hidden="false" customHeight="false" outlineLevel="0" collapsed="false">
      <c r="A1379" s="2" t="s">
        <v>939</v>
      </c>
      <c r="B1379" s="2" t="s">
        <v>138</v>
      </c>
      <c r="C1379" s="2" t="s">
        <v>27</v>
      </c>
      <c r="D1379" s="2" t="s">
        <v>5464</v>
      </c>
      <c r="E1379" s="2" t="s">
        <v>4261</v>
      </c>
      <c r="F1379" s="2" t="s">
        <v>8</v>
      </c>
      <c r="G1379" s="2" t="n">
        <v>351</v>
      </c>
    </row>
    <row r="1380" customFormat="false" ht="15" hidden="false" customHeight="false" outlineLevel="0" collapsed="false">
      <c r="A1380" s="2" t="s">
        <v>939</v>
      </c>
      <c r="B1380" s="2" t="s">
        <v>138</v>
      </c>
      <c r="C1380" s="2" t="s">
        <v>27</v>
      </c>
      <c r="D1380" s="2" t="s">
        <v>5465</v>
      </c>
      <c r="E1380" s="2" t="s">
        <v>4261</v>
      </c>
      <c r="F1380" s="2" t="s">
        <v>8</v>
      </c>
      <c r="G1380" s="2" t="n">
        <v>351</v>
      </c>
    </row>
    <row r="1381" customFormat="false" ht="15" hidden="false" customHeight="false" outlineLevel="0" collapsed="false">
      <c r="A1381" s="2" t="s">
        <v>939</v>
      </c>
      <c r="B1381" s="2" t="s">
        <v>138</v>
      </c>
      <c r="C1381" s="2" t="s">
        <v>27</v>
      </c>
      <c r="D1381" s="2" t="s">
        <v>5466</v>
      </c>
      <c r="E1381" s="2" t="s">
        <v>4261</v>
      </c>
      <c r="F1381" s="2" t="s">
        <v>8</v>
      </c>
      <c r="G1381" s="2" t="n">
        <v>351</v>
      </c>
    </row>
    <row r="1382" customFormat="false" ht="15" hidden="false" customHeight="false" outlineLevel="0" collapsed="false">
      <c r="A1382" s="2" t="s">
        <v>939</v>
      </c>
      <c r="B1382" s="2" t="s">
        <v>138</v>
      </c>
      <c r="C1382" s="2" t="s">
        <v>27</v>
      </c>
      <c r="D1382" s="2" t="s">
        <v>5467</v>
      </c>
      <c r="E1382" s="2" t="s">
        <v>4261</v>
      </c>
      <c r="F1382" s="2" t="s">
        <v>8</v>
      </c>
      <c r="G1382" s="2" t="n">
        <v>351</v>
      </c>
    </row>
    <row r="1383" customFormat="false" ht="15" hidden="false" customHeight="false" outlineLevel="0" collapsed="false">
      <c r="A1383" s="2" t="s">
        <v>939</v>
      </c>
      <c r="B1383" s="2" t="s">
        <v>138</v>
      </c>
      <c r="C1383" s="2" t="s">
        <v>27</v>
      </c>
      <c r="D1383" s="2" t="s">
        <v>5468</v>
      </c>
      <c r="E1383" s="2" t="s">
        <v>4261</v>
      </c>
      <c r="F1383" s="2" t="s">
        <v>8</v>
      </c>
      <c r="G1383" s="2" t="n">
        <v>351</v>
      </c>
    </row>
    <row r="1384" customFormat="false" ht="15" hidden="false" customHeight="false" outlineLevel="0" collapsed="false">
      <c r="A1384" s="2" t="s">
        <v>939</v>
      </c>
      <c r="B1384" s="2" t="s">
        <v>138</v>
      </c>
      <c r="C1384" s="2" t="s">
        <v>27</v>
      </c>
      <c r="D1384" s="2" t="s">
        <v>5469</v>
      </c>
      <c r="E1384" s="2" t="s">
        <v>4261</v>
      </c>
      <c r="F1384" s="2" t="s">
        <v>8</v>
      </c>
      <c r="G1384" s="2" t="n">
        <v>351</v>
      </c>
    </row>
    <row r="1385" customFormat="false" ht="15" hidden="false" customHeight="false" outlineLevel="0" collapsed="false">
      <c r="A1385" s="2" t="s">
        <v>939</v>
      </c>
      <c r="B1385" s="2" t="s">
        <v>138</v>
      </c>
      <c r="C1385" s="2" t="s">
        <v>27</v>
      </c>
      <c r="D1385" s="2" t="s">
        <v>5470</v>
      </c>
      <c r="E1385" s="2" t="s">
        <v>4261</v>
      </c>
      <c r="F1385" s="2" t="s">
        <v>8</v>
      </c>
      <c r="G1385" s="2" t="n">
        <v>351</v>
      </c>
    </row>
    <row r="1386" customFormat="false" ht="15" hidden="false" customHeight="false" outlineLevel="0" collapsed="false">
      <c r="A1386" s="2" t="s">
        <v>939</v>
      </c>
      <c r="B1386" s="2" t="s">
        <v>138</v>
      </c>
      <c r="C1386" s="2" t="s">
        <v>27</v>
      </c>
      <c r="D1386" s="2" t="s">
        <v>5471</v>
      </c>
      <c r="E1386" s="2" t="s">
        <v>4261</v>
      </c>
      <c r="F1386" s="2" t="s">
        <v>8</v>
      </c>
      <c r="G1386" s="2" t="n">
        <v>351</v>
      </c>
    </row>
    <row r="1387" customFormat="false" ht="15" hidden="false" customHeight="false" outlineLevel="0" collapsed="false">
      <c r="A1387" s="2" t="s">
        <v>939</v>
      </c>
      <c r="B1387" s="2" t="s">
        <v>138</v>
      </c>
      <c r="C1387" s="2" t="s">
        <v>27</v>
      </c>
      <c r="D1387" s="2" t="s">
        <v>5472</v>
      </c>
      <c r="E1387" s="2" t="s">
        <v>4261</v>
      </c>
      <c r="F1387" s="2" t="s">
        <v>8</v>
      </c>
      <c r="G1387" s="2" t="n">
        <v>351</v>
      </c>
    </row>
    <row r="1388" customFormat="false" ht="15" hidden="false" customHeight="false" outlineLevel="0" collapsed="false">
      <c r="A1388" s="2" t="s">
        <v>939</v>
      </c>
      <c r="B1388" s="2" t="s">
        <v>138</v>
      </c>
      <c r="C1388" s="2" t="s">
        <v>27</v>
      </c>
      <c r="D1388" s="2" t="s">
        <v>5473</v>
      </c>
      <c r="E1388" s="2" t="s">
        <v>4261</v>
      </c>
      <c r="F1388" s="2" t="s">
        <v>8</v>
      </c>
      <c r="G1388" s="2" t="n">
        <v>351</v>
      </c>
    </row>
    <row r="1389" customFormat="false" ht="15" hidden="false" customHeight="false" outlineLevel="0" collapsed="false">
      <c r="A1389" s="2" t="s">
        <v>939</v>
      </c>
      <c r="B1389" s="2" t="s">
        <v>138</v>
      </c>
      <c r="C1389" s="2" t="s">
        <v>27</v>
      </c>
      <c r="D1389" s="2" t="s">
        <v>5474</v>
      </c>
      <c r="E1389" s="2" t="s">
        <v>4261</v>
      </c>
      <c r="F1389" s="2" t="s">
        <v>8</v>
      </c>
      <c r="G1389" s="2" t="n">
        <v>351</v>
      </c>
    </row>
    <row r="1390" customFormat="false" ht="15" hidden="false" customHeight="false" outlineLevel="0" collapsed="false">
      <c r="A1390" s="2" t="s">
        <v>939</v>
      </c>
      <c r="B1390" s="2" t="s">
        <v>138</v>
      </c>
      <c r="C1390" s="2" t="s">
        <v>27</v>
      </c>
      <c r="D1390" s="2" t="s">
        <v>5475</v>
      </c>
      <c r="E1390" s="2" t="s">
        <v>4261</v>
      </c>
      <c r="F1390" s="2" t="s">
        <v>8</v>
      </c>
      <c r="G1390" s="2" t="n">
        <v>351</v>
      </c>
    </row>
    <row r="1391" customFormat="false" ht="15" hidden="false" customHeight="false" outlineLevel="0" collapsed="false">
      <c r="A1391" s="2" t="s">
        <v>939</v>
      </c>
      <c r="B1391" s="2" t="s">
        <v>138</v>
      </c>
      <c r="C1391" s="2" t="s">
        <v>27</v>
      </c>
      <c r="D1391" s="2" t="s">
        <v>5476</v>
      </c>
      <c r="E1391" s="2" t="s">
        <v>4261</v>
      </c>
      <c r="F1391" s="2" t="s">
        <v>8</v>
      </c>
      <c r="G1391" s="2" t="n">
        <v>351</v>
      </c>
    </row>
    <row r="1392" customFormat="false" ht="15" hidden="false" customHeight="false" outlineLevel="0" collapsed="false">
      <c r="A1392" s="2" t="s">
        <v>939</v>
      </c>
      <c r="B1392" s="2" t="s">
        <v>138</v>
      </c>
      <c r="C1392" s="2" t="s">
        <v>27</v>
      </c>
      <c r="D1392" s="2" t="s">
        <v>5477</v>
      </c>
      <c r="E1392" s="2" t="s">
        <v>4261</v>
      </c>
      <c r="F1392" s="2" t="s">
        <v>8</v>
      </c>
      <c r="G1392" s="2" t="n">
        <v>351</v>
      </c>
    </row>
    <row r="1393" customFormat="false" ht="15" hidden="false" customHeight="false" outlineLevel="0" collapsed="false">
      <c r="A1393" s="2" t="s">
        <v>939</v>
      </c>
      <c r="B1393" s="2" t="s">
        <v>138</v>
      </c>
      <c r="C1393" s="2" t="s">
        <v>27</v>
      </c>
      <c r="D1393" s="2" t="s">
        <v>5478</v>
      </c>
      <c r="E1393" s="2" t="s">
        <v>4261</v>
      </c>
      <c r="F1393" s="2" t="s">
        <v>8</v>
      </c>
      <c r="G1393" s="2" t="n">
        <v>351</v>
      </c>
    </row>
    <row r="1394" customFormat="false" ht="15" hidden="false" customHeight="false" outlineLevel="0" collapsed="false">
      <c r="A1394" s="2" t="s">
        <v>939</v>
      </c>
      <c r="B1394" s="2" t="s">
        <v>138</v>
      </c>
      <c r="C1394" s="2" t="s">
        <v>27</v>
      </c>
      <c r="D1394" s="2" t="s">
        <v>5479</v>
      </c>
      <c r="E1394" s="2" t="s">
        <v>4261</v>
      </c>
      <c r="F1394" s="2" t="s">
        <v>8</v>
      </c>
      <c r="G1394" s="2" t="n">
        <v>351</v>
      </c>
    </row>
    <row r="1395" customFormat="false" ht="15" hidden="false" customHeight="false" outlineLevel="0" collapsed="false">
      <c r="A1395" s="2" t="s">
        <v>939</v>
      </c>
      <c r="B1395" s="2" t="s">
        <v>138</v>
      </c>
      <c r="C1395" s="2" t="s">
        <v>27</v>
      </c>
      <c r="D1395" s="2" t="s">
        <v>3574</v>
      </c>
      <c r="E1395" s="2" t="s">
        <v>4261</v>
      </c>
      <c r="F1395" s="2" t="s">
        <v>8</v>
      </c>
      <c r="G1395" s="2" t="n">
        <v>351</v>
      </c>
    </row>
    <row r="1396" customFormat="false" ht="15" hidden="false" customHeight="false" outlineLevel="0" collapsed="false">
      <c r="A1396" s="2" t="s">
        <v>939</v>
      </c>
      <c r="B1396" s="2" t="s">
        <v>138</v>
      </c>
      <c r="C1396" s="2" t="s">
        <v>27</v>
      </c>
      <c r="D1396" s="2" t="s">
        <v>5480</v>
      </c>
      <c r="E1396" s="2" t="s">
        <v>4261</v>
      </c>
      <c r="F1396" s="2" t="s">
        <v>8</v>
      </c>
      <c r="G1396" s="2" t="n">
        <v>351</v>
      </c>
    </row>
    <row r="1397" customFormat="false" ht="15" hidden="false" customHeight="false" outlineLevel="0" collapsed="false">
      <c r="A1397" s="2" t="s">
        <v>941</v>
      </c>
      <c r="B1397" s="2" t="s">
        <v>133</v>
      </c>
      <c r="C1397" s="2" t="s">
        <v>34</v>
      </c>
      <c r="D1397" s="2" t="s">
        <v>5481</v>
      </c>
      <c r="E1397" s="2" t="s">
        <v>4261</v>
      </c>
      <c r="F1397" s="2" t="s">
        <v>8</v>
      </c>
      <c r="G1397" s="2" t="n">
        <v>352</v>
      </c>
    </row>
    <row r="1398" customFormat="false" ht="15" hidden="false" customHeight="false" outlineLevel="0" collapsed="false">
      <c r="A1398" s="2" t="s">
        <v>941</v>
      </c>
      <c r="B1398" s="2" t="s">
        <v>133</v>
      </c>
      <c r="C1398" s="2" t="s">
        <v>34</v>
      </c>
      <c r="D1398" s="2" t="s">
        <v>5482</v>
      </c>
      <c r="E1398" s="2" t="s">
        <v>4261</v>
      </c>
      <c r="F1398" s="2" t="s">
        <v>8</v>
      </c>
      <c r="G1398" s="2" t="n">
        <v>352</v>
      </c>
    </row>
    <row r="1399" customFormat="false" ht="15" hidden="false" customHeight="false" outlineLevel="0" collapsed="false">
      <c r="A1399" s="2" t="s">
        <v>941</v>
      </c>
      <c r="B1399" s="2" t="s">
        <v>133</v>
      </c>
      <c r="C1399" s="2" t="s">
        <v>34</v>
      </c>
      <c r="D1399" s="2" t="s">
        <v>5483</v>
      </c>
      <c r="E1399" s="2" t="s">
        <v>4261</v>
      </c>
      <c r="F1399" s="2" t="s">
        <v>8</v>
      </c>
      <c r="G1399" s="2" t="n">
        <v>352</v>
      </c>
    </row>
    <row r="1400" customFormat="false" ht="15" hidden="false" customHeight="false" outlineLevel="0" collapsed="false">
      <c r="A1400" s="2" t="s">
        <v>941</v>
      </c>
      <c r="B1400" s="2" t="s">
        <v>133</v>
      </c>
      <c r="C1400" s="2" t="s">
        <v>34</v>
      </c>
      <c r="D1400" s="2" t="s">
        <v>5484</v>
      </c>
      <c r="E1400" s="2" t="s">
        <v>4261</v>
      </c>
      <c r="F1400" s="2" t="s">
        <v>8</v>
      </c>
      <c r="G1400" s="2" t="n">
        <v>352</v>
      </c>
    </row>
    <row r="1401" customFormat="false" ht="15" hidden="false" customHeight="false" outlineLevel="0" collapsed="false">
      <c r="A1401" s="2" t="s">
        <v>941</v>
      </c>
      <c r="B1401" s="2" t="s">
        <v>133</v>
      </c>
      <c r="C1401" s="2" t="s">
        <v>34</v>
      </c>
      <c r="D1401" s="2" t="s">
        <v>5485</v>
      </c>
      <c r="E1401" s="2" t="s">
        <v>4271</v>
      </c>
      <c r="F1401" s="2" t="s">
        <v>8</v>
      </c>
      <c r="G1401" s="2" t="n">
        <v>352</v>
      </c>
    </row>
    <row r="1402" customFormat="false" ht="15" hidden="false" customHeight="false" outlineLevel="0" collapsed="false">
      <c r="A1402" s="2" t="s">
        <v>941</v>
      </c>
      <c r="B1402" s="2" t="s">
        <v>133</v>
      </c>
      <c r="C1402" s="2" t="s">
        <v>34</v>
      </c>
      <c r="D1402" s="2" t="s">
        <v>5486</v>
      </c>
      <c r="E1402" s="2" t="s">
        <v>4261</v>
      </c>
      <c r="F1402" s="2" t="s">
        <v>8</v>
      </c>
      <c r="G1402" s="2" t="n">
        <v>352</v>
      </c>
    </row>
    <row r="1403" customFormat="false" ht="15" hidden="false" customHeight="false" outlineLevel="0" collapsed="false">
      <c r="A1403" s="2" t="s">
        <v>941</v>
      </c>
      <c r="B1403" s="2" t="s">
        <v>133</v>
      </c>
      <c r="C1403" s="2" t="s">
        <v>34</v>
      </c>
      <c r="D1403" s="2" t="s">
        <v>5487</v>
      </c>
      <c r="E1403" s="2" t="s">
        <v>4261</v>
      </c>
      <c r="F1403" s="2" t="s">
        <v>8</v>
      </c>
      <c r="G1403" s="2" t="n">
        <v>352</v>
      </c>
    </row>
    <row r="1404" customFormat="false" ht="15" hidden="false" customHeight="false" outlineLevel="0" collapsed="false">
      <c r="A1404" s="2" t="s">
        <v>945</v>
      </c>
      <c r="B1404" s="2" t="s">
        <v>946</v>
      </c>
      <c r="C1404" s="2" t="s">
        <v>380</v>
      </c>
      <c r="D1404" s="2" t="s">
        <v>5488</v>
      </c>
      <c r="E1404" s="2" t="s">
        <v>4261</v>
      </c>
      <c r="F1404" s="2" t="s">
        <v>9</v>
      </c>
      <c r="G1404" s="2" t="n">
        <v>355</v>
      </c>
    </row>
    <row r="1405" customFormat="false" ht="15" hidden="false" customHeight="false" outlineLevel="0" collapsed="false">
      <c r="A1405" s="2" t="s">
        <v>945</v>
      </c>
      <c r="B1405" s="2" t="s">
        <v>946</v>
      </c>
      <c r="C1405" s="2" t="s">
        <v>380</v>
      </c>
      <c r="D1405" s="2" t="s">
        <v>946</v>
      </c>
      <c r="E1405" s="2" t="s">
        <v>4271</v>
      </c>
      <c r="F1405" s="2" t="s">
        <v>9</v>
      </c>
      <c r="G1405" s="2" t="n">
        <v>355</v>
      </c>
    </row>
    <row r="1406" customFormat="false" ht="15" hidden="false" customHeight="false" outlineLevel="0" collapsed="false">
      <c r="A1406" s="2" t="s">
        <v>948</v>
      </c>
      <c r="B1406" s="2" t="s">
        <v>263</v>
      </c>
      <c r="C1406" s="2" t="s">
        <v>27</v>
      </c>
      <c r="D1406" s="2" t="s">
        <v>5489</v>
      </c>
      <c r="E1406" s="2" t="s">
        <v>4271</v>
      </c>
      <c r="F1406" s="2" t="s">
        <v>8</v>
      </c>
      <c r="G1406" s="2" t="n">
        <v>356</v>
      </c>
    </row>
    <row r="1407" customFormat="false" ht="15" hidden="false" customHeight="false" outlineLevel="0" collapsed="false">
      <c r="A1407" s="2" t="s">
        <v>948</v>
      </c>
      <c r="B1407" s="2" t="s">
        <v>263</v>
      </c>
      <c r="C1407" s="2" t="s">
        <v>27</v>
      </c>
      <c r="D1407" s="2" t="s">
        <v>3108</v>
      </c>
      <c r="E1407" s="2" t="s">
        <v>4271</v>
      </c>
      <c r="F1407" s="2" t="s">
        <v>8</v>
      </c>
      <c r="G1407" s="2" t="n">
        <v>356</v>
      </c>
    </row>
    <row r="1408" customFormat="false" ht="15" hidden="false" customHeight="false" outlineLevel="0" collapsed="false">
      <c r="A1408" s="2" t="s">
        <v>950</v>
      </c>
      <c r="B1408" s="2" t="s">
        <v>423</v>
      </c>
      <c r="C1408" s="2" t="s">
        <v>423</v>
      </c>
      <c r="D1408" s="2" t="s">
        <v>5490</v>
      </c>
      <c r="E1408" s="2" t="s">
        <v>4261</v>
      </c>
      <c r="F1408" s="2" t="s">
        <v>8</v>
      </c>
      <c r="G1408" s="2" t="n">
        <v>357</v>
      </c>
    </row>
    <row r="1409" customFormat="false" ht="15" hidden="false" customHeight="false" outlineLevel="0" collapsed="false">
      <c r="A1409" s="2" t="s">
        <v>950</v>
      </c>
      <c r="B1409" s="2" t="s">
        <v>423</v>
      </c>
      <c r="C1409" s="2" t="s">
        <v>423</v>
      </c>
      <c r="D1409" s="2" t="s">
        <v>5211</v>
      </c>
      <c r="E1409" s="2" t="s">
        <v>4261</v>
      </c>
      <c r="F1409" s="2" t="s">
        <v>8</v>
      </c>
      <c r="G1409" s="2" t="n">
        <v>357</v>
      </c>
    </row>
    <row r="1410" customFormat="false" ht="15" hidden="false" customHeight="false" outlineLevel="0" collapsed="false">
      <c r="A1410" s="2" t="s">
        <v>955</v>
      </c>
      <c r="B1410" s="2" t="s">
        <v>70</v>
      </c>
      <c r="C1410" s="2" t="s">
        <v>70</v>
      </c>
      <c r="D1410" s="2" t="s">
        <v>5491</v>
      </c>
      <c r="E1410" s="2" t="s">
        <v>4264</v>
      </c>
      <c r="F1410" s="2" t="s">
        <v>9</v>
      </c>
      <c r="G1410" s="2" t="n">
        <v>360</v>
      </c>
    </row>
    <row r="1411" customFormat="false" ht="15" hidden="false" customHeight="false" outlineLevel="0" collapsed="false">
      <c r="A1411" s="2" t="s">
        <v>955</v>
      </c>
      <c r="B1411" s="2" t="s">
        <v>70</v>
      </c>
      <c r="C1411" s="2" t="s">
        <v>70</v>
      </c>
      <c r="D1411" s="2" t="s">
        <v>5492</v>
      </c>
      <c r="E1411" s="2" t="s">
        <v>4264</v>
      </c>
      <c r="F1411" s="2" t="s">
        <v>9</v>
      </c>
      <c r="G1411" s="2" t="n">
        <v>360</v>
      </c>
    </row>
    <row r="1412" customFormat="false" ht="15" hidden="false" customHeight="false" outlineLevel="0" collapsed="false">
      <c r="A1412" s="2" t="s">
        <v>955</v>
      </c>
      <c r="B1412" s="2" t="s">
        <v>70</v>
      </c>
      <c r="C1412" s="2" t="s">
        <v>70</v>
      </c>
      <c r="D1412" s="2" t="s">
        <v>5493</v>
      </c>
      <c r="E1412" s="2" t="s">
        <v>4264</v>
      </c>
      <c r="F1412" s="2" t="s">
        <v>9</v>
      </c>
      <c r="G1412" s="2" t="n">
        <v>360</v>
      </c>
    </row>
    <row r="1413" customFormat="false" ht="15" hidden="false" customHeight="false" outlineLevel="0" collapsed="false">
      <c r="A1413" s="2" t="s">
        <v>955</v>
      </c>
      <c r="B1413" s="2" t="s">
        <v>70</v>
      </c>
      <c r="C1413" s="2" t="s">
        <v>70</v>
      </c>
      <c r="D1413" s="2" t="s">
        <v>5494</v>
      </c>
      <c r="E1413" s="2" t="s">
        <v>4261</v>
      </c>
      <c r="F1413" s="2" t="s">
        <v>9</v>
      </c>
      <c r="G1413" s="2" t="n">
        <v>360</v>
      </c>
    </row>
    <row r="1414" customFormat="false" ht="15" hidden="false" customHeight="false" outlineLevel="0" collapsed="false">
      <c r="A1414" s="2" t="s">
        <v>955</v>
      </c>
      <c r="B1414" s="2" t="s">
        <v>70</v>
      </c>
      <c r="C1414" s="2" t="s">
        <v>70</v>
      </c>
      <c r="D1414" s="2" t="s">
        <v>5495</v>
      </c>
      <c r="E1414" s="2" t="s">
        <v>4271</v>
      </c>
      <c r="F1414" s="2" t="s">
        <v>9</v>
      </c>
      <c r="G1414" s="2" t="n">
        <v>360</v>
      </c>
    </row>
    <row r="1415" customFormat="false" ht="15" hidden="false" customHeight="false" outlineLevel="0" collapsed="false">
      <c r="A1415" s="2" t="s">
        <v>957</v>
      </c>
      <c r="B1415" s="2" t="s">
        <v>585</v>
      </c>
      <c r="C1415" s="2" t="s">
        <v>27</v>
      </c>
      <c r="D1415" s="2" t="s">
        <v>958</v>
      </c>
      <c r="E1415" s="2" t="s">
        <v>4271</v>
      </c>
      <c r="F1415" s="2" t="s">
        <v>10</v>
      </c>
      <c r="G1415" s="2" t="n">
        <v>361</v>
      </c>
    </row>
    <row r="1416" customFormat="false" ht="15" hidden="false" customHeight="false" outlineLevel="0" collapsed="false">
      <c r="A1416" s="2" t="s">
        <v>959</v>
      </c>
      <c r="B1416" s="2" t="s">
        <v>960</v>
      </c>
      <c r="C1416" s="2" t="s">
        <v>197</v>
      </c>
      <c r="D1416" s="2" t="s">
        <v>5496</v>
      </c>
      <c r="E1416" s="2" t="s">
        <v>4264</v>
      </c>
      <c r="F1416" s="2" t="s">
        <v>10</v>
      </c>
      <c r="G1416" s="2" t="n">
        <v>362</v>
      </c>
    </row>
    <row r="1417" customFormat="false" ht="15" hidden="false" customHeight="false" outlineLevel="0" collapsed="false">
      <c r="A1417" s="2" t="s">
        <v>959</v>
      </c>
      <c r="B1417" s="2" t="s">
        <v>960</v>
      </c>
      <c r="C1417" s="2" t="s">
        <v>197</v>
      </c>
      <c r="D1417" s="2" t="s">
        <v>5497</v>
      </c>
      <c r="E1417" s="2" t="s">
        <v>4261</v>
      </c>
      <c r="F1417" s="2" t="s">
        <v>10</v>
      </c>
      <c r="G1417" s="2" t="n">
        <v>362</v>
      </c>
    </row>
    <row r="1418" customFormat="false" ht="15" hidden="false" customHeight="false" outlineLevel="0" collapsed="false">
      <c r="A1418" s="2" t="s">
        <v>959</v>
      </c>
      <c r="B1418" s="2" t="s">
        <v>960</v>
      </c>
      <c r="C1418" s="2" t="s">
        <v>197</v>
      </c>
      <c r="D1418" s="2" t="s">
        <v>5498</v>
      </c>
      <c r="E1418" s="2" t="s">
        <v>4261</v>
      </c>
      <c r="F1418" s="2" t="s">
        <v>10</v>
      </c>
      <c r="G1418" s="2" t="n">
        <v>362</v>
      </c>
    </row>
    <row r="1419" customFormat="false" ht="15" hidden="false" customHeight="false" outlineLevel="0" collapsed="false">
      <c r="A1419" s="2" t="s">
        <v>959</v>
      </c>
      <c r="B1419" s="2" t="s">
        <v>960</v>
      </c>
      <c r="C1419" s="2" t="s">
        <v>197</v>
      </c>
      <c r="D1419" s="2" t="s">
        <v>5499</v>
      </c>
      <c r="E1419" s="2" t="s">
        <v>4261</v>
      </c>
      <c r="F1419" s="2" t="s">
        <v>10</v>
      </c>
      <c r="G1419" s="2" t="n">
        <v>362</v>
      </c>
    </row>
    <row r="1420" customFormat="false" ht="15" hidden="false" customHeight="false" outlineLevel="0" collapsed="false">
      <c r="A1420" s="2" t="s">
        <v>963</v>
      </c>
      <c r="B1420" s="2" t="s">
        <v>964</v>
      </c>
      <c r="C1420" s="2" t="s">
        <v>27</v>
      </c>
      <c r="D1420" s="2" t="s">
        <v>5500</v>
      </c>
      <c r="E1420" s="2" t="s">
        <v>4261</v>
      </c>
      <c r="F1420" s="2" t="s">
        <v>9</v>
      </c>
      <c r="G1420" s="2" t="n">
        <v>363</v>
      </c>
    </row>
    <row r="1421" customFormat="false" ht="15" hidden="false" customHeight="false" outlineLevel="0" collapsed="false">
      <c r="A1421" s="2" t="s">
        <v>963</v>
      </c>
      <c r="B1421" s="2" t="s">
        <v>964</v>
      </c>
      <c r="C1421" s="2" t="s">
        <v>27</v>
      </c>
      <c r="D1421" s="2" t="s">
        <v>5501</v>
      </c>
      <c r="E1421" s="2" t="s">
        <v>4261</v>
      </c>
      <c r="F1421" s="2" t="s">
        <v>9</v>
      </c>
      <c r="G1421" s="2" t="n">
        <v>363</v>
      </c>
    </row>
    <row r="1422" customFormat="false" ht="15" hidden="false" customHeight="false" outlineLevel="0" collapsed="false">
      <c r="A1422" s="2" t="s">
        <v>963</v>
      </c>
      <c r="B1422" s="2" t="s">
        <v>964</v>
      </c>
      <c r="C1422" s="2" t="s">
        <v>27</v>
      </c>
      <c r="D1422" s="2" t="s">
        <v>5502</v>
      </c>
      <c r="E1422" s="2" t="s">
        <v>4261</v>
      </c>
      <c r="F1422" s="2" t="s">
        <v>9</v>
      </c>
      <c r="G1422" s="2" t="n">
        <v>363</v>
      </c>
    </row>
    <row r="1423" customFormat="false" ht="15" hidden="false" customHeight="false" outlineLevel="0" collapsed="false">
      <c r="A1423" s="2" t="s">
        <v>963</v>
      </c>
      <c r="B1423" s="2" t="s">
        <v>964</v>
      </c>
      <c r="C1423" s="2" t="s">
        <v>27</v>
      </c>
      <c r="D1423" s="2" t="s">
        <v>4781</v>
      </c>
      <c r="E1423" s="2" t="s">
        <v>4261</v>
      </c>
      <c r="F1423" s="2" t="s">
        <v>9</v>
      </c>
      <c r="G1423" s="2" t="n">
        <v>363</v>
      </c>
    </row>
    <row r="1424" customFormat="false" ht="15" hidden="false" customHeight="false" outlineLevel="0" collapsed="false">
      <c r="A1424" s="2" t="s">
        <v>963</v>
      </c>
      <c r="B1424" s="2" t="s">
        <v>964</v>
      </c>
      <c r="C1424" s="2" t="s">
        <v>27</v>
      </c>
      <c r="D1424" s="2" t="s">
        <v>5503</v>
      </c>
      <c r="E1424" s="2" t="s">
        <v>4261</v>
      </c>
      <c r="F1424" s="2" t="s">
        <v>9</v>
      </c>
      <c r="G1424" s="2" t="n">
        <v>363</v>
      </c>
    </row>
    <row r="1425" customFormat="false" ht="15" hidden="false" customHeight="false" outlineLevel="0" collapsed="false">
      <c r="A1425" s="2" t="s">
        <v>966</v>
      </c>
      <c r="B1425" s="2" t="s">
        <v>500</v>
      </c>
      <c r="C1425" s="2" t="s">
        <v>70</v>
      </c>
      <c r="D1425" s="2" t="s">
        <v>967</v>
      </c>
      <c r="E1425" s="2" t="s">
        <v>4261</v>
      </c>
      <c r="F1425" s="2" t="s">
        <v>8</v>
      </c>
      <c r="G1425" s="2" t="n">
        <v>364</v>
      </c>
    </row>
    <row r="1426" customFormat="false" ht="15" hidden="false" customHeight="false" outlineLevel="0" collapsed="false">
      <c r="A1426" s="2" t="s">
        <v>968</v>
      </c>
      <c r="B1426" s="2" t="s">
        <v>969</v>
      </c>
      <c r="C1426" s="2" t="s">
        <v>62</v>
      </c>
      <c r="D1426" s="2" t="s">
        <v>970</v>
      </c>
      <c r="E1426" s="2" t="s">
        <v>4261</v>
      </c>
      <c r="F1426" s="2" t="s">
        <v>8</v>
      </c>
      <c r="G1426" s="2" t="n">
        <v>365</v>
      </c>
    </row>
    <row r="1427" customFormat="false" ht="15" hidden="false" customHeight="false" outlineLevel="0" collapsed="false">
      <c r="A1427" s="2" t="s">
        <v>971</v>
      </c>
      <c r="B1427" s="2" t="s">
        <v>676</v>
      </c>
      <c r="C1427" s="2" t="s">
        <v>39</v>
      </c>
      <c r="D1427" s="2" t="s">
        <v>5504</v>
      </c>
      <c r="E1427" s="2" t="s">
        <v>4261</v>
      </c>
      <c r="F1427" s="2" t="s">
        <v>8</v>
      </c>
      <c r="G1427" s="2" t="n">
        <v>366</v>
      </c>
    </row>
    <row r="1428" customFormat="false" ht="15" hidden="false" customHeight="false" outlineLevel="0" collapsed="false">
      <c r="A1428" s="2" t="s">
        <v>971</v>
      </c>
      <c r="B1428" s="2" t="s">
        <v>676</v>
      </c>
      <c r="C1428" s="2" t="s">
        <v>39</v>
      </c>
      <c r="D1428" s="2" t="s">
        <v>5505</v>
      </c>
      <c r="E1428" s="2" t="s">
        <v>4261</v>
      </c>
      <c r="F1428" s="2" t="s">
        <v>8</v>
      </c>
      <c r="G1428" s="2" t="n">
        <v>366</v>
      </c>
    </row>
    <row r="1429" customFormat="false" ht="15" hidden="false" customHeight="false" outlineLevel="0" collapsed="false">
      <c r="A1429" s="2" t="s">
        <v>973</v>
      </c>
      <c r="B1429" s="2" t="s">
        <v>38</v>
      </c>
      <c r="C1429" s="2" t="s">
        <v>39</v>
      </c>
      <c r="D1429" s="2" t="s">
        <v>974</v>
      </c>
      <c r="E1429" s="2" t="s">
        <v>4271</v>
      </c>
      <c r="F1429" s="2" t="s">
        <v>8</v>
      </c>
      <c r="G1429" s="2" t="n">
        <v>367</v>
      </c>
    </row>
    <row r="1430" customFormat="false" ht="15" hidden="false" customHeight="false" outlineLevel="0" collapsed="false">
      <c r="A1430" s="2" t="s">
        <v>975</v>
      </c>
      <c r="B1430" s="2" t="s">
        <v>976</v>
      </c>
      <c r="C1430" s="2" t="s">
        <v>976</v>
      </c>
      <c r="D1430" s="2" t="s">
        <v>5506</v>
      </c>
      <c r="E1430" s="2" t="s">
        <v>4271</v>
      </c>
      <c r="F1430" s="2" t="s">
        <v>10</v>
      </c>
      <c r="G1430" s="2" t="n">
        <v>368</v>
      </c>
    </row>
    <row r="1431" customFormat="false" ht="15" hidden="false" customHeight="false" outlineLevel="0" collapsed="false">
      <c r="A1431" s="2" t="s">
        <v>975</v>
      </c>
      <c r="B1431" s="2" t="s">
        <v>976</v>
      </c>
      <c r="C1431" s="2" t="s">
        <v>976</v>
      </c>
      <c r="D1431" s="2" t="s">
        <v>5507</v>
      </c>
      <c r="E1431" s="2" t="s">
        <v>4271</v>
      </c>
      <c r="F1431" s="2" t="s">
        <v>10</v>
      </c>
      <c r="G1431" s="2" t="n">
        <v>368</v>
      </c>
    </row>
    <row r="1432" customFormat="false" ht="15" hidden="false" customHeight="false" outlineLevel="0" collapsed="false">
      <c r="A1432" s="2" t="s">
        <v>975</v>
      </c>
      <c r="B1432" s="2" t="s">
        <v>976</v>
      </c>
      <c r="C1432" s="2" t="s">
        <v>976</v>
      </c>
      <c r="D1432" s="2" t="s">
        <v>5508</v>
      </c>
      <c r="E1432" s="2" t="s">
        <v>4261</v>
      </c>
      <c r="F1432" s="2" t="s">
        <v>10</v>
      </c>
      <c r="G1432" s="2" t="n">
        <v>368</v>
      </c>
    </row>
    <row r="1433" customFormat="false" ht="15" hidden="false" customHeight="false" outlineLevel="0" collapsed="false">
      <c r="A1433" s="2" t="s">
        <v>975</v>
      </c>
      <c r="B1433" s="2" t="s">
        <v>976</v>
      </c>
      <c r="C1433" s="2" t="s">
        <v>976</v>
      </c>
      <c r="D1433" s="2" t="s">
        <v>5509</v>
      </c>
      <c r="E1433" s="2" t="s">
        <v>4264</v>
      </c>
      <c r="F1433" s="2" t="s">
        <v>10</v>
      </c>
      <c r="G1433" s="2" t="n">
        <v>368</v>
      </c>
    </row>
    <row r="1434" customFormat="false" ht="15" hidden="false" customHeight="false" outlineLevel="0" collapsed="false">
      <c r="A1434" s="2" t="s">
        <v>975</v>
      </c>
      <c r="B1434" s="2" t="s">
        <v>976</v>
      </c>
      <c r="C1434" s="2" t="s">
        <v>976</v>
      </c>
      <c r="D1434" s="2" t="s">
        <v>5510</v>
      </c>
      <c r="E1434" s="2" t="s">
        <v>4261</v>
      </c>
      <c r="F1434" s="2" t="s">
        <v>10</v>
      </c>
      <c r="G1434" s="2" t="n">
        <v>368</v>
      </c>
    </row>
    <row r="1435" customFormat="false" ht="15" hidden="false" customHeight="false" outlineLevel="0" collapsed="false">
      <c r="A1435" s="2" t="s">
        <v>975</v>
      </c>
      <c r="B1435" s="2" t="s">
        <v>976</v>
      </c>
      <c r="C1435" s="2" t="s">
        <v>976</v>
      </c>
      <c r="D1435" s="2" t="s">
        <v>5511</v>
      </c>
      <c r="E1435" s="2" t="s">
        <v>4261</v>
      </c>
      <c r="F1435" s="2" t="s">
        <v>10</v>
      </c>
      <c r="G1435" s="2" t="n">
        <v>368</v>
      </c>
    </row>
    <row r="1436" customFormat="false" ht="15" hidden="false" customHeight="false" outlineLevel="0" collapsed="false">
      <c r="A1436" s="2" t="s">
        <v>975</v>
      </c>
      <c r="B1436" s="2" t="s">
        <v>976</v>
      </c>
      <c r="C1436" s="2" t="s">
        <v>976</v>
      </c>
      <c r="D1436" s="2" t="s">
        <v>5512</v>
      </c>
      <c r="E1436" s="2" t="s">
        <v>4264</v>
      </c>
      <c r="F1436" s="2" t="s">
        <v>10</v>
      </c>
      <c r="G1436" s="2" t="n">
        <v>368</v>
      </c>
    </row>
    <row r="1437" customFormat="false" ht="15" hidden="false" customHeight="false" outlineLevel="0" collapsed="false">
      <c r="A1437" s="2" t="s">
        <v>975</v>
      </c>
      <c r="B1437" s="2" t="s">
        <v>976</v>
      </c>
      <c r="C1437" s="2" t="s">
        <v>976</v>
      </c>
      <c r="D1437" s="2" t="s">
        <v>5513</v>
      </c>
      <c r="E1437" s="2" t="s">
        <v>4261</v>
      </c>
      <c r="F1437" s="2" t="s">
        <v>10</v>
      </c>
      <c r="G1437" s="2" t="n">
        <v>368</v>
      </c>
    </row>
    <row r="1438" customFormat="false" ht="15" hidden="false" customHeight="false" outlineLevel="0" collapsed="false">
      <c r="A1438" s="2" t="s">
        <v>975</v>
      </c>
      <c r="B1438" s="2" t="s">
        <v>976</v>
      </c>
      <c r="C1438" s="2" t="s">
        <v>976</v>
      </c>
      <c r="D1438" s="2" t="s">
        <v>5514</v>
      </c>
      <c r="E1438" s="2" t="s">
        <v>4264</v>
      </c>
      <c r="F1438" s="2" t="s">
        <v>10</v>
      </c>
      <c r="G1438" s="2" t="n">
        <v>368</v>
      </c>
    </row>
    <row r="1439" customFormat="false" ht="15" hidden="false" customHeight="false" outlineLevel="0" collapsed="false">
      <c r="A1439" s="2" t="s">
        <v>979</v>
      </c>
      <c r="B1439" s="2" t="s">
        <v>433</v>
      </c>
      <c r="C1439" s="2" t="s">
        <v>27</v>
      </c>
      <c r="D1439" s="2" t="s">
        <v>5515</v>
      </c>
      <c r="E1439" s="2" t="s">
        <v>4271</v>
      </c>
      <c r="F1439" s="2" t="s">
        <v>8</v>
      </c>
      <c r="G1439" s="2" t="n">
        <v>370</v>
      </c>
    </row>
    <row r="1440" customFormat="false" ht="15" hidden="false" customHeight="false" outlineLevel="0" collapsed="false">
      <c r="A1440" s="2" t="s">
        <v>979</v>
      </c>
      <c r="B1440" s="2" t="s">
        <v>433</v>
      </c>
      <c r="C1440" s="2" t="s">
        <v>27</v>
      </c>
      <c r="D1440" s="2" t="s">
        <v>5516</v>
      </c>
      <c r="E1440" s="2" t="s">
        <v>4271</v>
      </c>
      <c r="F1440" s="2" t="s">
        <v>8</v>
      </c>
      <c r="G1440" s="2" t="n">
        <v>370</v>
      </c>
    </row>
    <row r="1441" customFormat="false" ht="15" hidden="false" customHeight="false" outlineLevel="0" collapsed="false">
      <c r="A1441" s="2" t="s">
        <v>979</v>
      </c>
      <c r="B1441" s="2" t="s">
        <v>433</v>
      </c>
      <c r="C1441" s="2" t="s">
        <v>27</v>
      </c>
      <c r="D1441" s="2" t="s">
        <v>5517</v>
      </c>
      <c r="E1441" s="2" t="s">
        <v>4261</v>
      </c>
      <c r="F1441" s="2" t="s">
        <v>8</v>
      </c>
      <c r="G1441" s="2" t="n">
        <v>370</v>
      </c>
    </row>
    <row r="1442" customFormat="false" ht="15" hidden="false" customHeight="false" outlineLevel="0" collapsed="false">
      <c r="A1442" s="2" t="s">
        <v>982</v>
      </c>
      <c r="B1442" s="2" t="s">
        <v>56</v>
      </c>
      <c r="C1442" s="2" t="s">
        <v>56</v>
      </c>
      <c r="D1442" s="2" t="s">
        <v>393</v>
      </c>
      <c r="E1442" s="2" t="s">
        <v>4261</v>
      </c>
      <c r="F1442" s="2" t="s">
        <v>8</v>
      </c>
      <c r="G1442" s="2" t="n">
        <v>372</v>
      </c>
    </row>
    <row r="1443" customFormat="false" ht="15" hidden="false" customHeight="false" outlineLevel="0" collapsed="false">
      <c r="A1443" s="2" t="s">
        <v>982</v>
      </c>
      <c r="B1443" s="2" t="s">
        <v>56</v>
      </c>
      <c r="C1443" s="2" t="s">
        <v>56</v>
      </c>
      <c r="D1443" s="2" t="s">
        <v>5518</v>
      </c>
      <c r="E1443" s="2" t="s">
        <v>4261</v>
      </c>
      <c r="F1443" s="2" t="s">
        <v>8</v>
      </c>
      <c r="G1443" s="2" t="n">
        <v>372</v>
      </c>
    </row>
    <row r="1444" customFormat="false" ht="15" hidden="false" customHeight="false" outlineLevel="0" collapsed="false">
      <c r="A1444" s="2" t="s">
        <v>982</v>
      </c>
      <c r="B1444" s="2" t="s">
        <v>56</v>
      </c>
      <c r="C1444" s="2" t="s">
        <v>56</v>
      </c>
      <c r="D1444" s="2" t="s">
        <v>5519</v>
      </c>
      <c r="E1444" s="2" t="s">
        <v>4264</v>
      </c>
      <c r="F1444" s="2" t="s">
        <v>8</v>
      </c>
      <c r="G1444" s="2" t="n">
        <v>372</v>
      </c>
    </row>
    <row r="1445" customFormat="false" ht="15" hidden="false" customHeight="false" outlineLevel="0" collapsed="false">
      <c r="A1445" s="2" t="s">
        <v>982</v>
      </c>
      <c r="B1445" s="2" t="s">
        <v>56</v>
      </c>
      <c r="C1445" s="2" t="s">
        <v>56</v>
      </c>
      <c r="D1445" s="2" t="s">
        <v>5520</v>
      </c>
      <c r="E1445" s="2" t="s">
        <v>4261</v>
      </c>
      <c r="F1445" s="2" t="s">
        <v>8</v>
      </c>
      <c r="G1445" s="2" t="n">
        <v>372</v>
      </c>
    </row>
    <row r="1446" customFormat="false" ht="15" hidden="false" customHeight="false" outlineLevel="0" collapsed="false">
      <c r="A1446" s="2" t="s">
        <v>984</v>
      </c>
      <c r="B1446" s="2" t="s">
        <v>985</v>
      </c>
      <c r="C1446" s="2" t="s">
        <v>70</v>
      </c>
      <c r="D1446" s="2" t="s">
        <v>985</v>
      </c>
      <c r="E1446" s="2" t="s">
        <v>4271</v>
      </c>
      <c r="F1446" s="2" t="s">
        <v>10</v>
      </c>
      <c r="G1446" s="2" t="n">
        <v>373</v>
      </c>
    </row>
    <row r="1447" customFormat="false" ht="15" hidden="false" customHeight="false" outlineLevel="0" collapsed="false">
      <c r="A1447" s="2" t="s">
        <v>984</v>
      </c>
      <c r="B1447" s="2" t="s">
        <v>985</v>
      </c>
      <c r="C1447" s="2" t="s">
        <v>70</v>
      </c>
      <c r="D1447" s="2" t="s">
        <v>5521</v>
      </c>
      <c r="E1447" s="2" t="s">
        <v>4264</v>
      </c>
      <c r="F1447" s="2" t="s">
        <v>10</v>
      </c>
      <c r="G1447" s="2" t="n">
        <v>373</v>
      </c>
    </row>
    <row r="1448" customFormat="false" ht="15" hidden="false" customHeight="false" outlineLevel="0" collapsed="false">
      <c r="A1448" s="2" t="s">
        <v>987</v>
      </c>
      <c r="B1448" s="2" t="s">
        <v>27</v>
      </c>
      <c r="C1448" s="2" t="s">
        <v>27</v>
      </c>
      <c r="D1448" s="2" t="s">
        <v>5522</v>
      </c>
      <c r="E1448" s="2" t="s">
        <v>4271</v>
      </c>
      <c r="F1448" s="2" t="s">
        <v>9</v>
      </c>
      <c r="G1448" s="2" t="n">
        <v>374</v>
      </c>
    </row>
    <row r="1449" customFormat="false" ht="15" hidden="false" customHeight="false" outlineLevel="0" collapsed="false">
      <c r="A1449" s="2" t="s">
        <v>987</v>
      </c>
      <c r="B1449" s="2" t="s">
        <v>27</v>
      </c>
      <c r="C1449" s="2" t="s">
        <v>27</v>
      </c>
      <c r="D1449" s="2" t="s">
        <v>5523</v>
      </c>
      <c r="E1449" s="2" t="s">
        <v>4271</v>
      </c>
      <c r="F1449" s="2" t="s">
        <v>9</v>
      </c>
      <c r="G1449" s="2" t="n">
        <v>374</v>
      </c>
    </row>
    <row r="1450" customFormat="false" ht="15" hidden="false" customHeight="false" outlineLevel="0" collapsed="false">
      <c r="A1450" s="2" t="s">
        <v>989</v>
      </c>
      <c r="B1450" s="2" t="s">
        <v>990</v>
      </c>
      <c r="C1450" s="2" t="s">
        <v>34</v>
      </c>
      <c r="D1450" s="2" t="s">
        <v>5524</v>
      </c>
      <c r="E1450" s="2" t="s">
        <v>4261</v>
      </c>
      <c r="F1450" s="2" t="s">
        <v>9</v>
      </c>
      <c r="G1450" s="2" t="n">
        <v>375</v>
      </c>
    </row>
    <row r="1451" customFormat="false" ht="15" hidden="false" customHeight="false" outlineLevel="0" collapsed="false">
      <c r="A1451" s="2" t="s">
        <v>989</v>
      </c>
      <c r="B1451" s="2" t="s">
        <v>990</v>
      </c>
      <c r="C1451" s="2" t="s">
        <v>34</v>
      </c>
      <c r="D1451" s="2" t="s">
        <v>5525</v>
      </c>
      <c r="E1451" s="2" t="s">
        <v>4261</v>
      </c>
      <c r="F1451" s="2" t="s">
        <v>9</v>
      </c>
      <c r="G1451" s="2" t="n">
        <v>375</v>
      </c>
    </row>
    <row r="1452" customFormat="false" ht="15" hidden="false" customHeight="false" outlineLevel="0" collapsed="false">
      <c r="A1452" s="2" t="s">
        <v>992</v>
      </c>
      <c r="B1452" s="2" t="s">
        <v>993</v>
      </c>
      <c r="C1452" s="2" t="s">
        <v>44</v>
      </c>
      <c r="D1452" s="2" t="s">
        <v>5526</v>
      </c>
      <c r="E1452" s="2" t="s">
        <v>4261</v>
      </c>
      <c r="F1452" s="2" t="s">
        <v>10</v>
      </c>
      <c r="G1452" s="2" t="n">
        <v>376</v>
      </c>
    </row>
    <row r="1453" customFormat="false" ht="15" hidden="false" customHeight="false" outlineLevel="0" collapsed="false">
      <c r="A1453" s="2" t="s">
        <v>992</v>
      </c>
      <c r="B1453" s="2" t="s">
        <v>993</v>
      </c>
      <c r="C1453" s="2" t="s">
        <v>44</v>
      </c>
      <c r="D1453" s="2" t="s">
        <v>5527</v>
      </c>
      <c r="E1453" s="2" t="s">
        <v>4271</v>
      </c>
      <c r="F1453" s="2" t="s">
        <v>10</v>
      </c>
      <c r="G1453" s="2" t="n">
        <v>376</v>
      </c>
    </row>
    <row r="1454" customFormat="false" ht="15" hidden="false" customHeight="false" outlineLevel="0" collapsed="false">
      <c r="A1454" s="2" t="s">
        <v>992</v>
      </c>
      <c r="B1454" s="2" t="s">
        <v>993</v>
      </c>
      <c r="C1454" s="2" t="s">
        <v>44</v>
      </c>
      <c r="D1454" s="2" t="s">
        <v>5244</v>
      </c>
      <c r="E1454" s="2" t="s">
        <v>4261</v>
      </c>
      <c r="F1454" s="2" t="s">
        <v>10</v>
      </c>
      <c r="G1454" s="2" t="n">
        <v>376</v>
      </c>
    </row>
    <row r="1455" customFormat="false" ht="15" hidden="false" customHeight="false" outlineLevel="0" collapsed="false">
      <c r="A1455" s="2" t="s">
        <v>992</v>
      </c>
      <c r="B1455" s="2" t="s">
        <v>993</v>
      </c>
      <c r="C1455" s="2" t="s">
        <v>44</v>
      </c>
      <c r="D1455" s="2" t="s">
        <v>5528</v>
      </c>
      <c r="E1455" s="2" t="s">
        <v>4261</v>
      </c>
      <c r="F1455" s="2" t="s">
        <v>10</v>
      </c>
      <c r="G1455" s="2" t="n">
        <v>376</v>
      </c>
    </row>
    <row r="1456" customFormat="false" ht="15" hidden="false" customHeight="false" outlineLevel="0" collapsed="false">
      <c r="A1456" s="2" t="s">
        <v>992</v>
      </c>
      <c r="B1456" s="2" t="s">
        <v>993</v>
      </c>
      <c r="C1456" s="2" t="s">
        <v>44</v>
      </c>
      <c r="D1456" s="2" t="s">
        <v>5529</v>
      </c>
      <c r="E1456" s="2" t="s">
        <v>4264</v>
      </c>
      <c r="F1456" s="2" t="s">
        <v>10</v>
      </c>
      <c r="G1456" s="2" t="n">
        <v>376</v>
      </c>
    </row>
    <row r="1457" customFormat="false" ht="15" hidden="false" customHeight="false" outlineLevel="0" collapsed="false">
      <c r="A1457" s="2" t="s">
        <v>992</v>
      </c>
      <c r="B1457" s="2" t="s">
        <v>993</v>
      </c>
      <c r="C1457" s="2" t="s">
        <v>44</v>
      </c>
      <c r="D1457" s="2" t="s">
        <v>5530</v>
      </c>
      <c r="E1457" s="2" t="s">
        <v>4261</v>
      </c>
      <c r="F1457" s="2" t="s">
        <v>10</v>
      </c>
      <c r="G1457" s="2" t="n">
        <v>376</v>
      </c>
    </row>
    <row r="1458" customFormat="false" ht="15" hidden="false" customHeight="false" outlineLevel="0" collapsed="false">
      <c r="A1458" s="2" t="s">
        <v>992</v>
      </c>
      <c r="B1458" s="2" t="s">
        <v>993</v>
      </c>
      <c r="C1458" s="2" t="s">
        <v>44</v>
      </c>
      <c r="D1458" s="2" t="s">
        <v>5531</v>
      </c>
      <c r="E1458" s="2" t="s">
        <v>4271</v>
      </c>
      <c r="F1458" s="2" t="s">
        <v>10</v>
      </c>
      <c r="G1458" s="2" t="n">
        <v>376</v>
      </c>
    </row>
    <row r="1459" customFormat="false" ht="15" hidden="false" customHeight="false" outlineLevel="0" collapsed="false">
      <c r="A1459" s="2" t="s">
        <v>992</v>
      </c>
      <c r="B1459" s="2" t="s">
        <v>993</v>
      </c>
      <c r="C1459" s="2" t="s">
        <v>44</v>
      </c>
      <c r="D1459" s="2" t="s">
        <v>5532</v>
      </c>
      <c r="E1459" s="2" t="s">
        <v>4271</v>
      </c>
      <c r="F1459" s="2" t="s">
        <v>10</v>
      </c>
      <c r="G1459" s="2" t="n">
        <v>376</v>
      </c>
    </row>
    <row r="1460" customFormat="false" ht="15" hidden="false" customHeight="false" outlineLevel="0" collapsed="false">
      <c r="A1460" s="2" t="s">
        <v>992</v>
      </c>
      <c r="B1460" s="2" t="s">
        <v>993</v>
      </c>
      <c r="C1460" s="2" t="s">
        <v>44</v>
      </c>
      <c r="D1460" s="2" t="s">
        <v>5533</v>
      </c>
      <c r="E1460" s="2" t="s">
        <v>4264</v>
      </c>
      <c r="F1460" s="2" t="s">
        <v>10</v>
      </c>
      <c r="G1460" s="2" t="n">
        <v>376</v>
      </c>
    </row>
    <row r="1461" customFormat="false" ht="15" hidden="false" customHeight="false" outlineLevel="0" collapsed="false">
      <c r="A1461" s="2" t="s">
        <v>995</v>
      </c>
      <c r="B1461" s="2" t="s">
        <v>679</v>
      </c>
      <c r="C1461" s="2" t="s">
        <v>70</v>
      </c>
      <c r="D1461" s="2" t="s">
        <v>996</v>
      </c>
      <c r="E1461" s="2" t="s">
        <v>4261</v>
      </c>
      <c r="F1461" s="2" t="s">
        <v>8</v>
      </c>
      <c r="G1461" s="2" t="n">
        <v>377</v>
      </c>
    </row>
    <row r="1462" customFormat="false" ht="15" hidden="false" customHeight="false" outlineLevel="0" collapsed="false">
      <c r="A1462" s="2" t="s">
        <v>1003</v>
      </c>
      <c r="B1462" s="2" t="s">
        <v>1004</v>
      </c>
      <c r="C1462" s="2" t="s">
        <v>95</v>
      </c>
      <c r="D1462" s="2" t="s">
        <v>1005</v>
      </c>
      <c r="E1462" s="2" t="s">
        <v>4264</v>
      </c>
      <c r="F1462" s="2" t="s">
        <v>8</v>
      </c>
      <c r="G1462" s="2" t="n">
        <v>381</v>
      </c>
    </row>
    <row r="1463" customFormat="false" ht="15" hidden="false" customHeight="false" outlineLevel="0" collapsed="false">
      <c r="A1463" s="2" t="s">
        <v>1006</v>
      </c>
      <c r="B1463" s="2" t="s">
        <v>471</v>
      </c>
      <c r="C1463" s="2" t="s">
        <v>197</v>
      </c>
      <c r="D1463" s="2" t="s">
        <v>1007</v>
      </c>
      <c r="E1463" s="2" t="s">
        <v>4261</v>
      </c>
      <c r="F1463" s="2" t="s">
        <v>9</v>
      </c>
      <c r="G1463" s="2" t="n">
        <v>382</v>
      </c>
    </row>
    <row r="1464" customFormat="false" ht="15" hidden="false" customHeight="false" outlineLevel="0" collapsed="false">
      <c r="A1464" s="2" t="s">
        <v>1008</v>
      </c>
      <c r="B1464" s="2" t="s">
        <v>885</v>
      </c>
      <c r="C1464" s="2" t="s">
        <v>44</v>
      </c>
      <c r="D1464" s="2" t="s">
        <v>5534</v>
      </c>
      <c r="E1464" s="2" t="s">
        <v>4261</v>
      </c>
      <c r="F1464" s="2" t="s">
        <v>10</v>
      </c>
      <c r="G1464" s="2" t="n">
        <v>383</v>
      </c>
    </row>
    <row r="1465" customFormat="false" ht="15" hidden="false" customHeight="false" outlineLevel="0" collapsed="false">
      <c r="A1465" s="2" t="s">
        <v>1008</v>
      </c>
      <c r="B1465" s="2" t="s">
        <v>885</v>
      </c>
      <c r="C1465" s="2" t="s">
        <v>44</v>
      </c>
      <c r="D1465" s="2" t="s">
        <v>5535</v>
      </c>
      <c r="E1465" s="2" t="s">
        <v>4271</v>
      </c>
      <c r="F1465" s="2" t="s">
        <v>10</v>
      </c>
      <c r="G1465" s="2" t="n">
        <v>383</v>
      </c>
    </row>
    <row r="1466" customFormat="false" ht="15" hidden="false" customHeight="false" outlineLevel="0" collapsed="false">
      <c r="A1466" s="2" t="s">
        <v>1008</v>
      </c>
      <c r="B1466" s="2" t="s">
        <v>885</v>
      </c>
      <c r="C1466" s="2" t="s">
        <v>44</v>
      </c>
      <c r="D1466" s="2" t="s">
        <v>5536</v>
      </c>
      <c r="E1466" s="2" t="s">
        <v>4261</v>
      </c>
      <c r="F1466" s="2" t="s">
        <v>10</v>
      </c>
      <c r="G1466" s="2" t="n">
        <v>383</v>
      </c>
    </row>
    <row r="1467" customFormat="false" ht="15" hidden="false" customHeight="false" outlineLevel="0" collapsed="false">
      <c r="A1467" s="2" t="s">
        <v>1010</v>
      </c>
      <c r="B1467" s="2" t="s">
        <v>500</v>
      </c>
      <c r="C1467" s="2" t="s">
        <v>70</v>
      </c>
      <c r="D1467" s="2" t="s">
        <v>5537</v>
      </c>
      <c r="E1467" s="2" t="s">
        <v>4271</v>
      </c>
      <c r="F1467" s="2" t="s">
        <v>10</v>
      </c>
      <c r="G1467" s="2" t="n">
        <v>384</v>
      </c>
    </row>
    <row r="1468" customFormat="false" ht="15" hidden="false" customHeight="false" outlineLevel="0" collapsed="false">
      <c r="A1468" s="2" t="s">
        <v>1010</v>
      </c>
      <c r="B1468" s="2" t="s">
        <v>500</v>
      </c>
      <c r="C1468" s="2" t="s">
        <v>70</v>
      </c>
      <c r="D1468" s="2" t="s">
        <v>5538</v>
      </c>
      <c r="E1468" s="2" t="s">
        <v>4271</v>
      </c>
      <c r="F1468" s="2" t="s">
        <v>10</v>
      </c>
      <c r="G1468" s="2" t="n">
        <v>384</v>
      </c>
    </row>
    <row r="1469" customFormat="false" ht="15" hidden="false" customHeight="false" outlineLevel="0" collapsed="false">
      <c r="A1469" s="2" t="s">
        <v>1010</v>
      </c>
      <c r="B1469" s="2" t="s">
        <v>500</v>
      </c>
      <c r="C1469" s="2" t="s">
        <v>70</v>
      </c>
      <c r="D1469" s="2" t="s">
        <v>5539</v>
      </c>
      <c r="E1469" s="2" t="s">
        <v>4261</v>
      </c>
      <c r="F1469" s="2" t="s">
        <v>10</v>
      </c>
      <c r="G1469" s="2" t="n">
        <v>384</v>
      </c>
    </row>
    <row r="1470" customFormat="false" ht="15" hidden="false" customHeight="false" outlineLevel="0" collapsed="false">
      <c r="A1470" s="2" t="s">
        <v>1012</v>
      </c>
      <c r="B1470" s="2" t="s">
        <v>1013</v>
      </c>
      <c r="C1470" s="2" t="s">
        <v>70</v>
      </c>
      <c r="D1470" s="2" t="s">
        <v>5540</v>
      </c>
      <c r="E1470" s="2" t="s">
        <v>4271</v>
      </c>
      <c r="F1470" s="2" t="s">
        <v>10</v>
      </c>
      <c r="G1470" s="2" t="n">
        <v>385</v>
      </c>
    </row>
    <row r="1471" customFormat="false" ht="15" hidden="false" customHeight="false" outlineLevel="0" collapsed="false">
      <c r="A1471" s="2" t="s">
        <v>1012</v>
      </c>
      <c r="B1471" s="2" t="s">
        <v>1013</v>
      </c>
      <c r="C1471" s="2" t="s">
        <v>70</v>
      </c>
      <c r="D1471" s="2" t="s">
        <v>5541</v>
      </c>
      <c r="E1471" s="2" t="s">
        <v>4271</v>
      </c>
      <c r="F1471" s="2" t="s">
        <v>10</v>
      </c>
      <c r="G1471" s="2" t="n">
        <v>385</v>
      </c>
    </row>
    <row r="1472" customFormat="false" ht="15" hidden="false" customHeight="false" outlineLevel="0" collapsed="false">
      <c r="A1472" s="2" t="s">
        <v>1012</v>
      </c>
      <c r="B1472" s="2" t="s">
        <v>1013</v>
      </c>
      <c r="C1472" s="2" t="s">
        <v>70</v>
      </c>
      <c r="D1472" s="2" t="s">
        <v>1013</v>
      </c>
      <c r="E1472" s="2" t="s">
        <v>4271</v>
      </c>
      <c r="F1472" s="2" t="s">
        <v>10</v>
      </c>
      <c r="G1472" s="2" t="n">
        <v>385</v>
      </c>
    </row>
    <row r="1473" customFormat="false" ht="15" hidden="false" customHeight="false" outlineLevel="0" collapsed="false">
      <c r="A1473" s="2" t="s">
        <v>1012</v>
      </c>
      <c r="B1473" s="2" t="s">
        <v>1013</v>
      </c>
      <c r="C1473" s="2" t="s">
        <v>70</v>
      </c>
      <c r="D1473" s="2" t="s">
        <v>5542</v>
      </c>
      <c r="E1473" s="2" t="s">
        <v>4271</v>
      </c>
      <c r="F1473" s="2" t="s">
        <v>10</v>
      </c>
      <c r="G1473" s="2" t="n">
        <v>385</v>
      </c>
    </row>
    <row r="1474" customFormat="false" ht="15" hidden="false" customHeight="false" outlineLevel="0" collapsed="false">
      <c r="A1474" s="2" t="s">
        <v>1012</v>
      </c>
      <c r="B1474" s="2" t="s">
        <v>1013</v>
      </c>
      <c r="C1474" s="2" t="s">
        <v>70</v>
      </c>
      <c r="D1474" s="2" t="s">
        <v>5543</v>
      </c>
      <c r="E1474" s="2" t="s">
        <v>4261</v>
      </c>
      <c r="F1474" s="2" t="s">
        <v>10</v>
      </c>
      <c r="G1474" s="2" t="n">
        <v>385</v>
      </c>
    </row>
    <row r="1475" customFormat="false" ht="15" hidden="false" customHeight="false" outlineLevel="0" collapsed="false">
      <c r="A1475" s="2" t="s">
        <v>1018</v>
      </c>
      <c r="B1475" s="2" t="s">
        <v>56</v>
      </c>
      <c r="C1475" s="2" t="s">
        <v>56</v>
      </c>
      <c r="D1475" s="2" t="s">
        <v>5544</v>
      </c>
      <c r="E1475" s="2" t="s">
        <v>4261</v>
      </c>
      <c r="F1475" s="2" t="s">
        <v>8</v>
      </c>
      <c r="G1475" s="2" t="n">
        <v>387</v>
      </c>
    </row>
    <row r="1476" customFormat="false" ht="15" hidden="false" customHeight="false" outlineLevel="0" collapsed="false">
      <c r="A1476" s="2" t="s">
        <v>1018</v>
      </c>
      <c r="B1476" s="2" t="s">
        <v>56</v>
      </c>
      <c r="C1476" s="2" t="s">
        <v>56</v>
      </c>
      <c r="D1476" s="2" t="s">
        <v>5545</v>
      </c>
      <c r="E1476" s="2" t="s">
        <v>4261</v>
      </c>
      <c r="F1476" s="2" t="s">
        <v>8</v>
      </c>
      <c r="G1476" s="2" t="n">
        <v>387</v>
      </c>
    </row>
    <row r="1477" customFormat="false" ht="15" hidden="false" customHeight="false" outlineLevel="0" collapsed="false">
      <c r="A1477" s="2" t="s">
        <v>1018</v>
      </c>
      <c r="B1477" s="2" t="s">
        <v>56</v>
      </c>
      <c r="C1477" s="2" t="s">
        <v>56</v>
      </c>
      <c r="D1477" s="2" t="s">
        <v>5546</v>
      </c>
      <c r="E1477" s="2" t="s">
        <v>4264</v>
      </c>
      <c r="F1477" s="2" t="s">
        <v>8</v>
      </c>
      <c r="G1477" s="2" t="n">
        <v>387</v>
      </c>
    </row>
    <row r="1478" customFormat="false" ht="15" hidden="false" customHeight="false" outlineLevel="0" collapsed="false">
      <c r="A1478" s="2" t="s">
        <v>1018</v>
      </c>
      <c r="B1478" s="2" t="s">
        <v>56</v>
      </c>
      <c r="C1478" s="2" t="s">
        <v>56</v>
      </c>
      <c r="D1478" s="2" t="s">
        <v>5547</v>
      </c>
      <c r="E1478" s="2" t="s">
        <v>4261</v>
      </c>
      <c r="F1478" s="2" t="s">
        <v>8</v>
      </c>
      <c r="G1478" s="2" t="n">
        <v>387</v>
      </c>
    </row>
    <row r="1479" customFormat="false" ht="15" hidden="false" customHeight="false" outlineLevel="0" collapsed="false">
      <c r="A1479" s="2" t="s">
        <v>1018</v>
      </c>
      <c r="B1479" s="2" t="s">
        <v>56</v>
      </c>
      <c r="C1479" s="2" t="s">
        <v>56</v>
      </c>
      <c r="D1479" s="2" t="s">
        <v>5548</v>
      </c>
      <c r="E1479" s="2" t="s">
        <v>4261</v>
      </c>
      <c r="F1479" s="2" t="s">
        <v>8</v>
      </c>
      <c r="G1479" s="2" t="n">
        <v>387</v>
      </c>
    </row>
    <row r="1480" customFormat="false" ht="15" hidden="false" customHeight="false" outlineLevel="0" collapsed="false">
      <c r="A1480" s="2" t="s">
        <v>1018</v>
      </c>
      <c r="B1480" s="2" t="s">
        <v>56</v>
      </c>
      <c r="C1480" s="2" t="s">
        <v>56</v>
      </c>
      <c r="D1480" s="2" t="s">
        <v>5549</v>
      </c>
      <c r="E1480" s="2" t="s">
        <v>4261</v>
      </c>
      <c r="F1480" s="2" t="s">
        <v>8</v>
      </c>
      <c r="G1480" s="2" t="n">
        <v>387</v>
      </c>
    </row>
    <row r="1481" customFormat="false" ht="15" hidden="false" customHeight="false" outlineLevel="0" collapsed="false">
      <c r="A1481" s="2" t="s">
        <v>1020</v>
      </c>
      <c r="B1481" s="2" t="s">
        <v>352</v>
      </c>
      <c r="C1481" s="2" t="s">
        <v>70</v>
      </c>
      <c r="D1481" s="2" t="s">
        <v>5550</v>
      </c>
      <c r="E1481" s="2" t="s">
        <v>4261</v>
      </c>
      <c r="F1481" s="2" t="s">
        <v>9</v>
      </c>
      <c r="G1481" s="2" t="n">
        <v>388</v>
      </c>
    </row>
    <row r="1482" customFormat="false" ht="15" hidden="false" customHeight="false" outlineLevel="0" collapsed="false">
      <c r="A1482" s="2" t="s">
        <v>1020</v>
      </c>
      <c r="B1482" s="2" t="s">
        <v>352</v>
      </c>
      <c r="C1482" s="2" t="s">
        <v>70</v>
      </c>
      <c r="D1482" s="2" t="s">
        <v>5551</v>
      </c>
      <c r="E1482" s="2" t="s">
        <v>4271</v>
      </c>
      <c r="F1482" s="2" t="s">
        <v>9</v>
      </c>
      <c r="G1482" s="2" t="n">
        <v>388</v>
      </c>
    </row>
    <row r="1483" customFormat="false" ht="15" hidden="false" customHeight="false" outlineLevel="0" collapsed="false">
      <c r="A1483" s="2" t="s">
        <v>1020</v>
      </c>
      <c r="B1483" s="2" t="s">
        <v>352</v>
      </c>
      <c r="C1483" s="2" t="s">
        <v>70</v>
      </c>
      <c r="D1483" s="2" t="s">
        <v>5552</v>
      </c>
      <c r="E1483" s="2" t="s">
        <v>4271</v>
      </c>
      <c r="F1483" s="2" t="s">
        <v>9</v>
      </c>
      <c r="G1483" s="2" t="n">
        <v>388</v>
      </c>
    </row>
    <row r="1484" customFormat="false" ht="15" hidden="false" customHeight="false" outlineLevel="0" collapsed="false">
      <c r="A1484" s="2" t="s">
        <v>1022</v>
      </c>
      <c r="B1484" s="2" t="s">
        <v>835</v>
      </c>
      <c r="C1484" s="2" t="s">
        <v>44</v>
      </c>
      <c r="D1484" s="2" t="s">
        <v>5553</v>
      </c>
      <c r="E1484" s="2" t="s">
        <v>4261</v>
      </c>
      <c r="F1484" s="2" t="s">
        <v>10</v>
      </c>
      <c r="G1484" s="2" t="n">
        <v>389</v>
      </c>
    </row>
    <row r="1485" customFormat="false" ht="15" hidden="false" customHeight="false" outlineLevel="0" collapsed="false">
      <c r="A1485" s="2" t="s">
        <v>1022</v>
      </c>
      <c r="B1485" s="2" t="s">
        <v>835</v>
      </c>
      <c r="C1485" s="2" t="s">
        <v>44</v>
      </c>
      <c r="D1485" s="2" t="s">
        <v>5554</v>
      </c>
      <c r="E1485" s="2" t="s">
        <v>4264</v>
      </c>
      <c r="F1485" s="2" t="s">
        <v>10</v>
      </c>
      <c r="G1485" s="2" t="n">
        <v>389</v>
      </c>
    </row>
    <row r="1486" customFormat="false" ht="15" hidden="false" customHeight="false" outlineLevel="0" collapsed="false">
      <c r="A1486" s="2" t="s">
        <v>1022</v>
      </c>
      <c r="B1486" s="2" t="s">
        <v>835</v>
      </c>
      <c r="C1486" s="2" t="s">
        <v>44</v>
      </c>
      <c r="D1486" s="2" t="s">
        <v>5555</v>
      </c>
      <c r="E1486" s="2" t="s">
        <v>4261</v>
      </c>
      <c r="F1486" s="2" t="s">
        <v>10</v>
      </c>
      <c r="G1486" s="2" t="n">
        <v>389</v>
      </c>
    </row>
    <row r="1487" customFormat="false" ht="15" hidden="false" customHeight="false" outlineLevel="0" collapsed="false">
      <c r="A1487" s="2" t="s">
        <v>1022</v>
      </c>
      <c r="B1487" s="2" t="s">
        <v>835</v>
      </c>
      <c r="C1487" s="2" t="s">
        <v>44</v>
      </c>
      <c r="D1487" s="2" t="s">
        <v>5556</v>
      </c>
      <c r="E1487" s="2" t="s">
        <v>4264</v>
      </c>
      <c r="F1487" s="2" t="s">
        <v>10</v>
      </c>
      <c r="G1487" s="2" t="n">
        <v>389</v>
      </c>
    </row>
    <row r="1488" customFormat="false" ht="15" hidden="false" customHeight="false" outlineLevel="0" collapsed="false">
      <c r="A1488" s="2" t="s">
        <v>1022</v>
      </c>
      <c r="B1488" s="2" t="s">
        <v>835</v>
      </c>
      <c r="C1488" s="2" t="s">
        <v>44</v>
      </c>
      <c r="D1488" s="2" t="s">
        <v>5557</v>
      </c>
      <c r="E1488" s="2" t="s">
        <v>4264</v>
      </c>
      <c r="F1488" s="2" t="s">
        <v>10</v>
      </c>
      <c r="G1488" s="2" t="n">
        <v>389</v>
      </c>
    </row>
    <row r="1489" customFormat="false" ht="15" hidden="false" customHeight="false" outlineLevel="0" collapsed="false">
      <c r="A1489" s="2" t="s">
        <v>1022</v>
      </c>
      <c r="B1489" s="2" t="s">
        <v>835</v>
      </c>
      <c r="C1489" s="2" t="s">
        <v>44</v>
      </c>
      <c r="D1489" s="2" t="s">
        <v>5558</v>
      </c>
      <c r="E1489" s="2" t="s">
        <v>4264</v>
      </c>
      <c r="F1489" s="2" t="s">
        <v>10</v>
      </c>
      <c r="G1489" s="2" t="n">
        <v>389</v>
      </c>
    </row>
    <row r="1490" customFormat="false" ht="15" hidden="false" customHeight="false" outlineLevel="0" collapsed="false">
      <c r="A1490" s="2" t="s">
        <v>1022</v>
      </c>
      <c r="B1490" s="2" t="s">
        <v>835</v>
      </c>
      <c r="C1490" s="2" t="s">
        <v>44</v>
      </c>
      <c r="D1490" s="2" t="s">
        <v>5559</v>
      </c>
      <c r="E1490" s="2" t="s">
        <v>4264</v>
      </c>
      <c r="F1490" s="2" t="s">
        <v>10</v>
      </c>
      <c r="G1490" s="2" t="n">
        <v>389</v>
      </c>
    </row>
    <row r="1491" customFormat="false" ht="15" hidden="false" customHeight="false" outlineLevel="0" collapsed="false">
      <c r="A1491" s="2" t="s">
        <v>1022</v>
      </c>
      <c r="B1491" s="2" t="s">
        <v>835</v>
      </c>
      <c r="C1491" s="2" t="s">
        <v>44</v>
      </c>
      <c r="D1491" s="2" t="s">
        <v>5560</v>
      </c>
      <c r="E1491" s="2" t="s">
        <v>4261</v>
      </c>
      <c r="F1491" s="2" t="s">
        <v>10</v>
      </c>
      <c r="G1491" s="2" t="n">
        <v>389</v>
      </c>
    </row>
    <row r="1492" customFormat="false" ht="15" hidden="false" customHeight="false" outlineLevel="0" collapsed="false">
      <c r="A1492" s="2" t="s">
        <v>1028</v>
      </c>
      <c r="B1492" s="2" t="s">
        <v>1029</v>
      </c>
      <c r="C1492" s="2" t="s">
        <v>70</v>
      </c>
      <c r="D1492" s="2" t="s">
        <v>1030</v>
      </c>
      <c r="E1492" s="2" t="s">
        <v>4261</v>
      </c>
      <c r="F1492" s="2" t="s">
        <v>9</v>
      </c>
      <c r="G1492" s="2" t="n">
        <v>392</v>
      </c>
    </row>
    <row r="1493" customFormat="false" ht="15" hidden="false" customHeight="false" outlineLevel="0" collapsed="false">
      <c r="A1493" s="2" t="s">
        <v>1032</v>
      </c>
      <c r="B1493" s="2" t="s">
        <v>1033</v>
      </c>
      <c r="C1493" s="2" t="s">
        <v>70</v>
      </c>
      <c r="D1493" s="2" t="s">
        <v>5561</v>
      </c>
      <c r="E1493" s="2" t="s">
        <v>4261</v>
      </c>
      <c r="F1493" s="2" t="s">
        <v>10</v>
      </c>
      <c r="G1493" s="2" t="n">
        <v>394</v>
      </c>
    </row>
    <row r="1494" customFormat="false" ht="15" hidden="false" customHeight="false" outlineLevel="0" collapsed="false">
      <c r="A1494" s="2" t="s">
        <v>1032</v>
      </c>
      <c r="B1494" s="2" t="s">
        <v>1033</v>
      </c>
      <c r="C1494" s="2" t="s">
        <v>70</v>
      </c>
      <c r="D1494" s="2" t="s">
        <v>1033</v>
      </c>
      <c r="E1494" s="2" t="s">
        <v>4271</v>
      </c>
      <c r="F1494" s="2" t="s">
        <v>10</v>
      </c>
      <c r="G1494" s="2" t="n">
        <v>394</v>
      </c>
    </row>
    <row r="1495" customFormat="false" ht="15" hidden="false" customHeight="false" outlineLevel="0" collapsed="false">
      <c r="A1495" s="2" t="s">
        <v>1035</v>
      </c>
      <c r="B1495" s="2" t="s">
        <v>263</v>
      </c>
      <c r="C1495" s="2" t="s">
        <v>27</v>
      </c>
      <c r="D1495" s="2" t="s">
        <v>5562</v>
      </c>
      <c r="E1495" s="2" t="s">
        <v>4261</v>
      </c>
      <c r="F1495" s="2" t="s">
        <v>8</v>
      </c>
      <c r="G1495" s="2" t="n">
        <v>395</v>
      </c>
    </row>
    <row r="1496" customFormat="false" ht="15" hidden="false" customHeight="false" outlineLevel="0" collapsed="false">
      <c r="A1496" s="2" t="s">
        <v>1035</v>
      </c>
      <c r="B1496" s="2" t="s">
        <v>263</v>
      </c>
      <c r="C1496" s="2" t="s">
        <v>27</v>
      </c>
      <c r="D1496" s="2" t="s">
        <v>5338</v>
      </c>
      <c r="E1496" s="2" t="s">
        <v>4271</v>
      </c>
      <c r="F1496" s="2" t="s">
        <v>8</v>
      </c>
      <c r="G1496" s="2" t="n">
        <v>395</v>
      </c>
    </row>
    <row r="1497" customFormat="false" ht="15" hidden="false" customHeight="false" outlineLevel="0" collapsed="false">
      <c r="A1497" s="2" t="s">
        <v>1035</v>
      </c>
      <c r="B1497" s="2" t="s">
        <v>263</v>
      </c>
      <c r="C1497" s="2" t="s">
        <v>27</v>
      </c>
      <c r="D1497" s="2" t="s">
        <v>5563</v>
      </c>
      <c r="E1497" s="2" t="s">
        <v>4261</v>
      </c>
      <c r="F1497" s="2" t="s">
        <v>8</v>
      </c>
      <c r="G1497" s="2" t="n">
        <v>395</v>
      </c>
    </row>
    <row r="1498" customFormat="false" ht="15" hidden="false" customHeight="false" outlineLevel="0" collapsed="false">
      <c r="A1498" s="2" t="s">
        <v>1035</v>
      </c>
      <c r="B1498" s="2" t="s">
        <v>263</v>
      </c>
      <c r="C1498" s="2" t="s">
        <v>27</v>
      </c>
      <c r="D1498" s="2" t="s">
        <v>5049</v>
      </c>
      <c r="E1498" s="2" t="s">
        <v>4261</v>
      </c>
      <c r="F1498" s="2" t="s">
        <v>8</v>
      </c>
      <c r="G1498" s="2" t="n">
        <v>395</v>
      </c>
    </row>
    <row r="1499" customFormat="false" ht="15" hidden="false" customHeight="false" outlineLevel="0" collapsed="false">
      <c r="A1499" s="2" t="s">
        <v>1035</v>
      </c>
      <c r="B1499" s="2" t="s">
        <v>263</v>
      </c>
      <c r="C1499" s="2" t="s">
        <v>27</v>
      </c>
      <c r="D1499" s="2" t="s">
        <v>5564</v>
      </c>
      <c r="E1499" s="2" t="s">
        <v>4271</v>
      </c>
      <c r="F1499" s="2" t="s">
        <v>8</v>
      </c>
      <c r="G1499" s="2" t="n">
        <v>395</v>
      </c>
    </row>
    <row r="1500" customFormat="false" ht="15" hidden="false" customHeight="false" outlineLevel="0" collapsed="false">
      <c r="A1500" s="2" t="s">
        <v>1035</v>
      </c>
      <c r="B1500" s="2" t="s">
        <v>263</v>
      </c>
      <c r="C1500" s="2" t="s">
        <v>27</v>
      </c>
      <c r="D1500" s="2" t="s">
        <v>5565</v>
      </c>
      <c r="E1500" s="2" t="s">
        <v>4261</v>
      </c>
      <c r="F1500" s="2" t="s">
        <v>8</v>
      </c>
      <c r="G1500" s="2" t="n">
        <v>395</v>
      </c>
    </row>
    <row r="1501" customFormat="false" ht="15" hidden="false" customHeight="false" outlineLevel="0" collapsed="false">
      <c r="A1501" s="2" t="s">
        <v>1035</v>
      </c>
      <c r="B1501" s="2" t="s">
        <v>263</v>
      </c>
      <c r="C1501" s="2" t="s">
        <v>27</v>
      </c>
      <c r="D1501" s="2" t="s">
        <v>5566</v>
      </c>
      <c r="E1501" s="2" t="s">
        <v>4261</v>
      </c>
      <c r="F1501" s="2" t="s">
        <v>8</v>
      </c>
      <c r="G1501" s="2" t="n">
        <v>395</v>
      </c>
    </row>
    <row r="1502" customFormat="false" ht="15" hidden="false" customHeight="false" outlineLevel="0" collapsed="false">
      <c r="A1502" s="2" t="s">
        <v>1035</v>
      </c>
      <c r="B1502" s="2" t="s">
        <v>263</v>
      </c>
      <c r="C1502" s="2" t="s">
        <v>27</v>
      </c>
      <c r="D1502" s="2" t="s">
        <v>5567</v>
      </c>
      <c r="E1502" s="2" t="s">
        <v>4271</v>
      </c>
      <c r="F1502" s="2" t="s">
        <v>8</v>
      </c>
      <c r="G1502" s="2" t="n">
        <v>395</v>
      </c>
    </row>
    <row r="1503" customFormat="false" ht="15" hidden="false" customHeight="false" outlineLevel="0" collapsed="false">
      <c r="A1503" s="2" t="s">
        <v>1035</v>
      </c>
      <c r="B1503" s="2" t="s">
        <v>263</v>
      </c>
      <c r="C1503" s="2" t="s">
        <v>27</v>
      </c>
      <c r="D1503" s="2" t="s">
        <v>5568</v>
      </c>
      <c r="E1503" s="2" t="s">
        <v>4271</v>
      </c>
      <c r="F1503" s="2" t="s">
        <v>8</v>
      </c>
      <c r="G1503" s="2" t="n">
        <v>395</v>
      </c>
    </row>
    <row r="1504" customFormat="false" ht="15" hidden="false" customHeight="false" outlineLevel="0" collapsed="false">
      <c r="A1504" s="2" t="s">
        <v>1035</v>
      </c>
      <c r="B1504" s="2" t="s">
        <v>263</v>
      </c>
      <c r="C1504" s="2" t="s">
        <v>27</v>
      </c>
      <c r="D1504" s="2" t="s">
        <v>5569</v>
      </c>
      <c r="E1504" s="2" t="s">
        <v>4261</v>
      </c>
      <c r="F1504" s="2" t="s">
        <v>8</v>
      </c>
      <c r="G1504" s="2" t="n">
        <v>395</v>
      </c>
    </row>
    <row r="1505" customFormat="false" ht="15" hidden="false" customHeight="false" outlineLevel="0" collapsed="false">
      <c r="A1505" s="2" t="s">
        <v>1035</v>
      </c>
      <c r="B1505" s="2" t="s">
        <v>263</v>
      </c>
      <c r="C1505" s="2" t="s">
        <v>27</v>
      </c>
      <c r="D1505" s="2" t="s">
        <v>5570</v>
      </c>
      <c r="E1505" s="2" t="s">
        <v>4261</v>
      </c>
      <c r="F1505" s="2" t="s">
        <v>8</v>
      </c>
      <c r="G1505" s="2" t="n">
        <v>395</v>
      </c>
    </row>
    <row r="1506" customFormat="false" ht="15" hidden="false" customHeight="false" outlineLevel="0" collapsed="false">
      <c r="A1506" s="2" t="s">
        <v>1035</v>
      </c>
      <c r="B1506" s="2" t="s">
        <v>263</v>
      </c>
      <c r="C1506" s="2" t="s">
        <v>27</v>
      </c>
      <c r="D1506" s="2" t="s">
        <v>5571</v>
      </c>
      <c r="E1506" s="2" t="s">
        <v>4261</v>
      </c>
      <c r="F1506" s="2" t="s">
        <v>8</v>
      </c>
      <c r="G1506" s="2" t="n">
        <v>395</v>
      </c>
    </row>
    <row r="1507" customFormat="false" ht="15" hidden="false" customHeight="false" outlineLevel="0" collapsed="false">
      <c r="A1507" s="2" t="s">
        <v>1037</v>
      </c>
      <c r="B1507" s="2" t="s">
        <v>1038</v>
      </c>
      <c r="C1507" s="2" t="s">
        <v>595</v>
      </c>
      <c r="D1507" s="2" t="s">
        <v>1039</v>
      </c>
      <c r="E1507" s="2" t="s">
        <v>4261</v>
      </c>
      <c r="F1507" s="2" t="s">
        <v>9</v>
      </c>
      <c r="G1507" s="2" t="n">
        <v>396</v>
      </c>
    </row>
    <row r="1508" customFormat="false" ht="15" hidden="false" customHeight="false" outlineLevel="0" collapsed="false">
      <c r="A1508" s="2" t="s">
        <v>1041</v>
      </c>
      <c r="B1508" s="2" t="s">
        <v>516</v>
      </c>
      <c r="C1508" s="2" t="s">
        <v>34</v>
      </c>
      <c r="D1508" s="2" t="s">
        <v>5572</v>
      </c>
      <c r="E1508" s="2" t="s">
        <v>4261</v>
      </c>
      <c r="F1508" s="2" t="s">
        <v>8</v>
      </c>
      <c r="G1508" s="2" t="n">
        <v>397</v>
      </c>
    </row>
    <row r="1509" customFormat="false" ht="15" hidden="false" customHeight="false" outlineLevel="0" collapsed="false">
      <c r="A1509" s="2" t="s">
        <v>1041</v>
      </c>
      <c r="B1509" s="2" t="s">
        <v>516</v>
      </c>
      <c r="C1509" s="2" t="s">
        <v>34</v>
      </c>
      <c r="D1509" s="2" t="s">
        <v>5573</v>
      </c>
      <c r="E1509" s="2" t="s">
        <v>4261</v>
      </c>
      <c r="F1509" s="2" t="s">
        <v>8</v>
      </c>
      <c r="G1509" s="2" t="n">
        <v>397</v>
      </c>
    </row>
    <row r="1510" customFormat="false" ht="15" hidden="false" customHeight="false" outlineLevel="0" collapsed="false">
      <c r="A1510" s="2" t="s">
        <v>1041</v>
      </c>
      <c r="B1510" s="2" t="s">
        <v>516</v>
      </c>
      <c r="C1510" s="2" t="s">
        <v>34</v>
      </c>
      <c r="D1510" s="2" t="s">
        <v>5574</v>
      </c>
      <c r="E1510" s="2" t="s">
        <v>4261</v>
      </c>
      <c r="F1510" s="2" t="s">
        <v>8</v>
      </c>
      <c r="G1510" s="2" t="n">
        <v>397</v>
      </c>
    </row>
    <row r="1511" customFormat="false" ht="15" hidden="false" customHeight="false" outlineLevel="0" collapsed="false">
      <c r="A1511" s="2" t="s">
        <v>1044</v>
      </c>
      <c r="B1511" s="2" t="s">
        <v>1045</v>
      </c>
      <c r="C1511" s="2" t="s">
        <v>380</v>
      </c>
      <c r="D1511" s="2" t="s">
        <v>5575</v>
      </c>
      <c r="E1511" s="2" t="s">
        <v>4271</v>
      </c>
      <c r="F1511" s="2" t="s">
        <v>10</v>
      </c>
      <c r="G1511" s="2" t="n">
        <v>399</v>
      </c>
    </row>
    <row r="1512" customFormat="false" ht="15" hidden="false" customHeight="false" outlineLevel="0" collapsed="false">
      <c r="A1512" s="2" t="s">
        <v>1044</v>
      </c>
      <c r="B1512" s="2" t="s">
        <v>1045</v>
      </c>
      <c r="C1512" s="2" t="s">
        <v>380</v>
      </c>
      <c r="D1512" s="2" t="s">
        <v>5576</v>
      </c>
      <c r="E1512" s="2" t="s">
        <v>4264</v>
      </c>
      <c r="F1512" s="2" t="s">
        <v>10</v>
      </c>
      <c r="G1512" s="2" t="n">
        <v>399</v>
      </c>
    </row>
    <row r="1513" customFormat="false" ht="15" hidden="false" customHeight="false" outlineLevel="0" collapsed="false">
      <c r="A1513" s="2" t="s">
        <v>1044</v>
      </c>
      <c r="B1513" s="2" t="s">
        <v>1045</v>
      </c>
      <c r="C1513" s="2" t="s">
        <v>380</v>
      </c>
      <c r="D1513" s="2" t="s">
        <v>5577</v>
      </c>
      <c r="E1513" s="2" t="s">
        <v>4261</v>
      </c>
      <c r="F1513" s="2" t="s">
        <v>10</v>
      </c>
      <c r="G1513" s="2" t="n">
        <v>399</v>
      </c>
    </row>
    <row r="1514" customFormat="false" ht="15" hidden="false" customHeight="false" outlineLevel="0" collapsed="false">
      <c r="A1514" s="2" t="s">
        <v>1044</v>
      </c>
      <c r="B1514" s="2" t="s">
        <v>1045</v>
      </c>
      <c r="C1514" s="2" t="s">
        <v>380</v>
      </c>
      <c r="D1514" s="2" t="s">
        <v>5578</v>
      </c>
      <c r="E1514" s="2" t="s">
        <v>4264</v>
      </c>
      <c r="F1514" s="2" t="s">
        <v>10</v>
      </c>
      <c r="G1514" s="2" t="n">
        <v>399</v>
      </c>
    </row>
    <row r="1515" customFormat="false" ht="15" hidden="false" customHeight="false" outlineLevel="0" collapsed="false">
      <c r="A1515" s="2" t="s">
        <v>1044</v>
      </c>
      <c r="B1515" s="2" t="s">
        <v>1045</v>
      </c>
      <c r="C1515" s="2" t="s">
        <v>380</v>
      </c>
      <c r="D1515" s="2" t="s">
        <v>5579</v>
      </c>
      <c r="E1515" s="2" t="s">
        <v>4271</v>
      </c>
      <c r="F1515" s="2" t="s">
        <v>10</v>
      </c>
      <c r="G1515" s="2" t="n">
        <v>399</v>
      </c>
    </row>
    <row r="1516" customFormat="false" ht="15" hidden="false" customHeight="false" outlineLevel="0" collapsed="false">
      <c r="A1516" s="2" t="s">
        <v>1044</v>
      </c>
      <c r="B1516" s="2" t="s">
        <v>1045</v>
      </c>
      <c r="C1516" s="2" t="s">
        <v>380</v>
      </c>
      <c r="D1516" s="2" t="s">
        <v>1176</v>
      </c>
      <c r="E1516" s="2" t="s">
        <v>4271</v>
      </c>
      <c r="F1516" s="2" t="s">
        <v>10</v>
      </c>
      <c r="G1516" s="2" t="n">
        <v>399</v>
      </c>
    </row>
    <row r="1517" customFormat="false" ht="15" hidden="false" customHeight="false" outlineLevel="0" collapsed="false">
      <c r="A1517" s="2" t="s">
        <v>1044</v>
      </c>
      <c r="B1517" s="2" t="s">
        <v>1045</v>
      </c>
      <c r="C1517" s="2" t="s">
        <v>380</v>
      </c>
      <c r="D1517" s="2" t="s">
        <v>5580</v>
      </c>
      <c r="E1517" s="2" t="s">
        <v>4271</v>
      </c>
      <c r="F1517" s="2" t="s">
        <v>10</v>
      </c>
      <c r="G1517" s="2" t="n">
        <v>399</v>
      </c>
    </row>
    <row r="1518" customFormat="false" ht="15" hidden="false" customHeight="false" outlineLevel="0" collapsed="false">
      <c r="A1518" s="2" t="s">
        <v>1047</v>
      </c>
      <c r="B1518" s="2" t="s">
        <v>70</v>
      </c>
      <c r="C1518" s="2" t="s">
        <v>70</v>
      </c>
      <c r="D1518" s="2" t="s">
        <v>5581</v>
      </c>
      <c r="E1518" s="2" t="s">
        <v>4261</v>
      </c>
      <c r="F1518" s="2" t="s">
        <v>8</v>
      </c>
      <c r="G1518" s="2" t="n">
        <v>400</v>
      </c>
    </row>
    <row r="1519" customFormat="false" ht="15" hidden="false" customHeight="false" outlineLevel="0" collapsed="false">
      <c r="A1519" s="2" t="s">
        <v>1047</v>
      </c>
      <c r="B1519" s="2" t="s">
        <v>70</v>
      </c>
      <c r="C1519" s="2" t="s">
        <v>70</v>
      </c>
      <c r="D1519" s="2" t="s">
        <v>5582</v>
      </c>
      <c r="E1519" s="2" t="s">
        <v>4271</v>
      </c>
      <c r="F1519" s="2" t="s">
        <v>8</v>
      </c>
      <c r="G1519" s="2" t="n">
        <v>400</v>
      </c>
    </row>
    <row r="1520" customFormat="false" ht="15" hidden="false" customHeight="false" outlineLevel="0" collapsed="false">
      <c r="A1520" s="2" t="s">
        <v>1047</v>
      </c>
      <c r="B1520" s="2" t="s">
        <v>70</v>
      </c>
      <c r="C1520" s="2" t="s">
        <v>70</v>
      </c>
      <c r="D1520" s="2" t="s">
        <v>5583</v>
      </c>
      <c r="E1520" s="2" t="s">
        <v>4261</v>
      </c>
      <c r="F1520" s="2" t="s">
        <v>8</v>
      </c>
      <c r="G1520" s="2" t="n">
        <v>400</v>
      </c>
    </row>
    <row r="1521" customFormat="false" ht="15" hidden="false" customHeight="false" outlineLevel="0" collapsed="false">
      <c r="A1521" s="2" t="s">
        <v>1049</v>
      </c>
      <c r="B1521" s="2" t="s">
        <v>56</v>
      </c>
      <c r="C1521" s="2" t="s">
        <v>56</v>
      </c>
      <c r="D1521" s="2" t="s">
        <v>5584</v>
      </c>
      <c r="E1521" s="2" t="s">
        <v>4261</v>
      </c>
      <c r="F1521" s="2" t="s">
        <v>8</v>
      </c>
      <c r="G1521" s="2" t="n">
        <v>401</v>
      </c>
    </row>
    <row r="1522" customFormat="false" ht="15" hidden="false" customHeight="false" outlineLevel="0" collapsed="false">
      <c r="A1522" s="2" t="s">
        <v>1049</v>
      </c>
      <c r="B1522" s="2" t="s">
        <v>56</v>
      </c>
      <c r="C1522" s="2" t="s">
        <v>56</v>
      </c>
      <c r="D1522" s="2" t="s">
        <v>5585</v>
      </c>
      <c r="E1522" s="2" t="s">
        <v>4261</v>
      </c>
      <c r="F1522" s="2" t="s">
        <v>8</v>
      </c>
      <c r="G1522" s="2" t="n">
        <v>401</v>
      </c>
    </row>
    <row r="1523" customFormat="false" ht="15" hidden="false" customHeight="false" outlineLevel="0" collapsed="false">
      <c r="A1523" s="2" t="s">
        <v>1049</v>
      </c>
      <c r="B1523" s="2" t="s">
        <v>56</v>
      </c>
      <c r="C1523" s="2" t="s">
        <v>56</v>
      </c>
      <c r="D1523" s="2" t="s">
        <v>5012</v>
      </c>
      <c r="E1523" s="2" t="s">
        <v>4261</v>
      </c>
      <c r="F1523" s="2" t="s">
        <v>8</v>
      </c>
      <c r="G1523" s="2" t="n">
        <v>401</v>
      </c>
    </row>
    <row r="1524" customFormat="false" ht="15" hidden="false" customHeight="false" outlineLevel="0" collapsed="false">
      <c r="A1524" s="2" t="s">
        <v>1049</v>
      </c>
      <c r="B1524" s="2" t="s">
        <v>56</v>
      </c>
      <c r="C1524" s="2" t="s">
        <v>56</v>
      </c>
      <c r="D1524" s="2" t="s">
        <v>5586</v>
      </c>
      <c r="E1524" s="2" t="s">
        <v>4261</v>
      </c>
      <c r="F1524" s="2" t="s">
        <v>8</v>
      </c>
      <c r="G1524" s="2" t="n">
        <v>401</v>
      </c>
    </row>
    <row r="1525" customFormat="false" ht="15" hidden="false" customHeight="false" outlineLevel="0" collapsed="false">
      <c r="A1525" s="2" t="s">
        <v>1049</v>
      </c>
      <c r="B1525" s="2" t="s">
        <v>56</v>
      </c>
      <c r="C1525" s="2" t="s">
        <v>56</v>
      </c>
      <c r="D1525" s="2" t="s">
        <v>5587</v>
      </c>
      <c r="E1525" s="2" t="s">
        <v>4264</v>
      </c>
      <c r="F1525" s="2" t="s">
        <v>8</v>
      </c>
      <c r="G1525" s="2" t="n">
        <v>401</v>
      </c>
    </row>
    <row r="1526" customFormat="false" ht="15" hidden="false" customHeight="false" outlineLevel="0" collapsed="false">
      <c r="A1526" s="2" t="s">
        <v>1049</v>
      </c>
      <c r="B1526" s="2" t="s">
        <v>56</v>
      </c>
      <c r="C1526" s="2" t="s">
        <v>56</v>
      </c>
      <c r="D1526" s="2" t="s">
        <v>5588</v>
      </c>
      <c r="E1526" s="2" t="s">
        <v>4271</v>
      </c>
      <c r="F1526" s="2" t="s">
        <v>8</v>
      </c>
      <c r="G1526" s="2" t="n">
        <v>401</v>
      </c>
    </row>
    <row r="1527" customFormat="false" ht="15" hidden="false" customHeight="false" outlineLevel="0" collapsed="false">
      <c r="A1527" s="2" t="s">
        <v>1051</v>
      </c>
      <c r="B1527" s="2" t="s">
        <v>1052</v>
      </c>
      <c r="C1527" s="2" t="s">
        <v>273</v>
      </c>
      <c r="D1527" s="2" t="s">
        <v>1053</v>
      </c>
      <c r="E1527" s="2" t="s">
        <v>4261</v>
      </c>
      <c r="F1527" s="2" t="s">
        <v>9</v>
      </c>
      <c r="G1527" s="2" t="n">
        <v>402</v>
      </c>
    </row>
    <row r="1528" customFormat="false" ht="15" hidden="false" customHeight="false" outlineLevel="0" collapsed="false">
      <c r="A1528" s="2" t="s">
        <v>1056</v>
      </c>
      <c r="B1528" s="2" t="s">
        <v>263</v>
      </c>
      <c r="C1528" s="2" t="s">
        <v>27</v>
      </c>
      <c r="D1528" s="2" t="s">
        <v>5589</v>
      </c>
      <c r="E1528" s="2" t="s">
        <v>4261</v>
      </c>
      <c r="F1528" s="2" t="s">
        <v>8</v>
      </c>
      <c r="G1528" s="2" t="n">
        <v>404</v>
      </c>
    </row>
    <row r="1529" customFormat="false" ht="15" hidden="false" customHeight="false" outlineLevel="0" collapsed="false">
      <c r="A1529" s="2" t="s">
        <v>1056</v>
      </c>
      <c r="B1529" s="2" t="s">
        <v>263</v>
      </c>
      <c r="C1529" s="2" t="s">
        <v>27</v>
      </c>
      <c r="D1529" s="2" t="s">
        <v>5590</v>
      </c>
      <c r="E1529" s="2" t="s">
        <v>4261</v>
      </c>
      <c r="F1529" s="2" t="s">
        <v>8</v>
      </c>
      <c r="G1529" s="2" t="n">
        <v>404</v>
      </c>
    </row>
    <row r="1530" customFormat="false" ht="15" hidden="false" customHeight="false" outlineLevel="0" collapsed="false">
      <c r="A1530" s="2" t="s">
        <v>1056</v>
      </c>
      <c r="B1530" s="2" t="s">
        <v>263</v>
      </c>
      <c r="C1530" s="2" t="s">
        <v>27</v>
      </c>
      <c r="D1530" s="2" t="s">
        <v>5591</v>
      </c>
      <c r="E1530" s="2" t="s">
        <v>4271</v>
      </c>
      <c r="F1530" s="2" t="s">
        <v>8</v>
      </c>
      <c r="G1530" s="2" t="n">
        <v>404</v>
      </c>
    </row>
    <row r="1531" customFormat="false" ht="15" hidden="false" customHeight="false" outlineLevel="0" collapsed="false">
      <c r="A1531" s="2" t="s">
        <v>1056</v>
      </c>
      <c r="B1531" s="2" t="s">
        <v>263</v>
      </c>
      <c r="C1531" s="2" t="s">
        <v>27</v>
      </c>
      <c r="D1531" s="2" t="s">
        <v>5592</v>
      </c>
      <c r="E1531" s="2" t="s">
        <v>4271</v>
      </c>
      <c r="F1531" s="2" t="s">
        <v>8</v>
      </c>
      <c r="G1531" s="2" t="n">
        <v>404</v>
      </c>
    </row>
    <row r="1532" customFormat="false" ht="15" hidden="false" customHeight="false" outlineLevel="0" collapsed="false">
      <c r="A1532" s="2" t="s">
        <v>1056</v>
      </c>
      <c r="B1532" s="2" t="s">
        <v>263</v>
      </c>
      <c r="C1532" s="2" t="s">
        <v>27</v>
      </c>
      <c r="D1532" s="2" t="s">
        <v>5593</v>
      </c>
      <c r="E1532" s="2" t="s">
        <v>4261</v>
      </c>
      <c r="F1532" s="2" t="s">
        <v>8</v>
      </c>
      <c r="G1532" s="2" t="n">
        <v>404</v>
      </c>
    </row>
    <row r="1533" customFormat="false" ht="15" hidden="false" customHeight="false" outlineLevel="0" collapsed="false">
      <c r="A1533" s="2" t="s">
        <v>1056</v>
      </c>
      <c r="B1533" s="2" t="s">
        <v>263</v>
      </c>
      <c r="C1533" s="2" t="s">
        <v>27</v>
      </c>
      <c r="D1533" s="2" t="s">
        <v>5594</v>
      </c>
      <c r="E1533" s="2" t="s">
        <v>4261</v>
      </c>
      <c r="F1533" s="2" t="s">
        <v>8</v>
      </c>
      <c r="G1533" s="2" t="n">
        <v>404</v>
      </c>
    </row>
    <row r="1534" customFormat="false" ht="15" hidden="false" customHeight="false" outlineLevel="0" collapsed="false">
      <c r="A1534" s="2" t="s">
        <v>1056</v>
      </c>
      <c r="B1534" s="2" t="s">
        <v>263</v>
      </c>
      <c r="C1534" s="2" t="s">
        <v>27</v>
      </c>
      <c r="D1534" s="2" t="s">
        <v>5595</v>
      </c>
      <c r="E1534" s="2" t="s">
        <v>4271</v>
      </c>
      <c r="F1534" s="2" t="s">
        <v>8</v>
      </c>
      <c r="G1534" s="2" t="n">
        <v>404</v>
      </c>
    </row>
    <row r="1535" customFormat="false" ht="15" hidden="false" customHeight="false" outlineLevel="0" collapsed="false">
      <c r="A1535" s="2" t="s">
        <v>1056</v>
      </c>
      <c r="B1535" s="2" t="s">
        <v>263</v>
      </c>
      <c r="C1535" s="2" t="s">
        <v>27</v>
      </c>
      <c r="D1535" s="2" t="s">
        <v>5596</v>
      </c>
      <c r="E1535" s="2" t="s">
        <v>4271</v>
      </c>
      <c r="F1535" s="2" t="s">
        <v>8</v>
      </c>
      <c r="G1535" s="2" t="n">
        <v>404</v>
      </c>
    </row>
    <row r="1536" customFormat="false" ht="15" hidden="false" customHeight="false" outlineLevel="0" collapsed="false">
      <c r="A1536" s="2" t="s">
        <v>1058</v>
      </c>
      <c r="B1536" s="2" t="s">
        <v>217</v>
      </c>
      <c r="C1536" s="2" t="s">
        <v>27</v>
      </c>
      <c r="D1536" s="2" t="s">
        <v>5597</v>
      </c>
      <c r="E1536" s="2" t="s">
        <v>4271</v>
      </c>
      <c r="F1536" s="2" t="s">
        <v>9</v>
      </c>
      <c r="G1536" s="2" t="n">
        <v>405</v>
      </c>
    </row>
    <row r="1537" customFormat="false" ht="15" hidden="false" customHeight="false" outlineLevel="0" collapsed="false">
      <c r="A1537" s="2" t="s">
        <v>1058</v>
      </c>
      <c r="B1537" s="2" t="s">
        <v>217</v>
      </c>
      <c r="C1537" s="2" t="s">
        <v>27</v>
      </c>
      <c r="D1537" s="2" t="s">
        <v>5598</v>
      </c>
      <c r="E1537" s="2" t="s">
        <v>4261</v>
      </c>
      <c r="F1537" s="2" t="s">
        <v>9</v>
      </c>
      <c r="G1537" s="2" t="n">
        <v>405</v>
      </c>
    </row>
    <row r="1538" customFormat="false" ht="15" hidden="false" customHeight="false" outlineLevel="0" collapsed="false">
      <c r="A1538" s="2" t="s">
        <v>1058</v>
      </c>
      <c r="B1538" s="2" t="s">
        <v>217</v>
      </c>
      <c r="C1538" s="2" t="s">
        <v>27</v>
      </c>
      <c r="D1538" s="2" t="s">
        <v>5599</v>
      </c>
      <c r="E1538" s="2" t="s">
        <v>4261</v>
      </c>
      <c r="F1538" s="2" t="s">
        <v>9</v>
      </c>
      <c r="G1538" s="2" t="n">
        <v>405</v>
      </c>
    </row>
    <row r="1539" customFormat="false" ht="15" hidden="false" customHeight="false" outlineLevel="0" collapsed="false">
      <c r="A1539" s="2" t="s">
        <v>1058</v>
      </c>
      <c r="B1539" s="2" t="s">
        <v>217</v>
      </c>
      <c r="C1539" s="2" t="s">
        <v>27</v>
      </c>
      <c r="D1539" s="2" t="s">
        <v>5600</v>
      </c>
      <c r="E1539" s="2" t="s">
        <v>4271</v>
      </c>
      <c r="F1539" s="2" t="s">
        <v>9</v>
      </c>
      <c r="G1539" s="2" t="n">
        <v>405</v>
      </c>
    </row>
    <row r="1540" customFormat="false" ht="15" hidden="false" customHeight="false" outlineLevel="0" collapsed="false">
      <c r="A1540" s="2" t="s">
        <v>1060</v>
      </c>
      <c r="B1540" s="2" t="s">
        <v>38</v>
      </c>
      <c r="C1540" s="2" t="s">
        <v>39</v>
      </c>
      <c r="D1540" s="2" t="s">
        <v>1061</v>
      </c>
      <c r="E1540" s="2" t="s">
        <v>4271</v>
      </c>
      <c r="F1540" s="2" t="s">
        <v>8</v>
      </c>
      <c r="G1540" s="2" t="n">
        <v>406</v>
      </c>
    </row>
    <row r="1541" customFormat="false" ht="15" hidden="false" customHeight="false" outlineLevel="0" collapsed="false">
      <c r="A1541" s="2" t="s">
        <v>1066</v>
      </c>
      <c r="B1541" s="2" t="s">
        <v>1067</v>
      </c>
      <c r="C1541" s="2" t="s">
        <v>44</v>
      </c>
      <c r="D1541" s="2" t="s">
        <v>5601</v>
      </c>
      <c r="E1541" s="2" t="s">
        <v>4261</v>
      </c>
      <c r="F1541" s="2" t="s">
        <v>8</v>
      </c>
      <c r="G1541" s="2" t="n">
        <v>409</v>
      </c>
    </row>
    <row r="1542" customFormat="false" ht="15" hidden="false" customHeight="false" outlineLevel="0" collapsed="false">
      <c r="A1542" s="2" t="s">
        <v>1066</v>
      </c>
      <c r="B1542" s="2" t="s">
        <v>1067</v>
      </c>
      <c r="C1542" s="2" t="s">
        <v>44</v>
      </c>
      <c r="D1542" s="2" t="s">
        <v>5602</v>
      </c>
      <c r="E1542" s="2" t="s">
        <v>4261</v>
      </c>
      <c r="F1542" s="2" t="s">
        <v>8</v>
      </c>
      <c r="G1542" s="2" t="n">
        <v>409</v>
      </c>
    </row>
    <row r="1543" customFormat="false" ht="15" hidden="false" customHeight="false" outlineLevel="0" collapsed="false">
      <c r="A1543" s="2" t="s">
        <v>1066</v>
      </c>
      <c r="B1543" s="2" t="s">
        <v>1067</v>
      </c>
      <c r="C1543" s="2" t="s">
        <v>44</v>
      </c>
      <c r="D1543" s="2" t="s">
        <v>5603</v>
      </c>
      <c r="E1543" s="2" t="s">
        <v>4271</v>
      </c>
      <c r="F1543" s="2" t="s">
        <v>8</v>
      </c>
      <c r="G1543" s="2" t="n">
        <v>409</v>
      </c>
    </row>
    <row r="1544" customFormat="false" ht="15" hidden="false" customHeight="false" outlineLevel="0" collapsed="false">
      <c r="A1544" s="2" t="s">
        <v>1066</v>
      </c>
      <c r="B1544" s="2" t="s">
        <v>1067</v>
      </c>
      <c r="C1544" s="2" t="s">
        <v>44</v>
      </c>
      <c r="D1544" s="2" t="s">
        <v>5604</v>
      </c>
      <c r="E1544" s="2" t="s">
        <v>4261</v>
      </c>
      <c r="F1544" s="2" t="s">
        <v>8</v>
      </c>
      <c r="G1544" s="2" t="n">
        <v>409</v>
      </c>
    </row>
    <row r="1545" customFormat="false" ht="15" hidden="false" customHeight="false" outlineLevel="0" collapsed="false">
      <c r="A1545" s="2" t="s">
        <v>1066</v>
      </c>
      <c r="B1545" s="2" t="s">
        <v>1067</v>
      </c>
      <c r="C1545" s="2" t="s">
        <v>44</v>
      </c>
      <c r="D1545" s="2" t="s">
        <v>5605</v>
      </c>
      <c r="E1545" s="2" t="s">
        <v>4264</v>
      </c>
      <c r="F1545" s="2" t="s">
        <v>8</v>
      </c>
      <c r="G1545" s="2" t="n">
        <v>409</v>
      </c>
    </row>
    <row r="1546" customFormat="false" ht="15" hidden="false" customHeight="false" outlineLevel="0" collapsed="false">
      <c r="A1546" s="2" t="s">
        <v>1071</v>
      </c>
      <c r="B1546" s="2" t="s">
        <v>70</v>
      </c>
      <c r="C1546" s="2" t="s">
        <v>70</v>
      </c>
      <c r="D1546" s="2" t="s">
        <v>1072</v>
      </c>
      <c r="E1546" s="2" t="s">
        <v>4261</v>
      </c>
      <c r="F1546" s="2" t="s">
        <v>9</v>
      </c>
      <c r="G1546" s="2" t="n">
        <v>410</v>
      </c>
    </row>
    <row r="1547" customFormat="false" ht="15" hidden="false" customHeight="false" outlineLevel="0" collapsed="false">
      <c r="A1547" s="2" t="s">
        <v>1073</v>
      </c>
      <c r="B1547" s="2" t="s">
        <v>993</v>
      </c>
      <c r="C1547" s="2" t="s">
        <v>44</v>
      </c>
      <c r="D1547" s="2" t="s">
        <v>5606</v>
      </c>
      <c r="E1547" s="2" t="s">
        <v>4264</v>
      </c>
      <c r="F1547" s="2" t="s">
        <v>10</v>
      </c>
      <c r="G1547" s="2" t="n">
        <v>411</v>
      </c>
    </row>
    <row r="1548" customFormat="false" ht="15" hidden="false" customHeight="false" outlineLevel="0" collapsed="false">
      <c r="A1548" s="2" t="s">
        <v>1073</v>
      </c>
      <c r="B1548" s="2" t="s">
        <v>993</v>
      </c>
      <c r="C1548" s="2" t="s">
        <v>44</v>
      </c>
      <c r="D1548" s="2" t="s">
        <v>5607</v>
      </c>
      <c r="E1548" s="2" t="s">
        <v>4261</v>
      </c>
      <c r="F1548" s="2" t="s">
        <v>10</v>
      </c>
      <c r="G1548" s="2" t="n">
        <v>411</v>
      </c>
    </row>
    <row r="1549" customFormat="false" ht="15" hidden="false" customHeight="false" outlineLevel="0" collapsed="false">
      <c r="A1549" s="2" t="s">
        <v>1073</v>
      </c>
      <c r="B1549" s="2" t="s">
        <v>993</v>
      </c>
      <c r="C1549" s="2" t="s">
        <v>44</v>
      </c>
      <c r="D1549" s="2" t="s">
        <v>5608</v>
      </c>
      <c r="E1549" s="2" t="s">
        <v>4271</v>
      </c>
      <c r="F1549" s="2" t="s">
        <v>10</v>
      </c>
      <c r="G1549" s="2" t="n">
        <v>411</v>
      </c>
    </row>
    <row r="1550" customFormat="false" ht="15" hidden="false" customHeight="false" outlineLevel="0" collapsed="false">
      <c r="A1550" s="2" t="s">
        <v>1073</v>
      </c>
      <c r="B1550" s="2" t="s">
        <v>993</v>
      </c>
      <c r="C1550" s="2" t="s">
        <v>44</v>
      </c>
      <c r="D1550" s="2" t="s">
        <v>5609</v>
      </c>
      <c r="E1550" s="2" t="s">
        <v>4261</v>
      </c>
      <c r="F1550" s="2" t="s">
        <v>10</v>
      </c>
      <c r="G1550" s="2" t="n">
        <v>411</v>
      </c>
    </row>
    <row r="1551" customFormat="false" ht="15" hidden="false" customHeight="false" outlineLevel="0" collapsed="false">
      <c r="A1551" s="2" t="s">
        <v>1073</v>
      </c>
      <c r="B1551" s="2" t="s">
        <v>993</v>
      </c>
      <c r="C1551" s="2" t="s">
        <v>44</v>
      </c>
      <c r="D1551" s="2" t="s">
        <v>5610</v>
      </c>
      <c r="E1551" s="2" t="s">
        <v>4261</v>
      </c>
      <c r="F1551" s="2" t="s">
        <v>10</v>
      </c>
      <c r="G1551" s="2" t="n">
        <v>411</v>
      </c>
    </row>
    <row r="1552" customFormat="false" ht="15" hidden="false" customHeight="false" outlineLevel="0" collapsed="false">
      <c r="A1552" s="2" t="s">
        <v>1073</v>
      </c>
      <c r="B1552" s="2" t="s">
        <v>993</v>
      </c>
      <c r="C1552" s="2" t="s">
        <v>44</v>
      </c>
      <c r="D1552" s="2" t="s">
        <v>5611</v>
      </c>
      <c r="E1552" s="2" t="s">
        <v>4271</v>
      </c>
      <c r="F1552" s="2" t="s">
        <v>10</v>
      </c>
      <c r="G1552" s="2" t="n">
        <v>411</v>
      </c>
    </row>
    <row r="1553" customFormat="false" ht="15" hidden="false" customHeight="false" outlineLevel="0" collapsed="false">
      <c r="A1553" s="2" t="s">
        <v>1073</v>
      </c>
      <c r="B1553" s="2" t="s">
        <v>993</v>
      </c>
      <c r="C1553" s="2" t="s">
        <v>44</v>
      </c>
      <c r="D1553" s="2" t="s">
        <v>5612</v>
      </c>
      <c r="E1553" s="2" t="s">
        <v>4264</v>
      </c>
      <c r="F1553" s="2" t="s">
        <v>10</v>
      </c>
      <c r="G1553" s="2" t="n">
        <v>411</v>
      </c>
    </row>
    <row r="1554" customFormat="false" ht="15" hidden="false" customHeight="false" outlineLevel="0" collapsed="false">
      <c r="A1554" s="2" t="s">
        <v>1073</v>
      </c>
      <c r="B1554" s="2" t="s">
        <v>993</v>
      </c>
      <c r="C1554" s="2" t="s">
        <v>44</v>
      </c>
      <c r="D1554" s="2" t="s">
        <v>5613</v>
      </c>
      <c r="E1554" s="2" t="s">
        <v>4261</v>
      </c>
      <c r="F1554" s="2" t="s">
        <v>10</v>
      </c>
      <c r="G1554" s="2" t="n">
        <v>411</v>
      </c>
    </row>
    <row r="1555" customFormat="false" ht="15" hidden="false" customHeight="false" outlineLevel="0" collapsed="false">
      <c r="A1555" s="2" t="s">
        <v>1073</v>
      </c>
      <c r="B1555" s="2" t="s">
        <v>993</v>
      </c>
      <c r="C1555" s="2" t="s">
        <v>44</v>
      </c>
      <c r="D1555" s="2" t="s">
        <v>5614</v>
      </c>
      <c r="E1555" s="2" t="s">
        <v>4264</v>
      </c>
      <c r="F1555" s="2" t="s">
        <v>10</v>
      </c>
      <c r="G1555" s="2" t="n">
        <v>411</v>
      </c>
    </row>
    <row r="1556" customFormat="false" ht="15" hidden="false" customHeight="false" outlineLevel="0" collapsed="false">
      <c r="A1556" s="2" t="s">
        <v>1073</v>
      </c>
      <c r="B1556" s="2" t="s">
        <v>993</v>
      </c>
      <c r="C1556" s="2" t="s">
        <v>44</v>
      </c>
      <c r="D1556" s="2" t="s">
        <v>5615</v>
      </c>
      <c r="E1556" s="2" t="s">
        <v>4264</v>
      </c>
      <c r="F1556" s="2" t="s">
        <v>10</v>
      </c>
      <c r="G1556" s="2" t="n">
        <v>411</v>
      </c>
    </row>
    <row r="1557" customFormat="false" ht="15" hidden="false" customHeight="false" outlineLevel="0" collapsed="false">
      <c r="A1557" s="2" t="s">
        <v>1073</v>
      </c>
      <c r="B1557" s="2" t="s">
        <v>993</v>
      </c>
      <c r="C1557" s="2" t="s">
        <v>44</v>
      </c>
      <c r="D1557" s="2" t="s">
        <v>5616</v>
      </c>
      <c r="E1557" s="2" t="s">
        <v>4264</v>
      </c>
      <c r="F1557" s="2" t="s">
        <v>10</v>
      </c>
      <c r="G1557" s="2" t="n">
        <v>411</v>
      </c>
    </row>
    <row r="1558" customFormat="false" ht="15" hidden="false" customHeight="false" outlineLevel="0" collapsed="false">
      <c r="A1558" s="2" t="s">
        <v>1075</v>
      </c>
      <c r="B1558" s="2" t="s">
        <v>70</v>
      </c>
      <c r="C1558" s="2" t="s">
        <v>70</v>
      </c>
      <c r="D1558" s="2" t="s">
        <v>5617</v>
      </c>
      <c r="E1558" s="2" t="s">
        <v>4264</v>
      </c>
      <c r="F1558" s="2" t="s">
        <v>9</v>
      </c>
      <c r="G1558" s="2" t="n">
        <v>412</v>
      </c>
    </row>
    <row r="1559" customFormat="false" ht="15" hidden="false" customHeight="false" outlineLevel="0" collapsed="false">
      <c r="A1559" s="2" t="s">
        <v>1075</v>
      </c>
      <c r="B1559" s="2" t="s">
        <v>70</v>
      </c>
      <c r="C1559" s="2" t="s">
        <v>70</v>
      </c>
      <c r="D1559" s="2" t="s">
        <v>5618</v>
      </c>
      <c r="E1559" s="2" t="s">
        <v>4271</v>
      </c>
      <c r="F1559" s="2" t="s">
        <v>9</v>
      </c>
      <c r="G1559" s="2" t="n">
        <v>412</v>
      </c>
    </row>
    <row r="1560" customFormat="false" ht="15" hidden="false" customHeight="false" outlineLevel="0" collapsed="false">
      <c r="A1560" s="2" t="s">
        <v>1075</v>
      </c>
      <c r="B1560" s="2" t="s">
        <v>70</v>
      </c>
      <c r="C1560" s="2" t="s">
        <v>70</v>
      </c>
      <c r="D1560" s="2" t="s">
        <v>5619</v>
      </c>
      <c r="E1560" s="2" t="s">
        <v>4264</v>
      </c>
      <c r="F1560" s="2" t="s">
        <v>9</v>
      </c>
      <c r="G1560" s="2" t="n">
        <v>412</v>
      </c>
    </row>
    <row r="1561" customFormat="false" ht="15" hidden="false" customHeight="false" outlineLevel="0" collapsed="false">
      <c r="A1561" s="2" t="s">
        <v>1077</v>
      </c>
      <c r="B1561" s="2" t="s">
        <v>1078</v>
      </c>
      <c r="C1561" s="2" t="s">
        <v>70</v>
      </c>
      <c r="D1561" s="2" t="s">
        <v>1078</v>
      </c>
      <c r="E1561" s="2" t="s">
        <v>4271</v>
      </c>
      <c r="F1561" s="2" t="s">
        <v>10</v>
      </c>
      <c r="G1561" s="2" t="n">
        <v>413</v>
      </c>
    </row>
    <row r="1562" customFormat="false" ht="15" hidden="false" customHeight="false" outlineLevel="0" collapsed="false">
      <c r="A1562" s="2" t="s">
        <v>1077</v>
      </c>
      <c r="B1562" s="2" t="s">
        <v>1078</v>
      </c>
      <c r="C1562" s="2" t="s">
        <v>70</v>
      </c>
      <c r="D1562" s="2" t="s">
        <v>5620</v>
      </c>
      <c r="E1562" s="2" t="s">
        <v>4271</v>
      </c>
      <c r="F1562" s="2" t="s">
        <v>10</v>
      </c>
      <c r="G1562" s="2" t="n">
        <v>413</v>
      </c>
    </row>
    <row r="1563" customFormat="false" ht="15" hidden="false" customHeight="false" outlineLevel="0" collapsed="false">
      <c r="A1563" s="2" t="s">
        <v>1080</v>
      </c>
      <c r="B1563" s="2" t="s">
        <v>798</v>
      </c>
      <c r="C1563" s="2" t="s">
        <v>70</v>
      </c>
      <c r="D1563" s="2" t="s">
        <v>1081</v>
      </c>
      <c r="E1563" s="2" t="s">
        <v>4271</v>
      </c>
      <c r="F1563" s="2" t="s">
        <v>9</v>
      </c>
      <c r="G1563" s="2" t="n">
        <v>414</v>
      </c>
    </row>
    <row r="1564" customFormat="false" ht="15" hidden="false" customHeight="false" outlineLevel="0" collapsed="false">
      <c r="A1564" s="2" t="s">
        <v>1082</v>
      </c>
      <c r="B1564" s="2" t="s">
        <v>1083</v>
      </c>
      <c r="C1564" s="2" t="s">
        <v>105</v>
      </c>
      <c r="D1564" s="2" t="s">
        <v>5621</v>
      </c>
      <c r="E1564" s="2" t="s">
        <v>4261</v>
      </c>
      <c r="F1564" s="2" t="s">
        <v>10</v>
      </c>
      <c r="G1564" s="2" t="n">
        <v>415</v>
      </c>
    </row>
    <row r="1565" customFormat="false" ht="15" hidden="false" customHeight="false" outlineLevel="0" collapsed="false">
      <c r="A1565" s="2" t="s">
        <v>1082</v>
      </c>
      <c r="B1565" s="2" t="s">
        <v>1083</v>
      </c>
      <c r="C1565" s="2" t="s">
        <v>105</v>
      </c>
      <c r="D1565" s="2" t="s">
        <v>5622</v>
      </c>
      <c r="E1565" s="2" t="s">
        <v>4261</v>
      </c>
      <c r="F1565" s="2" t="s">
        <v>10</v>
      </c>
      <c r="G1565" s="2" t="n">
        <v>415</v>
      </c>
    </row>
    <row r="1566" customFormat="false" ht="15" hidden="false" customHeight="false" outlineLevel="0" collapsed="false">
      <c r="A1566" s="2" t="s">
        <v>1082</v>
      </c>
      <c r="B1566" s="2" t="s">
        <v>1083</v>
      </c>
      <c r="C1566" s="2" t="s">
        <v>105</v>
      </c>
      <c r="D1566" s="2" t="s">
        <v>5623</v>
      </c>
      <c r="E1566" s="2" t="s">
        <v>4261</v>
      </c>
      <c r="F1566" s="2" t="s">
        <v>10</v>
      </c>
      <c r="G1566" s="2" t="n">
        <v>415</v>
      </c>
    </row>
    <row r="1567" customFormat="false" ht="15" hidden="false" customHeight="false" outlineLevel="0" collapsed="false">
      <c r="A1567" s="2" t="s">
        <v>1085</v>
      </c>
      <c r="B1567" s="2" t="s">
        <v>1086</v>
      </c>
      <c r="C1567" s="2" t="s">
        <v>44</v>
      </c>
      <c r="D1567" s="2" t="s">
        <v>5624</v>
      </c>
      <c r="E1567" s="2" t="s">
        <v>4261</v>
      </c>
      <c r="F1567" s="2" t="s">
        <v>8</v>
      </c>
      <c r="G1567" s="2" t="n">
        <v>416</v>
      </c>
    </row>
    <row r="1568" customFormat="false" ht="15" hidden="false" customHeight="false" outlineLevel="0" collapsed="false">
      <c r="A1568" s="2" t="s">
        <v>1085</v>
      </c>
      <c r="B1568" s="2" t="s">
        <v>1086</v>
      </c>
      <c r="C1568" s="2" t="s">
        <v>44</v>
      </c>
      <c r="D1568" s="2" t="s">
        <v>5625</v>
      </c>
      <c r="E1568" s="2" t="s">
        <v>4261</v>
      </c>
      <c r="F1568" s="2" t="s">
        <v>8</v>
      </c>
      <c r="G1568" s="2" t="n">
        <v>416</v>
      </c>
    </row>
    <row r="1569" customFormat="false" ht="15" hidden="false" customHeight="false" outlineLevel="0" collapsed="false">
      <c r="A1569" s="2" t="s">
        <v>1085</v>
      </c>
      <c r="B1569" s="2" t="s">
        <v>1086</v>
      </c>
      <c r="C1569" s="2" t="s">
        <v>44</v>
      </c>
      <c r="D1569" s="2" t="s">
        <v>5626</v>
      </c>
      <c r="E1569" s="2" t="s">
        <v>4264</v>
      </c>
      <c r="F1569" s="2" t="s">
        <v>8</v>
      </c>
      <c r="G1569" s="2" t="n">
        <v>416</v>
      </c>
    </row>
    <row r="1570" customFormat="false" ht="15" hidden="false" customHeight="false" outlineLevel="0" collapsed="false">
      <c r="A1570" s="2" t="s">
        <v>1085</v>
      </c>
      <c r="B1570" s="2" t="s">
        <v>1086</v>
      </c>
      <c r="C1570" s="2" t="s">
        <v>44</v>
      </c>
      <c r="D1570" s="2" t="s">
        <v>5627</v>
      </c>
      <c r="E1570" s="2" t="s">
        <v>4264</v>
      </c>
      <c r="F1570" s="2" t="s">
        <v>8</v>
      </c>
      <c r="G1570" s="2" t="n">
        <v>416</v>
      </c>
    </row>
    <row r="1571" customFormat="false" ht="15" hidden="false" customHeight="false" outlineLevel="0" collapsed="false">
      <c r="A1571" s="2" t="s">
        <v>1085</v>
      </c>
      <c r="B1571" s="2" t="s">
        <v>1086</v>
      </c>
      <c r="C1571" s="2" t="s">
        <v>44</v>
      </c>
      <c r="D1571" s="2" t="s">
        <v>5628</v>
      </c>
      <c r="E1571" s="2" t="s">
        <v>4264</v>
      </c>
      <c r="F1571" s="2" t="s">
        <v>8</v>
      </c>
      <c r="G1571" s="2" t="n">
        <v>416</v>
      </c>
    </row>
    <row r="1572" customFormat="false" ht="15" hidden="false" customHeight="false" outlineLevel="0" collapsed="false">
      <c r="A1572" s="2" t="s">
        <v>1085</v>
      </c>
      <c r="B1572" s="2" t="s">
        <v>1086</v>
      </c>
      <c r="C1572" s="2" t="s">
        <v>44</v>
      </c>
      <c r="D1572" s="2" t="s">
        <v>5629</v>
      </c>
      <c r="E1572" s="2" t="s">
        <v>4264</v>
      </c>
      <c r="F1572" s="2" t="s">
        <v>8</v>
      </c>
      <c r="G1572" s="2" t="n">
        <v>416</v>
      </c>
    </row>
    <row r="1573" customFormat="false" ht="15" hidden="false" customHeight="false" outlineLevel="0" collapsed="false">
      <c r="A1573" s="2" t="s">
        <v>1085</v>
      </c>
      <c r="B1573" s="2" t="s">
        <v>1086</v>
      </c>
      <c r="C1573" s="2" t="s">
        <v>44</v>
      </c>
      <c r="D1573" s="2" t="s">
        <v>5630</v>
      </c>
      <c r="E1573" s="2" t="s">
        <v>4261</v>
      </c>
      <c r="F1573" s="2" t="s">
        <v>8</v>
      </c>
      <c r="G1573" s="2" t="n">
        <v>416</v>
      </c>
    </row>
    <row r="1574" customFormat="false" ht="15" hidden="false" customHeight="false" outlineLevel="0" collapsed="false">
      <c r="A1574" s="2" t="s">
        <v>1089</v>
      </c>
      <c r="B1574" s="2" t="s">
        <v>403</v>
      </c>
      <c r="C1574" s="2" t="s">
        <v>70</v>
      </c>
      <c r="D1574" s="2" t="s">
        <v>1090</v>
      </c>
      <c r="E1574" s="2" t="s">
        <v>4261</v>
      </c>
      <c r="F1574" s="2" t="s">
        <v>8</v>
      </c>
      <c r="G1574" s="2" t="n">
        <v>418</v>
      </c>
    </row>
    <row r="1575" customFormat="false" ht="15" hidden="false" customHeight="false" outlineLevel="0" collapsed="false">
      <c r="A1575" s="2" t="s">
        <v>1093</v>
      </c>
      <c r="B1575" s="2" t="s">
        <v>1094</v>
      </c>
      <c r="C1575" s="2" t="s">
        <v>70</v>
      </c>
      <c r="D1575" s="2" t="s">
        <v>1094</v>
      </c>
      <c r="E1575" s="2" t="s">
        <v>4271</v>
      </c>
      <c r="F1575" s="2" t="s">
        <v>10</v>
      </c>
      <c r="G1575" s="2" t="n">
        <v>420</v>
      </c>
    </row>
    <row r="1576" customFormat="false" ht="15" hidden="false" customHeight="false" outlineLevel="0" collapsed="false">
      <c r="A1576" s="2" t="s">
        <v>1093</v>
      </c>
      <c r="B1576" s="2" t="s">
        <v>1094</v>
      </c>
      <c r="C1576" s="2" t="s">
        <v>70</v>
      </c>
      <c r="D1576" s="2" t="s">
        <v>5631</v>
      </c>
      <c r="E1576" s="2" t="s">
        <v>4261</v>
      </c>
      <c r="F1576" s="2" t="s">
        <v>10</v>
      </c>
      <c r="G1576" s="2" t="n">
        <v>420</v>
      </c>
    </row>
    <row r="1577" customFormat="false" ht="15" hidden="false" customHeight="false" outlineLevel="0" collapsed="false">
      <c r="A1577" s="2" t="s">
        <v>1093</v>
      </c>
      <c r="B1577" s="2" t="s">
        <v>1094</v>
      </c>
      <c r="C1577" s="2" t="s">
        <v>70</v>
      </c>
      <c r="D1577" s="2" t="s">
        <v>5632</v>
      </c>
      <c r="E1577" s="2" t="s">
        <v>4261</v>
      </c>
      <c r="F1577" s="2" t="s">
        <v>10</v>
      </c>
      <c r="G1577" s="2" t="n">
        <v>420</v>
      </c>
    </row>
    <row r="1578" customFormat="false" ht="15" hidden="false" customHeight="false" outlineLevel="0" collapsed="false">
      <c r="A1578" s="2" t="s">
        <v>1093</v>
      </c>
      <c r="B1578" s="2" t="s">
        <v>1094</v>
      </c>
      <c r="C1578" s="2" t="s">
        <v>70</v>
      </c>
      <c r="D1578" s="2" t="s">
        <v>5633</v>
      </c>
      <c r="E1578" s="2" t="s">
        <v>4261</v>
      </c>
      <c r="F1578" s="2" t="s">
        <v>10</v>
      </c>
      <c r="G1578" s="2" t="n">
        <v>420</v>
      </c>
    </row>
    <row r="1579" customFormat="false" ht="15" hidden="false" customHeight="false" outlineLevel="0" collapsed="false">
      <c r="A1579" s="2" t="s">
        <v>1093</v>
      </c>
      <c r="B1579" s="2" t="s">
        <v>1094</v>
      </c>
      <c r="C1579" s="2" t="s">
        <v>70</v>
      </c>
      <c r="D1579" s="2" t="s">
        <v>5634</v>
      </c>
      <c r="E1579" s="2" t="s">
        <v>4261</v>
      </c>
      <c r="F1579" s="2" t="s">
        <v>10</v>
      </c>
      <c r="G1579" s="2" t="n">
        <v>420</v>
      </c>
    </row>
    <row r="1580" customFormat="false" ht="15" hidden="false" customHeight="false" outlineLevel="0" collapsed="false">
      <c r="A1580" s="2" t="s">
        <v>1096</v>
      </c>
      <c r="B1580" s="2" t="s">
        <v>56</v>
      </c>
      <c r="C1580" s="2" t="s">
        <v>56</v>
      </c>
      <c r="D1580" s="2" t="s">
        <v>5635</v>
      </c>
      <c r="E1580" s="2" t="s">
        <v>4271</v>
      </c>
      <c r="F1580" s="2" t="s">
        <v>9</v>
      </c>
      <c r="G1580" s="2" t="n">
        <v>421</v>
      </c>
    </row>
    <row r="1581" customFormat="false" ht="15" hidden="false" customHeight="false" outlineLevel="0" collapsed="false">
      <c r="A1581" s="2" t="s">
        <v>1096</v>
      </c>
      <c r="B1581" s="2" t="s">
        <v>56</v>
      </c>
      <c r="C1581" s="2" t="s">
        <v>56</v>
      </c>
      <c r="D1581" s="2" t="s">
        <v>5636</v>
      </c>
      <c r="E1581" s="2" t="s">
        <v>4261</v>
      </c>
      <c r="F1581" s="2" t="s">
        <v>9</v>
      </c>
      <c r="G1581" s="2" t="n">
        <v>421</v>
      </c>
    </row>
    <row r="1582" customFormat="false" ht="15" hidden="false" customHeight="false" outlineLevel="0" collapsed="false">
      <c r="A1582" s="2" t="s">
        <v>1096</v>
      </c>
      <c r="B1582" s="2" t="s">
        <v>56</v>
      </c>
      <c r="C1582" s="2" t="s">
        <v>56</v>
      </c>
      <c r="D1582" s="2" t="s">
        <v>5292</v>
      </c>
      <c r="E1582" s="2" t="s">
        <v>4261</v>
      </c>
      <c r="F1582" s="2" t="s">
        <v>9</v>
      </c>
      <c r="G1582" s="2" t="n">
        <v>421</v>
      </c>
    </row>
    <row r="1583" customFormat="false" ht="15" hidden="false" customHeight="false" outlineLevel="0" collapsed="false">
      <c r="A1583" s="2" t="s">
        <v>1099</v>
      </c>
      <c r="B1583" s="2" t="s">
        <v>1100</v>
      </c>
      <c r="C1583" s="2" t="s">
        <v>70</v>
      </c>
      <c r="D1583" s="2" t="s">
        <v>5637</v>
      </c>
      <c r="E1583" s="2" t="s">
        <v>4264</v>
      </c>
      <c r="F1583" s="2" t="s">
        <v>10</v>
      </c>
      <c r="G1583" s="2" t="n">
        <v>422</v>
      </c>
    </row>
    <row r="1584" customFormat="false" ht="15" hidden="false" customHeight="false" outlineLevel="0" collapsed="false">
      <c r="A1584" s="2" t="s">
        <v>1099</v>
      </c>
      <c r="B1584" s="2" t="s">
        <v>1100</v>
      </c>
      <c r="C1584" s="2" t="s">
        <v>70</v>
      </c>
      <c r="D1584" s="2" t="s">
        <v>5638</v>
      </c>
      <c r="E1584" s="2" t="s">
        <v>4264</v>
      </c>
      <c r="F1584" s="2" t="s">
        <v>10</v>
      </c>
      <c r="G1584" s="2" t="n">
        <v>422</v>
      </c>
    </row>
    <row r="1585" customFormat="false" ht="15" hidden="false" customHeight="false" outlineLevel="0" collapsed="false">
      <c r="A1585" s="2" t="s">
        <v>1099</v>
      </c>
      <c r="B1585" s="2" t="s">
        <v>1100</v>
      </c>
      <c r="C1585" s="2" t="s">
        <v>70</v>
      </c>
      <c r="D1585" s="2" t="s">
        <v>5639</v>
      </c>
      <c r="E1585" s="2" t="s">
        <v>4261</v>
      </c>
      <c r="F1585" s="2" t="s">
        <v>10</v>
      </c>
      <c r="G1585" s="2" t="n">
        <v>422</v>
      </c>
    </row>
    <row r="1586" customFormat="false" ht="15" hidden="false" customHeight="false" outlineLevel="0" collapsed="false">
      <c r="A1586" s="2" t="s">
        <v>1099</v>
      </c>
      <c r="B1586" s="2" t="s">
        <v>1100</v>
      </c>
      <c r="C1586" s="2" t="s">
        <v>70</v>
      </c>
      <c r="D1586" s="2" t="s">
        <v>1100</v>
      </c>
      <c r="E1586" s="2" t="s">
        <v>4271</v>
      </c>
      <c r="F1586" s="2" t="s">
        <v>10</v>
      </c>
      <c r="G1586" s="2" t="n">
        <v>422</v>
      </c>
    </row>
    <row r="1587" customFormat="false" ht="15" hidden="false" customHeight="false" outlineLevel="0" collapsed="false">
      <c r="A1587" s="2" t="s">
        <v>1103</v>
      </c>
      <c r="B1587" s="2" t="s">
        <v>1104</v>
      </c>
      <c r="C1587" s="2" t="s">
        <v>197</v>
      </c>
      <c r="D1587" s="2" t="s">
        <v>5640</v>
      </c>
      <c r="E1587" s="2" t="s">
        <v>4261</v>
      </c>
      <c r="F1587" s="2" t="s">
        <v>9</v>
      </c>
      <c r="G1587" s="2" t="n">
        <v>423</v>
      </c>
    </row>
    <row r="1588" customFormat="false" ht="15" hidden="false" customHeight="false" outlineLevel="0" collapsed="false">
      <c r="A1588" s="2" t="s">
        <v>1103</v>
      </c>
      <c r="B1588" s="2" t="s">
        <v>1104</v>
      </c>
      <c r="C1588" s="2" t="s">
        <v>197</v>
      </c>
      <c r="D1588" s="2" t="s">
        <v>5641</v>
      </c>
      <c r="E1588" s="2" t="s">
        <v>4261</v>
      </c>
      <c r="F1588" s="2" t="s">
        <v>9</v>
      </c>
      <c r="G1588" s="2" t="n">
        <v>423</v>
      </c>
    </row>
    <row r="1589" customFormat="false" ht="15" hidden="false" customHeight="false" outlineLevel="0" collapsed="false">
      <c r="A1589" s="2" t="s">
        <v>1103</v>
      </c>
      <c r="B1589" s="2" t="s">
        <v>1104</v>
      </c>
      <c r="C1589" s="2" t="s">
        <v>197</v>
      </c>
      <c r="D1589" s="2" t="s">
        <v>5642</v>
      </c>
      <c r="E1589" s="2" t="s">
        <v>4261</v>
      </c>
      <c r="F1589" s="2" t="s">
        <v>9</v>
      </c>
      <c r="G1589" s="2" t="n">
        <v>423</v>
      </c>
    </row>
    <row r="1590" customFormat="false" ht="15" hidden="false" customHeight="false" outlineLevel="0" collapsed="false">
      <c r="A1590" s="2" t="s">
        <v>1103</v>
      </c>
      <c r="B1590" s="2" t="s">
        <v>1104</v>
      </c>
      <c r="C1590" s="2" t="s">
        <v>197</v>
      </c>
      <c r="D1590" s="2" t="s">
        <v>5643</v>
      </c>
      <c r="E1590" s="2" t="s">
        <v>4261</v>
      </c>
      <c r="F1590" s="2" t="s">
        <v>9</v>
      </c>
      <c r="G1590" s="2" t="n">
        <v>423</v>
      </c>
    </row>
    <row r="1591" customFormat="false" ht="15" hidden="false" customHeight="false" outlineLevel="0" collapsed="false">
      <c r="A1591" s="2" t="s">
        <v>1106</v>
      </c>
      <c r="B1591" s="2" t="s">
        <v>747</v>
      </c>
      <c r="C1591" s="2" t="s">
        <v>70</v>
      </c>
      <c r="D1591" s="2" t="s">
        <v>5644</v>
      </c>
      <c r="E1591" s="2" t="s">
        <v>4261</v>
      </c>
      <c r="F1591" s="2" t="s">
        <v>8</v>
      </c>
      <c r="G1591" s="2" t="n">
        <v>424</v>
      </c>
    </row>
    <row r="1592" customFormat="false" ht="15" hidden="false" customHeight="false" outlineLevel="0" collapsed="false">
      <c r="A1592" s="2" t="s">
        <v>1106</v>
      </c>
      <c r="B1592" s="2" t="s">
        <v>747</v>
      </c>
      <c r="C1592" s="2" t="s">
        <v>70</v>
      </c>
      <c r="D1592" s="2" t="s">
        <v>5645</v>
      </c>
      <c r="E1592" s="2" t="s">
        <v>4261</v>
      </c>
      <c r="F1592" s="2" t="s">
        <v>8</v>
      </c>
      <c r="G1592" s="2" t="n">
        <v>424</v>
      </c>
    </row>
    <row r="1593" customFormat="false" ht="15" hidden="false" customHeight="false" outlineLevel="0" collapsed="false">
      <c r="A1593" s="2" t="s">
        <v>1106</v>
      </c>
      <c r="B1593" s="2" t="s">
        <v>747</v>
      </c>
      <c r="C1593" s="2" t="s">
        <v>70</v>
      </c>
      <c r="D1593" s="2" t="s">
        <v>5646</v>
      </c>
      <c r="E1593" s="2" t="s">
        <v>4261</v>
      </c>
      <c r="F1593" s="2" t="s">
        <v>8</v>
      </c>
      <c r="G1593" s="2" t="n">
        <v>424</v>
      </c>
    </row>
    <row r="1594" customFormat="false" ht="15" hidden="false" customHeight="false" outlineLevel="0" collapsed="false">
      <c r="A1594" s="2" t="s">
        <v>1108</v>
      </c>
      <c r="B1594" s="2" t="s">
        <v>1109</v>
      </c>
      <c r="C1594" s="2" t="s">
        <v>70</v>
      </c>
      <c r="D1594" s="2" t="s">
        <v>1110</v>
      </c>
      <c r="E1594" s="2" t="s">
        <v>4261</v>
      </c>
      <c r="F1594" s="2" t="s">
        <v>10</v>
      </c>
      <c r="G1594" s="2" t="n">
        <v>425</v>
      </c>
    </row>
    <row r="1595" customFormat="false" ht="15" hidden="false" customHeight="false" outlineLevel="0" collapsed="false">
      <c r="A1595" s="2" t="s">
        <v>1111</v>
      </c>
      <c r="B1595" s="2" t="s">
        <v>1112</v>
      </c>
      <c r="C1595" s="2" t="s">
        <v>70</v>
      </c>
      <c r="D1595" s="2" t="s">
        <v>1113</v>
      </c>
      <c r="E1595" s="2" t="s">
        <v>4261</v>
      </c>
      <c r="F1595" s="2" t="s">
        <v>9</v>
      </c>
      <c r="G1595" s="2" t="n">
        <v>426</v>
      </c>
    </row>
    <row r="1596" customFormat="false" ht="15" hidden="false" customHeight="false" outlineLevel="0" collapsed="false">
      <c r="A1596" s="2" t="s">
        <v>1114</v>
      </c>
      <c r="B1596" s="2" t="s">
        <v>1115</v>
      </c>
      <c r="C1596" s="2" t="s">
        <v>70</v>
      </c>
      <c r="D1596" s="2" t="s">
        <v>5647</v>
      </c>
      <c r="E1596" s="2" t="s">
        <v>4264</v>
      </c>
      <c r="F1596" s="2" t="s">
        <v>10</v>
      </c>
      <c r="G1596" s="2" t="n">
        <v>427</v>
      </c>
    </row>
    <row r="1597" customFormat="false" ht="15" hidden="false" customHeight="false" outlineLevel="0" collapsed="false">
      <c r="A1597" s="2" t="s">
        <v>1114</v>
      </c>
      <c r="B1597" s="2" t="s">
        <v>1115</v>
      </c>
      <c r="C1597" s="2" t="s">
        <v>70</v>
      </c>
      <c r="D1597" s="2" t="s">
        <v>1115</v>
      </c>
      <c r="E1597" s="2" t="s">
        <v>4271</v>
      </c>
      <c r="F1597" s="2" t="s">
        <v>10</v>
      </c>
      <c r="G1597" s="2" t="n">
        <v>427</v>
      </c>
    </row>
    <row r="1598" customFormat="false" ht="15" hidden="false" customHeight="false" outlineLevel="0" collapsed="false">
      <c r="A1598" s="2" t="s">
        <v>1118</v>
      </c>
      <c r="B1598" s="2" t="s">
        <v>70</v>
      </c>
      <c r="C1598" s="2" t="s">
        <v>70</v>
      </c>
      <c r="D1598" s="2" t="s">
        <v>5648</v>
      </c>
      <c r="E1598" s="2" t="s">
        <v>4261</v>
      </c>
      <c r="F1598" s="2" t="s">
        <v>8</v>
      </c>
      <c r="G1598" s="2" t="n">
        <v>429</v>
      </c>
    </row>
    <row r="1599" customFormat="false" ht="15" hidden="false" customHeight="false" outlineLevel="0" collapsed="false">
      <c r="A1599" s="2" t="s">
        <v>1118</v>
      </c>
      <c r="B1599" s="2" t="s">
        <v>70</v>
      </c>
      <c r="C1599" s="2" t="s">
        <v>70</v>
      </c>
      <c r="D1599" s="2" t="s">
        <v>5649</v>
      </c>
      <c r="E1599" s="2" t="s">
        <v>4264</v>
      </c>
      <c r="F1599" s="2" t="s">
        <v>8</v>
      </c>
      <c r="G1599" s="2" t="n">
        <v>429</v>
      </c>
    </row>
    <row r="1600" customFormat="false" ht="15" hidden="false" customHeight="false" outlineLevel="0" collapsed="false">
      <c r="A1600" s="2" t="s">
        <v>1118</v>
      </c>
      <c r="B1600" s="2" t="s">
        <v>70</v>
      </c>
      <c r="C1600" s="2" t="s">
        <v>70</v>
      </c>
      <c r="D1600" s="2" t="s">
        <v>5650</v>
      </c>
      <c r="E1600" s="2" t="s">
        <v>4261</v>
      </c>
      <c r="F1600" s="2" t="s">
        <v>8</v>
      </c>
      <c r="G1600" s="2" t="n">
        <v>429</v>
      </c>
    </row>
    <row r="1601" customFormat="false" ht="15" hidden="false" customHeight="false" outlineLevel="0" collapsed="false">
      <c r="A1601" s="2" t="s">
        <v>1118</v>
      </c>
      <c r="B1601" s="2" t="s">
        <v>70</v>
      </c>
      <c r="C1601" s="2" t="s">
        <v>70</v>
      </c>
      <c r="D1601" s="2" t="s">
        <v>4171</v>
      </c>
      <c r="E1601" s="2" t="s">
        <v>4271</v>
      </c>
      <c r="F1601" s="2" t="s">
        <v>8</v>
      </c>
      <c r="G1601" s="2" t="n">
        <v>429</v>
      </c>
    </row>
    <row r="1602" customFormat="false" ht="15" hidden="false" customHeight="false" outlineLevel="0" collapsed="false">
      <c r="A1602" s="2" t="s">
        <v>1118</v>
      </c>
      <c r="B1602" s="2" t="s">
        <v>70</v>
      </c>
      <c r="C1602" s="2" t="s">
        <v>70</v>
      </c>
      <c r="D1602" s="2" t="s">
        <v>5651</v>
      </c>
      <c r="E1602" s="2" t="s">
        <v>4261</v>
      </c>
      <c r="F1602" s="2" t="s">
        <v>8</v>
      </c>
      <c r="G1602" s="2" t="n">
        <v>429</v>
      </c>
    </row>
    <row r="1603" customFormat="false" ht="15" hidden="false" customHeight="false" outlineLevel="0" collapsed="false">
      <c r="A1603" s="2" t="s">
        <v>1121</v>
      </c>
      <c r="B1603" s="2" t="s">
        <v>1122</v>
      </c>
      <c r="C1603" s="2" t="s">
        <v>44</v>
      </c>
      <c r="D1603" s="2" t="s">
        <v>1123</v>
      </c>
      <c r="E1603" s="2" t="s">
        <v>4264</v>
      </c>
      <c r="F1603" s="2" t="s">
        <v>10</v>
      </c>
      <c r="G1603" s="2" t="n">
        <v>431</v>
      </c>
    </row>
    <row r="1604" customFormat="false" ht="15" hidden="false" customHeight="false" outlineLevel="0" collapsed="false">
      <c r="A1604" s="2" t="s">
        <v>1124</v>
      </c>
      <c r="B1604" s="2" t="s">
        <v>772</v>
      </c>
      <c r="C1604" s="2" t="s">
        <v>105</v>
      </c>
      <c r="D1604" s="2" t="s">
        <v>5652</v>
      </c>
      <c r="E1604" s="2" t="s">
        <v>4261</v>
      </c>
      <c r="F1604" s="2" t="s">
        <v>10</v>
      </c>
      <c r="G1604" s="2" t="n">
        <v>432</v>
      </c>
    </row>
    <row r="1605" customFormat="false" ht="15" hidden="false" customHeight="false" outlineLevel="0" collapsed="false">
      <c r="A1605" s="2" t="s">
        <v>1124</v>
      </c>
      <c r="B1605" s="2" t="s">
        <v>772</v>
      </c>
      <c r="C1605" s="2" t="s">
        <v>105</v>
      </c>
      <c r="D1605" s="2" t="s">
        <v>5653</v>
      </c>
      <c r="E1605" s="2" t="s">
        <v>4261</v>
      </c>
      <c r="F1605" s="2" t="s">
        <v>10</v>
      </c>
      <c r="G1605" s="2" t="n">
        <v>432</v>
      </c>
    </row>
    <row r="1606" customFormat="false" ht="15" hidden="false" customHeight="false" outlineLevel="0" collapsed="false">
      <c r="A1606" s="2" t="s">
        <v>1124</v>
      </c>
      <c r="B1606" s="2" t="s">
        <v>772</v>
      </c>
      <c r="C1606" s="2" t="s">
        <v>105</v>
      </c>
      <c r="D1606" s="2" t="s">
        <v>5654</v>
      </c>
      <c r="E1606" s="2" t="s">
        <v>4261</v>
      </c>
      <c r="F1606" s="2" t="s">
        <v>10</v>
      </c>
      <c r="G1606" s="2" t="n">
        <v>432</v>
      </c>
    </row>
    <row r="1607" customFormat="false" ht="15" hidden="false" customHeight="false" outlineLevel="0" collapsed="false">
      <c r="A1607" s="2" t="s">
        <v>1124</v>
      </c>
      <c r="B1607" s="2" t="s">
        <v>772</v>
      </c>
      <c r="C1607" s="2" t="s">
        <v>105</v>
      </c>
      <c r="D1607" s="2" t="s">
        <v>5655</v>
      </c>
      <c r="E1607" s="2" t="s">
        <v>4261</v>
      </c>
      <c r="F1607" s="2" t="s">
        <v>10</v>
      </c>
      <c r="G1607" s="2" t="n">
        <v>432</v>
      </c>
    </row>
    <row r="1608" customFormat="false" ht="15" hidden="false" customHeight="false" outlineLevel="0" collapsed="false">
      <c r="A1608" s="2" t="s">
        <v>1124</v>
      </c>
      <c r="B1608" s="2" t="s">
        <v>772</v>
      </c>
      <c r="C1608" s="2" t="s">
        <v>105</v>
      </c>
      <c r="D1608" s="2" t="s">
        <v>5656</v>
      </c>
      <c r="E1608" s="2" t="s">
        <v>4261</v>
      </c>
      <c r="F1608" s="2" t="s">
        <v>10</v>
      </c>
      <c r="G1608" s="2" t="n">
        <v>432</v>
      </c>
    </row>
    <row r="1609" customFormat="false" ht="15" hidden="false" customHeight="false" outlineLevel="0" collapsed="false">
      <c r="A1609" s="2" t="s">
        <v>1124</v>
      </c>
      <c r="B1609" s="2" t="s">
        <v>772</v>
      </c>
      <c r="C1609" s="2" t="s">
        <v>105</v>
      </c>
      <c r="D1609" s="2" t="s">
        <v>5657</v>
      </c>
      <c r="E1609" s="2" t="s">
        <v>4261</v>
      </c>
      <c r="F1609" s="2" t="s">
        <v>10</v>
      </c>
      <c r="G1609" s="2" t="n">
        <v>432</v>
      </c>
    </row>
    <row r="1610" customFormat="false" ht="15" hidden="false" customHeight="false" outlineLevel="0" collapsed="false">
      <c r="A1610" s="2" t="s">
        <v>1124</v>
      </c>
      <c r="B1610" s="2" t="s">
        <v>772</v>
      </c>
      <c r="C1610" s="2" t="s">
        <v>105</v>
      </c>
      <c r="D1610" s="2" t="s">
        <v>5658</v>
      </c>
      <c r="E1610" s="2" t="s">
        <v>4261</v>
      </c>
      <c r="F1610" s="2" t="s">
        <v>10</v>
      </c>
      <c r="G1610" s="2" t="n">
        <v>432</v>
      </c>
    </row>
    <row r="1611" customFormat="false" ht="15" hidden="false" customHeight="false" outlineLevel="0" collapsed="false">
      <c r="A1611" s="2" t="s">
        <v>1124</v>
      </c>
      <c r="B1611" s="2" t="s">
        <v>772</v>
      </c>
      <c r="C1611" s="2" t="s">
        <v>105</v>
      </c>
      <c r="D1611" s="2" t="s">
        <v>5659</v>
      </c>
      <c r="E1611" s="2" t="s">
        <v>4261</v>
      </c>
      <c r="F1611" s="2" t="s">
        <v>10</v>
      </c>
      <c r="G1611" s="2" t="n">
        <v>432</v>
      </c>
    </row>
    <row r="1612" customFormat="false" ht="15" hidden="false" customHeight="false" outlineLevel="0" collapsed="false">
      <c r="A1612" s="2" t="s">
        <v>1126</v>
      </c>
      <c r="B1612" s="2" t="s">
        <v>767</v>
      </c>
      <c r="C1612" s="2" t="s">
        <v>70</v>
      </c>
      <c r="D1612" s="2" t="s">
        <v>5660</v>
      </c>
      <c r="E1612" s="2" t="s">
        <v>4271</v>
      </c>
      <c r="F1612" s="2" t="s">
        <v>10</v>
      </c>
      <c r="G1612" s="2" t="n">
        <v>433</v>
      </c>
    </row>
    <row r="1613" customFormat="false" ht="15" hidden="false" customHeight="false" outlineLevel="0" collapsed="false">
      <c r="A1613" s="2" t="s">
        <v>1126</v>
      </c>
      <c r="B1613" s="2" t="s">
        <v>767</v>
      </c>
      <c r="C1613" s="2" t="s">
        <v>70</v>
      </c>
      <c r="D1613" s="2" t="s">
        <v>5661</v>
      </c>
      <c r="E1613" s="2" t="s">
        <v>4271</v>
      </c>
      <c r="F1613" s="2" t="s">
        <v>10</v>
      </c>
      <c r="G1613" s="2" t="n">
        <v>433</v>
      </c>
    </row>
    <row r="1614" customFormat="false" ht="15" hidden="false" customHeight="false" outlineLevel="0" collapsed="false">
      <c r="A1614" s="2" t="s">
        <v>1128</v>
      </c>
      <c r="B1614" s="2" t="s">
        <v>1129</v>
      </c>
      <c r="C1614" s="2" t="s">
        <v>44</v>
      </c>
      <c r="D1614" s="2" t="s">
        <v>5662</v>
      </c>
      <c r="E1614" s="2" t="s">
        <v>4264</v>
      </c>
      <c r="F1614" s="2" t="s">
        <v>10</v>
      </c>
      <c r="G1614" s="2" t="n">
        <v>434</v>
      </c>
    </row>
    <row r="1615" customFormat="false" ht="15" hidden="false" customHeight="false" outlineLevel="0" collapsed="false">
      <c r="A1615" s="2" t="s">
        <v>1128</v>
      </c>
      <c r="B1615" s="2" t="s">
        <v>1129</v>
      </c>
      <c r="C1615" s="2" t="s">
        <v>44</v>
      </c>
      <c r="D1615" s="2" t="s">
        <v>5663</v>
      </c>
      <c r="E1615" s="2" t="s">
        <v>4261</v>
      </c>
      <c r="F1615" s="2" t="s">
        <v>10</v>
      </c>
      <c r="G1615" s="2" t="n">
        <v>434</v>
      </c>
    </row>
    <row r="1616" customFormat="false" ht="15" hidden="false" customHeight="false" outlineLevel="0" collapsed="false">
      <c r="A1616" s="2" t="s">
        <v>1128</v>
      </c>
      <c r="B1616" s="2" t="s">
        <v>1129</v>
      </c>
      <c r="C1616" s="2" t="s">
        <v>44</v>
      </c>
      <c r="D1616" s="2" t="s">
        <v>5664</v>
      </c>
      <c r="E1616" s="2" t="s">
        <v>4264</v>
      </c>
      <c r="F1616" s="2" t="s">
        <v>10</v>
      </c>
      <c r="G1616" s="2" t="n">
        <v>434</v>
      </c>
    </row>
    <row r="1617" customFormat="false" ht="15" hidden="false" customHeight="false" outlineLevel="0" collapsed="false">
      <c r="A1617" s="2" t="s">
        <v>1128</v>
      </c>
      <c r="B1617" s="2" t="s">
        <v>1129</v>
      </c>
      <c r="C1617" s="2" t="s">
        <v>44</v>
      </c>
      <c r="D1617" s="2" t="s">
        <v>5665</v>
      </c>
      <c r="E1617" s="2" t="s">
        <v>4261</v>
      </c>
      <c r="F1617" s="2" t="s">
        <v>10</v>
      </c>
      <c r="G1617" s="2" t="n">
        <v>434</v>
      </c>
    </row>
    <row r="1618" customFormat="false" ht="15" hidden="false" customHeight="false" outlineLevel="0" collapsed="false">
      <c r="A1618" s="2" t="s">
        <v>1128</v>
      </c>
      <c r="B1618" s="2" t="s">
        <v>1129</v>
      </c>
      <c r="C1618" s="2" t="s">
        <v>44</v>
      </c>
      <c r="D1618" s="2" t="s">
        <v>5666</v>
      </c>
      <c r="E1618" s="2" t="s">
        <v>4264</v>
      </c>
      <c r="F1618" s="2" t="s">
        <v>10</v>
      </c>
      <c r="G1618" s="2" t="n">
        <v>434</v>
      </c>
    </row>
    <row r="1619" customFormat="false" ht="15" hidden="false" customHeight="false" outlineLevel="0" collapsed="false">
      <c r="A1619" s="2" t="s">
        <v>1131</v>
      </c>
      <c r="B1619" s="2" t="s">
        <v>70</v>
      </c>
      <c r="C1619" s="2" t="s">
        <v>70</v>
      </c>
      <c r="D1619" s="2" t="s">
        <v>5667</v>
      </c>
      <c r="E1619" s="2" t="s">
        <v>4271</v>
      </c>
      <c r="F1619" s="2" t="s">
        <v>8</v>
      </c>
      <c r="G1619" s="2" t="n">
        <v>435</v>
      </c>
    </row>
    <row r="1620" customFormat="false" ht="15" hidden="false" customHeight="false" outlineLevel="0" collapsed="false">
      <c r="A1620" s="2" t="s">
        <v>1131</v>
      </c>
      <c r="B1620" s="2" t="s">
        <v>70</v>
      </c>
      <c r="C1620" s="2" t="s">
        <v>70</v>
      </c>
      <c r="D1620" s="2" t="s">
        <v>5668</v>
      </c>
      <c r="E1620" s="2" t="s">
        <v>4261</v>
      </c>
      <c r="F1620" s="2" t="s">
        <v>8</v>
      </c>
      <c r="G1620" s="2" t="n">
        <v>435</v>
      </c>
    </row>
    <row r="1621" customFormat="false" ht="15" hidden="false" customHeight="false" outlineLevel="0" collapsed="false">
      <c r="A1621" s="2" t="s">
        <v>1131</v>
      </c>
      <c r="B1621" s="2" t="s">
        <v>70</v>
      </c>
      <c r="C1621" s="2" t="s">
        <v>70</v>
      </c>
      <c r="D1621" s="2" t="s">
        <v>5669</v>
      </c>
      <c r="E1621" s="2" t="s">
        <v>4264</v>
      </c>
      <c r="F1621" s="2" t="s">
        <v>8</v>
      </c>
      <c r="G1621" s="2" t="n">
        <v>435</v>
      </c>
    </row>
    <row r="1622" customFormat="false" ht="15" hidden="false" customHeight="false" outlineLevel="0" collapsed="false">
      <c r="A1622" s="2" t="s">
        <v>1133</v>
      </c>
      <c r="B1622" s="2" t="s">
        <v>1029</v>
      </c>
      <c r="C1622" s="2" t="s">
        <v>70</v>
      </c>
      <c r="D1622" s="2" t="s">
        <v>1134</v>
      </c>
      <c r="E1622" s="2" t="s">
        <v>4261</v>
      </c>
      <c r="F1622" s="2" t="s">
        <v>9</v>
      </c>
      <c r="G1622" s="2" t="n">
        <v>436</v>
      </c>
    </row>
    <row r="1623" customFormat="false" ht="15" hidden="false" customHeight="false" outlineLevel="0" collapsed="false">
      <c r="A1623" s="2" t="s">
        <v>1135</v>
      </c>
      <c r="B1623" s="2" t="s">
        <v>1136</v>
      </c>
      <c r="C1623" s="2" t="s">
        <v>70</v>
      </c>
      <c r="D1623" s="2" t="s">
        <v>1137</v>
      </c>
      <c r="E1623" s="2" t="s">
        <v>4261</v>
      </c>
      <c r="F1623" s="2" t="s">
        <v>8</v>
      </c>
      <c r="G1623" s="2" t="n">
        <v>437</v>
      </c>
    </row>
    <row r="1624" customFormat="false" ht="15" hidden="false" customHeight="false" outlineLevel="0" collapsed="false">
      <c r="A1624" s="2" t="s">
        <v>1138</v>
      </c>
      <c r="B1624" s="2" t="s">
        <v>44</v>
      </c>
      <c r="C1624" s="2" t="s">
        <v>44</v>
      </c>
      <c r="D1624" s="2" t="s">
        <v>5670</v>
      </c>
      <c r="E1624" s="2" t="s">
        <v>4261</v>
      </c>
      <c r="F1624" s="2" t="s">
        <v>9</v>
      </c>
      <c r="G1624" s="2" t="n">
        <v>438</v>
      </c>
    </row>
    <row r="1625" customFormat="false" ht="15" hidden="false" customHeight="false" outlineLevel="0" collapsed="false">
      <c r="A1625" s="2" t="s">
        <v>1138</v>
      </c>
      <c r="B1625" s="2" t="s">
        <v>44</v>
      </c>
      <c r="C1625" s="2" t="s">
        <v>44</v>
      </c>
      <c r="D1625" s="2" t="s">
        <v>5671</v>
      </c>
      <c r="E1625" s="2" t="s">
        <v>4261</v>
      </c>
      <c r="F1625" s="2" t="s">
        <v>9</v>
      </c>
      <c r="G1625" s="2" t="n">
        <v>438</v>
      </c>
    </row>
    <row r="1626" customFormat="false" ht="15" hidden="false" customHeight="false" outlineLevel="0" collapsed="false">
      <c r="A1626" s="2" t="s">
        <v>1138</v>
      </c>
      <c r="B1626" s="2" t="s">
        <v>44</v>
      </c>
      <c r="C1626" s="2" t="s">
        <v>44</v>
      </c>
      <c r="D1626" s="2" t="s">
        <v>1207</v>
      </c>
      <c r="E1626" s="2" t="s">
        <v>4264</v>
      </c>
      <c r="F1626" s="2" t="s">
        <v>9</v>
      </c>
      <c r="G1626" s="2" t="n">
        <v>438</v>
      </c>
    </row>
    <row r="1627" customFormat="false" ht="15" hidden="false" customHeight="false" outlineLevel="0" collapsed="false">
      <c r="A1627" s="2" t="s">
        <v>1138</v>
      </c>
      <c r="B1627" s="2" t="s">
        <v>44</v>
      </c>
      <c r="C1627" s="2" t="s">
        <v>44</v>
      </c>
      <c r="D1627" s="2" t="s">
        <v>5672</v>
      </c>
      <c r="E1627" s="2" t="s">
        <v>4264</v>
      </c>
      <c r="F1627" s="2" t="s">
        <v>9</v>
      </c>
      <c r="G1627" s="2" t="n">
        <v>438</v>
      </c>
    </row>
    <row r="1628" customFormat="false" ht="15" hidden="false" customHeight="false" outlineLevel="0" collapsed="false">
      <c r="A1628" s="2" t="s">
        <v>1138</v>
      </c>
      <c r="B1628" s="2" t="s">
        <v>44</v>
      </c>
      <c r="C1628" s="2" t="s">
        <v>44</v>
      </c>
      <c r="D1628" s="2" t="s">
        <v>5673</v>
      </c>
      <c r="E1628" s="2" t="s">
        <v>4261</v>
      </c>
      <c r="F1628" s="2" t="s">
        <v>9</v>
      </c>
      <c r="G1628" s="2" t="n">
        <v>438</v>
      </c>
    </row>
    <row r="1629" customFormat="false" ht="15" hidden="false" customHeight="false" outlineLevel="0" collapsed="false">
      <c r="A1629" s="2" t="s">
        <v>1138</v>
      </c>
      <c r="B1629" s="2" t="s">
        <v>44</v>
      </c>
      <c r="C1629" s="2" t="s">
        <v>44</v>
      </c>
      <c r="D1629" s="2" t="s">
        <v>5674</v>
      </c>
      <c r="E1629" s="2" t="s">
        <v>4261</v>
      </c>
      <c r="F1629" s="2" t="s">
        <v>9</v>
      </c>
      <c r="G1629" s="2" t="n">
        <v>438</v>
      </c>
    </row>
    <row r="1630" customFormat="false" ht="15" hidden="false" customHeight="false" outlineLevel="0" collapsed="false">
      <c r="A1630" s="2" t="s">
        <v>1138</v>
      </c>
      <c r="B1630" s="2" t="s">
        <v>44</v>
      </c>
      <c r="C1630" s="2" t="s">
        <v>44</v>
      </c>
      <c r="D1630" s="2" t="s">
        <v>5675</v>
      </c>
      <c r="E1630" s="2" t="s">
        <v>4261</v>
      </c>
      <c r="F1630" s="2" t="s">
        <v>9</v>
      </c>
      <c r="G1630" s="2" t="n">
        <v>438</v>
      </c>
    </row>
    <row r="1631" customFormat="false" ht="15" hidden="false" customHeight="false" outlineLevel="0" collapsed="false">
      <c r="A1631" s="2" t="s">
        <v>1138</v>
      </c>
      <c r="B1631" s="2" t="s">
        <v>44</v>
      </c>
      <c r="C1631" s="2" t="s">
        <v>44</v>
      </c>
      <c r="D1631" s="2" t="s">
        <v>5676</v>
      </c>
      <c r="E1631" s="2" t="s">
        <v>4271</v>
      </c>
      <c r="F1631" s="2" t="s">
        <v>9</v>
      </c>
      <c r="G1631" s="2" t="n">
        <v>438</v>
      </c>
    </row>
    <row r="1632" customFormat="false" ht="15" hidden="false" customHeight="false" outlineLevel="0" collapsed="false">
      <c r="A1632" s="2" t="s">
        <v>1138</v>
      </c>
      <c r="B1632" s="2" t="s">
        <v>44</v>
      </c>
      <c r="C1632" s="2" t="s">
        <v>44</v>
      </c>
      <c r="D1632" s="2" t="s">
        <v>5677</v>
      </c>
      <c r="E1632" s="2" t="s">
        <v>4264</v>
      </c>
      <c r="F1632" s="2" t="s">
        <v>9</v>
      </c>
      <c r="G1632" s="2" t="n">
        <v>438</v>
      </c>
    </row>
    <row r="1633" customFormat="false" ht="15" hidden="false" customHeight="false" outlineLevel="0" collapsed="false">
      <c r="A1633" s="2" t="s">
        <v>1138</v>
      </c>
      <c r="B1633" s="2" t="s">
        <v>44</v>
      </c>
      <c r="C1633" s="2" t="s">
        <v>44</v>
      </c>
      <c r="D1633" s="2" t="s">
        <v>5678</v>
      </c>
      <c r="E1633" s="2" t="s">
        <v>4264</v>
      </c>
      <c r="F1633" s="2" t="s">
        <v>9</v>
      </c>
      <c r="G1633" s="2" t="n">
        <v>438</v>
      </c>
    </row>
    <row r="1634" customFormat="false" ht="15" hidden="false" customHeight="false" outlineLevel="0" collapsed="false">
      <c r="A1634" s="2" t="s">
        <v>1138</v>
      </c>
      <c r="B1634" s="2" t="s">
        <v>44</v>
      </c>
      <c r="C1634" s="2" t="s">
        <v>44</v>
      </c>
      <c r="D1634" s="2" t="s">
        <v>5679</v>
      </c>
      <c r="E1634" s="2" t="s">
        <v>4264</v>
      </c>
      <c r="F1634" s="2" t="s">
        <v>9</v>
      </c>
      <c r="G1634" s="2" t="n">
        <v>438</v>
      </c>
    </row>
    <row r="1635" customFormat="false" ht="15" hidden="false" customHeight="false" outlineLevel="0" collapsed="false">
      <c r="A1635" s="2" t="s">
        <v>1138</v>
      </c>
      <c r="B1635" s="2" t="s">
        <v>44</v>
      </c>
      <c r="C1635" s="2" t="s">
        <v>44</v>
      </c>
      <c r="D1635" s="2" t="s">
        <v>5680</v>
      </c>
      <c r="E1635" s="2" t="s">
        <v>4261</v>
      </c>
      <c r="F1635" s="2" t="s">
        <v>9</v>
      </c>
      <c r="G1635" s="2" t="n">
        <v>438</v>
      </c>
    </row>
    <row r="1636" customFormat="false" ht="15" hidden="false" customHeight="false" outlineLevel="0" collapsed="false">
      <c r="A1636" s="2" t="s">
        <v>1138</v>
      </c>
      <c r="B1636" s="2" t="s">
        <v>44</v>
      </c>
      <c r="C1636" s="2" t="s">
        <v>44</v>
      </c>
      <c r="D1636" s="2" t="s">
        <v>5681</v>
      </c>
      <c r="E1636" s="2" t="s">
        <v>4261</v>
      </c>
      <c r="F1636" s="2" t="s">
        <v>9</v>
      </c>
      <c r="G1636" s="2" t="n">
        <v>438</v>
      </c>
    </row>
    <row r="1637" customFormat="false" ht="15" hidden="false" customHeight="false" outlineLevel="0" collapsed="false">
      <c r="A1637" s="2" t="s">
        <v>1138</v>
      </c>
      <c r="B1637" s="2" t="s">
        <v>44</v>
      </c>
      <c r="C1637" s="2" t="s">
        <v>44</v>
      </c>
      <c r="D1637" s="2" t="s">
        <v>5682</v>
      </c>
      <c r="E1637" s="2" t="s">
        <v>4261</v>
      </c>
      <c r="F1637" s="2" t="s">
        <v>9</v>
      </c>
      <c r="G1637" s="2" t="n">
        <v>438</v>
      </c>
    </row>
    <row r="1638" customFormat="false" ht="15" hidden="false" customHeight="false" outlineLevel="0" collapsed="false">
      <c r="A1638" s="2" t="s">
        <v>1138</v>
      </c>
      <c r="B1638" s="2" t="s">
        <v>44</v>
      </c>
      <c r="C1638" s="2" t="s">
        <v>44</v>
      </c>
      <c r="D1638" s="2" t="s">
        <v>5683</v>
      </c>
      <c r="E1638" s="2" t="s">
        <v>4261</v>
      </c>
      <c r="F1638" s="2" t="s">
        <v>9</v>
      </c>
      <c r="G1638" s="2" t="n">
        <v>438</v>
      </c>
    </row>
    <row r="1639" customFormat="false" ht="15" hidden="false" customHeight="false" outlineLevel="0" collapsed="false">
      <c r="A1639" s="2" t="s">
        <v>1138</v>
      </c>
      <c r="B1639" s="2" t="s">
        <v>44</v>
      </c>
      <c r="C1639" s="2" t="s">
        <v>44</v>
      </c>
      <c r="D1639" s="2" t="s">
        <v>5684</v>
      </c>
      <c r="E1639" s="2" t="s">
        <v>4261</v>
      </c>
      <c r="F1639" s="2" t="s">
        <v>9</v>
      </c>
      <c r="G1639" s="2" t="n">
        <v>438</v>
      </c>
    </row>
    <row r="1640" customFormat="false" ht="15" hidden="false" customHeight="false" outlineLevel="0" collapsed="false">
      <c r="A1640" s="2" t="s">
        <v>1138</v>
      </c>
      <c r="B1640" s="2" t="s">
        <v>44</v>
      </c>
      <c r="C1640" s="2" t="s">
        <v>44</v>
      </c>
      <c r="D1640" s="2" t="s">
        <v>5685</v>
      </c>
      <c r="E1640" s="2" t="s">
        <v>4261</v>
      </c>
      <c r="F1640" s="2" t="s">
        <v>9</v>
      </c>
      <c r="G1640" s="2" t="n">
        <v>438</v>
      </c>
    </row>
    <row r="1641" customFormat="false" ht="15" hidden="false" customHeight="false" outlineLevel="0" collapsed="false">
      <c r="A1641" s="2" t="s">
        <v>1138</v>
      </c>
      <c r="B1641" s="2" t="s">
        <v>44</v>
      </c>
      <c r="C1641" s="2" t="s">
        <v>44</v>
      </c>
      <c r="D1641" s="2" t="s">
        <v>5686</v>
      </c>
      <c r="E1641" s="2" t="s">
        <v>4261</v>
      </c>
      <c r="F1641" s="2" t="s">
        <v>9</v>
      </c>
      <c r="G1641" s="2" t="n">
        <v>438</v>
      </c>
    </row>
    <row r="1642" customFormat="false" ht="15" hidden="false" customHeight="false" outlineLevel="0" collapsed="false">
      <c r="A1642" s="2" t="s">
        <v>1138</v>
      </c>
      <c r="B1642" s="2" t="s">
        <v>44</v>
      </c>
      <c r="C1642" s="2" t="s">
        <v>44</v>
      </c>
      <c r="D1642" s="2" t="s">
        <v>5687</v>
      </c>
      <c r="E1642" s="2" t="s">
        <v>4261</v>
      </c>
      <c r="F1642" s="2" t="s">
        <v>9</v>
      </c>
      <c r="G1642" s="2" t="n">
        <v>438</v>
      </c>
    </row>
    <row r="1643" customFormat="false" ht="15" hidden="false" customHeight="false" outlineLevel="0" collapsed="false">
      <c r="A1643" s="2" t="s">
        <v>1138</v>
      </c>
      <c r="B1643" s="2" t="s">
        <v>44</v>
      </c>
      <c r="C1643" s="2" t="s">
        <v>44</v>
      </c>
      <c r="D1643" s="2" t="s">
        <v>5688</v>
      </c>
      <c r="E1643" s="2" t="s">
        <v>4261</v>
      </c>
      <c r="F1643" s="2" t="s">
        <v>9</v>
      </c>
      <c r="G1643" s="2" t="n">
        <v>438</v>
      </c>
    </row>
    <row r="1644" customFormat="false" ht="15" hidden="false" customHeight="false" outlineLevel="0" collapsed="false">
      <c r="A1644" s="2" t="s">
        <v>1138</v>
      </c>
      <c r="B1644" s="2" t="s">
        <v>44</v>
      </c>
      <c r="C1644" s="2" t="s">
        <v>44</v>
      </c>
      <c r="D1644" s="2" t="s">
        <v>5689</v>
      </c>
      <c r="E1644" s="2" t="s">
        <v>4261</v>
      </c>
      <c r="F1644" s="2" t="s">
        <v>9</v>
      </c>
      <c r="G1644" s="2" t="n">
        <v>438</v>
      </c>
    </row>
    <row r="1645" customFormat="false" ht="15" hidden="false" customHeight="false" outlineLevel="0" collapsed="false">
      <c r="A1645" s="2" t="s">
        <v>1138</v>
      </c>
      <c r="B1645" s="2" t="s">
        <v>44</v>
      </c>
      <c r="C1645" s="2" t="s">
        <v>44</v>
      </c>
      <c r="D1645" s="2" t="s">
        <v>5690</v>
      </c>
      <c r="E1645" s="2" t="s">
        <v>4261</v>
      </c>
      <c r="F1645" s="2" t="s">
        <v>9</v>
      </c>
      <c r="G1645" s="2" t="n">
        <v>438</v>
      </c>
    </row>
    <row r="1646" customFormat="false" ht="15" hidden="false" customHeight="false" outlineLevel="0" collapsed="false">
      <c r="A1646" s="2" t="s">
        <v>1143</v>
      </c>
      <c r="B1646" s="2" t="s">
        <v>1122</v>
      </c>
      <c r="C1646" s="2" t="s">
        <v>44</v>
      </c>
      <c r="D1646" s="2" t="s">
        <v>4729</v>
      </c>
      <c r="E1646" s="2" t="s">
        <v>4261</v>
      </c>
      <c r="F1646" s="2" t="s">
        <v>10</v>
      </c>
      <c r="G1646" s="2" t="n">
        <v>441</v>
      </c>
    </row>
    <row r="1647" customFormat="false" ht="15" hidden="false" customHeight="false" outlineLevel="0" collapsed="false">
      <c r="A1647" s="2" t="s">
        <v>1143</v>
      </c>
      <c r="B1647" s="2" t="s">
        <v>1122</v>
      </c>
      <c r="C1647" s="2" t="s">
        <v>44</v>
      </c>
      <c r="D1647" s="2" t="s">
        <v>5691</v>
      </c>
      <c r="E1647" s="2" t="s">
        <v>4264</v>
      </c>
      <c r="F1647" s="2" t="s">
        <v>10</v>
      </c>
      <c r="G1647" s="2" t="n">
        <v>441</v>
      </c>
    </row>
    <row r="1648" customFormat="false" ht="15" hidden="false" customHeight="false" outlineLevel="0" collapsed="false">
      <c r="A1648" s="2" t="s">
        <v>1143</v>
      </c>
      <c r="B1648" s="2" t="s">
        <v>1122</v>
      </c>
      <c r="C1648" s="2" t="s">
        <v>44</v>
      </c>
      <c r="D1648" s="2" t="s">
        <v>5692</v>
      </c>
      <c r="E1648" s="2" t="s">
        <v>4261</v>
      </c>
      <c r="F1648" s="2" t="s">
        <v>10</v>
      </c>
      <c r="G1648" s="2" t="n">
        <v>441</v>
      </c>
    </row>
    <row r="1649" customFormat="false" ht="15" hidden="false" customHeight="false" outlineLevel="0" collapsed="false">
      <c r="A1649" s="2" t="s">
        <v>1143</v>
      </c>
      <c r="B1649" s="2" t="s">
        <v>1122</v>
      </c>
      <c r="C1649" s="2" t="s">
        <v>44</v>
      </c>
      <c r="D1649" s="2" t="s">
        <v>5693</v>
      </c>
      <c r="E1649" s="2" t="s">
        <v>4261</v>
      </c>
      <c r="F1649" s="2" t="s">
        <v>10</v>
      </c>
      <c r="G1649" s="2" t="n">
        <v>441</v>
      </c>
    </row>
    <row r="1650" customFormat="false" ht="15" hidden="false" customHeight="false" outlineLevel="0" collapsed="false">
      <c r="A1650" s="2" t="s">
        <v>1143</v>
      </c>
      <c r="B1650" s="2" t="s">
        <v>1122</v>
      </c>
      <c r="C1650" s="2" t="s">
        <v>44</v>
      </c>
      <c r="D1650" s="2" t="s">
        <v>5694</v>
      </c>
      <c r="E1650" s="2" t="s">
        <v>4261</v>
      </c>
      <c r="F1650" s="2" t="s">
        <v>10</v>
      </c>
      <c r="G1650" s="2" t="n">
        <v>441</v>
      </c>
    </row>
    <row r="1651" customFormat="false" ht="15" hidden="false" customHeight="false" outlineLevel="0" collapsed="false">
      <c r="A1651" s="2" t="s">
        <v>1143</v>
      </c>
      <c r="B1651" s="2" t="s">
        <v>1122</v>
      </c>
      <c r="C1651" s="2" t="s">
        <v>44</v>
      </c>
      <c r="D1651" s="2" t="s">
        <v>5695</v>
      </c>
      <c r="E1651" s="2" t="s">
        <v>4261</v>
      </c>
      <c r="F1651" s="2" t="s">
        <v>10</v>
      </c>
      <c r="G1651" s="2" t="n">
        <v>441</v>
      </c>
    </row>
    <row r="1652" customFormat="false" ht="15" hidden="false" customHeight="false" outlineLevel="0" collapsed="false">
      <c r="A1652" s="2" t="s">
        <v>1143</v>
      </c>
      <c r="B1652" s="2" t="s">
        <v>1122</v>
      </c>
      <c r="C1652" s="2" t="s">
        <v>44</v>
      </c>
      <c r="D1652" s="2" t="s">
        <v>4571</v>
      </c>
      <c r="E1652" s="2" t="s">
        <v>4264</v>
      </c>
      <c r="F1652" s="2" t="s">
        <v>10</v>
      </c>
      <c r="G1652" s="2" t="n">
        <v>441</v>
      </c>
    </row>
    <row r="1653" customFormat="false" ht="15" hidden="false" customHeight="false" outlineLevel="0" collapsed="false">
      <c r="A1653" s="2" t="s">
        <v>1143</v>
      </c>
      <c r="B1653" s="2" t="s">
        <v>1122</v>
      </c>
      <c r="C1653" s="2" t="s">
        <v>44</v>
      </c>
      <c r="D1653" s="2" t="s">
        <v>2776</v>
      </c>
      <c r="E1653" s="2" t="s">
        <v>4261</v>
      </c>
      <c r="F1653" s="2" t="s">
        <v>10</v>
      </c>
      <c r="G1653" s="2" t="n">
        <v>441</v>
      </c>
    </row>
    <row r="1654" customFormat="false" ht="15" hidden="false" customHeight="false" outlineLevel="0" collapsed="false">
      <c r="A1654" s="2" t="s">
        <v>1148</v>
      </c>
      <c r="B1654" s="2" t="s">
        <v>278</v>
      </c>
      <c r="C1654" s="2" t="s">
        <v>70</v>
      </c>
      <c r="D1654" s="2" t="s">
        <v>5696</v>
      </c>
      <c r="E1654" s="2" t="s">
        <v>4261</v>
      </c>
      <c r="F1654" s="2" t="s">
        <v>8</v>
      </c>
      <c r="G1654" s="2" t="n">
        <v>444</v>
      </c>
    </row>
    <row r="1655" customFormat="false" ht="15" hidden="false" customHeight="false" outlineLevel="0" collapsed="false">
      <c r="A1655" s="2" t="s">
        <v>1148</v>
      </c>
      <c r="B1655" s="2" t="s">
        <v>278</v>
      </c>
      <c r="C1655" s="2" t="s">
        <v>70</v>
      </c>
      <c r="D1655" s="2" t="s">
        <v>5697</v>
      </c>
      <c r="E1655" s="2" t="s">
        <v>4261</v>
      </c>
      <c r="F1655" s="2" t="s">
        <v>8</v>
      </c>
      <c r="G1655" s="2" t="n">
        <v>444</v>
      </c>
    </row>
    <row r="1656" customFormat="false" ht="15" hidden="false" customHeight="false" outlineLevel="0" collapsed="false">
      <c r="A1656" s="2" t="s">
        <v>1151</v>
      </c>
      <c r="B1656" s="2" t="s">
        <v>1152</v>
      </c>
      <c r="C1656" s="2" t="s">
        <v>44</v>
      </c>
      <c r="D1656" s="2" t="s">
        <v>5698</v>
      </c>
      <c r="E1656" s="2" t="s">
        <v>4261</v>
      </c>
      <c r="F1656" s="2" t="s">
        <v>9</v>
      </c>
      <c r="G1656" s="2" t="n">
        <v>446</v>
      </c>
    </row>
    <row r="1657" customFormat="false" ht="15" hidden="false" customHeight="false" outlineLevel="0" collapsed="false">
      <c r="A1657" s="2" t="s">
        <v>1151</v>
      </c>
      <c r="B1657" s="2" t="s">
        <v>1152</v>
      </c>
      <c r="C1657" s="2" t="s">
        <v>44</v>
      </c>
      <c r="D1657" s="2" t="s">
        <v>5699</v>
      </c>
      <c r="E1657" s="2" t="s">
        <v>4261</v>
      </c>
      <c r="F1657" s="2" t="s">
        <v>9</v>
      </c>
      <c r="G1657" s="2" t="n">
        <v>446</v>
      </c>
    </row>
    <row r="1658" customFormat="false" ht="15" hidden="false" customHeight="false" outlineLevel="0" collapsed="false">
      <c r="A1658" s="2" t="s">
        <v>1151</v>
      </c>
      <c r="B1658" s="2" t="s">
        <v>1152</v>
      </c>
      <c r="C1658" s="2" t="s">
        <v>44</v>
      </c>
      <c r="D1658" s="2" t="s">
        <v>4356</v>
      </c>
      <c r="E1658" s="2" t="s">
        <v>4261</v>
      </c>
      <c r="F1658" s="2" t="s">
        <v>9</v>
      </c>
      <c r="G1658" s="2" t="n">
        <v>446</v>
      </c>
    </row>
    <row r="1659" customFormat="false" ht="15" hidden="false" customHeight="false" outlineLevel="0" collapsed="false">
      <c r="A1659" s="2" t="s">
        <v>1151</v>
      </c>
      <c r="B1659" s="2" t="s">
        <v>1152</v>
      </c>
      <c r="C1659" s="2" t="s">
        <v>44</v>
      </c>
      <c r="D1659" s="2" t="s">
        <v>5700</v>
      </c>
      <c r="E1659" s="2" t="s">
        <v>4261</v>
      </c>
      <c r="F1659" s="2" t="s">
        <v>9</v>
      </c>
      <c r="G1659" s="2" t="n">
        <v>446</v>
      </c>
    </row>
    <row r="1660" customFormat="false" ht="15" hidden="false" customHeight="false" outlineLevel="0" collapsed="false">
      <c r="A1660" s="2" t="s">
        <v>1151</v>
      </c>
      <c r="B1660" s="2" t="s">
        <v>1152</v>
      </c>
      <c r="C1660" s="2" t="s">
        <v>44</v>
      </c>
      <c r="D1660" s="2" t="s">
        <v>5701</v>
      </c>
      <c r="E1660" s="2" t="s">
        <v>4261</v>
      </c>
      <c r="F1660" s="2" t="s">
        <v>9</v>
      </c>
      <c r="G1660" s="2" t="n">
        <v>446</v>
      </c>
    </row>
    <row r="1661" customFormat="false" ht="15" hidden="false" customHeight="false" outlineLevel="0" collapsed="false">
      <c r="A1661" s="2" t="s">
        <v>1151</v>
      </c>
      <c r="B1661" s="2" t="s">
        <v>1152</v>
      </c>
      <c r="C1661" s="2" t="s">
        <v>44</v>
      </c>
      <c r="D1661" s="2" t="s">
        <v>5702</v>
      </c>
      <c r="E1661" s="2" t="s">
        <v>4261</v>
      </c>
      <c r="F1661" s="2" t="s">
        <v>9</v>
      </c>
      <c r="G1661" s="2" t="n">
        <v>446</v>
      </c>
    </row>
    <row r="1662" customFormat="false" ht="15" hidden="false" customHeight="false" outlineLevel="0" collapsed="false">
      <c r="A1662" s="2" t="s">
        <v>1151</v>
      </c>
      <c r="B1662" s="2" t="s">
        <v>1152</v>
      </c>
      <c r="C1662" s="2" t="s">
        <v>44</v>
      </c>
      <c r="D1662" s="2" t="s">
        <v>5703</v>
      </c>
      <c r="E1662" s="2" t="s">
        <v>4261</v>
      </c>
      <c r="F1662" s="2" t="s">
        <v>9</v>
      </c>
      <c r="G1662" s="2" t="n">
        <v>446</v>
      </c>
    </row>
    <row r="1663" customFormat="false" ht="15" hidden="false" customHeight="false" outlineLevel="0" collapsed="false">
      <c r="A1663" s="2" t="s">
        <v>1156</v>
      </c>
      <c r="B1663" s="2" t="s">
        <v>585</v>
      </c>
      <c r="C1663" s="2" t="s">
        <v>27</v>
      </c>
      <c r="D1663" s="2" t="s">
        <v>5704</v>
      </c>
      <c r="E1663" s="2" t="s">
        <v>4261</v>
      </c>
      <c r="F1663" s="2" t="s">
        <v>9</v>
      </c>
      <c r="G1663" s="2" t="n">
        <v>448</v>
      </c>
    </row>
    <row r="1664" customFormat="false" ht="15" hidden="false" customHeight="false" outlineLevel="0" collapsed="false">
      <c r="A1664" s="2" t="s">
        <v>1156</v>
      </c>
      <c r="B1664" s="2" t="s">
        <v>585</v>
      </c>
      <c r="C1664" s="2" t="s">
        <v>27</v>
      </c>
      <c r="D1664" s="2" t="s">
        <v>5705</v>
      </c>
      <c r="E1664" s="2" t="s">
        <v>4271</v>
      </c>
      <c r="F1664" s="2" t="s">
        <v>9</v>
      </c>
      <c r="G1664" s="2" t="n">
        <v>448</v>
      </c>
    </row>
    <row r="1665" customFormat="false" ht="15" hidden="false" customHeight="false" outlineLevel="0" collapsed="false">
      <c r="A1665" s="2" t="s">
        <v>1161</v>
      </c>
      <c r="B1665" s="2" t="s">
        <v>772</v>
      </c>
      <c r="C1665" s="2" t="s">
        <v>105</v>
      </c>
      <c r="D1665" s="2" t="s">
        <v>5706</v>
      </c>
      <c r="E1665" s="2" t="s">
        <v>4261</v>
      </c>
      <c r="F1665" s="2" t="s">
        <v>10</v>
      </c>
      <c r="G1665" s="2" t="n">
        <v>451</v>
      </c>
    </row>
    <row r="1666" customFormat="false" ht="15" hidden="false" customHeight="false" outlineLevel="0" collapsed="false">
      <c r="A1666" s="2" t="s">
        <v>1161</v>
      </c>
      <c r="B1666" s="2" t="s">
        <v>772</v>
      </c>
      <c r="C1666" s="2" t="s">
        <v>105</v>
      </c>
      <c r="D1666" s="2" t="s">
        <v>5707</v>
      </c>
      <c r="E1666" s="2" t="s">
        <v>4261</v>
      </c>
      <c r="F1666" s="2" t="s">
        <v>10</v>
      </c>
      <c r="G1666" s="2" t="n">
        <v>451</v>
      </c>
    </row>
    <row r="1667" customFormat="false" ht="15" hidden="false" customHeight="false" outlineLevel="0" collapsed="false">
      <c r="A1667" s="2" t="s">
        <v>1161</v>
      </c>
      <c r="B1667" s="2" t="s">
        <v>772</v>
      </c>
      <c r="C1667" s="2" t="s">
        <v>105</v>
      </c>
      <c r="D1667" s="2" t="s">
        <v>5708</v>
      </c>
      <c r="E1667" s="2" t="s">
        <v>4261</v>
      </c>
      <c r="F1667" s="2" t="s">
        <v>10</v>
      </c>
      <c r="G1667" s="2" t="n">
        <v>451</v>
      </c>
    </row>
    <row r="1668" customFormat="false" ht="15" hidden="false" customHeight="false" outlineLevel="0" collapsed="false">
      <c r="A1668" s="2" t="s">
        <v>1163</v>
      </c>
      <c r="B1668" s="2" t="s">
        <v>1164</v>
      </c>
      <c r="C1668" s="2" t="s">
        <v>70</v>
      </c>
      <c r="D1668" s="2" t="s">
        <v>1165</v>
      </c>
      <c r="E1668" s="2" t="s">
        <v>4261</v>
      </c>
      <c r="F1668" s="2" t="s">
        <v>10</v>
      </c>
      <c r="G1668" s="2" t="n">
        <v>452</v>
      </c>
    </row>
    <row r="1669" customFormat="false" ht="15" hidden="false" customHeight="false" outlineLevel="0" collapsed="false">
      <c r="A1669" s="2" t="s">
        <v>1169</v>
      </c>
      <c r="B1669" s="2" t="s">
        <v>976</v>
      </c>
      <c r="C1669" s="2" t="s">
        <v>976</v>
      </c>
      <c r="D1669" s="2" t="s">
        <v>5709</v>
      </c>
      <c r="E1669" s="2" t="s">
        <v>4271</v>
      </c>
      <c r="F1669" s="2" t="s">
        <v>10</v>
      </c>
      <c r="G1669" s="2" t="n">
        <v>455</v>
      </c>
    </row>
    <row r="1670" customFormat="false" ht="15" hidden="false" customHeight="false" outlineLevel="0" collapsed="false">
      <c r="A1670" s="2" t="s">
        <v>1169</v>
      </c>
      <c r="B1670" s="2" t="s">
        <v>976</v>
      </c>
      <c r="C1670" s="2" t="s">
        <v>976</v>
      </c>
      <c r="D1670" s="2" t="s">
        <v>5710</v>
      </c>
      <c r="E1670" s="2" t="s">
        <v>4264</v>
      </c>
      <c r="F1670" s="2" t="s">
        <v>10</v>
      </c>
      <c r="G1670" s="2" t="n">
        <v>455</v>
      </c>
    </row>
    <row r="1671" customFormat="false" ht="15" hidden="false" customHeight="false" outlineLevel="0" collapsed="false">
      <c r="A1671" s="2" t="s">
        <v>1169</v>
      </c>
      <c r="B1671" s="2" t="s">
        <v>976</v>
      </c>
      <c r="C1671" s="2" t="s">
        <v>976</v>
      </c>
      <c r="D1671" s="2" t="s">
        <v>5711</v>
      </c>
      <c r="E1671" s="2" t="s">
        <v>4261</v>
      </c>
      <c r="F1671" s="2" t="s">
        <v>10</v>
      </c>
      <c r="G1671" s="2" t="n">
        <v>455</v>
      </c>
    </row>
    <row r="1672" customFormat="false" ht="15" hidden="false" customHeight="false" outlineLevel="0" collapsed="false">
      <c r="A1672" s="2" t="s">
        <v>1169</v>
      </c>
      <c r="B1672" s="2" t="s">
        <v>976</v>
      </c>
      <c r="C1672" s="2" t="s">
        <v>976</v>
      </c>
      <c r="D1672" s="2" t="s">
        <v>5712</v>
      </c>
      <c r="E1672" s="2" t="s">
        <v>4264</v>
      </c>
      <c r="F1672" s="2" t="s">
        <v>10</v>
      </c>
      <c r="G1672" s="2" t="n">
        <v>455</v>
      </c>
    </row>
    <row r="1673" customFormat="false" ht="15" hidden="false" customHeight="false" outlineLevel="0" collapsed="false">
      <c r="A1673" s="2" t="s">
        <v>1171</v>
      </c>
      <c r="B1673" s="2" t="s">
        <v>56</v>
      </c>
      <c r="C1673" s="2" t="s">
        <v>56</v>
      </c>
      <c r="D1673" s="2" t="s">
        <v>1172</v>
      </c>
      <c r="E1673" s="2" t="s">
        <v>4264</v>
      </c>
      <c r="F1673" s="2" t="s">
        <v>8</v>
      </c>
      <c r="G1673" s="2" t="n">
        <v>456</v>
      </c>
    </row>
    <row r="1674" customFormat="false" ht="15" hidden="false" customHeight="false" outlineLevel="0" collapsed="false">
      <c r="A1674" s="2" t="s">
        <v>1173</v>
      </c>
      <c r="B1674" s="2" t="s">
        <v>56</v>
      </c>
      <c r="C1674" s="2" t="s">
        <v>56</v>
      </c>
      <c r="D1674" s="2" t="s">
        <v>5713</v>
      </c>
      <c r="E1674" s="2" t="s">
        <v>4264</v>
      </c>
      <c r="F1674" s="2" t="s">
        <v>8</v>
      </c>
      <c r="G1674" s="2" t="n">
        <v>457</v>
      </c>
    </row>
    <row r="1675" customFormat="false" ht="15" hidden="false" customHeight="false" outlineLevel="0" collapsed="false">
      <c r="A1675" s="2" t="s">
        <v>1173</v>
      </c>
      <c r="B1675" s="2" t="s">
        <v>56</v>
      </c>
      <c r="C1675" s="2" t="s">
        <v>56</v>
      </c>
      <c r="D1675" s="2" t="s">
        <v>5714</v>
      </c>
      <c r="E1675" s="2" t="s">
        <v>4264</v>
      </c>
      <c r="F1675" s="2" t="s">
        <v>8</v>
      </c>
      <c r="G1675" s="2" t="n">
        <v>457</v>
      </c>
    </row>
    <row r="1676" customFormat="false" ht="15" hidden="false" customHeight="false" outlineLevel="0" collapsed="false">
      <c r="A1676" s="2" t="s">
        <v>1173</v>
      </c>
      <c r="B1676" s="2" t="s">
        <v>56</v>
      </c>
      <c r="C1676" s="2" t="s">
        <v>56</v>
      </c>
      <c r="D1676" s="2" t="s">
        <v>5715</v>
      </c>
      <c r="E1676" s="2" t="s">
        <v>4261</v>
      </c>
      <c r="F1676" s="2" t="s">
        <v>8</v>
      </c>
      <c r="G1676" s="2" t="n">
        <v>457</v>
      </c>
    </row>
    <row r="1677" customFormat="false" ht="15" hidden="false" customHeight="false" outlineLevel="0" collapsed="false">
      <c r="A1677" s="2" t="s">
        <v>1175</v>
      </c>
      <c r="B1677" s="2" t="s">
        <v>1176</v>
      </c>
      <c r="C1677" s="2" t="s">
        <v>70</v>
      </c>
      <c r="D1677" s="2" t="s">
        <v>5716</v>
      </c>
      <c r="E1677" s="2" t="s">
        <v>4261</v>
      </c>
      <c r="F1677" s="2" t="s">
        <v>10</v>
      </c>
      <c r="G1677" s="2" t="n">
        <v>458</v>
      </c>
    </row>
    <row r="1678" customFormat="false" ht="15" hidden="false" customHeight="false" outlineLevel="0" collapsed="false">
      <c r="A1678" s="2" t="s">
        <v>1175</v>
      </c>
      <c r="B1678" s="2" t="s">
        <v>1176</v>
      </c>
      <c r="C1678" s="2" t="s">
        <v>70</v>
      </c>
      <c r="D1678" s="2" t="s">
        <v>5717</v>
      </c>
      <c r="E1678" s="2" t="s">
        <v>4261</v>
      </c>
      <c r="F1678" s="2" t="s">
        <v>10</v>
      </c>
      <c r="G1678" s="2" t="n">
        <v>458</v>
      </c>
    </row>
    <row r="1679" customFormat="false" ht="15" hidden="false" customHeight="false" outlineLevel="0" collapsed="false">
      <c r="A1679" s="2" t="s">
        <v>1175</v>
      </c>
      <c r="B1679" s="2" t="s">
        <v>1176</v>
      </c>
      <c r="C1679" s="2" t="s">
        <v>70</v>
      </c>
      <c r="D1679" s="2" t="s">
        <v>5718</v>
      </c>
      <c r="E1679" s="2" t="s">
        <v>4261</v>
      </c>
      <c r="F1679" s="2" t="s">
        <v>10</v>
      </c>
      <c r="G1679" s="2" t="n">
        <v>458</v>
      </c>
    </row>
    <row r="1680" customFormat="false" ht="15" hidden="false" customHeight="false" outlineLevel="0" collapsed="false">
      <c r="A1680" s="2" t="s">
        <v>1178</v>
      </c>
      <c r="B1680" s="2" t="s">
        <v>585</v>
      </c>
      <c r="C1680" s="2" t="s">
        <v>27</v>
      </c>
      <c r="D1680" s="2" t="s">
        <v>1179</v>
      </c>
      <c r="E1680" s="2" t="s">
        <v>4271</v>
      </c>
      <c r="F1680" s="2" t="s">
        <v>9</v>
      </c>
      <c r="G1680" s="2" t="n">
        <v>459</v>
      </c>
    </row>
    <row r="1681" customFormat="false" ht="15" hidden="false" customHeight="false" outlineLevel="0" collapsed="false">
      <c r="A1681" s="2" t="s">
        <v>1181</v>
      </c>
      <c r="B1681" s="2" t="s">
        <v>84</v>
      </c>
      <c r="C1681" s="2" t="s">
        <v>70</v>
      </c>
      <c r="D1681" s="2" t="s">
        <v>5719</v>
      </c>
      <c r="E1681" s="2" t="s">
        <v>4271</v>
      </c>
      <c r="F1681" s="2" t="s">
        <v>9</v>
      </c>
      <c r="G1681" s="2" t="n">
        <v>461</v>
      </c>
    </row>
    <row r="1682" customFormat="false" ht="15" hidden="false" customHeight="false" outlineLevel="0" collapsed="false">
      <c r="A1682" s="2" t="s">
        <v>1181</v>
      </c>
      <c r="B1682" s="2" t="s">
        <v>84</v>
      </c>
      <c r="C1682" s="2" t="s">
        <v>70</v>
      </c>
      <c r="D1682" s="2" t="s">
        <v>5720</v>
      </c>
      <c r="E1682" s="2" t="s">
        <v>4271</v>
      </c>
      <c r="F1682" s="2" t="s">
        <v>9</v>
      </c>
      <c r="G1682" s="2" t="n">
        <v>461</v>
      </c>
    </row>
    <row r="1683" customFormat="false" ht="15" hidden="false" customHeight="false" outlineLevel="0" collapsed="false">
      <c r="A1683" s="2" t="s">
        <v>1184</v>
      </c>
      <c r="B1683" s="2" t="s">
        <v>34</v>
      </c>
      <c r="C1683" s="2" t="s">
        <v>34</v>
      </c>
      <c r="D1683" s="2" t="s">
        <v>5721</v>
      </c>
      <c r="E1683" s="2" t="s">
        <v>4261</v>
      </c>
      <c r="F1683" s="2" t="s">
        <v>8</v>
      </c>
      <c r="G1683" s="2" t="n">
        <v>463</v>
      </c>
    </row>
    <row r="1684" customFormat="false" ht="15" hidden="false" customHeight="false" outlineLevel="0" collapsed="false">
      <c r="A1684" s="2" t="s">
        <v>1184</v>
      </c>
      <c r="B1684" s="2" t="s">
        <v>34</v>
      </c>
      <c r="C1684" s="2" t="s">
        <v>34</v>
      </c>
      <c r="D1684" s="2" t="s">
        <v>5722</v>
      </c>
      <c r="E1684" s="2" t="s">
        <v>4261</v>
      </c>
      <c r="F1684" s="2" t="s">
        <v>8</v>
      </c>
      <c r="G1684" s="2" t="n">
        <v>463</v>
      </c>
    </row>
    <row r="1685" customFormat="false" ht="15" hidden="false" customHeight="false" outlineLevel="0" collapsed="false">
      <c r="A1685" s="2" t="s">
        <v>1186</v>
      </c>
      <c r="B1685" s="2" t="s">
        <v>38</v>
      </c>
      <c r="C1685" s="2" t="s">
        <v>39</v>
      </c>
      <c r="D1685" s="2" t="s">
        <v>5723</v>
      </c>
      <c r="E1685" s="2" t="s">
        <v>4261</v>
      </c>
      <c r="F1685" s="2" t="s">
        <v>8</v>
      </c>
      <c r="G1685" s="2" t="n">
        <v>464</v>
      </c>
    </row>
    <row r="1686" customFormat="false" ht="15" hidden="false" customHeight="false" outlineLevel="0" collapsed="false">
      <c r="A1686" s="2" t="s">
        <v>1186</v>
      </c>
      <c r="B1686" s="2" t="s">
        <v>38</v>
      </c>
      <c r="C1686" s="2" t="s">
        <v>39</v>
      </c>
      <c r="D1686" s="2" t="s">
        <v>5081</v>
      </c>
      <c r="E1686" s="2" t="s">
        <v>4261</v>
      </c>
      <c r="F1686" s="2" t="s">
        <v>8</v>
      </c>
      <c r="G1686" s="2" t="n">
        <v>464</v>
      </c>
    </row>
    <row r="1687" customFormat="false" ht="15" hidden="false" customHeight="false" outlineLevel="0" collapsed="false">
      <c r="A1687" s="2" t="s">
        <v>1186</v>
      </c>
      <c r="B1687" s="2" t="s">
        <v>38</v>
      </c>
      <c r="C1687" s="2" t="s">
        <v>39</v>
      </c>
      <c r="D1687" s="2" t="s">
        <v>5724</v>
      </c>
      <c r="E1687" s="2" t="s">
        <v>4264</v>
      </c>
      <c r="F1687" s="2" t="s">
        <v>8</v>
      </c>
      <c r="G1687" s="2" t="n">
        <v>464</v>
      </c>
    </row>
    <row r="1688" customFormat="false" ht="15" hidden="false" customHeight="false" outlineLevel="0" collapsed="false">
      <c r="A1688" s="2" t="s">
        <v>1186</v>
      </c>
      <c r="B1688" s="2" t="s">
        <v>38</v>
      </c>
      <c r="C1688" s="2" t="s">
        <v>39</v>
      </c>
      <c r="D1688" s="2" t="s">
        <v>5725</v>
      </c>
      <c r="E1688" s="2" t="s">
        <v>4261</v>
      </c>
      <c r="F1688" s="2" t="s">
        <v>8</v>
      </c>
      <c r="G1688" s="2" t="n">
        <v>464</v>
      </c>
    </row>
    <row r="1689" customFormat="false" ht="15" hidden="false" customHeight="false" outlineLevel="0" collapsed="false">
      <c r="A1689" s="2" t="s">
        <v>1186</v>
      </c>
      <c r="B1689" s="2" t="s">
        <v>38</v>
      </c>
      <c r="C1689" s="2" t="s">
        <v>39</v>
      </c>
      <c r="D1689" s="2" t="s">
        <v>5726</v>
      </c>
      <c r="E1689" s="2" t="s">
        <v>4264</v>
      </c>
      <c r="F1689" s="2" t="s">
        <v>8</v>
      </c>
      <c r="G1689" s="2" t="n">
        <v>464</v>
      </c>
    </row>
    <row r="1690" customFormat="false" ht="15" hidden="false" customHeight="false" outlineLevel="0" collapsed="false">
      <c r="A1690" s="2" t="s">
        <v>1195</v>
      </c>
      <c r="B1690" s="2" t="s">
        <v>339</v>
      </c>
      <c r="C1690" s="2" t="s">
        <v>197</v>
      </c>
      <c r="D1690" s="2" t="s">
        <v>1196</v>
      </c>
      <c r="E1690" s="2" t="s">
        <v>4261</v>
      </c>
      <c r="F1690" s="2" t="s">
        <v>8</v>
      </c>
      <c r="G1690" s="2" t="n">
        <v>467</v>
      </c>
    </row>
    <row r="1691" customFormat="false" ht="15" hidden="false" customHeight="false" outlineLevel="0" collapsed="false">
      <c r="A1691" s="2" t="s">
        <v>1200</v>
      </c>
      <c r="B1691" s="2" t="s">
        <v>1201</v>
      </c>
      <c r="C1691" s="2" t="s">
        <v>70</v>
      </c>
      <c r="D1691" s="2" t="s">
        <v>1202</v>
      </c>
      <c r="E1691" s="2" t="s">
        <v>4261</v>
      </c>
      <c r="F1691" s="2" t="s">
        <v>8</v>
      </c>
      <c r="G1691" s="2" t="n">
        <v>469</v>
      </c>
    </row>
    <row r="1692" customFormat="false" ht="15" hidden="false" customHeight="false" outlineLevel="0" collapsed="false">
      <c r="A1692" s="2" t="s">
        <v>1205</v>
      </c>
      <c r="B1692" s="2" t="s">
        <v>1206</v>
      </c>
      <c r="C1692" s="2" t="s">
        <v>1207</v>
      </c>
      <c r="D1692" s="2" t="s">
        <v>5727</v>
      </c>
      <c r="E1692" s="2" t="s">
        <v>4261</v>
      </c>
      <c r="F1692" s="2" t="s">
        <v>9</v>
      </c>
      <c r="G1692" s="2" t="n">
        <v>471</v>
      </c>
    </row>
    <row r="1693" customFormat="false" ht="15" hidden="false" customHeight="false" outlineLevel="0" collapsed="false">
      <c r="A1693" s="2" t="s">
        <v>1205</v>
      </c>
      <c r="B1693" s="2" t="s">
        <v>1206</v>
      </c>
      <c r="C1693" s="2" t="s">
        <v>1207</v>
      </c>
      <c r="D1693" s="2" t="s">
        <v>5728</v>
      </c>
      <c r="E1693" s="2" t="s">
        <v>4261</v>
      </c>
      <c r="F1693" s="2" t="s">
        <v>9</v>
      </c>
      <c r="G1693" s="2" t="n">
        <v>471</v>
      </c>
    </row>
    <row r="1694" customFormat="false" ht="15" hidden="false" customHeight="false" outlineLevel="0" collapsed="false">
      <c r="A1694" s="2" t="s">
        <v>1205</v>
      </c>
      <c r="B1694" s="2" t="s">
        <v>1206</v>
      </c>
      <c r="C1694" s="2" t="s">
        <v>1207</v>
      </c>
      <c r="D1694" s="2" t="s">
        <v>5729</v>
      </c>
      <c r="E1694" s="2" t="s">
        <v>4261</v>
      </c>
      <c r="F1694" s="2" t="s">
        <v>9</v>
      </c>
      <c r="G1694" s="2" t="n">
        <v>471</v>
      </c>
    </row>
    <row r="1695" customFormat="false" ht="15" hidden="false" customHeight="false" outlineLevel="0" collapsed="false">
      <c r="A1695" s="2" t="s">
        <v>1205</v>
      </c>
      <c r="B1695" s="2" t="s">
        <v>1206</v>
      </c>
      <c r="C1695" s="2" t="s">
        <v>1207</v>
      </c>
      <c r="D1695" s="2" t="s">
        <v>5730</v>
      </c>
      <c r="E1695" s="2" t="s">
        <v>4261</v>
      </c>
      <c r="F1695" s="2" t="s">
        <v>9</v>
      </c>
      <c r="G1695" s="2" t="n">
        <v>471</v>
      </c>
    </row>
    <row r="1696" customFormat="false" ht="15" hidden="false" customHeight="false" outlineLevel="0" collapsed="false">
      <c r="A1696" s="2" t="s">
        <v>1212</v>
      </c>
      <c r="B1696" s="2" t="s">
        <v>125</v>
      </c>
      <c r="C1696" s="2" t="s">
        <v>27</v>
      </c>
      <c r="D1696" s="2" t="s">
        <v>1213</v>
      </c>
      <c r="E1696" s="2" t="s">
        <v>4271</v>
      </c>
      <c r="F1696" s="2" t="s">
        <v>9</v>
      </c>
      <c r="G1696" s="2" t="n">
        <v>473</v>
      </c>
    </row>
    <row r="1697" customFormat="false" ht="15" hidden="false" customHeight="false" outlineLevel="0" collapsed="false">
      <c r="A1697" s="2" t="s">
        <v>1214</v>
      </c>
      <c r="B1697" s="2" t="s">
        <v>70</v>
      </c>
      <c r="C1697" s="2" t="s">
        <v>70</v>
      </c>
      <c r="D1697" s="2" t="s">
        <v>5731</v>
      </c>
      <c r="E1697" s="2" t="s">
        <v>4271</v>
      </c>
      <c r="F1697" s="2" t="s">
        <v>10</v>
      </c>
      <c r="G1697" s="2" t="n">
        <v>474</v>
      </c>
    </row>
    <row r="1698" customFormat="false" ht="15" hidden="false" customHeight="false" outlineLevel="0" collapsed="false">
      <c r="A1698" s="2" t="s">
        <v>1214</v>
      </c>
      <c r="B1698" s="2" t="s">
        <v>70</v>
      </c>
      <c r="C1698" s="2" t="s">
        <v>70</v>
      </c>
      <c r="D1698" s="2" t="s">
        <v>5732</v>
      </c>
      <c r="E1698" s="2" t="s">
        <v>4264</v>
      </c>
      <c r="F1698" s="2" t="s">
        <v>10</v>
      </c>
      <c r="G1698" s="2" t="n">
        <v>474</v>
      </c>
    </row>
    <row r="1699" customFormat="false" ht="15" hidden="false" customHeight="false" outlineLevel="0" collapsed="false">
      <c r="A1699" s="2" t="s">
        <v>1214</v>
      </c>
      <c r="B1699" s="2" t="s">
        <v>70</v>
      </c>
      <c r="C1699" s="2" t="s">
        <v>70</v>
      </c>
      <c r="D1699" s="2" t="s">
        <v>5733</v>
      </c>
      <c r="E1699" s="2" t="s">
        <v>4264</v>
      </c>
      <c r="F1699" s="2" t="s">
        <v>10</v>
      </c>
      <c r="G1699" s="2" t="n">
        <v>474</v>
      </c>
    </row>
    <row r="1700" customFormat="false" ht="15" hidden="false" customHeight="false" outlineLevel="0" collapsed="false">
      <c r="A1700" s="2" t="s">
        <v>1214</v>
      </c>
      <c r="B1700" s="2" t="s">
        <v>70</v>
      </c>
      <c r="C1700" s="2" t="s">
        <v>70</v>
      </c>
      <c r="D1700" s="2" t="s">
        <v>5734</v>
      </c>
      <c r="E1700" s="2" t="s">
        <v>4264</v>
      </c>
      <c r="F1700" s="2" t="s">
        <v>10</v>
      </c>
      <c r="G1700" s="2" t="n">
        <v>474</v>
      </c>
    </row>
    <row r="1701" customFormat="false" ht="15" hidden="false" customHeight="false" outlineLevel="0" collapsed="false">
      <c r="A1701" s="2" t="s">
        <v>1216</v>
      </c>
      <c r="B1701" s="2" t="s">
        <v>1217</v>
      </c>
      <c r="C1701" s="2" t="s">
        <v>70</v>
      </c>
      <c r="D1701" s="2" t="s">
        <v>5735</v>
      </c>
      <c r="E1701" s="2" t="s">
        <v>4261</v>
      </c>
      <c r="F1701" s="2" t="s">
        <v>10</v>
      </c>
      <c r="G1701" s="2" t="n">
        <v>475</v>
      </c>
    </row>
    <row r="1702" customFormat="false" ht="15" hidden="false" customHeight="false" outlineLevel="0" collapsed="false">
      <c r="A1702" s="2" t="s">
        <v>1216</v>
      </c>
      <c r="B1702" s="2" t="s">
        <v>1217</v>
      </c>
      <c r="C1702" s="2" t="s">
        <v>70</v>
      </c>
      <c r="D1702" s="2" t="s">
        <v>5736</v>
      </c>
      <c r="E1702" s="2" t="s">
        <v>4271</v>
      </c>
      <c r="F1702" s="2" t="s">
        <v>10</v>
      </c>
      <c r="G1702" s="2" t="n">
        <v>475</v>
      </c>
    </row>
    <row r="1703" customFormat="false" ht="15" hidden="false" customHeight="false" outlineLevel="0" collapsed="false">
      <c r="A1703" s="2" t="s">
        <v>1232</v>
      </c>
      <c r="B1703" s="2" t="s">
        <v>1233</v>
      </c>
      <c r="C1703" s="2" t="s">
        <v>380</v>
      </c>
      <c r="D1703" s="2" t="s">
        <v>5737</v>
      </c>
      <c r="E1703" s="2" t="s">
        <v>4261</v>
      </c>
      <c r="F1703" s="2" t="s">
        <v>10</v>
      </c>
      <c r="G1703" s="2" t="n">
        <v>483</v>
      </c>
    </row>
    <row r="1704" customFormat="false" ht="15" hidden="false" customHeight="false" outlineLevel="0" collapsed="false">
      <c r="A1704" s="2" t="s">
        <v>1232</v>
      </c>
      <c r="B1704" s="2" t="s">
        <v>1233</v>
      </c>
      <c r="C1704" s="2" t="s">
        <v>380</v>
      </c>
      <c r="D1704" s="2" t="s">
        <v>1233</v>
      </c>
      <c r="E1704" s="2" t="s">
        <v>4271</v>
      </c>
      <c r="F1704" s="2" t="s">
        <v>10</v>
      </c>
      <c r="G1704" s="2" t="n">
        <v>483</v>
      </c>
    </row>
    <row r="1705" customFormat="false" ht="15" hidden="false" customHeight="false" outlineLevel="0" collapsed="false">
      <c r="A1705" s="2" t="s">
        <v>1232</v>
      </c>
      <c r="B1705" s="2" t="s">
        <v>1233</v>
      </c>
      <c r="C1705" s="2" t="s">
        <v>380</v>
      </c>
      <c r="D1705" s="2" t="s">
        <v>5738</v>
      </c>
      <c r="E1705" s="2" t="s">
        <v>4261</v>
      </c>
      <c r="F1705" s="2" t="s">
        <v>10</v>
      </c>
      <c r="G1705" s="2" t="n">
        <v>483</v>
      </c>
    </row>
    <row r="1706" customFormat="false" ht="15" hidden="false" customHeight="false" outlineLevel="0" collapsed="false">
      <c r="A1706" s="2" t="s">
        <v>1238</v>
      </c>
      <c r="B1706" s="2" t="s">
        <v>138</v>
      </c>
      <c r="C1706" s="2" t="s">
        <v>27</v>
      </c>
      <c r="D1706" s="2" t="s">
        <v>5739</v>
      </c>
      <c r="E1706" s="2" t="s">
        <v>4271</v>
      </c>
      <c r="F1706" s="2" t="s">
        <v>8</v>
      </c>
      <c r="G1706" s="2" t="n">
        <v>485</v>
      </c>
    </row>
    <row r="1707" customFormat="false" ht="15" hidden="false" customHeight="false" outlineLevel="0" collapsed="false">
      <c r="A1707" s="2" t="s">
        <v>1238</v>
      </c>
      <c r="B1707" s="2" t="s">
        <v>138</v>
      </c>
      <c r="C1707" s="2" t="s">
        <v>27</v>
      </c>
      <c r="D1707" s="2" t="s">
        <v>5740</v>
      </c>
      <c r="E1707" s="2" t="s">
        <v>4261</v>
      </c>
      <c r="F1707" s="2" t="s">
        <v>8</v>
      </c>
      <c r="G1707" s="2" t="n">
        <v>485</v>
      </c>
    </row>
    <row r="1708" customFormat="false" ht="15" hidden="false" customHeight="false" outlineLevel="0" collapsed="false">
      <c r="A1708" s="2" t="s">
        <v>1245</v>
      </c>
      <c r="B1708" s="2" t="s">
        <v>217</v>
      </c>
      <c r="C1708" s="2" t="s">
        <v>27</v>
      </c>
      <c r="D1708" s="2" t="s">
        <v>5741</v>
      </c>
      <c r="E1708" s="2" t="s">
        <v>4271</v>
      </c>
      <c r="F1708" s="2" t="s">
        <v>9</v>
      </c>
      <c r="G1708" s="2" t="n">
        <v>491</v>
      </c>
    </row>
    <row r="1709" customFormat="false" ht="15" hidden="false" customHeight="false" outlineLevel="0" collapsed="false">
      <c r="A1709" s="2" t="s">
        <v>1245</v>
      </c>
      <c r="B1709" s="2" t="s">
        <v>217</v>
      </c>
      <c r="C1709" s="2" t="s">
        <v>27</v>
      </c>
      <c r="D1709" s="2" t="s">
        <v>5742</v>
      </c>
      <c r="E1709" s="2" t="s">
        <v>4271</v>
      </c>
      <c r="F1709" s="2" t="s">
        <v>9</v>
      </c>
      <c r="G1709" s="2" t="n">
        <v>491</v>
      </c>
    </row>
    <row r="1710" customFormat="false" ht="15" hidden="false" customHeight="false" outlineLevel="0" collapsed="false">
      <c r="A1710" s="2" t="s">
        <v>1245</v>
      </c>
      <c r="B1710" s="2" t="s">
        <v>217</v>
      </c>
      <c r="C1710" s="2" t="s">
        <v>27</v>
      </c>
      <c r="D1710" s="2" t="s">
        <v>3135</v>
      </c>
      <c r="E1710" s="2" t="s">
        <v>4271</v>
      </c>
      <c r="F1710" s="2" t="s">
        <v>9</v>
      </c>
      <c r="G1710" s="2" t="n">
        <v>491</v>
      </c>
    </row>
    <row r="1711" customFormat="false" ht="15" hidden="false" customHeight="false" outlineLevel="0" collapsed="false">
      <c r="A1711" s="2" t="s">
        <v>1245</v>
      </c>
      <c r="B1711" s="2" t="s">
        <v>217</v>
      </c>
      <c r="C1711" s="2" t="s">
        <v>27</v>
      </c>
      <c r="D1711" s="2" t="s">
        <v>5743</v>
      </c>
      <c r="E1711" s="2" t="s">
        <v>4271</v>
      </c>
      <c r="F1711" s="2" t="s">
        <v>9</v>
      </c>
      <c r="G1711" s="2" t="n">
        <v>491</v>
      </c>
    </row>
    <row r="1712" customFormat="false" ht="15" hidden="false" customHeight="false" outlineLevel="0" collapsed="false">
      <c r="A1712" s="2" t="s">
        <v>1245</v>
      </c>
      <c r="B1712" s="2" t="s">
        <v>217</v>
      </c>
      <c r="C1712" s="2" t="s">
        <v>27</v>
      </c>
      <c r="D1712" s="2" t="s">
        <v>5744</v>
      </c>
      <c r="E1712" s="2" t="s">
        <v>4271</v>
      </c>
      <c r="F1712" s="2" t="s">
        <v>9</v>
      </c>
      <c r="G1712" s="2" t="n">
        <v>491</v>
      </c>
    </row>
    <row r="1713" customFormat="false" ht="15" hidden="false" customHeight="false" outlineLevel="0" collapsed="false">
      <c r="A1713" s="2" t="s">
        <v>1245</v>
      </c>
      <c r="B1713" s="2" t="s">
        <v>217</v>
      </c>
      <c r="C1713" s="2" t="s">
        <v>27</v>
      </c>
      <c r="D1713" s="2" t="s">
        <v>5745</v>
      </c>
      <c r="E1713" s="2" t="s">
        <v>4261</v>
      </c>
      <c r="F1713" s="2" t="s">
        <v>9</v>
      </c>
      <c r="G1713" s="2" t="n">
        <v>491</v>
      </c>
    </row>
    <row r="1714" customFormat="false" ht="15" hidden="false" customHeight="false" outlineLevel="0" collapsed="false">
      <c r="A1714" s="2" t="s">
        <v>1245</v>
      </c>
      <c r="B1714" s="2" t="s">
        <v>217</v>
      </c>
      <c r="C1714" s="2" t="s">
        <v>27</v>
      </c>
      <c r="D1714" s="2" t="s">
        <v>5746</v>
      </c>
      <c r="E1714" s="2" t="s">
        <v>4271</v>
      </c>
      <c r="F1714" s="2" t="s">
        <v>9</v>
      </c>
      <c r="G1714" s="2" t="n">
        <v>491</v>
      </c>
    </row>
    <row r="1715" customFormat="false" ht="15" hidden="false" customHeight="false" outlineLevel="0" collapsed="false">
      <c r="A1715" s="2" t="s">
        <v>1249</v>
      </c>
      <c r="B1715" s="2" t="s">
        <v>1250</v>
      </c>
      <c r="C1715" s="2" t="s">
        <v>70</v>
      </c>
      <c r="D1715" s="2" t="s">
        <v>1251</v>
      </c>
      <c r="E1715" s="2" t="s">
        <v>4264</v>
      </c>
      <c r="F1715" s="2" t="s">
        <v>8</v>
      </c>
      <c r="G1715" s="2" t="n">
        <v>493</v>
      </c>
    </row>
    <row r="1716" customFormat="false" ht="15" hidden="false" customHeight="false" outlineLevel="0" collapsed="false">
      <c r="A1716" s="2" t="s">
        <v>1252</v>
      </c>
      <c r="B1716" s="2" t="s">
        <v>263</v>
      </c>
      <c r="C1716" s="2" t="s">
        <v>27</v>
      </c>
      <c r="D1716" s="2" t="s">
        <v>5747</v>
      </c>
      <c r="E1716" s="2" t="s">
        <v>4261</v>
      </c>
      <c r="F1716" s="2" t="s">
        <v>8</v>
      </c>
      <c r="G1716" s="2" t="n">
        <v>494</v>
      </c>
    </row>
    <row r="1717" customFormat="false" ht="15" hidden="false" customHeight="false" outlineLevel="0" collapsed="false">
      <c r="A1717" s="2" t="s">
        <v>1252</v>
      </c>
      <c r="B1717" s="2" t="s">
        <v>263</v>
      </c>
      <c r="C1717" s="2" t="s">
        <v>27</v>
      </c>
      <c r="D1717" s="2" t="s">
        <v>5748</v>
      </c>
      <c r="E1717" s="2" t="s">
        <v>4271</v>
      </c>
      <c r="F1717" s="2" t="s">
        <v>8</v>
      </c>
      <c r="G1717" s="2" t="n">
        <v>494</v>
      </c>
    </row>
    <row r="1718" customFormat="false" ht="15" hidden="false" customHeight="false" outlineLevel="0" collapsed="false">
      <c r="A1718" s="2" t="s">
        <v>1252</v>
      </c>
      <c r="B1718" s="2" t="s">
        <v>263</v>
      </c>
      <c r="C1718" s="2" t="s">
        <v>27</v>
      </c>
      <c r="D1718" s="2" t="s">
        <v>604</v>
      </c>
      <c r="E1718" s="2" t="s">
        <v>4271</v>
      </c>
      <c r="F1718" s="2" t="s">
        <v>8</v>
      </c>
      <c r="G1718" s="2" t="n">
        <v>494</v>
      </c>
    </row>
    <row r="1719" customFormat="false" ht="15" hidden="false" customHeight="false" outlineLevel="0" collapsed="false">
      <c r="A1719" s="2" t="s">
        <v>1252</v>
      </c>
      <c r="B1719" s="2" t="s">
        <v>263</v>
      </c>
      <c r="C1719" s="2" t="s">
        <v>27</v>
      </c>
      <c r="D1719" s="2" t="s">
        <v>5749</v>
      </c>
      <c r="E1719" s="2" t="s">
        <v>4271</v>
      </c>
      <c r="F1719" s="2" t="s">
        <v>8</v>
      </c>
      <c r="G1719" s="2" t="n">
        <v>494</v>
      </c>
    </row>
    <row r="1720" customFormat="false" ht="15" hidden="false" customHeight="false" outlineLevel="0" collapsed="false">
      <c r="A1720" s="2" t="s">
        <v>1254</v>
      </c>
      <c r="B1720" s="2" t="s">
        <v>39</v>
      </c>
      <c r="C1720" s="2" t="s">
        <v>39</v>
      </c>
      <c r="D1720" s="2" t="s">
        <v>1255</v>
      </c>
      <c r="E1720" s="2" t="s">
        <v>4264</v>
      </c>
      <c r="F1720" s="2" t="s">
        <v>8</v>
      </c>
      <c r="G1720" s="2" t="n">
        <v>495</v>
      </c>
    </row>
    <row r="1721" customFormat="false" ht="15" hidden="false" customHeight="false" outlineLevel="0" collapsed="false">
      <c r="A1721" s="2" t="s">
        <v>1256</v>
      </c>
      <c r="B1721" s="2" t="s">
        <v>1025</v>
      </c>
      <c r="C1721" s="2" t="s">
        <v>70</v>
      </c>
      <c r="D1721" s="2" t="s">
        <v>1257</v>
      </c>
      <c r="E1721" s="2" t="s">
        <v>4261</v>
      </c>
      <c r="F1721" s="2" t="s">
        <v>9</v>
      </c>
      <c r="G1721" s="2" t="n">
        <v>496</v>
      </c>
    </row>
    <row r="1722" customFormat="false" ht="15" hidden="false" customHeight="false" outlineLevel="0" collapsed="false">
      <c r="A1722" s="2" t="s">
        <v>1258</v>
      </c>
      <c r="B1722" s="2" t="s">
        <v>719</v>
      </c>
      <c r="C1722" s="2" t="s">
        <v>44</v>
      </c>
      <c r="D1722" s="2" t="s">
        <v>5750</v>
      </c>
      <c r="E1722" s="2" t="s">
        <v>4261</v>
      </c>
      <c r="F1722" s="2" t="s">
        <v>10</v>
      </c>
      <c r="G1722" s="2" t="n">
        <v>497</v>
      </c>
    </row>
    <row r="1723" customFormat="false" ht="15" hidden="false" customHeight="false" outlineLevel="0" collapsed="false">
      <c r="A1723" s="2" t="s">
        <v>1258</v>
      </c>
      <c r="B1723" s="2" t="s">
        <v>719</v>
      </c>
      <c r="C1723" s="2" t="s">
        <v>44</v>
      </c>
      <c r="D1723" s="2" t="s">
        <v>5751</v>
      </c>
      <c r="E1723" s="2" t="s">
        <v>4261</v>
      </c>
      <c r="F1723" s="2" t="s">
        <v>10</v>
      </c>
      <c r="G1723" s="2" t="n">
        <v>497</v>
      </c>
    </row>
    <row r="1724" customFormat="false" ht="15" hidden="false" customHeight="false" outlineLevel="0" collapsed="false">
      <c r="A1724" s="2" t="s">
        <v>1258</v>
      </c>
      <c r="B1724" s="2" t="s">
        <v>719</v>
      </c>
      <c r="C1724" s="2" t="s">
        <v>44</v>
      </c>
      <c r="D1724" s="2" t="s">
        <v>5752</v>
      </c>
      <c r="E1724" s="2" t="s">
        <v>4261</v>
      </c>
      <c r="F1724" s="2" t="s">
        <v>10</v>
      </c>
      <c r="G1724" s="2" t="n">
        <v>497</v>
      </c>
    </row>
    <row r="1725" customFormat="false" ht="15" hidden="false" customHeight="false" outlineLevel="0" collapsed="false">
      <c r="A1725" s="2" t="s">
        <v>1260</v>
      </c>
      <c r="B1725" s="2" t="s">
        <v>1045</v>
      </c>
      <c r="C1725" s="2" t="s">
        <v>380</v>
      </c>
      <c r="D1725" s="2" t="s">
        <v>5753</v>
      </c>
      <c r="E1725" s="2" t="s">
        <v>4261</v>
      </c>
      <c r="F1725" s="2" t="s">
        <v>10</v>
      </c>
      <c r="G1725" s="2" t="n">
        <v>498</v>
      </c>
    </row>
    <row r="1726" customFormat="false" ht="15" hidden="false" customHeight="false" outlineLevel="0" collapsed="false">
      <c r="A1726" s="2" t="s">
        <v>1260</v>
      </c>
      <c r="B1726" s="2" t="s">
        <v>1045</v>
      </c>
      <c r="C1726" s="2" t="s">
        <v>380</v>
      </c>
      <c r="D1726" s="2" t="s">
        <v>5754</v>
      </c>
      <c r="E1726" s="2" t="s">
        <v>4261</v>
      </c>
      <c r="F1726" s="2" t="s">
        <v>10</v>
      </c>
      <c r="G1726" s="2" t="n">
        <v>498</v>
      </c>
    </row>
    <row r="1727" customFormat="false" ht="15" hidden="false" customHeight="false" outlineLevel="0" collapsed="false">
      <c r="A1727" s="2" t="s">
        <v>1260</v>
      </c>
      <c r="B1727" s="2" t="s">
        <v>1045</v>
      </c>
      <c r="C1727" s="2" t="s">
        <v>380</v>
      </c>
      <c r="D1727" s="2" t="s">
        <v>5755</v>
      </c>
      <c r="E1727" s="2" t="s">
        <v>4261</v>
      </c>
      <c r="F1727" s="2" t="s">
        <v>10</v>
      </c>
      <c r="G1727" s="2" t="n">
        <v>498</v>
      </c>
    </row>
    <row r="1728" customFormat="false" ht="15" hidden="false" customHeight="false" outlineLevel="0" collapsed="false">
      <c r="A1728" s="2" t="s">
        <v>1260</v>
      </c>
      <c r="B1728" s="2" t="s">
        <v>1045</v>
      </c>
      <c r="C1728" s="2" t="s">
        <v>380</v>
      </c>
      <c r="D1728" s="2" t="s">
        <v>5756</v>
      </c>
      <c r="E1728" s="2" t="s">
        <v>4261</v>
      </c>
      <c r="F1728" s="2" t="s">
        <v>10</v>
      </c>
      <c r="G1728" s="2" t="n">
        <v>498</v>
      </c>
    </row>
    <row r="1729" customFormat="false" ht="15" hidden="false" customHeight="false" outlineLevel="0" collapsed="false">
      <c r="A1729" s="2" t="s">
        <v>1260</v>
      </c>
      <c r="B1729" s="2" t="s">
        <v>1045</v>
      </c>
      <c r="C1729" s="2" t="s">
        <v>380</v>
      </c>
      <c r="D1729" s="2" t="s">
        <v>5757</v>
      </c>
      <c r="E1729" s="2" t="s">
        <v>4261</v>
      </c>
      <c r="F1729" s="2" t="s">
        <v>10</v>
      </c>
      <c r="G1729" s="2" t="n">
        <v>498</v>
      </c>
    </row>
    <row r="1730" customFormat="false" ht="15" hidden="false" customHeight="false" outlineLevel="0" collapsed="false">
      <c r="A1730" s="2" t="s">
        <v>1260</v>
      </c>
      <c r="B1730" s="2" t="s">
        <v>1045</v>
      </c>
      <c r="C1730" s="2" t="s">
        <v>380</v>
      </c>
      <c r="D1730" s="2" t="s">
        <v>5758</v>
      </c>
      <c r="E1730" s="2" t="s">
        <v>4261</v>
      </c>
      <c r="F1730" s="2" t="s">
        <v>10</v>
      </c>
      <c r="G1730" s="2" t="n">
        <v>498</v>
      </c>
    </row>
    <row r="1731" customFormat="false" ht="15" hidden="false" customHeight="false" outlineLevel="0" collapsed="false">
      <c r="A1731" s="2" t="s">
        <v>1260</v>
      </c>
      <c r="B1731" s="2" t="s">
        <v>1045</v>
      </c>
      <c r="C1731" s="2" t="s">
        <v>380</v>
      </c>
      <c r="D1731" s="2" t="s">
        <v>5759</v>
      </c>
      <c r="E1731" s="2" t="s">
        <v>4261</v>
      </c>
      <c r="F1731" s="2" t="s">
        <v>10</v>
      </c>
      <c r="G1731" s="2" t="n">
        <v>498</v>
      </c>
    </row>
    <row r="1732" customFormat="false" ht="15" hidden="false" customHeight="false" outlineLevel="0" collapsed="false">
      <c r="A1732" s="2" t="s">
        <v>1260</v>
      </c>
      <c r="B1732" s="2" t="s">
        <v>1045</v>
      </c>
      <c r="C1732" s="2" t="s">
        <v>380</v>
      </c>
      <c r="D1732" s="2" t="s">
        <v>5760</v>
      </c>
      <c r="E1732" s="2" t="s">
        <v>4261</v>
      </c>
      <c r="F1732" s="2" t="s">
        <v>10</v>
      </c>
      <c r="G1732" s="2" t="n">
        <v>498</v>
      </c>
    </row>
    <row r="1733" customFormat="false" ht="15" hidden="false" customHeight="false" outlineLevel="0" collapsed="false">
      <c r="A1733" s="2" t="s">
        <v>1260</v>
      </c>
      <c r="B1733" s="2" t="s">
        <v>1045</v>
      </c>
      <c r="C1733" s="2" t="s">
        <v>380</v>
      </c>
      <c r="D1733" s="2" t="s">
        <v>5761</v>
      </c>
      <c r="E1733" s="2" t="s">
        <v>4261</v>
      </c>
      <c r="F1733" s="2" t="s">
        <v>10</v>
      </c>
      <c r="G1733" s="2" t="n">
        <v>498</v>
      </c>
    </row>
    <row r="1734" customFormat="false" ht="15" hidden="false" customHeight="false" outlineLevel="0" collapsed="false">
      <c r="A1734" s="2" t="s">
        <v>1260</v>
      </c>
      <c r="B1734" s="2" t="s">
        <v>1045</v>
      </c>
      <c r="C1734" s="2" t="s">
        <v>380</v>
      </c>
      <c r="D1734" s="2" t="s">
        <v>5762</v>
      </c>
      <c r="E1734" s="2" t="s">
        <v>4261</v>
      </c>
      <c r="F1734" s="2" t="s">
        <v>10</v>
      </c>
      <c r="G1734" s="2" t="n">
        <v>498</v>
      </c>
    </row>
    <row r="1735" customFormat="false" ht="15" hidden="false" customHeight="false" outlineLevel="0" collapsed="false">
      <c r="A1735" s="2" t="s">
        <v>1260</v>
      </c>
      <c r="B1735" s="2" t="s">
        <v>1045</v>
      </c>
      <c r="C1735" s="2" t="s">
        <v>380</v>
      </c>
      <c r="D1735" s="2" t="s">
        <v>5763</v>
      </c>
      <c r="E1735" s="2" t="s">
        <v>4261</v>
      </c>
      <c r="F1735" s="2" t="s">
        <v>10</v>
      </c>
      <c r="G1735" s="2" t="n">
        <v>498</v>
      </c>
    </row>
    <row r="1736" customFormat="false" ht="15" hidden="false" customHeight="false" outlineLevel="0" collapsed="false">
      <c r="A1736" s="2" t="s">
        <v>1260</v>
      </c>
      <c r="B1736" s="2" t="s">
        <v>1045</v>
      </c>
      <c r="C1736" s="2" t="s">
        <v>380</v>
      </c>
      <c r="D1736" s="2" t="s">
        <v>5764</v>
      </c>
      <c r="E1736" s="2" t="s">
        <v>4271</v>
      </c>
      <c r="F1736" s="2" t="s">
        <v>10</v>
      </c>
      <c r="G1736" s="2" t="n">
        <v>498</v>
      </c>
    </row>
    <row r="1737" customFormat="false" ht="15" hidden="false" customHeight="false" outlineLevel="0" collapsed="false">
      <c r="A1737" s="2" t="s">
        <v>1260</v>
      </c>
      <c r="B1737" s="2" t="s">
        <v>1045</v>
      </c>
      <c r="C1737" s="2" t="s">
        <v>380</v>
      </c>
      <c r="D1737" s="2" t="s">
        <v>5765</v>
      </c>
      <c r="E1737" s="2" t="s">
        <v>4261</v>
      </c>
      <c r="F1737" s="2" t="s">
        <v>10</v>
      </c>
      <c r="G1737" s="2" t="n">
        <v>498</v>
      </c>
    </row>
    <row r="1738" customFormat="false" ht="15" hidden="false" customHeight="false" outlineLevel="0" collapsed="false">
      <c r="A1738" s="2" t="s">
        <v>1260</v>
      </c>
      <c r="B1738" s="2" t="s">
        <v>1045</v>
      </c>
      <c r="C1738" s="2" t="s">
        <v>380</v>
      </c>
      <c r="D1738" s="2" t="s">
        <v>5766</v>
      </c>
      <c r="E1738" s="2" t="s">
        <v>4261</v>
      </c>
      <c r="F1738" s="2" t="s">
        <v>10</v>
      </c>
      <c r="G1738" s="2" t="n">
        <v>498</v>
      </c>
    </row>
    <row r="1739" customFormat="false" ht="15" hidden="false" customHeight="false" outlineLevel="0" collapsed="false">
      <c r="A1739" s="2" t="s">
        <v>1260</v>
      </c>
      <c r="B1739" s="2" t="s">
        <v>1045</v>
      </c>
      <c r="C1739" s="2" t="s">
        <v>380</v>
      </c>
      <c r="D1739" s="2" t="s">
        <v>5767</v>
      </c>
      <c r="E1739" s="2" t="s">
        <v>4261</v>
      </c>
      <c r="F1739" s="2" t="s">
        <v>10</v>
      </c>
      <c r="G1739" s="2" t="n">
        <v>498</v>
      </c>
    </row>
    <row r="1740" customFormat="false" ht="15" hidden="false" customHeight="false" outlineLevel="0" collapsed="false">
      <c r="A1740" s="2" t="s">
        <v>1260</v>
      </c>
      <c r="B1740" s="2" t="s">
        <v>1045</v>
      </c>
      <c r="C1740" s="2" t="s">
        <v>380</v>
      </c>
      <c r="D1740" s="2" t="s">
        <v>5768</v>
      </c>
      <c r="E1740" s="2" t="s">
        <v>4261</v>
      </c>
      <c r="F1740" s="2" t="s">
        <v>10</v>
      </c>
      <c r="G1740" s="2" t="n">
        <v>498</v>
      </c>
    </row>
    <row r="1741" customFormat="false" ht="15" hidden="false" customHeight="false" outlineLevel="0" collapsed="false">
      <c r="A1741" s="2" t="s">
        <v>1260</v>
      </c>
      <c r="B1741" s="2" t="s">
        <v>1045</v>
      </c>
      <c r="C1741" s="2" t="s">
        <v>380</v>
      </c>
      <c r="D1741" s="2" t="s">
        <v>5769</v>
      </c>
      <c r="E1741" s="2" t="s">
        <v>4261</v>
      </c>
      <c r="F1741" s="2" t="s">
        <v>10</v>
      </c>
      <c r="G1741" s="2" t="n">
        <v>498</v>
      </c>
    </row>
    <row r="1742" customFormat="false" ht="15" hidden="false" customHeight="false" outlineLevel="0" collapsed="false">
      <c r="A1742" s="2" t="s">
        <v>1260</v>
      </c>
      <c r="B1742" s="2" t="s">
        <v>1045</v>
      </c>
      <c r="C1742" s="2" t="s">
        <v>380</v>
      </c>
      <c r="D1742" s="2" t="s">
        <v>5770</v>
      </c>
      <c r="E1742" s="2" t="s">
        <v>4261</v>
      </c>
      <c r="F1742" s="2" t="s">
        <v>10</v>
      </c>
      <c r="G1742" s="2" t="n">
        <v>498</v>
      </c>
    </row>
    <row r="1743" customFormat="false" ht="15" hidden="false" customHeight="false" outlineLevel="0" collapsed="false">
      <c r="A1743" s="2" t="s">
        <v>1260</v>
      </c>
      <c r="B1743" s="2" t="s">
        <v>1045</v>
      </c>
      <c r="C1743" s="2" t="s">
        <v>380</v>
      </c>
      <c r="D1743" s="2" t="s">
        <v>238</v>
      </c>
      <c r="E1743" s="2" t="s">
        <v>4261</v>
      </c>
      <c r="F1743" s="2" t="s">
        <v>10</v>
      </c>
      <c r="G1743" s="2" t="n">
        <v>498</v>
      </c>
    </row>
    <row r="1744" customFormat="false" ht="15" hidden="false" customHeight="false" outlineLevel="0" collapsed="false">
      <c r="A1744" s="2" t="s">
        <v>1260</v>
      </c>
      <c r="B1744" s="2" t="s">
        <v>1045</v>
      </c>
      <c r="C1744" s="2" t="s">
        <v>380</v>
      </c>
      <c r="D1744" s="2" t="s">
        <v>5771</v>
      </c>
      <c r="E1744" s="2" t="s">
        <v>4261</v>
      </c>
      <c r="F1744" s="2" t="s">
        <v>10</v>
      </c>
      <c r="G1744" s="2" t="n">
        <v>498</v>
      </c>
    </row>
    <row r="1745" customFormat="false" ht="15" hidden="false" customHeight="false" outlineLevel="0" collapsed="false">
      <c r="A1745" s="2" t="s">
        <v>1260</v>
      </c>
      <c r="B1745" s="2" t="s">
        <v>1045</v>
      </c>
      <c r="C1745" s="2" t="s">
        <v>380</v>
      </c>
      <c r="D1745" s="2" t="s">
        <v>5772</v>
      </c>
      <c r="E1745" s="2" t="s">
        <v>4261</v>
      </c>
      <c r="F1745" s="2" t="s">
        <v>10</v>
      </c>
      <c r="G1745" s="2" t="n">
        <v>498</v>
      </c>
    </row>
    <row r="1746" customFormat="false" ht="15" hidden="false" customHeight="false" outlineLevel="0" collapsed="false">
      <c r="A1746" s="2" t="s">
        <v>1260</v>
      </c>
      <c r="B1746" s="2" t="s">
        <v>1045</v>
      </c>
      <c r="C1746" s="2" t="s">
        <v>380</v>
      </c>
      <c r="D1746" s="2" t="s">
        <v>5773</v>
      </c>
      <c r="E1746" s="2" t="s">
        <v>4261</v>
      </c>
      <c r="F1746" s="2" t="s">
        <v>10</v>
      </c>
      <c r="G1746" s="2" t="n">
        <v>498</v>
      </c>
    </row>
    <row r="1747" customFormat="false" ht="15" hidden="false" customHeight="false" outlineLevel="0" collapsed="false">
      <c r="A1747" s="2" t="s">
        <v>1260</v>
      </c>
      <c r="B1747" s="2" t="s">
        <v>1045</v>
      </c>
      <c r="C1747" s="2" t="s">
        <v>380</v>
      </c>
      <c r="D1747" s="2" t="s">
        <v>5774</v>
      </c>
      <c r="E1747" s="2" t="s">
        <v>4261</v>
      </c>
      <c r="F1747" s="2" t="s">
        <v>10</v>
      </c>
      <c r="G1747" s="2" t="n">
        <v>498</v>
      </c>
    </row>
    <row r="1748" customFormat="false" ht="15" hidden="false" customHeight="false" outlineLevel="0" collapsed="false">
      <c r="A1748" s="2" t="s">
        <v>1262</v>
      </c>
      <c r="B1748" s="2" t="s">
        <v>827</v>
      </c>
      <c r="C1748" s="2" t="s">
        <v>95</v>
      </c>
      <c r="D1748" s="2" t="s">
        <v>1263</v>
      </c>
      <c r="E1748" s="2" t="s">
        <v>4261</v>
      </c>
      <c r="F1748" s="2" t="s">
        <v>10</v>
      </c>
      <c r="G1748" s="2" t="n">
        <v>499</v>
      </c>
    </row>
    <row r="1749" customFormat="false" ht="15" hidden="false" customHeight="false" outlineLevel="0" collapsed="false">
      <c r="A1749" s="2" t="s">
        <v>1264</v>
      </c>
      <c r="B1749" s="2" t="s">
        <v>263</v>
      </c>
      <c r="C1749" s="2" t="s">
        <v>27</v>
      </c>
      <c r="D1749" s="2" t="s">
        <v>1265</v>
      </c>
      <c r="E1749" s="2" t="s">
        <v>4271</v>
      </c>
      <c r="F1749" s="2" t="s">
        <v>8</v>
      </c>
      <c r="G1749" s="2" t="n">
        <v>500</v>
      </c>
    </row>
    <row r="1750" customFormat="false" ht="15" hidden="false" customHeight="false" outlineLevel="0" collapsed="false">
      <c r="A1750" s="2" t="s">
        <v>1266</v>
      </c>
      <c r="B1750" s="2" t="s">
        <v>1267</v>
      </c>
      <c r="C1750" s="2" t="s">
        <v>50</v>
      </c>
      <c r="D1750" s="2" t="s">
        <v>5775</v>
      </c>
      <c r="E1750" s="2" t="s">
        <v>4261</v>
      </c>
      <c r="F1750" s="2" t="s">
        <v>8</v>
      </c>
      <c r="G1750" s="2" t="n">
        <v>501</v>
      </c>
    </row>
    <row r="1751" customFormat="false" ht="15" hidden="false" customHeight="false" outlineLevel="0" collapsed="false">
      <c r="A1751" s="2" t="s">
        <v>1266</v>
      </c>
      <c r="B1751" s="2" t="s">
        <v>1267</v>
      </c>
      <c r="C1751" s="2" t="s">
        <v>50</v>
      </c>
      <c r="D1751" s="2" t="s">
        <v>5776</v>
      </c>
      <c r="E1751" s="2" t="s">
        <v>4261</v>
      </c>
      <c r="F1751" s="2" t="s">
        <v>8</v>
      </c>
      <c r="G1751" s="2" t="n">
        <v>501</v>
      </c>
    </row>
    <row r="1752" customFormat="false" ht="15" hidden="false" customHeight="false" outlineLevel="0" collapsed="false">
      <c r="A1752" s="2" t="s">
        <v>1266</v>
      </c>
      <c r="B1752" s="2" t="s">
        <v>1267</v>
      </c>
      <c r="C1752" s="2" t="s">
        <v>50</v>
      </c>
      <c r="D1752" s="2" t="s">
        <v>5777</v>
      </c>
      <c r="E1752" s="2" t="s">
        <v>4261</v>
      </c>
      <c r="F1752" s="2" t="s">
        <v>8</v>
      </c>
      <c r="G1752" s="2" t="n">
        <v>501</v>
      </c>
    </row>
    <row r="1753" customFormat="false" ht="15" hidden="false" customHeight="false" outlineLevel="0" collapsed="false">
      <c r="A1753" s="2" t="s">
        <v>1269</v>
      </c>
      <c r="B1753" s="2" t="s">
        <v>1198</v>
      </c>
      <c r="C1753" s="2" t="s">
        <v>70</v>
      </c>
      <c r="D1753" s="2" t="s">
        <v>1199</v>
      </c>
      <c r="E1753" s="2" t="s">
        <v>4271</v>
      </c>
      <c r="F1753" s="2" t="s">
        <v>10</v>
      </c>
      <c r="G1753" s="2" t="n">
        <v>502</v>
      </c>
    </row>
    <row r="1754" customFormat="false" ht="15" hidden="false" customHeight="false" outlineLevel="0" collapsed="false">
      <c r="A1754" s="2" t="s">
        <v>1272</v>
      </c>
      <c r="B1754" s="2" t="s">
        <v>70</v>
      </c>
      <c r="C1754" s="2" t="s">
        <v>70</v>
      </c>
      <c r="D1754" s="2" t="s">
        <v>5778</v>
      </c>
      <c r="E1754" s="2" t="s">
        <v>4264</v>
      </c>
      <c r="F1754" s="2" t="s">
        <v>10</v>
      </c>
      <c r="G1754" s="2" t="n">
        <v>504</v>
      </c>
    </row>
    <row r="1755" customFormat="false" ht="15" hidden="false" customHeight="false" outlineLevel="0" collapsed="false">
      <c r="A1755" s="2" t="s">
        <v>1272</v>
      </c>
      <c r="B1755" s="2" t="s">
        <v>70</v>
      </c>
      <c r="C1755" s="2" t="s">
        <v>70</v>
      </c>
      <c r="D1755" s="2" t="s">
        <v>5779</v>
      </c>
      <c r="E1755" s="2" t="s">
        <v>4261</v>
      </c>
      <c r="F1755" s="2" t="s">
        <v>10</v>
      </c>
      <c r="G1755" s="2" t="n">
        <v>504</v>
      </c>
    </row>
    <row r="1756" customFormat="false" ht="15" hidden="false" customHeight="false" outlineLevel="0" collapsed="false">
      <c r="A1756" s="2" t="s">
        <v>1274</v>
      </c>
      <c r="B1756" s="2" t="s">
        <v>537</v>
      </c>
      <c r="C1756" s="2" t="s">
        <v>27</v>
      </c>
      <c r="D1756" s="2" t="s">
        <v>1275</v>
      </c>
      <c r="E1756" s="2" t="s">
        <v>4271</v>
      </c>
      <c r="F1756" s="2" t="s">
        <v>9</v>
      </c>
      <c r="G1756" s="2" t="n">
        <v>505</v>
      </c>
    </row>
    <row r="1757" customFormat="false" ht="15" hidden="false" customHeight="false" outlineLevel="0" collapsed="false">
      <c r="A1757" s="2" t="s">
        <v>1276</v>
      </c>
      <c r="B1757" s="2" t="s">
        <v>56</v>
      </c>
      <c r="C1757" s="2" t="s">
        <v>56</v>
      </c>
      <c r="D1757" s="2" t="s">
        <v>5780</v>
      </c>
      <c r="E1757" s="2" t="s">
        <v>4264</v>
      </c>
      <c r="F1757" s="2" t="s">
        <v>8</v>
      </c>
      <c r="G1757" s="2" t="n">
        <v>506</v>
      </c>
    </row>
    <row r="1758" customFormat="false" ht="15" hidden="false" customHeight="false" outlineLevel="0" collapsed="false">
      <c r="A1758" s="2" t="s">
        <v>1276</v>
      </c>
      <c r="B1758" s="2" t="s">
        <v>56</v>
      </c>
      <c r="C1758" s="2" t="s">
        <v>56</v>
      </c>
      <c r="D1758" s="2" t="s">
        <v>5781</v>
      </c>
      <c r="E1758" s="2" t="s">
        <v>4261</v>
      </c>
      <c r="F1758" s="2" t="s">
        <v>8</v>
      </c>
      <c r="G1758" s="2" t="n">
        <v>506</v>
      </c>
    </row>
    <row r="1759" customFormat="false" ht="15" hidden="false" customHeight="false" outlineLevel="0" collapsed="false">
      <c r="A1759" s="2" t="s">
        <v>1276</v>
      </c>
      <c r="B1759" s="2" t="s">
        <v>56</v>
      </c>
      <c r="C1759" s="2" t="s">
        <v>56</v>
      </c>
      <c r="D1759" s="2" t="s">
        <v>5782</v>
      </c>
      <c r="E1759" s="2" t="s">
        <v>4264</v>
      </c>
      <c r="F1759" s="2" t="s">
        <v>8</v>
      </c>
      <c r="G1759" s="2" t="n">
        <v>506</v>
      </c>
    </row>
    <row r="1760" customFormat="false" ht="15" hidden="false" customHeight="false" outlineLevel="0" collapsed="false">
      <c r="A1760" s="2" t="s">
        <v>1276</v>
      </c>
      <c r="B1760" s="2" t="s">
        <v>56</v>
      </c>
      <c r="C1760" s="2" t="s">
        <v>56</v>
      </c>
      <c r="D1760" s="2" t="s">
        <v>5783</v>
      </c>
      <c r="E1760" s="2" t="s">
        <v>4261</v>
      </c>
      <c r="F1760" s="2" t="s">
        <v>8</v>
      </c>
      <c r="G1760" s="2" t="n">
        <v>506</v>
      </c>
    </row>
    <row r="1761" customFormat="false" ht="15" hidden="false" customHeight="false" outlineLevel="0" collapsed="false">
      <c r="A1761" s="2" t="s">
        <v>1276</v>
      </c>
      <c r="B1761" s="2" t="s">
        <v>56</v>
      </c>
      <c r="C1761" s="2" t="s">
        <v>56</v>
      </c>
      <c r="D1761" s="2" t="s">
        <v>5784</v>
      </c>
      <c r="E1761" s="2" t="s">
        <v>4261</v>
      </c>
      <c r="F1761" s="2" t="s">
        <v>8</v>
      </c>
      <c r="G1761" s="2" t="n">
        <v>506</v>
      </c>
    </row>
    <row r="1762" customFormat="false" ht="15" hidden="false" customHeight="false" outlineLevel="0" collapsed="false">
      <c r="A1762" s="2" t="s">
        <v>1276</v>
      </c>
      <c r="B1762" s="2" t="s">
        <v>56</v>
      </c>
      <c r="C1762" s="2" t="s">
        <v>56</v>
      </c>
      <c r="D1762" s="2" t="s">
        <v>5785</v>
      </c>
      <c r="E1762" s="2" t="s">
        <v>4261</v>
      </c>
      <c r="F1762" s="2" t="s">
        <v>8</v>
      </c>
      <c r="G1762" s="2" t="n">
        <v>506</v>
      </c>
    </row>
    <row r="1763" customFormat="false" ht="15" hidden="false" customHeight="false" outlineLevel="0" collapsed="false">
      <c r="A1763" s="2" t="s">
        <v>1281</v>
      </c>
      <c r="B1763" s="2" t="s">
        <v>1282</v>
      </c>
      <c r="C1763" s="2" t="s">
        <v>197</v>
      </c>
      <c r="D1763" s="2" t="s">
        <v>5786</v>
      </c>
      <c r="E1763" s="2" t="s">
        <v>4264</v>
      </c>
      <c r="F1763" s="2" t="s">
        <v>9</v>
      </c>
      <c r="G1763" s="2" t="n">
        <v>508</v>
      </c>
    </row>
    <row r="1764" customFormat="false" ht="15" hidden="false" customHeight="false" outlineLevel="0" collapsed="false">
      <c r="A1764" s="2" t="s">
        <v>1281</v>
      </c>
      <c r="B1764" s="2" t="s">
        <v>1282</v>
      </c>
      <c r="C1764" s="2" t="s">
        <v>197</v>
      </c>
      <c r="D1764" s="2" t="s">
        <v>5787</v>
      </c>
      <c r="E1764" s="2" t="s">
        <v>4264</v>
      </c>
      <c r="F1764" s="2" t="s">
        <v>9</v>
      </c>
      <c r="G1764" s="2" t="n">
        <v>508</v>
      </c>
    </row>
    <row r="1765" customFormat="false" ht="15" hidden="false" customHeight="false" outlineLevel="0" collapsed="false">
      <c r="A1765" s="2" t="s">
        <v>1281</v>
      </c>
      <c r="B1765" s="2" t="s">
        <v>1282</v>
      </c>
      <c r="C1765" s="2" t="s">
        <v>197</v>
      </c>
      <c r="D1765" s="2" t="s">
        <v>5788</v>
      </c>
      <c r="E1765" s="2" t="s">
        <v>4264</v>
      </c>
      <c r="F1765" s="2" t="s">
        <v>9</v>
      </c>
      <c r="G1765" s="2" t="n">
        <v>508</v>
      </c>
    </row>
    <row r="1766" customFormat="false" ht="15" hidden="false" customHeight="false" outlineLevel="0" collapsed="false">
      <c r="A1766" s="2" t="s">
        <v>1281</v>
      </c>
      <c r="B1766" s="2" t="s">
        <v>1282</v>
      </c>
      <c r="C1766" s="2" t="s">
        <v>197</v>
      </c>
      <c r="D1766" s="2" t="s">
        <v>5789</v>
      </c>
      <c r="E1766" s="2" t="s">
        <v>4264</v>
      </c>
      <c r="F1766" s="2" t="s">
        <v>9</v>
      </c>
      <c r="G1766" s="2" t="n">
        <v>508</v>
      </c>
    </row>
    <row r="1767" customFormat="false" ht="15" hidden="false" customHeight="false" outlineLevel="0" collapsed="false">
      <c r="A1767" s="2" t="s">
        <v>1289</v>
      </c>
      <c r="B1767" s="2" t="s">
        <v>1290</v>
      </c>
      <c r="C1767" s="2" t="s">
        <v>423</v>
      </c>
      <c r="D1767" s="2" t="s">
        <v>1291</v>
      </c>
      <c r="E1767" s="2" t="s">
        <v>4261</v>
      </c>
      <c r="F1767" s="2" t="s">
        <v>9</v>
      </c>
      <c r="G1767" s="2" t="n">
        <v>513</v>
      </c>
    </row>
    <row r="1768" customFormat="false" ht="15" hidden="false" customHeight="false" outlineLevel="0" collapsed="false">
      <c r="A1768" s="2" t="s">
        <v>1293</v>
      </c>
      <c r="B1768" s="2" t="s">
        <v>798</v>
      </c>
      <c r="C1768" s="2" t="s">
        <v>70</v>
      </c>
      <c r="D1768" s="2" t="s">
        <v>5790</v>
      </c>
      <c r="E1768" s="2" t="s">
        <v>4261</v>
      </c>
      <c r="F1768" s="2" t="s">
        <v>10</v>
      </c>
      <c r="G1768" s="2" t="n">
        <v>514</v>
      </c>
    </row>
    <row r="1769" customFormat="false" ht="15" hidden="false" customHeight="false" outlineLevel="0" collapsed="false">
      <c r="A1769" s="2" t="s">
        <v>1293</v>
      </c>
      <c r="B1769" s="2" t="s">
        <v>798</v>
      </c>
      <c r="C1769" s="2" t="s">
        <v>70</v>
      </c>
      <c r="D1769" s="2" t="s">
        <v>5791</v>
      </c>
      <c r="E1769" s="2" t="s">
        <v>4261</v>
      </c>
      <c r="F1769" s="2" t="s">
        <v>10</v>
      </c>
      <c r="G1769" s="2" t="n">
        <v>514</v>
      </c>
    </row>
    <row r="1770" customFormat="false" ht="15" hidden="false" customHeight="false" outlineLevel="0" collapsed="false">
      <c r="A1770" s="2" t="s">
        <v>1293</v>
      </c>
      <c r="B1770" s="2" t="s">
        <v>798</v>
      </c>
      <c r="C1770" s="2" t="s">
        <v>70</v>
      </c>
      <c r="D1770" s="2" t="s">
        <v>5792</v>
      </c>
      <c r="E1770" s="2" t="s">
        <v>4261</v>
      </c>
      <c r="F1770" s="2" t="s">
        <v>10</v>
      </c>
      <c r="G1770" s="2" t="n">
        <v>514</v>
      </c>
    </row>
    <row r="1771" customFormat="false" ht="15" hidden="false" customHeight="false" outlineLevel="0" collapsed="false">
      <c r="A1771" s="2" t="s">
        <v>1293</v>
      </c>
      <c r="B1771" s="2" t="s">
        <v>798</v>
      </c>
      <c r="C1771" s="2" t="s">
        <v>70</v>
      </c>
      <c r="D1771" s="2" t="s">
        <v>899</v>
      </c>
      <c r="E1771" s="2" t="s">
        <v>4271</v>
      </c>
      <c r="F1771" s="2" t="s">
        <v>10</v>
      </c>
      <c r="G1771" s="2" t="n">
        <v>514</v>
      </c>
    </row>
    <row r="1772" customFormat="false" ht="15" hidden="false" customHeight="false" outlineLevel="0" collapsed="false">
      <c r="A1772" s="2" t="s">
        <v>1298</v>
      </c>
      <c r="B1772" s="2" t="s">
        <v>70</v>
      </c>
      <c r="C1772" s="2" t="s">
        <v>70</v>
      </c>
      <c r="D1772" s="2" t="s">
        <v>1299</v>
      </c>
      <c r="E1772" s="2" t="s">
        <v>4271</v>
      </c>
      <c r="F1772" s="2" t="s">
        <v>9</v>
      </c>
      <c r="G1772" s="2" t="n">
        <v>518</v>
      </c>
    </row>
    <row r="1773" customFormat="false" ht="15" hidden="false" customHeight="false" outlineLevel="0" collapsed="false">
      <c r="A1773" s="2" t="s">
        <v>1303</v>
      </c>
      <c r="B1773" s="2" t="s">
        <v>1045</v>
      </c>
      <c r="C1773" s="2" t="s">
        <v>380</v>
      </c>
      <c r="D1773" s="2" t="s">
        <v>5793</v>
      </c>
      <c r="E1773" s="2" t="s">
        <v>4261</v>
      </c>
      <c r="F1773" s="2" t="s">
        <v>10</v>
      </c>
      <c r="G1773" s="2" t="n">
        <v>520</v>
      </c>
    </row>
    <row r="1774" customFormat="false" ht="15" hidden="false" customHeight="false" outlineLevel="0" collapsed="false">
      <c r="A1774" s="2" t="s">
        <v>1303</v>
      </c>
      <c r="B1774" s="2" t="s">
        <v>1045</v>
      </c>
      <c r="C1774" s="2" t="s">
        <v>380</v>
      </c>
      <c r="D1774" s="2" t="s">
        <v>5794</v>
      </c>
      <c r="E1774" s="2" t="s">
        <v>4271</v>
      </c>
      <c r="F1774" s="2" t="s">
        <v>10</v>
      </c>
      <c r="G1774" s="2" t="n">
        <v>520</v>
      </c>
    </row>
    <row r="1775" customFormat="false" ht="15" hidden="false" customHeight="false" outlineLevel="0" collapsed="false">
      <c r="A1775" s="2" t="s">
        <v>1303</v>
      </c>
      <c r="B1775" s="2" t="s">
        <v>1045</v>
      </c>
      <c r="C1775" s="2" t="s">
        <v>380</v>
      </c>
      <c r="D1775" s="2" t="s">
        <v>5795</v>
      </c>
      <c r="E1775" s="2" t="s">
        <v>4271</v>
      </c>
      <c r="F1775" s="2" t="s">
        <v>10</v>
      </c>
      <c r="G1775" s="2" t="n">
        <v>520</v>
      </c>
    </row>
    <row r="1776" customFormat="false" ht="15" hidden="false" customHeight="false" outlineLevel="0" collapsed="false">
      <c r="A1776" s="2" t="s">
        <v>1303</v>
      </c>
      <c r="B1776" s="2" t="s">
        <v>1045</v>
      </c>
      <c r="C1776" s="2" t="s">
        <v>380</v>
      </c>
      <c r="D1776" s="2" t="s">
        <v>5796</v>
      </c>
      <c r="E1776" s="2" t="s">
        <v>4271</v>
      </c>
      <c r="F1776" s="2" t="s">
        <v>10</v>
      </c>
      <c r="G1776" s="2" t="n">
        <v>520</v>
      </c>
    </row>
    <row r="1777" customFormat="false" ht="15" hidden="false" customHeight="false" outlineLevel="0" collapsed="false">
      <c r="A1777" s="2" t="s">
        <v>1303</v>
      </c>
      <c r="B1777" s="2" t="s">
        <v>1045</v>
      </c>
      <c r="C1777" s="2" t="s">
        <v>380</v>
      </c>
      <c r="D1777" s="2" t="s">
        <v>5797</v>
      </c>
      <c r="E1777" s="2" t="s">
        <v>4271</v>
      </c>
      <c r="F1777" s="2" t="s">
        <v>10</v>
      </c>
      <c r="G1777" s="2" t="n">
        <v>520</v>
      </c>
    </row>
    <row r="1778" customFormat="false" ht="15" hidden="false" customHeight="false" outlineLevel="0" collapsed="false">
      <c r="A1778" s="2" t="s">
        <v>1303</v>
      </c>
      <c r="B1778" s="2" t="s">
        <v>1045</v>
      </c>
      <c r="C1778" s="2" t="s">
        <v>380</v>
      </c>
      <c r="D1778" s="2" t="s">
        <v>5798</v>
      </c>
      <c r="E1778" s="2" t="s">
        <v>4271</v>
      </c>
      <c r="F1778" s="2" t="s">
        <v>10</v>
      </c>
      <c r="G1778" s="2" t="n">
        <v>520</v>
      </c>
    </row>
    <row r="1779" customFormat="false" ht="15" hidden="false" customHeight="false" outlineLevel="0" collapsed="false">
      <c r="A1779" s="2" t="s">
        <v>1308</v>
      </c>
      <c r="B1779" s="2" t="s">
        <v>772</v>
      </c>
      <c r="C1779" s="2" t="s">
        <v>105</v>
      </c>
      <c r="D1779" s="2" t="s">
        <v>5799</v>
      </c>
      <c r="E1779" s="2" t="s">
        <v>4261</v>
      </c>
      <c r="F1779" s="2" t="s">
        <v>10</v>
      </c>
      <c r="G1779" s="2" t="n">
        <v>524</v>
      </c>
    </row>
    <row r="1780" customFormat="false" ht="15" hidden="false" customHeight="false" outlineLevel="0" collapsed="false">
      <c r="A1780" s="2" t="s">
        <v>1308</v>
      </c>
      <c r="B1780" s="2" t="s">
        <v>772</v>
      </c>
      <c r="C1780" s="2" t="s">
        <v>105</v>
      </c>
      <c r="D1780" s="2" t="s">
        <v>3938</v>
      </c>
      <c r="E1780" s="2" t="s">
        <v>4261</v>
      </c>
      <c r="F1780" s="2" t="s">
        <v>10</v>
      </c>
      <c r="G1780" s="2" t="n">
        <v>524</v>
      </c>
    </row>
    <row r="1781" customFormat="false" ht="15" hidden="false" customHeight="false" outlineLevel="0" collapsed="false">
      <c r="A1781" s="2" t="s">
        <v>1308</v>
      </c>
      <c r="B1781" s="2" t="s">
        <v>772</v>
      </c>
      <c r="C1781" s="2" t="s">
        <v>105</v>
      </c>
      <c r="D1781" s="2" t="s">
        <v>5800</v>
      </c>
      <c r="E1781" s="2" t="s">
        <v>4261</v>
      </c>
      <c r="F1781" s="2" t="s">
        <v>10</v>
      </c>
      <c r="G1781" s="2" t="n">
        <v>524</v>
      </c>
    </row>
    <row r="1782" customFormat="false" ht="15" hidden="false" customHeight="false" outlineLevel="0" collapsed="false">
      <c r="A1782" s="2" t="s">
        <v>1312</v>
      </c>
      <c r="B1782" s="2" t="s">
        <v>1083</v>
      </c>
      <c r="C1782" s="2" t="s">
        <v>105</v>
      </c>
      <c r="D1782" s="2" t="s">
        <v>1313</v>
      </c>
      <c r="E1782" s="2" t="s">
        <v>4261</v>
      </c>
      <c r="F1782" s="2" t="s">
        <v>10</v>
      </c>
      <c r="G1782" s="2" t="n">
        <v>526</v>
      </c>
    </row>
    <row r="1783" customFormat="false" ht="15" hidden="false" customHeight="false" outlineLevel="0" collapsed="false">
      <c r="A1783" s="2" t="s">
        <v>1316</v>
      </c>
      <c r="B1783" s="2" t="s">
        <v>56</v>
      </c>
      <c r="C1783" s="2" t="s">
        <v>56</v>
      </c>
      <c r="D1783" s="2" t="s">
        <v>5801</v>
      </c>
      <c r="E1783" s="2" t="s">
        <v>4261</v>
      </c>
      <c r="F1783" s="2" t="s">
        <v>8</v>
      </c>
      <c r="G1783" s="2" t="n">
        <v>528</v>
      </c>
    </row>
    <row r="1784" customFormat="false" ht="15" hidden="false" customHeight="false" outlineLevel="0" collapsed="false">
      <c r="A1784" s="2" t="s">
        <v>1316</v>
      </c>
      <c r="B1784" s="2" t="s">
        <v>56</v>
      </c>
      <c r="C1784" s="2" t="s">
        <v>56</v>
      </c>
      <c r="D1784" s="2" t="s">
        <v>5802</v>
      </c>
      <c r="E1784" s="2" t="s">
        <v>4264</v>
      </c>
      <c r="F1784" s="2" t="s">
        <v>8</v>
      </c>
      <c r="G1784" s="2" t="n">
        <v>528</v>
      </c>
    </row>
    <row r="1785" customFormat="false" ht="15" hidden="false" customHeight="false" outlineLevel="0" collapsed="false">
      <c r="A1785" s="2" t="s">
        <v>1316</v>
      </c>
      <c r="B1785" s="2" t="s">
        <v>56</v>
      </c>
      <c r="C1785" s="2" t="s">
        <v>56</v>
      </c>
      <c r="D1785" s="2" t="s">
        <v>5803</v>
      </c>
      <c r="E1785" s="2" t="s">
        <v>4261</v>
      </c>
      <c r="F1785" s="2" t="s">
        <v>8</v>
      </c>
      <c r="G1785" s="2" t="n">
        <v>528</v>
      </c>
    </row>
    <row r="1786" customFormat="false" ht="15" hidden="false" customHeight="false" outlineLevel="0" collapsed="false">
      <c r="A1786" s="2" t="s">
        <v>1316</v>
      </c>
      <c r="B1786" s="2" t="s">
        <v>56</v>
      </c>
      <c r="C1786" s="2" t="s">
        <v>56</v>
      </c>
      <c r="D1786" s="2" t="s">
        <v>5804</v>
      </c>
      <c r="E1786" s="2" t="s">
        <v>4261</v>
      </c>
      <c r="F1786" s="2" t="s">
        <v>8</v>
      </c>
      <c r="G1786" s="2" t="n">
        <v>528</v>
      </c>
    </row>
    <row r="1787" customFormat="false" ht="15" hidden="false" customHeight="false" outlineLevel="0" collapsed="false">
      <c r="A1787" s="2" t="s">
        <v>1318</v>
      </c>
      <c r="B1787" s="2" t="s">
        <v>516</v>
      </c>
      <c r="C1787" s="2" t="s">
        <v>34</v>
      </c>
      <c r="D1787" s="2" t="s">
        <v>5805</v>
      </c>
      <c r="E1787" s="2" t="s">
        <v>4261</v>
      </c>
      <c r="F1787" s="2" t="s">
        <v>8</v>
      </c>
      <c r="G1787" s="2" t="n">
        <v>529</v>
      </c>
    </row>
    <row r="1788" customFormat="false" ht="15" hidden="false" customHeight="false" outlineLevel="0" collapsed="false">
      <c r="A1788" s="2" t="s">
        <v>1318</v>
      </c>
      <c r="B1788" s="2" t="s">
        <v>516</v>
      </c>
      <c r="C1788" s="2" t="s">
        <v>34</v>
      </c>
      <c r="D1788" s="2" t="s">
        <v>4345</v>
      </c>
      <c r="E1788" s="2" t="s">
        <v>4261</v>
      </c>
      <c r="F1788" s="2" t="s">
        <v>8</v>
      </c>
      <c r="G1788" s="2" t="n">
        <v>529</v>
      </c>
    </row>
    <row r="1789" customFormat="false" ht="15" hidden="false" customHeight="false" outlineLevel="0" collapsed="false">
      <c r="A1789" s="2" t="s">
        <v>1318</v>
      </c>
      <c r="B1789" s="2" t="s">
        <v>516</v>
      </c>
      <c r="C1789" s="2" t="s">
        <v>34</v>
      </c>
      <c r="D1789" s="2" t="s">
        <v>5806</v>
      </c>
      <c r="E1789" s="2" t="s">
        <v>4261</v>
      </c>
      <c r="F1789" s="2" t="s">
        <v>8</v>
      </c>
      <c r="G1789" s="2" t="n">
        <v>529</v>
      </c>
    </row>
    <row r="1790" customFormat="false" ht="15" hidden="false" customHeight="false" outlineLevel="0" collapsed="false">
      <c r="A1790" s="2" t="s">
        <v>1320</v>
      </c>
      <c r="B1790" s="2" t="s">
        <v>1321</v>
      </c>
      <c r="C1790" s="2" t="s">
        <v>70</v>
      </c>
      <c r="D1790" s="2" t="s">
        <v>1322</v>
      </c>
      <c r="E1790" s="2" t="s">
        <v>4261</v>
      </c>
      <c r="F1790" s="2" t="s">
        <v>10</v>
      </c>
      <c r="G1790" s="2" t="n">
        <v>530</v>
      </c>
    </row>
    <row r="1791" customFormat="false" ht="15" hidden="false" customHeight="false" outlineLevel="0" collapsed="false">
      <c r="A1791" s="2" t="s">
        <v>1323</v>
      </c>
      <c r="B1791" s="2" t="s">
        <v>1176</v>
      </c>
      <c r="C1791" s="2" t="s">
        <v>70</v>
      </c>
      <c r="D1791" s="2" t="s">
        <v>5807</v>
      </c>
      <c r="E1791" s="2" t="s">
        <v>4261</v>
      </c>
      <c r="F1791" s="2" t="s">
        <v>10</v>
      </c>
      <c r="G1791" s="2" t="n">
        <v>531</v>
      </c>
    </row>
    <row r="1792" customFormat="false" ht="15" hidden="false" customHeight="false" outlineLevel="0" collapsed="false">
      <c r="A1792" s="2" t="s">
        <v>1323</v>
      </c>
      <c r="B1792" s="2" t="s">
        <v>1176</v>
      </c>
      <c r="C1792" s="2" t="s">
        <v>70</v>
      </c>
      <c r="D1792" s="2" t="s">
        <v>5808</v>
      </c>
      <c r="E1792" s="2" t="s">
        <v>4261</v>
      </c>
      <c r="F1792" s="2" t="s">
        <v>10</v>
      </c>
      <c r="G1792" s="2" t="n">
        <v>531</v>
      </c>
    </row>
    <row r="1793" customFormat="false" ht="15" hidden="false" customHeight="false" outlineLevel="0" collapsed="false">
      <c r="A1793" s="2" t="s">
        <v>1323</v>
      </c>
      <c r="B1793" s="2" t="s">
        <v>1176</v>
      </c>
      <c r="C1793" s="2" t="s">
        <v>70</v>
      </c>
      <c r="D1793" s="2" t="s">
        <v>1176</v>
      </c>
      <c r="E1793" s="2" t="s">
        <v>4271</v>
      </c>
      <c r="F1793" s="2" t="s">
        <v>10</v>
      </c>
      <c r="G1793" s="2" t="n">
        <v>531</v>
      </c>
    </row>
    <row r="1794" customFormat="false" ht="15" hidden="false" customHeight="false" outlineLevel="0" collapsed="false">
      <c r="A1794" s="2" t="s">
        <v>1323</v>
      </c>
      <c r="B1794" s="2" t="s">
        <v>1176</v>
      </c>
      <c r="C1794" s="2" t="s">
        <v>70</v>
      </c>
      <c r="D1794" s="2" t="s">
        <v>5809</v>
      </c>
      <c r="E1794" s="2" t="s">
        <v>4261</v>
      </c>
      <c r="F1794" s="2" t="s">
        <v>10</v>
      </c>
      <c r="G1794" s="2" t="n">
        <v>531</v>
      </c>
    </row>
    <row r="1795" customFormat="false" ht="15" hidden="false" customHeight="false" outlineLevel="0" collapsed="false">
      <c r="A1795" s="2" t="s">
        <v>1326</v>
      </c>
      <c r="B1795" s="2" t="s">
        <v>1327</v>
      </c>
      <c r="C1795" s="2" t="s">
        <v>70</v>
      </c>
      <c r="D1795" s="2" t="s">
        <v>1328</v>
      </c>
      <c r="E1795" s="2" t="s">
        <v>4271</v>
      </c>
      <c r="F1795" s="2" t="s">
        <v>9</v>
      </c>
      <c r="G1795" s="2" t="n">
        <v>533</v>
      </c>
    </row>
    <row r="1796" customFormat="false" ht="15" hidden="false" customHeight="false" outlineLevel="0" collapsed="false">
      <c r="A1796" s="2" t="s">
        <v>1329</v>
      </c>
      <c r="B1796" s="2" t="s">
        <v>931</v>
      </c>
      <c r="C1796" s="2" t="s">
        <v>70</v>
      </c>
      <c r="D1796" s="2" t="s">
        <v>931</v>
      </c>
      <c r="E1796" s="2" t="s">
        <v>4271</v>
      </c>
      <c r="F1796" s="2" t="s">
        <v>9</v>
      </c>
      <c r="G1796" s="2" t="n">
        <v>534</v>
      </c>
    </row>
    <row r="1797" customFormat="false" ht="15" hidden="false" customHeight="false" outlineLevel="0" collapsed="false">
      <c r="A1797" s="2" t="s">
        <v>1329</v>
      </c>
      <c r="B1797" s="2" t="s">
        <v>931</v>
      </c>
      <c r="C1797" s="2" t="s">
        <v>70</v>
      </c>
      <c r="D1797" s="2" t="s">
        <v>5810</v>
      </c>
      <c r="E1797" s="2" t="s">
        <v>4271</v>
      </c>
      <c r="F1797" s="2" t="s">
        <v>9</v>
      </c>
      <c r="G1797" s="2" t="n">
        <v>534</v>
      </c>
    </row>
    <row r="1798" customFormat="false" ht="15" hidden="false" customHeight="false" outlineLevel="0" collapsed="false">
      <c r="A1798" s="2" t="s">
        <v>1331</v>
      </c>
      <c r="B1798" s="2" t="s">
        <v>1198</v>
      </c>
      <c r="C1798" s="2" t="s">
        <v>70</v>
      </c>
      <c r="D1798" s="2" t="s">
        <v>1332</v>
      </c>
      <c r="E1798" s="2" t="s">
        <v>4271</v>
      </c>
      <c r="F1798" s="2" t="s">
        <v>10</v>
      </c>
      <c r="G1798" s="2" t="n">
        <v>535</v>
      </c>
    </row>
    <row r="1799" customFormat="false" ht="15" hidden="false" customHeight="false" outlineLevel="0" collapsed="false">
      <c r="A1799" s="2" t="s">
        <v>1333</v>
      </c>
      <c r="B1799" s="2" t="s">
        <v>403</v>
      </c>
      <c r="C1799" s="2" t="s">
        <v>70</v>
      </c>
      <c r="D1799" s="2" t="s">
        <v>1334</v>
      </c>
      <c r="E1799" s="2" t="s">
        <v>4261</v>
      </c>
      <c r="F1799" s="2" t="s">
        <v>8</v>
      </c>
      <c r="G1799" s="2" t="n">
        <v>536</v>
      </c>
    </row>
    <row r="1800" customFormat="false" ht="15" hidden="false" customHeight="false" outlineLevel="0" collapsed="false">
      <c r="A1800" s="2" t="s">
        <v>1335</v>
      </c>
      <c r="B1800" s="2" t="s">
        <v>681</v>
      </c>
      <c r="C1800" s="2" t="s">
        <v>27</v>
      </c>
      <c r="D1800" s="2" t="s">
        <v>1336</v>
      </c>
      <c r="E1800" s="2" t="s">
        <v>4271</v>
      </c>
      <c r="F1800" s="2" t="s">
        <v>8</v>
      </c>
      <c r="G1800" s="2" t="n">
        <v>537</v>
      </c>
    </row>
    <row r="1801" customFormat="false" ht="15" hidden="false" customHeight="false" outlineLevel="0" collapsed="false">
      <c r="A1801" s="2" t="s">
        <v>1337</v>
      </c>
      <c r="B1801" s="2" t="s">
        <v>767</v>
      </c>
      <c r="C1801" s="2" t="s">
        <v>70</v>
      </c>
      <c r="D1801" s="2" t="s">
        <v>5174</v>
      </c>
      <c r="E1801" s="2" t="s">
        <v>4261</v>
      </c>
      <c r="F1801" s="2" t="s">
        <v>10</v>
      </c>
      <c r="G1801" s="2" t="n">
        <v>538</v>
      </c>
    </row>
    <row r="1802" customFormat="false" ht="15" hidden="false" customHeight="false" outlineLevel="0" collapsed="false">
      <c r="A1802" s="2" t="s">
        <v>1337</v>
      </c>
      <c r="B1802" s="2" t="s">
        <v>767</v>
      </c>
      <c r="C1802" s="2" t="s">
        <v>70</v>
      </c>
      <c r="D1802" s="2" t="s">
        <v>5811</v>
      </c>
      <c r="E1802" s="2" t="s">
        <v>4271</v>
      </c>
      <c r="F1802" s="2" t="s">
        <v>10</v>
      </c>
      <c r="G1802" s="2" t="n">
        <v>538</v>
      </c>
    </row>
    <row r="1803" customFormat="false" ht="15" hidden="false" customHeight="false" outlineLevel="0" collapsed="false">
      <c r="A1803" s="2" t="s">
        <v>1339</v>
      </c>
      <c r="B1803" s="2" t="s">
        <v>500</v>
      </c>
      <c r="C1803" s="2" t="s">
        <v>70</v>
      </c>
      <c r="D1803" s="2" t="s">
        <v>1340</v>
      </c>
      <c r="E1803" s="2" t="s">
        <v>4261</v>
      </c>
      <c r="F1803" s="2" t="s">
        <v>10</v>
      </c>
      <c r="G1803" s="2" t="n">
        <v>539</v>
      </c>
    </row>
    <row r="1804" customFormat="false" ht="15" hidden="false" customHeight="false" outlineLevel="0" collapsed="false">
      <c r="A1804" s="2" t="s">
        <v>1341</v>
      </c>
      <c r="B1804" s="2" t="s">
        <v>767</v>
      </c>
      <c r="C1804" s="2" t="s">
        <v>70</v>
      </c>
      <c r="D1804" s="2" t="s">
        <v>1342</v>
      </c>
      <c r="E1804" s="2" t="s">
        <v>4271</v>
      </c>
      <c r="F1804" s="2" t="s">
        <v>10</v>
      </c>
      <c r="G1804" s="2" t="n">
        <v>540</v>
      </c>
    </row>
    <row r="1805" customFormat="false" ht="15" hidden="false" customHeight="false" outlineLevel="0" collapsed="false">
      <c r="A1805" s="2" t="s">
        <v>1349</v>
      </c>
      <c r="B1805" s="2" t="s">
        <v>1350</v>
      </c>
      <c r="C1805" s="2" t="s">
        <v>44</v>
      </c>
      <c r="D1805" s="2" t="s">
        <v>5812</v>
      </c>
      <c r="E1805" s="2" t="s">
        <v>4264</v>
      </c>
      <c r="F1805" s="2" t="s">
        <v>10</v>
      </c>
      <c r="G1805" s="2" t="n">
        <v>544</v>
      </c>
    </row>
    <row r="1806" customFormat="false" ht="15" hidden="false" customHeight="false" outlineLevel="0" collapsed="false">
      <c r="A1806" s="2" t="s">
        <v>1349</v>
      </c>
      <c r="B1806" s="2" t="s">
        <v>1350</v>
      </c>
      <c r="C1806" s="2" t="s">
        <v>44</v>
      </c>
      <c r="D1806" s="2" t="s">
        <v>5813</v>
      </c>
      <c r="E1806" s="2" t="s">
        <v>4264</v>
      </c>
      <c r="F1806" s="2" t="s">
        <v>10</v>
      </c>
      <c r="G1806" s="2" t="n">
        <v>544</v>
      </c>
    </row>
    <row r="1807" customFormat="false" ht="15" hidden="false" customHeight="false" outlineLevel="0" collapsed="false">
      <c r="A1807" s="2" t="s">
        <v>1349</v>
      </c>
      <c r="B1807" s="2" t="s">
        <v>1350</v>
      </c>
      <c r="C1807" s="2" t="s">
        <v>44</v>
      </c>
      <c r="D1807" s="2" t="s">
        <v>4676</v>
      </c>
      <c r="E1807" s="2" t="s">
        <v>4261</v>
      </c>
      <c r="F1807" s="2" t="s">
        <v>10</v>
      </c>
      <c r="G1807" s="2" t="n">
        <v>544</v>
      </c>
    </row>
    <row r="1808" customFormat="false" ht="15" hidden="false" customHeight="false" outlineLevel="0" collapsed="false">
      <c r="A1808" s="2" t="s">
        <v>1352</v>
      </c>
      <c r="B1808" s="2" t="s">
        <v>1353</v>
      </c>
      <c r="C1808" s="2" t="s">
        <v>70</v>
      </c>
      <c r="D1808" s="2" t="s">
        <v>1353</v>
      </c>
      <c r="E1808" s="2" t="s">
        <v>4271</v>
      </c>
      <c r="F1808" s="2" t="s">
        <v>10</v>
      </c>
      <c r="G1808" s="2" t="n">
        <v>545</v>
      </c>
    </row>
    <row r="1809" customFormat="false" ht="15" hidden="false" customHeight="false" outlineLevel="0" collapsed="false">
      <c r="A1809" s="2" t="s">
        <v>1352</v>
      </c>
      <c r="B1809" s="2" t="s">
        <v>1353</v>
      </c>
      <c r="C1809" s="2" t="s">
        <v>70</v>
      </c>
      <c r="D1809" s="2" t="s">
        <v>5814</v>
      </c>
      <c r="E1809" s="2" t="s">
        <v>4261</v>
      </c>
      <c r="F1809" s="2" t="s">
        <v>10</v>
      </c>
      <c r="G1809" s="2" t="n">
        <v>545</v>
      </c>
    </row>
    <row r="1810" customFormat="false" ht="15" hidden="false" customHeight="false" outlineLevel="0" collapsed="false">
      <c r="A1810" s="2" t="s">
        <v>1355</v>
      </c>
      <c r="B1810" s="2" t="s">
        <v>44</v>
      </c>
      <c r="C1810" s="2" t="s">
        <v>44</v>
      </c>
      <c r="D1810" s="2" t="s">
        <v>5815</v>
      </c>
      <c r="E1810" s="2" t="s">
        <v>4271</v>
      </c>
      <c r="F1810" s="2" t="s">
        <v>10</v>
      </c>
      <c r="G1810" s="2" t="n">
        <v>546</v>
      </c>
    </row>
    <row r="1811" customFormat="false" ht="15" hidden="false" customHeight="false" outlineLevel="0" collapsed="false">
      <c r="A1811" s="2" t="s">
        <v>1355</v>
      </c>
      <c r="B1811" s="2" t="s">
        <v>44</v>
      </c>
      <c r="C1811" s="2" t="s">
        <v>44</v>
      </c>
      <c r="D1811" s="2" t="s">
        <v>5816</v>
      </c>
      <c r="E1811" s="2" t="s">
        <v>4264</v>
      </c>
      <c r="F1811" s="2" t="s">
        <v>10</v>
      </c>
      <c r="G1811" s="2" t="n">
        <v>546</v>
      </c>
    </row>
    <row r="1812" customFormat="false" ht="15" hidden="false" customHeight="false" outlineLevel="0" collapsed="false">
      <c r="A1812" s="2" t="s">
        <v>1357</v>
      </c>
      <c r="B1812" s="2" t="s">
        <v>70</v>
      </c>
      <c r="C1812" s="2" t="s">
        <v>70</v>
      </c>
      <c r="D1812" s="2" t="s">
        <v>1358</v>
      </c>
      <c r="E1812" s="2" t="s">
        <v>4271</v>
      </c>
      <c r="F1812" s="2" t="s">
        <v>9</v>
      </c>
      <c r="G1812" s="2" t="n">
        <v>547</v>
      </c>
    </row>
    <row r="1813" customFormat="false" ht="15" hidden="false" customHeight="false" outlineLevel="0" collapsed="false">
      <c r="A1813" s="2" t="s">
        <v>1361</v>
      </c>
      <c r="B1813" s="2" t="s">
        <v>1362</v>
      </c>
      <c r="C1813" s="2" t="s">
        <v>50</v>
      </c>
      <c r="D1813" s="2" t="s">
        <v>5817</v>
      </c>
      <c r="E1813" s="2" t="s">
        <v>4261</v>
      </c>
      <c r="F1813" s="2" t="s">
        <v>9</v>
      </c>
      <c r="G1813" s="2" t="n">
        <v>549</v>
      </c>
    </row>
    <row r="1814" customFormat="false" ht="15" hidden="false" customHeight="false" outlineLevel="0" collapsed="false">
      <c r="A1814" s="2" t="s">
        <v>1361</v>
      </c>
      <c r="B1814" s="2" t="s">
        <v>1362</v>
      </c>
      <c r="C1814" s="2" t="s">
        <v>50</v>
      </c>
      <c r="D1814" s="2" t="s">
        <v>5818</v>
      </c>
      <c r="E1814" s="2" t="s">
        <v>4261</v>
      </c>
      <c r="F1814" s="2" t="s">
        <v>9</v>
      </c>
      <c r="G1814" s="2" t="n">
        <v>549</v>
      </c>
    </row>
    <row r="1815" customFormat="false" ht="15" hidden="false" customHeight="false" outlineLevel="0" collapsed="false">
      <c r="A1815" s="2" t="s">
        <v>1361</v>
      </c>
      <c r="B1815" s="2" t="s">
        <v>1362</v>
      </c>
      <c r="C1815" s="2" t="s">
        <v>50</v>
      </c>
      <c r="D1815" s="2" t="s">
        <v>5819</v>
      </c>
      <c r="E1815" s="2" t="s">
        <v>4261</v>
      </c>
      <c r="F1815" s="2" t="s">
        <v>9</v>
      </c>
      <c r="G1815" s="2" t="n">
        <v>549</v>
      </c>
    </row>
    <row r="1816" customFormat="false" ht="15" hidden="false" customHeight="false" outlineLevel="0" collapsed="false">
      <c r="A1816" s="2" t="s">
        <v>1361</v>
      </c>
      <c r="B1816" s="2" t="s">
        <v>1362</v>
      </c>
      <c r="C1816" s="2" t="s">
        <v>50</v>
      </c>
      <c r="D1816" s="2" t="s">
        <v>4424</v>
      </c>
      <c r="E1816" s="2" t="s">
        <v>4261</v>
      </c>
      <c r="F1816" s="2" t="s">
        <v>9</v>
      </c>
      <c r="G1816" s="2" t="n">
        <v>549</v>
      </c>
    </row>
    <row r="1817" customFormat="false" ht="15" hidden="false" customHeight="false" outlineLevel="0" collapsed="false">
      <c r="A1817" s="2" t="s">
        <v>1361</v>
      </c>
      <c r="B1817" s="2" t="s">
        <v>1362</v>
      </c>
      <c r="C1817" s="2" t="s">
        <v>50</v>
      </c>
      <c r="D1817" s="2" t="s">
        <v>5820</v>
      </c>
      <c r="E1817" s="2" t="s">
        <v>4261</v>
      </c>
      <c r="F1817" s="2" t="s">
        <v>9</v>
      </c>
      <c r="G1817" s="2" t="n">
        <v>549</v>
      </c>
    </row>
    <row r="1818" customFormat="false" ht="15" hidden="false" customHeight="false" outlineLevel="0" collapsed="false">
      <c r="A1818" s="2" t="s">
        <v>1367</v>
      </c>
      <c r="B1818" s="2" t="s">
        <v>1368</v>
      </c>
      <c r="C1818" s="2" t="s">
        <v>70</v>
      </c>
      <c r="D1818" s="2" t="s">
        <v>5821</v>
      </c>
      <c r="E1818" s="2" t="s">
        <v>4261</v>
      </c>
      <c r="F1818" s="2" t="s">
        <v>8</v>
      </c>
      <c r="G1818" s="2" t="n">
        <v>552</v>
      </c>
    </row>
    <row r="1819" customFormat="false" ht="15" hidden="false" customHeight="false" outlineLevel="0" collapsed="false">
      <c r="A1819" s="2" t="s">
        <v>1367</v>
      </c>
      <c r="B1819" s="2" t="s">
        <v>1368</v>
      </c>
      <c r="C1819" s="2" t="s">
        <v>70</v>
      </c>
      <c r="D1819" s="2" t="s">
        <v>4373</v>
      </c>
      <c r="E1819" s="2" t="s">
        <v>4261</v>
      </c>
      <c r="F1819" s="2" t="s">
        <v>8</v>
      </c>
      <c r="G1819" s="2" t="n">
        <v>552</v>
      </c>
    </row>
    <row r="1820" customFormat="false" ht="15" hidden="false" customHeight="false" outlineLevel="0" collapsed="false">
      <c r="A1820" s="2" t="s">
        <v>1367</v>
      </c>
      <c r="B1820" s="2" t="s">
        <v>1368</v>
      </c>
      <c r="C1820" s="2" t="s">
        <v>70</v>
      </c>
      <c r="D1820" s="2" t="s">
        <v>5822</v>
      </c>
      <c r="E1820" s="2" t="s">
        <v>4264</v>
      </c>
      <c r="F1820" s="2" t="s">
        <v>8</v>
      </c>
      <c r="G1820" s="2" t="n">
        <v>552</v>
      </c>
    </row>
    <row r="1821" customFormat="false" ht="15" hidden="false" customHeight="false" outlineLevel="0" collapsed="false">
      <c r="A1821" s="2" t="s">
        <v>1376</v>
      </c>
      <c r="B1821" s="2" t="s">
        <v>138</v>
      </c>
      <c r="C1821" s="2" t="s">
        <v>27</v>
      </c>
      <c r="D1821" s="2" t="s">
        <v>1377</v>
      </c>
      <c r="E1821" s="2" t="s">
        <v>4264</v>
      </c>
      <c r="F1821" s="2" t="s">
        <v>8</v>
      </c>
      <c r="G1821" s="2" t="n">
        <v>557</v>
      </c>
    </row>
    <row r="1822" customFormat="false" ht="15" hidden="false" customHeight="false" outlineLevel="0" collapsed="false">
      <c r="A1822" s="2" t="s">
        <v>1378</v>
      </c>
      <c r="B1822" s="2" t="s">
        <v>38</v>
      </c>
      <c r="C1822" s="2" t="s">
        <v>39</v>
      </c>
      <c r="D1822" s="2" t="s">
        <v>5823</v>
      </c>
      <c r="E1822" s="2" t="s">
        <v>4261</v>
      </c>
      <c r="F1822" s="2" t="s">
        <v>8</v>
      </c>
      <c r="G1822" s="2" t="n">
        <v>558</v>
      </c>
    </row>
    <row r="1823" customFormat="false" ht="15" hidden="false" customHeight="false" outlineLevel="0" collapsed="false">
      <c r="A1823" s="2" t="s">
        <v>1378</v>
      </c>
      <c r="B1823" s="2" t="s">
        <v>38</v>
      </c>
      <c r="C1823" s="2" t="s">
        <v>39</v>
      </c>
      <c r="D1823" s="2" t="s">
        <v>5824</v>
      </c>
      <c r="E1823" s="2" t="s">
        <v>4261</v>
      </c>
      <c r="F1823" s="2" t="s">
        <v>8</v>
      </c>
      <c r="G1823" s="2" t="n">
        <v>558</v>
      </c>
    </row>
    <row r="1824" customFormat="false" ht="15" hidden="false" customHeight="false" outlineLevel="0" collapsed="false">
      <c r="A1824" s="2" t="s">
        <v>1378</v>
      </c>
      <c r="B1824" s="2" t="s">
        <v>38</v>
      </c>
      <c r="C1824" s="2" t="s">
        <v>39</v>
      </c>
      <c r="D1824" s="2" t="s">
        <v>5825</v>
      </c>
      <c r="E1824" s="2" t="s">
        <v>4261</v>
      </c>
      <c r="F1824" s="2" t="s">
        <v>8</v>
      </c>
      <c r="G1824" s="2" t="n">
        <v>558</v>
      </c>
    </row>
    <row r="1825" customFormat="false" ht="15" hidden="false" customHeight="false" outlineLevel="0" collapsed="false">
      <c r="A1825" s="2" t="s">
        <v>1380</v>
      </c>
      <c r="B1825" s="2" t="s">
        <v>70</v>
      </c>
      <c r="C1825" s="2" t="s">
        <v>70</v>
      </c>
      <c r="D1825" s="2" t="s">
        <v>5826</v>
      </c>
      <c r="E1825" s="2" t="s">
        <v>4264</v>
      </c>
      <c r="F1825" s="2" t="s">
        <v>10</v>
      </c>
      <c r="G1825" s="2" t="n">
        <v>559</v>
      </c>
    </row>
    <row r="1826" customFormat="false" ht="15" hidden="false" customHeight="false" outlineLevel="0" collapsed="false">
      <c r="A1826" s="2" t="s">
        <v>1380</v>
      </c>
      <c r="B1826" s="2" t="s">
        <v>70</v>
      </c>
      <c r="C1826" s="2" t="s">
        <v>70</v>
      </c>
      <c r="D1826" s="2" t="s">
        <v>5827</v>
      </c>
      <c r="E1826" s="2" t="s">
        <v>4271</v>
      </c>
      <c r="F1826" s="2" t="s">
        <v>10</v>
      </c>
      <c r="G1826" s="2" t="n">
        <v>559</v>
      </c>
    </row>
    <row r="1827" customFormat="false" ht="15" hidden="false" customHeight="false" outlineLevel="0" collapsed="false">
      <c r="A1827" s="2" t="s">
        <v>1384</v>
      </c>
      <c r="B1827" s="2" t="s">
        <v>976</v>
      </c>
      <c r="C1827" s="2" t="s">
        <v>976</v>
      </c>
      <c r="D1827" s="2" t="s">
        <v>5828</v>
      </c>
      <c r="E1827" s="2" t="s">
        <v>4261</v>
      </c>
      <c r="F1827" s="2" t="s">
        <v>10</v>
      </c>
      <c r="G1827" s="2" t="n">
        <v>561</v>
      </c>
    </row>
    <row r="1828" customFormat="false" ht="15" hidden="false" customHeight="false" outlineLevel="0" collapsed="false">
      <c r="A1828" s="2" t="s">
        <v>1384</v>
      </c>
      <c r="B1828" s="2" t="s">
        <v>976</v>
      </c>
      <c r="C1828" s="2" t="s">
        <v>976</v>
      </c>
      <c r="D1828" s="2" t="s">
        <v>5829</v>
      </c>
      <c r="E1828" s="2" t="s">
        <v>4264</v>
      </c>
      <c r="F1828" s="2" t="s">
        <v>10</v>
      </c>
      <c r="G1828" s="2" t="n">
        <v>561</v>
      </c>
    </row>
    <row r="1829" customFormat="false" ht="15" hidden="false" customHeight="false" outlineLevel="0" collapsed="false">
      <c r="A1829" s="2" t="s">
        <v>1384</v>
      </c>
      <c r="B1829" s="2" t="s">
        <v>976</v>
      </c>
      <c r="C1829" s="2" t="s">
        <v>976</v>
      </c>
      <c r="D1829" s="2" t="s">
        <v>4863</v>
      </c>
      <c r="E1829" s="2" t="s">
        <v>4271</v>
      </c>
      <c r="F1829" s="2" t="s">
        <v>10</v>
      </c>
      <c r="G1829" s="2" t="n">
        <v>561</v>
      </c>
    </row>
    <row r="1830" customFormat="false" ht="15" hidden="false" customHeight="false" outlineLevel="0" collapsed="false">
      <c r="A1830" s="2" t="s">
        <v>1384</v>
      </c>
      <c r="B1830" s="2" t="s">
        <v>976</v>
      </c>
      <c r="C1830" s="2" t="s">
        <v>976</v>
      </c>
      <c r="D1830" s="2" t="s">
        <v>5830</v>
      </c>
      <c r="E1830" s="2" t="s">
        <v>4264</v>
      </c>
      <c r="F1830" s="2" t="s">
        <v>10</v>
      </c>
      <c r="G1830" s="2" t="n">
        <v>561</v>
      </c>
    </row>
    <row r="1831" customFormat="false" ht="15" hidden="false" customHeight="false" outlineLevel="0" collapsed="false">
      <c r="A1831" s="2" t="s">
        <v>1384</v>
      </c>
      <c r="B1831" s="2" t="s">
        <v>976</v>
      </c>
      <c r="C1831" s="2" t="s">
        <v>976</v>
      </c>
      <c r="D1831" s="2" t="s">
        <v>5831</v>
      </c>
      <c r="E1831" s="2" t="s">
        <v>4264</v>
      </c>
      <c r="F1831" s="2" t="s">
        <v>10</v>
      </c>
      <c r="G1831" s="2" t="n">
        <v>561</v>
      </c>
    </row>
    <row r="1832" customFormat="false" ht="15" hidden="false" customHeight="false" outlineLevel="0" collapsed="false">
      <c r="A1832" s="2" t="s">
        <v>1393</v>
      </c>
      <c r="B1832" s="2" t="s">
        <v>1394</v>
      </c>
      <c r="C1832" s="2" t="s">
        <v>50</v>
      </c>
      <c r="D1832" s="2" t="s">
        <v>5832</v>
      </c>
      <c r="E1832" s="2" t="s">
        <v>4261</v>
      </c>
      <c r="F1832" s="2" t="s">
        <v>9</v>
      </c>
      <c r="G1832" s="2" t="n">
        <v>566</v>
      </c>
    </row>
    <row r="1833" customFormat="false" ht="15" hidden="false" customHeight="false" outlineLevel="0" collapsed="false">
      <c r="A1833" s="2" t="s">
        <v>1393</v>
      </c>
      <c r="B1833" s="2" t="s">
        <v>1394</v>
      </c>
      <c r="C1833" s="2" t="s">
        <v>50</v>
      </c>
      <c r="D1833" s="2" t="s">
        <v>5833</v>
      </c>
      <c r="E1833" s="2" t="s">
        <v>4261</v>
      </c>
      <c r="F1833" s="2" t="s">
        <v>9</v>
      </c>
      <c r="G1833" s="2" t="n">
        <v>566</v>
      </c>
    </row>
    <row r="1834" customFormat="false" ht="15" hidden="false" customHeight="false" outlineLevel="0" collapsed="false">
      <c r="A1834" s="2" t="s">
        <v>1393</v>
      </c>
      <c r="B1834" s="2" t="s">
        <v>1394</v>
      </c>
      <c r="C1834" s="2" t="s">
        <v>50</v>
      </c>
      <c r="D1834" s="2" t="s">
        <v>5834</v>
      </c>
      <c r="E1834" s="2" t="s">
        <v>4261</v>
      </c>
      <c r="F1834" s="2" t="s">
        <v>9</v>
      </c>
      <c r="G1834" s="2" t="n">
        <v>566</v>
      </c>
    </row>
    <row r="1835" customFormat="false" ht="15" hidden="false" customHeight="false" outlineLevel="0" collapsed="false">
      <c r="A1835" s="2" t="s">
        <v>1396</v>
      </c>
      <c r="B1835" s="2" t="s">
        <v>1397</v>
      </c>
      <c r="C1835" s="2" t="s">
        <v>44</v>
      </c>
      <c r="D1835" s="2" t="s">
        <v>5835</v>
      </c>
      <c r="E1835" s="2" t="s">
        <v>4261</v>
      </c>
      <c r="F1835" s="2" t="s">
        <v>10</v>
      </c>
      <c r="G1835" s="2" t="n">
        <v>567</v>
      </c>
    </row>
    <row r="1836" customFormat="false" ht="15" hidden="false" customHeight="false" outlineLevel="0" collapsed="false">
      <c r="A1836" s="2" t="s">
        <v>1396</v>
      </c>
      <c r="B1836" s="2" t="s">
        <v>1397</v>
      </c>
      <c r="C1836" s="2" t="s">
        <v>44</v>
      </c>
      <c r="D1836" s="2" t="s">
        <v>5836</v>
      </c>
      <c r="E1836" s="2" t="s">
        <v>4261</v>
      </c>
      <c r="F1836" s="2" t="s">
        <v>10</v>
      </c>
      <c r="G1836" s="2" t="n">
        <v>567</v>
      </c>
    </row>
    <row r="1837" customFormat="false" ht="15" hidden="false" customHeight="false" outlineLevel="0" collapsed="false">
      <c r="A1837" s="2" t="s">
        <v>1396</v>
      </c>
      <c r="B1837" s="2" t="s">
        <v>1397</v>
      </c>
      <c r="C1837" s="2" t="s">
        <v>44</v>
      </c>
      <c r="D1837" s="2" t="s">
        <v>5837</v>
      </c>
      <c r="E1837" s="2" t="s">
        <v>4271</v>
      </c>
      <c r="F1837" s="2" t="s">
        <v>10</v>
      </c>
      <c r="G1837" s="2" t="n">
        <v>567</v>
      </c>
    </row>
    <row r="1838" customFormat="false" ht="15" hidden="false" customHeight="false" outlineLevel="0" collapsed="false">
      <c r="A1838" s="2" t="s">
        <v>1396</v>
      </c>
      <c r="B1838" s="2" t="s">
        <v>1397</v>
      </c>
      <c r="C1838" s="2" t="s">
        <v>44</v>
      </c>
      <c r="D1838" s="2" t="s">
        <v>5838</v>
      </c>
      <c r="E1838" s="2" t="s">
        <v>4264</v>
      </c>
      <c r="F1838" s="2" t="s">
        <v>10</v>
      </c>
      <c r="G1838" s="2" t="n">
        <v>567</v>
      </c>
    </row>
    <row r="1839" customFormat="false" ht="15" hidden="false" customHeight="false" outlineLevel="0" collapsed="false">
      <c r="A1839" s="2" t="s">
        <v>1396</v>
      </c>
      <c r="B1839" s="2" t="s">
        <v>1397</v>
      </c>
      <c r="C1839" s="2" t="s">
        <v>44</v>
      </c>
      <c r="D1839" s="2" t="s">
        <v>5839</v>
      </c>
      <c r="E1839" s="2" t="s">
        <v>4264</v>
      </c>
      <c r="F1839" s="2" t="s">
        <v>10</v>
      </c>
      <c r="G1839" s="2" t="n">
        <v>567</v>
      </c>
    </row>
    <row r="1840" customFormat="false" ht="15" hidden="false" customHeight="false" outlineLevel="0" collapsed="false">
      <c r="A1840" s="2" t="s">
        <v>1396</v>
      </c>
      <c r="B1840" s="2" t="s">
        <v>1397</v>
      </c>
      <c r="C1840" s="2" t="s">
        <v>44</v>
      </c>
      <c r="D1840" s="2" t="s">
        <v>5840</v>
      </c>
      <c r="E1840" s="2" t="s">
        <v>4264</v>
      </c>
      <c r="F1840" s="2" t="s">
        <v>10</v>
      </c>
      <c r="G1840" s="2" t="n">
        <v>567</v>
      </c>
    </row>
    <row r="1841" customFormat="false" ht="15" hidden="false" customHeight="false" outlineLevel="0" collapsed="false">
      <c r="A1841" s="2" t="s">
        <v>1396</v>
      </c>
      <c r="B1841" s="2" t="s">
        <v>1397</v>
      </c>
      <c r="C1841" s="2" t="s">
        <v>44</v>
      </c>
      <c r="D1841" s="2" t="s">
        <v>5841</v>
      </c>
      <c r="E1841" s="2" t="s">
        <v>4264</v>
      </c>
      <c r="F1841" s="2" t="s">
        <v>10</v>
      </c>
      <c r="G1841" s="2" t="n">
        <v>567</v>
      </c>
    </row>
    <row r="1842" customFormat="false" ht="15" hidden="false" customHeight="false" outlineLevel="0" collapsed="false">
      <c r="A1842" s="2" t="s">
        <v>1396</v>
      </c>
      <c r="B1842" s="2" t="s">
        <v>1397</v>
      </c>
      <c r="C1842" s="2" t="s">
        <v>44</v>
      </c>
      <c r="D1842" s="2" t="s">
        <v>5842</v>
      </c>
      <c r="E1842" s="2" t="s">
        <v>4271</v>
      </c>
      <c r="F1842" s="2" t="s">
        <v>10</v>
      </c>
      <c r="G1842" s="2" t="n">
        <v>567</v>
      </c>
    </row>
    <row r="1843" customFormat="false" ht="15" hidden="false" customHeight="false" outlineLevel="0" collapsed="false">
      <c r="A1843" s="2" t="s">
        <v>1396</v>
      </c>
      <c r="B1843" s="2" t="s">
        <v>1397</v>
      </c>
      <c r="C1843" s="2" t="s">
        <v>44</v>
      </c>
      <c r="D1843" s="2" t="s">
        <v>5843</v>
      </c>
      <c r="E1843" s="2" t="s">
        <v>4261</v>
      </c>
      <c r="F1843" s="2" t="s">
        <v>10</v>
      </c>
      <c r="G1843" s="2" t="n">
        <v>567</v>
      </c>
    </row>
    <row r="1844" customFormat="false" ht="15" hidden="false" customHeight="false" outlineLevel="0" collapsed="false">
      <c r="A1844" s="2" t="s">
        <v>1396</v>
      </c>
      <c r="B1844" s="2" t="s">
        <v>1397</v>
      </c>
      <c r="C1844" s="2" t="s">
        <v>44</v>
      </c>
      <c r="D1844" s="2" t="s">
        <v>5844</v>
      </c>
      <c r="E1844" s="2" t="s">
        <v>4264</v>
      </c>
      <c r="F1844" s="2" t="s">
        <v>10</v>
      </c>
      <c r="G1844" s="2" t="n">
        <v>567</v>
      </c>
    </row>
    <row r="1845" customFormat="false" ht="15" hidden="false" customHeight="false" outlineLevel="0" collapsed="false">
      <c r="A1845" s="2" t="s">
        <v>1396</v>
      </c>
      <c r="B1845" s="2" t="s">
        <v>1397</v>
      </c>
      <c r="C1845" s="2" t="s">
        <v>44</v>
      </c>
      <c r="D1845" s="2" t="s">
        <v>1233</v>
      </c>
      <c r="E1845" s="2" t="s">
        <v>4264</v>
      </c>
      <c r="F1845" s="2" t="s">
        <v>10</v>
      </c>
      <c r="G1845" s="2" t="n">
        <v>567</v>
      </c>
    </row>
    <row r="1846" customFormat="false" ht="15" hidden="false" customHeight="false" outlineLevel="0" collapsed="false">
      <c r="A1846" s="2" t="s">
        <v>1396</v>
      </c>
      <c r="B1846" s="2" t="s">
        <v>1397</v>
      </c>
      <c r="C1846" s="2" t="s">
        <v>44</v>
      </c>
      <c r="D1846" s="2" t="s">
        <v>5845</v>
      </c>
      <c r="E1846" s="2" t="s">
        <v>4261</v>
      </c>
      <c r="F1846" s="2" t="s">
        <v>10</v>
      </c>
      <c r="G1846" s="2" t="n">
        <v>567</v>
      </c>
    </row>
    <row r="1847" customFormat="false" ht="15" hidden="false" customHeight="false" outlineLevel="0" collapsed="false">
      <c r="A1847" s="2" t="s">
        <v>1396</v>
      </c>
      <c r="B1847" s="2" t="s">
        <v>1397</v>
      </c>
      <c r="C1847" s="2" t="s">
        <v>44</v>
      </c>
      <c r="D1847" s="2" t="s">
        <v>5846</v>
      </c>
      <c r="E1847" s="2" t="s">
        <v>4264</v>
      </c>
      <c r="F1847" s="2" t="s">
        <v>10</v>
      </c>
      <c r="G1847" s="2" t="n">
        <v>567</v>
      </c>
    </row>
    <row r="1848" customFormat="false" ht="15" hidden="false" customHeight="false" outlineLevel="0" collapsed="false">
      <c r="A1848" s="2" t="s">
        <v>1396</v>
      </c>
      <c r="B1848" s="2" t="s">
        <v>1397</v>
      </c>
      <c r="C1848" s="2" t="s">
        <v>44</v>
      </c>
      <c r="D1848" s="2" t="s">
        <v>5847</v>
      </c>
      <c r="E1848" s="2" t="s">
        <v>4264</v>
      </c>
      <c r="F1848" s="2" t="s">
        <v>10</v>
      </c>
      <c r="G1848" s="2" t="n">
        <v>567</v>
      </c>
    </row>
    <row r="1849" customFormat="false" ht="15" hidden="false" customHeight="false" outlineLevel="0" collapsed="false">
      <c r="A1849" s="2" t="s">
        <v>1396</v>
      </c>
      <c r="B1849" s="2" t="s">
        <v>1397</v>
      </c>
      <c r="C1849" s="2" t="s">
        <v>44</v>
      </c>
      <c r="D1849" s="2" t="s">
        <v>5848</v>
      </c>
      <c r="E1849" s="2" t="s">
        <v>4264</v>
      </c>
      <c r="F1849" s="2" t="s">
        <v>10</v>
      </c>
      <c r="G1849" s="2" t="n">
        <v>567</v>
      </c>
    </row>
    <row r="1850" customFormat="false" ht="15" hidden="false" customHeight="false" outlineLevel="0" collapsed="false">
      <c r="A1850" s="2" t="s">
        <v>1396</v>
      </c>
      <c r="B1850" s="2" t="s">
        <v>1397</v>
      </c>
      <c r="C1850" s="2" t="s">
        <v>44</v>
      </c>
      <c r="D1850" s="2" t="s">
        <v>5849</v>
      </c>
      <c r="E1850" s="2" t="s">
        <v>4264</v>
      </c>
      <c r="F1850" s="2" t="s">
        <v>10</v>
      </c>
      <c r="G1850" s="2" t="n">
        <v>567</v>
      </c>
    </row>
    <row r="1851" customFormat="false" ht="15" hidden="false" customHeight="false" outlineLevel="0" collapsed="false">
      <c r="A1851" s="2" t="s">
        <v>1396</v>
      </c>
      <c r="B1851" s="2" t="s">
        <v>1397</v>
      </c>
      <c r="C1851" s="2" t="s">
        <v>44</v>
      </c>
      <c r="D1851" s="2" t="s">
        <v>5850</v>
      </c>
      <c r="E1851" s="2" t="s">
        <v>4261</v>
      </c>
      <c r="F1851" s="2" t="s">
        <v>10</v>
      </c>
      <c r="G1851" s="2" t="n">
        <v>567</v>
      </c>
    </row>
    <row r="1852" customFormat="false" ht="15" hidden="false" customHeight="false" outlineLevel="0" collapsed="false">
      <c r="A1852" s="2" t="s">
        <v>1396</v>
      </c>
      <c r="B1852" s="2" t="s">
        <v>1397</v>
      </c>
      <c r="C1852" s="2" t="s">
        <v>44</v>
      </c>
      <c r="D1852" s="2" t="s">
        <v>5851</v>
      </c>
      <c r="E1852" s="2" t="s">
        <v>4264</v>
      </c>
      <c r="F1852" s="2" t="s">
        <v>10</v>
      </c>
      <c r="G1852" s="2" t="n">
        <v>567</v>
      </c>
    </row>
    <row r="1853" customFormat="false" ht="15" hidden="false" customHeight="false" outlineLevel="0" collapsed="false">
      <c r="A1853" s="2" t="s">
        <v>1396</v>
      </c>
      <c r="B1853" s="2" t="s">
        <v>1397</v>
      </c>
      <c r="C1853" s="2" t="s">
        <v>44</v>
      </c>
      <c r="D1853" s="2" t="s">
        <v>5852</v>
      </c>
      <c r="E1853" s="2" t="s">
        <v>4264</v>
      </c>
      <c r="F1853" s="2" t="s">
        <v>10</v>
      </c>
      <c r="G1853" s="2" t="n">
        <v>567</v>
      </c>
    </row>
    <row r="1854" customFormat="false" ht="15" hidden="false" customHeight="false" outlineLevel="0" collapsed="false">
      <c r="A1854" s="2" t="s">
        <v>1396</v>
      </c>
      <c r="B1854" s="2" t="s">
        <v>1397</v>
      </c>
      <c r="C1854" s="2" t="s">
        <v>44</v>
      </c>
      <c r="D1854" s="2" t="s">
        <v>5853</v>
      </c>
      <c r="E1854" s="2" t="s">
        <v>4261</v>
      </c>
      <c r="F1854" s="2" t="s">
        <v>10</v>
      </c>
      <c r="G1854" s="2" t="n">
        <v>567</v>
      </c>
    </row>
    <row r="1855" customFormat="false" ht="15" hidden="false" customHeight="false" outlineLevel="0" collapsed="false">
      <c r="A1855" s="2" t="s">
        <v>1399</v>
      </c>
      <c r="B1855" s="2" t="s">
        <v>44</v>
      </c>
      <c r="C1855" s="2" t="s">
        <v>44</v>
      </c>
      <c r="D1855" s="2" t="s">
        <v>5854</v>
      </c>
      <c r="E1855" s="2" t="s">
        <v>4271</v>
      </c>
      <c r="F1855" s="2" t="s">
        <v>10</v>
      </c>
      <c r="G1855" s="2" t="n">
        <v>568</v>
      </c>
    </row>
    <row r="1856" customFormat="false" ht="15" hidden="false" customHeight="false" outlineLevel="0" collapsed="false">
      <c r="A1856" s="2" t="s">
        <v>1399</v>
      </c>
      <c r="B1856" s="2" t="s">
        <v>44</v>
      </c>
      <c r="C1856" s="2" t="s">
        <v>44</v>
      </c>
      <c r="D1856" s="2" t="s">
        <v>5855</v>
      </c>
      <c r="E1856" s="2" t="s">
        <v>4264</v>
      </c>
      <c r="F1856" s="2" t="s">
        <v>10</v>
      </c>
      <c r="G1856" s="2" t="n">
        <v>568</v>
      </c>
    </row>
    <row r="1857" customFormat="false" ht="15" hidden="false" customHeight="false" outlineLevel="0" collapsed="false">
      <c r="A1857" s="2" t="s">
        <v>1399</v>
      </c>
      <c r="B1857" s="2" t="s">
        <v>44</v>
      </c>
      <c r="C1857" s="2" t="s">
        <v>44</v>
      </c>
      <c r="D1857" s="2" t="s">
        <v>5856</v>
      </c>
      <c r="E1857" s="2" t="s">
        <v>4271</v>
      </c>
      <c r="F1857" s="2" t="s">
        <v>10</v>
      </c>
      <c r="G1857" s="2" t="n">
        <v>568</v>
      </c>
    </row>
    <row r="1858" customFormat="false" ht="15" hidden="false" customHeight="false" outlineLevel="0" collapsed="false">
      <c r="A1858" s="2" t="s">
        <v>1399</v>
      </c>
      <c r="B1858" s="2" t="s">
        <v>44</v>
      </c>
      <c r="C1858" s="2" t="s">
        <v>44</v>
      </c>
      <c r="D1858" s="2" t="s">
        <v>5857</v>
      </c>
      <c r="E1858" s="2" t="s">
        <v>4261</v>
      </c>
      <c r="F1858" s="2" t="s">
        <v>10</v>
      </c>
      <c r="G1858" s="2" t="n">
        <v>568</v>
      </c>
    </row>
    <row r="1859" customFormat="false" ht="15" hidden="false" customHeight="false" outlineLevel="0" collapsed="false">
      <c r="A1859" s="2" t="s">
        <v>1399</v>
      </c>
      <c r="B1859" s="2" t="s">
        <v>44</v>
      </c>
      <c r="C1859" s="2" t="s">
        <v>44</v>
      </c>
      <c r="D1859" s="2" t="s">
        <v>676</v>
      </c>
      <c r="E1859" s="2" t="s">
        <v>4264</v>
      </c>
      <c r="F1859" s="2" t="s">
        <v>10</v>
      </c>
      <c r="G1859" s="2" t="n">
        <v>568</v>
      </c>
    </row>
    <row r="1860" customFormat="false" ht="15" hidden="false" customHeight="false" outlineLevel="0" collapsed="false">
      <c r="A1860" s="2" t="s">
        <v>1399</v>
      </c>
      <c r="B1860" s="2" t="s">
        <v>44</v>
      </c>
      <c r="C1860" s="2" t="s">
        <v>44</v>
      </c>
      <c r="D1860" s="2" t="s">
        <v>5858</v>
      </c>
      <c r="E1860" s="2" t="s">
        <v>4264</v>
      </c>
      <c r="F1860" s="2" t="s">
        <v>10</v>
      </c>
      <c r="G1860" s="2" t="n">
        <v>568</v>
      </c>
    </row>
    <row r="1861" customFormat="false" ht="15" hidden="false" customHeight="false" outlineLevel="0" collapsed="false">
      <c r="A1861" s="2" t="s">
        <v>1399</v>
      </c>
      <c r="B1861" s="2" t="s">
        <v>44</v>
      </c>
      <c r="C1861" s="2" t="s">
        <v>44</v>
      </c>
      <c r="D1861" s="2" t="s">
        <v>5859</v>
      </c>
      <c r="E1861" s="2" t="s">
        <v>4264</v>
      </c>
      <c r="F1861" s="2" t="s">
        <v>10</v>
      </c>
      <c r="G1861" s="2" t="n">
        <v>568</v>
      </c>
    </row>
    <row r="1862" customFormat="false" ht="15" hidden="false" customHeight="false" outlineLevel="0" collapsed="false">
      <c r="A1862" s="2" t="s">
        <v>1401</v>
      </c>
      <c r="B1862" s="2" t="s">
        <v>352</v>
      </c>
      <c r="C1862" s="2" t="s">
        <v>70</v>
      </c>
      <c r="D1862" s="2" t="s">
        <v>1402</v>
      </c>
      <c r="E1862" s="2" t="s">
        <v>4271</v>
      </c>
      <c r="F1862" s="2" t="s">
        <v>9</v>
      </c>
      <c r="G1862" s="2" t="n">
        <v>569</v>
      </c>
    </row>
    <row r="1863" customFormat="false" ht="15" hidden="false" customHeight="false" outlineLevel="0" collapsed="false">
      <c r="A1863" s="2" t="s">
        <v>1404</v>
      </c>
      <c r="B1863" s="2" t="s">
        <v>217</v>
      </c>
      <c r="C1863" s="2" t="s">
        <v>27</v>
      </c>
      <c r="D1863" s="2" t="s">
        <v>5860</v>
      </c>
      <c r="E1863" s="2" t="s">
        <v>4271</v>
      </c>
      <c r="F1863" s="2" t="s">
        <v>9</v>
      </c>
      <c r="G1863" s="2" t="n">
        <v>571</v>
      </c>
    </row>
    <row r="1864" customFormat="false" ht="15" hidden="false" customHeight="false" outlineLevel="0" collapsed="false">
      <c r="A1864" s="2" t="s">
        <v>1404</v>
      </c>
      <c r="B1864" s="2" t="s">
        <v>217</v>
      </c>
      <c r="C1864" s="2" t="s">
        <v>27</v>
      </c>
      <c r="D1864" s="2" t="s">
        <v>5861</v>
      </c>
      <c r="E1864" s="2" t="s">
        <v>4271</v>
      </c>
      <c r="F1864" s="2" t="s">
        <v>9</v>
      </c>
      <c r="G1864" s="2" t="n">
        <v>571</v>
      </c>
    </row>
    <row r="1865" customFormat="false" ht="15" hidden="false" customHeight="false" outlineLevel="0" collapsed="false">
      <c r="A1865" s="2" t="s">
        <v>1404</v>
      </c>
      <c r="B1865" s="2" t="s">
        <v>217</v>
      </c>
      <c r="C1865" s="2" t="s">
        <v>27</v>
      </c>
      <c r="D1865" s="2" t="s">
        <v>5862</v>
      </c>
      <c r="E1865" s="2" t="s">
        <v>4271</v>
      </c>
      <c r="F1865" s="2" t="s">
        <v>9</v>
      </c>
      <c r="G1865" s="2" t="n">
        <v>571</v>
      </c>
    </row>
    <row r="1866" customFormat="false" ht="15" hidden="false" customHeight="false" outlineLevel="0" collapsed="false">
      <c r="A1866" s="2" t="s">
        <v>1404</v>
      </c>
      <c r="B1866" s="2" t="s">
        <v>217</v>
      </c>
      <c r="C1866" s="2" t="s">
        <v>27</v>
      </c>
      <c r="D1866" s="2" t="s">
        <v>5863</v>
      </c>
      <c r="E1866" s="2" t="s">
        <v>4271</v>
      </c>
      <c r="F1866" s="2" t="s">
        <v>9</v>
      </c>
      <c r="G1866" s="2" t="n">
        <v>571</v>
      </c>
    </row>
    <row r="1867" customFormat="false" ht="15" hidden="false" customHeight="false" outlineLevel="0" collapsed="false">
      <c r="A1867" s="2" t="s">
        <v>1404</v>
      </c>
      <c r="B1867" s="2" t="s">
        <v>217</v>
      </c>
      <c r="C1867" s="2" t="s">
        <v>27</v>
      </c>
      <c r="D1867" s="2" t="s">
        <v>5864</v>
      </c>
      <c r="E1867" s="2" t="s">
        <v>4271</v>
      </c>
      <c r="F1867" s="2" t="s">
        <v>9</v>
      </c>
      <c r="G1867" s="2" t="n">
        <v>571</v>
      </c>
    </row>
    <row r="1868" customFormat="false" ht="15" hidden="false" customHeight="false" outlineLevel="0" collapsed="false">
      <c r="A1868" s="2" t="s">
        <v>1404</v>
      </c>
      <c r="B1868" s="2" t="s">
        <v>217</v>
      </c>
      <c r="C1868" s="2" t="s">
        <v>27</v>
      </c>
      <c r="D1868" s="2" t="s">
        <v>5865</v>
      </c>
      <c r="E1868" s="2" t="s">
        <v>4271</v>
      </c>
      <c r="F1868" s="2" t="s">
        <v>9</v>
      </c>
      <c r="G1868" s="2" t="n">
        <v>571</v>
      </c>
    </row>
    <row r="1869" customFormat="false" ht="15" hidden="false" customHeight="false" outlineLevel="0" collapsed="false">
      <c r="A1869" s="2" t="s">
        <v>1404</v>
      </c>
      <c r="B1869" s="2" t="s">
        <v>217</v>
      </c>
      <c r="C1869" s="2" t="s">
        <v>27</v>
      </c>
      <c r="D1869" s="2" t="s">
        <v>5866</v>
      </c>
      <c r="E1869" s="2" t="s">
        <v>4271</v>
      </c>
      <c r="F1869" s="2" t="s">
        <v>9</v>
      </c>
      <c r="G1869" s="2" t="n">
        <v>571</v>
      </c>
    </row>
    <row r="1870" customFormat="false" ht="15" hidden="false" customHeight="false" outlineLevel="0" collapsed="false">
      <c r="A1870" s="2" t="s">
        <v>1404</v>
      </c>
      <c r="B1870" s="2" t="s">
        <v>217</v>
      </c>
      <c r="C1870" s="2" t="s">
        <v>27</v>
      </c>
      <c r="D1870" s="2" t="s">
        <v>5867</v>
      </c>
      <c r="E1870" s="2" t="s">
        <v>4271</v>
      </c>
      <c r="F1870" s="2" t="s">
        <v>9</v>
      </c>
      <c r="G1870" s="2" t="n">
        <v>571</v>
      </c>
    </row>
    <row r="1871" customFormat="false" ht="15" hidden="false" customHeight="false" outlineLevel="0" collapsed="false">
      <c r="A1871" s="2" t="s">
        <v>1407</v>
      </c>
      <c r="B1871" s="2" t="s">
        <v>1129</v>
      </c>
      <c r="C1871" s="2" t="s">
        <v>44</v>
      </c>
      <c r="D1871" s="2" t="s">
        <v>5868</v>
      </c>
      <c r="E1871" s="2" t="s">
        <v>4261</v>
      </c>
      <c r="F1871" s="2" t="s">
        <v>10</v>
      </c>
      <c r="G1871" s="2" t="n">
        <v>573</v>
      </c>
    </row>
    <row r="1872" customFormat="false" ht="15" hidden="false" customHeight="false" outlineLevel="0" collapsed="false">
      <c r="A1872" s="2" t="s">
        <v>1407</v>
      </c>
      <c r="B1872" s="2" t="s">
        <v>1129</v>
      </c>
      <c r="C1872" s="2" t="s">
        <v>44</v>
      </c>
      <c r="D1872" s="2" t="s">
        <v>5869</v>
      </c>
      <c r="E1872" s="2" t="s">
        <v>4264</v>
      </c>
      <c r="F1872" s="2" t="s">
        <v>10</v>
      </c>
      <c r="G1872" s="2" t="n">
        <v>573</v>
      </c>
    </row>
    <row r="1873" customFormat="false" ht="15" hidden="false" customHeight="false" outlineLevel="0" collapsed="false">
      <c r="A1873" s="2" t="s">
        <v>1409</v>
      </c>
      <c r="B1873" s="2" t="s">
        <v>585</v>
      </c>
      <c r="C1873" s="2" t="s">
        <v>27</v>
      </c>
      <c r="D1873" s="2" t="s">
        <v>1410</v>
      </c>
      <c r="E1873" s="2" t="s">
        <v>4261</v>
      </c>
      <c r="F1873" s="2" t="s">
        <v>10</v>
      </c>
      <c r="G1873" s="2" t="n">
        <v>574</v>
      </c>
    </row>
    <row r="1874" customFormat="false" ht="15" hidden="false" customHeight="false" outlineLevel="0" collapsed="false">
      <c r="A1874" s="2" t="s">
        <v>1415</v>
      </c>
      <c r="B1874" s="2" t="s">
        <v>1416</v>
      </c>
      <c r="C1874" s="2" t="s">
        <v>50</v>
      </c>
      <c r="D1874" s="2" t="s">
        <v>5870</v>
      </c>
      <c r="E1874" s="2" t="s">
        <v>4261</v>
      </c>
      <c r="F1874" s="2" t="s">
        <v>9</v>
      </c>
      <c r="G1874" s="2" t="n">
        <v>577</v>
      </c>
    </row>
    <row r="1875" customFormat="false" ht="15" hidden="false" customHeight="false" outlineLevel="0" collapsed="false">
      <c r="A1875" s="2" t="s">
        <v>1415</v>
      </c>
      <c r="B1875" s="2" t="s">
        <v>1416</v>
      </c>
      <c r="C1875" s="2" t="s">
        <v>50</v>
      </c>
      <c r="D1875" s="2" t="s">
        <v>5871</v>
      </c>
      <c r="E1875" s="2" t="s">
        <v>4261</v>
      </c>
      <c r="F1875" s="2" t="s">
        <v>9</v>
      </c>
      <c r="G1875" s="2" t="n">
        <v>577</v>
      </c>
    </row>
    <row r="1876" customFormat="false" ht="15" hidden="false" customHeight="false" outlineLevel="0" collapsed="false">
      <c r="A1876" s="2" t="s">
        <v>1418</v>
      </c>
      <c r="B1876" s="2" t="s">
        <v>84</v>
      </c>
      <c r="C1876" s="2" t="s">
        <v>70</v>
      </c>
      <c r="D1876" s="2" t="s">
        <v>5872</v>
      </c>
      <c r="E1876" s="2" t="s">
        <v>4261</v>
      </c>
      <c r="F1876" s="2" t="s">
        <v>10</v>
      </c>
      <c r="G1876" s="2" t="n">
        <v>578</v>
      </c>
    </row>
    <row r="1877" customFormat="false" ht="15" hidden="false" customHeight="false" outlineLevel="0" collapsed="false">
      <c r="A1877" s="2" t="s">
        <v>1418</v>
      </c>
      <c r="B1877" s="2" t="s">
        <v>84</v>
      </c>
      <c r="C1877" s="2" t="s">
        <v>70</v>
      </c>
      <c r="D1877" s="2" t="s">
        <v>5873</v>
      </c>
      <c r="E1877" s="2" t="s">
        <v>4261</v>
      </c>
      <c r="F1877" s="2" t="s">
        <v>10</v>
      </c>
      <c r="G1877" s="2" t="n">
        <v>578</v>
      </c>
    </row>
    <row r="1878" customFormat="false" ht="15" hidden="false" customHeight="false" outlineLevel="0" collapsed="false">
      <c r="A1878" s="2" t="s">
        <v>1418</v>
      </c>
      <c r="B1878" s="2" t="s">
        <v>84</v>
      </c>
      <c r="C1878" s="2" t="s">
        <v>70</v>
      </c>
      <c r="D1878" s="2" t="s">
        <v>5874</v>
      </c>
      <c r="E1878" s="2" t="s">
        <v>4261</v>
      </c>
      <c r="F1878" s="2" t="s">
        <v>10</v>
      </c>
      <c r="G1878" s="2" t="n">
        <v>578</v>
      </c>
    </row>
    <row r="1879" customFormat="false" ht="15" hidden="false" customHeight="false" outlineLevel="0" collapsed="false">
      <c r="A1879" s="2" t="s">
        <v>1421</v>
      </c>
      <c r="B1879" s="2" t="s">
        <v>1422</v>
      </c>
      <c r="C1879" s="2" t="s">
        <v>595</v>
      </c>
      <c r="D1879" s="2" t="s">
        <v>1423</v>
      </c>
      <c r="E1879" s="2" t="s">
        <v>4261</v>
      </c>
      <c r="F1879" s="2" t="s">
        <v>10</v>
      </c>
      <c r="G1879" s="2" t="n">
        <v>580</v>
      </c>
    </row>
    <row r="1880" customFormat="false" ht="15" hidden="false" customHeight="false" outlineLevel="0" collapsed="false">
      <c r="A1880" s="2" t="s">
        <v>1429</v>
      </c>
      <c r="B1880" s="2" t="s">
        <v>70</v>
      </c>
      <c r="C1880" s="2" t="s">
        <v>70</v>
      </c>
      <c r="D1880" s="2" t="s">
        <v>1430</v>
      </c>
      <c r="E1880" s="2" t="s">
        <v>4271</v>
      </c>
      <c r="F1880" s="2" t="s">
        <v>10</v>
      </c>
      <c r="G1880" s="2" t="n">
        <v>584</v>
      </c>
    </row>
    <row r="1881" customFormat="false" ht="15" hidden="false" customHeight="false" outlineLevel="0" collapsed="false">
      <c r="A1881" s="2" t="s">
        <v>1431</v>
      </c>
      <c r="B1881" s="2" t="s">
        <v>1432</v>
      </c>
      <c r="C1881" s="2" t="s">
        <v>70</v>
      </c>
      <c r="D1881" s="2" t="s">
        <v>1432</v>
      </c>
      <c r="E1881" s="2" t="s">
        <v>4264</v>
      </c>
      <c r="F1881" s="2" t="s">
        <v>10</v>
      </c>
      <c r="G1881" s="2" t="n">
        <v>585</v>
      </c>
    </row>
    <row r="1882" customFormat="false" ht="15" hidden="false" customHeight="false" outlineLevel="0" collapsed="false">
      <c r="A1882" s="2" t="s">
        <v>1431</v>
      </c>
      <c r="B1882" s="2" t="s">
        <v>1432</v>
      </c>
      <c r="C1882" s="2" t="s">
        <v>70</v>
      </c>
      <c r="D1882" s="2" t="s">
        <v>5875</v>
      </c>
      <c r="E1882" s="2" t="s">
        <v>4261</v>
      </c>
      <c r="F1882" s="2" t="s">
        <v>10</v>
      </c>
      <c r="G1882" s="2" t="n">
        <v>585</v>
      </c>
    </row>
    <row r="1883" customFormat="false" ht="15" hidden="false" customHeight="false" outlineLevel="0" collapsed="false">
      <c r="A1883" s="2" t="s">
        <v>1431</v>
      </c>
      <c r="B1883" s="2" t="s">
        <v>1432</v>
      </c>
      <c r="C1883" s="2" t="s">
        <v>70</v>
      </c>
      <c r="D1883" s="2" t="s">
        <v>5876</v>
      </c>
      <c r="E1883" s="2" t="s">
        <v>4261</v>
      </c>
      <c r="F1883" s="2" t="s">
        <v>10</v>
      </c>
      <c r="G1883" s="2" t="n">
        <v>585</v>
      </c>
    </row>
    <row r="1884" customFormat="false" ht="15" hidden="false" customHeight="false" outlineLevel="0" collapsed="false">
      <c r="A1884" s="2" t="s">
        <v>1434</v>
      </c>
      <c r="B1884" s="2" t="s">
        <v>1435</v>
      </c>
      <c r="C1884" s="2" t="s">
        <v>70</v>
      </c>
      <c r="D1884" s="2" t="s">
        <v>4997</v>
      </c>
      <c r="E1884" s="2" t="s">
        <v>4261</v>
      </c>
      <c r="F1884" s="2" t="s">
        <v>10</v>
      </c>
      <c r="G1884" s="2" t="n">
        <v>586</v>
      </c>
    </row>
    <row r="1885" customFormat="false" ht="15" hidden="false" customHeight="false" outlineLevel="0" collapsed="false">
      <c r="A1885" s="2" t="s">
        <v>1434</v>
      </c>
      <c r="B1885" s="2" t="s">
        <v>1435</v>
      </c>
      <c r="C1885" s="2" t="s">
        <v>70</v>
      </c>
      <c r="D1885" s="2" t="s">
        <v>5877</v>
      </c>
      <c r="E1885" s="2" t="s">
        <v>4261</v>
      </c>
      <c r="F1885" s="2" t="s">
        <v>10</v>
      </c>
      <c r="G1885" s="2" t="n">
        <v>586</v>
      </c>
    </row>
    <row r="1886" customFormat="false" ht="15" hidden="false" customHeight="false" outlineLevel="0" collapsed="false">
      <c r="A1886" s="2" t="s">
        <v>1437</v>
      </c>
      <c r="B1886" s="2" t="s">
        <v>70</v>
      </c>
      <c r="C1886" s="2" t="s">
        <v>70</v>
      </c>
      <c r="D1886" s="2" t="s">
        <v>5878</v>
      </c>
      <c r="E1886" s="2" t="s">
        <v>4261</v>
      </c>
      <c r="F1886" s="2" t="s">
        <v>9</v>
      </c>
      <c r="G1886" s="2" t="n">
        <v>587</v>
      </c>
    </row>
    <row r="1887" customFormat="false" ht="15" hidden="false" customHeight="false" outlineLevel="0" collapsed="false">
      <c r="A1887" s="2" t="s">
        <v>1437</v>
      </c>
      <c r="B1887" s="2" t="s">
        <v>70</v>
      </c>
      <c r="C1887" s="2" t="s">
        <v>70</v>
      </c>
      <c r="D1887" s="2" t="s">
        <v>5879</v>
      </c>
      <c r="E1887" s="2" t="s">
        <v>4264</v>
      </c>
      <c r="F1887" s="2" t="s">
        <v>9</v>
      </c>
      <c r="G1887" s="2" t="n">
        <v>587</v>
      </c>
    </row>
    <row r="1888" customFormat="false" ht="15" hidden="false" customHeight="false" outlineLevel="0" collapsed="false">
      <c r="A1888" s="2" t="s">
        <v>1437</v>
      </c>
      <c r="B1888" s="2" t="s">
        <v>70</v>
      </c>
      <c r="C1888" s="2" t="s">
        <v>70</v>
      </c>
      <c r="D1888" s="2" t="s">
        <v>5880</v>
      </c>
      <c r="E1888" s="2" t="s">
        <v>4261</v>
      </c>
      <c r="F1888" s="2" t="s">
        <v>9</v>
      </c>
      <c r="G1888" s="2" t="n">
        <v>587</v>
      </c>
    </row>
    <row r="1889" customFormat="false" ht="15" hidden="false" customHeight="false" outlineLevel="0" collapsed="false">
      <c r="A1889" s="2" t="s">
        <v>1437</v>
      </c>
      <c r="B1889" s="2" t="s">
        <v>70</v>
      </c>
      <c r="C1889" s="2" t="s">
        <v>70</v>
      </c>
      <c r="D1889" s="2" t="s">
        <v>5881</v>
      </c>
      <c r="E1889" s="2" t="s">
        <v>4261</v>
      </c>
      <c r="F1889" s="2" t="s">
        <v>9</v>
      </c>
      <c r="G1889" s="2" t="n">
        <v>587</v>
      </c>
    </row>
    <row r="1890" customFormat="false" ht="15" hidden="false" customHeight="false" outlineLevel="0" collapsed="false">
      <c r="A1890" s="2" t="s">
        <v>1437</v>
      </c>
      <c r="B1890" s="2" t="s">
        <v>70</v>
      </c>
      <c r="C1890" s="2" t="s">
        <v>70</v>
      </c>
      <c r="D1890" s="2" t="s">
        <v>5882</v>
      </c>
      <c r="E1890" s="2" t="s">
        <v>4261</v>
      </c>
      <c r="F1890" s="2" t="s">
        <v>9</v>
      </c>
      <c r="G1890" s="2" t="n">
        <v>587</v>
      </c>
    </row>
    <row r="1891" customFormat="false" ht="15" hidden="false" customHeight="false" outlineLevel="0" collapsed="false">
      <c r="A1891" s="2" t="s">
        <v>1437</v>
      </c>
      <c r="B1891" s="2" t="s">
        <v>70</v>
      </c>
      <c r="C1891" s="2" t="s">
        <v>70</v>
      </c>
      <c r="D1891" s="2" t="s">
        <v>5883</v>
      </c>
      <c r="E1891" s="2" t="s">
        <v>4261</v>
      </c>
      <c r="F1891" s="2" t="s">
        <v>9</v>
      </c>
      <c r="G1891" s="2" t="n">
        <v>587</v>
      </c>
    </row>
    <row r="1892" customFormat="false" ht="15" hidden="false" customHeight="false" outlineLevel="0" collapsed="false">
      <c r="A1892" s="2" t="s">
        <v>1439</v>
      </c>
      <c r="B1892" s="2" t="s">
        <v>1440</v>
      </c>
      <c r="C1892" s="2" t="s">
        <v>70</v>
      </c>
      <c r="D1892" s="2" t="s">
        <v>1440</v>
      </c>
      <c r="E1892" s="2" t="s">
        <v>4271</v>
      </c>
      <c r="F1892" s="2" t="s">
        <v>10</v>
      </c>
      <c r="G1892" s="2" t="n">
        <v>588</v>
      </c>
    </row>
    <row r="1893" customFormat="false" ht="15" hidden="false" customHeight="false" outlineLevel="0" collapsed="false">
      <c r="A1893" s="2" t="s">
        <v>1444</v>
      </c>
      <c r="B1893" s="2" t="s">
        <v>1445</v>
      </c>
      <c r="C1893" s="2" t="s">
        <v>27</v>
      </c>
      <c r="D1893" s="2" t="s">
        <v>1446</v>
      </c>
      <c r="E1893" s="2" t="s">
        <v>4271</v>
      </c>
      <c r="F1893" s="2" t="s">
        <v>9</v>
      </c>
      <c r="G1893" s="2" t="n">
        <v>591</v>
      </c>
    </row>
    <row r="1894" customFormat="false" ht="15" hidden="false" customHeight="false" outlineLevel="0" collapsed="false">
      <c r="A1894" s="2" t="s">
        <v>1452</v>
      </c>
      <c r="B1894" s="2" t="s">
        <v>70</v>
      </c>
      <c r="C1894" s="2" t="s">
        <v>70</v>
      </c>
      <c r="D1894" s="2" t="s">
        <v>1336</v>
      </c>
      <c r="E1894" s="2" t="s">
        <v>4271</v>
      </c>
      <c r="F1894" s="2" t="s">
        <v>9</v>
      </c>
      <c r="G1894" s="2" t="n">
        <v>593</v>
      </c>
    </row>
    <row r="1895" customFormat="false" ht="15" hidden="false" customHeight="false" outlineLevel="0" collapsed="false">
      <c r="A1895" s="2" t="s">
        <v>1452</v>
      </c>
      <c r="B1895" s="2" t="s">
        <v>70</v>
      </c>
      <c r="C1895" s="2" t="s">
        <v>70</v>
      </c>
      <c r="D1895" s="2" t="s">
        <v>5884</v>
      </c>
      <c r="E1895" s="2" t="s">
        <v>4264</v>
      </c>
      <c r="F1895" s="2" t="s">
        <v>9</v>
      </c>
      <c r="G1895" s="2" t="n">
        <v>593</v>
      </c>
    </row>
    <row r="1896" customFormat="false" ht="15" hidden="false" customHeight="false" outlineLevel="0" collapsed="false">
      <c r="A1896" s="2" t="s">
        <v>1454</v>
      </c>
      <c r="B1896" s="2" t="s">
        <v>1455</v>
      </c>
      <c r="C1896" s="2" t="s">
        <v>70</v>
      </c>
      <c r="D1896" s="2" t="s">
        <v>926</v>
      </c>
      <c r="E1896" s="2" t="s">
        <v>4271</v>
      </c>
      <c r="F1896" s="2" t="s">
        <v>10</v>
      </c>
      <c r="G1896" s="2" t="n">
        <v>594</v>
      </c>
    </row>
    <row r="1897" customFormat="false" ht="15" hidden="false" customHeight="false" outlineLevel="0" collapsed="false">
      <c r="A1897" s="2" t="s">
        <v>1457</v>
      </c>
      <c r="B1897" s="2" t="s">
        <v>355</v>
      </c>
      <c r="C1897" s="2" t="s">
        <v>44</v>
      </c>
      <c r="D1897" s="2" t="s">
        <v>5308</v>
      </c>
      <c r="E1897" s="2" t="s">
        <v>4261</v>
      </c>
      <c r="F1897" s="2" t="s">
        <v>10</v>
      </c>
      <c r="G1897" s="2" t="n">
        <v>595</v>
      </c>
    </row>
    <row r="1898" customFormat="false" ht="15" hidden="false" customHeight="false" outlineLevel="0" collapsed="false">
      <c r="A1898" s="2" t="s">
        <v>1457</v>
      </c>
      <c r="B1898" s="2" t="s">
        <v>355</v>
      </c>
      <c r="C1898" s="2" t="s">
        <v>44</v>
      </c>
      <c r="D1898" s="2" t="s">
        <v>5885</v>
      </c>
      <c r="E1898" s="2" t="s">
        <v>4261</v>
      </c>
      <c r="F1898" s="2" t="s">
        <v>10</v>
      </c>
      <c r="G1898" s="2" t="n">
        <v>595</v>
      </c>
    </row>
    <row r="1899" customFormat="false" ht="15" hidden="false" customHeight="false" outlineLevel="0" collapsed="false">
      <c r="A1899" s="2" t="s">
        <v>1457</v>
      </c>
      <c r="B1899" s="2" t="s">
        <v>355</v>
      </c>
      <c r="C1899" s="2" t="s">
        <v>44</v>
      </c>
      <c r="D1899" s="2" t="s">
        <v>5886</v>
      </c>
      <c r="E1899" s="2" t="s">
        <v>4264</v>
      </c>
      <c r="F1899" s="2" t="s">
        <v>10</v>
      </c>
      <c r="G1899" s="2" t="n">
        <v>595</v>
      </c>
    </row>
    <row r="1900" customFormat="false" ht="15" hidden="false" customHeight="false" outlineLevel="0" collapsed="false">
      <c r="A1900" s="2" t="s">
        <v>1457</v>
      </c>
      <c r="B1900" s="2" t="s">
        <v>355</v>
      </c>
      <c r="C1900" s="2" t="s">
        <v>44</v>
      </c>
      <c r="D1900" s="2" t="s">
        <v>5887</v>
      </c>
      <c r="E1900" s="2" t="s">
        <v>4264</v>
      </c>
      <c r="F1900" s="2" t="s">
        <v>10</v>
      </c>
      <c r="G1900" s="2" t="n">
        <v>595</v>
      </c>
    </row>
    <row r="1901" customFormat="false" ht="15" hidden="false" customHeight="false" outlineLevel="0" collapsed="false">
      <c r="A1901" s="2" t="s">
        <v>1457</v>
      </c>
      <c r="B1901" s="2" t="s">
        <v>355</v>
      </c>
      <c r="C1901" s="2" t="s">
        <v>44</v>
      </c>
      <c r="D1901" s="2" t="s">
        <v>5888</v>
      </c>
      <c r="E1901" s="2" t="s">
        <v>4264</v>
      </c>
      <c r="F1901" s="2" t="s">
        <v>10</v>
      </c>
      <c r="G1901" s="2" t="n">
        <v>595</v>
      </c>
    </row>
    <row r="1902" customFormat="false" ht="15" hidden="false" customHeight="false" outlineLevel="0" collapsed="false">
      <c r="A1902" s="2" t="s">
        <v>1457</v>
      </c>
      <c r="B1902" s="2" t="s">
        <v>355</v>
      </c>
      <c r="C1902" s="2" t="s">
        <v>44</v>
      </c>
      <c r="D1902" s="2" t="s">
        <v>5889</v>
      </c>
      <c r="E1902" s="2" t="s">
        <v>4261</v>
      </c>
      <c r="F1902" s="2" t="s">
        <v>10</v>
      </c>
      <c r="G1902" s="2" t="n">
        <v>595</v>
      </c>
    </row>
    <row r="1903" customFormat="false" ht="15" hidden="false" customHeight="false" outlineLevel="0" collapsed="false">
      <c r="A1903" s="2" t="s">
        <v>1463</v>
      </c>
      <c r="B1903" s="2" t="s">
        <v>1464</v>
      </c>
      <c r="C1903" s="2" t="s">
        <v>50</v>
      </c>
      <c r="D1903" s="2" t="s">
        <v>5890</v>
      </c>
      <c r="E1903" s="2" t="s">
        <v>4261</v>
      </c>
      <c r="F1903" s="2" t="s">
        <v>8</v>
      </c>
      <c r="G1903" s="2" t="n">
        <v>599</v>
      </c>
    </row>
    <row r="1904" customFormat="false" ht="15" hidden="false" customHeight="false" outlineLevel="0" collapsed="false">
      <c r="A1904" s="2" t="s">
        <v>1463</v>
      </c>
      <c r="B1904" s="2" t="s">
        <v>1464</v>
      </c>
      <c r="C1904" s="2" t="s">
        <v>50</v>
      </c>
      <c r="D1904" s="2" t="s">
        <v>5891</v>
      </c>
      <c r="E1904" s="2" t="s">
        <v>4261</v>
      </c>
      <c r="F1904" s="2" t="s">
        <v>8</v>
      </c>
      <c r="G1904" s="2" t="n">
        <v>599</v>
      </c>
    </row>
    <row r="1905" customFormat="false" ht="15" hidden="false" customHeight="false" outlineLevel="0" collapsed="false">
      <c r="A1905" s="2" t="s">
        <v>1463</v>
      </c>
      <c r="B1905" s="2" t="s">
        <v>1464</v>
      </c>
      <c r="C1905" s="2" t="s">
        <v>50</v>
      </c>
      <c r="D1905" s="2" t="s">
        <v>5892</v>
      </c>
      <c r="E1905" s="2" t="s">
        <v>4261</v>
      </c>
      <c r="F1905" s="2" t="s">
        <v>8</v>
      </c>
      <c r="G1905" s="2" t="n">
        <v>599</v>
      </c>
    </row>
    <row r="1906" customFormat="false" ht="15" hidden="false" customHeight="false" outlineLevel="0" collapsed="false">
      <c r="A1906" s="2" t="s">
        <v>1463</v>
      </c>
      <c r="B1906" s="2" t="s">
        <v>1464</v>
      </c>
      <c r="C1906" s="2" t="s">
        <v>50</v>
      </c>
      <c r="D1906" s="2" t="s">
        <v>5893</v>
      </c>
      <c r="E1906" s="2" t="s">
        <v>4261</v>
      </c>
      <c r="F1906" s="2" t="s">
        <v>8</v>
      </c>
      <c r="G1906" s="2" t="n">
        <v>599</v>
      </c>
    </row>
    <row r="1907" customFormat="false" ht="15" hidden="false" customHeight="false" outlineLevel="0" collapsed="false">
      <c r="A1907" s="2" t="s">
        <v>1463</v>
      </c>
      <c r="B1907" s="2" t="s">
        <v>1464</v>
      </c>
      <c r="C1907" s="2" t="s">
        <v>50</v>
      </c>
      <c r="D1907" s="2" t="s">
        <v>5894</v>
      </c>
      <c r="E1907" s="2" t="s">
        <v>4261</v>
      </c>
      <c r="F1907" s="2" t="s">
        <v>8</v>
      </c>
      <c r="G1907" s="2" t="n">
        <v>599</v>
      </c>
    </row>
    <row r="1908" customFormat="false" ht="15" hidden="false" customHeight="false" outlineLevel="0" collapsed="false">
      <c r="A1908" s="2" t="s">
        <v>1463</v>
      </c>
      <c r="B1908" s="2" t="s">
        <v>1464</v>
      </c>
      <c r="C1908" s="2" t="s">
        <v>50</v>
      </c>
      <c r="D1908" s="2" t="s">
        <v>5895</v>
      </c>
      <c r="E1908" s="2" t="s">
        <v>4261</v>
      </c>
      <c r="F1908" s="2" t="s">
        <v>8</v>
      </c>
      <c r="G1908" s="2" t="n">
        <v>599</v>
      </c>
    </row>
    <row r="1909" customFormat="false" ht="15" hidden="false" customHeight="false" outlineLevel="0" collapsed="false">
      <c r="A1909" s="2" t="s">
        <v>1466</v>
      </c>
      <c r="B1909" s="2" t="s">
        <v>642</v>
      </c>
      <c r="C1909" s="2" t="s">
        <v>27</v>
      </c>
      <c r="D1909" s="2" t="s">
        <v>1467</v>
      </c>
      <c r="E1909" s="2" t="s">
        <v>4271</v>
      </c>
      <c r="F1909" s="2" t="s">
        <v>9</v>
      </c>
      <c r="G1909" s="2" t="n">
        <v>600</v>
      </c>
    </row>
    <row r="1910" customFormat="false" ht="15" hidden="false" customHeight="false" outlineLevel="0" collapsed="false">
      <c r="A1910" s="2" t="s">
        <v>1473</v>
      </c>
      <c r="B1910" s="2" t="s">
        <v>70</v>
      </c>
      <c r="C1910" s="2" t="s">
        <v>70</v>
      </c>
      <c r="D1910" s="2" t="s">
        <v>5896</v>
      </c>
      <c r="E1910" s="2" t="s">
        <v>4271</v>
      </c>
      <c r="F1910" s="2" t="s">
        <v>10</v>
      </c>
      <c r="G1910" s="2" t="n">
        <v>603</v>
      </c>
    </row>
    <row r="1911" customFormat="false" ht="15" hidden="false" customHeight="false" outlineLevel="0" collapsed="false">
      <c r="A1911" s="2" t="s">
        <v>1473</v>
      </c>
      <c r="B1911" s="2" t="s">
        <v>70</v>
      </c>
      <c r="C1911" s="2" t="s">
        <v>70</v>
      </c>
      <c r="D1911" s="2" t="s">
        <v>5897</v>
      </c>
      <c r="E1911" s="2" t="s">
        <v>4271</v>
      </c>
      <c r="F1911" s="2" t="s">
        <v>10</v>
      </c>
      <c r="G1911" s="2" t="n">
        <v>603</v>
      </c>
    </row>
    <row r="1912" customFormat="false" ht="15" hidden="false" customHeight="false" outlineLevel="0" collapsed="false">
      <c r="A1912" s="2" t="s">
        <v>1473</v>
      </c>
      <c r="B1912" s="2" t="s">
        <v>70</v>
      </c>
      <c r="C1912" s="2" t="s">
        <v>70</v>
      </c>
      <c r="D1912" s="2" t="s">
        <v>5898</v>
      </c>
      <c r="E1912" s="2" t="s">
        <v>4264</v>
      </c>
      <c r="F1912" s="2" t="s">
        <v>10</v>
      </c>
      <c r="G1912" s="2" t="n">
        <v>603</v>
      </c>
    </row>
    <row r="1913" customFormat="false" ht="15" hidden="false" customHeight="false" outlineLevel="0" collapsed="false">
      <c r="A1913" s="2" t="s">
        <v>1473</v>
      </c>
      <c r="B1913" s="2" t="s">
        <v>70</v>
      </c>
      <c r="C1913" s="2" t="s">
        <v>70</v>
      </c>
      <c r="D1913" s="2" t="s">
        <v>5899</v>
      </c>
      <c r="E1913" s="2" t="s">
        <v>4261</v>
      </c>
      <c r="F1913" s="2" t="s">
        <v>10</v>
      </c>
      <c r="G1913" s="2" t="n">
        <v>603</v>
      </c>
    </row>
    <row r="1914" customFormat="false" ht="15" hidden="false" customHeight="false" outlineLevel="0" collapsed="false">
      <c r="A1914" s="2" t="s">
        <v>1473</v>
      </c>
      <c r="B1914" s="2" t="s">
        <v>70</v>
      </c>
      <c r="C1914" s="2" t="s">
        <v>70</v>
      </c>
      <c r="D1914" s="2" t="s">
        <v>5437</v>
      </c>
      <c r="E1914" s="2" t="s">
        <v>4271</v>
      </c>
      <c r="F1914" s="2" t="s">
        <v>10</v>
      </c>
      <c r="G1914" s="2" t="n">
        <v>603</v>
      </c>
    </row>
    <row r="1915" customFormat="false" ht="15" hidden="false" customHeight="false" outlineLevel="0" collapsed="false">
      <c r="A1915" s="2" t="s">
        <v>1476</v>
      </c>
      <c r="B1915" s="2" t="s">
        <v>1383</v>
      </c>
      <c r="C1915" s="2" t="s">
        <v>70</v>
      </c>
      <c r="D1915" s="2" t="s">
        <v>1477</v>
      </c>
      <c r="E1915" s="2" t="s">
        <v>4264</v>
      </c>
      <c r="F1915" s="2" t="s">
        <v>10</v>
      </c>
      <c r="G1915" s="2" t="n">
        <v>605</v>
      </c>
    </row>
    <row r="1916" customFormat="false" ht="15" hidden="false" customHeight="false" outlineLevel="0" collapsed="false">
      <c r="A1916" s="2" t="s">
        <v>1478</v>
      </c>
      <c r="B1916" s="2" t="s">
        <v>686</v>
      </c>
      <c r="C1916" s="2" t="s">
        <v>44</v>
      </c>
      <c r="D1916" s="2" t="s">
        <v>5842</v>
      </c>
      <c r="E1916" s="2" t="s">
        <v>4261</v>
      </c>
      <c r="F1916" s="2" t="s">
        <v>8</v>
      </c>
      <c r="G1916" s="2" t="n">
        <v>606</v>
      </c>
    </row>
    <row r="1917" customFormat="false" ht="15" hidden="false" customHeight="false" outlineLevel="0" collapsed="false">
      <c r="A1917" s="2" t="s">
        <v>1478</v>
      </c>
      <c r="B1917" s="2" t="s">
        <v>686</v>
      </c>
      <c r="C1917" s="2" t="s">
        <v>44</v>
      </c>
      <c r="D1917" s="2" t="s">
        <v>5900</v>
      </c>
      <c r="E1917" s="2" t="s">
        <v>4261</v>
      </c>
      <c r="F1917" s="2" t="s">
        <v>8</v>
      </c>
      <c r="G1917" s="2" t="n">
        <v>606</v>
      </c>
    </row>
    <row r="1918" customFormat="false" ht="15" hidden="false" customHeight="false" outlineLevel="0" collapsed="false">
      <c r="A1918" s="2" t="s">
        <v>1480</v>
      </c>
      <c r="B1918" s="2" t="s">
        <v>516</v>
      </c>
      <c r="C1918" s="2" t="s">
        <v>34</v>
      </c>
      <c r="D1918" s="2" t="s">
        <v>5901</v>
      </c>
      <c r="E1918" s="2" t="s">
        <v>4261</v>
      </c>
      <c r="F1918" s="2" t="s">
        <v>8</v>
      </c>
      <c r="G1918" s="2" t="n">
        <v>607</v>
      </c>
    </row>
    <row r="1919" customFormat="false" ht="15" hidden="false" customHeight="false" outlineLevel="0" collapsed="false">
      <c r="A1919" s="2" t="s">
        <v>1480</v>
      </c>
      <c r="B1919" s="2" t="s">
        <v>516</v>
      </c>
      <c r="C1919" s="2" t="s">
        <v>34</v>
      </c>
      <c r="D1919" s="2" t="s">
        <v>5902</v>
      </c>
      <c r="E1919" s="2" t="s">
        <v>4261</v>
      </c>
      <c r="F1919" s="2" t="s">
        <v>8</v>
      </c>
      <c r="G1919" s="2" t="n">
        <v>607</v>
      </c>
    </row>
    <row r="1920" customFormat="false" ht="15" hidden="false" customHeight="false" outlineLevel="0" collapsed="false">
      <c r="A1920" s="2" t="s">
        <v>1480</v>
      </c>
      <c r="B1920" s="2" t="s">
        <v>516</v>
      </c>
      <c r="C1920" s="2" t="s">
        <v>34</v>
      </c>
      <c r="D1920" s="2" t="s">
        <v>5903</v>
      </c>
      <c r="E1920" s="2" t="s">
        <v>4261</v>
      </c>
      <c r="F1920" s="2" t="s">
        <v>8</v>
      </c>
      <c r="G1920" s="2" t="n">
        <v>607</v>
      </c>
    </row>
    <row r="1921" customFormat="false" ht="15" hidden="false" customHeight="false" outlineLevel="0" collapsed="false">
      <c r="A1921" s="2" t="s">
        <v>1480</v>
      </c>
      <c r="B1921" s="2" t="s">
        <v>516</v>
      </c>
      <c r="C1921" s="2" t="s">
        <v>34</v>
      </c>
      <c r="D1921" s="2" t="s">
        <v>5904</v>
      </c>
      <c r="E1921" s="2" t="s">
        <v>4261</v>
      </c>
      <c r="F1921" s="2" t="s">
        <v>8</v>
      </c>
      <c r="G1921" s="2" t="n">
        <v>607</v>
      </c>
    </row>
    <row r="1922" customFormat="false" ht="15" hidden="false" customHeight="false" outlineLevel="0" collapsed="false">
      <c r="A1922" s="2" t="s">
        <v>1482</v>
      </c>
      <c r="B1922" s="2" t="s">
        <v>70</v>
      </c>
      <c r="C1922" s="2" t="s">
        <v>70</v>
      </c>
      <c r="D1922" s="2" t="s">
        <v>1483</v>
      </c>
      <c r="E1922" s="2" t="s">
        <v>4271</v>
      </c>
      <c r="F1922" s="2" t="s">
        <v>10</v>
      </c>
      <c r="G1922" s="2" t="n">
        <v>608</v>
      </c>
    </row>
    <row r="1923" customFormat="false" ht="15" hidden="false" customHeight="false" outlineLevel="0" collapsed="false">
      <c r="A1923" s="2" t="s">
        <v>1486</v>
      </c>
      <c r="B1923" s="2" t="s">
        <v>1435</v>
      </c>
      <c r="C1923" s="2" t="s">
        <v>70</v>
      </c>
      <c r="D1923" s="2" t="s">
        <v>5905</v>
      </c>
      <c r="E1923" s="2" t="s">
        <v>4264</v>
      </c>
      <c r="F1923" s="2" t="s">
        <v>10</v>
      </c>
      <c r="G1923" s="2" t="n">
        <v>610</v>
      </c>
    </row>
    <row r="1924" customFormat="false" ht="15" hidden="false" customHeight="false" outlineLevel="0" collapsed="false">
      <c r="A1924" s="2" t="s">
        <v>1486</v>
      </c>
      <c r="B1924" s="2" t="s">
        <v>1435</v>
      </c>
      <c r="C1924" s="2" t="s">
        <v>70</v>
      </c>
      <c r="D1924" s="2" t="s">
        <v>5906</v>
      </c>
      <c r="E1924" s="2" t="s">
        <v>4264</v>
      </c>
      <c r="F1924" s="2" t="s">
        <v>10</v>
      </c>
      <c r="G1924" s="2" t="n">
        <v>610</v>
      </c>
    </row>
    <row r="1925" customFormat="false" ht="15" hidden="false" customHeight="false" outlineLevel="0" collapsed="false">
      <c r="A1925" s="2" t="s">
        <v>1486</v>
      </c>
      <c r="B1925" s="2" t="s">
        <v>1435</v>
      </c>
      <c r="C1925" s="2" t="s">
        <v>70</v>
      </c>
      <c r="D1925" s="2" t="s">
        <v>5907</v>
      </c>
      <c r="E1925" s="2" t="s">
        <v>4261</v>
      </c>
      <c r="F1925" s="2" t="s">
        <v>10</v>
      </c>
      <c r="G1925" s="2" t="n">
        <v>610</v>
      </c>
    </row>
    <row r="1926" customFormat="false" ht="15" hidden="false" customHeight="false" outlineLevel="0" collapsed="false">
      <c r="A1926" s="2" t="s">
        <v>1486</v>
      </c>
      <c r="B1926" s="2" t="s">
        <v>1435</v>
      </c>
      <c r="C1926" s="2" t="s">
        <v>70</v>
      </c>
      <c r="D1926" s="2" t="s">
        <v>5908</v>
      </c>
      <c r="E1926" s="2" t="s">
        <v>4261</v>
      </c>
      <c r="F1926" s="2" t="s">
        <v>10</v>
      </c>
      <c r="G1926" s="2" t="n">
        <v>610</v>
      </c>
    </row>
    <row r="1927" customFormat="false" ht="15" hidden="false" customHeight="false" outlineLevel="0" collapsed="false">
      <c r="A1927" s="2" t="s">
        <v>1486</v>
      </c>
      <c r="B1927" s="2" t="s">
        <v>1435</v>
      </c>
      <c r="C1927" s="2" t="s">
        <v>70</v>
      </c>
      <c r="D1927" s="2" t="s">
        <v>5909</v>
      </c>
      <c r="E1927" s="2" t="s">
        <v>4264</v>
      </c>
      <c r="F1927" s="2" t="s">
        <v>10</v>
      </c>
      <c r="G1927" s="2" t="n">
        <v>610</v>
      </c>
    </row>
    <row r="1928" customFormat="false" ht="15" hidden="false" customHeight="false" outlineLevel="0" collapsed="false">
      <c r="A1928" s="2" t="s">
        <v>1488</v>
      </c>
      <c r="B1928" s="2" t="s">
        <v>38</v>
      </c>
      <c r="C1928" s="2" t="s">
        <v>39</v>
      </c>
      <c r="D1928" s="2" t="s">
        <v>5910</v>
      </c>
      <c r="E1928" s="2" t="s">
        <v>4261</v>
      </c>
      <c r="F1928" s="2" t="s">
        <v>8</v>
      </c>
      <c r="G1928" s="2" t="n">
        <v>611</v>
      </c>
    </row>
    <row r="1929" customFormat="false" ht="15" hidden="false" customHeight="false" outlineLevel="0" collapsed="false">
      <c r="A1929" s="2" t="s">
        <v>1488</v>
      </c>
      <c r="B1929" s="2" t="s">
        <v>38</v>
      </c>
      <c r="C1929" s="2" t="s">
        <v>39</v>
      </c>
      <c r="D1929" s="2" t="s">
        <v>5911</v>
      </c>
      <c r="E1929" s="2" t="s">
        <v>4261</v>
      </c>
      <c r="F1929" s="2" t="s">
        <v>8</v>
      </c>
      <c r="G1929" s="2" t="n">
        <v>611</v>
      </c>
    </row>
    <row r="1930" customFormat="false" ht="15" hidden="false" customHeight="false" outlineLevel="0" collapsed="false">
      <c r="A1930" s="2" t="s">
        <v>1488</v>
      </c>
      <c r="B1930" s="2" t="s">
        <v>38</v>
      </c>
      <c r="C1930" s="2" t="s">
        <v>39</v>
      </c>
      <c r="D1930" s="2" t="s">
        <v>5912</v>
      </c>
      <c r="E1930" s="2" t="s">
        <v>4261</v>
      </c>
      <c r="F1930" s="2" t="s">
        <v>8</v>
      </c>
      <c r="G1930" s="2" t="n">
        <v>611</v>
      </c>
    </row>
    <row r="1931" customFormat="false" ht="15" hidden="false" customHeight="false" outlineLevel="0" collapsed="false">
      <c r="A1931" s="2" t="s">
        <v>1498</v>
      </c>
      <c r="B1931" s="2" t="s">
        <v>516</v>
      </c>
      <c r="C1931" s="2" t="s">
        <v>34</v>
      </c>
      <c r="D1931" s="2" t="s">
        <v>5913</v>
      </c>
      <c r="E1931" s="2" t="s">
        <v>4261</v>
      </c>
      <c r="F1931" s="2" t="s">
        <v>8</v>
      </c>
      <c r="G1931" s="2" t="n">
        <v>615</v>
      </c>
    </row>
    <row r="1932" customFormat="false" ht="15" hidden="false" customHeight="false" outlineLevel="0" collapsed="false">
      <c r="A1932" s="2" t="s">
        <v>1498</v>
      </c>
      <c r="B1932" s="2" t="s">
        <v>516</v>
      </c>
      <c r="C1932" s="2" t="s">
        <v>34</v>
      </c>
      <c r="D1932" s="2" t="s">
        <v>5914</v>
      </c>
      <c r="E1932" s="2" t="s">
        <v>4261</v>
      </c>
      <c r="F1932" s="2" t="s">
        <v>8</v>
      </c>
      <c r="G1932" s="2" t="n">
        <v>615</v>
      </c>
    </row>
    <row r="1933" customFormat="false" ht="15" hidden="false" customHeight="false" outlineLevel="0" collapsed="false">
      <c r="A1933" s="2" t="s">
        <v>1498</v>
      </c>
      <c r="B1933" s="2" t="s">
        <v>516</v>
      </c>
      <c r="C1933" s="2" t="s">
        <v>34</v>
      </c>
      <c r="D1933" s="2" t="s">
        <v>5915</v>
      </c>
      <c r="E1933" s="2" t="s">
        <v>4261</v>
      </c>
      <c r="F1933" s="2" t="s">
        <v>8</v>
      </c>
      <c r="G1933" s="2" t="n">
        <v>615</v>
      </c>
    </row>
    <row r="1934" customFormat="false" ht="15" hidden="false" customHeight="false" outlineLevel="0" collapsed="false">
      <c r="A1934" s="2" t="s">
        <v>1503</v>
      </c>
      <c r="B1934" s="2" t="s">
        <v>70</v>
      </c>
      <c r="C1934" s="2" t="s">
        <v>70</v>
      </c>
      <c r="D1934" s="2" t="s">
        <v>1504</v>
      </c>
      <c r="E1934" s="2" t="s">
        <v>4271</v>
      </c>
      <c r="F1934" s="2" t="s">
        <v>10</v>
      </c>
      <c r="G1934" s="2" t="n">
        <v>618</v>
      </c>
    </row>
    <row r="1935" customFormat="false" ht="15" hidden="false" customHeight="false" outlineLevel="0" collapsed="false">
      <c r="A1935" s="2" t="s">
        <v>1505</v>
      </c>
      <c r="B1935" s="2" t="s">
        <v>1506</v>
      </c>
      <c r="C1935" s="2" t="s">
        <v>70</v>
      </c>
      <c r="D1935" s="2" t="s">
        <v>1507</v>
      </c>
      <c r="E1935" s="2" t="s">
        <v>4271</v>
      </c>
      <c r="F1935" s="2" t="s">
        <v>10</v>
      </c>
      <c r="G1935" s="2" t="n">
        <v>619</v>
      </c>
    </row>
    <row r="1936" customFormat="false" ht="15" hidden="false" customHeight="false" outlineLevel="0" collapsed="false">
      <c r="A1936" s="2" t="s">
        <v>1509</v>
      </c>
      <c r="B1936" s="2" t="s">
        <v>1510</v>
      </c>
      <c r="C1936" s="2" t="s">
        <v>70</v>
      </c>
      <c r="D1936" s="2" t="s">
        <v>1510</v>
      </c>
      <c r="E1936" s="2" t="s">
        <v>4271</v>
      </c>
      <c r="F1936" s="2" t="s">
        <v>8</v>
      </c>
      <c r="G1936" s="2" t="n">
        <v>621</v>
      </c>
    </row>
    <row r="1937" customFormat="false" ht="15" hidden="false" customHeight="false" outlineLevel="0" collapsed="false">
      <c r="A1937" s="2" t="s">
        <v>1514</v>
      </c>
      <c r="B1937" s="2" t="s">
        <v>1383</v>
      </c>
      <c r="C1937" s="2" t="s">
        <v>70</v>
      </c>
      <c r="D1937" s="2" t="s">
        <v>1515</v>
      </c>
      <c r="E1937" s="2" t="s">
        <v>4264</v>
      </c>
      <c r="F1937" s="2" t="s">
        <v>10</v>
      </c>
      <c r="G1937" s="2" t="n">
        <v>624</v>
      </c>
    </row>
    <row r="1938" customFormat="false" ht="15" hidden="false" customHeight="false" outlineLevel="0" collapsed="false">
      <c r="A1938" s="2" t="s">
        <v>1519</v>
      </c>
      <c r="B1938" s="2" t="s">
        <v>56</v>
      </c>
      <c r="C1938" s="2" t="s">
        <v>56</v>
      </c>
      <c r="D1938" s="2" t="s">
        <v>5916</v>
      </c>
      <c r="E1938" s="2" t="s">
        <v>4264</v>
      </c>
      <c r="F1938" s="2" t="s">
        <v>8</v>
      </c>
      <c r="G1938" s="2" t="n">
        <v>627</v>
      </c>
    </row>
    <row r="1939" customFormat="false" ht="15" hidden="false" customHeight="false" outlineLevel="0" collapsed="false">
      <c r="A1939" s="2" t="s">
        <v>1519</v>
      </c>
      <c r="B1939" s="2" t="s">
        <v>56</v>
      </c>
      <c r="C1939" s="2" t="s">
        <v>56</v>
      </c>
      <c r="D1939" s="2" t="s">
        <v>5917</v>
      </c>
      <c r="E1939" s="2" t="s">
        <v>4264</v>
      </c>
      <c r="F1939" s="2" t="s">
        <v>8</v>
      </c>
      <c r="G1939" s="2" t="n">
        <v>627</v>
      </c>
    </row>
    <row r="1940" customFormat="false" ht="15" hidden="false" customHeight="false" outlineLevel="0" collapsed="false">
      <c r="A1940" s="2" t="s">
        <v>1519</v>
      </c>
      <c r="B1940" s="2" t="s">
        <v>56</v>
      </c>
      <c r="C1940" s="2" t="s">
        <v>56</v>
      </c>
      <c r="D1940" s="2" t="s">
        <v>5918</v>
      </c>
      <c r="E1940" s="2" t="s">
        <v>4264</v>
      </c>
      <c r="F1940" s="2" t="s">
        <v>8</v>
      </c>
      <c r="G1940" s="2" t="n">
        <v>627</v>
      </c>
    </row>
    <row r="1941" customFormat="false" ht="15" hidden="false" customHeight="false" outlineLevel="0" collapsed="false">
      <c r="A1941" s="2" t="s">
        <v>1519</v>
      </c>
      <c r="B1941" s="2" t="s">
        <v>56</v>
      </c>
      <c r="C1941" s="2" t="s">
        <v>56</v>
      </c>
      <c r="D1941" s="2" t="s">
        <v>5919</v>
      </c>
      <c r="E1941" s="2" t="s">
        <v>4264</v>
      </c>
      <c r="F1941" s="2" t="s">
        <v>8</v>
      </c>
      <c r="G1941" s="2" t="n">
        <v>627</v>
      </c>
    </row>
    <row r="1942" customFormat="false" ht="15" hidden="false" customHeight="false" outlineLevel="0" collapsed="false">
      <c r="A1942" s="2" t="s">
        <v>1519</v>
      </c>
      <c r="B1942" s="2" t="s">
        <v>56</v>
      </c>
      <c r="C1942" s="2" t="s">
        <v>56</v>
      </c>
      <c r="D1942" s="2" t="s">
        <v>5920</v>
      </c>
      <c r="E1942" s="2" t="s">
        <v>4261</v>
      </c>
      <c r="F1942" s="2" t="s">
        <v>8</v>
      </c>
      <c r="G1942" s="2" t="n">
        <v>627</v>
      </c>
    </row>
    <row r="1943" customFormat="false" ht="15" hidden="false" customHeight="false" outlineLevel="0" collapsed="false">
      <c r="A1943" s="2" t="s">
        <v>1519</v>
      </c>
      <c r="B1943" s="2" t="s">
        <v>56</v>
      </c>
      <c r="C1943" s="2" t="s">
        <v>56</v>
      </c>
      <c r="D1943" s="2" t="s">
        <v>5921</v>
      </c>
      <c r="E1943" s="2" t="s">
        <v>4264</v>
      </c>
      <c r="F1943" s="2" t="s">
        <v>8</v>
      </c>
      <c r="G1943" s="2" t="n">
        <v>627</v>
      </c>
    </row>
    <row r="1944" customFormat="false" ht="15" hidden="false" customHeight="false" outlineLevel="0" collapsed="false">
      <c r="A1944" s="2" t="s">
        <v>1531</v>
      </c>
      <c r="B1944" s="2" t="s">
        <v>44</v>
      </c>
      <c r="C1944" s="2" t="s">
        <v>44</v>
      </c>
      <c r="D1944" s="2" t="s">
        <v>5922</v>
      </c>
      <c r="E1944" s="2" t="s">
        <v>4264</v>
      </c>
      <c r="F1944" s="2" t="s">
        <v>9</v>
      </c>
      <c r="G1944" s="2" t="n">
        <v>632</v>
      </c>
    </row>
    <row r="1945" customFormat="false" ht="15" hidden="false" customHeight="false" outlineLevel="0" collapsed="false">
      <c r="A1945" s="2" t="s">
        <v>1531</v>
      </c>
      <c r="B1945" s="2" t="s">
        <v>44</v>
      </c>
      <c r="C1945" s="2" t="s">
        <v>44</v>
      </c>
      <c r="D1945" s="2" t="s">
        <v>5923</v>
      </c>
      <c r="E1945" s="2" t="s">
        <v>4264</v>
      </c>
      <c r="F1945" s="2" t="s">
        <v>9</v>
      </c>
      <c r="G1945" s="2" t="n">
        <v>632</v>
      </c>
    </row>
    <row r="1946" customFormat="false" ht="15" hidden="false" customHeight="false" outlineLevel="0" collapsed="false">
      <c r="A1946" s="2" t="s">
        <v>1531</v>
      </c>
      <c r="B1946" s="2" t="s">
        <v>44</v>
      </c>
      <c r="C1946" s="2" t="s">
        <v>44</v>
      </c>
      <c r="D1946" s="2" t="s">
        <v>5924</v>
      </c>
      <c r="E1946" s="2" t="s">
        <v>4264</v>
      </c>
      <c r="F1946" s="2" t="s">
        <v>9</v>
      </c>
      <c r="G1946" s="2" t="n">
        <v>632</v>
      </c>
    </row>
    <row r="1947" customFormat="false" ht="15" hidden="false" customHeight="false" outlineLevel="0" collapsed="false">
      <c r="A1947" s="2" t="s">
        <v>1531</v>
      </c>
      <c r="B1947" s="2" t="s">
        <v>44</v>
      </c>
      <c r="C1947" s="2" t="s">
        <v>44</v>
      </c>
      <c r="D1947" s="2" t="s">
        <v>5925</v>
      </c>
      <c r="E1947" s="2" t="s">
        <v>4264</v>
      </c>
      <c r="F1947" s="2" t="s">
        <v>9</v>
      </c>
      <c r="G1947" s="2" t="n">
        <v>632</v>
      </c>
    </row>
    <row r="1948" customFormat="false" ht="15" hidden="false" customHeight="false" outlineLevel="0" collapsed="false">
      <c r="A1948" s="2" t="s">
        <v>1531</v>
      </c>
      <c r="B1948" s="2" t="s">
        <v>44</v>
      </c>
      <c r="C1948" s="2" t="s">
        <v>44</v>
      </c>
      <c r="D1948" s="2" t="s">
        <v>5926</v>
      </c>
      <c r="E1948" s="2" t="s">
        <v>4264</v>
      </c>
      <c r="F1948" s="2" t="s">
        <v>9</v>
      </c>
      <c r="G1948" s="2" t="n">
        <v>632</v>
      </c>
    </row>
    <row r="1949" customFormat="false" ht="15" hidden="false" customHeight="false" outlineLevel="0" collapsed="false">
      <c r="A1949" s="2" t="s">
        <v>1531</v>
      </c>
      <c r="B1949" s="2" t="s">
        <v>44</v>
      </c>
      <c r="C1949" s="2" t="s">
        <v>44</v>
      </c>
      <c r="D1949" s="2" t="s">
        <v>5927</v>
      </c>
      <c r="E1949" s="2" t="s">
        <v>4271</v>
      </c>
      <c r="F1949" s="2" t="s">
        <v>9</v>
      </c>
      <c r="G1949" s="2" t="n">
        <v>632</v>
      </c>
    </row>
    <row r="1950" customFormat="false" ht="15" hidden="false" customHeight="false" outlineLevel="0" collapsed="false">
      <c r="A1950" s="2" t="s">
        <v>1531</v>
      </c>
      <c r="B1950" s="2" t="s">
        <v>44</v>
      </c>
      <c r="C1950" s="2" t="s">
        <v>44</v>
      </c>
      <c r="D1950" s="2" t="s">
        <v>2960</v>
      </c>
      <c r="E1950" s="2" t="s">
        <v>4264</v>
      </c>
      <c r="F1950" s="2" t="s">
        <v>9</v>
      </c>
      <c r="G1950" s="2" t="n">
        <v>632</v>
      </c>
    </row>
    <row r="1951" customFormat="false" ht="15" hidden="false" customHeight="false" outlineLevel="0" collapsed="false">
      <c r="A1951" s="2" t="s">
        <v>1533</v>
      </c>
      <c r="B1951" s="2" t="s">
        <v>70</v>
      </c>
      <c r="C1951" s="2" t="s">
        <v>70</v>
      </c>
      <c r="D1951" s="2" t="s">
        <v>1172</v>
      </c>
      <c r="E1951" s="2" t="s">
        <v>4264</v>
      </c>
      <c r="F1951" s="2" t="s">
        <v>10</v>
      </c>
      <c r="G1951" s="2" t="n">
        <v>633</v>
      </c>
    </row>
    <row r="1952" customFormat="false" ht="15" hidden="false" customHeight="false" outlineLevel="0" collapsed="false">
      <c r="A1952" s="2" t="s">
        <v>1533</v>
      </c>
      <c r="B1952" s="2" t="s">
        <v>70</v>
      </c>
      <c r="C1952" s="2" t="s">
        <v>70</v>
      </c>
      <c r="D1952" s="2" t="s">
        <v>5928</v>
      </c>
      <c r="E1952" s="2" t="s">
        <v>4261</v>
      </c>
      <c r="F1952" s="2" t="s">
        <v>10</v>
      </c>
      <c r="G1952" s="2" t="n">
        <v>633</v>
      </c>
    </row>
    <row r="1953" customFormat="false" ht="15" hidden="false" customHeight="false" outlineLevel="0" collapsed="false">
      <c r="A1953" s="2" t="s">
        <v>1535</v>
      </c>
      <c r="B1953" s="2" t="s">
        <v>1536</v>
      </c>
      <c r="C1953" s="2" t="s">
        <v>70</v>
      </c>
      <c r="D1953" s="2" t="s">
        <v>1536</v>
      </c>
      <c r="E1953" s="2" t="s">
        <v>4264</v>
      </c>
      <c r="F1953" s="2" t="s">
        <v>8</v>
      </c>
      <c r="G1953" s="2" t="n">
        <v>634</v>
      </c>
    </row>
    <row r="1954" customFormat="false" ht="15" hidden="false" customHeight="false" outlineLevel="0" collapsed="false">
      <c r="A1954" s="2" t="s">
        <v>1537</v>
      </c>
      <c r="B1954" s="2" t="s">
        <v>1112</v>
      </c>
      <c r="C1954" s="2" t="s">
        <v>70</v>
      </c>
      <c r="D1954" s="2" t="s">
        <v>1538</v>
      </c>
      <c r="E1954" s="2" t="s">
        <v>4261</v>
      </c>
      <c r="F1954" s="2" t="s">
        <v>10</v>
      </c>
      <c r="G1954" s="2" t="n">
        <v>635</v>
      </c>
    </row>
    <row r="1955" customFormat="false" ht="15" hidden="false" customHeight="false" outlineLevel="0" collapsed="false">
      <c r="A1955" s="2" t="s">
        <v>1539</v>
      </c>
      <c r="B1955" s="2" t="s">
        <v>1383</v>
      </c>
      <c r="C1955" s="2" t="s">
        <v>70</v>
      </c>
      <c r="D1955" s="2" t="s">
        <v>1540</v>
      </c>
      <c r="E1955" s="2" t="s">
        <v>4271</v>
      </c>
      <c r="F1955" s="2" t="s">
        <v>9</v>
      </c>
      <c r="G1955" s="2" t="n">
        <v>636</v>
      </c>
    </row>
    <row r="1956" customFormat="false" ht="15" hidden="false" customHeight="false" outlineLevel="0" collapsed="false">
      <c r="A1956" s="2" t="s">
        <v>1544</v>
      </c>
      <c r="B1956" s="2" t="s">
        <v>679</v>
      </c>
      <c r="C1956" s="2" t="s">
        <v>70</v>
      </c>
      <c r="D1956" s="2" t="s">
        <v>1545</v>
      </c>
      <c r="E1956" s="2" t="s">
        <v>4264</v>
      </c>
      <c r="F1956" s="2" t="s">
        <v>8</v>
      </c>
      <c r="G1956" s="2" t="n">
        <v>639</v>
      </c>
    </row>
    <row r="1957" customFormat="false" ht="15" hidden="false" customHeight="false" outlineLevel="0" collapsed="false">
      <c r="A1957" s="2" t="s">
        <v>1546</v>
      </c>
      <c r="B1957" s="2" t="s">
        <v>70</v>
      </c>
      <c r="C1957" s="2" t="s">
        <v>70</v>
      </c>
      <c r="D1957" s="2" t="s">
        <v>5929</v>
      </c>
      <c r="E1957" s="2" t="s">
        <v>4264</v>
      </c>
      <c r="F1957" s="2" t="s">
        <v>10</v>
      </c>
      <c r="G1957" s="2" t="n">
        <v>640</v>
      </c>
    </row>
    <row r="1958" customFormat="false" ht="15" hidden="false" customHeight="false" outlineLevel="0" collapsed="false">
      <c r="A1958" s="2" t="s">
        <v>1546</v>
      </c>
      <c r="B1958" s="2" t="s">
        <v>70</v>
      </c>
      <c r="C1958" s="2" t="s">
        <v>70</v>
      </c>
      <c r="D1958" s="2" t="s">
        <v>4729</v>
      </c>
      <c r="E1958" s="2" t="s">
        <v>4271</v>
      </c>
      <c r="F1958" s="2" t="s">
        <v>10</v>
      </c>
      <c r="G1958" s="2" t="n">
        <v>640</v>
      </c>
    </row>
    <row r="1959" customFormat="false" ht="15" hidden="false" customHeight="false" outlineLevel="0" collapsed="false">
      <c r="A1959" s="2" t="s">
        <v>1546</v>
      </c>
      <c r="B1959" s="2" t="s">
        <v>70</v>
      </c>
      <c r="C1959" s="2" t="s">
        <v>70</v>
      </c>
      <c r="D1959" s="2" t="s">
        <v>5930</v>
      </c>
      <c r="E1959" s="2" t="s">
        <v>4261</v>
      </c>
      <c r="F1959" s="2" t="s">
        <v>10</v>
      </c>
      <c r="G1959" s="2" t="n">
        <v>640</v>
      </c>
    </row>
    <row r="1960" customFormat="false" ht="15" hidden="false" customHeight="false" outlineLevel="0" collapsed="false">
      <c r="A1960" s="2" t="s">
        <v>1546</v>
      </c>
      <c r="B1960" s="2" t="s">
        <v>70</v>
      </c>
      <c r="C1960" s="2" t="s">
        <v>70</v>
      </c>
      <c r="D1960" s="2" t="s">
        <v>5931</v>
      </c>
      <c r="E1960" s="2" t="s">
        <v>4264</v>
      </c>
      <c r="F1960" s="2" t="s">
        <v>10</v>
      </c>
      <c r="G1960" s="2" t="n">
        <v>640</v>
      </c>
    </row>
    <row r="1961" customFormat="false" ht="15" hidden="false" customHeight="false" outlineLevel="0" collapsed="false">
      <c r="A1961" s="2" t="s">
        <v>1546</v>
      </c>
      <c r="B1961" s="2" t="s">
        <v>70</v>
      </c>
      <c r="C1961" s="2" t="s">
        <v>70</v>
      </c>
      <c r="D1961" s="2" t="s">
        <v>5932</v>
      </c>
      <c r="E1961" s="2" t="s">
        <v>4264</v>
      </c>
      <c r="F1961" s="2" t="s">
        <v>10</v>
      </c>
      <c r="G1961" s="2" t="n">
        <v>640</v>
      </c>
    </row>
    <row r="1962" customFormat="false" ht="15" hidden="false" customHeight="false" outlineLevel="0" collapsed="false">
      <c r="A1962" s="2" t="s">
        <v>1546</v>
      </c>
      <c r="B1962" s="2" t="s">
        <v>70</v>
      </c>
      <c r="C1962" s="2" t="s">
        <v>70</v>
      </c>
      <c r="D1962" s="2" t="s">
        <v>5933</v>
      </c>
      <c r="E1962" s="2" t="s">
        <v>4261</v>
      </c>
      <c r="F1962" s="2" t="s">
        <v>10</v>
      </c>
      <c r="G1962" s="2" t="n">
        <v>640</v>
      </c>
    </row>
    <row r="1963" customFormat="false" ht="15" hidden="false" customHeight="false" outlineLevel="0" collapsed="false">
      <c r="A1963" s="2" t="s">
        <v>1548</v>
      </c>
      <c r="B1963" s="2" t="s">
        <v>56</v>
      </c>
      <c r="C1963" s="2" t="s">
        <v>56</v>
      </c>
      <c r="D1963" s="2" t="s">
        <v>5723</v>
      </c>
      <c r="E1963" s="2" t="s">
        <v>4264</v>
      </c>
      <c r="F1963" s="2" t="s">
        <v>8</v>
      </c>
      <c r="G1963" s="2" t="n">
        <v>641</v>
      </c>
    </row>
    <row r="1964" customFormat="false" ht="15" hidden="false" customHeight="false" outlineLevel="0" collapsed="false">
      <c r="A1964" s="2" t="s">
        <v>1548</v>
      </c>
      <c r="B1964" s="2" t="s">
        <v>56</v>
      </c>
      <c r="C1964" s="2" t="s">
        <v>56</v>
      </c>
      <c r="D1964" s="2" t="s">
        <v>5934</v>
      </c>
      <c r="E1964" s="2" t="s">
        <v>4264</v>
      </c>
      <c r="F1964" s="2" t="s">
        <v>8</v>
      </c>
      <c r="G1964" s="2" t="n">
        <v>641</v>
      </c>
    </row>
    <row r="1965" customFormat="false" ht="15" hidden="false" customHeight="false" outlineLevel="0" collapsed="false">
      <c r="A1965" s="2" t="s">
        <v>1548</v>
      </c>
      <c r="B1965" s="2" t="s">
        <v>56</v>
      </c>
      <c r="C1965" s="2" t="s">
        <v>56</v>
      </c>
      <c r="D1965" s="2" t="s">
        <v>5935</v>
      </c>
      <c r="E1965" s="2" t="s">
        <v>4261</v>
      </c>
      <c r="F1965" s="2" t="s">
        <v>8</v>
      </c>
      <c r="G1965" s="2" t="n">
        <v>641</v>
      </c>
    </row>
    <row r="1966" customFormat="false" ht="15" hidden="false" customHeight="false" outlineLevel="0" collapsed="false">
      <c r="A1966" s="2" t="s">
        <v>1548</v>
      </c>
      <c r="B1966" s="2" t="s">
        <v>56</v>
      </c>
      <c r="C1966" s="2" t="s">
        <v>56</v>
      </c>
      <c r="D1966" s="2" t="s">
        <v>5936</v>
      </c>
      <c r="E1966" s="2" t="s">
        <v>4264</v>
      </c>
      <c r="F1966" s="2" t="s">
        <v>8</v>
      </c>
      <c r="G1966" s="2" t="n">
        <v>641</v>
      </c>
    </row>
    <row r="1967" customFormat="false" ht="15" hidden="false" customHeight="false" outlineLevel="0" collapsed="false">
      <c r="A1967" s="2" t="s">
        <v>1548</v>
      </c>
      <c r="B1967" s="2" t="s">
        <v>56</v>
      </c>
      <c r="C1967" s="2" t="s">
        <v>56</v>
      </c>
      <c r="D1967" s="2" t="s">
        <v>5937</v>
      </c>
      <c r="E1967" s="2" t="s">
        <v>4261</v>
      </c>
      <c r="F1967" s="2" t="s">
        <v>8</v>
      </c>
      <c r="G1967" s="2" t="n">
        <v>641</v>
      </c>
    </row>
    <row r="1968" customFormat="false" ht="15" hidden="false" customHeight="false" outlineLevel="0" collapsed="false">
      <c r="A1968" s="2" t="s">
        <v>1548</v>
      </c>
      <c r="B1968" s="2" t="s">
        <v>56</v>
      </c>
      <c r="C1968" s="2" t="s">
        <v>56</v>
      </c>
      <c r="D1968" s="2" t="s">
        <v>5938</v>
      </c>
      <c r="E1968" s="2" t="s">
        <v>4264</v>
      </c>
      <c r="F1968" s="2" t="s">
        <v>8</v>
      </c>
      <c r="G1968" s="2" t="n">
        <v>641</v>
      </c>
    </row>
    <row r="1969" customFormat="false" ht="15" hidden="false" customHeight="false" outlineLevel="0" collapsed="false">
      <c r="A1969" s="2" t="s">
        <v>1551</v>
      </c>
      <c r="B1969" s="2" t="s">
        <v>70</v>
      </c>
      <c r="C1969" s="2" t="s">
        <v>70</v>
      </c>
      <c r="D1969" s="2" t="s">
        <v>5793</v>
      </c>
      <c r="E1969" s="2" t="s">
        <v>4271</v>
      </c>
      <c r="F1969" s="2" t="s">
        <v>9</v>
      </c>
      <c r="G1969" s="2" t="n">
        <v>643</v>
      </c>
    </row>
    <row r="1970" customFormat="false" ht="15" hidden="false" customHeight="false" outlineLevel="0" collapsed="false">
      <c r="A1970" s="2" t="s">
        <v>1551</v>
      </c>
      <c r="B1970" s="2" t="s">
        <v>70</v>
      </c>
      <c r="C1970" s="2" t="s">
        <v>70</v>
      </c>
      <c r="D1970" s="2" t="s">
        <v>5723</v>
      </c>
      <c r="E1970" s="2" t="s">
        <v>4264</v>
      </c>
      <c r="F1970" s="2" t="s">
        <v>9</v>
      </c>
      <c r="G1970" s="2" t="n">
        <v>643</v>
      </c>
    </row>
    <row r="1971" customFormat="false" ht="15" hidden="false" customHeight="false" outlineLevel="0" collapsed="false">
      <c r="A1971" s="2" t="s">
        <v>1551</v>
      </c>
      <c r="B1971" s="2" t="s">
        <v>70</v>
      </c>
      <c r="C1971" s="2" t="s">
        <v>70</v>
      </c>
      <c r="D1971" s="2" t="s">
        <v>3063</v>
      </c>
      <c r="E1971" s="2" t="s">
        <v>4261</v>
      </c>
      <c r="F1971" s="2" t="s">
        <v>9</v>
      </c>
      <c r="G1971" s="2" t="n">
        <v>643</v>
      </c>
    </row>
    <row r="1972" customFormat="false" ht="15" hidden="false" customHeight="false" outlineLevel="0" collapsed="false">
      <c r="A1972" s="2" t="s">
        <v>1551</v>
      </c>
      <c r="B1972" s="2" t="s">
        <v>70</v>
      </c>
      <c r="C1972" s="2" t="s">
        <v>70</v>
      </c>
      <c r="D1972" s="2" t="s">
        <v>5939</v>
      </c>
      <c r="E1972" s="2" t="s">
        <v>4264</v>
      </c>
      <c r="F1972" s="2" t="s">
        <v>9</v>
      </c>
      <c r="G1972" s="2" t="n">
        <v>643</v>
      </c>
    </row>
    <row r="1973" customFormat="false" ht="15" hidden="false" customHeight="false" outlineLevel="0" collapsed="false">
      <c r="A1973" s="2" t="s">
        <v>1551</v>
      </c>
      <c r="B1973" s="2" t="s">
        <v>70</v>
      </c>
      <c r="C1973" s="2" t="s">
        <v>70</v>
      </c>
      <c r="D1973" s="2" t="s">
        <v>5940</v>
      </c>
      <c r="E1973" s="2" t="s">
        <v>4261</v>
      </c>
      <c r="F1973" s="2" t="s">
        <v>9</v>
      </c>
      <c r="G1973" s="2" t="n">
        <v>643</v>
      </c>
    </row>
    <row r="1974" customFormat="false" ht="15" hidden="false" customHeight="false" outlineLevel="0" collapsed="false">
      <c r="A1974" s="2" t="s">
        <v>1551</v>
      </c>
      <c r="B1974" s="2" t="s">
        <v>70</v>
      </c>
      <c r="C1974" s="2" t="s">
        <v>70</v>
      </c>
      <c r="D1974" s="2" t="s">
        <v>5941</v>
      </c>
      <c r="E1974" s="2" t="s">
        <v>4261</v>
      </c>
      <c r="F1974" s="2" t="s">
        <v>9</v>
      </c>
      <c r="G1974" s="2" t="n">
        <v>643</v>
      </c>
    </row>
    <row r="1975" customFormat="false" ht="15" hidden="false" customHeight="false" outlineLevel="0" collapsed="false">
      <c r="A1975" s="2" t="s">
        <v>1551</v>
      </c>
      <c r="B1975" s="2" t="s">
        <v>70</v>
      </c>
      <c r="C1975" s="2" t="s">
        <v>70</v>
      </c>
      <c r="D1975" s="2" t="s">
        <v>5942</v>
      </c>
      <c r="E1975" s="2" t="s">
        <v>4261</v>
      </c>
      <c r="F1975" s="2" t="s">
        <v>9</v>
      </c>
      <c r="G1975" s="2" t="n">
        <v>643</v>
      </c>
    </row>
    <row r="1976" customFormat="false" ht="15" hidden="false" customHeight="false" outlineLevel="0" collapsed="false">
      <c r="A1976" s="2" t="s">
        <v>1553</v>
      </c>
      <c r="B1976" s="2" t="s">
        <v>84</v>
      </c>
      <c r="C1976" s="2" t="s">
        <v>70</v>
      </c>
      <c r="D1976" s="2" t="s">
        <v>1554</v>
      </c>
      <c r="E1976" s="2" t="s">
        <v>4261</v>
      </c>
      <c r="F1976" s="2" t="s">
        <v>10</v>
      </c>
      <c r="G1976" s="2" t="n">
        <v>644</v>
      </c>
    </row>
    <row r="1977" customFormat="false" ht="15" hidden="false" customHeight="false" outlineLevel="0" collapsed="false">
      <c r="A1977" s="2" t="s">
        <v>1560</v>
      </c>
      <c r="B1977" s="2" t="s">
        <v>1561</v>
      </c>
      <c r="C1977" s="2" t="s">
        <v>39</v>
      </c>
      <c r="D1977" s="2" t="s">
        <v>1562</v>
      </c>
      <c r="E1977" s="2" t="s">
        <v>4261</v>
      </c>
      <c r="F1977" s="2" t="s">
        <v>8</v>
      </c>
      <c r="G1977" s="2" t="n">
        <v>647</v>
      </c>
    </row>
    <row r="1978" customFormat="false" ht="15" hidden="false" customHeight="false" outlineLevel="0" collapsed="false">
      <c r="A1978" s="2" t="s">
        <v>1567</v>
      </c>
      <c r="B1978" s="2" t="s">
        <v>1568</v>
      </c>
      <c r="C1978" s="2" t="s">
        <v>44</v>
      </c>
      <c r="D1978" s="2" t="s">
        <v>5943</v>
      </c>
      <c r="E1978" s="2" t="s">
        <v>4261</v>
      </c>
      <c r="F1978" s="2" t="s">
        <v>10</v>
      </c>
      <c r="G1978" s="2" t="n">
        <v>650</v>
      </c>
    </row>
    <row r="1979" customFormat="false" ht="15" hidden="false" customHeight="false" outlineLevel="0" collapsed="false">
      <c r="A1979" s="2" t="s">
        <v>1567</v>
      </c>
      <c r="B1979" s="2" t="s">
        <v>1568</v>
      </c>
      <c r="C1979" s="2" t="s">
        <v>44</v>
      </c>
      <c r="D1979" s="2" t="s">
        <v>5944</v>
      </c>
      <c r="E1979" s="2" t="s">
        <v>4264</v>
      </c>
      <c r="F1979" s="2" t="s">
        <v>10</v>
      </c>
      <c r="G1979" s="2" t="n">
        <v>650</v>
      </c>
    </row>
    <row r="1980" customFormat="false" ht="15" hidden="false" customHeight="false" outlineLevel="0" collapsed="false">
      <c r="A1980" s="2" t="s">
        <v>1567</v>
      </c>
      <c r="B1980" s="2" t="s">
        <v>1568</v>
      </c>
      <c r="C1980" s="2" t="s">
        <v>44</v>
      </c>
      <c r="D1980" s="2" t="s">
        <v>5945</v>
      </c>
      <c r="E1980" s="2" t="s">
        <v>4261</v>
      </c>
      <c r="F1980" s="2" t="s">
        <v>10</v>
      </c>
      <c r="G1980" s="2" t="n">
        <v>650</v>
      </c>
    </row>
    <row r="1981" customFormat="false" ht="15" hidden="false" customHeight="false" outlineLevel="0" collapsed="false">
      <c r="A1981" s="2" t="s">
        <v>1567</v>
      </c>
      <c r="B1981" s="2" t="s">
        <v>1568</v>
      </c>
      <c r="C1981" s="2" t="s">
        <v>44</v>
      </c>
      <c r="D1981" s="2" t="s">
        <v>5946</v>
      </c>
      <c r="E1981" s="2" t="s">
        <v>4264</v>
      </c>
      <c r="F1981" s="2" t="s">
        <v>10</v>
      </c>
      <c r="G1981" s="2" t="n">
        <v>650</v>
      </c>
    </row>
    <row r="1982" customFormat="false" ht="15" hidden="false" customHeight="false" outlineLevel="0" collapsed="false">
      <c r="A1982" s="2" t="s">
        <v>1567</v>
      </c>
      <c r="B1982" s="2" t="s">
        <v>1568</v>
      </c>
      <c r="C1982" s="2" t="s">
        <v>44</v>
      </c>
      <c r="D1982" s="2" t="s">
        <v>5947</v>
      </c>
      <c r="E1982" s="2" t="s">
        <v>4261</v>
      </c>
      <c r="F1982" s="2" t="s">
        <v>10</v>
      </c>
      <c r="G1982" s="2" t="n">
        <v>650</v>
      </c>
    </row>
    <row r="1983" customFormat="false" ht="15" hidden="false" customHeight="false" outlineLevel="0" collapsed="false">
      <c r="A1983" s="2" t="s">
        <v>1567</v>
      </c>
      <c r="B1983" s="2" t="s">
        <v>1568</v>
      </c>
      <c r="C1983" s="2" t="s">
        <v>44</v>
      </c>
      <c r="D1983" s="2" t="s">
        <v>1568</v>
      </c>
      <c r="E1983" s="2" t="s">
        <v>4271</v>
      </c>
      <c r="F1983" s="2" t="s">
        <v>10</v>
      </c>
      <c r="G1983" s="2" t="n">
        <v>650</v>
      </c>
    </row>
    <row r="1984" customFormat="false" ht="15" hidden="false" customHeight="false" outlineLevel="0" collapsed="false">
      <c r="A1984" s="2" t="s">
        <v>1567</v>
      </c>
      <c r="B1984" s="2" t="s">
        <v>1568</v>
      </c>
      <c r="C1984" s="2" t="s">
        <v>44</v>
      </c>
      <c r="D1984" s="2" t="s">
        <v>5948</v>
      </c>
      <c r="E1984" s="2" t="s">
        <v>4264</v>
      </c>
      <c r="F1984" s="2" t="s">
        <v>10</v>
      </c>
      <c r="G1984" s="2" t="n">
        <v>650</v>
      </c>
    </row>
    <row r="1985" customFormat="false" ht="15" hidden="false" customHeight="false" outlineLevel="0" collapsed="false">
      <c r="A1985" s="2" t="s">
        <v>1575</v>
      </c>
      <c r="B1985" s="2" t="s">
        <v>1576</v>
      </c>
      <c r="C1985" s="2" t="s">
        <v>27</v>
      </c>
      <c r="D1985" s="2" t="s">
        <v>1577</v>
      </c>
      <c r="E1985" s="2" t="s">
        <v>4271</v>
      </c>
      <c r="F1985" s="2" t="s">
        <v>8</v>
      </c>
      <c r="G1985" s="2" t="n">
        <v>653</v>
      </c>
    </row>
    <row r="1986" customFormat="false" ht="15" hidden="false" customHeight="false" outlineLevel="0" collapsed="false">
      <c r="A1986" s="2" t="s">
        <v>1586</v>
      </c>
      <c r="B1986" s="2" t="s">
        <v>1587</v>
      </c>
      <c r="C1986" s="2" t="s">
        <v>190</v>
      </c>
      <c r="D1986" s="2" t="s">
        <v>1588</v>
      </c>
      <c r="E1986" s="2" t="s">
        <v>4261</v>
      </c>
      <c r="F1986" s="2" t="s">
        <v>9</v>
      </c>
      <c r="G1986" s="2" t="n">
        <v>656</v>
      </c>
    </row>
    <row r="1987" customFormat="false" ht="15" hidden="false" customHeight="false" outlineLevel="0" collapsed="false">
      <c r="A1987" s="2" t="s">
        <v>1598</v>
      </c>
      <c r="B1987" s="2" t="s">
        <v>70</v>
      </c>
      <c r="C1987" s="2" t="s">
        <v>70</v>
      </c>
      <c r="D1987" s="2" t="s">
        <v>5949</v>
      </c>
      <c r="E1987" s="2" t="s">
        <v>4271</v>
      </c>
      <c r="F1987" s="2" t="s">
        <v>10</v>
      </c>
      <c r="G1987" s="2" t="n">
        <v>659</v>
      </c>
    </row>
    <row r="1988" customFormat="false" ht="15" hidden="false" customHeight="false" outlineLevel="0" collapsed="false">
      <c r="A1988" s="2" t="s">
        <v>1598</v>
      </c>
      <c r="B1988" s="2" t="s">
        <v>70</v>
      </c>
      <c r="C1988" s="2" t="s">
        <v>70</v>
      </c>
      <c r="D1988" s="2" t="s">
        <v>5950</v>
      </c>
      <c r="E1988" s="2" t="s">
        <v>4264</v>
      </c>
      <c r="F1988" s="2" t="s">
        <v>10</v>
      </c>
      <c r="G1988" s="2" t="n">
        <v>659</v>
      </c>
    </row>
    <row r="1989" customFormat="false" ht="15" hidden="false" customHeight="false" outlineLevel="0" collapsed="false">
      <c r="A1989" s="2" t="s">
        <v>1598</v>
      </c>
      <c r="B1989" s="2" t="s">
        <v>70</v>
      </c>
      <c r="C1989" s="2" t="s">
        <v>70</v>
      </c>
      <c r="D1989" s="2" t="s">
        <v>5951</v>
      </c>
      <c r="E1989" s="2" t="s">
        <v>4261</v>
      </c>
      <c r="F1989" s="2" t="s">
        <v>10</v>
      </c>
      <c r="G1989" s="2" t="n">
        <v>659</v>
      </c>
    </row>
    <row r="1990" customFormat="false" ht="15" hidden="false" customHeight="false" outlineLevel="0" collapsed="false">
      <c r="A1990" s="2" t="s">
        <v>1606</v>
      </c>
      <c r="B1990" s="2" t="s">
        <v>70</v>
      </c>
      <c r="C1990" s="2" t="s">
        <v>70</v>
      </c>
      <c r="D1990" s="2" t="s">
        <v>5952</v>
      </c>
      <c r="E1990" s="2" t="s">
        <v>4264</v>
      </c>
      <c r="F1990" s="2" t="s">
        <v>9</v>
      </c>
      <c r="G1990" s="2" t="n">
        <v>662</v>
      </c>
    </row>
    <row r="1991" customFormat="false" ht="15" hidden="false" customHeight="false" outlineLevel="0" collapsed="false">
      <c r="A1991" s="2" t="s">
        <v>1606</v>
      </c>
      <c r="B1991" s="2" t="s">
        <v>70</v>
      </c>
      <c r="C1991" s="2" t="s">
        <v>70</v>
      </c>
      <c r="D1991" s="2" t="s">
        <v>5953</v>
      </c>
      <c r="E1991" s="2" t="s">
        <v>4264</v>
      </c>
      <c r="F1991" s="2" t="s">
        <v>9</v>
      </c>
      <c r="G1991" s="2" t="n">
        <v>662</v>
      </c>
    </row>
    <row r="1992" customFormat="false" ht="15" hidden="false" customHeight="false" outlineLevel="0" collapsed="false">
      <c r="A1992" s="2" t="s">
        <v>1606</v>
      </c>
      <c r="B1992" s="2" t="s">
        <v>70</v>
      </c>
      <c r="C1992" s="2" t="s">
        <v>70</v>
      </c>
      <c r="D1992" s="2" t="s">
        <v>5954</v>
      </c>
      <c r="E1992" s="2" t="s">
        <v>4271</v>
      </c>
      <c r="F1992" s="2" t="s">
        <v>9</v>
      </c>
      <c r="G1992" s="2" t="n">
        <v>662</v>
      </c>
    </row>
    <row r="1993" customFormat="false" ht="15" hidden="false" customHeight="false" outlineLevel="0" collapsed="false">
      <c r="A1993" s="2" t="s">
        <v>1606</v>
      </c>
      <c r="B1993" s="2" t="s">
        <v>70</v>
      </c>
      <c r="C1993" s="2" t="s">
        <v>70</v>
      </c>
      <c r="D1993" s="2" t="s">
        <v>5955</v>
      </c>
      <c r="E1993" s="2" t="s">
        <v>4261</v>
      </c>
      <c r="F1993" s="2" t="s">
        <v>9</v>
      </c>
      <c r="G1993" s="2" t="n">
        <v>662</v>
      </c>
    </row>
    <row r="1994" customFormat="false" ht="15" hidden="false" customHeight="false" outlineLevel="0" collapsed="false">
      <c r="A1994" s="2" t="s">
        <v>1611</v>
      </c>
      <c r="B1994" s="2" t="s">
        <v>403</v>
      </c>
      <c r="C1994" s="2" t="s">
        <v>70</v>
      </c>
      <c r="D1994" s="2" t="s">
        <v>1612</v>
      </c>
      <c r="E1994" s="2" t="s">
        <v>4264</v>
      </c>
      <c r="F1994" s="2" t="s">
        <v>8</v>
      </c>
      <c r="G1994" s="2" t="n">
        <v>665</v>
      </c>
    </row>
    <row r="1995" customFormat="false" ht="15" hidden="false" customHeight="false" outlineLevel="0" collapsed="false">
      <c r="A1995" s="2" t="s">
        <v>1626</v>
      </c>
      <c r="B1995" s="2" t="s">
        <v>44</v>
      </c>
      <c r="C1995" s="2" t="s">
        <v>44</v>
      </c>
      <c r="D1995" s="2" t="s">
        <v>5956</v>
      </c>
      <c r="E1995" s="2" t="s">
        <v>4264</v>
      </c>
      <c r="F1995" s="2" t="s">
        <v>8</v>
      </c>
      <c r="G1995" s="2" t="n">
        <v>671</v>
      </c>
    </row>
    <row r="1996" customFormat="false" ht="15" hidden="false" customHeight="false" outlineLevel="0" collapsed="false">
      <c r="A1996" s="2" t="s">
        <v>1626</v>
      </c>
      <c r="B1996" s="2" t="s">
        <v>44</v>
      </c>
      <c r="C1996" s="2" t="s">
        <v>44</v>
      </c>
      <c r="D1996" s="2" t="s">
        <v>5957</v>
      </c>
      <c r="E1996" s="2" t="s">
        <v>4261</v>
      </c>
      <c r="F1996" s="2" t="s">
        <v>8</v>
      </c>
      <c r="G1996" s="2" t="n">
        <v>671</v>
      </c>
    </row>
    <row r="1997" customFormat="false" ht="15" hidden="false" customHeight="false" outlineLevel="0" collapsed="false">
      <c r="A1997" s="2" t="s">
        <v>1626</v>
      </c>
      <c r="B1997" s="2" t="s">
        <v>44</v>
      </c>
      <c r="C1997" s="2" t="s">
        <v>44</v>
      </c>
      <c r="D1997" s="2" t="s">
        <v>5958</v>
      </c>
      <c r="E1997" s="2" t="s">
        <v>4264</v>
      </c>
      <c r="F1997" s="2" t="s">
        <v>8</v>
      </c>
      <c r="G1997" s="2" t="n">
        <v>671</v>
      </c>
    </row>
    <row r="1998" customFormat="false" ht="15" hidden="false" customHeight="false" outlineLevel="0" collapsed="false">
      <c r="A1998" s="2" t="s">
        <v>1626</v>
      </c>
      <c r="B1998" s="2" t="s">
        <v>44</v>
      </c>
      <c r="C1998" s="2" t="s">
        <v>44</v>
      </c>
      <c r="D1998" s="2" t="s">
        <v>5959</v>
      </c>
      <c r="E1998" s="2" t="s">
        <v>4261</v>
      </c>
      <c r="F1998" s="2" t="s">
        <v>8</v>
      </c>
      <c r="G1998" s="2" t="n">
        <v>671</v>
      </c>
    </row>
    <row r="1999" customFormat="false" ht="15" hidden="false" customHeight="false" outlineLevel="0" collapsed="false">
      <c r="A1999" s="2" t="s">
        <v>1626</v>
      </c>
      <c r="B1999" s="2" t="s">
        <v>44</v>
      </c>
      <c r="C1999" s="2" t="s">
        <v>44</v>
      </c>
      <c r="D1999" s="2" t="s">
        <v>5587</v>
      </c>
      <c r="E1999" s="2" t="s">
        <v>4261</v>
      </c>
      <c r="F1999" s="2" t="s">
        <v>8</v>
      </c>
      <c r="G1999" s="2" t="n">
        <v>671</v>
      </c>
    </row>
    <row r="2000" customFormat="false" ht="15" hidden="false" customHeight="false" outlineLevel="0" collapsed="false">
      <c r="A2000" s="2" t="s">
        <v>1626</v>
      </c>
      <c r="B2000" s="2" t="s">
        <v>44</v>
      </c>
      <c r="C2000" s="2" t="s">
        <v>44</v>
      </c>
      <c r="D2000" s="2" t="s">
        <v>5960</v>
      </c>
      <c r="E2000" s="2" t="s">
        <v>4264</v>
      </c>
      <c r="F2000" s="2" t="s">
        <v>8</v>
      </c>
      <c r="G2000" s="2" t="n">
        <v>671</v>
      </c>
    </row>
    <row r="2001" customFormat="false" ht="15" hidden="false" customHeight="false" outlineLevel="0" collapsed="false">
      <c r="A2001" s="2" t="s">
        <v>1626</v>
      </c>
      <c r="B2001" s="2" t="s">
        <v>44</v>
      </c>
      <c r="C2001" s="2" t="s">
        <v>44</v>
      </c>
      <c r="D2001" s="2" t="s">
        <v>5961</v>
      </c>
      <c r="E2001" s="2" t="s">
        <v>4264</v>
      </c>
      <c r="F2001" s="2" t="s">
        <v>8</v>
      </c>
      <c r="G2001" s="2" t="n">
        <v>671</v>
      </c>
    </row>
    <row r="2002" customFormat="false" ht="15" hidden="false" customHeight="false" outlineLevel="0" collapsed="false">
      <c r="A2002" s="2" t="s">
        <v>1626</v>
      </c>
      <c r="B2002" s="2" t="s">
        <v>44</v>
      </c>
      <c r="C2002" s="2" t="s">
        <v>44</v>
      </c>
      <c r="D2002" s="2" t="s">
        <v>5962</v>
      </c>
      <c r="E2002" s="2" t="s">
        <v>4271</v>
      </c>
      <c r="F2002" s="2" t="s">
        <v>8</v>
      </c>
      <c r="G2002" s="2" t="n">
        <v>671</v>
      </c>
    </row>
    <row r="2003" customFormat="false" ht="15" hidden="false" customHeight="false" outlineLevel="0" collapsed="false">
      <c r="A2003" s="2" t="s">
        <v>1626</v>
      </c>
      <c r="B2003" s="2" t="s">
        <v>44</v>
      </c>
      <c r="C2003" s="2" t="s">
        <v>44</v>
      </c>
      <c r="D2003" s="2" t="s">
        <v>5963</v>
      </c>
      <c r="E2003" s="2" t="s">
        <v>4264</v>
      </c>
      <c r="F2003" s="2" t="s">
        <v>8</v>
      </c>
      <c r="G2003" s="2" t="n">
        <v>671</v>
      </c>
    </row>
    <row r="2004" customFormat="false" ht="15" hidden="false" customHeight="false" outlineLevel="0" collapsed="false">
      <c r="A2004" s="2" t="s">
        <v>1626</v>
      </c>
      <c r="B2004" s="2" t="s">
        <v>44</v>
      </c>
      <c r="C2004" s="2" t="s">
        <v>44</v>
      </c>
      <c r="D2004" s="2" t="s">
        <v>5964</v>
      </c>
      <c r="E2004" s="2" t="s">
        <v>4264</v>
      </c>
      <c r="F2004" s="2" t="s">
        <v>8</v>
      </c>
      <c r="G2004" s="2" t="n">
        <v>671</v>
      </c>
    </row>
    <row r="2005" customFormat="false" ht="15" hidden="false" customHeight="false" outlineLevel="0" collapsed="false">
      <c r="A2005" s="2" t="s">
        <v>1626</v>
      </c>
      <c r="B2005" s="2" t="s">
        <v>44</v>
      </c>
      <c r="C2005" s="2" t="s">
        <v>44</v>
      </c>
      <c r="D2005" s="2" t="s">
        <v>5965</v>
      </c>
      <c r="E2005" s="2" t="s">
        <v>4271</v>
      </c>
      <c r="F2005" s="2" t="s">
        <v>8</v>
      </c>
      <c r="G2005" s="2" t="n">
        <v>671</v>
      </c>
    </row>
    <row r="2006" customFormat="false" ht="15" hidden="false" customHeight="false" outlineLevel="0" collapsed="false">
      <c r="A2006" s="2" t="s">
        <v>1626</v>
      </c>
      <c r="B2006" s="2" t="s">
        <v>44</v>
      </c>
      <c r="C2006" s="2" t="s">
        <v>44</v>
      </c>
      <c r="D2006" s="2" t="s">
        <v>5966</v>
      </c>
      <c r="E2006" s="2" t="s">
        <v>4261</v>
      </c>
      <c r="F2006" s="2" t="s">
        <v>8</v>
      </c>
      <c r="G2006" s="2" t="n">
        <v>671</v>
      </c>
    </row>
    <row r="2007" customFormat="false" ht="15" hidden="false" customHeight="false" outlineLevel="0" collapsed="false">
      <c r="A2007" s="2" t="s">
        <v>1626</v>
      </c>
      <c r="B2007" s="2" t="s">
        <v>44</v>
      </c>
      <c r="C2007" s="2" t="s">
        <v>44</v>
      </c>
      <c r="D2007" s="2" t="s">
        <v>5967</v>
      </c>
      <c r="E2007" s="2" t="s">
        <v>4271</v>
      </c>
      <c r="F2007" s="2" t="s">
        <v>8</v>
      </c>
      <c r="G2007" s="2" t="n">
        <v>671</v>
      </c>
    </row>
    <row r="2008" customFormat="false" ht="15" hidden="false" customHeight="false" outlineLevel="0" collapsed="false">
      <c r="A2008" s="2" t="s">
        <v>1626</v>
      </c>
      <c r="B2008" s="2" t="s">
        <v>44</v>
      </c>
      <c r="C2008" s="2" t="s">
        <v>44</v>
      </c>
      <c r="D2008" s="2" t="s">
        <v>5968</v>
      </c>
      <c r="E2008" s="2" t="s">
        <v>4264</v>
      </c>
      <c r="F2008" s="2" t="s">
        <v>8</v>
      </c>
      <c r="G2008" s="2" t="n">
        <v>671</v>
      </c>
    </row>
    <row r="2009" customFormat="false" ht="15" hidden="false" customHeight="false" outlineLevel="0" collapsed="false">
      <c r="A2009" s="2" t="s">
        <v>1637</v>
      </c>
      <c r="B2009" s="2" t="s">
        <v>70</v>
      </c>
      <c r="C2009" s="2" t="s">
        <v>70</v>
      </c>
      <c r="D2009" s="2" t="s">
        <v>1638</v>
      </c>
      <c r="E2009" s="2" t="s">
        <v>4261</v>
      </c>
      <c r="F2009" s="2" t="s">
        <v>10</v>
      </c>
      <c r="G2009" s="2" t="n">
        <v>676</v>
      </c>
    </row>
    <row r="2010" customFormat="false" ht="15" hidden="false" customHeight="false" outlineLevel="0" collapsed="false">
      <c r="A2010" s="2" t="s">
        <v>1651</v>
      </c>
      <c r="B2010" s="2" t="s">
        <v>56</v>
      </c>
      <c r="C2010" s="2" t="s">
        <v>56</v>
      </c>
      <c r="D2010" s="2" t="s">
        <v>5969</v>
      </c>
      <c r="E2010" s="2" t="s">
        <v>4264</v>
      </c>
      <c r="F2010" s="2" t="s">
        <v>8</v>
      </c>
      <c r="G2010" s="2" t="n">
        <v>683</v>
      </c>
    </row>
    <row r="2011" customFormat="false" ht="15" hidden="false" customHeight="false" outlineLevel="0" collapsed="false">
      <c r="A2011" s="2" t="s">
        <v>1651</v>
      </c>
      <c r="B2011" s="2" t="s">
        <v>56</v>
      </c>
      <c r="C2011" s="2" t="s">
        <v>56</v>
      </c>
      <c r="D2011" s="2" t="s">
        <v>5970</v>
      </c>
      <c r="E2011" s="2" t="s">
        <v>4264</v>
      </c>
      <c r="F2011" s="2" t="s">
        <v>8</v>
      </c>
      <c r="G2011" s="2" t="n">
        <v>683</v>
      </c>
    </row>
    <row r="2012" customFormat="false" ht="15" hidden="false" customHeight="false" outlineLevel="0" collapsed="false">
      <c r="A2012" s="2" t="s">
        <v>1653</v>
      </c>
      <c r="B2012" s="2" t="s">
        <v>56</v>
      </c>
      <c r="C2012" s="2" t="s">
        <v>56</v>
      </c>
      <c r="D2012" s="2" t="s">
        <v>5971</v>
      </c>
      <c r="E2012" s="2" t="s">
        <v>4264</v>
      </c>
      <c r="F2012" s="2" t="s">
        <v>8</v>
      </c>
      <c r="G2012" s="2" t="n">
        <v>684</v>
      </c>
    </row>
    <row r="2013" customFormat="false" ht="15" hidden="false" customHeight="false" outlineLevel="0" collapsed="false">
      <c r="A2013" s="2" t="s">
        <v>1653</v>
      </c>
      <c r="B2013" s="2" t="s">
        <v>56</v>
      </c>
      <c r="C2013" s="2" t="s">
        <v>56</v>
      </c>
      <c r="D2013" s="2" t="s">
        <v>5793</v>
      </c>
      <c r="E2013" s="2" t="s">
        <v>4264</v>
      </c>
      <c r="F2013" s="2" t="s">
        <v>8</v>
      </c>
      <c r="G2013" s="2" t="n">
        <v>684</v>
      </c>
    </row>
    <row r="2014" customFormat="false" ht="15" hidden="false" customHeight="false" outlineLevel="0" collapsed="false">
      <c r="A2014" s="2" t="s">
        <v>1653</v>
      </c>
      <c r="B2014" s="2" t="s">
        <v>56</v>
      </c>
      <c r="C2014" s="2" t="s">
        <v>56</v>
      </c>
      <c r="D2014" s="2" t="s">
        <v>5972</v>
      </c>
      <c r="E2014" s="2" t="s">
        <v>4264</v>
      </c>
      <c r="F2014" s="2" t="s">
        <v>8</v>
      </c>
      <c r="G2014" s="2" t="n">
        <v>684</v>
      </c>
    </row>
    <row r="2015" customFormat="false" ht="15" hidden="false" customHeight="false" outlineLevel="0" collapsed="false">
      <c r="A2015" s="2" t="s">
        <v>1660</v>
      </c>
      <c r="B2015" s="2" t="s">
        <v>1661</v>
      </c>
      <c r="C2015" s="2" t="s">
        <v>70</v>
      </c>
      <c r="D2015" s="2" t="s">
        <v>1662</v>
      </c>
      <c r="E2015" s="2" t="s">
        <v>4261</v>
      </c>
      <c r="F2015" s="2" t="s">
        <v>10</v>
      </c>
      <c r="G2015" s="2" t="n">
        <v>686</v>
      </c>
    </row>
    <row r="2016" customFormat="false" ht="15" hidden="false" customHeight="false" outlineLevel="0" collapsed="false">
      <c r="A2016" s="2" t="s">
        <v>1673</v>
      </c>
      <c r="B2016" s="2" t="s">
        <v>1674</v>
      </c>
      <c r="C2016" s="2" t="s">
        <v>1207</v>
      </c>
      <c r="D2016" s="2" t="s">
        <v>5973</v>
      </c>
      <c r="E2016" s="2" t="s">
        <v>4261</v>
      </c>
      <c r="F2016" s="2" t="s">
        <v>9</v>
      </c>
      <c r="G2016" s="2" t="n">
        <v>690</v>
      </c>
    </row>
    <row r="2017" customFormat="false" ht="15" hidden="false" customHeight="false" outlineLevel="0" collapsed="false">
      <c r="A2017" s="2" t="s">
        <v>1673</v>
      </c>
      <c r="B2017" s="2" t="s">
        <v>1674</v>
      </c>
      <c r="C2017" s="2" t="s">
        <v>1207</v>
      </c>
      <c r="D2017" s="2" t="s">
        <v>5974</v>
      </c>
      <c r="E2017" s="2" t="s">
        <v>4261</v>
      </c>
      <c r="F2017" s="2" t="s">
        <v>9</v>
      </c>
      <c r="G2017" s="2" t="n">
        <v>690</v>
      </c>
    </row>
    <row r="2018" customFormat="false" ht="15" hidden="false" customHeight="false" outlineLevel="0" collapsed="false">
      <c r="A2018" s="2" t="s">
        <v>1673</v>
      </c>
      <c r="B2018" s="2" t="s">
        <v>1674</v>
      </c>
      <c r="C2018" s="2" t="s">
        <v>1207</v>
      </c>
      <c r="D2018" s="2" t="s">
        <v>5975</v>
      </c>
      <c r="E2018" s="2" t="s">
        <v>4261</v>
      </c>
      <c r="F2018" s="2" t="s">
        <v>9</v>
      </c>
      <c r="G2018" s="2" t="n">
        <v>690</v>
      </c>
    </row>
    <row r="2019" customFormat="false" ht="15" hidden="false" customHeight="false" outlineLevel="0" collapsed="false">
      <c r="A2019" s="2" t="s">
        <v>1673</v>
      </c>
      <c r="B2019" s="2" t="s">
        <v>1674</v>
      </c>
      <c r="C2019" s="2" t="s">
        <v>1207</v>
      </c>
      <c r="D2019" s="2" t="s">
        <v>5976</v>
      </c>
      <c r="E2019" s="2" t="s">
        <v>4261</v>
      </c>
      <c r="F2019" s="2" t="s">
        <v>9</v>
      </c>
      <c r="G2019" s="2" t="n">
        <v>690</v>
      </c>
    </row>
    <row r="2020" customFormat="false" ht="15" hidden="false" customHeight="false" outlineLevel="0" collapsed="false">
      <c r="A2020" s="2" t="s">
        <v>1673</v>
      </c>
      <c r="B2020" s="2" t="s">
        <v>1674</v>
      </c>
      <c r="C2020" s="2" t="s">
        <v>1207</v>
      </c>
      <c r="D2020" s="2" t="s">
        <v>5977</v>
      </c>
      <c r="E2020" s="2" t="s">
        <v>4261</v>
      </c>
      <c r="F2020" s="2" t="s">
        <v>9</v>
      </c>
      <c r="G2020" s="2" t="n">
        <v>690</v>
      </c>
    </row>
    <row r="2021" customFormat="false" ht="15" hidden="false" customHeight="false" outlineLevel="0" collapsed="false">
      <c r="A2021" s="2" t="s">
        <v>1673</v>
      </c>
      <c r="B2021" s="2" t="s">
        <v>1674</v>
      </c>
      <c r="C2021" s="2" t="s">
        <v>1207</v>
      </c>
      <c r="D2021" s="2" t="s">
        <v>5978</v>
      </c>
      <c r="E2021" s="2" t="s">
        <v>4261</v>
      </c>
      <c r="F2021" s="2" t="s">
        <v>9</v>
      </c>
      <c r="G2021" s="2" t="n">
        <v>690</v>
      </c>
    </row>
    <row r="2022" customFormat="false" ht="15" hidden="false" customHeight="false" outlineLevel="0" collapsed="false">
      <c r="A2022" s="2" t="s">
        <v>1676</v>
      </c>
      <c r="B2022" s="2" t="s">
        <v>70</v>
      </c>
      <c r="C2022" s="2" t="s">
        <v>70</v>
      </c>
      <c r="D2022" s="2" t="s">
        <v>5979</v>
      </c>
      <c r="E2022" s="2" t="s">
        <v>4261</v>
      </c>
      <c r="F2022" s="2" t="s">
        <v>10</v>
      </c>
      <c r="G2022" s="2" t="n">
        <v>691</v>
      </c>
    </row>
    <row r="2023" customFormat="false" ht="15" hidden="false" customHeight="false" outlineLevel="0" collapsed="false">
      <c r="A2023" s="2" t="s">
        <v>1676</v>
      </c>
      <c r="B2023" s="2" t="s">
        <v>70</v>
      </c>
      <c r="C2023" s="2" t="s">
        <v>70</v>
      </c>
      <c r="D2023" s="2" t="s">
        <v>5980</v>
      </c>
      <c r="E2023" s="2" t="s">
        <v>4261</v>
      </c>
      <c r="F2023" s="2" t="s">
        <v>10</v>
      </c>
      <c r="G2023" s="2" t="n">
        <v>691</v>
      </c>
    </row>
    <row r="2024" customFormat="false" ht="15" hidden="false" customHeight="false" outlineLevel="0" collapsed="false">
      <c r="A2024" s="2" t="s">
        <v>1688</v>
      </c>
      <c r="B2024" s="2" t="s">
        <v>70</v>
      </c>
      <c r="C2024" s="2" t="s">
        <v>70</v>
      </c>
      <c r="D2024" s="2" t="s">
        <v>1689</v>
      </c>
      <c r="E2024" s="2" t="s">
        <v>4264</v>
      </c>
      <c r="F2024" s="2" t="s">
        <v>8</v>
      </c>
      <c r="G2024" s="2" t="n">
        <v>694</v>
      </c>
    </row>
    <row r="2025" customFormat="false" ht="15" hidden="false" customHeight="false" outlineLevel="0" collapsed="false">
      <c r="A2025" s="2" t="s">
        <v>1695</v>
      </c>
      <c r="B2025" s="2" t="s">
        <v>44</v>
      </c>
      <c r="C2025" s="2" t="s">
        <v>44</v>
      </c>
      <c r="D2025" s="2" t="s">
        <v>5981</v>
      </c>
      <c r="E2025" s="2" t="s">
        <v>4261</v>
      </c>
      <c r="F2025" s="2" t="s">
        <v>8</v>
      </c>
      <c r="G2025" s="2" t="n">
        <v>696</v>
      </c>
    </row>
    <row r="2026" customFormat="false" ht="15" hidden="false" customHeight="false" outlineLevel="0" collapsed="false">
      <c r="A2026" s="2" t="s">
        <v>1695</v>
      </c>
      <c r="B2026" s="2" t="s">
        <v>44</v>
      </c>
      <c r="C2026" s="2" t="s">
        <v>44</v>
      </c>
      <c r="D2026" s="2" t="s">
        <v>5982</v>
      </c>
      <c r="E2026" s="2" t="s">
        <v>4271</v>
      </c>
      <c r="F2026" s="2" t="s">
        <v>8</v>
      </c>
      <c r="G2026" s="2" t="n">
        <v>696</v>
      </c>
    </row>
    <row r="2027" customFormat="false" ht="15" hidden="false" customHeight="false" outlineLevel="0" collapsed="false">
      <c r="A2027" s="2" t="s">
        <v>1695</v>
      </c>
      <c r="B2027" s="2" t="s">
        <v>44</v>
      </c>
      <c r="C2027" s="2" t="s">
        <v>44</v>
      </c>
      <c r="D2027" s="2" t="s">
        <v>5983</v>
      </c>
      <c r="E2027" s="2" t="s">
        <v>4264</v>
      </c>
      <c r="F2027" s="2" t="s">
        <v>8</v>
      </c>
      <c r="G2027" s="2" t="n">
        <v>696</v>
      </c>
    </row>
    <row r="2028" customFormat="false" ht="15" hidden="false" customHeight="false" outlineLevel="0" collapsed="false">
      <c r="A2028" s="2" t="s">
        <v>1695</v>
      </c>
      <c r="B2028" s="2" t="s">
        <v>44</v>
      </c>
      <c r="C2028" s="2" t="s">
        <v>44</v>
      </c>
      <c r="D2028" s="2" t="s">
        <v>5984</v>
      </c>
      <c r="E2028" s="2" t="s">
        <v>4264</v>
      </c>
      <c r="F2028" s="2" t="s">
        <v>8</v>
      </c>
      <c r="G2028" s="2" t="n">
        <v>696</v>
      </c>
    </row>
    <row r="2029" customFormat="false" ht="15" hidden="false" customHeight="false" outlineLevel="0" collapsed="false">
      <c r="A2029" s="2" t="s">
        <v>1695</v>
      </c>
      <c r="B2029" s="2" t="s">
        <v>44</v>
      </c>
      <c r="C2029" s="2" t="s">
        <v>44</v>
      </c>
      <c r="D2029" s="2" t="s">
        <v>5985</v>
      </c>
      <c r="E2029" s="2" t="s">
        <v>4264</v>
      </c>
      <c r="F2029" s="2" t="s">
        <v>8</v>
      </c>
      <c r="G2029" s="2" t="n">
        <v>696</v>
      </c>
    </row>
    <row r="2030" customFormat="false" ht="15" hidden="false" customHeight="false" outlineLevel="0" collapsed="false">
      <c r="A2030" s="2" t="s">
        <v>1695</v>
      </c>
      <c r="B2030" s="2" t="s">
        <v>44</v>
      </c>
      <c r="C2030" s="2" t="s">
        <v>44</v>
      </c>
      <c r="D2030" s="2" t="s">
        <v>5986</v>
      </c>
      <c r="E2030" s="2" t="s">
        <v>4271</v>
      </c>
      <c r="F2030" s="2" t="s">
        <v>8</v>
      </c>
      <c r="G2030" s="2" t="n">
        <v>696</v>
      </c>
    </row>
    <row r="2031" customFormat="false" ht="15" hidden="false" customHeight="false" outlineLevel="0" collapsed="false">
      <c r="A2031" s="2" t="s">
        <v>1695</v>
      </c>
      <c r="B2031" s="2" t="s">
        <v>44</v>
      </c>
      <c r="C2031" s="2" t="s">
        <v>44</v>
      </c>
      <c r="D2031" s="2" t="s">
        <v>1040</v>
      </c>
      <c r="E2031" s="2" t="s">
        <v>4264</v>
      </c>
      <c r="F2031" s="2" t="s">
        <v>8</v>
      </c>
      <c r="G2031" s="2" t="n">
        <v>696</v>
      </c>
    </row>
    <row r="2032" customFormat="false" ht="15" hidden="false" customHeight="false" outlineLevel="0" collapsed="false">
      <c r="A2032" s="2" t="s">
        <v>1695</v>
      </c>
      <c r="B2032" s="2" t="s">
        <v>44</v>
      </c>
      <c r="C2032" s="2" t="s">
        <v>44</v>
      </c>
      <c r="D2032" s="2" t="s">
        <v>5987</v>
      </c>
      <c r="E2032" s="2" t="s">
        <v>4264</v>
      </c>
      <c r="F2032" s="2" t="s">
        <v>8</v>
      </c>
      <c r="G2032" s="2" t="n">
        <v>696</v>
      </c>
    </row>
    <row r="2033" customFormat="false" ht="15" hidden="false" customHeight="false" outlineLevel="0" collapsed="false">
      <c r="A2033" s="2" t="s">
        <v>1695</v>
      </c>
      <c r="B2033" s="2" t="s">
        <v>44</v>
      </c>
      <c r="C2033" s="2" t="s">
        <v>44</v>
      </c>
      <c r="D2033" s="2" t="s">
        <v>5988</v>
      </c>
      <c r="E2033" s="2" t="s">
        <v>4264</v>
      </c>
      <c r="F2033" s="2" t="s">
        <v>8</v>
      </c>
      <c r="G2033" s="2" t="n">
        <v>696</v>
      </c>
    </row>
    <row r="2034" customFormat="false" ht="15" hidden="false" customHeight="false" outlineLevel="0" collapsed="false">
      <c r="A2034" s="2" t="s">
        <v>1695</v>
      </c>
      <c r="B2034" s="2" t="s">
        <v>44</v>
      </c>
      <c r="C2034" s="2" t="s">
        <v>44</v>
      </c>
      <c r="D2034" s="2" t="s">
        <v>5989</v>
      </c>
      <c r="E2034" s="2" t="s">
        <v>4261</v>
      </c>
      <c r="F2034" s="2" t="s">
        <v>8</v>
      </c>
      <c r="G2034" s="2" t="n">
        <v>696</v>
      </c>
    </row>
    <row r="2035" customFormat="false" ht="15" hidden="false" customHeight="false" outlineLevel="0" collapsed="false">
      <c r="A2035" s="2" t="s">
        <v>1695</v>
      </c>
      <c r="B2035" s="2" t="s">
        <v>44</v>
      </c>
      <c r="C2035" s="2" t="s">
        <v>44</v>
      </c>
      <c r="D2035" s="2" t="s">
        <v>5081</v>
      </c>
      <c r="E2035" s="2" t="s">
        <v>4264</v>
      </c>
      <c r="F2035" s="2" t="s">
        <v>8</v>
      </c>
      <c r="G2035" s="2" t="n">
        <v>696</v>
      </c>
    </row>
    <row r="2036" customFormat="false" ht="15" hidden="false" customHeight="false" outlineLevel="0" collapsed="false">
      <c r="A2036" s="2" t="s">
        <v>1695</v>
      </c>
      <c r="B2036" s="2" t="s">
        <v>44</v>
      </c>
      <c r="C2036" s="2" t="s">
        <v>44</v>
      </c>
      <c r="D2036" s="2" t="s">
        <v>1233</v>
      </c>
      <c r="E2036" s="2" t="s">
        <v>4264</v>
      </c>
      <c r="F2036" s="2" t="s">
        <v>8</v>
      </c>
      <c r="G2036" s="2" t="n">
        <v>696</v>
      </c>
    </row>
    <row r="2037" customFormat="false" ht="15" hidden="false" customHeight="false" outlineLevel="0" collapsed="false">
      <c r="A2037" s="2" t="s">
        <v>1695</v>
      </c>
      <c r="B2037" s="2" t="s">
        <v>44</v>
      </c>
      <c r="C2037" s="2" t="s">
        <v>44</v>
      </c>
      <c r="D2037" s="2" t="s">
        <v>5990</v>
      </c>
      <c r="E2037" s="2" t="s">
        <v>4264</v>
      </c>
      <c r="F2037" s="2" t="s">
        <v>8</v>
      </c>
      <c r="G2037" s="2" t="n">
        <v>696</v>
      </c>
    </row>
    <row r="2038" customFormat="false" ht="15" hidden="false" customHeight="false" outlineLevel="0" collapsed="false">
      <c r="A2038" s="2" t="s">
        <v>1695</v>
      </c>
      <c r="B2038" s="2" t="s">
        <v>44</v>
      </c>
      <c r="C2038" s="2" t="s">
        <v>44</v>
      </c>
      <c r="D2038" s="2" t="s">
        <v>5991</v>
      </c>
      <c r="E2038" s="2" t="s">
        <v>4264</v>
      </c>
      <c r="F2038" s="2" t="s">
        <v>8</v>
      </c>
      <c r="G2038" s="2" t="n">
        <v>696</v>
      </c>
    </row>
    <row r="2039" customFormat="false" ht="15" hidden="false" customHeight="false" outlineLevel="0" collapsed="false">
      <c r="A2039" s="2" t="s">
        <v>1695</v>
      </c>
      <c r="B2039" s="2" t="s">
        <v>44</v>
      </c>
      <c r="C2039" s="2" t="s">
        <v>44</v>
      </c>
      <c r="D2039" s="2" t="s">
        <v>5992</v>
      </c>
      <c r="E2039" s="2" t="s">
        <v>4264</v>
      </c>
      <c r="F2039" s="2" t="s">
        <v>8</v>
      </c>
      <c r="G2039" s="2" t="n">
        <v>696</v>
      </c>
    </row>
    <row r="2040" customFormat="false" ht="15" hidden="false" customHeight="false" outlineLevel="0" collapsed="false">
      <c r="A2040" s="2" t="s">
        <v>1695</v>
      </c>
      <c r="B2040" s="2" t="s">
        <v>44</v>
      </c>
      <c r="C2040" s="2" t="s">
        <v>44</v>
      </c>
      <c r="D2040" s="2" t="s">
        <v>5993</v>
      </c>
      <c r="E2040" s="2" t="s">
        <v>4264</v>
      </c>
      <c r="F2040" s="2" t="s">
        <v>8</v>
      </c>
      <c r="G2040" s="2" t="n">
        <v>696</v>
      </c>
    </row>
    <row r="2041" customFormat="false" ht="15" hidden="false" customHeight="false" outlineLevel="0" collapsed="false">
      <c r="A2041" s="2" t="s">
        <v>1695</v>
      </c>
      <c r="B2041" s="2" t="s">
        <v>44</v>
      </c>
      <c r="C2041" s="2" t="s">
        <v>44</v>
      </c>
      <c r="D2041" s="2" t="s">
        <v>5994</v>
      </c>
      <c r="E2041" s="2" t="s">
        <v>4264</v>
      </c>
      <c r="F2041" s="2" t="s">
        <v>8</v>
      </c>
      <c r="G2041" s="2" t="n">
        <v>696</v>
      </c>
    </row>
    <row r="2042" customFormat="false" ht="15" hidden="false" customHeight="false" outlineLevel="0" collapsed="false">
      <c r="A2042" s="2" t="s">
        <v>1695</v>
      </c>
      <c r="B2042" s="2" t="s">
        <v>44</v>
      </c>
      <c r="C2042" s="2" t="s">
        <v>44</v>
      </c>
      <c r="D2042" s="2" t="s">
        <v>5995</v>
      </c>
      <c r="E2042" s="2" t="s">
        <v>4264</v>
      </c>
      <c r="F2042" s="2" t="s">
        <v>8</v>
      </c>
      <c r="G2042" s="2" t="n">
        <v>696</v>
      </c>
    </row>
    <row r="2043" customFormat="false" ht="15" hidden="false" customHeight="false" outlineLevel="0" collapsed="false">
      <c r="A2043" s="2" t="s">
        <v>1695</v>
      </c>
      <c r="B2043" s="2" t="s">
        <v>44</v>
      </c>
      <c r="C2043" s="2" t="s">
        <v>44</v>
      </c>
      <c r="D2043" s="2" t="s">
        <v>5996</v>
      </c>
      <c r="E2043" s="2" t="s">
        <v>4264</v>
      </c>
      <c r="F2043" s="2" t="s">
        <v>8</v>
      </c>
      <c r="G2043" s="2" t="n">
        <v>696</v>
      </c>
    </row>
    <row r="2044" customFormat="false" ht="15" hidden="false" customHeight="false" outlineLevel="0" collapsed="false">
      <c r="A2044" s="2" t="s">
        <v>1709</v>
      </c>
      <c r="B2044" s="2" t="s">
        <v>1710</v>
      </c>
      <c r="C2044" s="2" t="s">
        <v>197</v>
      </c>
      <c r="D2044" s="2" t="s">
        <v>1710</v>
      </c>
      <c r="E2044" s="2" t="s">
        <v>4271</v>
      </c>
      <c r="F2044" s="2" t="s">
        <v>10</v>
      </c>
      <c r="G2044" s="2" t="n">
        <v>702</v>
      </c>
    </row>
    <row r="2045" customFormat="false" ht="15" hidden="false" customHeight="false" outlineLevel="0" collapsed="false">
      <c r="A2045" s="2" t="s">
        <v>1711</v>
      </c>
      <c r="B2045" s="2" t="s">
        <v>70</v>
      </c>
      <c r="C2045" s="2" t="s">
        <v>70</v>
      </c>
      <c r="D2045" s="2" t="s">
        <v>1712</v>
      </c>
      <c r="E2045" s="2" t="s">
        <v>4271</v>
      </c>
      <c r="F2045" s="2" t="s">
        <v>10</v>
      </c>
      <c r="G2045" s="2" t="n">
        <v>703</v>
      </c>
    </row>
    <row r="2046" customFormat="false" ht="15" hidden="false" customHeight="false" outlineLevel="0" collapsed="false">
      <c r="A2046" s="2" t="s">
        <v>1718</v>
      </c>
      <c r="B2046" s="2" t="s">
        <v>70</v>
      </c>
      <c r="C2046" s="2" t="s">
        <v>70</v>
      </c>
      <c r="D2046" s="2" t="s">
        <v>5997</v>
      </c>
      <c r="E2046" s="2" t="s">
        <v>4264</v>
      </c>
      <c r="F2046" s="2" t="s">
        <v>9</v>
      </c>
      <c r="G2046" s="2" t="n">
        <v>706</v>
      </c>
    </row>
    <row r="2047" customFormat="false" ht="15" hidden="false" customHeight="false" outlineLevel="0" collapsed="false">
      <c r="A2047" s="2" t="s">
        <v>1718</v>
      </c>
      <c r="B2047" s="2" t="s">
        <v>70</v>
      </c>
      <c r="C2047" s="2" t="s">
        <v>70</v>
      </c>
      <c r="D2047" s="2" t="s">
        <v>5437</v>
      </c>
      <c r="E2047" s="2" t="s">
        <v>4264</v>
      </c>
      <c r="F2047" s="2" t="s">
        <v>9</v>
      </c>
      <c r="G2047" s="2" t="n">
        <v>706</v>
      </c>
    </row>
    <row r="2048" customFormat="false" ht="15" hidden="false" customHeight="false" outlineLevel="0" collapsed="false">
      <c r="A2048" s="2" t="s">
        <v>1775</v>
      </c>
      <c r="B2048" s="2" t="s">
        <v>263</v>
      </c>
      <c r="C2048" s="2" t="s">
        <v>27</v>
      </c>
      <c r="D2048" s="2" t="s">
        <v>5998</v>
      </c>
      <c r="E2048" s="2" t="s">
        <v>4271</v>
      </c>
      <c r="F2048" s="2" t="s">
        <v>8</v>
      </c>
      <c r="G2048" s="2" t="n">
        <v>720</v>
      </c>
    </row>
    <row r="2049" customFormat="false" ht="15" hidden="false" customHeight="false" outlineLevel="0" collapsed="false">
      <c r="A2049" s="2" t="s">
        <v>1775</v>
      </c>
      <c r="B2049" s="2" t="s">
        <v>263</v>
      </c>
      <c r="C2049" s="2" t="s">
        <v>27</v>
      </c>
      <c r="D2049" s="2" t="s">
        <v>5999</v>
      </c>
      <c r="E2049" s="2" t="s">
        <v>4271</v>
      </c>
      <c r="F2049" s="2" t="s">
        <v>8</v>
      </c>
      <c r="G2049" s="2" t="n">
        <v>720</v>
      </c>
    </row>
    <row r="2050" customFormat="false" ht="15" hidden="false" customHeight="false" outlineLevel="0" collapsed="false">
      <c r="A2050" s="2" t="s">
        <v>1791</v>
      </c>
      <c r="B2050" s="2" t="s">
        <v>38</v>
      </c>
      <c r="C2050" s="2" t="s">
        <v>39</v>
      </c>
      <c r="D2050" s="2" t="s">
        <v>1792</v>
      </c>
      <c r="E2050" s="2" t="s">
        <v>4271</v>
      </c>
      <c r="F2050" s="2" t="s">
        <v>8</v>
      </c>
      <c r="G2050" s="2" t="n">
        <v>723</v>
      </c>
    </row>
    <row r="2051" customFormat="false" ht="15" hidden="false" customHeight="false" outlineLevel="0" collapsed="false">
      <c r="A2051" s="2" t="s">
        <v>1796</v>
      </c>
      <c r="B2051" s="2" t="s">
        <v>1797</v>
      </c>
      <c r="C2051" s="2" t="s">
        <v>1595</v>
      </c>
      <c r="D2051" s="2" t="s">
        <v>3935</v>
      </c>
      <c r="E2051" s="2" t="s">
        <v>4261</v>
      </c>
      <c r="F2051" s="2" t="s">
        <v>10</v>
      </c>
      <c r="G2051" s="2" t="n">
        <v>725</v>
      </c>
    </row>
    <row r="2052" customFormat="false" ht="15" hidden="false" customHeight="false" outlineLevel="0" collapsed="false">
      <c r="A2052" s="2" t="s">
        <v>1796</v>
      </c>
      <c r="B2052" s="2" t="s">
        <v>1797</v>
      </c>
      <c r="C2052" s="2" t="s">
        <v>1595</v>
      </c>
      <c r="D2052" s="2" t="s">
        <v>6000</v>
      </c>
      <c r="E2052" s="2" t="s">
        <v>4261</v>
      </c>
      <c r="F2052" s="2" t="s">
        <v>10</v>
      </c>
      <c r="G2052" s="2" t="n">
        <v>725</v>
      </c>
    </row>
    <row r="2053" customFormat="false" ht="15" hidden="false" customHeight="false" outlineLevel="0" collapsed="false">
      <c r="A2053" s="2" t="s">
        <v>1796</v>
      </c>
      <c r="B2053" s="2" t="s">
        <v>1797</v>
      </c>
      <c r="C2053" s="2" t="s">
        <v>1595</v>
      </c>
      <c r="D2053" s="2" t="s">
        <v>6001</v>
      </c>
      <c r="E2053" s="2" t="s">
        <v>4261</v>
      </c>
      <c r="F2053" s="2" t="s">
        <v>10</v>
      </c>
      <c r="G2053" s="2" t="n">
        <v>725</v>
      </c>
    </row>
    <row r="2054" customFormat="false" ht="15" hidden="false" customHeight="false" outlineLevel="0" collapsed="false">
      <c r="A2054" s="2" t="s">
        <v>1821</v>
      </c>
      <c r="B2054" s="2" t="s">
        <v>1822</v>
      </c>
      <c r="C2054" s="2" t="s">
        <v>1595</v>
      </c>
      <c r="D2054" s="2" t="s">
        <v>1823</v>
      </c>
      <c r="E2054" s="2" t="s">
        <v>4261</v>
      </c>
      <c r="F2054" s="2" t="s">
        <v>9</v>
      </c>
      <c r="G2054" s="2" t="n">
        <v>733</v>
      </c>
    </row>
    <row r="2055" customFormat="false" ht="15" hidden="false" customHeight="false" outlineLevel="0" collapsed="false">
      <c r="A2055" s="2" t="s">
        <v>1842</v>
      </c>
      <c r="B2055" s="2" t="s">
        <v>70</v>
      </c>
      <c r="C2055" s="2" t="s">
        <v>70</v>
      </c>
      <c r="D2055" s="2" t="s">
        <v>6002</v>
      </c>
      <c r="E2055" s="2" t="s">
        <v>4261</v>
      </c>
      <c r="F2055" s="2" t="s">
        <v>6003</v>
      </c>
      <c r="G2055" s="2"/>
    </row>
    <row r="2056" customFormat="false" ht="15" hidden="false" customHeight="false" outlineLevel="0" collapsed="false">
      <c r="A2056" s="2" t="s">
        <v>1842</v>
      </c>
      <c r="B2056" s="2" t="s">
        <v>70</v>
      </c>
      <c r="C2056" s="2" t="s">
        <v>70</v>
      </c>
      <c r="D2056" s="2" t="s">
        <v>6004</v>
      </c>
      <c r="E2056" s="2" t="s">
        <v>4261</v>
      </c>
      <c r="F2056" s="2" t="s">
        <v>6003</v>
      </c>
      <c r="G2056" s="2"/>
    </row>
    <row r="2057" customFormat="false" ht="15" hidden="false" customHeight="false" outlineLevel="0" collapsed="false">
      <c r="A2057" s="2" t="s">
        <v>1842</v>
      </c>
      <c r="B2057" s="2" t="s">
        <v>70</v>
      </c>
      <c r="C2057" s="2" t="s">
        <v>70</v>
      </c>
      <c r="D2057" s="2" t="s">
        <v>6005</v>
      </c>
      <c r="E2057" s="2" t="s">
        <v>4264</v>
      </c>
      <c r="F2057" s="2" t="s">
        <v>6003</v>
      </c>
      <c r="G2057" s="2"/>
    </row>
    <row r="2058" customFormat="false" ht="15" hidden="false" customHeight="false" outlineLevel="0" collapsed="false">
      <c r="A2058" s="2" t="s">
        <v>1842</v>
      </c>
      <c r="B2058" s="2" t="s">
        <v>70</v>
      </c>
      <c r="C2058" s="2" t="s">
        <v>70</v>
      </c>
      <c r="D2058" s="2" t="s">
        <v>6006</v>
      </c>
      <c r="E2058" s="2" t="s">
        <v>4271</v>
      </c>
      <c r="F2058" s="2" t="s">
        <v>6003</v>
      </c>
      <c r="G2058" s="2"/>
    </row>
    <row r="2059" customFormat="false" ht="15" hidden="false" customHeight="false" outlineLevel="0" collapsed="false">
      <c r="A2059" s="2" t="s">
        <v>1844</v>
      </c>
      <c r="B2059" s="2" t="s">
        <v>70</v>
      </c>
      <c r="C2059" s="2" t="s">
        <v>70</v>
      </c>
      <c r="D2059" s="2" t="s">
        <v>6007</v>
      </c>
      <c r="E2059" s="2" t="s">
        <v>4261</v>
      </c>
      <c r="F2059" s="2" t="s">
        <v>6003</v>
      </c>
      <c r="G2059" s="2"/>
    </row>
    <row r="2060" customFormat="false" ht="15" hidden="false" customHeight="false" outlineLevel="0" collapsed="false">
      <c r="A2060" s="2" t="s">
        <v>1844</v>
      </c>
      <c r="B2060" s="2" t="s">
        <v>70</v>
      </c>
      <c r="C2060" s="2" t="s">
        <v>70</v>
      </c>
      <c r="D2060" s="2" t="s">
        <v>5595</v>
      </c>
      <c r="E2060" s="2" t="s">
        <v>4264</v>
      </c>
      <c r="F2060" s="2" t="s">
        <v>6003</v>
      </c>
      <c r="G2060" s="2"/>
    </row>
    <row r="2061" customFormat="false" ht="15" hidden="false" customHeight="false" outlineLevel="0" collapsed="false">
      <c r="A2061" s="2" t="s">
        <v>1846</v>
      </c>
      <c r="B2061" s="2" t="s">
        <v>70</v>
      </c>
      <c r="C2061" s="2" t="s">
        <v>70</v>
      </c>
      <c r="D2061" s="2" t="s">
        <v>1847</v>
      </c>
      <c r="E2061" s="2" t="s">
        <v>4261</v>
      </c>
      <c r="F2061" s="2" t="s">
        <v>6003</v>
      </c>
      <c r="G2061" s="2"/>
    </row>
    <row r="2062" customFormat="false" ht="15" hidden="false" customHeight="false" outlineLevel="0" collapsed="false">
      <c r="A2062" s="2" t="s">
        <v>1848</v>
      </c>
      <c r="B2062" s="2" t="s">
        <v>70</v>
      </c>
      <c r="C2062" s="2" t="s">
        <v>70</v>
      </c>
      <c r="D2062" s="2" t="s">
        <v>6008</v>
      </c>
      <c r="E2062" s="2" t="s">
        <v>4264</v>
      </c>
      <c r="F2062" s="2"/>
      <c r="G2062" s="2"/>
    </row>
    <row r="2063" customFormat="false" ht="15" hidden="false" customHeight="false" outlineLevel="0" collapsed="false">
      <c r="A2063" s="2" t="s">
        <v>1848</v>
      </c>
      <c r="B2063" s="2" t="s">
        <v>70</v>
      </c>
      <c r="C2063" s="2" t="s">
        <v>70</v>
      </c>
      <c r="D2063" s="2" t="s">
        <v>6009</v>
      </c>
      <c r="E2063" s="2" t="s">
        <v>4264</v>
      </c>
      <c r="F2063" s="2"/>
      <c r="G2063" s="2"/>
    </row>
    <row r="2064" customFormat="false" ht="15" hidden="false" customHeight="false" outlineLevel="0" collapsed="false">
      <c r="A2064" s="2" t="s">
        <v>1855</v>
      </c>
      <c r="B2064" s="2" t="s">
        <v>70</v>
      </c>
      <c r="C2064" s="2" t="s">
        <v>70</v>
      </c>
      <c r="D2064" s="2" t="s">
        <v>1856</v>
      </c>
      <c r="E2064" s="2" t="s">
        <v>4264</v>
      </c>
      <c r="F2064" s="2"/>
      <c r="G2064" s="2"/>
    </row>
    <row r="2065" customFormat="false" ht="15" hidden="false" customHeight="false" outlineLevel="0" collapsed="false">
      <c r="A2065" s="2" t="s">
        <v>1861</v>
      </c>
      <c r="B2065" s="2" t="s">
        <v>59</v>
      </c>
      <c r="C2065" s="2" t="s">
        <v>27</v>
      </c>
      <c r="D2065" s="2" t="s">
        <v>1862</v>
      </c>
      <c r="E2065" s="2" t="s">
        <v>4261</v>
      </c>
      <c r="F2065" s="2"/>
      <c r="G2065" s="2"/>
    </row>
    <row r="2066" customFormat="false" ht="15" hidden="false" customHeight="false" outlineLevel="0" collapsed="false">
      <c r="A2066" s="2" t="s">
        <v>1869</v>
      </c>
      <c r="B2066" s="2" t="s">
        <v>1870</v>
      </c>
      <c r="C2066" s="2" t="s">
        <v>70</v>
      </c>
      <c r="D2066" s="2" t="s">
        <v>1870</v>
      </c>
      <c r="E2066" s="2" t="s">
        <v>4271</v>
      </c>
      <c r="F2066" s="2" t="s">
        <v>6003</v>
      </c>
      <c r="G2066" s="2"/>
    </row>
    <row r="2067" customFormat="false" ht="15" hidden="false" customHeight="false" outlineLevel="0" collapsed="false">
      <c r="A2067" s="2" t="s">
        <v>1869</v>
      </c>
      <c r="B2067" s="2" t="s">
        <v>1870</v>
      </c>
      <c r="C2067" s="2" t="s">
        <v>70</v>
      </c>
      <c r="D2067" s="2" t="s">
        <v>6010</v>
      </c>
      <c r="E2067" s="2" t="s">
        <v>4271</v>
      </c>
      <c r="F2067" s="2" t="s">
        <v>6003</v>
      </c>
      <c r="G2067" s="2"/>
    </row>
    <row r="2068" customFormat="false" ht="15" hidden="false" customHeight="false" outlineLevel="0" collapsed="false">
      <c r="A2068" s="2" t="s">
        <v>1869</v>
      </c>
      <c r="B2068" s="2" t="s">
        <v>1870</v>
      </c>
      <c r="C2068" s="2" t="s">
        <v>70</v>
      </c>
      <c r="D2068" s="2" t="s">
        <v>6011</v>
      </c>
      <c r="E2068" s="2" t="s">
        <v>4261</v>
      </c>
      <c r="F2068" s="2" t="s">
        <v>6003</v>
      </c>
      <c r="G2068" s="2"/>
    </row>
    <row r="2069" customFormat="false" ht="15" hidden="false" customHeight="false" outlineLevel="0" collapsed="false">
      <c r="A2069" s="2" t="s">
        <v>1874</v>
      </c>
      <c r="B2069" s="2" t="s">
        <v>1875</v>
      </c>
      <c r="C2069" s="2" t="s">
        <v>70</v>
      </c>
      <c r="D2069" s="2" t="s">
        <v>1875</v>
      </c>
      <c r="E2069" s="2" t="s">
        <v>4271</v>
      </c>
      <c r="F2069" s="2" t="s">
        <v>6003</v>
      </c>
      <c r="G2069" s="2"/>
    </row>
    <row r="2070" customFormat="false" ht="15" hidden="false" customHeight="false" outlineLevel="0" collapsed="false">
      <c r="A2070" s="2" t="s">
        <v>1876</v>
      </c>
      <c r="B2070" s="2" t="s">
        <v>1176</v>
      </c>
      <c r="C2070" s="2" t="s">
        <v>70</v>
      </c>
      <c r="D2070" s="2" t="s">
        <v>1877</v>
      </c>
      <c r="E2070" s="2" t="s">
        <v>4264</v>
      </c>
      <c r="F2070" s="2"/>
      <c r="G2070" s="2"/>
    </row>
    <row r="2071" customFormat="false" ht="15" hidden="false" customHeight="false" outlineLevel="0" collapsed="false">
      <c r="A2071" s="2" t="s">
        <v>1878</v>
      </c>
      <c r="B2071" s="2" t="s">
        <v>1102</v>
      </c>
      <c r="C2071" s="2" t="s">
        <v>70</v>
      </c>
      <c r="D2071" s="2" t="s">
        <v>6012</v>
      </c>
      <c r="E2071" s="2" t="s">
        <v>4261</v>
      </c>
      <c r="F2071" s="2" t="s">
        <v>6003</v>
      </c>
      <c r="G2071" s="2"/>
    </row>
    <row r="2072" customFormat="false" ht="15" hidden="false" customHeight="false" outlineLevel="0" collapsed="false">
      <c r="A2072" s="2" t="s">
        <v>1878</v>
      </c>
      <c r="B2072" s="2" t="s">
        <v>1102</v>
      </c>
      <c r="C2072" s="2" t="s">
        <v>70</v>
      </c>
      <c r="D2072" s="2" t="s">
        <v>6013</v>
      </c>
      <c r="E2072" s="2" t="s">
        <v>4261</v>
      </c>
      <c r="F2072" s="2" t="s">
        <v>6003</v>
      </c>
      <c r="G2072" s="2"/>
    </row>
    <row r="2073" customFormat="false" ht="15" hidden="false" customHeight="false" outlineLevel="0" collapsed="false">
      <c r="A2073" s="2" t="s">
        <v>1878</v>
      </c>
      <c r="B2073" s="2" t="s">
        <v>1102</v>
      </c>
      <c r="C2073" s="2" t="s">
        <v>70</v>
      </c>
      <c r="D2073" s="2" t="s">
        <v>6014</v>
      </c>
      <c r="E2073" s="2" t="s">
        <v>4271</v>
      </c>
      <c r="F2073" s="2" t="s">
        <v>6003</v>
      </c>
      <c r="G2073" s="2"/>
    </row>
    <row r="2074" customFormat="false" ht="15" hidden="false" customHeight="false" outlineLevel="0" collapsed="false">
      <c r="A2074" s="2" t="s">
        <v>1880</v>
      </c>
      <c r="B2074" s="2" t="s">
        <v>1881</v>
      </c>
      <c r="C2074" s="2" t="s">
        <v>70</v>
      </c>
      <c r="D2074" s="2" t="s">
        <v>1881</v>
      </c>
      <c r="E2074" s="2" t="s">
        <v>4271</v>
      </c>
      <c r="F2074" s="2" t="s">
        <v>6003</v>
      </c>
      <c r="G2074" s="2"/>
    </row>
    <row r="2075" customFormat="false" ht="15" hidden="false" customHeight="false" outlineLevel="0" collapsed="false">
      <c r="A2075" s="2" t="s">
        <v>1880</v>
      </c>
      <c r="B2075" s="2" t="s">
        <v>1881</v>
      </c>
      <c r="C2075" s="2" t="s">
        <v>70</v>
      </c>
      <c r="D2075" s="2" t="s">
        <v>6015</v>
      </c>
      <c r="E2075" s="2" t="s">
        <v>4261</v>
      </c>
      <c r="F2075" s="2" t="s">
        <v>6003</v>
      </c>
      <c r="G2075" s="2"/>
    </row>
    <row r="2076" customFormat="false" ht="15" hidden="false" customHeight="false" outlineLevel="0" collapsed="false">
      <c r="A2076" s="2" t="s">
        <v>1883</v>
      </c>
      <c r="B2076" s="2" t="s">
        <v>1100</v>
      </c>
      <c r="C2076" s="2" t="s">
        <v>70</v>
      </c>
      <c r="D2076" s="2" t="s">
        <v>1884</v>
      </c>
      <c r="E2076" s="2" t="s">
        <v>4271</v>
      </c>
      <c r="F2076" s="2" t="s">
        <v>6003</v>
      </c>
      <c r="G2076" s="2"/>
    </row>
    <row r="2077" customFormat="false" ht="15" hidden="false" customHeight="false" outlineLevel="0" collapsed="false">
      <c r="A2077" s="2" t="s">
        <v>1886</v>
      </c>
      <c r="B2077" s="2" t="s">
        <v>1887</v>
      </c>
      <c r="C2077" s="2" t="s">
        <v>70</v>
      </c>
      <c r="D2077" s="2" t="s">
        <v>6016</v>
      </c>
      <c r="E2077" s="2" t="s">
        <v>4264</v>
      </c>
      <c r="F2077" s="2" t="s">
        <v>6003</v>
      </c>
      <c r="G2077" s="2"/>
    </row>
    <row r="2078" customFormat="false" ht="15" hidden="false" customHeight="false" outlineLevel="0" collapsed="false">
      <c r="A2078" s="2" t="s">
        <v>1886</v>
      </c>
      <c r="B2078" s="2" t="s">
        <v>1887</v>
      </c>
      <c r="C2078" s="2" t="s">
        <v>70</v>
      </c>
      <c r="D2078" s="2" t="s">
        <v>6017</v>
      </c>
      <c r="E2078" s="2" t="s">
        <v>4261</v>
      </c>
      <c r="F2078" s="2" t="s">
        <v>6003</v>
      </c>
      <c r="G2078" s="2"/>
    </row>
    <row r="2079" customFormat="false" ht="15" hidden="false" customHeight="false" outlineLevel="0" collapsed="false">
      <c r="A2079" s="2" t="s">
        <v>1886</v>
      </c>
      <c r="B2079" s="2" t="s">
        <v>1887</v>
      </c>
      <c r="C2079" s="2" t="s">
        <v>70</v>
      </c>
      <c r="D2079" s="2" t="s">
        <v>6018</v>
      </c>
      <c r="E2079" s="2" t="s">
        <v>4264</v>
      </c>
      <c r="F2079" s="2" t="s">
        <v>6003</v>
      </c>
      <c r="G2079" s="2"/>
    </row>
    <row r="2080" customFormat="false" ht="15" hidden="false" customHeight="false" outlineLevel="0" collapsed="false">
      <c r="A2080" s="2" t="s">
        <v>1886</v>
      </c>
      <c r="B2080" s="2" t="s">
        <v>1887</v>
      </c>
      <c r="C2080" s="2" t="s">
        <v>70</v>
      </c>
      <c r="D2080" s="2" t="s">
        <v>6019</v>
      </c>
      <c r="E2080" s="2" t="s">
        <v>4264</v>
      </c>
      <c r="F2080" s="2" t="s">
        <v>6003</v>
      </c>
      <c r="G2080" s="2"/>
    </row>
    <row r="2081" customFormat="false" ht="15" hidden="false" customHeight="false" outlineLevel="0" collapsed="false">
      <c r="A2081" s="2" t="s">
        <v>1886</v>
      </c>
      <c r="B2081" s="2" t="s">
        <v>1887</v>
      </c>
      <c r="C2081" s="2" t="s">
        <v>70</v>
      </c>
      <c r="D2081" s="2" t="s">
        <v>1887</v>
      </c>
      <c r="E2081" s="2" t="s">
        <v>4271</v>
      </c>
      <c r="F2081" s="2" t="s">
        <v>6003</v>
      </c>
      <c r="G2081" s="2"/>
    </row>
    <row r="2082" customFormat="false" ht="15" hidden="false" customHeight="false" outlineLevel="0" collapsed="false">
      <c r="A2082" s="2" t="s">
        <v>1886</v>
      </c>
      <c r="B2082" s="2" t="s">
        <v>1887</v>
      </c>
      <c r="C2082" s="2" t="s">
        <v>70</v>
      </c>
      <c r="D2082" s="2" t="s">
        <v>6020</v>
      </c>
      <c r="E2082" s="2" t="s">
        <v>4264</v>
      </c>
      <c r="F2082" s="2" t="s">
        <v>6003</v>
      </c>
      <c r="G2082" s="2"/>
    </row>
    <row r="2083" customFormat="false" ht="15" hidden="false" customHeight="false" outlineLevel="0" collapsed="false">
      <c r="A2083" s="2" t="s">
        <v>1886</v>
      </c>
      <c r="B2083" s="2" t="s">
        <v>1887</v>
      </c>
      <c r="C2083" s="2" t="s">
        <v>70</v>
      </c>
      <c r="D2083" s="2" t="s">
        <v>1100</v>
      </c>
      <c r="E2083" s="2" t="s">
        <v>4271</v>
      </c>
      <c r="F2083" s="2" t="s">
        <v>6003</v>
      </c>
      <c r="G2083" s="2"/>
    </row>
    <row r="2084" customFormat="false" ht="15" hidden="false" customHeight="false" outlineLevel="0" collapsed="false">
      <c r="A2084" s="2" t="s">
        <v>1886</v>
      </c>
      <c r="B2084" s="2" t="s">
        <v>1887</v>
      </c>
      <c r="C2084" s="2" t="s">
        <v>70</v>
      </c>
      <c r="D2084" s="2" t="s">
        <v>970</v>
      </c>
      <c r="E2084" s="2" t="s">
        <v>4264</v>
      </c>
      <c r="F2084" s="2" t="s">
        <v>6003</v>
      </c>
      <c r="G2084" s="2"/>
    </row>
    <row r="2085" customFormat="false" ht="15" hidden="false" customHeight="false" outlineLevel="0" collapsed="false">
      <c r="A2085" s="2" t="s">
        <v>1890</v>
      </c>
      <c r="B2085" s="2" t="s">
        <v>1891</v>
      </c>
      <c r="C2085" s="2" t="s">
        <v>70</v>
      </c>
      <c r="D2085" s="2" t="s">
        <v>1891</v>
      </c>
      <c r="E2085" s="2" t="s">
        <v>4271</v>
      </c>
      <c r="F2085" s="2" t="s">
        <v>6003</v>
      </c>
      <c r="G2085" s="2"/>
    </row>
    <row r="2086" customFormat="false" ht="15" hidden="false" customHeight="false" outlineLevel="0" collapsed="false">
      <c r="A2086" s="2" t="s">
        <v>1890</v>
      </c>
      <c r="B2086" s="2" t="s">
        <v>1891</v>
      </c>
      <c r="C2086" s="2" t="s">
        <v>70</v>
      </c>
      <c r="D2086" s="2" t="s">
        <v>6021</v>
      </c>
      <c r="E2086" s="2" t="s">
        <v>4271</v>
      </c>
      <c r="F2086" s="2" t="s">
        <v>6003</v>
      </c>
      <c r="G2086" s="2"/>
    </row>
    <row r="2087" customFormat="false" ht="15" hidden="false" customHeight="false" outlineLevel="0" collapsed="false">
      <c r="A2087" s="2" t="s">
        <v>1890</v>
      </c>
      <c r="B2087" s="2" t="s">
        <v>1891</v>
      </c>
      <c r="C2087" s="2" t="s">
        <v>70</v>
      </c>
      <c r="D2087" s="2" t="s">
        <v>6022</v>
      </c>
      <c r="E2087" s="2" t="s">
        <v>4261</v>
      </c>
      <c r="F2087" s="2" t="s">
        <v>6003</v>
      </c>
      <c r="G2087" s="2"/>
    </row>
    <row r="2088" customFormat="false" ht="15" hidden="false" customHeight="false" outlineLevel="0" collapsed="false">
      <c r="A2088" s="2" t="s">
        <v>1893</v>
      </c>
      <c r="B2088" s="2" t="s">
        <v>1881</v>
      </c>
      <c r="C2088" s="2" t="s">
        <v>70</v>
      </c>
      <c r="D2088" s="2" t="s">
        <v>6023</v>
      </c>
      <c r="E2088" s="2" t="s">
        <v>4261</v>
      </c>
      <c r="F2088" s="2" t="s">
        <v>6003</v>
      </c>
      <c r="G2088" s="2"/>
    </row>
    <row r="2089" customFormat="false" ht="15" hidden="false" customHeight="false" outlineLevel="0" collapsed="false">
      <c r="A2089" s="2" t="s">
        <v>1893</v>
      </c>
      <c r="B2089" s="2" t="s">
        <v>1881</v>
      </c>
      <c r="C2089" s="2" t="s">
        <v>70</v>
      </c>
      <c r="D2089" s="2" t="s">
        <v>6024</v>
      </c>
      <c r="E2089" s="2" t="s">
        <v>4271</v>
      </c>
      <c r="F2089" s="2" t="s">
        <v>6003</v>
      </c>
      <c r="G2089" s="2"/>
    </row>
    <row r="2090" customFormat="false" ht="15" hidden="false" customHeight="false" outlineLevel="0" collapsed="false">
      <c r="A2090" s="2" t="s">
        <v>1897</v>
      </c>
      <c r="B2090" s="2" t="s">
        <v>1898</v>
      </c>
      <c r="C2090" s="2" t="s">
        <v>70</v>
      </c>
      <c r="D2090" s="2" t="s">
        <v>1898</v>
      </c>
      <c r="E2090" s="2" t="s">
        <v>4264</v>
      </c>
      <c r="F2090" s="2"/>
      <c r="G2090" s="2"/>
    </row>
    <row r="2091" customFormat="false" ht="15" hidden="false" customHeight="false" outlineLevel="0" collapsed="false">
      <c r="A2091" s="2" t="s">
        <v>1902</v>
      </c>
      <c r="B2091" s="2" t="s">
        <v>1903</v>
      </c>
      <c r="C2091" s="2" t="s">
        <v>524</v>
      </c>
      <c r="D2091" s="2" t="s">
        <v>1904</v>
      </c>
      <c r="E2091" s="2" t="s">
        <v>4271</v>
      </c>
      <c r="F2091" s="2" t="s">
        <v>6003</v>
      </c>
      <c r="G2091" s="2"/>
    </row>
    <row r="2092" customFormat="false" ht="15" hidden="false" customHeight="false" outlineLevel="0" collapsed="false">
      <c r="A2092" s="2" t="s">
        <v>1905</v>
      </c>
      <c r="B2092" s="2" t="s">
        <v>1903</v>
      </c>
      <c r="C2092" s="2" t="s">
        <v>524</v>
      </c>
      <c r="D2092" s="2" t="s">
        <v>1906</v>
      </c>
      <c r="E2092" s="2" t="s">
        <v>4261</v>
      </c>
      <c r="F2092" s="2" t="s">
        <v>6003</v>
      </c>
      <c r="G2092" s="2"/>
    </row>
    <row r="2093" customFormat="false" ht="15" hidden="false" customHeight="false" outlineLevel="0" collapsed="false">
      <c r="A2093" s="2" t="s">
        <v>1907</v>
      </c>
      <c r="B2093" s="2" t="s">
        <v>1901</v>
      </c>
      <c r="C2093" s="2" t="s">
        <v>524</v>
      </c>
      <c r="D2093" s="2" t="s">
        <v>6025</v>
      </c>
      <c r="E2093" s="2" t="s">
        <v>4261</v>
      </c>
      <c r="F2093" s="2" t="s">
        <v>6003</v>
      </c>
      <c r="G2093" s="2"/>
    </row>
    <row r="2094" customFormat="false" ht="15" hidden="false" customHeight="false" outlineLevel="0" collapsed="false">
      <c r="A2094" s="2" t="s">
        <v>1907</v>
      </c>
      <c r="B2094" s="2" t="s">
        <v>1901</v>
      </c>
      <c r="C2094" s="2" t="s">
        <v>524</v>
      </c>
      <c r="D2094" s="2" t="s">
        <v>6026</v>
      </c>
      <c r="E2094" s="2" t="s">
        <v>4261</v>
      </c>
      <c r="F2094" s="2" t="s">
        <v>6003</v>
      </c>
      <c r="G2094" s="2"/>
    </row>
    <row r="2095" customFormat="false" ht="15" hidden="false" customHeight="false" outlineLevel="0" collapsed="false">
      <c r="A2095" s="2" t="s">
        <v>1907</v>
      </c>
      <c r="B2095" s="2" t="s">
        <v>1901</v>
      </c>
      <c r="C2095" s="2" t="s">
        <v>524</v>
      </c>
      <c r="D2095" s="2" t="s">
        <v>6027</v>
      </c>
      <c r="E2095" s="2" t="s">
        <v>4261</v>
      </c>
      <c r="F2095" s="2" t="s">
        <v>6003</v>
      </c>
      <c r="G2095" s="2"/>
    </row>
    <row r="2096" customFormat="false" ht="15" hidden="false" customHeight="false" outlineLevel="0" collapsed="false">
      <c r="A2096" s="2" t="s">
        <v>1907</v>
      </c>
      <c r="B2096" s="2" t="s">
        <v>1901</v>
      </c>
      <c r="C2096" s="2" t="s">
        <v>524</v>
      </c>
      <c r="D2096" s="2" t="s">
        <v>6028</v>
      </c>
      <c r="E2096" s="2" t="s">
        <v>4261</v>
      </c>
      <c r="F2096" s="2" t="s">
        <v>6003</v>
      </c>
      <c r="G2096" s="2"/>
    </row>
    <row r="2097" customFormat="false" ht="15" hidden="false" customHeight="false" outlineLevel="0" collapsed="false">
      <c r="A2097" s="2" t="s">
        <v>1907</v>
      </c>
      <c r="B2097" s="2" t="s">
        <v>1901</v>
      </c>
      <c r="C2097" s="2" t="s">
        <v>524</v>
      </c>
      <c r="D2097" s="2" t="s">
        <v>6029</v>
      </c>
      <c r="E2097" s="2" t="s">
        <v>4261</v>
      </c>
      <c r="F2097" s="2" t="s">
        <v>6003</v>
      </c>
      <c r="G2097" s="2"/>
    </row>
    <row r="2098" customFormat="false" ht="15" hidden="false" customHeight="false" outlineLevel="0" collapsed="false">
      <c r="A2098" s="2" t="s">
        <v>1907</v>
      </c>
      <c r="B2098" s="2" t="s">
        <v>1901</v>
      </c>
      <c r="C2098" s="2" t="s">
        <v>524</v>
      </c>
      <c r="D2098" s="2" t="s">
        <v>6030</v>
      </c>
      <c r="E2098" s="2" t="s">
        <v>4261</v>
      </c>
      <c r="F2098" s="2" t="s">
        <v>6003</v>
      </c>
      <c r="G2098" s="2"/>
    </row>
    <row r="2099" customFormat="false" ht="15" hidden="false" customHeight="false" outlineLevel="0" collapsed="false">
      <c r="A2099" s="2" t="s">
        <v>1909</v>
      </c>
      <c r="B2099" s="2" t="s">
        <v>1901</v>
      </c>
      <c r="C2099" s="2" t="s">
        <v>524</v>
      </c>
      <c r="D2099" s="2" t="s">
        <v>6031</v>
      </c>
      <c r="E2099" s="2" t="s">
        <v>4261</v>
      </c>
      <c r="F2099" s="2" t="s">
        <v>6003</v>
      </c>
      <c r="G2099" s="2"/>
    </row>
    <row r="2100" customFormat="false" ht="15" hidden="false" customHeight="false" outlineLevel="0" collapsed="false">
      <c r="A2100" s="2" t="s">
        <v>1909</v>
      </c>
      <c r="B2100" s="2" t="s">
        <v>1901</v>
      </c>
      <c r="C2100" s="2" t="s">
        <v>524</v>
      </c>
      <c r="D2100" s="2" t="s">
        <v>6032</v>
      </c>
      <c r="E2100" s="2" t="s">
        <v>4261</v>
      </c>
      <c r="F2100" s="2" t="s">
        <v>6003</v>
      </c>
      <c r="G2100" s="2"/>
    </row>
    <row r="2101" customFormat="false" ht="15" hidden="false" customHeight="false" outlineLevel="0" collapsed="false">
      <c r="A2101" s="2" t="s">
        <v>1911</v>
      </c>
      <c r="B2101" s="2" t="s">
        <v>1901</v>
      </c>
      <c r="C2101" s="2" t="s">
        <v>524</v>
      </c>
      <c r="D2101" s="2" t="s">
        <v>5026</v>
      </c>
      <c r="E2101" s="2" t="s">
        <v>4261</v>
      </c>
      <c r="F2101" s="2" t="s">
        <v>6003</v>
      </c>
      <c r="G2101" s="2"/>
    </row>
    <row r="2102" customFormat="false" ht="15" hidden="false" customHeight="false" outlineLevel="0" collapsed="false">
      <c r="A2102" s="2" t="s">
        <v>1911</v>
      </c>
      <c r="B2102" s="2" t="s">
        <v>1901</v>
      </c>
      <c r="C2102" s="2" t="s">
        <v>524</v>
      </c>
      <c r="D2102" s="2" t="s">
        <v>6033</v>
      </c>
      <c r="E2102" s="2" t="s">
        <v>4261</v>
      </c>
      <c r="F2102" s="2" t="s">
        <v>6003</v>
      </c>
      <c r="G2102" s="2"/>
    </row>
    <row r="2103" customFormat="false" ht="15" hidden="false" customHeight="false" outlineLevel="0" collapsed="false">
      <c r="A2103" s="2" t="s">
        <v>1913</v>
      </c>
      <c r="B2103" s="2" t="s">
        <v>1914</v>
      </c>
      <c r="C2103" s="2" t="s">
        <v>455</v>
      </c>
      <c r="D2103" s="2" t="s">
        <v>6034</v>
      </c>
      <c r="E2103" s="2" t="s">
        <v>4261</v>
      </c>
      <c r="F2103" s="2" t="s">
        <v>6003</v>
      </c>
      <c r="G2103" s="2"/>
    </row>
    <row r="2104" customFormat="false" ht="15" hidden="false" customHeight="false" outlineLevel="0" collapsed="false">
      <c r="A2104" s="2" t="s">
        <v>1913</v>
      </c>
      <c r="B2104" s="2" t="s">
        <v>1914</v>
      </c>
      <c r="C2104" s="2" t="s">
        <v>455</v>
      </c>
      <c r="D2104" s="2" t="s">
        <v>6035</v>
      </c>
      <c r="E2104" s="2" t="s">
        <v>4261</v>
      </c>
      <c r="F2104" s="2" t="s">
        <v>6003</v>
      </c>
      <c r="G2104" s="2"/>
    </row>
    <row r="2105" customFormat="false" ht="15" hidden="false" customHeight="false" outlineLevel="0" collapsed="false">
      <c r="A2105" s="2" t="s">
        <v>1920</v>
      </c>
      <c r="B2105" s="2" t="s">
        <v>1921</v>
      </c>
      <c r="C2105" s="2" t="s">
        <v>524</v>
      </c>
      <c r="D2105" s="2" t="s">
        <v>6036</v>
      </c>
      <c r="E2105" s="2" t="s">
        <v>4261</v>
      </c>
      <c r="F2105" s="2" t="s">
        <v>6003</v>
      </c>
      <c r="G2105" s="2"/>
    </row>
    <row r="2106" customFormat="false" ht="15" hidden="false" customHeight="false" outlineLevel="0" collapsed="false">
      <c r="A2106" s="2" t="s">
        <v>1920</v>
      </c>
      <c r="B2106" s="2" t="s">
        <v>1921</v>
      </c>
      <c r="C2106" s="2" t="s">
        <v>524</v>
      </c>
      <c r="D2106" s="2" t="s">
        <v>6037</v>
      </c>
      <c r="E2106" s="2" t="s">
        <v>4261</v>
      </c>
      <c r="F2106" s="2" t="s">
        <v>6003</v>
      </c>
      <c r="G2106" s="2"/>
    </row>
    <row r="2107" customFormat="false" ht="15" hidden="false" customHeight="false" outlineLevel="0" collapsed="false">
      <c r="A2107" s="2" t="s">
        <v>1920</v>
      </c>
      <c r="B2107" s="2" t="s">
        <v>1921</v>
      </c>
      <c r="C2107" s="2" t="s">
        <v>524</v>
      </c>
      <c r="D2107" s="2" t="s">
        <v>6038</v>
      </c>
      <c r="E2107" s="2" t="s">
        <v>4261</v>
      </c>
      <c r="F2107" s="2" t="s">
        <v>6003</v>
      </c>
      <c r="G2107" s="2"/>
    </row>
    <row r="2108" customFormat="false" ht="15" hidden="false" customHeight="false" outlineLevel="0" collapsed="false">
      <c r="A2108" s="2" t="s">
        <v>1923</v>
      </c>
      <c r="B2108" s="2" t="s">
        <v>1921</v>
      </c>
      <c r="C2108" s="2" t="s">
        <v>524</v>
      </c>
      <c r="D2108" s="2" t="s">
        <v>6039</v>
      </c>
      <c r="E2108" s="2" t="s">
        <v>4261</v>
      </c>
      <c r="F2108" s="2" t="s">
        <v>6003</v>
      </c>
      <c r="G2108" s="2"/>
    </row>
    <row r="2109" customFormat="false" ht="15" hidden="false" customHeight="false" outlineLevel="0" collapsed="false">
      <c r="A2109" s="2" t="s">
        <v>1923</v>
      </c>
      <c r="B2109" s="2" t="s">
        <v>1921</v>
      </c>
      <c r="C2109" s="2" t="s">
        <v>524</v>
      </c>
      <c r="D2109" s="2" t="s">
        <v>6040</v>
      </c>
      <c r="E2109" s="2" t="s">
        <v>4261</v>
      </c>
      <c r="F2109" s="2" t="s">
        <v>6003</v>
      </c>
      <c r="G2109" s="2"/>
    </row>
    <row r="2110" customFormat="false" ht="15" hidden="false" customHeight="false" outlineLevel="0" collapsed="false">
      <c r="A2110" s="2" t="s">
        <v>1931</v>
      </c>
      <c r="B2110" s="2" t="s">
        <v>1930</v>
      </c>
      <c r="C2110" s="2" t="s">
        <v>524</v>
      </c>
      <c r="D2110" s="2" t="s">
        <v>4595</v>
      </c>
      <c r="E2110" s="2" t="s">
        <v>4261</v>
      </c>
      <c r="F2110" s="2" t="s">
        <v>6003</v>
      </c>
      <c r="G2110" s="2"/>
    </row>
    <row r="2111" customFormat="false" ht="15" hidden="false" customHeight="false" outlineLevel="0" collapsed="false">
      <c r="A2111" s="2" t="s">
        <v>1931</v>
      </c>
      <c r="B2111" s="2" t="s">
        <v>1930</v>
      </c>
      <c r="C2111" s="2" t="s">
        <v>524</v>
      </c>
      <c r="D2111" s="2" t="s">
        <v>6041</v>
      </c>
      <c r="E2111" s="2" t="s">
        <v>4261</v>
      </c>
      <c r="F2111" s="2" t="s">
        <v>6003</v>
      </c>
      <c r="G2111" s="2"/>
    </row>
    <row r="2112" customFormat="false" ht="15" hidden="false" customHeight="false" outlineLevel="0" collapsed="false">
      <c r="A2112" s="2" t="s">
        <v>1933</v>
      </c>
      <c r="B2112" s="2" t="s">
        <v>1828</v>
      </c>
      <c r="C2112" s="2" t="s">
        <v>44</v>
      </c>
      <c r="D2112" s="2" t="s">
        <v>6042</v>
      </c>
      <c r="E2112" s="2" t="s">
        <v>4261</v>
      </c>
      <c r="F2112" s="2" t="s">
        <v>6003</v>
      </c>
      <c r="G2112" s="2"/>
    </row>
    <row r="2113" customFormat="false" ht="15" hidden="false" customHeight="false" outlineLevel="0" collapsed="false">
      <c r="A2113" s="2" t="s">
        <v>1933</v>
      </c>
      <c r="B2113" s="2" t="s">
        <v>1828</v>
      </c>
      <c r="C2113" s="2" t="s">
        <v>44</v>
      </c>
      <c r="D2113" s="2" t="s">
        <v>6043</v>
      </c>
      <c r="E2113" s="2" t="s">
        <v>4261</v>
      </c>
      <c r="F2113" s="2" t="s">
        <v>6003</v>
      </c>
      <c r="G2113" s="2"/>
    </row>
    <row r="2114" customFormat="false" ht="15" hidden="false" customHeight="false" outlineLevel="0" collapsed="false">
      <c r="A2114" s="2" t="s">
        <v>1933</v>
      </c>
      <c r="B2114" s="2" t="s">
        <v>1828</v>
      </c>
      <c r="C2114" s="2" t="s">
        <v>44</v>
      </c>
      <c r="D2114" s="2" t="s">
        <v>6044</v>
      </c>
      <c r="E2114" s="2" t="s">
        <v>4261</v>
      </c>
      <c r="F2114" s="2" t="s">
        <v>6003</v>
      </c>
      <c r="G2114" s="2"/>
    </row>
    <row r="2115" customFormat="false" ht="15" hidden="false" customHeight="false" outlineLevel="0" collapsed="false">
      <c r="A2115" s="2" t="s">
        <v>1942</v>
      </c>
      <c r="B2115" s="2" t="s">
        <v>993</v>
      </c>
      <c r="C2115" s="2" t="s">
        <v>44</v>
      </c>
      <c r="D2115" s="2" t="s">
        <v>6045</v>
      </c>
      <c r="E2115" s="2" t="s">
        <v>4261</v>
      </c>
      <c r="F2115" s="2" t="s">
        <v>6003</v>
      </c>
      <c r="G2115" s="2"/>
    </row>
    <row r="2116" customFormat="false" ht="15" hidden="false" customHeight="false" outlineLevel="0" collapsed="false">
      <c r="A2116" s="2" t="s">
        <v>1942</v>
      </c>
      <c r="B2116" s="2" t="s">
        <v>993</v>
      </c>
      <c r="C2116" s="2" t="s">
        <v>44</v>
      </c>
      <c r="D2116" s="2" t="s">
        <v>6046</v>
      </c>
      <c r="E2116" s="2" t="s">
        <v>4261</v>
      </c>
      <c r="F2116" s="2" t="s">
        <v>6003</v>
      </c>
      <c r="G2116" s="2"/>
    </row>
    <row r="2117" customFormat="false" ht="15" hidden="false" customHeight="false" outlineLevel="0" collapsed="false">
      <c r="A2117" s="2" t="s">
        <v>1942</v>
      </c>
      <c r="B2117" s="2" t="s">
        <v>993</v>
      </c>
      <c r="C2117" s="2" t="s">
        <v>44</v>
      </c>
      <c r="D2117" s="2" t="s">
        <v>6047</v>
      </c>
      <c r="E2117" s="2" t="s">
        <v>4264</v>
      </c>
      <c r="F2117" s="2" t="s">
        <v>6003</v>
      </c>
      <c r="G2117" s="2"/>
    </row>
    <row r="2118" customFormat="false" ht="15" hidden="false" customHeight="false" outlineLevel="0" collapsed="false">
      <c r="A2118" s="2" t="s">
        <v>1942</v>
      </c>
      <c r="B2118" s="2" t="s">
        <v>993</v>
      </c>
      <c r="C2118" s="2" t="s">
        <v>44</v>
      </c>
      <c r="D2118" s="2" t="s">
        <v>6048</v>
      </c>
      <c r="E2118" s="2" t="s">
        <v>4264</v>
      </c>
      <c r="F2118" s="2" t="s">
        <v>6003</v>
      </c>
      <c r="G2118" s="2"/>
    </row>
    <row r="2119" customFormat="false" ht="15" hidden="false" customHeight="false" outlineLevel="0" collapsed="false">
      <c r="A2119" s="2" t="s">
        <v>1942</v>
      </c>
      <c r="B2119" s="2" t="s">
        <v>993</v>
      </c>
      <c r="C2119" s="2" t="s">
        <v>44</v>
      </c>
      <c r="D2119" s="2" t="s">
        <v>327</v>
      </c>
      <c r="E2119" s="2" t="s">
        <v>4261</v>
      </c>
      <c r="F2119" s="2" t="s">
        <v>6003</v>
      </c>
      <c r="G2119" s="2"/>
    </row>
    <row r="2120" customFormat="false" ht="15" hidden="false" customHeight="false" outlineLevel="0" collapsed="false">
      <c r="A2120" s="2" t="s">
        <v>1942</v>
      </c>
      <c r="B2120" s="2" t="s">
        <v>993</v>
      </c>
      <c r="C2120" s="2" t="s">
        <v>44</v>
      </c>
      <c r="D2120" s="2" t="s">
        <v>503</v>
      </c>
      <c r="E2120" s="2" t="s">
        <v>4264</v>
      </c>
      <c r="F2120" s="2" t="s">
        <v>6003</v>
      </c>
      <c r="G2120" s="2"/>
    </row>
    <row r="2121" customFormat="false" ht="15" hidden="false" customHeight="false" outlineLevel="0" collapsed="false">
      <c r="A2121" s="2" t="s">
        <v>1942</v>
      </c>
      <c r="B2121" s="2" t="s">
        <v>993</v>
      </c>
      <c r="C2121" s="2" t="s">
        <v>44</v>
      </c>
      <c r="D2121" s="2" t="s">
        <v>6049</v>
      </c>
      <c r="E2121" s="2" t="s">
        <v>4264</v>
      </c>
      <c r="F2121" s="2" t="s">
        <v>6003</v>
      </c>
      <c r="G2121" s="2"/>
    </row>
    <row r="2122" customFormat="false" ht="15" hidden="false" customHeight="false" outlineLevel="0" collapsed="false">
      <c r="A2122" s="2" t="s">
        <v>1942</v>
      </c>
      <c r="B2122" s="2" t="s">
        <v>993</v>
      </c>
      <c r="C2122" s="2" t="s">
        <v>44</v>
      </c>
      <c r="D2122" s="2" t="s">
        <v>6050</v>
      </c>
      <c r="E2122" s="2" t="s">
        <v>4264</v>
      </c>
      <c r="F2122" s="2" t="s">
        <v>6003</v>
      </c>
      <c r="G2122" s="2"/>
    </row>
    <row r="2123" customFormat="false" ht="15" hidden="false" customHeight="false" outlineLevel="0" collapsed="false">
      <c r="A2123" s="2" t="s">
        <v>1942</v>
      </c>
      <c r="B2123" s="2" t="s">
        <v>993</v>
      </c>
      <c r="C2123" s="2" t="s">
        <v>44</v>
      </c>
      <c r="D2123" s="2" t="s">
        <v>6051</v>
      </c>
      <c r="E2123" s="2" t="s">
        <v>4261</v>
      </c>
      <c r="F2123" s="2" t="s">
        <v>6003</v>
      </c>
      <c r="G2123" s="2"/>
    </row>
    <row r="2124" customFormat="false" ht="15" hidden="false" customHeight="false" outlineLevel="0" collapsed="false">
      <c r="A2124" s="2" t="s">
        <v>1944</v>
      </c>
      <c r="B2124" s="2" t="s">
        <v>993</v>
      </c>
      <c r="C2124" s="2" t="s">
        <v>44</v>
      </c>
      <c r="D2124" s="2" t="s">
        <v>6052</v>
      </c>
      <c r="E2124" s="2" t="s">
        <v>4271</v>
      </c>
      <c r="F2124" s="2" t="s">
        <v>6003</v>
      </c>
      <c r="G2124" s="2"/>
    </row>
    <row r="2125" customFormat="false" ht="15" hidden="false" customHeight="false" outlineLevel="0" collapsed="false">
      <c r="A2125" s="2" t="s">
        <v>1944</v>
      </c>
      <c r="B2125" s="2" t="s">
        <v>993</v>
      </c>
      <c r="C2125" s="2" t="s">
        <v>44</v>
      </c>
      <c r="D2125" s="2" t="s">
        <v>6053</v>
      </c>
      <c r="E2125" s="2" t="s">
        <v>4264</v>
      </c>
      <c r="F2125" s="2" t="s">
        <v>6003</v>
      </c>
      <c r="G2125" s="2"/>
    </row>
    <row r="2126" customFormat="false" ht="15" hidden="false" customHeight="false" outlineLevel="0" collapsed="false">
      <c r="A2126" s="2" t="s">
        <v>1944</v>
      </c>
      <c r="B2126" s="2" t="s">
        <v>993</v>
      </c>
      <c r="C2126" s="2" t="s">
        <v>44</v>
      </c>
      <c r="D2126" s="2" t="s">
        <v>6054</v>
      </c>
      <c r="E2126" s="2" t="s">
        <v>4264</v>
      </c>
      <c r="F2126" s="2" t="s">
        <v>6003</v>
      </c>
      <c r="G2126" s="2"/>
    </row>
    <row r="2127" customFormat="false" ht="15" hidden="false" customHeight="false" outlineLevel="0" collapsed="false">
      <c r="A2127" s="2" t="s">
        <v>1944</v>
      </c>
      <c r="B2127" s="2" t="s">
        <v>993</v>
      </c>
      <c r="C2127" s="2" t="s">
        <v>44</v>
      </c>
      <c r="D2127" s="2" t="s">
        <v>6055</v>
      </c>
      <c r="E2127" s="2" t="s">
        <v>4264</v>
      </c>
      <c r="F2127" s="2" t="s">
        <v>6003</v>
      </c>
      <c r="G2127" s="2"/>
    </row>
    <row r="2128" customFormat="false" ht="15" hidden="false" customHeight="false" outlineLevel="0" collapsed="false">
      <c r="A2128" s="2" t="s">
        <v>1946</v>
      </c>
      <c r="B2128" s="2" t="s">
        <v>993</v>
      </c>
      <c r="C2128" s="2" t="s">
        <v>44</v>
      </c>
      <c r="D2128" s="2" t="s">
        <v>6056</v>
      </c>
      <c r="E2128" s="2" t="s">
        <v>4264</v>
      </c>
      <c r="F2128" s="2" t="s">
        <v>6003</v>
      </c>
      <c r="G2128" s="2"/>
    </row>
    <row r="2129" customFormat="false" ht="15" hidden="false" customHeight="false" outlineLevel="0" collapsed="false">
      <c r="A2129" s="2" t="s">
        <v>1946</v>
      </c>
      <c r="B2129" s="2" t="s">
        <v>993</v>
      </c>
      <c r="C2129" s="2" t="s">
        <v>44</v>
      </c>
      <c r="D2129" s="2" t="s">
        <v>6057</v>
      </c>
      <c r="E2129" s="2" t="s">
        <v>4264</v>
      </c>
      <c r="F2129" s="2" t="s">
        <v>6003</v>
      </c>
      <c r="G2129" s="2"/>
    </row>
    <row r="2130" customFormat="false" ht="15" hidden="false" customHeight="false" outlineLevel="0" collapsed="false">
      <c r="A2130" s="2" t="s">
        <v>1946</v>
      </c>
      <c r="B2130" s="2" t="s">
        <v>993</v>
      </c>
      <c r="C2130" s="2" t="s">
        <v>44</v>
      </c>
      <c r="D2130" s="2" t="s">
        <v>6058</v>
      </c>
      <c r="E2130" s="2" t="s">
        <v>4264</v>
      </c>
      <c r="F2130" s="2" t="s">
        <v>6003</v>
      </c>
      <c r="G2130" s="2"/>
    </row>
    <row r="2131" customFormat="false" ht="15" hidden="false" customHeight="false" outlineLevel="0" collapsed="false">
      <c r="A2131" s="2" t="s">
        <v>1946</v>
      </c>
      <c r="B2131" s="2" t="s">
        <v>993</v>
      </c>
      <c r="C2131" s="2" t="s">
        <v>44</v>
      </c>
      <c r="D2131" s="2" t="s">
        <v>6059</v>
      </c>
      <c r="E2131" s="2" t="s">
        <v>4264</v>
      </c>
      <c r="F2131" s="2" t="s">
        <v>6003</v>
      </c>
      <c r="G2131" s="2"/>
    </row>
    <row r="2132" customFormat="false" ht="15" hidden="false" customHeight="false" outlineLevel="0" collapsed="false">
      <c r="A2132" s="2" t="s">
        <v>1946</v>
      </c>
      <c r="B2132" s="2" t="s">
        <v>993</v>
      </c>
      <c r="C2132" s="2" t="s">
        <v>44</v>
      </c>
      <c r="D2132" s="2" t="s">
        <v>6060</v>
      </c>
      <c r="E2132" s="2" t="s">
        <v>4271</v>
      </c>
      <c r="F2132" s="2" t="s">
        <v>6003</v>
      </c>
      <c r="G2132" s="2"/>
    </row>
    <row r="2133" customFormat="false" ht="15" hidden="false" customHeight="false" outlineLevel="0" collapsed="false">
      <c r="A2133" s="2" t="s">
        <v>1946</v>
      </c>
      <c r="B2133" s="2" t="s">
        <v>993</v>
      </c>
      <c r="C2133" s="2" t="s">
        <v>44</v>
      </c>
      <c r="D2133" s="2" t="s">
        <v>6061</v>
      </c>
      <c r="E2133" s="2" t="s">
        <v>4264</v>
      </c>
      <c r="F2133" s="2" t="s">
        <v>6003</v>
      </c>
      <c r="G2133" s="2"/>
    </row>
    <row r="2134" customFormat="false" ht="15" hidden="false" customHeight="false" outlineLevel="0" collapsed="false">
      <c r="A2134" s="2" t="s">
        <v>1957</v>
      </c>
      <c r="B2134" s="2" t="s">
        <v>1958</v>
      </c>
      <c r="C2134" s="2" t="s">
        <v>44</v>
      </c>
      <c r="D2134" s="2" t="s">
        <v>6062</v>
      </c>
      <c r="E2134" s="2" t="s">
        <v>4261</v>
      </c>
      <c r="F2134" s="2" t="s">
        <v>6003</v>
      </c>
      <c r="G2134" s="2"/>
    </row>
    <row r="2135" customFormat="false" ht="15" hidden="false" customHeight="false" outlineLevel="0" collapsed="false">
      <c r="A2135" s="2" t="s">
        <v>1957</v>
      </c>
      <c r="B2135" s="2" t="s">
        <v>1958</v>
      </c>
      <c r="C2135" s="2" t="s">
        <v>44</v>
      </c>
      <c r="D2135" s="2" t="s">
        <v>6063</v>
      </c>
      <c r="E2135" s="2" t="s">
        <v>4261</v>
      </c>
      <c r="F2135" s="2" t="s">
        <v>6003</v>
      </c>
      <c r="G2135" s="2"/>
    </row>
    <row r="2136" customFormat="false" ht="15" hidden="false" customHeight="false" outlineLevel="0" collapsed="false">
      <c r="A2136" s="2" t="s">
        <v>1973</v>
      </c>
      <c r="B2136" s="2" t="s">
        <v>1974</v>
      </c>
      <c r="C2136" s="2" t="s">
        <v>1975</v>
      </c>
      <c r="D2136" s="2" t="s">
        <v>6064</v>
      </c>
      <c r="E2136" s="2" t="s">
        <v>4261</v>
      </c>
      <c r="F2136" s="2" t="s">
        <v>6003</v>
      </c>
      <c r="G2136" s="2"/>
    </row>
    <row r="2137" customFormat="false" ht="15" hidden="false" customHeight="false" outlineLevel="0" collapsed="false">
      <c r="A2137" s="2" t="s">
        <v>1973</v>
      </c>
      <c r="B2137" s="2" t="s">
        <v>1974</v>
      </c>
      <c r="C2137" s="2" t="s">
        <v>1975</v>
      </c>
      <c r="D2137" s="2" t="s">
        <v>6065</v>
      </c>
      <c r="E2137" s="2" t="s">
        <v>4261</v>
      </c>
      <c r="F2137" s="2" t="s">
        <v>6003</v>
      </c>
      <c r="G2137" s="2"/>
    </row>
    <row r="2138" customFormat="false" ht="15" hidden="false" customHeight="false" outlineLevel="0" collapsed="false">
      <c r="A2138" s="2" t="s">
        <v>1978</v>
      </c>
      <c r="B2138" s="2" t="s">
        <v>1122</v>
      </c>
      <c r="C2138" s="2" t="s">
        <v>44</v>
      </c>
      <c r="D2138" s="2" t="s">
        <v>4665</v>
      </c>
      <c r="E2138" s="2" t="s">
        <v>4264</v>
      </c>
      <c r="F2138" s="2" t="s">
        <v>6003</v>
      </c>
      <c r="G2138" s="2"/>
    </row>
    <row r="2139" customFormat="false" ht="15" hidden="false" customHeight="false" outlineLevel="0" collapsed="false">
      <c r="A2139" s="2" t="s">
        <v>1978</v>
      </c>
      <c r="B2139" s="2" t="s">
        <v>1122</v>
      </c>
      <c r="C2139" s="2" t="s">
        <v>44</v>
      </c>
      <c r="D2139" s="2" t="s">
        <v>6066</v>
      </c>
      <c r="E2139" s="2" t="s">
        <v>4261</v>
      </c>
      <c r="F2139" s="2" t="s">
        <v>6003</v>
      </c>
      <c r="G2139" s="2"/>
    </row>
    <row r="2140" customFormat="false" ht="15" hidden="false" customHeight="false" outlineLevel="0" collapsed="false">
      <c r="A2140" s="2" t="s">
        <v>1978</v>
      </c>
      <c r="B2140" s="2" t="s">
        <v>1122</v>
      </c>
      <c r="C2140" s="2" t="s">
        <v>44</v>
      </c>
      <c r="D2140" s="2" t="s">
        <v>6067</v>
      </c>
      <c r="E2140" s="2" t="s">
        <v>4264</v>
      </c>
      <c r="F2140" s="2" t="s">
        <v>6003</v>
      </c>
      <c r="G2140" s="2"/>
    </row>
    <row r="2141" customFormat="false" ht="15" hidden="false" customHeight="false" outlineLevel="0" collapsed="false">
      <c r="A2141" s="2" t="s">
        <v>1980</v>
      </c>
      <c r="B2141" s="2" t="s">
        <v>1122</v>
      </c>
      <c r="C2141" s="2" t="s">
        <v>44</v>
      </c>
      <c r="D2141" s="2" t="s">
        <v>6068</v>
      </c>
      <c r="E2141" s="2" t="s">
        <v>4264</v>
      </c>
      <c r="F2141" s="2" t="s">
        <v>6003</v>
      </c>
      <c r="G2141" s="2"/>
    </row>
    <row r="2142" customFormat="false" ht="15" hidden="false" customHeight="false" outlineLevel="0" collapsed="false">
      <c r="A2142" s="2" t="s">
        <v>1980</v>
      </c>
      <c r="B2142" s="2" t="s">
        <v>1122</v>
      </c>
      <c r="C2142" s="2" t="s">
        <v>44</v>
      </c>
      <c r="D2142" s="2" t="s">
        <v>6069</v>
      </c>
      <c r="E2142" s="2" t="s">
        <v>4261</v>
      </c>
      <c r="F2142" s="2" t="s">
        <v>6003</v>
      </c>
      <c r="G2142" s="2"/>
    </row>
    <row r="2143" customFormat="false" ht="15" hidden="false" customHeight="false" outlineLevel="0" collapsed="false">
      <c r="A2143" s="2" t="s">
        <v>1980</v>
      </c>
      <c r="B2143" s="2" t="s">
        <v>1122</v>
      </c>
      <c r="C2143" s="2" t="s">
        <v>44</v>
      </c>
      <c r="D2143" s="2" t="s">
        <v>6070</v>
      </c>
      <c r="E2143" s="2" t="s">
        <v>4261</v>
      </c>
      <c r="F2143" s="2" t="s">
        <v>6003</v>
      </c>
      <c r="G2143" s="2"/>
    </row>
    <row r="2144" customFormat="false" ht="15" hidden="false" customHeight="false" outlineLevel="0" collapsed="false">
      <c r="A2144" s="2" t="s">
        <v>1980</v>
      </c>
      <c r="B2144" s="2" t="s">
        <v>1122</v>
      </c>
      <c r="C2144" s="2" t="s">
        <v>44</v>
      </c>
      <c r="D2144" s="2" t="s">
        <v>5694</v>
      </c>
      <c r="E2144" s="2" t="s">
        <v>4261</v>
      </c>
      <c r="F2144" s="2" t="s">
        <v>6003</v>
      </c>
      <c r="G2144" s="2"/>
    </row>
    <row r="2145" customFormat="false" ht="15" hidden="false" customHeight="false" outlineLevel="0" collapsed="false">
      <c r="A2145" s="2" t="s">
        <v>1980</v>
      </c>
      <c r="B2145" s="2" t="s">
        <v>1122</v>
      </c>
      <c r="C2145" s="2" t="s">
        <v>44</v>
      </c>
      <c r="D2145" s="2" t="s">
        <v>6071</v>
      </c>
      <c r="E2145" s="2" t="s">
        <v>4264</v>
      </c>
      <c r="F2145" s="2" t="s">
        <v>6003</v>
      </c>
      <c r="G2145" s="2"/>
    </row>
    <row r="2146" customFormat="false" ht="15" hidden="false" customHeight="false" outlineLevel="0" collapsed="false">
      <c r="A2146" s="2" t="s">
        <v>1980</v>
      </c>
      <c r="B2146" s="2" t="s">
        <v>1122</v>
      </c>
      <c r="C2146" s="2" t="s">
        <v>44</v>
      </c>
      <c r="D2146" s="2" t="s">
        <v>6072</v>
      </c>
      <c r="E2146" s="2" t="s">
        <v>4261</v>
      </c>
      <c r="F2146" s="2" t="s">
        <v>6003</v>
      </c>
      <c r="G2146" s="2"/>
    </row>
    <row r="2147" customFormat="false" ht="15" hidden="false" customHeight="false" outlineLevel="0" collapsed="false">
      <c r="A2147" s="2" t="s">
        <v>1980</v>
      </c>
      <c r="B2147" s="2" t="s">
        <v>1122</v>
      </c>
      <c r="C2147" s="2" t="s">
        <v>44</v>
      </c>
      <c r="D2147" s="2" t="s">
        <v>6073</v>
      </c>
      <c r="E2147" s="2" t="s">
        <v>4271</v>
      </c>
      <c r="F2147" s="2" t="s">
        <v>6003</v>
      </c>
      <c r="G2147" s="2"/>
    </row>
    <row r="2148" customFormat="false" ht="15" hidden="false" customHeight="false" outlineLevel="0" collapsed="false">
      <c r="A2148" s="2" t="s">
        <v>1980</v>
      </c>
      <c r="B2148" s="2" t="s">
        <v>1122</v>
      </c>
      <c r="C2148" s="2" t="s">
        <v>44</v>
      </c>
      <c r="D2148" s="2" t="s">
        <v>6074</v>
      </c>
      <c r="E2148" s="2" t="s">
        <v>4271</v>
      </c>
      <c r="F2148" s="2" t="s">
        <v>6003</v>
      </c>
      <c r="G2148" s="2"/>
    </row>
    <row r="2149" customFormat="false" ht="15" hidden="false" customHeight="false" outlineLevel="0" collapsed="false">
      <c r="A2149" s="2" t="s">
        <v>1982</v>
      </c>
      <c r="B2149" s="2" t="s">
        <v>1983</v>
      </c>
      <c r="C2149" s="2" t="s">
        <v>44</v>
      </c>
      <c r="D2149" s="2" t="s">
        <v>6075</v>
      </c>
      <c r="E2149" s="2" t="s">
        <v>4261</v>
      </c>
      <c r="F2149" s="2" t="s">
        <v>6003</v>
      </c>
      <c r="G2149" s="2"/>
    </row>
    <row r="2150" customFormat="false" ht="15" hidden="false" customHeight="false" outlineLevel="0" collapsed="false">
      <c r="A2150" s="2" t="s">
        <v>1982</v>
      </c>
      <c r="B2150" s="2" t="s">
        <v>1983</v>
      </c>
      <c r="C2150" s="2" t="s">
        <v>44</v>
      </c>
      <c r="D2150" s="2" t="s">
        <v>6076</v>
      </c>
      <c r="E2150" s="2" t="s">
        <v>4261</v>
      </c>
      <c r="F2150" s="2" t="s">
        <v>6003</v>
      </c>
      <c r="G2150" s="2"/>
    </row>
    <row r="2151" customFormat="false" ht="15" hidden="false" customHeight="false" outlineLevel="0" collapsed="false">
      <c r="A2151" s="2" t="s">
        <v>1989</v>
      </c>
      <c r="B2151" s="2" t="s">
        <v>1990</v>
      </c>
      <c r="C2151" s="2" t="s">
        <v>44</v>
      </c>
      <c r="D2151" s="2" t="s">
        <v>4678</v>
      </c>
      <c r="E2151" s="2" t="s">
        <v>4261</v>
      </c>
      <c r="F2151" s="2" t="s">
        <v>6003</v>
      </c>
      <c r="G2151" s="2"/>
    </row>
    <row r="2152" customFormat="false" ht="15" hidden="false" customHeight="false" outlineLevel="0" collapsed="false">
      <c r="A2152" s="2" t="s">
        <v>1989</v>
      </c>
      <c r="B2152" s="2" t="s">
        <v>1990</v>
      </c>
      <c r="C2152" s="2" t="s">
        <v>44</v>
      </c>
      <c r="D2152" s="2" t="s">
        <v>6077</v>
      </c>
      <c r="E2152" s="2" t="s">
        <v>4261</v>
      </c>
      <c r="F2152" s="2" t="s">
        <v>6003</v>
      </c>
      <c r="G2152" s="2"/>
    </row>
    <row r="2153" customFormat="false" ht="15" hidden="false" customHeight="false" outlineLevel="0" collapsed="false">
      <c r="A2153" s="2" t="s">
        <v>1989</v>
      </c>
      <c r="B2153" s="2" t="s">
        <v>1990</v>
      </c>
      <c r="C2153" s="2" t="s">
        <v>44</v>
      </c>
      <c r="D2153" s="2" t="s">
        <v>4309</v>
      </c>
      <c r="E2153" s="2" t="s">
        <v>4261</v>
      </c>
      <c r="F2153" s="2" t="s">
        <v>6003</v>
      </c>
      <c r="G2153" s="2"/>
    </row>
    <row r="2154" customFormat="false" ht="15" hidden="false" customHeight="false" outlineLevel="0" collapsed="false">
      <c r="A2154" s="2" t="s">
        <v>1989</v>
      </c>
      <c r="B2154" s="2" t="s">
        <v>1990</v>
      </c>
      <c r="C2154" s="2" t="s">
        <v>44</v>
      </c>
      <c r="D2154" s="2" t="s">
        <v>6078</v>
      </c>
      <c r="E2154" s="2" t="s">
        <v>4261</v>
      </c>
      <c r="F2154" s="2" t="s">
        <v>6003</v>
      </c>
      <c r="G2154" s="2"/>
    </row>
    <row r="2155" customFormat="false" ht="15" hidden="false" customHeight="false" outlineLevel="0" collapsed="false">
      <c r="A2155" s="2" t="s">
        <v>1989</v>
      </c>
      <c r="B2155" s="2" t="s">
        <v>1990</v>
      </c>
      <c r="C2155" s="2" t="s">
        <v>44</v>
      </c>
      <c r="D2155" s="2" t="s">
        <v>6079</v>
      </c>
      <c r="E2155" s="2" t="s">
        <v>4271</v>
      </c>
      <c r="F2155" s="2" t="s">
        <v>6003</v>
      </c>
      <c r="G2155" s="2"/>
    </row>
    <row r="2156" customFormat="false" ht="15" hidden="false" customHeight="false" outlineLevel="0" collapsed="false">
      <c r="A2156" s="2" t="s">
        <v>1989</v>
      </c>
      <c r="B2156" s="2" t="s">
        <v>1990</v>
      </c>
      <c r="C2156" s="2" t="s">
        <v>44</v>
      </c>
      <c r="D2156" s="2" t="s">
        <v>6080</v>
      </c>
      <c r="E2156" s="2" t="s">
        <v>4261</v>
      </c>
      <c r="F2156" s="2" t="s">
        <v>6003</v>
      </c>
      <c r="G2156" s="2"/>
    </row>
    <row r="2157" customFormat="false" ht="15" hidden="false" customHeight="false" outlineLevel="0" collapsed="false">
      <c r="A2157" s="2" t="s">
        <v>1992</v>
      </c>
      <c r="B2157" s="2" t="s">
        <v>184</v>
      </c>
      <c r="C2157" s="2" t="s">
        <v>44</v>
      </c>
      <c r="D2157" s="2" t="s">
        <v>1993</v>
      </c>
      <c r="E2157" s="2" t="s">
        <v>4261</v>
      </c>
      <c r="F2157" s="2"/>
      <c r="G2157" s="2"/>
    </row>
    <row r="2158" customFormat="false" ht="15" hidden="false" customHeight="false" outlineLevel="0" collapsed="false">
      <c r="A2158" s="2" t="s">
        <v>1994</v>
      </c>
      <c r="B2158" s="2" t="s">
        <v>355</v>
      </c>
      <c r="C2158" s="2" t="s">
        <v>44</v>
      </c>
      <c r="D2158" s="2" t="s">
        <v>6081</v>
      </c>
      <c r="E2158" s="2" t="s">
        <v>4264</v>
      </c>
      <c r="F2158" s="2" t="s">
        <v>6003</v>
      </c>
      <c r="G2158" s="2"/>
    </row>
    <row r="2159" customFormat="false" ht="15" hidden="false" customHeight="false" outlineLevel="0" collapsed="false">
      <c r="A2159" s="2" t="s">
        <v>1994</v>
      </c>
      <c r="B2159" s="2" t="s">
        <v>355</v>
      </c>
      <c r="C2159" s="2" t="s">
        <v>44</v>
      </c>
      <c r="D2159" s="2" t="s">
        <v>6082</v>
      </c>
      <c r="E2159" s="2" t="s">
        <v>4264</v>
      </c>
      <c r="F2159" s="2" t="s">
        <v>6003</v>
      </c>
      <c r="G2159" s="2"/>
    </row>
    <row r="2160" customFormat="false" ht="15" hidden="false" customHeight="false" outlineLevel="0" collapsed="false">
      <c r="A2160" s="2" t="s">
        <v>1994</v>
      </c>
      <c r="B2160" s="2" t="s">
        <v>355</v>
      </c>
      <c r="C2160" s="2" t="s">
        <v>44</v>
      </c>
      <c r="D2160" s="2" t="s">
        <v>6083</v>
      </c>
      <c r="E2160" s="2" t="s">
        <v>4264</v>
      </c>
      <c r="F2160" s="2" t="s">
        <v>6003</v>
      </c>
      <c r="G2160" s="2"/>
    </row>
    <row r="2161" customFormat="false" ht="15" hidden="false" customHeight="false" outlineLevel="0" collapsed="false">
      <c r="A2161" s="2" t="s">
        <v>1994</v>
      </c>
      <c r="B2161" s="2" t="s">
        <v>355</v>
      </c>
      <c r="C2161" s="2" t="s">
        <v>44</v>
      </c>
      <c r="D2161" s="2" t="s">
        <v>6084</v>
      </c>
      <c r="E2161" s="2" t="s">
        <v>4264</v>
      </c>
      <c r="F2161" s="2" t="s">
        <v>6003</v>
      </c>
      <c r="G2161" s="2"/>
    </row>
    <row r="2162" customFormat="false" ht="15" hidden="false" customHeight="false" outlineLevel="0" collapsed="false">
      <c r="A2162" s="2" t="s">
        <v>1994</v>
      </c>
      <c r="B2162" s="2" t="s">
        <v>355</v>
      </c>
      <c r="C2162" s="2" t="s">
        <v>44</v>
      </c>
      <c r="D2162" s="2" t="s">
        <v>6085</v>
      </c>
      <c r="E2162" s="2" t="s">
        <v>4264</v>
      </c>
      <c r="F2162" s="2" t="s">
        <v>6003</v>
      </c>
      <c r="G2162" s="2"/>
    </row>
    <row r="2163" customFormat="false" ht="15" hidden="false" customHeight="false" outlineLevel="0" collapsed="false">
      <c r="A2163" s="2" t="s">
        <v>1994</v>
      </c>
      <c r="B2163" s="2" t="s">
        <v>355</v>
      </c>
      <c r="C2163" s="2" t="s">
        <v>44</v>
      </c>
      <c r="D2163" s="2" t="s">
        <v>6086</v>
      </c>
      <c r="E2163" s="2" t="s">
        <v>4261</v>
      </c>
      <c r="F2163" s="2" t="s">
        <v>6003</v>
      </c>
      <c r="G2163" s="2"/>
    </row>
    <row r="2164" customFormat="false" ht="15" hidden="false" customHeight="false" outlineLevel="0" collapsed="false">
      <c r="A2164" s="2" t="s">
        <v>1994</v>
      </c>
      <c r="B2164" s="2" t="s">
        <v>355</v>
      </c>
      <c r="C2164" s="2" t="s">
        <v>44</v>
      </c>
      <c r="D2164" s="2" t="s">
        <v>6087</v>
      </c>
      <c r="E2164" s="2" t="s">
        <v>4261</v>
      </c>
      <c r="F2164" s="2" t="s">
        <v>6003</v>
      </c>
      <c r="G2164" s="2"/>
    </row>
    <row r="2165" customFormat="false" ht="15" hidden="false" customHeight="false" outlineLevel="0" collapsed="false">
      <c r="A2165" s="2" t="s">
        <v>1994</v>
      </c>
      <c r="B2165" s="2" t="s">
        <v>355</v>
      </c>
      <c r="C2165" s="2" t="s">
        <v>44</v>
      </c>
      <c r="D2165" s="2" t="s">
        <v>6088</v>
      </c>
      <c r="E2165" s="2" t="s">
        <v>4264</v>
      </c>
      <c r="F2165" s="2" t="s">
        <v>6003</v>
      </c>
      <c r="G2165" s="2"/>
    </row>
    <row r="2166" customFormat="false" ht="15" hidden="false" customHeight="false" outlineLevel="0" collapsed="false">
      <c r="A2166" s="2" t="s">
        <v>2001</v>
      </c>
      <c r="B2166" s="2" t="s">
        <v>2002</v>
      </c>
      <c r="C2166" s="2" t="s">
        <v>44</v>
      </c>
      <c r="D2166" s="2" t="s">
        <v>2003</v>
      </c>
      <c r="E2166" s="2" t="s">
        <v>4261</v>
      </c>
      <c r="F2166" s="2" t="s">
        <v>6003</v>
      </c>
      <c r="G2166" s="2"/>
    </row>
    <row r="2167" customFormat="false" ht="15" hidden="false" customHeight="false" outlineLevel="0" collapsed="false">
      <c r="A2167" s="2" t="s">
        <v>2009</v>
      </c>
      <c r="B2167" s="2" t="s">
        <v>1129</v>
      </c>
      <c r="C2167" s="2" t="s">
        <v>44</v>
      </c>
      <c r="D2167" s="2" t="s">
        <v>5341</v>
      </c>
      <c r="E2167" s="2" t="s">
        <v>4264</v>
      </c>
      <c r="F2167" s="2" t="s">
        <v>6003</v>
      </c>
      <c r="G2167" s="2"/>
    </row>
    <row r="2168" customFormat="false" ht="15" hidden="false" customHeight="false" outlineLevel="0" collapsed="false">
      <c r="A2168" s="2" t="s">
        <v>2009</v>
      </c>
      <c r="B2168" s="2" t="s">
        <v>1129</v>
      </c>
      <c r="C2168" s="2" t="s">
        <v>44</v>
      </c>
      <c r="D2168" s="2" t="s">
        <v>6089</v>
      </c>
      <c r="E2168" s="2" t="s">
        <v>4264</v>
      </c>
      <c r="F2168" s="2" t="s">
        <v>6003</v>
      </c>
      <c r="G2168" s="2"/>
    </row>
    <row r="2169" customFormat="false" ht="15" hidden="false" customHeight="false" outlineLevel="0" collapsed="false">
      <c r="A2169" s="2" t="s">
        <v>2017</v>
      </c>
      <c r="B2169" s="2" t="s">
        <v>44</v>
      </c>
      <c r="C2169" s="2" t="s">
        <v>44</v>
      </c>
      <c r="D2169" s="2" t="s">
        <v>2018</v>
      </c>
      <c r="E2169" s="2" t="s">
        <v>4271</v>
      </c>
      <c r="F2169" s="2"/>
      <c r="G2169" s="2"/>
    </row>
    <row r="2170" customFormat="false" ht="15" hidden="false" customHeight="false" outlineLevel="0" collapsed="false">
      <c r="A2170" s="2" t="s">
        <v>2020</v>
      </c>
      <c r="B2170" s="2" t="s">
        <v>44</v>
      </c>
      <c r="C2170" s="2" t="s">
        <v>44</v>
      </c>
      <c r="D2170" s="2" t="s">
        <v>6090</v>
      </c>
      <c r="E2170" s="2" t="s">
        <v>4261</v>
      </c>
      <c r="F2170" s="2" t="s">
        <v>6003</v>
      </c>
      <c r="G2170" s="2"/>
    </row>
    <row r="2171" customFormat="false" ht="15" hidden="false" customHeight="false" outlineLevel="0" collapsed="false">
      <c r="A2171" s="2" t="s">
        <v>2020</v>
      </c>
      <c r="B2171" s="2" t="s">
        <v>44</v>
      </c>
      <c r="C2171" s="2" t="s">
        <v>44</v>
      </c>
      <c r="D2171" s="2" t="s">
        <v>6091</v>
      </c>
      <c r="E2171" s="2" t="s">
        <v>4264</v>
      </c>
      <c r="F2171" s="2" t="s">
        <v>6003</v>
      </c>
      <c r="G2171" s="2"/>
    </row>
    <row r="2172" customFormat="false" ht="15" hidden="false" customHeight="false" outlineLevel="0" collapsed="false">
      <c r="A2172" s="2" t="s">
        <v>2020</v>
      </c>
      <c r="B2172" s="2" t="s">
        <v>44</v>
      </c>
      <c r="C2172" s="2" t="s">
        <v>44</v>
      </c>
      <c r="D2172" s="2" t="s">
        <v>6070</v>
      </c>
      <c r="E2172" s="2" t="s">
        <v>4261</v>
      </c>
      <c r="F2172" s="2" t="s">
        <v>6003</v>
      </c>
      <c r="G2172" s="2"/>
    </row>
    <row r="2173" customFormat="false" ht="15" hidden="false" customHeight="false" outlineLevel="0" collapsed="false">
      <c r="A2173" s="2" t="s">
        <v>2020</v>
      </c>
      <c r="B2173" s="2" t="s">
        <v>44</v>
      </c>
      <c r="C2173" s="2" t="s">
        <v>44</v>
      </c>
      <c r="D2173" s="2" t="s">
        <v>6092</v>
      </c>
      <c r="E2173" s="2" t="s">
        <v>4264</v>
      </c>
      <c r="F2173" s="2" t="s">
        <v>6003</v>
      </c>
      <c r="G2173" s="2"/>
    </row>
    <row r="2174" customFormat="false" ht="15" hidden="false" customHeight="false" outlineLevel="0" collapsed="false">
      <c r="A2174" s="2" t="s">
        <v>2020</v>
      </c>
      <c r="B2174" s="2" t="s">
        <v>44</v>
      </c>
      <c r="C2174" s="2" t="s">
        <v>44</v>
      </c>
      <c r="D2174" s="2" t="s">
        <v>6093</v>
      </c>
      <c r="E2174" s="2" t="s">
        <v>4261</v>
      </c>
      <c r="F2174" s="2" t="s">
        <v>6003</v>
      </c>
      <c r="G2174" s="2"/>
    </row>
    <row r="2175" customFormat="false" ht="15" hidden="false" customHeight="false" outlineLevel="0" collapsed="false">
      <c r="A2175" s="2" t="s">
        <v>2020</v>
      </c>
      <c r="B2175" s="2" t="s">
        <v>44</v>
      </c>
      <c r="C2175" s="2" t="s">
        <v>44</v>
      </c>
      <c r="D2175" s="2" t="s">
        <v>6094</v>
      </c>
      <c r="E2175" s="2" t="s">
        <v>4264</v>
      </c>
      <c r="F2175" s="2" t="s">
        <v>6003</v>
      </c>
      <c r="G2175" s="2"/>
    </row>
    <row r="2176" customFormat="false" ht="15" hidden="false" customHeight="false" outlineLevel="0" collapsed="false">
      <c r="A2176" s="2" t="s">
        <v>2020</v>
      </c>
      <c r="B2176" s="2" t="s">
        <v>44</v>
      </c>
      <c r="C2176" s="2" t="s">
        <v>44</v>
      </c>
      <c r="D2176" s="2" t="s">
        <v>6095</v>
      </c>
      <c r="E2176" s="2" t="s">
        <v>4271</v>
      </c>
      <c r="F2176" s="2" t="s">
        <v>6003</v>
      </c>
      <c r="G2176" s="2"/>
    </row>
    <row r="2177" customFormat="false" ht="15" hidden="false" customHeight="false" outlineLevel="0" collapsed="false">
      <c r="A2177" s="2" t="s">
        <v>2020</v>
      </c>
      <c r="B2177" s="2" t="s">
        <v>44</v>
      </c>
      <c r="C2177" s="2" t="s">
        <v>44</v>
      </c>
      <c r="D2177" s="2" t="s">
        <v>6096</v>
      </c>
      <c r="E2177" s="2" t="s">
        <v>4264</v>
      </c>
      <c r="F2177" s="2" t="s">
        <v>6003</v>
      </c>
      <c r="G2177" s="2"/>
    </row>
    <row r="2178" customFormat="false" ht="15" hidden="false" customHeight="false" outlineLevel="0" collapsed="false">
      <c r="A2178" s="2" t="s">
        <v>2020</v>
      </c>
      <c r="B2178" s="2" t="s">
        <v>44</v>
      </c>
      <c r="C2178" s="2" t="s">
        <v>44</v>
      </c>
      <c r="D2178" s="2" t="s">
        <v>6097</v>
      </c>
      <c r="E2178" s="2" t="s">
        <v>4264</v>
      </c>
      <c r="F2178" s="2" t="s">
        <v>6003</v>
      </c>
      <c r="G2178" s="2"/>
    </row>
    <row r="2179" customFormat="false" ht="15" hidden="false" customHeight="false" outlineLevel="0" collapsed="false">
      <c r="A2179" s="2" t="s">
        <v>2020</v>
      </c>
      <c r="B2179" s="2" t="s">
        <v>44</v>
      </c>
      <c r="C2179" s="2" t="s">
        <v>44</v>
      </c>
      <c r="D2179" s="2" t="s">
        <v>6098</v>
      </c>
      <c r="E2179" s="2" t="s">
        <v>4264</v>
      </c>
      <c r="F2179" s="2" t="s">
        <v>6003</v>
      </c>
      <c r="G2179" s="2"/>
    </row>
    <row r="2180" customFormat="false" ht="15" hidden="false" customHeight="false" outlineLevel="0" collapsed="false">
      <c r="A2180" s="2" t="s">
        <v>2020</v>
      </c>
      <c r="B2180" s="2" t="s">
        <v>44</v>
      </c>
      <c r="C2180" s="2" t="s">
        <v>44</v>
      </c>
      <c r="D2180" s="2" t="s">
        <v>65</v>
      </c>
      <c r="E2180" s="2" t="s">
        <v>4261</v>
      </c>
      <c r="F2180" s="2" t="s">
        <v>6003</v>
      </c>
      <c r="G2180" s="2"/>
    </row>
    <row r="2181" customFormat="false" ht="15" hidden="false" customHeight="false" outlineLevel="0" collapsed="false">
      <c r="A2181" s="2" t="s">
        <v>2020</v>
      </c>
      <c r="B2181" s="2" t="s">
        <v>44</v>
      </c>
      <c r="C2181" s="2" t="s">
        <v>44</v>
      </c>
      <c r="D2181" s="2" t="s">
        <v>6099</v>
      </c>
      <c r="E2181" s="2" t="s">
        <v>4261</v>
      </c>
      <c r="F2181" s="2" t="s">
        <v>6003</v>
      </c>
      <c r="G2181" s="2"/>
    </row>
    <row r="2182" customFormat="false" ht="15" hidden="false" customHeight="false" outlineLevel="0" collapsed="false">
      <c r="A2182" s="2" t="s">
        <v>2020</v>
      </c>
      <c r="B2182" s="2" t="s">
        <v>44</v>
      </c>
      <c r="C2182" s="2" t="s">
        <v>44</v>
      </c>
      <c r="D2182" s="2" t="s">
        <v>6100</v>
      </c>
      <c r="E2182" s="2" t="s">
        <v>4261</v>
      </c>
      <c r="F2182" s="2" t="s">
        <v>6003</v>
      </c>
      <c r="G2182" s="2"/>
    </row>
    <row r="2183" customFormat="false" ht="15" hidden="false" customHeight="false" outlineLevel="0" collapsed="false">
      <c r="A2183" s="2" t="s">
        <v>2020</v>
      </c>
      <c r="B2183" s="2" t="s">
        <v>44</v>
      </c>
      <c r="C2183" s="2" t="s">
        <v>44</v>
      </c>
      <c r="D2183" s="2" t="s">
        <v>6101</v>
      </c>
      <c r="E2183" s="2" t="s">
        <v>4261</v>
      </c>
      <c r="F2183" s="2" t="s">
        <v>6003</v>
      </c>
      <c r="G2183" s="2"/>
    </row>
    <row r="2184" customFormat="false" ht="15" hidden="false" customHeight="false" outlineLevel="0" collapsed="false">
      <c r="A2184" s="2" t="s">
        <v>2020</v>
      </c>
      <c r="B2184" s="2" t="s">
        <v>44</v>
      </c>
      <c r="C2184" s="2" t="s">
        <v>44</v>
      </c>
      <c r="D2184" s="2" t="s">
        <v>6102</v>
      </c>
      <c r="E2184" s="2" t="s">
        <v>4261</v>
      </c>
      <c r="F2184" s="2" t="s">
        <v>6003</v>
      </c>
      <c r="G2184" s="2"/>
    </row>
    <row r="2185" customFormat="false" ht="15" hidden="false" customHeight="false" outlineLevel="0" collapsed="false">
      <c r="A2185" s="2" t="s">
        <v>2020</v>
      </c>
      <c r="B2185" s="2" t="s">
        <v>44</v>
      </c>
      <c r="C2185" s="2" t="s">
        <v>44</v>
      </c>
      <c r="D2185" s="2" t="s">
        <v>6103</v>
      </c>
      <c r="E2185" s="2" t="s">
        <v>4271</v>
      </c>
      <c r="F2185" s="2" t="s">
        <v>6003</v>
      </c>
      <c r="G2185" s="2"/>
    </row>
    <row r="2186" customFormat="false" ht="15" hidden="false" customHeight="false" outlineLevel="0" collapsed="false">
      <c r="A2186" s="2" t="s">
        <v>2020</v>
      </c>
      <c r="B2186" s="2" t="s">
        <v>44</v>
      </c>
      <c r="C2186" s="2" t="s">
        <v>44</v>
      </c>
      <c r="D2186" s="2" t="s">
        <v>6104</v>
      </c>
      <c r="E2186" s="2" t="s">
        <v>4261</v>
      </c>
      <c r="F2186" s="2" t="s">
        <v>6003</v>
      </c>
      <c r="G2186" s="2"/>
    </row>
    <row r="2187" customFormat="false" ht="15" hidden="false" customHeight="false" outlineLevel="0" collapsed="false">
      <c r="A2187" s="2" t="s">
        <v>2020</v>
      </c>
      <c r="B2187" s="2" t="s">
        <v>44</v>
      </c>
      <c r="C2187" s="2" t="s">
        <v>44</v>
      </c>
      <c r="D2187" s="2" t="s">
        <v>6105</v>
      </c>
      <c r="E2187" s="2" t="s">
        <v>4271</v>
      </c>
      <c r="F2187" s="2" t="s">
        <v>6003</v>
      </c>
      <c r="G2187" s="2"/>
    </row>
    <row r="2188" customFormat="false" ht="15" hidden="false" customHeight="false" outlineLevel="0" collapsed="false">
      <c r="A2188" s="2" t="s">
        <v>2020</v>
      </c>
      <c r="B2188" s="2" t="s">
        <v>44</v>
      </c>
      <c r="C2188" s="2" t="s">
        <v>44</v>
      </c>
      <c r="D2188" s="2" t="s">
        <v>6106</v>
      </c>
      <c r="E2188" s="2" t="s">
        <v>4261</v>
      </c>
      <c r="F2188" s="2" t="s">
        <v>6003</v>
      </c>
      <c r="G2188" s="2"/>
    </row>
    <row r="2189" customFormat="false" ht="15" hidden="false" customHeight="false" outlineLevel="0" collapsed="false">
      <c r="A2189" s="2" t="s">
        <v>2024</v>
      </c>
      <c r="B2189" s="2" t="s">
        <v>2025</v>
      </c>
      <c r="C2189" s="2" t="s">
        <v>455</v>
      </c>
      <c r="D2189" s="2" t="s">
        <v>6107</v>
      </c>
      <c r="E2189" s="2" t="s">
        <v>4261</v>
      </c>
      <c r="F2189" s="2" t="s">
        <v>6003</v>
      </c>
      <c r="G2189" s="2"/>
    </row>
    <row r="2190" customFormat="false" ht="15" hidden="false" customHeight="false" outlineLevel="0" collapsed="false">
      <c r="A2190" s="2" t="s">
        <v>2024</v>
      </c>
      <c r="B2190" s="2" t="s">
        <v>2025</v>
      </c>
      <c r="C2190" s="2" t="s">
        <v>455</v>
      </c>
      <c r="D2190" s="2" t="s">
        <v>6108</v>
      </c>
      <c r="E2190" s="2" t="s">
        <v>4261</v>
      </c>
      <c r="F2190" s="2" t="s">
        <v>6003</v>
      </c>
      <c r="G2190" s="2"/>
    </row>
    <row r="2191" customFormat="false" ht="15" hidden="false" customHeight="false" outlineLevel="0" collapsed="false">
      <c r="A2191" s="2" t="s">
        <v>2024</v>
      </c>
      <c r="B2191" s="2" t="s">
        <v>2025</v>
      </c>
      <c r="C2191" s="2" t="s">
        <v>455</v>
      </c>
      <c r="D2191" s="2" t="s">
        <v>6109</v>
      </c>
      <c r="E2191" s="2" t="s">
        <v>4261</v>
      </c>
      <c r="F2191" s="2" t="s">
        <v>6003</v>
      </c>
      <c r="G2191" s="2"/>
    </row>
    <row r="2192" customFormat="false" ht="15" hidden="false" customHeight="false" outlineLevel="0" collapsed="false">
      <c r="A2192" s="2" t="s">
        <v>2024</v>
      </c>
      <c r="B2192" s="2" t="s">
        <v>2025</v>
      </c>
      <c r="C2192" s="2" t="s">
        <v>455</v>
      </c>
      <c r="D2192" s="2" t="s">
        <v>6110</v>
      </c>
      <c r="E2192" s="2" t="s">
        <v>4261</v>
      </c>
      <c r="F2192" s="2" t="s">
        <v>6003</v>
      </c>
      <c r="G2192" s="2"/>
    </row>
    <row r="2193" customFormat="false" ht="15" hidden="false" customHeight="false" outlineLevel="0" collapsed="false">
      <c r="A2193" s="2" t="s">
        <v>2024</v>
      </c>
      <c r="B2193" s="2" t="s">
        <v>2025</v>
      </c>
      <c r="C2193" s="2" t="s">
        <v>455</v>
      </c>
      <c r="D2193" s="2" t="s">
        <v>6111</v>
      </c>
      <c r="E2193" s="2" t="s">
        <v>4261</v>
      </c>
      <c r="F2193" s="2" t="s">
        <v>6003</v>
      </c>
      <c r="G2193" s="2"/>
    </row>
    <row r="2194" customFormat="false" ht="15" hidden="false" customHeight="false" outlineLevel="0" collapsed="false">
      <c r="A2194" s="2" t="s">
        <v>2024</v>
      </c>
      <c r="B2194" s="2" t="s">
        <v>2025</v>
      </c>
      <c r="C2194" s="2" t="s">
        <v>455</v>
      </c>
      <c r="D2194" s="2" t="s">
        <v>6112</v>
      </c>
      <c r="E2194" s="2" t="s">
        <v>4261</v>
      </c>
      <c r="F2194" s="2" t="s">
        <v>6003</v>
      </c>
      <c r="G2194" s="2"/>
    </row>
    <row r="2195" customFormat="false" ht="15" hidden="false" customHeight="false" outlineLevel="0" collapsed="false">
      <c r="A2195" s="2" t="s">
        <v>2028</v>
      </c>
      <c r="B2195" s="2" t="s">
        <v>2029</v>
      </c>
      <c r="C2195" s="2" t="s">
        <v>455</v>
      </c>
      <c r="D2195" s="2" t="s">
        <v>2030</v>
      </c>
      <c r="E2195" s="2" t="s">
        <v>4261</v>
      </c>
      <c r="F2195" s="2" t="s">
        <v>6003</v>
      </c>
      <c r="G2195" s="2"/>
    </row>
    <row r="2196" customFormat="false" ht="15" hidden="false" customHeight="false" outlineLevel="0" collapsed="false">
      <c r="A2196" s="2" t="s">
        <v>2035</v>
      </c>
      <c r="B2196" s="2" t="s">
        <v>2036</v>
      </c>
      <c r="C2196" s="2" t="s">
        <v>455</v>
      </c>
      <c r="D2196" s="2" t="s">
        <v>6113</v>
      </c>
      <c r="E2196" s="2" t="s">
        <v>4261</v>
      </c>
      <c r="F2196" s="2" t="s">
        <v>6003</v>
      </c>
      <c r="G2196" s="2"/>
    </row>
    <row r="2197" customFormat="false" ht="15" hidden="false" customHeight="false" outlineLevel="0" collapsed="false">
      <c r="A2197" s="2" t="s">
        <v>2035</v>
      </c>
      <c r="B2197" s="2" t="s">
        <v>2036</v>
      </c>
      <c r="C2197" s="2" t="s">
        <v>455</v>
      </c>
      <c r="D2197" s="2" t="s">
        <v>6114</v>
      </c>
      <c r="E2197" s="2" t="s">
        <v>4261</v>
      </c>
      <c r="F2197" s="2" t="s">
        <v>6003</v>
      </c>
      <c r="G2197" s="2"/>
    </row>
    <row r="2198" customFormat="false" ht="15" hidden="false" customHeight="false" outlineLevel="0" collapsed="false">
      <c r="A2198" s="2" t="s">
        <v>2035</v>
      </c>
      <c r="B2198" s="2" t="s">
        <v>2036</v>
      </c>
      <c r="C2198" s="2" t="s">
        <v>455</v>
      </c>
      <c r="D2198" s="2" t="s">
        <v>6115</v>
      </c>
      <c r="E2198" s="2" t="s">
        <v>4261</v>
      </c>
      <c r="F2198" s="2" t="s">
        <v>6003</v>
      </c>
      <c r="G2198" s="2"/>
    </row>
    <row r="2199" customFormat="false" ht="15" hidden="false" customHeight="false" outlineLevel="0" collapsed="false">
      <c r="A2199" s="2" t="s">
        <v>2035</v>
      </c>
      <c r="B2199" s="2" t="s">
        <v>2036</v>
      </c>
      <c r="C2199" s="2" t="s">
        <v>455</v>
      </c>
      <c r="D2199" s="2" t="s">
        <v>5849</v>
      </c>
      <c r="E2199" s="2" t="s">
        <v>4261</v>
      </c>
      <c r="F2199" s="2" t="s">
        <v>6003</v>
      </c>
      <c r="G2199" s="2"/>
    </row>
    <row r="2200" customFormat="false" ht="15" hidden="false" customHeight="false" outlineLevel="0" collapsed="false">
      <c r="A2200" s="2" t="s">
        <v>2045</v>
      </c>
      <c r="B2200" s="2" t="s">
        <v>2046</v>
      </c>
      <c r="C2200" s="2" t="s">
        <v>1975</v>
      </c>
      <c r="D2200" s="2" t="s">
        <v>2047</v>
      </c>
      <c r="E2200" s="2" t="s">
        <v>4261</v>
      </c>
      <c r="F2200" s="2" t="s">
        <v>6003</v>
      </c>
      <c r="G2200" s="2"/>
    </row>
    <row r="2201" customFormat="false" ht="15" hidden="false" customHeight="false" outlineLevel="0" collapsed="false">
      <c r="A2201" s="2" t="s">
        <v>2050</v>
      </c>
      <c r="B2201" s="2" t="s">
        <v>2051</v>
      </c>
      <c r="C2201" s="2" t="s">
        <v>455</v>
      </c>
      <c r="D2201" s="2" t="s">
        <v>6116</v>
      </c>
      <c r="E2201" s="2" t="s">
        <v>4261</v>
      </c>
      <c r="F2201" s="2" t="s">
        <v>6003</v>
      </c>
      <c r="G2201" s="2"/>
    </row>
    <row r="2202" customFormat="false" ht="15" hidden="false" customHeight="false" outlineLevel="0" collapsed="false">
      <c r="A2202" s="2" t="s">
        <v>2050</v>
      </c>
      <c r="B2202" s="2" t="s">
        <v>2051</v>
      </c>
      <c r="C2202" s="2" t="s">
        <v>455</v>
      </c>
      <c r="D2202" s="2" t="s">
        <v>6117</v>
      </c>
      <c r="E2202" s="2" t="s">
        <v>4261</v>
      </c>
      <c r="F2202" s="2" t="s">
        <v>6003</v>
      </c>
      <c r="G2202" s="2"/>
    </row>
    <row r="2203" customFormat="false" ht="15" hidden="false" customHeight="false" outlineLevel="0" collapsed="false">
      <c r="A2203" s="2" t="s">
        <v>2067</v>
      </c>
      <c r="B2203" s="2" t="s">
        <v>2068</v>
      </c>
      <c r="C2203" s="2" t="s">
        <v>1975</v>
      </c>
      <c r="D2203" s="2" t="s">
        <v>2069</v>
      </c>
      <c r="E2203" s="2" t="s">
        <v>4261</v>
      </c>
      <c r="F2203" s="2" t="s">
        <v>6003</v>
      </c>
      <c r="G2203" s="2"/>
    </row>
    <row r="2204" customFormat="false" ht="15" hidden="false" customHeight="false" outlineLevel="0" collapsed="false">
      <c r="A2204" s="2" t="s">
        <v>2073</v>
      </c>
      <c r="B2204" s="2" t="s">
        <v>2074</v>
      </c>
      <c r="C2204" s="2" t="s">
        <v>524</v>
      </c>
      <c r="D2204" s="2" t="s">
        <v>5248</v>
      </c>
      <c r="E2204" s="2" t="s">
        <v>4261</v>
      </c>
      <c r="F2204" s="2" t="s">
        <v>6003</v>
      </c>
      <c r="G2204" s="2"/>
    </row>
    <row r="2205" customFormat="false" ht="15" hidden="false" customHeight="false" outlineLevel="0" collapsed="false">
      <c r="A2205" s="2" t="s">
        <v>2073</v>
      </c>
      <c r="B2205" s="2" t="s">
        <v>2074</v>
      </c>
      <c r="C2205" s="2" t="s">
        <v>524</v>
      </c>
      <c r="D2205" s="2" t="s">
        <v>6118</v>
      </c>
      <c r="E2205" s="2" t="s">
        <v>4261</v>
      </c>
      <c r="F2205" s="2" t="s">
        <v>6003</v>
      </c>
      <c r="G2205" s="2"/>
    </row>
    <row r="2206" customFormat="false" ht="15" hidden="false" customHeight="false" outlineLevel="0" collapsed="false">
      <c r="A2206" s="2" t="s">
        <v>2073</v>
      </c>
      <c r="B2206" s="2" t="s">
        <v>2074</v>
      </c>
      <c r="C2206" s="2" t="s">
        <v>524</v>
      </c>
      <c r="D2206" s="2" t="s">
        <v>6119</v>
      </c>
      <c r="E2206" s="2" t="s">
        <v>4261</v>
      </c>
      <c r="F2206" s="2" t="s">
        <v>6003</v>
      </c>
      <c r="G2206" s="2"/>
    </row>
    <row r="2207" customFormat="false" ht="15" hidden="false" customHeight="false" outlineLevel="0" collapsed="false">
      <c r="A2207" s="2" t="s">
        <v>2073</v>
      </c>
      <c r="B2207" s="2" t="s">
        <v>2074</v>
      </c>
      <c r="C2207" s="2" t="s">
        <v>524</v>
      </c>
      <c r="D2207" s="2" t="s">
        <v>6120</v>
      </c>
      <c r="E2207" s="2" t="s">
        <v>4261</v>
      </c>
      <c r="F2207" s="2" t="s">
        <v>6003</v>
      </c>
      <c r="G2207" s="2"/>
    </row>
    <row r="2208" customFormat="false" ht="15" hidden="false" customHeight="false" outlineLevel="0" collapsed="false">
      <c r="A2208" s="2" t="s">
        <v>2078</v>
      </c>
      <c r="B2208" s="2" t="s">
        <v>2079</v>
      </c>
      <c r="C2208" s="2" t="s">
        <v>455</v>
      </c>
      <c r="D2208" s="2" t="s">
        <v>2080</v>
      </c>
      <c r="E2208" s="2" t="s">
        <v>4271</v>
      </c>
      <c r="F2208" s="2" t="s">
        <v>6003</v>
      </c>
      <c r="G2208" s="2"/>
    </row>
    <row r="2209" customFormat="false" ht="15" hidden="false" customHeight="false" outlineLevel="0" collapsed="false">
      <c r="A2209" s="2" t="s">
        <v>2094</v>
      </c>
      <c r="B2209" s="2" t="s">
        <v>2029</v>
      </c>
      <c r="C2209" s="2" t="s">
        <v>455</v>
      </c>
      <c r="D2209" s="2" t="s">
        <v>2095</v>
      </c>
      <c r="E2209" s="2" t="s">
        <v>4261</v>
      </c>
      <c r="F2209" s="2" t="s">
        <v>6003</v>
      </c>
      <c r="G2209" s="2"/>
    </row>
    <row r="2210" customFormat="false" ht="15" hidden="false" customHeight="false" outlineLevel="0" collapsed="false">
      <c r="A2210" s="2" t="s">
        <v>2097</v>
      </c>
      <c r="B2210" s="2" t="s">
        <v>454</v>
      </c>
      <c r="C2210" s="2" t="s">
        <v>455</v>
      </c>
      <c r="D2210" s="2" t="s">
        <v>6121</v>
      </c>
      <c r="E2210" s="2" t="s">
        <v>4261</v>
      </c>
      <c r="F2210" s="2" t="s">
        <v>6003</v>
      </c>
      <c r="G2210" s="2"/>
    </row>
    <row r="2211" customFormat="false" ht="15" hidden="false" customHeight="false" outlineLevel="0" collapsed="false">
      <c r="A2211" s="2" t="s">
        <v>2097</v>
      </c>
      <c r="B2211" s="2" t="s">
        <v>454</v>
      </c>
      <c r="C2211" s="2" t="s">
        <v>455</v>
      </c>
      <c r="D2211" s="2" t="s">
        <v>6122</v>
      </c>
      <c r="E2211" s="2" t="s">
        <v>4261</v>
      </c>
      <c r="F2211" s="2" t="s">
        <v>6003</v>
      </c>
      <c r="G2211" s="2"/>
    </row>
    <row r="2212" customFormat="false" ht="15" hidden="false" customHeight="false" outlineLevel="0" collapsed="false">
      <c r="A2212" s="2" t="s">
        <v>2097</v>
      </c>
      <c r="B2212" s="2" t="s">
        <v>454</v>
      </c>
      <c r="C2212" s="2" t="s">
        <v>455</v>
      </c>
      <c r="D2212" s="2" t="s">
        <v>6123</v>
      </c>
      <c r="E2212" s="2" t="s">
        <v>4261</v>
      </c>
      <c r="F2212" s="2" t="s">
        <v>6003</v>
      </c>
      <c r="G2212" s="2"/>
    </row>
    <row r="2213" customFormat="false" ht="15" hidden="false" customHeight="false" outlineLevel="0" collapsed="false">
      <c r="A2213" s="2" t="s">
        <v>2097</v>
      </c>
      <c r="B2213" s="2" t="s">
        <v>454</v>
      </c>
      <c r="C2213" s="2" t="s">
        <v>455</v>
      </c>
      <c r="D2213" s="2" t="s">
        <v>6124</v>
      </c>
      <c r="E2213" s="2" t="s">
        <v>4271</v>
      </c>
      <c r="F2213" s="2" t="s">
        <v>6003</v>
      </c>
      <c r="G2213" s="2"/>
    </row>
    <row r="2214" customFormat="false" ht="15" hidden="false" customHeight="false" outlineLevel="0" collapsed="false">
      <c r="A2214" s="2" t="s">
        <v>2097</v>
      </c>
      <c r="B2214" s="2" t="s">
        <v>454</v>
      </c>
      <c r="C2214" s="2" t="s">
        <v>455</v>
      </c>
      <c r="D2214" s="2" t="s">
        <v>6125</v>
      </c>
      <c r="E2214" s="2" t="s">
        <v>4261</v>
      </c>
      <c r="F2214" s="2" t="s">
        <v>6003</v>
      </c>
      <c r="G2214" s="2"/>
    </row>
    <row r="2215" customFormat="false" ht="15" hidden="false" customHeight="false" outlineLevel="0" collapsed="false">
      <c r="A2215" s="2" t="s">
        <v>2108</v>
      </c>
      <c r="B2215" s="2" t="s">
        <v>2109</v>
      </c>
      <c r="C2215" s="2" t="s">
        <v>455</v>
      </c>
      <c r="D2215" s="2" t="s">
        <v>2110</v>
      </c>
      <c r="E2215" s="2" t="s">
        <v>4271</v>
      </c>
      <c r="F2215" s="2" t="s">
        <v>6003</v>
      </c>
      <c r="G2215" s="2"/>
    </row>
    <row r="2216" customFormat="false" ht="15" hidden="false" customHeight="false" outlineLevel="0" collapsed="false">
      <c r="A2216" s="2" t="s">
        <v>2114</v>
      </c>
      <c r="B2216" s="2" t="s">
        <v>2115</v>
      </c>
      <c r="C2216" s="2" t="s">
        <v>455</v>
      </c>
      <c r="D2216" s="2" t="s">
        <v>2116</v>
      </c>
      <c r="E2216" s="2" t="s">
        <v>4261</v>
      </c>
      <c r="F2216" s="2" t="s">
        <v>6003</v>
      </c>
      <c r="G2216" s="2"/>
    </row>
    <row r="2217" customFormat="false" ht="15" hidden="false" customHeight="false" outlineLevel="0" collapsed="false">
      <c r="A2217" s="2" t="s">
        <v>2148</v>
      </c>
      <c r="B2217" s="2" t="s">
        <v>2149</v>
      </c>
      <c r="C2217" s="2" t="s">
        <v>524</v>
      </c>
      <c r="D2217" s="2" t="s">
        <v>6126</v>
      </c>
      <c r="E2217" s="2" t="s">
        <v>4261</v>
      </c>
      <c r="F2217" s="2"/>
      <c r="G2217" s="2"/>
    </row>
    <row r="2218" customFormat="false" ht="15" hidden="false" customHeight="false" outlineLevel="0" collapsed="false">
      <c r="A2218" s="2" t="s">
        <v>2148</v>
      </c>
      <c r="B2218" s="2" t="s">
        <v>2149</v>
      </c>
      <c r="C2218" s="2" t="s">
        <v>524</v>
      </c>
      <c r="D2218" s="2" t="s">
        <v>6127</v>
      </c>
      <c r="E2218" s="2" t="s">
        <v>4261</v>
      </c>
      <c r="F2218" s="2"/>
      <c r="G2218" s="2"/>
    </row>
    <row r="2219" customFormat="false" ht="15" hidden="false" customHeight="false" outlineLevel="0" collapsed="false">
      <c r="A2219" s="2" t="s">
        <v>2148</v>
      </c>
      <c r="B2219" s="2" t="s">
        <v>2149</v>
      </c>
      <c r="C2219" s="2" t="s">
        <v>524</v>
      </c>
      <c r="D2219" s="2" t="s">
        <v>6128</v>
      </c>
      <c r="E2219" s="2" t="s">
        <v>4261</v>
      </c>
      <c r="F2219" s="2"/>
      <c r="G2219" s="2"/>
    </row>
    <row r="2220" customFormat="false" ht="15" hidden="false" customHeight="false" outlineLevel="0" collapsed="false">
      <c r="A2220" s="2" t="s">
        <v>2148</v>
      </c>
      <c r="B2220" s="2" t="s">
        <v>2149</v>
      </c>
      <c r="C2220" s="2" t="s">
        <v>524</v>
      </c>
      <c r="D2220" s="2" t="s">
        <v>6129</v>
      </c>
      <c r="E2220" s="2" t="s">
        <v>4261</v>
      </c>
      <c r="F2220" s="2"/>
      <c r="G2220" s="2"/>
    </row>
    <row r="2221" customFormat="false" ht="15" hidden="false" customHeight="false" outlineLevel="0" collapsed="false">
      <c r="A2221" s="2" t="s">
        <v>2148</v>
      </c>
      <c r="B2221" s="2" t="s">
        <v>2149</v>
      </c>
      <c r="C2221" s="2" t="s">
        <v>524</v>
      </c>
      <c r="D2221" s="2" t="s">
        <v>6130</v>
      </c>
      <c r="E2221" s="2" t="s">
        <v>4261</v>
      </c>
      <c r="F2221" s="2"/>
      <c r="G2221" s="2"/>
    </row>
    <row r="2222" customFormat="false" ht="15" hidden="false" customHeight="false" outlineLevel="0" collapsed="false">
      <c r="A2222" s="2" t="s">
        <v>2148</v>
      </c>
      <c r="B2222" s="2" t="s">
        <v>2149</v>
      </c>
      <c r="C2222" s="2" t="s">
        <v>524</v>
      </c>
      <c r="D2222" s="2" t="s">
        <v>6131</v>
      </c>
      <c r="E2222" s="2" t="s">
        <v>4261</v>
      </c>
      <c r="F2222" s="2"/>
      <c r="G2222" s="2"/>
    </row>
    <row r="2223" customFormat="false" ht="15" hidden="false" customHeight="false" outlineLevel="0" collapsed="false">
      <c r="A2223" s="2" t="s">
        <v>2148</v>
      </c>
      <c r="B2223" s="2" t="s">
        <v>2149</v>
      </c>
      <c r="C2223" s="2" t="s">
        <v>524</v>
      </c>
      <c r="D2223" s="2" t="s">
        <v>6132</v>
      </c>
      <c r="E2223" s="2" t="s">
        <v>4261</v>
      </c>
      <c r="F2223" s="2"/>
      <c r="G2223" s="2"/>
    </row>
    <row r="2224" customFormat="false" ht="15" hidden="false" customHeight="false" outlineLevel="0" collapsed="false">
      <c r="A2224" s="2" t="s">
        <v>2148</v>
      </c>
      <c r="B2224" s="2" t="s">
        <v>2149</v>
      </c>
      <c r="C2224" s="2" t="s">
        <v>524</v>
      </c>
      <c r="D2224" s="2" t="s">
        <v>6133</v>
      </c>
      <c r="E2224" s="2" t="s">
        <v>4261</v>
      </c>
      <c r="F2224" s="2"/>
      <c r="G2224" s="2"/>
    </row>
    <row r="2225" customFormat="false" ht="15" hidden="false" customHeight="false" outlineLevel="0" collapsed="false">
      <c r="A2225" s="2" t="s">
        <v>2148</v>
      </c>
      <c r="B2225" s="2" t="s">
        <v>2149</v>
      </c>
      <c r="C2225" s="2" t="s">
        <v>524</v>
      </c>
      <c r="D2225" s="2" t="s">
        <v>6134</v>
      </c>
      <c r="E2225" s="2" t="s">
        <v>4261</v>
      </c>
      <c r="F2225" s="2"/>
      <c r="G2225" s="2"/>
    </row>
    <row r="2226" customFormat="false" ht="15" hidden="false" customHeight="false" outlineLevel="0" collapsed="false">
      <c r="A2226" s="2" t="s">
        <v>2148</v>
      </c>
      <c r="B2226" s="2" t="s">
        <v>2149</v>
      </c>
      <c r="C2226" s="2" t="s">
        <v>524</v>
      </c>
      <c r="D2226" s="2" t="s">
        <v>6135</v>
      </c>
      <c r="E2226" s="2" t="s">
        <v>4261</v>
      </c>
      <c r="F2226" s="2"/>
      <c r="G2226" s="2"/>
    </row>
    <row r="2227" customFormat="false" ht="15" hidden="false" customHeight="false" outlineLevel="0" collapsed="false">
      <c r="A2227" s="2" t="s">
        <v>2148</v>
      </c>
      <c r="B2227" s="2" t="s">
        <v>2149</v>
      </c>
      <c r="C2227" s="2" t="s">
        <v>524</v>
      </c>
      <c r="D2227" s="2" t="s">
        <v>6136</v>
      </c>
      <c r="E2227" s="2" t="s">
        <v>4261</v>
      </c>
      <c r="F2227" s="2"/>
      <c r="G2227" s="2"/>
    </row>
    <row r="2228" customFormat="false" ht="15" hidden="false" customHeight="false" outlineLevel="0" collapsed="false">
      <c r="A2228" s="2" t="s">
        <v>2148</v>
      </c>
      <c r="B2228" s="2" t="s">
        <v>2149</v>
      </c>
      <c r="C2228" s="2" t="s">
        <v>524</v>
      </c>
      <c r="D2228" s="2" t="s">
        <v>6137</v>
      </c>
      <c r="E2228" s="2" t="s">
        <v>4261</v>
      </c>
      <c r="F2228" s="2"/>
      <c r="G2228" s="2"/>
    </row>
    <row r="2229" customFormat="false" ht="15" hidden="false" customHeight="false" outlineLevel="0" collapsed="false">
      <c r="A2229" s="2" t="s">
        <v>2148</v>
      </c>
      <c r="B2229" s="2" t="s">
        <v>2149</v>
      </c>
      <c r="C2229" s="2" t="s">
        <v>524</v>
      </c>
      <c r="D2229" s="2" t="s">
        <v>6138</v>
      </c>
      <c r="E2229" s="2" t="s">
        <v>4261</v>
      </c>
      <c r="F2229" s="2"/>
      <c r="G2229" s="2"/>
    </row>
    <row r="2230" customFormat="false" ht="15" hidden="false" customHeight="false" outlineLevel="0" collapsed="false">
      <c r="A2230" s="2" t="s">
        <v>2151</v>
      </c>
      <c r="B2230" s="2" t="s">
        <v>2152</v>
      </c>
      <c r="C2230" s="2" t="s">
        <v>524</v>
      </c>
      <c r="D2230" s="2" t="s">
        <v>6139</v>
      </c>
      <c r="E2230" s="2" t="s">
        <v>4261</v>
      </c>
      <c r="F2230" s="2" t="s">
        <v>6003</v>
      </c>
      <c r="G2230" s="2"/>
    </row>
    <row r="2231" customFormat="false" ht="15" hidden="false" customHeight="false" outlineLevel="0" collapsed="false">
      <c r="A2231" s="2" t="s">
        <v>2151</v>
      </c>
      <c r="B2231" s="2" t="s">
        <v>2152</v>
      </c>
      <c r="C2231" s="2" t="s">
        <v>524</v>
      </c>
      <c r="D2231" s="2" t="s">
        <v>6140</v>
      </c>
      <c r="E2231" s="2" t="s">
        <v>4264</v>
      </c>
      <c r="F2231" s="2" t="s">
        <v>6003</v>
      </c>
      <c r="G2231" s="2"/>
    </row>
    <row r="2232" customFormat="false" ht="15" hidden="false" customHeight="false" outlineLevel="0" collapsed="false">
      <c r="A2232" s="2" t="s">
        <v>2151</v>
      </c>
      <c r="B2232" s="2" t="s">
        <v>2152</v>
      </c>
      <c r="C2232" s="2" t="s">
        <v>524</v>
      </c>
      <c r="D2232" s="2" t="s">
        <v>6141</v>
      </c>
      <c r="E2232" s="2" t="s">
        <v>4271</v>
      </c>
      <c r="F2232" s="2" t="s">
        <v>6003</v>
      </c>
      <c r="G2232" s="2"/>
    </row>
    <row r="2233" customFormat="false" ht="15" hidden="false" customHeight="false" outlineLevel="0" collapsed="false">
      <c r="A2233" s="2" t="s">
        <v>2161</v>
      </c>
      <c r="B2233" s="2" t="s">
        <v>2162</v>
      </c>
      <c r="C2233" s="2" t="s">
        <v>524</v>
      </c>
      <c r="D2233" s="2" t="s">
        <v>2163</v>
      </c>
      <c r="E2233" s="2" t="s">
        <v>4261</v>
      </c>
      <c r="F2233" s="2" t="s">
        <v>6003</v>
      </c>
      <c r="G2233" s="2"/>
    </row>
    <row r="2234" customFormat="false" ht="15" hidden="false" customHeight="false" outlineLevel="0" collapsed="false">
      <c r="A2234" s="2" t="s">
        <v>2186</v>
      </c>
      <c r="B2234" s="2" t="s">
        <v>2187</v>
      </c>
      <c r="C2234" s="2" t="s">
        <v>524</v>
      </c>
      <c r="D2234" s="2" t="s">
        <v>2187</v>
      </c>
      <c r="E2234" s="2" t="s">
        <v>4261</v>
      </c>
      <c r="F2234" s="2" t="s">
        <v>6003</v>
      </c>
      <c r="G2234" s="2"/>
    </row>
    <row r="2235" customFormat="false" ht="15" hidden="false" customHeight="false" outlineLevel="0" collapsed="false">
      <c r="A2235" s="2" t="s">
        <v>2188</v>
      </c>
      <c r="B2235" s="2" t="s">
        <v>2189</v>
      </c>
      <c r="C2235" s="2" t="s">
        <v>524</v>
      </c>
      <c r="D2235" s="2" t="s">
        <v>6142</v>
      </c>
      <c r="E2235" s="2" t="s">
        <v>4261</v>
      </c>
      <c r="F2235" s="2" t="s">
        <v>6003</v>
      </c>
      <c r="G2235" s="2"/>
    </row>
    <row r="2236" customFormat="false" ht="15" hidden="false" customHeight="false" outlineLevel="0" collapsed="false">
      <c r="A2236" s="2" t="s">
        <v>2188</v>
      </c>
      <c r="B2236" s="2" t="s">
        <v>2189</v>
      </c>
      <c r="C2236" s="2" t="s">
        <v>524</v>
      </c>
      <c r="D2236" s="2" t="s">
        <v>6143</v>
      </c>
      <c r="E2236" s="2" t="s">
        <v>4261</v>
      </c>
      <c r="F2236" s="2" t="s">
        <v>6003</v>
      </c>
      <c r="G2236" s="2"/>
    </row>
    <row r="2237" customFormat="false" ht="15" hidden="false" customHeight="false" outlineLevel="0" collapsed="false">
      <c r="A2237" s="2" t="s">
        <v>2191</v>
      </c>
      <c r="B2237" s="2" t="s">
        <v>2189</v>
      </c>
      <c r="C2237" s="2" t="s">
        <v>524</v>
      </c>
      <c r="D2237" s="2" t="s">
        <v>6144</v>
      </c>
      <c r="E2237" s="2" t="s">
        <v>4261</v>
      </c>
      <c r="F2237" s="2" t="s">
        <v>6003</v>
      </c>
      <c r="G2237" s="2"/>
    </row>
    <row r="2238" customFormat="false" ht="15" hidden="false" customHeight="false" outlineLevel="0" collapsed="false">
      <c r="A2238" s="2" t="s">
        <v>2191</v>
      </c>
      <c r="B2238" s="2" t="s">
        <v>2189</v>
      </c>
      <c r="C2238" s="2" t="s">
        <v>524</v>
      </c>
      <c r="D2238" s="2" t="s">
        <v>3492</v>
      </c>
      <c r="E2238" s="2" t="s">
        <v>4261</v>
      </c>
      <c r="F2238" s="2" t="s">
        <v>6003</v>
      </c>
      <c r="G2238" s="2"/>
    </row>
    <row r="2239" customFormat="false" ht="15" hidden="false" customHeight="false" outlineLevel="0" collapsed="false">
      <c r="A2239" s="2" t="s">
        <v>2191</v>
      </c>
      <c r="B2239" s="2" t="s">
        <v>2189</v>
      </c>
      <c r="C2239" s="2" t="s">
        <v>524</v>
      </c>
      <c r="D2239" s="2" t="s">
        <v>6145</v>
      </c>
      <c r="E2239" s="2" t="s">
        <v>4261</v>
      </c>
      <c r="F2239" s="2" t="s">
        <v>6003</v>
      </c>
      <c r="G2239" s="2"/>
    </row>
    <row r="2240" customFormat="false" ht="15" hidden="false" customHeight="false" outlineLevel="0" collapsed="false">
      <c r="A2240" s="2" t="s">
        <v>2191</v>
      </c>
      <c r="B2240" s="2" t="s">
        <v>2189</v>
      </c>
      <c r="C2240" s="2" t="s">
        <v>524</v>
      </c>
      <c r="D2240" s="2" t="s">
        <v>6146</v>
      </c>
      <c r="E2240" s="2" t="s">
        <v>4261</v>
      </c>
      <c r="F2240" s="2" t="s">
        <v>6003</v>
      </c>
      <c r="G2240" s="2"/>
    </row>
    <row r="2241" customFormat="false" ht="15" hidden="false" customHeight="false" outlineLevel="0" collapsed="false">
      <c r="A2241" s="2" t="s">
        <v>2191</v>
      </c>
      <c r="B2241" s="2" t="s">
        <v>2189</v>
      </c>
      <c r="C2241" s="2" t="s">
        <v>524</v>
      </c>
      <c r="D2241" s="2" t="s">
        <v>6147</v>
      </c>
      <c r="E2241" s="2" t="s">
        <v>4261</v>
      </c>
      <c r="F2241" s="2" t="s">
        <v>6003</v>
      </c>
      <c r="G2241" s="2"/>
    </row>
    <row r="2242" customFormat="false" ht="15" hidden="false" customHeight="false" outlineLevel="0" collapsed="false">
      <c r="A2242" s="2" t="s">
        <v>2191</v>
      </c>
      <c r="B2242" s="2" t="s">
        <v>2189</v>
      </c>
      <c r="C2242" s="2" t="s">
        <v>524</v>
      </c>
      <c r="D2242" s="2" t="s">
        <v>6148</v>
      </c>
      <c r="E2242" s="2" t="s">
        <v>4261</v>
      </c>
      <c r="F2242" s="2" t="s">
        <v>6003</v>
      </c>
      <c r="G2242" s="2"/>
    </row>
    <row r="2243" customFormat="false" ht="15" hidden="false" customHeight="false" outlineLevel="0" collapsed="false">
      <c r="A2243" s="2" t="s">
        <v>2191</v>
      </c>
      <c r="B2243" s="2" t="s">
        <v>2189</v>
      </c>
      <c r="C2243" s="2" t="s">
        <v>524</v>
      </c>
      <c r="D2243" s="2" t="s">
        <v>6149</v>
      </c>
      <c r="E2243" s="2" t="s">
        <v>4261</v>
      </c>
      <c r="F2243" s="2" t="s">
        <v>6003</v>
      </c>
      <c r="G2243" s="2"/>
    </row>
    <row r="2244" customFormat="false" ht="15" hidden="false" customHeight="false" outlineLevel="0" collapsed="false">
      <c r="A2244" s="2" t="s">
        <v>2191</v>
      </c>
      <c r="B2244" s="2" t="s">
        <v>2189</v>
      </c>
      <c r="C2244" s="2" t="s">
        <v>524</v>
      </c>
      <c r="D2244" s="2" t="s">
        <v>6150</v>
      </c>
      <c r="E2244" s="2" t="s">
        <v>4261</v>
      </c>
      <c r="F2244" s="2" t="s">
        <v>6003</v>
      </c>
      <c r="G2244" s="2"/>
    </row>
    <row r="2245" customFormat="false" ht="15" hidden="false" customHeight="false" outlineLevel="0" collapsed="false">
      <c r="A2245" s="2" t="s">
        <v>2191</v>
      </c>
      <c r="B2245" s="2" t="s">
        <v>2189</v>
      </c>
      <c r="C2245" s="2" t="s">
        <v>524</v>
      </c>
      <c r="D2245" s="2" t="s">
        <v>6151</v>
      </c>
      <c r="E2245" s="2" t="s">
        <v>4261</v>
      </c>
      <c r="F2245" s="2" t="s">
        <v>6003</v>
      </c>
      <c r="G2245" s="2"/>
    </row>
    <row r="2246" customFormat="false" ht="15" hidden="false" customHeight="false" outlineLevel="0" collapsed="false">
      <c r="A2246" s="2" t="s">
        <v>2191</v>
      </c>
      <c r="B2246" s="2" t="s">
        <v>2189</v>
      </c>
      <c r="C2246" s="2" t="s">
        <v>524</v>
      </c>
      <c r="D2246" s="2" t="s">
        <v>6152</v>
      </c>
      <c r="E2246" s="2" t="s">
        <v>4261</v>
      </c>
      <c r="F2246" s="2" t="s">
        <v>6003</v>
      </c>
      <c r="G2246" s="2"/>
    </row>
    <row r="2247" customFormat="false" ht="15" hidden="false" customHeight="false" outlineLevel="0" collapsed="false">
      <c r="A2247" s="2" t="s">
        <v>2191</v>
      </c>
      <c r="B2247" s="2" t="s">
        <v>2189</v>
      </c>
      <c r="C2247" s="2" t="s">
        <v>524</v>
      </c>
      <c r="D2247" s="2" t="s">
        <v>6153</v>
      </c>
      <c r="E2247" s="2" t="s">
        <v>4261</v>
      </c>
      <c r="F2247" s="2" t="s">
        <v>6003</v>
      </c>
      <c r="G2247" s="2"/>
    </row>
    <row r="2248" customFormat="false" ht="15" hidden="false" customHeight="false" outlineLevel="0" collapsed="false">
      <c r="A2248" s="2" t="s">
        <v>2191</v>
      </c>
      <c r="B2248" s="2" t="s">
        <v>2189</v>
      </c>
      <c r="C2248" s="2" t="s">
        <v>524</v>
      </c>
      <c r="D2248" s="2" t="s">
        <v>6154</v>
      </c>
      <c r="E2248" s="2" t="s">
        <v>4261</v>
      </c>
      <c r="F2248" s="2" t="s">
        <v>6003</v>
      </c>
      <c r="G2248" s="2"/>
    </row>
    <row r="2249" customFormat="false" ht="15" hidden="false" customHeight="false" outlineLevel="0" collapsed="false">
      <c r="A2249" s="2" t="s">
        <v>2193</v>
      </c>
      <c r="B2249" s="2" t="s">
        <v>2189</v>
      </c>
      <c r="C2249" s="2" t="s">
        <v>524</v>
      </c>
      <c r="D2249" s="2" t="s">
        <v>6155</v>
      </c>
      <c r="E2249" s="2" t="s">
        <v>4261</v>
      </c>
      <c r="F2249" s="2" t="s">
        <v>6003</v>
      </c>
      <c r="G2249" s="2"/>
    </row>
    <row r="2250" customFormat="false" ht="15" hidden="false" customHeight="false" outlineLevel="0" collapsed="false">
      <c r="A2250" s="2" t="s">
        <v>2193</v>
      </c>
      <c r="B2250" s="2" t="s">
        <v>2189</v>
      </c>
      <c r="C2250" s="2" t="s">
        <v>524</v>
      </c>
      <c r="D2250" s="2" t="s">
        <v>6156</v>
      </c>
      <c r="E2250" s="2" t="s">
        <v>4261</v>
      </c>
      <c r="F2250" s="2" t="s">
        <v>6003</v>
      </c>
      <c r="G2250" s="2"/>
    </row>
    <row r="2251" customFormat="false" ht="15" hidden="false" customHeight="false" outlineLevel="0" collapsed="false">
      <c r="A2251" s="2" t="s">
        <v>2205</v>
      </c>
      <c r="B2251" s="2" t="s">
        <v>2206</v>
      </c>
      <c r="C2251" s="2" t="s">
        <v>524</v>
      </c>
      <c r="D2251" s="2" t="s">
        <v>2207</v>
      </c>
      <c r="E2251" s="2" t="s">
        <v>4261</v>
      </c>
      <c r="F2251" s="2" t="s">
        <v>6003</v>
      </c>
      <c r="G2251" s="2"/>
    </row>
    <row r="2252" customFormat="false" ht="15" hidden="false" customHeight="false" outlineLevel="0" collapsed="false">
      <c r="A2252" s="2" t="s">
        <v>2213</v>
      </c>
      <c r="B2252" s="2" t="s">
        <v>2214</v>
      </c>
      <c r="C2252" s="2" t="s">
        <v>524</v>
      </c>
      <c r="D2252" s="2" t="s">
        <v>2215</v>
      </c>
      <c r="E2252" s="2" t="s">
        <v>4261</v>
      </c>
      <c r="F2252" s="2" t="s">
        <v>6003</v>
      </c>
      <c r="G2252" s="2"/>
    </row>
    <row r="2253" customFormat="false" ht="15" hidden="false" customHeight="false" outlineLevel="0" collapsed="false">
      <c r="A2253" s="2" t="s">
        <v>2227</v>
      </c>
      <c r="B2253" s="2" t="s">
        <v>2228</v>
      </c>
      <c r="C2253" s="2" t="s">
        <v>524</v>
      </c>
      <c r="D2253" s="2" t="s">
        <v>6157</v>
      </c>
      <c r="E2253" s="2" t="s">
        <v>4261</v>
      </c>
      <c r="F2253" s="2" t="s">
        <v>6003</v>
      </c>
      <c r="G2253" s="2"/>
    </row>
    <row r="2254" customFormat="false" ht="15" hidden="false" customHeight="false" outlineLevel="0" collapsed="false">
      <c r="A2254" s="2" t="s">
        <v>2227</v>
      </c>
      <c r="B2254" s="2" t="s">
        <v>2228</v>
      </c>
      <c r="C2254" s="2" t="s">
        <v>524</v>
      </c>
      <c r="D2254" s="2" t="s">
        <v>6158</v>
      </c>
      <c r="E2254" s="2" t="s">
        <v>4261</v>
      </c>
      <c r="F2254" s="2" t="s">
        <v>6003</v>
      </c>
      <c r="G2254" s="2"/>
    </row>
    <row r="2255" customFormat="false" ht="15" hidden="false" customHeight="false" outlineLevel="0" collapsed="false">
      <c r="A2255" s="2" t="s">
        <v>2227</v>
      </c>
      <c r="B2255" s="2" t="s">
        <v>2228</v>
      </c>
      <c r="C2255" s="2" t="s">
        <v>524</v>
      </c>
      <c r="D2255" s="2" t="s">
        <v>6159</v>
      </c>
      <c r="E2255" s="2" t="s">
        <v>4261</v>
      </c>
      <c r="F2255" s="2" t="s">
        <v>6003</v>
      </c>
      <c r="G2255" s="2"/>
    </row>
    <row r="2256" customFormat="false" ht="15" hidden="false" customHeight="false" outlineLevel="0" collapsed="false">
      <c r="A2256" s="2" t="s">
        <v>2230</v>
      </c>
      <c r="B2256" s="2" t="s">
        <v>2231</v>
      </c>
      <c r="C2256" s="2" t="s">
        <v>524</v>
      </c>
      <c r="D2256" s="2" t="s">
        <v>6160</v>
      </c>
      <c r="E2256" s="2" t="s">
        <v>4261</v>
      </c>
      <c r="F2256" s="2" t="s">
        <v>6003</v>
      </c>
      <c r="G2256" s="2"/>
    </row>
    <row r="2257" customFormat="false" ht="15" hidden="false" customHeight="false" outlineLevel="0" collapsed="false">
      <c r="A2257" s="2" t="s">
        <v>2230</v>
      </c>
      <c r="B2257" s="2" t="s">
        <v>2231</v>
      </c>
      <c r="C2257" s="2" t="s">
        <v>524</v>
      </c>
      <c r="D2257" s="2" t="s">
        <v>6161</v>
      </c>
      <c r="E2257" s="2" t="s">
        <v>4261</v>
      </c>
      <c r="F2257" s="2" t="s">
        <v>6003</v>
      </c>
      <c r="G2257" s="2"/>
    </row>
    <row r="2258" customFormat="false" ht="15" hidden="false" customHeight="false" outlineLevel="0" collapsed="false">
      <c r="A2258" s="2" t="s">
        <v>2239</v>
      </c>
      <c r="B2258" s="2" t="s">
        <v>2240</v>
      </c>
      <c r="C2258" s="2" t="s">
        <v>524</v>
      </c>
      <c r="D2258" s="2" t="s">
        <v>2241</v>
      </c>
      <c r="E2258" s="2" t="s">
        <v>4261</v>
      </c>
      <c r="F2258" s="2" t="s">
        <v>6003</v>
      </c>
      <c r="G2258" s="2"/>
    </row>
    <row r="2259" customFormat="false" ht="15" hidden="false" customHeight="false" outlineLevel="0" collapsed="false">
      <c r="A2259" s="2" t="s">
        <v>2247</v>
      </c>
      <c r="B2259" s="2" t="s">
        <v>2248</v>
      </c>
      <c r="C2259" s="2" t="s">
        <v>524</v>
      </c>
      <c r="D2259" s="2" t="s">
        <v>6162</v>
      </c>
      <c r="E2259" s="2" t="s">
        <v>4264</v>
      </c>
      <c r="F2259" s="2" t="s">
        <v>6003</v>
      </c>
      <c r="G2259" s="2"/>
    </row>
    <row r="2260" customFormat="false" ht="15" hidden="false" customHeight="false" outlineLevel="0" collapsed="false">
      <c r="A2260" s="2" t="s">
        <v>2247</v>
      </c>
      <c r="B2260" s="2" t="s">
        <v>2248</v>
      </c>
      <c r="C2260" s="2" t="s">
        <v>524</v>
      </c>
      <c r="D2260" s="2" t="s">
        <v>6163</v>
      </c>
      <c r="E2260" s="2" t="s">
        <v>4264</v>
      </c>
      <c r="F2260" s="2" t="s">
        <v>6003</v>
      </c>
      <c r="G2260" s="2"/>
    </row>
    <row r="2261" customFormat="false" ht="15" hidden="false" customHeight="false" outlineLevel="0" collapsed="false">
      <c r="A2261" s="2" t="s">
        <v>2251</v>
      </c>
      <c r="B2261" s="2" t="s">
        <v>2164</v>
      </c>
      <c r="C2261" s="2" t="s">
        <v>524</v>
      </c>
      <c r="D2261" s="2" t="s">
        <v>2252</v>
      </c>
      <c r="E2261" s="2" t="s">
        <v>4261</v>
      </c>
      <c r="F2261" s="2" t="s">
        <v>6003</v>
      </c>
      <c r="G2261" s="2"/>
    </row>
    <row r="2262" customFormat="false" ht="15" hidden="false" customHeight="false" outlineLevel="0" collapsed="false">
      <c r="A2262" s="2" t="s">
        <v>2271</v>
      </c>
      <c r="B2262" s="2" t="s">
        <v>2272</v>
      </c>
      <c r="C2262" s="2" t="s">
        <v>524</v>
      </c>
      <c r="D2262" s="2" t="s">
        <v>6164</v>
      </c>
      <c r="E2262" s="2" t="s">
        <v>4261</v>
      </c>
      <c r="F2262" s="2" t="s">
        <v>6003</v>
      </c>
      <c r="G2262" s="2"/>
    </row>
    <row r="2263" customFormat="false" ht="15" hidden="false" customHeight="false" outlineLevel="0" collapsed="false">
      <c r="A2263" s="2" t="s">
        <v>2271</v>
      </c>
      <c r="B2263" s="2" t="s">
        <v>2272</v>
      </c>
      <c r="C2263" s="2" t="s">
        <v>524</v>
      </c>
      <c r="D2263" s="2" t="s">
        <v>6165</v>
      </c>
      <c r="E2263" s="2" t="s">
        <v>4261</v>
      </c>
      <c r="F2263" s="2" t="s">
        <v>6003</v>
      </c>
      <c r="G2263" s="2"/>
    </row>
    <row r="2264" customFormat="false" ht="15" hidden="false" customHeight="false" outlineLevel="0" collapsed="false">
      <c r="A2264" s="2" t="s">
        <v>2275</v>
      </c>
      <c r="B2264" s="2" t="s">
        <v>2272</v>
      </c>
      <c r="C2264" s="2" t="s">
        <v>524</v>
      </c>
      <c r="D2264" s="2" t="s">
        <v>2276</v>
      </c>
      <c r="E2264" s="2" t="s">
        <v>4261</v>
      </c>
      <c r="F2264" s="2" t="s">
        <v>6003</v>
      </c>
      <c r="G2264" s="2"/>
    </row>
    <row r="2265" customFormat="false" ht="15" hidden="false" customHeight="false" outlineLevel="0" collapsed="false">
      <c r="A2265" s="2" t="s">
        <v>2277</v>
      </c>
      <c r="B2265" s="2" t="s">
        <v>2272</v>
      </c>
      <c r="C2265" s="2" t="s">
        <v>524</v>
      </c>
      <c r="D2265" s="2" t="s">
        <v>2278</v>
      </c>
      <c r="E2265" s="2" t="s">
        <v>4261</v>
      </c>
      <c r="F2265" s="2" t="s">
        <v>6003</v>
      </c>
      <c r="G2265" s="2"/>
    </row>
    <row r="2266" customFormat="false" ht="15" hidden="false" customHeight="false" outlineLevel="0" collapsed="false">
      <c r="A2266" s="2" t="s">
        <v>2281</v>
      </c>
      <c r="B2266" s="2" t="s">
        <v>2282</v>
      </c>
      <c r="C2266" s="2" t="s">
        <v>524</v>
      </c>
      <c r="D2266" s="2" t="s">
        <v>2283</v>
      </c>
      <c r="E2266" s="2" t="s">
        <v>4261</v>
      </c>
      <c r="F2266" s="2" t="s">
        <v>6003</v>
      </c>
      <c r="G2266" s="2"/>
    </row>
    <row r="2267" customFormat="false" ht="15" hidden="false" customHeight="false" outlineLevel="0" collapsed="false">
      <c r="A2267" s="2" t="s">
        <v>2284</v>
      </c>
      <c r="B2267" s="2" t="s">
        <v>2285</v>
      </c>
      <c r="C2267" s="2" t="s">
        <v>524</v>
      </c>
      <c r="D2267" s="2" t="s">
        <v>6166</v>
      </c>
      <c r="E2267" s="2" t="s">
        <v>4261</v>
      </c>
      <c r="F2267" s="2" t="s">
        <v>6003</v>
      </c>
      <c r="G2267" s="2"/>
    </row>
    <row r="2268" customFormat="false" ht="15" hidden="false" customHeight="false" outlineLevel="0" collapsed="false">
      <c r="A2268" s="2" t="s">
        <v>2284</v>
      </c>
      <c r="B2268" s="2" t="s">
        <v>2285</v>
      </c>
      <c r="C2268" s="2" t="s">
        <v>524</v>
      </c>
      <c r="D2268" s="2" t="s">
        <v>6167</v>
      </c>
      <c r="E2268" s="2" t="s">
        <v>4264</v>
      </c>
      <c r="F2268" s="2" t="s">
        <v>6003</v>
      </c>
      <c r="G2268" s="2"/>
    </row>
    <row r="2269" customFormat="false" ht="15" hidden="false" customHeight="false" outlineLevel="0" collapsed="false">
      <c r="A2269" s="2" t="s">
        <v>2284</v>
      </c>
      <c r="B2269" s="2" t="s">
        <v>2285</v>
      </c>
      <c r="C2269" s="2" t="s">
        <v>524</v>
      </c>
      <c r="D2269" s="2" t="s">
        <v>6168</v>
      </c>
      <c r="E2269" s="2" t="s">
        <v>4261</v>
      </c>
      <c r="F2269" s="2" t="s">
        <v>6003</v>
      </c>
      <c r="G2269" s="2"/>
    </row>
    <row r="2270" customFormat="false" ht="15" hidden="false" customHeight="false" outlineLevel="0" collapsed="false">
      <c r="A2270" s="2" t="s">
        <v>2284</v>
      </c>
      <c r="B2270" s="2" t="s">
        <v>2285</v>
      </c>
      <c r="C2270" s="2" t="s">
        <v>524</v>
      </c>
      <c r="D2270" s="2" t="s">
        <v>6169</v>
      </c>
      <c r="E2270" s="2" t="s">
        <v>4261</v>
      </c>
      <c r="F2270" s="2" t="s">
        <v>6003</v>
      </c>
      <c r="G2270" s="2"/>
    </row>
    <row r="2271" customFormat="false" ht="15" hidden="false" customHeight="false" outlineLevel="0" collapsed="false">
      <c r="A2271" s="2" t="s">
        <v>2289</v>
      </c>
      <c r="B2271" s="2" t="s">
        <v>524</v>
      </c>
      <c r="C2271" s="2" t="s">
        <v>524</v>
      </c>
      <c r="D2271" s="2" t="s">
        <v>2290</v>
      </c>
      <c r="E2271" s="2" t="s">
        <v>4261</v>
      </c>
      <c r="F2271" s="2" t="s">
        <v>6003</v>
      </c>
      <c r="G2271" s="2"/>
    </row>
    <row r="2272" customFormat="false" ht="15" hidden="false" customHeight="false" outlineLevel="0" collapsed="false">
      <c r="A2272" s="2" t="s">
        <v>2293</v>
      </c>
      <c r="B2272" s="2" t="s">
        <v>524</v>
      </c>
      <c r="C2272" s="2" t="s">
        <v>524</v>
      </c>
      <c r="D2272" s="2" t="s">
        <v>2294</v>
      </c>
      <c r="E2272" s="2" t="s">
        <v>4261</v>
      </c>
      <c r="F2272" s="2" t="s">
        <v>6003</v>
      </c>
      <c r="G2272" s="2"/>
    </row>
    <row r="2273" customFormat="false" ht="15" hidden="false" customHeight="false" outlineLevel="0" collapsed="false">
      <c r="A2273" s="2" t="s">
        <v>2297</v>
      </c>
      <c r="B2273" s="2" t="s">
        <v>455</v>
      </c>
      <c r="C2273" s="2" t="s">
        <v>455</v>
      </c>
      <c r="D2273" s="2" t="s">
        <v>6170</v>
      </c>
      <c r="E2273" s="2" t="s">
        <v>4261</v>
      </c>
      <c r="F2273" s="2" t="s">
        <v>6003</v>
      </c>
      <c r="G2273" s="2"/>
    </row>
    <row r="2274" customFormat="false" ht="15" hidden="false" customHeight="false" outlineLevel="0" collapsed="false">
      <c r="A2274" s="2" t="s">
        <v>2297</v>
      </c>
      <c r="B2274" s="2" t="s">
        <v>455</v>
      </c>
      <c r="C2274" s="2" t="s">
        <v>455</v>
      </c>
      <c r="D2274" s="2" t="s">
        <v>5915</v>
      </c>
      <c r="E2274" s="2" t="s">
        <v>4261</v>
      </c>
      <c r="F2274" s="2" t="s">
        <v>6003</v>
      </c>
      <c r="G2274" s="2"/>
    </row>
    <row r="2275" customFormat="false" ht="15" hidden="false" customHeight="false" outlineLevel="0" collapsed="false">
      <c r="A2275" s="2" t="s">
        <v>2297</v>
      </c>
      <c r="B2275" s="2" t="s">
        <v>455</v>
      </c>
      <c r="C2275" s="2" t="s">
        <v>455</v>
      </c>
      <c r="D2275" s="2" t="s">
        <v>6171</v>
      </c>
      <c r="E2275" s="2" t="s">
        <v>4264</v>
      </c>
      <c r="F2275" s="2" t="s">
        <v>6003</v>
      </c>
      <c r="G2275" s="2"/>
    </row>
    <row r="2276" customFormat="false" ht="15" hidden="false" customHeight="false" outlineLevel="0" collapsed="false">
      <c r="A2276" s="2" t="s">
        <v>2299</v>
      </c>
      <c r="B2276" s="2" t="s">
        <v>455</v>
      </c>
      <c r="C2276" s="2" t="s">
        <v>455</v>
      </c>
      <c r="D2276" s="2" t="s">
        <v>6172</v>
      </c>
      <c r="E2276" s="2" t="s">
        <v>4261</v>
      </c>
      <c r="F2276" s="2" t="s">
        <v>6003</v>
      </c>
      <c r="G2276" s="2"/>
    </row>
    <row r="2277" customFormat="false" ht="15" hidden="false" customHeight="false" outlineLevel="0" collapsed="false">
      <c r="A2277" s="2" t="s">
        <v>2299</v>
      </c>
      <c r="B2277" s="2" t="s">
        <v>455</v>
      </c>
      <c r="C2277" s="2" t="s">
        <v>455</v>
      </c>
      <c r="D2277" s="2" t="s">
        <v>6173</v>
      </c>
      <c r="E2277" s="2" t="s">
        <v>4261</v>
      </c>
      <c r="F2277" s="2" t="s">
        <v>6003</v>
      </c>
      <c r="G2277" s="2"/>
    </row>
    <row r="2278" customFormat="false" ht="15" hidden="false" customHeight="false" outlineLevel="0" collapsed="false">
      <c r="A2278" s="2" t="s">
        <v>2299</v>
      </c>
      <c r="B2278" s="2" t="s">
        <v>455</v>
      </c>
      <c r="C2278" s="2" t="s">
        <v>455</v>
      </c>
      <c r="D2278" s="2" t="s">
        <v>5123</v>
      </c>
      <c r="E2278" s="2" t="s">
        <v>4261</v>
      </c>
      <c r="F2278" s="2" t="s">
        <v>6003</v>
      </c>
      <c r="G2278" s="2"/>
    </row>
    <row r="2279" customFormat="false" ht="15" hidden="false" customHeight="false" outlineLevel="0" collapsed="false">
      <c r="A2279" s="2" t="s">
        <v>2299</v>
      </c>
      <c r="B2279" s="2" t="s">
        <v>455</v>
      </c>
      <c r="C2279" s="2" t="s">
        <v>455</v>
      </c>
      <c r="D2279" s="2" t="s">
        <v>6174</v>
      </c>
      <c r="E2279" s="2" t="s">
        <v>4261</v>
      </c>
      <c r="F2279" s="2" t="s">
        <v>6003</v>
      </c>
      <c r="G2279" s="2"/>
    </row>
    <row r="2280" customFormat="false" ht="15" hidden="false" customHeight="false" outlineLevel="0" collapsed="false">
      <c r="A2280" s="2" t="s">
        <v>2299</v>
      </c>
      <c r="B2280" s="2" t="s">
        <v>455</v>
      </c>
      <c r="C2280" s="2" t="s">
        <v>455</v>
      </c>
      <c r="D2280" s="2" t="s">
        <v>6175</v>
      </c>
      <c r="E2280" s="2" t="s">
        <v>4261</v>
      </c>
      <c r="F2280" s="2" t="s">
        <v>6003</v>
      </c>
      <c r="G2280" s="2"/>
    </row>
    <row r="2281" customFormat="false" ht="15" hidden="false" customHeight="false" outlineLevel="0" collapsed="false">
      <c r="A2281" s="2" t="s">
        <v>2299</v>
      </c>
      <c r="B2281" s="2" t="s">
        <v>455</v>
      </c>
      <c r="C2281" s="2" t="s">
        <v>455</v>
      </c>
      <c r="D2281" s="2" t="s">
        <v>6176</v>
      </c>
      <c r="E2281" s="2" t="s">
        <v>4261</v>
      </c>
      <c r="F2281" s="2" t="s">
        <v>6003</v>
      </c>
      <c r="G2281" s="2"/>
    </row>
    <row r="2282" customFormat="false" ht="15" hidden="false" customHeight="false" outlineLevel="0" collapsed="false">
      <c r="A2282" s="2" t="s">
        <v>2299</v>
      </c>
      <c r="B2282" s="2" t="s">
        <v>455</v>
      </c>
      <c r="C2282" s="2" t="s">
        <v>455</v>
      </c>
      <c r="D2282" s="2" t="s">
        <v>6177</v>
      </c>
      <c r="E2282" s="2" t="s">
        <v>4261</v>
      </c>
      <c r="F2282" s="2" t="s">
        <v>6003</v>
      </c>
      <c r="G2282" s="2"/>
    </row>
    <row r="2283" customFormat="false" ht="15" hidden="false" customHeight="false" outlineLevel="0" collapsed="false">
      <c r="A2283" s="2" t="s">
        <v>2299</v>
      </c>
      <c r="B2283" s="2" t="s">
        <v>455</v>
      </c>
      <c r="C2283" s="2" t="s">
        <v>455</v>
      </c>
      <c r="D2283" s="2" t="s">
        <v>2002</v>
      </c>
      <c r="E2283" s="2" t="s">
        <v>4261</v>
      </c>
      <c r="F2283" s="2" t="s">
        <v>6003</v>
      </c>
      <c r="G2283" s="2"/>
    </row>
    <row r="2284" customFormat="false" ht="15" hidden="false" customHeight="false" outlineLevel="0" collapsed="false">
      <c r="A2284" s="2" t="s">
        <v>2301</v>
      </c>
      <c r="B2284" s="2" t="s">
        <v>455</v>
      </c>
      <c r="C2284" s="2" t="s">
        <v>455</v>
      </c>
      <c r="D2284" s="2" t="s">
        <v>6178</v>
      </c>
      <c r="E2284" s="2" t="s">
        <v>4261</v>
      </c>
      <c r="F2284" s="2" t="s">
        <v>6003</v>
      </c>
      <c r="G2284" s="2"/>
    </row>
    <row r="2285" customFormat="false" ht="15" hidden="false" customHeight="false" outlineLevel="0" collapsed="false">
      <c r="A2285" s="2" t="s">
        <v>2301</v>
      </c>
      <c r="B2285" s="2" t="s">
        <v>455</v>
      </c>
      <c r="C2285" s="2" t="s">
        <v>455</v>
      </c>
      <c r="D2285" s="2" t="s">
        <v>6179</v>
      </c>
      <c r="E2285" s="2" t="s">
        <v>4261</v>
      </c>
      <c r="F2285" s="2" t="s">
        <v>6003</v>
      </c>
      <c r="G2285" s="2"/>
    </row>
    <row r="2286" customFormat="false" ht="15" hidden="false" customHeight="false" outlineLevel="0" collapsed="false">
      <c r="A2286" s="2" t="s">
        <v>2301</v>
      </c>
      <c r="B2286" s="2" t="s">
        <v>455</v>
      </c>
      <c r="C2286" s="2" t="s">
        <v>455</v>
      </c>
      <c r="D2286" s="2" t="s">
        <v>6180</v>
      </c>
      <c r="E2286" s="2" t="s">
        <v>4261</v>
      </c>
      <c r="F2286" s="2" t="s">
        <v>6003</v>
      </c>
      <c r="G2286" s="2"/>
    </row>
    <row r="2287" customFormat="false" ht="15" hidden="false" customHeight="false" outlineLevel="0" collapsed="false">
      <c r="A2287" s="2" t="s">
        <v>2301</v>
      </c>
      <c r="B2287" s="2" t="s">
        <v>455</v>
      </c>
      <c r="C2287" s="2" t="s">
        <v>455</v>
      </c>
      <c r="D2287" s="2" t="s">
        <v>6181</v>
      </c>
      <c r="E2287" s="2" t="s">
        <v>4261</v>
      </c>
      <c r="F2287" s="2" t="s">
        <v>6003</v>
      </c>
      <c r="G2287" s="2"/>
    </row>
    <row r="2288" customFormat="false" ht="15" hidden="false" customHeight="false" outlineLevel="0" collapsed="false">
      <c r="A2288" s="2" t="s">
        <v>2301</v>
      </c>
      <c r="B2288" s="2" t="s">
        <v>455</v>
      </c>
      <c r="C2288" s="2" t="s">
        <v>455</v>
      </c>
      <c r="D2288" s="2" t="s">
        <v>6182</v>
      </c>
      <c r="E2288" s="2" t="s">
        <v>4261</v>
      </c>
      <c r="F2288" s="2" t="s">
        <v>6003</v>
      </c>
      <c r="G2288" s="2"/>
    </row>
    <row r="2289" customFormat="false" ht="15" hidden="false" customHeight="false" outlineLevel="0" collapsed="false">
      <c r="A2289" s="2" t="s">
        <v>2301</v>
      </c>
      <c r="B2289" s="2" t="s">
        <v>455</v>
      </c>
      <c r="C2289" s="2" t="s">
        <v>455</v>
      </c>
      <c r="D2289" s="2" t="s">
        <v>6183</v>
      </c>
      <c r="E2289" s="2" t="s">
        <v>4261</v>
      </c>
      <c r="F2289" s="2" t="s">
        <v>6003</v>
      </c>
      <c r="G2289" s="2"/>
    </row>
    <row r="2290" customFormat="false" ht="15" hidden="false" customHeight="false" outlineLevel="0" collapsed="false">
      <c r="A2290" s="2" t="s">
        <v>2303</v>
      </c>
      <c r="B2290" s="2" t="s">
        <v>455</v>
      </c>
      <c r="C2290" s="2" t="s">
        <v>455</v>
      </c>
      <c r="D2290" s="2" t="s">
        <v>6184</v>
      </c>
      <c r="E2290" s="2" t="s">
        <v>4261</v>
      </c>
      <c r="F2290" s="2" t="s">
        <v>6003</v>
      </c>
      <c r="G2290" s="2"/>
    </row>
    <row r="2291" customFormat="false" ht="15" hidden="false" customHeight="false" outlineLevel="0" collapsed="false">
      <c r="A2291" s="2" t="s">
        <v>2303</v>
      </c>
      <c r="B2291" s="2" t="s">
        <v>455</v>
      </c>
      <c r="C2291" s="2" t="s">
        <v>455</v>
      </c>
      <c r="D2291" s="2" t="s">
        <v>6185</v>
      </c>
      <c r="E2291" s="2" t="s">
        <v>4261</v>
      </c>
      <c r="F2291" s="2" t="s">
        <v>6003</v>
      </c>
      <c r="G2291" s="2"/>
    </row>
    <row r="2292" customFormat="false" ht="15" hidden="false" customHeight="false" outlineLevel="0" collapsed="false">
      <c r="A2292" s="2" t="s">
        <v>2303</v>
      </c>
      <c r="B2292" s="2" t="s">
        <v>455</v>
      </c>
      <c r="C2292" s="2" t="s">
        <v>455</v>
      </c>
      <c r="D2292" s="2" t="s">
        <v>6186</v>
      </c>
      <c r="E2292" s="2" t="s">
        <v>4261</v>
      </c>
      <c r="F2292" s="2" t="s">
        <v>6003</v>
      </c>
      <c r="G2292" s="2"/>
    </row>
    <row r="2293" customFormat="false" ht="15" hidden="false" customHeight="false" outlineLevel="0" collapsed="false">
      <c r="A2293" s="2" t="s">
        <v>2305</v>
      </c>
      <c r="B2293" s="2" t="s">
        <v>455</v>
      </c>
      <c r="C2293" s="2" t="s">
        <v>455</v>
      </c>
      <c r="D2293" s="2" t="s">
        <v>6187</v>
      </c>
      <c r="E2293" s="2" t="s">
        <v>4261</v>
      </c>
      <c r="F2293" s="2" t="s">
        <v>6003</v>
      </c>
      <c r="G2293" s="2"/>
    </row>
    <row r="2294" customFormat="false" ht="15" hidden="false" customHeight="false" outlineLevel="0" collapsed="false">
      <c r="A2294" s="2" t="s">
        <v>2305</v>
      </c>
      <c r="B2294" s="2" t="s">
        <v>455</v>
      </c>
      <c r="C2294" s="2" t="s">
        <v>455</v>
      </c>
      <c r="D2294" s="2" t="s">
        <v>4444</v>
      </c>
      <c r="E2294" s="2" t="s">
        <v>4261</v>
      </c>
      <c r="F2294" s="2" t="s">
        <v>6003</v>
      </c>
      <c r="G2294" s="2"/>
    </row>
    <row r="2295" customFormat="false" ht="15" hidden="false" customHeight="false" outlineLevel="0" collapsed="false">
      <c r="A2295" s="2" t="s">
        <v>2305</v>
      </c>
      <c r="B2295" s="2" t="s">
        <v>455</v>
      </c>
      <c r="C2295" s="2" t="s">
        <v>455</v>
      </c>
      <c r="D2295" s="2" t="s">
        <v>6188</v>
      </c>
      <c r="E2295" s="2" t="s">
        <v>4261</v>
      </c>
      <c r="F2295" s="2" t="s">
        <v>6003</v>
      </c>
      <c r="G2295" s="2"/>
    </row>
    <row r="2296" customFormat="false" ht="15" hidden="false" customHeight="false" outlineLevel="0" collapsed="false">
      <c r="A2296" s="2" t="s">
        <v>2305</v>
      </c>
      <c r="B2296" s="2" t="s">
        <v>455</v>
      </c>
      <c r="C2296" s="2" t="s">
        <v>455</v>
      </c>
      <c r="D2296" s="2" t="s">
        <v>6189</v>
      </c>
      <c r="E2296" s="2" t="s">
        <v>4261</v>
      </c>
      <c r="F2296" s="2" t="s">
        <v>6003</v>
      </c>
      <c r="G2296" s="2"/>
    </row>
    <row r="2297" customFormat="false" ht="15" hidden="false" customHeight="false" outlineLevel="0" collapsed="false">
      <c r="A2297" s="2" t="s">
        <v>2305</v>
      </c>
      <c r="B2297" s="2" t="s">
        <v>455</v>
      </c>
      <c r="C2297" s="2" t="s">
        <v>455</v>
      </c>
      <c r="D2297" s="2" t="s">
        <v>6190</v>
      </c>
      <c r="E2297" s="2" t="s">
        <v>4261</v>
      </c>
      <c r="F2297" s="2" t="s">
        <v>6003</v>
      </c>
      <c r="G2297" s="2"/>
    </row>
    <row r="2298" customFormat="false" ht="15" hidden="false" customHeight="false" outlineLevel="0" collapsed="false">
      <c r="A2298" s="2" t="s">
        <v>2305</v>
      </c>
      <c r="B2298" s="2" t="s">
        <v>455</v>
      </c>
      <c r="C2298" s="2" t="s">
        <v>455</v>
      </c>
      <c r="D2298" s="2" t="s">
        <v>6191</v>
      </c>
      <c r="E2298" s="2" t="s">
        <v>4261</v>
      </c>
      <c r="F2298" s="2" t="s">
        <v>6003</v>
      </c>
      <c r="G2298" s="2"/>
    </row>
    <row r="2299" customFormat="false" ht="15" hidden="false" customHeight="false" outlineLevel="0" collapsed="false">
      <c r="A2299" s="2" t="s">
        <v>2305</v>
      </c>
      <c r="B2299" s="2" t="s">
        <v>455</v>
      </c>
      <c r="C2299" s="2" t="s">
        <v>455</v>
      </c>
      <c r="D2299" s="2" t="s">
        <v>6192</v>
      </c>
      <c r="E2299" s="2" t="s">
        <v>4261</v>
      </c>
      <c r="F2299" s="2" t="s">
        <v>6003</v>
      </c>
      <c r="G2299" s="2"/>
    </row>
    <row r="2300" customFormat="false" ht="15" hidden="false" customHeight="false" outlineLevel="0" collapsed="false">
      <c r="A2300" s="2" t="s">
        <v>2305</v>
      </c>
      <c r="B2300" s="2" t="s">
        <v>455</v>
      </c>
      <c r="C2300" s="2" t="s">
        <v>455</v>
      </c>
      <c r="D2300" s="2" t="s">
        <v>6193</v>
      </c>
      <c r="E2300" s="2" t="s">
        <v>4261</v>
      </c>
      <c r="F2300" s="2" t="s">
        <v>6003</v>
      </c>
      <c r="G2300" s="2"/>
    </row>
    <row r="2301" customFormat="false" ht="15" hidden="false" customHeight="false" outlineLevel="0" collapsed="false">
      <c r="A2301" s="2" t="s">
        <v>2307</v>
      </c>
      <c r="B2301" s="2" t="s">
        <v>455</v>
      </c>
      <c r="C2301" s="2" t="s">
        <v>455</v>
      </c>
      <c r="D2301" s="2" t="s">
        <v>6194</v>
      </c>
      <c r="E2301" s="2" t="s">
        <v>4261</v>
      </c>
      <c r="F2301" s="2" t="s">
        <v>6003</v>
      </c>
      <c r="G2301" s="2"/>
    </row>
    <row r="2302" customFormat="false" ht="15" hidden="false" customHeight="false" outlineLevel="0" collapsed="false">
      <c r="A2302" s="2" t="s">
        <v>2307</v>
      </c>
      <c r="B2302" s="2" t="s">
        <v>455</v>
      </c>
      <c r="C2302" s="2" t="s">
        <v>455</v>
      </c>
      <c r="D2302" s="2" t="s">
        <v>6195</v>
      </c>
      <c r="E2302" s="2" t="s">
        <v>4261</v>
      </c>
      <c r="F2302" s="2" t="s">
        <v>6003</v>
      </c>
      <c r="G2302" s="2"/>
    </row>
    <row r="2303" customFormat="false" ht="15" hidden="false" customHeight="false" outlineLevel="0" collapsed="false">
      <c r="A2303" s="2" t="s">
        <v>2307</v>
      </c>
      <c r="B2303" s="2" t="s">
        <v>455</v>
      </c>
      <c r="C2303" s="2" t="s">
        <v>455</v>
      </c>
      <c r="D2303" s="2" t="s">
        <v>5026</v>
      </c>
      <c r="E2303" s="2" t="s">
        <v>4261</v>
      </c>
      <c r="F2303" s="2" t="s">
        <v>6003</v>
      </c>
      <c r="G2303" s="2"/>
    </row>
    <row r="2304" customFormat="false" ht="15" hidden="false" customHeight="false" outlineLevel="0" collapsed="false">
      <c r="A2304" s="2" t="s">
        <v>2307</v>
      </c>
      <c r="B2304" s="2" t="s">
        <v>455</v>
      </c>
      <c r="C2304" s="2" t="s">
        <v>455</v>
      </c>
      <c r="D2304" s="2" t="s">
        <v>6196</v>
      </c>
      <c r="E2304" s="2" t="s">
        <v>4261</v>
      </c>
      <c r="F2304" s="2" t="s">
        <v>6003</v>
      </c>
      <c r="G2304" s="2"/>
    </row>
    <row r="2305" customFormat="false" ht="15" hidden="false" customHeight="false" outlineLevel="0" collapsed="false">
      <c r="A2305" s="2" t="s">
        <v>2307</v>
      </c>
      <c r="B2305" s="2" t="s">
        <v>455</v>
      </c>
      <c r="C2305" s="2" t="s">
        <v>455</v>
      </c>
      <c r="D2305" s="2" t="s">
        <v>6197</v>
      </c>
      <c r="E2305" s="2" t="s">
        <v>4261</v>
      </c>
      <c r="F2305" s="2" t="s">
        <v>6003</v>
      </c>
      <c r="G2305" s="2"/>
    </row>
    <row r="2306" customFormat="false" ht="15" hidden="false" customHeight="false" outlineLevel="0" collapsed="false">
      <c r="A2306" s="2" t="s">
        <v>2307</v>
      </c>
      <c r="B2306" s="2" t="s">
        <v>455</v>
      </c>
      <c r="C2306" s="2" t="s">
        <v>455</v>
      </c>
      <c r="D2306" s="2" t="s">
        <v>6198</v>
      </c>
      <c r="E2306" s="2" t="s">
        <v>4261</v>
      </c>
      <c r="F2306" s="2" t="s">
        <v>6003</v>
      </c>
      <c r="G2306" s="2"/>
    </row>
    <row r="2307" customFormat="false" ht="15" hidden="false" customHeight="false" outlineLevel="0" collapsed="false">
      <c r="A2307" s="2" t="s">
        <v>2307</v>
      </c>
      <c r="B2307" s="2" t="s">
        <v>455</v>
      </c>
      <c r="C2307" s="2" t="s">
        <v>455</v>
      </c>
      <c r="D2307" s="2" t="s">
        <v>6199</v>
      </c>
      <c r="E2307" s="2" t="s">
        <v>4261</v>
      </c>
      <c r="F2307" s="2" t="s">
        <v>6003</v>
      </c>
      <c r="G2307" s="2"/>
    </row>
    <row r="2308" customFormat="false" ht="15" hidden="false" customHeight="false" outlineLevel="0" collapsed="false">
      <c r="A2308" s="2" t="s">
        <v>2309</v>
      </c>
      <c r="B2308" s="2" t="s">
        <v>455</v>
      </c>
      <c r="C2308" s="2" t="s">
        <v>455</v>
      </c>
      <c r="D2308" s="2" t="s">
        <v>6200</v>
      </c>
      <c r="E2308" s="2" t="s">
        <v>4261</v>
      </c>
      <c r="F2308" s="2" t="s">
        <v>6003</v>
      </c>
      <c r="G2308" s="2"/>
    </row>
    <row r="2309" customFormat="false" ht="15" hidden="false" customHeight="false" outlineLevel="0" collapsed="false">
      <c r="A2309" s="2" t="s">
        <v>2309</v>
      </c>
      <c r="B2309" s="2" t="s">
        <v>455</v>
      </c>
      <c r="C2309" s="2" t="s">
        <v>455</v>
      </c>
      <c r="D2309" s="2" t="s">
        <v>6201</v>
      </c>
      <c r="E2309" s="2" t="s">
        <v>4261</v>
      </c>
      <c r="F2309" s="2" t="s">
        <v>6003</v>
      </c>
      <c r="G2309" s="2"/>
    </row>
    <row r="2310" customFormat="false" ht="15" hidden="false" customHeight="false" outlineLevel="0" collapsed="false">
      <c r="A2310" s="2" t="s">
        <v>2311</v>
      </c>
      <c r="B2310" s="2" t="s">
        <v>1914</v>
      </c>
      <c r="C2310" s="2" t="s">
        <v>455</v>
      </c>
      <c r="D2310" s="2" t="s">
        <v>6202</v>
      </c>
      <c r="E2310" s="2" t="s">
        <v>4261</v>
      </c>
      <c r="F2310" s="2" t="s">
        <v>6003</v>
      </c>
      <c r="G2310" s="2"/>
    </row>
    <row r="2311" customFormat="false" ht="15" hidden="false" customHeight="false" outlineLevel="0" collapsed="false">
      <c r="A2311" s="2" t="s">
        <v>2311</v>
      </c>
      <c r="B2311" s="2" t="s">
        <v>1914</v>
      </c>
      <c r="C2311" s="2" t="s">
        <v>455</v>
      </c>
      <c r="D2311" s="2" t="s">
        <v>6203</v>
      </c>
      <c r="E2311" s="2" t="s">
        <v>4261</v>
      </c>
      <c r="F2311" s="2" t="s">
        <v>6003</v>
      </c>
      <c r="G2311" s="2"/>
    </row>
    <row r="2312" customFormat="false" ht="15" hidden="false" customHeight="false" outlineLevel="0" collapsed="false">
      <c r="A2312" s="2" t="s">
        <v>2311</v>
      </c>
      <c r="B2312" s="2" t="s">
        <v>1914</v>
      </c>
      <c r="C2312" s="2" t="s">
        <v>455</v>
      </c>
      <c r="D2312" s="2" t="s">
        <v>2163</v>
      </c>
      <c r="E2312" s="2" t="s">
        <v>4261</v>
      </c>
      <c r="F2312" s="2" t="s">
        <v>6003</v>
      </c>
      <c r="G2312" s="2"/>
    </row>
    <row r="2313" customFormat="false" ht="15" hidden="false" customHeight="false" outlineLevel="0" collapsed="false">
      <c r="A2313" s="2" t="s">
        <v>2311</v>
      </c>
      <c r="B2313" s="2" t="s">
        <v>1914</v>
      </c>
      <c r="C2313" s="2" t="s">
        <v>455</v>
      </c>
      <c r="D2313" s="2" t="s">
        <v>6204</v>
      </c>
      <c r="E2313" s="2" t="s">
        <v>4261</v>
      </c>
      <c r="F2313" s="2" t="s">
        <v>6003</v>
      </c>
      <c r="G2313" s="2"/>
    </row>
    <row r="2314" customFormat="false" ht="15" hidden="false" customHeight="false" outlineLevel="0" collapsed="false">
      <c r="A2314" s="2" t="s">
        <v>2311</v>
      </c>
      <c r="B2314" s="2" t="s">
        <v>1914</v>
      </c>
      <c r="C2314" s="2" t="s">
        <v>455</v>
      </c>
      <c r="D2314" s="2" t="s">
        <v>6205</v>
      </c>
      <c r="E2314" s="2" t="s">
        <v>4261</v>
      </c>
      <c r="F2314" s="2" t="s">
        <v>6003</v>
      </c>
      <c r="G2314" s="2"/>
    </row>
    <row r="2315" customFormat="false" ht="15" hidden="false" customHeight="false" outlineLevel="0" collapsed="false">
      <c r="A2315" s="2" t="s">
        <v>2311</v>
      </c>
      <c r="B2315" s="2" t="s">
        <v>1914</v>
      </c>
      <c r="C2315" s="2" t="s">
        <v>455</v>
      </c>
      <c r="D2315" s="2" t="s">
        <v>6206</v>
      </c>
      <c r="E2315" s="2" t="s">
        <v>4261</v>
      </c>
      <c r="F2315" s="2" t="s">
        <v>6003</v>
      </c>
      <c r="G2315" s="2"/>
    </row>
    <row r="2316" customFormat="false" ht="15" hidden="false" customHeight="false" outlineLevel="0" collapsed="false">
      <c r="A2316" s="2" t="s">
        <v>2311</v>
      </c>
      <c r="B2316" s="2" t="s">
        <v>1914</v>
      </c>
      <c r="C2316" s="2" t="s">
        <v>455</v>
      </c>
      <c r="D2316" s="2" t="s">
        <v>6207</v>
      </c>
      <c r="E2316" s="2" t="s">
        <v>4261</v>
      </c>
      <c r="F2316" s="2" t="s">
        <v>6003</v>
      </c>
      <c r="G2316" s="2"/>
    </row>
    <row r="2317" customFormat="false" ht="15" hidden="false" customHeight="false" outlineLevel="0" collapsed="false">
      <c r="A2317" s="2" t="s">
        <v>2311</v>
      </c>
      <c r="B2317" s="2" t="s">
        <v>1914</v>
      </c>
      <c r="C2317" s="2" t="s">
        <v>455</v>
      </c>
      <c r="D2317" s="2" t="s">
        <v>6208</v>
      </c>
      <c r="E2317" s="2" t="s">
        <v>4261</v>
      </c>
      <c r="F2317" s="2" t="s">
        <v>6003</v>
      </c>
      <c r="G2317" s="2"/>
    </row>
    <row r="2318" customFormat="false" ht="15" hidden="false" customHeight="false" outlineLevel="0" collapsed="false">
      <c r="A2318" s="2" t="s">
        <v>2311</v>
      </c>
      <c r="B2318" s="2" t="s">
        <v>1914</v>
      </c>
      <c r="C2318" s="2" t="s">
        <v>455</v>
      </c>
      <c r="D2318" s="2" t="s">
        <v>6209</v>
      </c>
      <c r="E2318" s="2" t="s">
        <v>4261</v>
      </c>
      <c r="F2318" s="2" t="s">
        <v>6003</v>
      </c>
      <c r="G2318" s="2"/>
    </row>
    <row r="2319" customFormat="false" ht="15" hidden="false" customHeight="false" outlineLevel="0" collapsed="false">
      <c r="A2319" s="2" t="s">
        <v>2311</v>
      </c>
      <c r="B2319" s="2" t="s">
        <v>1914</v>
      </c>
      <c r="C2319" s="2" t="s">
        <v>455</v>
      </c>
      <c r="D2319" s="2" t="s">
        <v>2960</v>
      </c>
      <c r="E2319" s="2" t="s">
        <v>4261</v>
      </c>
      <c r="F2319" s="2" t="s">
        <v>6003</v>
      </c>
      <c r="G2319" s="2"/>
    </row>
    <row r="2320" customFormat="false" ht="15" hidden="false" customHeight="false" outlineLevel="0" collapsed="false">
      <c r="A2320" s="2" t="s">
        <v>2311</v>
      </c>
      <c r="B2320" s="2" t="s">
        <v>1914</v>
      </c>
      <c r="C2320" s="2" t="s">
        <v>455</v>
      </c>
      <c r="D2320" s="2" t="s">
        <v>6210</v>
      </c>
      <c r="E2320" s="2" t="s">
        <v>4261</v>
      </c>
      <c r="F2320" s="2" t="s">
        <v>6003</v>
      </c>
      <c r="G2320" s="2"/>
    </row>
    <row r="2321" customFormat="false" ht="15" hidden="false" customHeight="false" outlineLevel="0" collapsed="false">
      <c r="A2321" s="2" t="s">
        <v>2311</v>
      </c>
      <c r="B2321" s="2" t="s">
        <v>1914</v>
      </c>
      <c r="C2321" s="2" t="s">
        <v>455</v>
      </c>
      <c r="D2321" s="2" t="s">
        <v>3766</v>
      </c>
      <c r="E2321" s="2" t="s">
        <v>4261</v>
      </c>
      <c r="F2321" s="2" t="s">
        <v>6003</v>
      </c>
      <c r="G2321" s="2"/>
    </row>
    <row r="2322" customFormat="false" ht="15" hidden="false" customHeight="false" outlineLevel="0" collapsed="false">
      <c r="A2322" s="2" t="s">
        <v>2314</v>
      </c>
      <c r="B2322" s="2" t="s">
        <v>2315</v>
      </c>
      <c r="C2322" s="2" t="s">
        <v>455</v>
      </c>
      <c r="D2322" s="2" t="s">
        <v>6211</v>
      </c>
      <c r="E2322" s="2" t="s">
        <v>4261</v>
      </c>
      <c r="F2322" s="2"/>
      <c r="G2322" s="2"/>
    </row>
    <row r="2323" customFormat="false" ht="15" hidden="false" customHeight="false" outlineLevel="0" collapsed="false">
      <c r="A2323" s="2" t="s">
        <v>2314</v>
      </c>
      <c r="B2323" s="2" t="s">
        <v>2315</v>
      </c>
      <c r="C2323" s="2" t="s">
        <v>455</v>
      </c>
      <c r="D2323" s="2" t="s">
        <v>6212</v>
      </c>
      <c r="E2323" s="2" t="s">
        <v>4261</v>
      </c>
      <c r="F2323" s="2"/>
      <c r="G2323" s="2"/>
    </row>
    <row r="2324" customFormat="false" ht="15" hidden="false" customHeight="false" outlineLevel="0" collapsed="false">
      <c r="A2324" s="2" t="s">
        <v>2318</v>
      </c>
      <c r="B2324" s="2" t="s">
        <v>2319</v>
      </c>
      <c r="C2324" s="2" t="s">
        <v>455</v>
      </c>
      <c r="D2324" s="2" t="s">
        <v>6213</v>
      </c>
      <c r="E2324" s="2" t="s">
        <v>4261</v>
      </c>
      <c r="F2324" s="2" t="s">
        <v>6003</v>
      </c>
      <c r="G2324" s="2"/>
    </row>
    <row r="2325" customFormat="false" ht="15" hidden="false" customHeight="false" outlineLevel="0" collapsed="false">
      <c r="A2325" s="2" t="s">
        <v>2318</v>
      </c>
      <c r="B2325" s="2" t="s">
        <v>2319</v>
      </c>
      <c r="C2325" s="2" t="s">
        <v>455</v>
      </c>
      <c r="D2325" s="2" t="s">
        <v>6214</v>
      </c>
      <c r="E2325" s="2" t="s">
        <v>4261</v>
      </c>
      <c r="F2325" s="2" t="s">
        <v>6003</v>
      </c>
      <c r="G2325" s="2"/>
    </row>
    <row r="2326" customFormat="false" ht="15" hidden="false" customHeight="false" outlineLevel="0" collapsed="false">
      <c r="A2326" s="2" t="s">
        <v>2318</v>
      </c>
      <c r="B2326" s="2" t="s">
        <v>2319</v>
      </c>
      <c r="C2326" s="2" t="s">
        <v>455</v>
      </c>
      <c r="D2326" s="2" t="s">
        <v>6215</v>
      </c>
      <c r="E2326" s="2" t="s">
        <v>4261</v>
      </c>
      <c r="F2326" s="2" t="s">
        <v>6003</v>
      </c>
      <c r="G2326" s="2"/>
    </row>
    <row r="2327" customFormat="false" ht="15" hidden="false" customHeight="false" outlineLevel="0" collapsed="false">
      <c r="A2327" s="2" t="s">
        <v>2318</v>
      </c>
      <c r="B2327" s="2" t="s">
        <v>2319</v>
      </c>
      <c r="C2327" s="2" t="s">
        <v>455</v>
      </c>
      <c r="D2327" s="2" t="s">
        <v>6216</v>
      </c>
      <c r="E2327" s="2" t="s">
        <v>4261</v>
      </c>
      <c r="F2327" s="2" t="s">
        <v>6003</v>
      </c>
      <c r="G2327" s="2"/>
    </row>
    <row r="2328" customFormat="false" ht="15" hidden="false" customHeight="false" outlineLevel="0" collapsed="false">
      <c r="A2328" s="2" t="s">
        <v>2318</v>
      </c>
      <c r="B2328" s="2" t="s">
        <v>2319</v>
      </c>
      <c r="C2328" s="2" t="s">
        <v>455</v>
      </c>
      <c r="D2328" s="2" t="s">
        <v>6217</v>
      </c>
      <c r="E2328" s="2" t="s">
        <v>4261</v>
      </c>
      <c r="F2328" s="2" t="s">
        <v>6003</v>
      </c>
      <c r="G2328" s="2"/>
    </row>
    <row r="2329" customFormat="false" ht="15" hidden="false" customHeight="false" outlineLevel="0" collapsed="false">
      <c r="A2329" s="2" t="s">
        <v>2318</v>
      </c>
      <c r="B2329" s="2" t="s">
        <v>2319</v>
      </c>
      <c r="C2329" s="2" t="s">
        <v>455</v>
      </c>
      <c r="D2329" s="2" t="s">
        <v>6218</v>
      </c>
      <c r="E2329" s="2" t="s">
        <v>4271</v>
      </c>
      <c r="F2329" s="2" t="s">
        <v>6003</v>
      </c>
      <c r="G2329" s="2"/>
    </row>
    <row r="2330" customFormat="false" ht="15" hidden="false" customHeight="false" outlineLevel="0" collapsed="false">
      <c r="A2330" s="2" t="s">
        <v>2318</v>
      </c>
      <c r="B2330" s="2" t="s">
        <v>2319</v>
      </c>
      <c r="C2330" s="2" t="s">
        <v>455</v>
      </c>
      <c r="D2330" s="2" t="s">
        <v>6219</v>
      </c>
      <c r="E2330" s="2" t="s">
        <v>4261</v>
      </c>
      <c r="F2330" s="2" t="s">
        <v>6003</v>
      </c>
      <c r="G2330" s="2"/>
    </row>
    <row r="2331" customFormat="false" ht="15" hidden="false" customHeight="false" outlineLevel="0" collapsed="false">
      <c r="A2331" s="2" t="s">
        <v>2318</v>
      </c>
      <c r="B2331" s="2" t="s">
        <v>2319</v>
      </c>
      <c r="C2331" s="2" t="s">
        <v>455</v>
      </c>
      <c r="D2331" s="2" t="s">
        <v>6220</v>
      </c>
      <c r="E2331" s="2" t="s">
        <v>4261</v>
      </c>
      <c r="F2331" s="2" t="s">
        <v>6003</v>
      </c>
      <c r="G2331" s="2"/>
    </row>
    <row r="2332" customFormat="false" ht="15" hidden="false" customHeight="false" outlineLevel="0" collapsed="false">
      <c r="A2332" s="2" t="s">
        <v>2318</v>
      </c>
      <c r="B2332" s="2" t="s">
        <v>2319</v>
      </c>
      <c r="C2332" s="2" t="s">
        <v>455</v>
      </c>
      <c r="D2332" s="2" t="s">
        <v>6221</v>
      </c>
      <c r="E2332" s="2" t="s">
        <v>4261</v>
      </c>
      <c r="F2332" s="2" t="s">
        <v>6003</v>
      </c>
      <c r="G2332" s="2"/>
    </row>
    <row r="2333" customFormat="false" ht="15" hidden="false" customHeight="false" outlineLevel="0" collapsed="false">
      <c r="A2333" s="2" t="s">
        <v>2318</v>
      </c>
      <c r="B2333" s="2" t="s">
        <v>2319</v>
      </c>
      <c r="C2333" s="2" t="s">
        <v>455</v>
      </c>
      <c r="D2333" s="2" t="s">
        <v>6222</v>
      </c>
      <c r="E2333" s="2" t="s">
        <v>4261</v>
      </c>
      <c r="F2333" s="2" t="s">
        <v>6003</v>
      </c>
      <c r="G2333" s="2"/>
    </row>
    <row r="2334" customFormat="false" ht="15" hidden="false" customHeight="false" outlineLevel="0" collapsed="false">
      <c r="A2334" s="2" t="s">
        <v>2318</v>
      </c>
      <c r="B2334" s="2" t="s">
        <v>2319</v>
      </c>
      <c r="C2334" s="2" t="s">
        <v>455</v>
      </c>
      <c r="D2334" s="2" t="s">
        <v>6223</v>
      </c>
      <c r="E2334" s="2" t="s">
        <v>4271</v>
      </c>
      <c r="F2334" s="2" t="s">
        <v>6003</v>
      </c>
      <c r="G2334" s="2"/>
    </row>
    <row r="2335" customFormat="false" ht="15" hidden="false" customHeight="false" outlineLevel="0" collapsed="false">
      <c r="A2335" s="2" t="s">
        <v>2318</v>
      </c>
      <c r="B2335" s="2" t="s">
        <v>2319</v>
      </c>
      <c r="C2335" s="2" t="s">
        <v>455</v>
      </c>
      <c r="D2335" s="2" t="s">
        <v>6224</v>
      </c>
      <c r="E2335" s="2" t="s">
        <v>4261</v>
      </c>
      <c r="F2335" s="2" t="s">
        <v>6003</v>
      </c>
      <c r="G2335" s="2"/>
    </row>
    <row r="2336" customFormat="false" ht="15" hidden="false" customHeight="false" outlineLevel="0" collapsed="false">
      <c r="A2336" s="2" t="s">
        <v>2318</v>
      </c>
      <c r="B2336" s="2" t="s">
        <v>2319</v>
      </c>
      <c r="C2336" s="2" t="s">
        <v>455</v>
      </c>
      <c r="D2336" s="2" t="s">
        <v>6225</v>
      </c>
      <c r="E2336" s="2" t="s">
        <v>4271</v>
      </c>
      <c r="F2336" s="2" t="s">
        <v>6003</v>
      </c>
      <c r="G2336" s="2"/>
    </row>
    <row r="2337" customFormat="false" ht="15" hidden="false" customHeight="false" outlineLevel="0" collapsed="false">
      <c r="A2337" s="2" t="s">
        <v>2318</v>
      </c>
      <c r="B2337" s="2" t="s">
        <v>2319</v>
      </c>
      <c r="C2337" s="2" t="s">
        <v>455</v>
      </c>
      <c r="D2337" s="2" t="s">
        <v>6079</v>
      </c>
      <c r="E2337" s="2" t="s">
        <v>4261</v>
      </c>
      <c r="F2337" s="2" t="s">
        <v>6003</v>
      </c>
      <c r="G2337" s="2"/>
    </row>
    <row r="2338" customFormat="false" ht="15" hidden="false" customHeight="false" outlineLevel="0" collapsed="false">
      <c r="A2338" s="2" t="s">
        <v>2318</v>
      </c>
      <c r="B2338" s="2" t="s">
        <v>2319</v>
      </c>
      <c r="C2338" s="2" t="s">
        <v>455</v>
      </c>
      <c r="D2338" s="2" t="s">
        <v>6226</v>
      </c>
      <c r="E2338" s="2" t="s">
        <v>4261</v>
      </c>
      <c r="F2338" s="2" t="s">
        <v>6003</v>
      </c>
      <c r="G2338" s="2"/>
    </row>
    <row r="2339" customFormat="false" ht="15" hidden="false" customHeight="false" outlineLevel="0" collapsed="false">
      <c r="A2339" s="2" t="s">
        <v>2318</v>
      </c>
      <c r="B2339" s="2" t="s">
        <v>2319</v>
      </c>
      <c r="C2339" s="2" t="s">
        <v>455</v>
      </c>
      <c r="D2339" s="2" t="s">
        <v>6227</v>
      </c>
      <c r="E2339" s="2" t="s">
        <v>4261</v>
      </c>
      <c r="F2339" s="2" t="s">
        <v>6003</v>
      </c>
      <c r="G2339" s="2"/>
    </row>
    <row r="2340" customFormat="false" ht="15" hidden="false" customHeight="false" outlineLevel="0" collapsed="false">
      <c r="A2340" s="2" t="s">
        <v>2318</v>
      </c>
      <c r="B2340" s="2" t="s">
        <v>2319</v>
      </c>
      <c r="C2340" s="2" t="s">
        <v>455</v>
      </c>
      <c r="D2340" s="2" t="s">
        <v>6228</v>
      </c>
      <c r="E2340" s="2" t="s">
        <v>4261</v>
      </c>
      <c r="F2340" s="2" t="s">
        <v>6003</v>
      </c>
      <c r="G2340" s="2"/>
    </row>
    <row r="2341" customFormat="false" ht="15" hidden="false" customHeight="false" outlineLevel="0" collapsed="false">
      <c r="A2341" s="2" t="s">
        <v>2321</v>
      </c>
      <c r="B2341" s="2" t="s">
        <v>2319</v>
      </c>
      <c r="C2341" s="2" t="s">
        <v>455</v>
      </c>
      <c r="D2341" s="2" t="s">
        <v>6229</v>
      </c>
      <c r="E2341" s="2" t="s">
        <v>4261</v>
      </c>
      <c r="F2341" s="2" t="s">
        <v>6003</v>
      </c>
      <c r="G2341" s="2"/>
    </row>
    <row r="2342" customFormat="false" ht="15" hidden="false" customHeight="false" outlineLevel="0" collapsed="false">
      <c r="A2342" s="2" t="s">
        <v>2321</v>
      </c>
      <c r="B2342" s="2" t="s">
        <v>2319</v>
      </c>
      <c r="C2342" s="2" t="s">
        <v>455</v>
      </c>
      <c r="D2342" s="2" t="s">
        <v>6230</v>
      </c>
      <c r="E2342" s="2" t="s">
        <v>4261</v>
      </c>
      <c r="F2342" s="2" t="s">
        <v>6003</v>
      </c>
      <c r="G2342" s="2"/>
    </row>
    <row r="2343" customFormat="false" ht="15" hidden="false" customHeight="false" outlineLevel="0" collapsed="false">
      <c r="A2343" s="2" t="s">
        <v>2328</v>
      </c>
      <c r="B2343" s="2" t="s">
        <v>2329</v>
      </c>
      <c r="C2343" s="2" t="s">
        <v>455</v>
      </c>
      <c r="D2343" s="2" t="s">
        <v>6231</v>
      </c>
      <c r="E2343" s="2" t="s">
        <v>4261</v>
      </c>
      <c r="F2343" s="2" t="s">
        <v>6003</v>
      </c>
      <c r="G2343" s="2"/>
    </row>
    <row r="2344" customFormat="false" ht="15" hidden="false" customHeight="false" outlineLevel="0" collapsed="false">
      <c r="A2344" s="2" t="s">
        <v>2328</v>
      </c>
      <c r="B2344" s="2" t="s">
        <v>2329</v>
      </c>
      <c r="C2344" s="2" t="s">
        <v>455</v>
      </c>
      <c r="D2344" s="2" t="s">
        <v>6232</v>
      </c>
      <c r="E2344" s="2" t="s">
        <v>4261</v>
      </c>
      <c r="F2344" s="2" t="s">
        <v>6003</v>
      </c>
      <c r="G2344" s="2"/>
    </row>
    <row r="2345" customFormat="false" ht="15" hidden="false" customHeight="false" outlineLevel="0" collapsed="false">
      <c r="A2345" s="2" t="s">
        <v>2331</v>
      </c>
      <c r="B2345" s="2" t="s">
        <v>2329</v>
      </c>
      <c r="C2345" s="2" t="s">
        <v>455</v>
      </c>
      <c r="D2345" s="2" t="s">
        <v>6233</v>
      </c>
      <c r="E2345" s="2" t="s">
        <v>4261</v>
      </c>
      <c r="F2345" s="2" t="s">
        <v>6003</v>
      </c>
      <c r="G2345" s="2"/>
    </row>
    <row r="2346" customFormat="false" ht="15" hidden="false" customHeight="false" outlineLevel="0" collapsed="false">
      <c r="A2346" s="2" t="s">
        <v>2331</v>
      </c>
      <c r="B2346" s="2" t="s">
        <v>2329</v>
      </c>
      <c r="C2346" s="2" t="s">
        <v>455</v>
      </c>
      <c r="D2346" s="2" t="s">
        <v>6234</v>
      </c>
      <c r="E2346" s="2" t="s">
        <v>4261</v>
      </c>
      <c r="F2346" s="2" t="s">
        <v>6003</v>
      </c>
      <c r="G2346" s="2"/>
    </row>
    <row r="2347" customFormat="false" ht="15" hidden="false" customHeight="false" outlineLevel="0" collapsed="false">
      <c r="A2347" s="2" t="s">
        <v>2333</v>
      </c>
      <c r="B2347" s="2" t="s">
        <v>2329</v>
      </c>
      <c r="C2347" s="2" t="s">
        <v>455</v>
      </c>
      <c r="D2347" s="2" t="s">
        <v>6235</v>
      </c>
      <c r="E2347" s="2" t="s">
        <v>4261</v>
      </c>
      <c r="F2347" s="2" t="s">
        <v>6003</v>
      </c>
      <c r="G2347" s="2"/>
    </row>
    <row r="2348" customFormat="false" ht="15" hidden="false" customHeight="false" outlineLevel="0" collapsed="false">
      <c r="A2348" s="2" t="s">
        <v>2333</v>
      </c>
      <c r="B2348" s="2" t="s">
        <v>2329</v>
      </c>
      <c r="C2348" s="2" t="s">
        <v>455</v>
      </c>
      <c r="D2348" s="2" t="s">
        <v>6236</v>
      </c>
      <c r="E2348" s="2" t="s">
        <v>4261</v>
      </c>
      <c r="F2348" s="2" t="s">
        <v>6003</v>
      </c>
      <c r="G2348" s="2"/>
    </row>
    <row r="2349" customFormat="false" ht="15" hidden="false" customHeight="false" outlineLevel="0" collapsed="false">
      <c r="A2349" s="2" t="s">
        <v>2333</v>
      </c>
      <c r="B2349" s="2" t="s">
        <v>2329</v>
      </c>
      <c r="C2349" s="2" t="s">
        <v>455</v>
      </c>
      <c r="D2349" s="2" t="s">
        <v>6237</v>
      </c>
      <c r="E2349" s="2" t="s">
        <v>4261</v>
      </c>
      <c r="F2349" s="2" t="s">
        <v>6003</v>
      </c>
      <c r="G2349" s="2"/>
    </row>
    <row r="2350" customFormat="false" ht="15" hidden="false" customHeight="false" outlineLevel="0" collapsed="false">
      <c r="A2350" s="2" t="s">
        <v>2333</v>
      </c>
      <c r="B2350" s="2" t="s">
        <v>2329</v>
      </c>
      <c r="C2350" s="2" t="s">
        <v>455</v>
      </c>
      <c r="D2350" s="2" t="s">
        <v>6238</v>
      </c>
      <c r="E2350" s="2" t="s">
        <v>4261</v>
      </c>
      <c r="F2350" s="2" t="s">
        <v>6003</v>
      </c>
      <c r="G2350" s="2"/>
    </row>
    <row r="2351" customFormat="false" ht="15" hidden="false" customHeight="false" outlineLevel="0" collapsed="false">
      <c r="A2351" s="2" t="s">
        <v>2333</v>
      </c>
      <c r="B2351" s="2" t="s">
        <v>2329</v>
      </c>
      <c r="C2351" s="2" t="s">
        <v>455</v>
      </c>
      <c r="D2351" s="2" t="s">
        <v>6239</v>
      </c>
      <c r="E2351" s="2" t="s">
        <v>4261</v>
      </c>
      <c r="F2351" s="2" t="s">
        <v>6003</v>
      </c>
      <c r="G2351" s="2"/>
    </row>
    <row r="2352" customFormat="false" ht="15" hidden="false" customHeight="false" outlineLevel="0" collapsed="false">
      <c r="A2352" s="2" t="s">
        <v>2333</v>
      </c>
      <c r="B2352" s="2" t="s">
        <v>2329</v>
      </c>
      <c r="C2352" s="2" t="s">
        <v>455</v>
      </c>
      <c r="D2352" s="2" t="s">
        <v>6240</v>
      </c>
      <c r="E2352" s="2" t="s">
        <v>4261</v>
      </c>
      <c r="F2352" s="2" t="s">
        <v>6003</v>
      </c>
      <c r="G2352" s="2"/>
    </row>
    <row r="2353" customFormat="false" ht="15" hidden="false" customHeight="false" outlineLevel="0" collapsed="false">
      <c r="A2353" s="2" t="s">
        <v>2333</v>
      </c>
      <c r="B2353" s="2" t="s">
        <v>2329</v>
      </c>
      <c r="C2353" s="2" t="s">
        <v>455</v>
      </c>
      <c r="D2353" s="2" t="s">
        <v>5655</v>
      </c>
      <c r="E2353" s="2" t="s">
        <v>4261</v>
      </c>
      <c r="F2353" s="2" t="s">
        <v>6003</v>
      </c>
      <c r="G2353" s="2"/>
    </row>
    <row r="2354" customFormat="false" ht="15" hidden="false" customHeight="false" outlineLevel="0" collapsed="false">
      <c r="A2354" s="2" t="s">
        <v>2333</v>
      </c>
      <c r="B2354" s="2" t="s">
        <v>2329</v>
      </c>
      <c r="C2354" s="2" t="s">
        <v>455</v>
      </c>
      <c r="D2354" s="2" t="s">
        <v>6241</v>
      </c>
      <c r="E2354" s="2" t="s">
        <v>4261</v>
      </c>
      <c r="F2354" s="2" t="s">
        <v>6003</v>
      </c>
      <c r="G2354" s="2"/>
    </row>
    <row r="2355" customFormat="false" ht="15" hidden="false" customHeight="false" outlineLevel="0" collapsed="false">
      <c r="A2355" s="2" t="s">
        <v>2333</v>
      </c>
      <c r="B2355" s="2" t="s">
        <v>2329</v>
      </c>
      <c r="C2355" s="2" t="s">
        <v>455</v>
      </c>
      <c r="D2355" s="2" t="s">
        <v>6242</v>
      </c>
      <c r="E2355" s="2" t="s">
        <v>4261</v>
      </c>
      <c r="F2355" s="2" t="s">
        <v>6003</v>
      </c>
      <c r="G2355" s="2"/>
    </row>
    <row r="2356" customFormat="false" ht="15" hidden="false" customHeight="false" outlineLevel="0" collapsed="false">
      <c r="A2356" s="2" t="s">
        <v>2333</v>
      </c>
      <c r="B2356" s="2" t="s">
        <v>2329</v>
      </c>
      <c r="C2356" s="2" t="s">
        <v>455</v>
      </c>
      <c r="D2356" s="2" t="s">
        <v>6243</v>
      </c>
      <c r="E2356" s="2" t="s">
        <v>4261</v>
      </c>
      <c r="F2356" s="2" t="s">
        <v>6003</v>
      </c>
      <c r="G2356" s="2"/>
    </row>
    <row r="2357" customFormat="false" ht="15" hidden="false" customHeight="false" outlineLevel="0" collapsed="false">
      <c r="A2357" s="2" t="s">
        <v>2333</v>
      </c>
      <c r="B2357" s="2" t="s">
        <v>2329</v>
      </c>
      <c r="C2357" s="2" t="s">
        <v>455</v>
      </c>
      <c r="D2357" s="2" t="s">
        <v>6244</v>
      </c>
      <c r="E2357" s="2" t="s">
        <v>4261</v>
      </c>
      <c r="F2357" s="2" t="s">
        <v>6003</v>
      </c>
      <c r="G2357" s="2"/>
    </row>
    <row r="2358" customFormat="false" ht="15" hidden="false" customHeight="false" outlineLevel="0" collapsed="false">
      <c r="A2358" s="2" t="s">
        <v>2335</v>
      </c>
      <c r="B2358" s="2" t="s">
        <v>2336</v>
      </c>
      <c r="C2358" s="2" t="s">
        <v>455</v>
      </c>
      <c r="D2358" s="2" t="s">
        <v>6245</v>
      </c>
      <c r="E2358" s="2" t="s">
        <v>4261</v>
      </c>
      <c r="F2358" s="2" t="s">
        <v>6003</v>
      </c>
      <c r="G2358" s="2"/>
    </row>
    <row r="2359" customFormat="false" ht="15" hidden="false" customHeight="false" outlineLevel="0" collapsed="false">
      <c r="A2359" s="2" t="s">
        <v>2335</v>
      </c>
      <c r="B2359" s="2" t="s">
        <v>2336</v>
      </c>
      <c r="C2359" s="2" t="s">
        <v>455</v>
      </c>
      <c r="D2359" s="2" t="s">
        <v>6246</v>
      </c>
      <c r="E2359" s="2" t="s">
        <v>4261</v>
      </c>
      <c r="F2359" s="2" t="s">
        <v>6003</v>
      </c>
      <c r="G2359" s="2"/>
    </row>
    <row r="2360" customFormat="false" ht="15" hidden="false" customHeight="false" outlineLevel="0" collapsed="false">
      <c r="A2360" s="2" t="s">
        <v>2335</v>
      </c>
      <c r="B2360" s="2" t="s">
        <v>2336</v>
      </c>
      <c r="C2360" s="2" t="s">
        <v>455</v>
      </c>
      <c r="D2360" s="2" t="s">
        <v>6247</v>
      </c>
      <c r="E2360" s="2" t="s">
        <v>4261</v>
      </c>
      <c r="F2360" s="2" t="s">
        <v>6003</v>
      </c>
      <c r="G2360" s="2"/>
    </row>
    <row r="2361" customFormat="false" ht="15" hidden="false" customHeight="false" outlineLevel="0" collapsed="false">
      <c r="A2361" s="2" t="s">
        <v>2342</v>
      </c>
      <c r="B2361" s="2" t="s">
        <v>2317</v>
      </c>
      <c r="C2361" s="2" t="s">
        <v>455</v>
      </c>
      <c r="D2361" s="2" t="s">
        <v>2343</v>
      </c>
      <c r="E2361" s="2" t="s">
        <v>4261</v>
      </c>
      <c r="F2361" s="2" t="s">
        <v>6003</v>
      </c>
      <c r="G2361" s="2"/>
    </row>
    <row r="2362" customFormat="false" ht="15" hidden="false" customHeight="false" outlineLevel="0" collapsed="false">
      <c r="A2362" s="2" t="s">
        <v>2344</v>
      </c>
      <c r="B2362" s="2" t="s">
        <v>2317</v>
      </c>
      <c r="C2362" s="2" t="s">
        <v>455</v>
      </c>
      <c r="D2362" s="2" t="s">
        <v>6248</v>
      </c>
      <c r="E2362" s="2" t="s">
        <v>4261</v>
      </c>
      <c r="F2362" s="2" t="s">
        <v>6003</v>
      </c>
      <c r="G2362" s="2"/>
    </row>
    <row r="2363" customFormat="false" ht="15" hidden="false" customHeight="false" outlineLevel="0" collapsed="false">
      <c r="A2363" s="2" t="s">
        <v>2344</v>
      </c>
      <c r="B2363" s="2" t="s">
        <v>2317</v>
      </c>
      <c r="C2363" s="2" t="s">
        <v>455</v>
      </c>
      <c r="D2363" s="2" t="s">
        <v>6249</v>
      </c>
      <c r="E2363" s="2" t="s">
        <v>4261</v>
      </c>
      <c r="F2363" s="2" t="s">
        <v>6003</v>
      </c>
      <c r="G2363" s="2"/>
    </row>
    <row r="2364" customFormat="false" ht="15" hidden="false" customHeight="false" outlineLevel="0" collapsed="false">
      <c r="A2364" s="2" t="s">
        <v>2346</v>
      </c>
      <c r="B2364" s="2" t="s">
        <v>2317</v>
      </c>
      <c r="C2364" s="2" t="s">
        <v>455</v>
      </c>
      <c r="D2364" s="2" t="s">
        <v>6250</v>
      </c>
      <c r="E2364" s="2" t="s">
        <v>4261</v>
      </c>
      <c r="F2364" s="2" t="s">
        <v>6003</v>
      </c>
      <c r="G2364" s="2"/>
    </row>
    <row r="2365" customFormat="false" ht="15" hidden="false" customHeight="false" outlineLevel="0" collapsed="false">
      <c r="A2365" s="2" t="s">
        <v>2346</v>
      </c>
      <c r="B2365" s="2" t="s">
        <v>2317</v>
      </c>
      <c r="C2365" s="2" t="s">
        <v>455</v>
      </c>
      <c r="D2365" s="2" t="s">
        <v>6251</v>
      </c>
      <c r="E2365" s="2" t="s">
        <v>4261</v>
      </c>
      <c r="F2365" s="2" t="s">
        <v>6003</v>
      </c>
      <c r="G2365" s="2"/>
    </row>
    <row r="2366" customFormat="false" ht="15" hidden="false" customHeight="false" outlineLevel="0" collapsed="false">
      <c r="A2366" s="2" t="s">
        <v>2346</v>
      </c>
      <c r="B2366" s="2" t="s">
        <v>2317</v>
      </c>
      <c r="C2366" s="2" t="s">
        <v>455</v>
      </c>
      <c r="D2366" s="2" t="s">
        <v>4960</v>
      </c>
      <c r="E2366" s="2" t="s">
        <v>4261</v>
      </c>
      <c r="F2366" s="2" t="s">
        <v>6003</v>
      </c>
      <c r="G2366" s="2"/>
    </row>
    <row r="2367" customFormat="false" ht="15" hidden="false" customHeight="false" outlineLevel="0" collapsed="false">
      <c r="A2367" s="2" t="s">
        <v>2346</v>
      </c>
      <c r="B2367" s="2" t="s">
        <v>2317</v>
      </c>
      <c r="C2367" s="2" t="s">
        <v>455</v>
      </c>
      <c r="D2367" s="2" t="s">
        <v>6078</v>
      </c>
      <c r="E2367" s="2" t="s">
        <v>4261</v>
      </c>
      <c r="F2367" s="2" t="s">
        <v>6003</v>
      </c>
      <c r="G2367" s="2"/>
    </row>
    <row r="2368" customFormat="false" ht="15" hidden="false" customHeight="false" outlineLevel="0" collapsed="false">
      <c r="A2368" s="2" t="s">
        <v>2346</v>
      </c>
      <c r="B2368" s="2" t="s">
        <v>2317</v>
      </c>
      <c r="C2368" s="2" t="s">
        <v>455</v>
      </c>
      <c r="D2368" s="2" t="s">
        <v>6252</v>
      </c>
      <c r="E2368" s="2" t="s">
        <v>4261</v>
      </c>
      <c r="F2368" s="2" t="s">
        <v>6003</v>
      </c>
      <c r="G2368" s="2"/>
    </row>
    <row r="2369" customFormat="false" ht="15" hidden="false" customHeight="false" outlineLevel="0" collapsed="false">
      <c r="A2369" s="2" t="s">
        <v>2346</v>
      </c>
      <c r="B2369" s="2" t="s">
        <v>2317</v>
      </c>
      <c r="C2369" s="2" t="s">
        <v>455</v>
      </c>
      <c r="D2369" s="2" t="s">
        <v>6253</v>
      </c>
      <c r="E2369" s="2" t="s">
        <v>4261</v>
      </c>
      <c r="F2369" s="2" t="s">
        <v>6003</v>
      </c>
      <c r="G2369" s="2"/>
    </row>
    <row r="2370" customFormat="false" ht="15" hidden="false" customHeight="false" outlineLevel="0" collapsed="false">
      <c r="A2370" s="2" t="s">
        <v>2351</v>
      </c>
      <c r="B2370" s="2" t="s">
        <v>2352</v>
      </c>
      <c r="C2370" s="2" t="s">
        <v>455</v>
      </c>
      <c r="D2370" s="2" t="s">
        <v>6254</v>
      </c>
      <c r="E2370" s="2" t="s">
        <v>4261</v>
      </c>
      <c r="F2370" s="2" t="s">
        <v>6003</v>
      </c>
      <c r="G2370" s="2"/>
    </row>
    <row r="2371" customFormat="false" ht="15" hidden="false" customHeight="false" outlineLevel="0" collapsed="false">
      <c r="A2371" s="2" t="s">
        <v>2351</v>
      </c>
      <c r="B2371" s="2" t="s">
        <v>2352</v>
      </c>
      <c r="C2371" s="2" t="s">
        <v>455</v>
      </c>
      <c r="D2371" s="2" t="s">
        <v>6255</v>
      </c>
      <c r="E2371" s="2" t="s">
        <v>4261</v>
      </c>
      <c r="F2371" s="2" t="s">
        <v>6003</v>
      </c>
      <c r="G2371" s="2"/>
    </row>
    <row r="2372" customFormat="false" ht="15" hidden="false" customHeight="false" outlineLevel="0" collapsed="false">
      <c r="A2372" s="2" t="s">
        <v>2351</v>
      </c>
      <c r="B2372" s="2" t="s">
        <v>2352</v>
      </c>
      <c r="C2372" s="2" t="s">
        <v>455</v>
      </c>
      <c r="D2372" s="2" t="s">
        <v>6256</v>
      </c>
      <c r="E2372" s="2" t="s">
        <v>4261</v>
      </c>
      <c r="F2372" s="2" t="s">
        <v>6003</v>
      </c>
      <c r="G2372" s="2"/>
    </row>
    <row r="2373" customFormat="false" ht="15" hidden="false" customHeight="false" outlineLevel="0" collapsed="false">
      <c r="A2373" s="2" t="s">
        <v>2351</v>
      </c>
      <c r="B2373" s="2" t="s">
        <v>2352</v>
      </c>
      <c r="C2373" s="2" t="s">
        <v>455</v>
      </c>
      <c r="D2373" s="2" t="s">
        <v>5423</v>
      </c>
      <c r="E2373" s="2" t="s">
        <v>4271</v>
      </c>
      <c r="F2373" s="2" t="s">
        <v>6003</v>
      </c>
      <c r="G2373" s="2"/>
    </row>
    <row r="2374" customFormat="false" ht="15" hidden="false" customHeight="false" outlineLevel="0" collapsed="false">
      <c r="A2374" s="2" t="s">
        <v>2351</v>
      </c>
      <c r="B2374" s="2" t="s">
        <v>2352</v>
      </c>
      <c r="C2374" s="2" t="s">
        <v>455</v>
      </c>
      <c r="D2374" s="2" t="s">
        <v>6257</v>
      </c>
      <c r="E2374" s="2" t="s">
        <v>4261</v>
      </c>
      <c r="F2374" s="2" t="s">
        <v>6003</v>
      </c>
      <c r="G2374" s="2"/>
    </row>
    <row r="2375" customFormat="false" ht="15" hidden="false" customHeight="false" outlineLevel="0" collapsed="false">
      <c r="A2375" s="2" t="s">
        <v>2351</v>
      </c>
      <c r="B2375" s="2" t="s">
        <v>2352</v>
      </c>
      <c r="C2375" s="2" t="s">
        <v>455</v>
      </c>
      <c r="D2375" s="2" t="s">
        <v>6258</v>
      </c>
      <c r="E2375" s="2" t="s">
        <v>4271</v>
      </c>
      <c r="F2375" s="2" t="s">
        <v>6003</v>
      </c>
      <c r="G2375" s="2"/>
    </row>
    <row r="2376" customFormat="false" ht="15" hidden="false" customHeight="false" outlineLevel="0" collapsed="false">
      <c r="A2376" s="2" t="s">
        <v>2351</v>
      </c>
      <c r="B2376" s="2" t="s">
        <v>2352</v>
      </c>
      <c r="C2376" s="2" t="s">
        <v>455</v>
      </c>
      <c r="D2376" s="2" t="s">
        <v>6259</v>
      </c>
      <c r="E2376" s="2" t="s">
        <v>4261</v>
      </c>
      <c r="F2376" s="2" t="s">
        <v>6003</v>
      </c>
      <c r="G2376" s="2"/>
    </row>
    <row r="2377" customFormat="false" ht="15" hidden="false" customHeight="false" outlineLevel="0" collapsed="false">
      <c r="A2377" s="2" t="s">
        <v>2354</v>
      </c>
      <c r="B2377" s="2" t="s">
        <v>2352</v>
      </c>
      <c r="C2377" s="2" t="s">
        <v>455</v>
      </c>
      <c r="D2377" s="2" t="s">
        <v>6260</v>
      </c>
      <c r="E2377" s="2" t="s">
        <v>4261</v>
      </c>
      <c r="F2377" s="2" t="s">
        <v>6003</v>
      </c>
      <c r="G2377" s="2"/>
    </row>
    <row r="2378" customFormat="false" ht="15" hidden="false" customHeight="false" outlineLevel="0" collapsed="false">
      <c r="A2378" s="2" t="s">
        <v>2354</v>
      </c>
      <c r="B2378" s="2" t="s">
        <v>2352</v>
      </c>
      <c r="C2378" s="2" t="s">
        <v>455</v>
      </c>
      <c r="D2378" s="2" t="s">
        <v>6237</v>
      </c>
      <c r="E2378" s="2" t="s">
        <v>4261</v>
      </c>
      <c r="F2378" s="2" t="s">
        <v>6003</v>
      </c>
      <c r="G2378" s="2"/>
    </row>
    <row r="2379" customFormat="false" ht="15" hidden="false" customHeight="false" outlineLevel="0" collapsed="false">
      <c r="A2379" s="2" t="s">
        <v>2354</v>
      </c>
      <c r="B2379" s="2" t="s">
        <v>2352</v>
      </c>
      <c r="C2379" s="2" t="s">
        <v>455</v>
      </c>
      <c r="D2379" s="2" t="s">
        <v>6261</v>
      </c>
      <c r="E2379" s="2" t="s">
        <v>4261</v>
      </c>
      <c r="F2379" s="2" t="s">
        <v>6003</v>
      </c>
      <c r="G2379" s="2"/>
    </row>
    <row r="2380" customFormat="false" ht="15" hidden="false" customHeight="false" outlineLevel="0" collapsed="false">
      <c r="A2380" s="2" t="s">
        <v>2354</v>
      </c>
      <c r="B2380" s="2" t="s">
        <v>2352</v>
      </c>
      <c r="C2380" s="2" t="s">
        <v>455</v>
      </c>
      <c r="D2380" s="2" t="s">
        <v>6262</v>
      </c>
      <c r="E2380" s="2" t="s">
        <v>4261</v>
      </c>
      <c r="F2380" s="2" t="s">
        <v>6003</v>
      </c>
      <c r="G2380" s="2"/>
    </row>
    <row r="2381" customFormat="false" ht="15" hidden="false" customHeight="false" outlineLevel="0" collapsed="false">
      <c r="A2381" s="2" t="s">
        <v>2354</v>
      </c>
      <c r="B2381" s="2" t="s">
        <v>2352</v>
      </c>
      <c r="C2381" s="2" t="s">
        <v>455</v>
      </c>
      <c r="D2381" s="2" t="s">
        <v>6263</v>
      </c>
      <c r="E2381" s="2" t="s">
        <v>4261</v>
      </c>
      <c r="F2381" s="2" t="s">
        <v>6003</v>
      </c>
      <c r="G2381" s="2"/>
    </row>
    <row r="2382" customFormat="false" ht="15" hidden="false" customHeight="false" outlineLevel="0" collapsed="false">
      <c r="A2382" s="2" t="s">
        <v>2357</v>
      </c>
      <c r="B2382" s="2" t="s">
        <v>2358</v>
      </c>
      <c r="C2382" s="2" t="s">
        <v>455</v>
      </c>
      <c r="D2382" s="2" t="s">
        <v>6264</v>
      </c>
      <c r="E2382" s="2" t="s">
        <v>4261</v>
      </c>
      <c r="F2382" s="2" t="s">
        <v>6003</v>
      </c>
      <c r="G2382" s="2"/>
    </row>
    <row r="2383" customFormat="false" ht="15" hidden="false" customHeight="false" outlineLevel="0" collapsed="false">
      <c r="A2383" s="2" t="s">
        <v>2357</v>
      </c>
      <c r="B2383" s="2" t="s">
        <v>2358</v>
      </c>
      <c r="C2383" s="2" t="s">
        <v>455</v>
      </c>
      <c r="D2383" s="2" t="s">
        <v>6265</v>
      </c>
      <c r="E2383" s="2" t="s">
        <v>4261</v>
      </c>
      <c r="F2383" s="2" t="s">
        <v>6003</v>
      </c>
      <c r="G2383" s="2"/>
    </row>
    <row r="2384" customFormat="false" ht="15" hidden="false" customHeight="false" outlineLevel="0" collapsed="false">
      <c r="A2384" s="2" t="s">
        <v>2357</v>
      </c>
      <c r="B2384" s="2" t="s">
        <v>2358</v>
      </c>
      <c r="C2384" s="2" t="s">
        <v>455</v>
      </c>
      <c r="D2384" s="2" t="s">
        <v>6266</v>
      </c>
      <c r="E2384" s="2" t="s">
        <v>4261</v>
      </c>
      <c r="F2384" s="2" t="s">
        <v>6003</v>
      </c>
      <c r="G2384" s="2"/>
    </row>
    <row r="2385" customFormat="false" ht="15" hidden="false" customHeight="false" outlineLevel="0" collapsed="false">
      <c r="A2385" s="2" t="s">
        <v>2361</v>
      </c>
      <c r="B2385" s="2" t="s">
        <v>2362</v>
      </c>
      <c r="C2385" s="2" t="s">
        <v>455</v>
      </c>
      <c r="D2385" s="2" t="s">
        <v>6267</v>
      </c>
      <c r="E2385" s="2" t="s">
        <v>4261</v>
      </c>
      <c r="F2385" s="2" t="s">
        <v>6003</v>
      </c>
      <c r="G2385" s="2"/>
    </row>
    <row r="2386" customFormat="false" ht="15" hidden="false" customHeight="false" outlineLevel="0" collapsed="false">
      <c r="A2386" s="2" t="s">
        <v>2361</v>
      </c>
      <c r="B2386" s="2" t="s">
        <v>2362</v>
      </c>
      <c r="C2386" s="2" t="s">
        <v>455</v>
      </c>
      <c r="D2386" s="2" t="s">
        <v>6268</v>
      </c>
      <c r="E2386" s="2" t="s">
        <v>4261</v>
      </c>
      <c r="F2386" s="2" t="s">
        <v>6003</v>
      </c>
      <c r="G2386" s="2"/>
    </row>
    <row r="2387" customFormat="false" ht="15" hidden="false" customHeight="false" outlineLevel="0" collapsed="false">
      <c r="A2387" s="2" t="s">
        <v>2364</v>
      </c>
      <c r="B2387" s="2" t="s">
        <v>2362</v>
      </c>
      <c r="C2387" s="2" t="s">
        <v>455</v>
      </c>
      <c r="D2387" s="2" t="s">
        <v>6269</v>
      </c>
      <c r="E2387" s="2" t="s">
        <v>4261</v>
      </c>
      <c r="F2387" s="2" t="s">
        <v>6003</v>
      </c>
      <c r="G2387" s="2"/>
    </row>
    <row r="2388" customFormat="false" ht="15" hidden="false" customHeight="false" outlineLevel="0" collapsed="false">
      <c r="A2388" s="2" t="s">
        <v>2364</v>
      </c>
      <c r="B2388" s="2" t="s">
        <v>2362</v>
      </c>
      <c r="C2388" s="2" t="s">
        <v>455</v>
      </c>
      <c r="D2388" s="2" t="s">
        <v>5346</v>
      </c>
      <c r="E2388" s="2" t="s">
        <v>4261</v>
      </c>
      <c r="F2388" s="2" t="s">
        <v>6003</v>
      </c>
      <c r="G2388" s="2"/>
    </row>
    <row r="2389" customFormat="false" ht="15" hidden="false" customHeight="false" outlineLevel="0" collapsed="false">
      <c r="A2389" s="2" t="s">
        <v>2364</v>
      </c>
      <c r="B2389" s="2" t="s">
        <v>2362</v>
      </c>
      <c r="C2389" s="2" t="s">
        <v>455</v>
      </c>
      <c r="D2389" s="2" t="s">
        <v>676</v>
      </c>
      <c r="E2389" s="2" t="s">
        <v>4261</v>
      </c>
      <c r="F2389" s="2" t="s">
        <v>6003</v>
      </c>
      <c r="G2389" s="2"/>
    </row>
    <row r="2390" customFormat="false" ht="15" hidden="false" customHeight="false" outlineLevel="0" collapsed="false">
      <c r="A2390" s="2" t="s">
        <v>2364</v>
      </c>
      <c r="B2390" s="2" t="s">
        <v>2362</v>
      </c>
      <c r="C2390" s="2" t="s">
        <v>455</v>
      </c>
      <c r="D2390" s="2" t="s">
        <v>6270</v>
      </c>
      <c r="E2390" s="2" t="s">
        <v>4261</v>
      </c>
      <c r="F2390" s="2" t="s">
        <v>6003</v>
      </c>
      <c r="G2390" s="2"/>
    </row>
    <row r="2391" customFormat="false" ht="15" hidden="false" customHeight="false" outlineLevel="0" collapsed="false">
      <c r="A2391" s="2" t="s">
        <v>2364</v>
      </c>
      <c r="B2391" s="2" t="s">
        <v>2362</v>
      </c>
      <c r="C2391" s="2" t="s">
        <v>455</v>
      </c>
      <c r="D2391" s="2" t="s">
        <v>6271</v>
      </c>
      <c r="E2391" s="2" t="s">
        <v>4261</v>
      </c>
      <c r="F2391" s="2" t="s">
        <v>6003</v>
      </c>
      <c r="G2391" s="2"/>
    </row>
    <row r="2392" customFormat="false" ht="15" hidden="false" customHeight="false" outlineLevel="0" collapsed="false">
      <c r="A2392" s="2" t="s">
        <v>2364</v>
      </c>
      <c r="B2392" s="2" t="s">
        <v>2362</v>
      </c>
      <c r="C2392" s="2" t="s">
        <v>455</v>
      </c>
      <c r="D2392" s="2" t="s">
        <v>5131</v>
      </c>
      <c r="E2392" s="2" t="s">
        <v>4261</v>
      </c>
      <c r="F2392" s="2" t="s">
        <v>6003</v>
      </c>
      <c r="G2392" s="2"/>
    </row>
    <row r="2393" customFormat="false" ht="15" hidden="false" customHeight="false" outlineLevel="0" collapsed="false">
      <c r="A2393" s="2" t="s">
        <v>2364</v>
      </c>
      <c r="B2393" s="2" t="s">
        <v>2362</v>
      </c>
      <c r="C2393" s="2" t="s">
        <v>455</v>
      </c>
      <c r="D2393" s="2" t="s">
        <v>6272</v>
      </c>
      <c r="E2393" s="2" t="s">
        <v>4261</v>
      </c>
      <c r="F2393" s="2" t="s">
        <v>6003</v>
      </c>
      <c r="G2393" s="2"/>
    </row>
    <row r="2394" customFormat="false" ht="15" hidden="false" customHeight="false" outlineLevel="0" collapsed="false">
      <c r="A2394" s="2" t="s">
        <v>2364</v>
      </c>
      <c r="B2394" s="2" t="s">
        <v>2362</v>
      </c>
      <c r="C2394" s="2" t="s">
        <v>455</v>
      </c>
      <c r="D2394" s="2" t="s">
        <v>6273</v>
      </c>
      <c r="E2394" s="2" t="s">
        <v>4261</v>
      </c>
      <c r="F2394" s="2" t="s">
        <v>6003</v>
      </c>
      <c r="G2394" s="2"/>
    </row>
    <row r="2395" customFormat="false" ht="15" hidden="false" customHeight="false" outlineLevel="0" collapsed="false">
      <c r="A2395" s="2" t="s">
        <v>2364</v>
      </c>
      <c r="B2395" s="2" t="s">
        <v>2362</v>
      </c>
      <c r="C2395" s="2" t="s">
        <v>455</v>
      </c>
      <c r="D2395" s="2" t="s">
        <v>6274</v>
      </c>
      <c r="E2395" s="2" t="s">
        <v>4261</v>
      </c>
      <c r="F2395" s="2" t="s">
        <v>6003</v>
      </c>
      <c r="G2395" s="2"/>
    </row>
    <row r="2396" customFormat="false" ht="15" hidden="false" customHeight="false" outlineLevel="0" collapsed="false">
      <c r="A2396" s="2" t="s">
        <v>2364</v>
      </c>
      <c r="B2396" s="2" t="s">
        <v>2362</v>
      </c>
      <c r="C2396" s="2" t="s">
        <v>455</v>
      </c>
      <c r="D2396" s="2" t="s">
        <v>6275</v>
      </c>
      <c r="E2396" s="2" t="s">
        <v>4261</v>
      </c>
      <c r="F2396" s="2" t="s">
        <v>6003</v>
      </c>
      <c r="G2396" s="2"/>
    </row>
    <row r="2397" customFormat="false" ht="15" hidden="false" customHeight="false" outlineLevel="0" collapsed="false">
      <c r="A2397" s="2" t="s">
        <v>2364</v>
      </c>
      <c r="B2397" s="2" t="s">
        <v>2362</v>
      </c>
      <c r="C2397" s="2" t="s">
        <v>455</v>
      </c>
      <c r="D2397" s="2" t="s">
        <v>6276</v>
      </c>
      <c r="E2397" s="2" t="s">
        <v>4261</v>
      </c>
      <c r="F2397" s="2" t="s">
        <v>6003</v>
      </c>
      <c r="G2397" s="2"/>
    </row>
    <row r="2398" customFormat="false" ht="15" hidden="false" customHeight="false" outlineLevel="0" collapsed="false">
      <c r="A2398" s="2" t="s">
        <v>2364</v>
      </c>
      <c r="B2398" s="2" t="s">
        <v>2362</v>
      </c>
      <c r="C2398" s="2" t="s">
        <v>455</v>
      </c>
      <c r="D2398" s="2" t="s">
        <v>6277</v>
      </c>
      <c r="E2398" s="2" t="s">
        <v>4261</v>
      </c>
      <c r="F2398" s="2" t="s">
        <v>6003</v>
      </c>
      <c r="G2398" s="2"/>
    </row>
    <row r="2399" customFormat="false" ht="15" hidden="false" customHeight="false" outlineLevel="0" collapsed="false">
      <c r="A2399" s="2" t="s">
        <v>2364</v>
      </c>
      <c r="B2399" s="2" t="s">
        <v>2362</v>
      </c>
      <c r="C2399" s="2" t="s">
        <v>455</v>
      </c>
      <c r="D2399" s="2" t="s">
        <v>6278</v>
      </c>
      <c r="E2399" s="2" t="s">
        <v>4261</v>
      </c>
      <c r="F2399" s="2" t="s">
        <v>6003</v>
      </c>
      <c r="G2399" s="2"/>
    </row>
    <row r="2400" customFormat="false" ht="15" hidden="false" customHeight="false" outlineLevel="0" collapsed="false">
      <c r="A2400" s="2" t="s">
        <v>2366</v>
      </c>
      <c r="B2400" s="2" t="s">
        <v>2360</v>
      </c>
      <c r="C2400" s="2" t="s">
        <v>455</v>
      </c>
      <c r="D2400" s="2" t="s">
        <v>6279</v>
      </c>
      <c r="E2400" s="2" t="s">
        <v>4261</v>
      </c>
      <c r="F2400" s="2" t="s">
        <v>6003</v>
      </c>
      <c r="G2400" s="2"/>
    </row>
    <row r="2401" customFormat="false" ht="15" hidden="false" customHeight="false" outlineLevel="0" collapsed="false">
      <c r="A2401" s="2" t="s">
        <v>2366</v>
      </c>
      <c r="B2401" s="2" t="s">
        <v>2360</v>
      </c>
      <c r="C2401" s="2" t="s">
        <v>455</v>
      </c>
      <c r="D2401" s="2" t="s">
        <v>6280</v>
      </c>
      <c r="E2401" s="2" t="s">
        <v>4261</v>
      </c>
      <c r="F2401" s="2" t="s">
        <v>6003</v>
      </c>
      <c r="G2401" s="2"/>
    </row>
    <row r="2402" customFormat="false" ht="15" hidden="false" customHeight="false" outlineLevel="0" collapsed="false">
      <c r="A2402" s="2" t="s">
        <v>2366</v>
      </c>
      <c r="B2402" s="2" t="s">
        <v>2360</v>
      </c>
      <c r="C2402" s="2" t="s">
        <v>455</v>
      </c>
      <c r="D2402" s="2" t="s">
        <v>6281</v>
      </c>
      <c r="E2402" s="2" t="s">
        <v>4261</v>
      </c>
      <c r="F2402" s="2" t="s">
        <v>6003</v>
      </c>
      <c r="G2402" s="2"/>
    </row>
    <row r="2403" customFormat="false" ht="15" hidden="false" customHeight="false" outlineLevel="0" collapsed="false">
      <c r="A2403" s="2" t="s">
        <v>2366</v>
      </c>
      <c r="B2403" s="2" t="s">
        <v>2360</v>
      </c>
      <c r="C2403" s="2" t="s">
        <v>455</v>
      </c>
      <c r="D2403" s="2" t="s">
        <v>6282</v>
      </c>
      <c r="E2403" s="2" t="s">
        <v>4261</v>
      </c>
      <c r="F2403" s="2" t="s">
        <v>6003</v>
      </c>
      <c r="G2403" s="2"/>
    </row>
    <row r="2404" customFormat="false" ht="15" hidden="false" customHeight="false" outlineLevel="0" collapsed="false">
      <c r="A2404" s="2" t="s">
        <v>2366</v>
      </c>
      <c r="B2404" s="2" t="s">
        <v>2360</v>
      </c>
      <c r="C2404" s="2" t="s">
        <v>455</v>
      </c>
      <c r="D2404" s="2" t="s">
        <v>6283</v>
      </c>
      <c r="E2404" s="2" t="s">
        <v>4261</v>
      </c>
      <c r="F2404" s="2" t="s">
        <v>6003</v>
      </c>
      <c r="G2404" s="2"/>
    </row>
    <row r="2405" customFormat="false" ht="15" hidden="false" customHeight="false" outlineLevel="0" collapsed="false">
      <c r="A2405" s="2" t="s">
        <v>2366</v>
      </c>
      <c r="B2405" s="2" t="s">
        <v>2360</v>
      </c>
      <c r="C2405" s="2" t="s">
        <v>455</v>
      </c>
      <c r="D2405" s="2" t="s">
        <v>6284</v>
      </c>
      <c r="E2405" s="2" t="s">
        <v>4261</v>
      </c>
      <c r="F2405" s="2" t="s">
        <v>6003</v>
      </c>
      <c r="G2405" s="2"/>
    </row>
    <row r="2406" customFormat="false" ht="15" hidden="false" customHeight="false" outlineLevel="0" collapsed="false">
      <c r="A2406" s="2" t="s">
        <v>2366</v>
      </c>
      <c r="B2406" s="2" t="s">
        <v>2360</v>
      </c>
      <c r="C2406" s="2" t="s">
        <v>455</v>
      </c>
      <c r="D2406" s="2" t="s">
        <v>6285</v>
      </c>
      <c r="E2406" s="2" t="s">
        <v>4261</v>
      </c>
      <c r="F2406" s="2" t="s">
        <v>6003</v>
      </c>
      <c r="G2406" s="2"/>
    </row>
    <row r="2407" customFormat="false" ht="15" hidden="false" customHeight="false" outlineLevel="0" collapsed="false">
      <c r="A2407" s="2" t="s">
        <v>2366</v>
      </c>
      <c r="B2407" s="2" t="s">
        <v>2360</v>
      </c>
      <c r="C2407" s="2" t="s">
        <v>455</v>
      </c>
      <c r="D2407" s="2" t="s">
        <v>6286</v>
      </c>
      <c r="E2407" s="2" t="s">
        <v>4261</v>
      </c>
      <c r="F2407" s="2" t="s">
        <v>6003</v>
      </c>
      <c r="G2407" s="2"/>
    </row>
    <row r="2408" customFormat="false" ht="15" hidden="false" customHeight="false" outlineLevel="0" collapsed="false">
      <c r="A2408" s="2" t="s">
        <v>2366</v>
      </c>
      <c r="B2408" s="2" t="s">
        <v>2360</v>
      </c>
      <c r="C2408" s="2" t="s">
        <v>455</v>
      </c>
      <c r="D2408" s="2" t="s">
        <v>4995</v>
      </c>
      <c r="E2408" s="2" t="s">
        <v>4261</v>
      </c>
      <c r="F2408" s="2" t="s">
        <v>6003</v>
      </c>
      <c r="G2408" s="2"/>
    </row>
    <row r="2409" customFormat="false" ht="15" hidden="false" customHeight="false" outlineLevel="0" collapsed="false">
      <c r="A2409" s="2" t="s">
        <v>2366</v>
      </c>
      <c r="B2409" s="2" t="s">
        <v>2360</v>
      </c>
      <c r="C2409" s="2" t="s">
        <v>455</v>
      </c>
      <c r="D2409" s="2" t="s">
        <v>4582</v>
      </c>
      <c r="E2409" s="2" t="s">
        <v>4261</v>
      </c>
      <c r="F2409" s="2" t="s">
        <v>6003</v>
      </c>
      <c r="G2409" s="2"/>
    </row>
    <row r="2410" customFormat="false" ht="15" hidden="false" customHeight="false" outlineLevel="0" collapsed="false">
      <c r="A2410" s="2" t="s">
        <v>2366</v>
      </c>
      <c r="B2410" s="2" t="s">
        <v>2360</v>
      </c>
      <c r="C2410" s="2" t="s">
        <v>455</v>
      </c>
      <c r="D2410" s="2" t="s">
        <v>6287</v>
      </c>
      <c r="E2410" s="2" t="s">
        <v>4261</v>
      </c>
      <c r="F2410" s="2" t="s">
        <v>6003</v>
      </c>
      <c r="G2410" s="2"/>
    </row>
    <row r="2411" customFormat="false" ht="15" hidden="false" customHeight="false" outlineLevel="0" collapsed="false">
      <c r="A2411" s="2" t="s">
        <v>2368</v>
      </c>
      <c r="B2411" s="2" t="s">
        <v>2360</v>
      </c>
      <c r="C2411" s="2" t="s">
        <v>455</v>
      </c>
      <c r="D2411" s="2" t="s">
        <v>6288</v>
      </c>
      <c r="E2411" s="2" t="s">
        <v>4261</v>
      </c>
      <c r="F2411" s="2" t="s">
        <v>6003</v>
      </c>
      <c r="G2411" s="2"/>
    </row>
    <row r="2412" customFormat="false" ht="15" hidden="false" customHeight="false" outlineLevel="0" collapsed="false">
      <c r="A2412" s="2" t="s">
        <v>2368</v>
      </c>
      <c r="B2412" s="2" t="s">
        <v>2360</v>
      </c>
      <c r="C2412" s="2" t="s">
        <v>455</v>
      </c>
      <c r="D2412" s="2" t="s">
        <v>6289</v>
      </c>
      <c r="E2412" s="2" t="s">
        <v>4261</v>
      </c>
      <c r="F2412" s="2" t="s">
        <v>6003</v>
      </c>
      <c r="G2412" s="2"/>
    </row>
    <row r="2413" customFormat="false" ht="15" hidden="false" customHeight="false" outlineLevel="0" collapsed="false">
      <c r="A2413" s="2" t="s">
        <v>2368</v>
      </c>
      <c r="B2413" s="2" t="s">
        <v>2360</v>
      </c>
      <c r="C2413" s="2" t="s">
        <v>455</v>
      </c>
      <c r="D2413" s="2" t="s">
        <v>6290</v>
      </c>
      <c r="E2413" s="2" t="s">
        <v>4261</v>
      </c>
      <c r="F2413" s="2" t="s">
        <v>6003</v>
      </c>
      <c r="G2413" s="2"/>
    </row>
    <row r="2414" customFormat="false" ht="15" hidden="false" customHeight="false" outlineLevel="0" collapsed="false">
      <c r="A2414" s="2" t="s">
        <v>2368</v>
      </c>
      <c r="B2414" s="2" t="s">
        <v>2360</v>
      </c>
      <c r="C2414" s="2" t="s">
        <v>455</v>
      </c>
      <c r="D2414" s="2" t="s">
        <v>6291</v>
      </c>
      <c r="E2414" s="2" t="s">
        <v>4261</v>
      </c>
      <c r="F2414" s="2" t="s">
        <v>6003</v>
      </c>
      <c r="G2414" s="2"/>
    </row>
    <row r="2415" customFormat="false" ht="15" hidden="false" customHeight="false" outlineLevel="0" collapsed="false">
      <c r="A2415" s="2" t="s">
        <v>2368</v>
      </c>
      <c r="B2415" s="2" t="s">
        <v>2360</v>
      </c>
      <c r="C2415" s="2" t="s">
        <v>455</v>
      </c>
      <c r="D2415" s="2" t="s">
        <v>6292</v>
      </c>
      <c r="E2415" s="2" t="s">
        <v>4261</v>
      </c>
      <c r="F2415" s="2" t="s">
        <v>6003</v>
      </c>
      <c r="G2415" s="2"/>
    </row>
    <row r="2416" customFormat="false" ht="15" hidden="false" customHeight="false" outlineLevel="0" collapsed="false">
      <c r="A2416" s="2" t="s">
        <v>2368</v>
      </c>
      <c r="B2416" s="2" t="s">
        <v>2360</v>
      </c>
      <c r="C2416" s="2" t="s">
        <v>455</v>
      </c>
      <c r="D2416" s="2" t="s">
        <v>6293</v>
      </c>
      <c r="E2416" s="2" t="s">
        <v>4261</v>
      </c>
      <c r="F2416" s="2" t="s">
        <v>6003</v>
      </c>
      <c r="G2416" s="2"/>
    </row>
    <row r="2417" customFormat="false" ht="15" hidden="false" customHeight="false" outlineLevel="0" collapsed="false">
      <c r="A2417" s="2" t="s">
        <v>2368</v>
      </c>
      <c r="B2417" s="2" t="s">
        <v>2360</v>
      </c>
      <c r="C2417" s="2" t="s">
        <v>455</v>
      </c>
      <c r="D2417" s="2" t="s">
        <v>6294</v>
      </c>
      <c r="E2417" s="2" t="s">
        <v>4261</v>
      </c>
      <c r="F2417" s="2" t="s">
        <v>6003</v>
      </c>
      <c r="G2417" s="2"/>
    </row>
    <row r="2418" customFormat="false" ht="15" hidden="false" customHeight="false" outlineLevel="0" collapsed="false">
      <c r="A2418" s="2" t="s">
        <v>2370</v>
      </c>
      <c r="B2418" s="2" t="s">
        <v>2371</v>
      </c>
      <c r="C2418" s="2" t="s">
        <v>455</v>
      </c>
      <c r="D2418" s="2" t="s">
        <v>6295</v>
      </c>
      <c r="E2418" s="2" t="s">
        <v>4261</v>
      </c>
      <c r="F2418" s="2" t="s">
        <v>6003</v>
      </c>
      <c r="G2418" s="2"/>
    </row>
    <row r="2419" customFormat="false" ht="15" hidden="false" customHeight="false" outlineLevel="0" collapsed="false">
      <c r="A2419" s="2" t="s">
        <v>2370</v>
      </c>
      <c r="B2419" s="2" t="s">
        <v>2371</v>
      </c>
      <c r="C2419" s="2" t="s">
        <v>455</v>
      </c>
      <c r="D2419" s="2" t="s">
        <v>6296</v>
      </c>
      <c r="E2419" s="2" t="s">
        <v>4261</v>
      </c>
      <c r="F2419" s="2" t="s">
        <v>6003</v>
      </c>
      <c r="G2419" s="2"/>
    </row>
    <row r="2420" customFormat="false" ht="15" hidden="false" customHeight="false" outlineLevel="0" collapsed="false">
      <c r="A2420" s="2" t="s">
        <v>2373</v>
      </c>
      <c r="B2420" s="2" t="s">
        <v>2371</v>
      </c>
      <c r="C2420" s="2" t="s">
        <v>455</v>
      </c>
      <c r="D2420" s="2" t="s">
        <v>6168</v>
      </c>
      <c r="E2420" s="2" t="s">
        <v>4261</v>
      </c>
      <c r="F2420" s="2" t="s">
        <v>6003</v>
      </c>
      <c r="G2420" s="2"/>
    </row>
    <row r="2421" customFormat="false" ht="15" hidden="false" customHeight="false" outlineLevel="0" collapsed="false">
      <c r="A2421" s="2" t="s">
        <v>2373</v>
      </c>
      <c r="B2421" s="2" t="s">
        <v>2371</v>
      </c>
      <c r="C2421" s="2" t="s">
        <v>455</v>
      </c>
      <c r="D2421" s="2" t="s">
        <v>6297</v>
      </c>
      <c r="E2421" s="2" t="s">
        <v>4261</v>
      </c>
      <c r="F2421" s="2" t="s">
        <v>6003</v>
      </c>
      <c r="G2421" s="2"/>
    </row>
    <row r="2422" customFormat="false" ht="15" hidden="false" customHeight="false" outlineLevel="0" collapsed="false">
      <c r="A2422" s="2" t="s">
        <v>2373</v>
      </c>
      <c r="B2422" s="2" t="s">
        <v>2371</v>
      </c>
      <c r="C2422" s="2" t="s">
        <v>455</v>
      </c>
      <c r="D2422" s="2" t="s">
        <v>6298</v>
      </c>
      <c r="E2422" s="2" t="s">
        <v>4261</v>
      </c>
      <c r="F2422" s="2" t="s">
        <v>6003</v>
      </c>
      <c r="G2422" s="2"/>
    </row>
    <row r="2423" customFormat="false" ht="15" hidden="false" customHeight="false" outlineLevel="0" collapsed="false">
      <c r="A2423" s="2" t="s">
        <v>2373</v>
      </c>
      <c r="B2423" s="2" t="s">
        <v>2371</v>
      </c>
      <c r="C2423" s="2" t="s">
        <v>455</v>
      </c>
      <c r="D2423" s="2" t="s">
        <v>6299</v>
      </c>
      <c r="E2423" s="2" t="s">
        <v>4261</v>
      </c>
      <c r="F2423" s="2" t="s">
        <v>6003</v>
      </c>
      <c r="G2423" s="2"/>
    </row>
    <row r="2424" customFormat="false" ht="15" hidden="false" customHeight="false" outlineLevel="0" collapsed="false">
      <c r="A2424" s="2" t="s">
        <v>2375</v>
      </c>
      <c r="B2424" s="2" t="s">
        <v>2371</v>
      </c>
      <c r="C2424" s="2" t="s">
        <v>455</v>
      </c>
      <c r="D2424" s="2" t="s">
        <v>2376</v>
      </c>
      <c r="E2424" s="2" t="s">
        <v>4261</v>
      </c>
      <c r="F2424" s="2" t="s">
        <v>6003</v>
      </c>
      <c r="G2424" s="2"/>
    </row>
    <row r="2425" customFormat="false" ht="15" hidden="false" customHeight="false" outlineLevel="0" collapsed="false">
      <c r="A2425" s="2" t="s">
        <v>2377</v>
      </c>
      <c r="B2425" s="2" t="s">
        <v>2378</v>
      </c>
      <c r="C2425" s="2" t="s">
        <v>455</v>
      </c>
      <c r="D2425" s="2" t="s">
        <v>2379</v>
      </c>
      <c r="E2425" s="2" t="s">
        <v>4261</v>
      </c>
      <c r="F2425" s="2" t="s">
        <v>6003</v>
      </c>
      <c r="G2425" s="2"/>
    </row>
    <row r="2426" customFormat="false" ht="15" hidden="false" customHeight="false" outlineLevel="0" collapsed="false">
      <c r="A2426" s="2" t="s">
        <v>2382</v>
      </c>
      <c r="B2426" s="2" t="s">
        <v>1985</v>
      </c>
      <c r="C2426" s="2" t="s">
        <v>455</v>
      </c>
      <c r="D2426" s="2" t="s">
        <v>4893</v>
      </c>
      <c r="E2426" s="2" t="s">
        <v>4261</v>
      </c>
      <c r="F2426" s="2" t="s">
        <v>6003</v>
      </c>
      <c r="G2426" s="2"/>
    </row>
    <row r="2427" customFormat="false" ht="15" hidden="false" customHeight="false" outlineLevel="0" collapsed="false">
      <c r="A2427" s="2" t="s">
        <v>2382</v>
      </c>
      <c r="B2427" s="2" t="s">
        <v>1985</v>
      </c>
      <c r="C2427" s="2" t="s">
        <v>455</v>
      </c>
      <c r="D2427" s="2" t="s">
        <v>6300</v>
      </c>
      <c r="E2427" s="2" t="s">
        <v>4261</v>
      </c>
      <c r="F2427" s="2" t="s">
        <v>6003</v>
      </c>
      <c r="G2427" s="2"/>
    </row>
    <row r="2428" customFormat="false" ht="15" hidden="false" customHeight="false" outlineLevel="0" collapsed="false">
      <c r="A2428" s="2" t="s">
        <v>2382</v>
      </c>
      <c r="B2428" s="2" t="s">
        <v>1985</v>
      </c>
      <c r="C2428" s="2" t="s">
        <v>455</v>
      </c>
      <c r="D2428" s="2" t="s">
        <v>5638</v>
      </c>
      <c r="E2428" s="2" t="s">
        <v>4261</v>
      </c>
      <c r="F2428" s="2" t="s">
        <v>6003</v>
      </c>
      <c r="G2428" s="2"/>
    </row>
    <row r="2429" customFormat="false" ht="15" hidden="false" customHeight="false" outlineLevel="0" collapsed="false">
      <c r="A2429" s="2" t="s">
        <v>2382</v>
      </c>
      <c r="B2429" s="2" t="s">
        <v>1985</v>
      </c>
      <c r="C2429" s="2" t="s">
        <v>455</v>
      </c>
      <c r="D2429" s="2" t="s">
        <v>6301</v>
      </c>
      <c r="E2429" s="2" t="s">
        <v>4261</v>
      </c>
      <c r="F2429" s="2" t="s">
        <v>6003</v>
      </c>
      <c r="G2429" s="2"/>
    </row>
    <row r="2430" customFormat="false" ht="15" hidden="false" customHeight="false" outlineLevel="0" collapsed="false">
      <c r="A2430" s="2" t="s">
        <v>2382</v>
      </c>
      <c r="B2430" s="2" t="s">
        <v>1985</v>
      </c>
      <c r="C2430" s="2" t="s">
        <v>455</v>
      </c>
      <c r="D2430" s="2" t="s">
        <v>6302</v>
      </c>
      <c r="E2430" s="2" t="s">
        <v>4271</v>
      </c>
      <c r="F2430" s="2" t="s">
        <v>6003</v>
      </c>
      <c r="G2430" s="2"/>
    </row>
    <row r="2431" customFormat="false" ht="15" hidden="false" customHeight="false" outlineLevel="0" collapsed="false">
      <c r="A2431" s="2" t="s">
        <v>2382</v>
      </c>
      <c r="B2431" s="2" t="s">
        <v>1985</v>
      </c>
      <c r="C2431" s="2" t="s">
        <v>455</v>
      </c>
      <c r="D2431" s="2" t="s">
        <v>6303</v>
      </c>
      <c r="E2431" s="2" t="s">
        <v>4261</v>
      </c>
      <c r="F2431" s="2" t="s">
        <v>6003</v>
      </c>
      <c r="G2431" s="2"/>
    </row>
    <row r="2432" customFormat="false" ht="15" hidden="false" customHeight="false" outlineLevel="0" collapsed="false">
      <c r="A2432" s="2" t="s">
        <v>2382</v>
      </c>
      <c r="B2432" s="2" t="s">
        <v>1985</v>
      </c>
      <c r="C2432" s="2" t="s">
        <v>455</v>
      </c>
      <c r="D2432" s="2" t="s">
        <v>6304</v>
      </c>
      <c r="E2432" s="2" t="s">
        <v>4261</v>
      </c>
      <c r="F2432" s="2" t="s">
        <v>6003</v>
      </c>
      <c r="G2432" s="2"/>
    </row>
    <row r="2433" customFormat="false" ht="15" hidden="false" customHeight="false" outlineLevel="0" collapsed="false">
      <c r="A2433" s="2" t="s">
        <v>2382</v>
      </c>
      <c r="B2433" s="2" t="s">
        <v>1985</v>
      </c>
      <c r="C2433" s="2" t="s">
        <v>455</v>
      </c>
      <c r="D2433" s="2" t="s">
        <v>6305</v>
      </c>
      <c r="E2433" s="2" t="s">
        <v>4261</v>
      </c>
      <c r="F2433" s="2" t="s">
        <v>6003</v>
      </c>
      <c r="G2433" s="2"/>
    </row>
    <row r="2434" customFormat="false" ht="15" hidden="false" customHeight="false" outlineLevel="0" collapsed="false">
      <c r="A2434" s="2" t="s">
        <v>2382</v>
      </c>
      <c r="B2434" s="2" t="s">
        <v>1985</v>
      </c>
      <c r="C2434" s="2" t="s">
        <v>455</v>
      </c>
      <c r="D2434" s="2" t="s">
        <v>6306</v>
      </c>
      <c r="E2434" s="2" t="s">
        <v>4261</v>
      </c>
      <c r="F2434" s="2" t="s">
        <v>6003</v>
      </c>
      <c r="G2434" s="2"/>
    </row>
    <row r="2435" customFormat="false" ht="15" hidden="false" customHeight="false" outlineLevel="0" collapsed="false">
      <c r="A2435" s="2" t="s">
        <v>2382</v>
      </c>
      <c r="B2435" s="2" t="s">
        <v>1985</v>
      </c>
      <c r="C2435" s="2" t="s">
        <v>455</v>
      </c>
      <c r="D2435" s="2" t="s">
        <v>6307</v>
      </c>
      <c r="E2435" s="2" t="s">
        <v>4261</v>
      </c>
      <c r="F2435" s="2" t="s">
        <v>6003</v>
      </c>
      <c r="G2435" s="2"/>
    </row>
    <row r="2436" customFormat="false" ht="15" hidden="false" customHeight="false" outlineLevel="0" collapsed="false">
      <c r="A2436" s="2" t="s">
        <v>2382</v>
      </c>
      <c r="B2436" s="2" t="s">
        <v>1985</v>
      </c>
      <c r="C2436" s="2" t="s">
        <v>455</v>
      </c>
      <c r="D2436" s="2" t="s">
        <v>6308</v>
      </c>
      <c r="E2436" s="2" t="s">
        <v>4261</v>
      </c>
      <c r="F2436" s="2" t="s">
        <v>6003</v>
      </c>
      <c r="G2436" s="2"/>
    </row>
    <row r="2437" customFormat="false" ht="15" hidden="false" customHeight="false" outlineLevel="0" collapsed="false">
      <c r="A2437" s="2" t="s">
        <v>2382</v>
      </c>
      <c r="B2437" s="2" t="s">
        <v>1985</v>
      </c>
      <c r="C2437" s="2" t="s">
        <v>455</v>
      </c>
      <c r="D2437" s="2" t="s">
        <v>6309</v>
      </c>
      <c r="E2437" s="2" t="s">
        <v>4261</v>
      </c>
      <c r="F2437" s="2" t="s">
        <v>6003</v>
      </c>
      <c r="G2437" s="2"/>
    </row>
    <row r="2438" customFormat="false" ht="15" hidden="false" customHeight="false" outlineLevel="0" collapsed="false">
      <c r="A2438" s="2" t="s">
        <v>2382</v>
      </c>
      <c r="B2438" s="2" t="s">
        <v>1985</v>
      </c>
      <c r="C2438" s="2" t="s">
        <v>455</v>
      </c>
      <c r="D2438" s="2" t="s">
        <v>5319</v>
      </c>
      <c r="E2438" s="2" t="s">
        <v>4261</v>
      </c>
      <c r="F2438" s="2" t="s">
        <v>6003</v>
      </c>
      <c r="G2438" s="2"/>
    </row>
    <row r="2439" customFormat="false" ht="15" hidden="false" customHeight="false" outlineLevel="0" collapsed="false">
      <c r="A2439" s="2" t="s">
        <v>2382</v>
      </c>
      <c r="B2439" s="2" t="s">
        <v>1985</v>
      </c>
      <c r="C2439" s="2" t="s">
        <v>455</v>
      </c>
      <c r="D2439" s="2" t="s">
        <v>6310</v>
      </c>
      <c r="E2439" s="2" t="s">
        <v>4261</v>
      </c>
      <c r="F2439" s="2" t="s">
        <v>6003</v>
      </c>
      <c r="G2439" s="2"/>
    </row>
    <row r="2440" customFormat="false" ht="15" hidden="false" customHeight="false" outlineLevel="0" collapsed="false">
      <c r="A2440" s="2" t="s">
        <v>2382</v>
      </c>
      <c r="B2440" s="2" t="s">
        <v>1985</v>
      </c>
      <c r="C2440" s="2" t="s">
        <v>455</v>
      </c>
      <c r="D2440" s="2" t="s">
        <v>2776</v>
      </c>
      <c r="E2440" s="2" t="s">
        <v>4261</v>
      </c>
      <c r="F2440" s="2" t="s">
        <v>6003</v>
      </c>
      <c r="G2440" s="2"/>
    </row>
    <row r="2441" customFormat="false" ht="15" hidden="false" customHeight="false" outlineLevel="0" collapsed="false">
      <c r="A2441" s="2" t="s">
        <v>2382</v>
      </c>
      <c r="B2441" s="2" t="s">
        <v>1985</v>
      </c>
      <c r="C2441" s="2" t="s">
        <v>455</v>
      </c>
      <c r="D2441" s="2" t="s">
        <v>6311</v>
      </c>
      <c r="E2441" s="2" t="s">
        <v>4261</v>
      </c>
      <c r="F2441" s="2" t="s">
        <v>6003</v>
      </c>
      <c r="G2441" s="2"/>
    </row>
    <row r="2442" customFormat="false" ht="15" hidden="false" customHeight="false" outlineLevel="0" collapsed="false">
      <c r="A2442" s="2" t="s">
        <v>2384</v>
      </c>
      <c r="B2442" s="2" t="s">
        <v>1985</v>
      </c>
      <c r="C2442" s="2" t="s">
        <v>455</v>
      </c>
      <c r="D2442" s="2" t="s">
        <v>6312</v>
      </c>
      <c r="E2442" s="2" t="s">
        <v>4261</v>
      </c>
      <c r="F2442" s="2" t="s">
        <v>6003</v>
      </c>
      <c r="G2442" s="2"/>
    </row>
    <row r="2443" customFormat="false" ht="15" hidden="false" customHeight="false" outlineLevel="0" collapsed="false">
      <c r="A2443" s="2" t="s">
        <v>2384</v>
      </c>
      <c r="B2443" s="2" t="s">
        <v>1985</v>
      </c>
      <c r="C2443" s="2" t="s">
        <v>455</v>
      </c>
      <c r="D2443" s="2" t="s">
        <v>6313</v>
      </c>
      <c r="E2443" s="2" t="s">
        <v>4261</v>
      </c>
      <c r="F2443" s="2" t="s">
        <v>6003</v>
      </c>
      <c r="G2443" s="2"/>
    </row>
    <row r="2444" customFormat="false" ht="15" hidden="false" customHeight="false" outlineLevel="0" collapsed="false">
      <c r="A2444" s="2" t="s">
        <v>2384</v>
      </c>
      <c r="B2444" s="2" t="s">
        <v>1985</v>
      </c>
      <c r="C2444" s="2" t="s">
        <v>455</v>
      </c>
      <c r="D2444" s="2" t="s">
        <v>6314</v>
      </c>
      <c r="E2444" s="2" t="s">
        <v>4261</v>
      </c>
      <c r="F2444" s="2" t="s">
        <v>6003</v>
      </c>
      <c r="G2444" s="2"/>
    </row>
    <row r="2445" customFormat="false" ht="15" hidden="false" customHeight="false" outlineLevel="0" collapsed="false">
      <c r="A2445" s="2" t="s">
        <v>2384</v>
      </c>
      <c r="B2445" s="2" t="s">
        <v>1985</v>
      </c>
      <c r="C2445" s="2" t="s">
        <v>455</v>
      </c>
      <c r="D2445" s="2" t="s">
        <v>6315</v>
      </c>
      <c r="E2445" s="2" t="s">
        <v>4261</v>
      </c>
      <c r="F2445" s="2" t="s">
        <v>6003</v>
      </c>
      <c r="G2445" s="2"/>
    </row>
    <row r="2446" customFormat="false" ht="15" hidden="false" customHeight="false" outlineLevel="0" collapsed="false">
      <c r="A2446" s="2" t="s">
        <v>2384</v>
      </c>
      <c r="B2446" s="2" t="s">
        <v>1985</v>
      </c>
      <c r="C2446" s="2" t="s">
        <v>455</v>
      </c>
      <c r="D2446" s="2" t="s">
        <v>6316</v>
      </c>
      <c r="E2446" s="2" t="s">
        <v>4261</v>
      </c>
      <c r="F2446" s="2" t="s">
        <v>6003</v>
      </c>
      <c r="G2446" s="2"/>
    </row>
    <row r="2447" customFormat="false" ht="15" hidden="false" customHeight="false" outlineLevel="0" collapsed="false">
      <c r="A2447" s="2" t="s">
        <v>2384</v>
      </c>
      <c r="B2447" s="2" t="s">
        <v>1985</v>
      </c>
      <c r="C2447" s="2" t="s">
        <v>455</v>
      </c>
      <c r="D2447" s="2" t="s">
        <v>6317</v>
      </c>
      <c r="E2447" s="2" t="s">
        <v>4261</v>
      </c>
      <c r="F2447" s="2" t="s">
        <v>6003</v>
      </c>
      <c r="G2447" s="2"/>
    </row>
    <row r="2448" customFormat="false" ht="15" hidden="false" customHeight="false" outlineLevel="0" collapsed="false">
      <c r="A2448" s="2" t="s">
        <v>2384</v>
      </c>
      <c r="B2448" s="2" t="s">
        <v>1985</v>
      </c>
      <c r="C2448" s="2" t="s">
        <v>455</v>
      </c>
      <c r="D2448" s="2" t="s">
        <v>6318</v>
      </c>
      <c r="E2448" s="2" t="s">
        <v>4261</v>
      </c>
      <c r="F2448" s="2" t="s">
        <v>6003</v>
      </c>
      <c r="G2448" s="2"/>
    </row>
    <row r="2449" customFormat="false" ht="15" hidden="false" customHeight="false" outlineLevel="0" collapsed="false">
      <c r="A2449" s="2" t="s">
        <v>2384</v>
      </c>
      <c r="B2449" s="2" t="s">
        <v>1985</v>
      </c>
      <c r="C2449" s="2" t="s">
        <v>455</v>
      </c>
      <c r="D2449" s="2" t="s">
        <v>6319</v>
      </c>
      <c r="E2449" s="2" t="s">
        <v>4261</v>
      </c>
      <c r="F2449" s="2" t="s">
        <v>6003</v>
      </c>
      <c r="G2449" s="2"/>
    </row>
    <row r="2450" customFormat="false" ht="15" hidden="false" customHeight="false" outlineLevel="0" collapsed="false">
      <c r="A2450" s="2" t="s">
        <v>2384</v>
      </c>
      <c r="B2450" s="2" t="s">
        <v>1985</v>
      </c>
      <c r="C2450" s="2" t="s">
        <v>455</v>
      </c>
      <c r="D2450" s="2" t="s">
        <v>6320</v>
      </c>
      <c r="E2450" s="2" t="s">
        <v>4261</v>
      </c>
      <c r="F2450" s="2" t="s">
        <v>6003</v>
      </c>
      <c r="G2450" s="2"/>
    </row>
    <row r="2451" customFormat="false" ht="15" hidden="false" customHeight="false" outlineLevel="0" collapsed="false">
      <c r="A2451" s="2" t="s">
        <v>2384</v>
      </c>
      <c r="B2451" s="2" t="s">
        <v>1985</v>
      </c>
      <c r="C2451" s="2" t="s">
        <v>455</v>
      </c>
      <c r="D2451" s="2" t="s">
        <v>6321</v>
      </c>
      <c r="E2451" s="2" t="s">
        <v>4261</v>
      </c>
      <c r="F2451" s="2" t="s">
        <v>6003</v>
      </c>
      <c r="G2451" s="2"/>
    </row>
    <row r="2452" customFormat="false" ht="15" hidden="false" customHeight="false" outlineLevel="0" collapsed="false">
      <c r="A2452" s="2" t="s">
        <v>2384</v>
      </c>
      <c r="B2452" s="2" t="s">
        <v>1985</v>
      </c>
      <c r="C2452" s="2" t="s">
        <v>455</v>
      </c>
      <c r="D2452" s="2" t="s">
        <v>6322</v>
      </c>
      <c r="E2452" s="2" t="s">
        <v>4261</v>
      </c>
      <c r="F2452" s="2" t="s">
        <v>6003</v>
      </c>
      <c r="G2452" s="2"/>
    </row>
    <row r="2453" customFormat="false" ht="15" hidden="false" customHeight="false" outlineLevel="0" collapsed="false">
      <c r="A2453" s="2" t="s">
        <v>2384</v>
      </c>
      <c r="B2453" s="2" t="s">
        <v>1985</v>
      </c>
      <c r="C2453" s="2" t="s">
        <v>455</v>
      </c>
      <c r="D2453" s="2" t="s">
        <v>6323</v>
      </c>
      <c r="E2453" s="2" t="s">
        <v>4261</v>
      </c>
      <c r="F2453" s="2" t="s">
        <v>6003</v>
      </c>
      <c r="G2453" s="2"/>
    </row>
    <row r="2454" customFormat="false" ht="15" hidden="false" customHeight="false" outlineLevel="0" collapsed="false">
      <c r="A2454" s="2" t="s">
        <v>2384</v>
      </c>
      <c r="B2454" s="2" t="s">
        <v>1985</v>
      </c>
      <c r="C2454" s="2" t="s">
        <v>455</v>
      </c>
      <c r="D2454" s="2" t="s">
        <v>6324</v>
      </c>
      <c r="E2454" s="2" t="s">
        <v>4261</v>
      </c>
      <c r="F2454" s="2" t="s">
        <v>6003</v>
      </c>
      <c r="G2454" s="2"/>
    </row>
    <row r="2455" customFormat="false" ht="15" hidden="false" customHeight="false" outlineLevel="0" collapsed="false">
      <c r="A2455" s="2" t="s">
        <v>2384</v>
      </c>
      <c r="B2455" s="2" t="s">
        <v>1985</v>
      </c>
      <c r="C2455" s="2" t="s">
        <v>455</v>
      </c>
      <c r="D2455" s="2" t="s">
        <v>6325</v>
      </c>
      <c r="E2455" s="2" t="s">
        <v>4261</v>
      </c>
      <c r="F2455" s="2" t="s">
        <v>6003</v>
      </c>
      <c r="G2455" s="2"/>
    </row>
    <row r="2456" customFormat="false" ht="15" hidden="false" customHeight="false" outlineLevel="0" collapsed="false">
      <c r="A2456" s="2" t="s">
        <v>2384</v>
      </c>
      <c r="B2456" s="2" t="s">
        <v>1985</v>
      </c>
      <c r="C2456" s="2" t="s">
        <v>455</v>
      </c>
      <c r="D2456" s="2" t="s">
        <v>6326</v>
      </c>
      <c r="E2456" s="2" t="s">
        <v>4261</v>
      </c>
      <c r="F2456" s="2" t="s">
        <v>6003</v>
      </c>
      <c r="G2456" s="2"/>
    </row>
    <row r="2457" customFormat="false" ht="15" hidden="false" customHeight="false" outlineLevel="0" collapsed="false">
      <c r="A2457" s="2" t="s">
        <v>2384</v>
      </c>
      <c r="B2457" s="2" t="s">
        <v>1985</v>
      </c>
      <c r="C2457" s="2" t="s">
        <v>455</v>
      </c>
      <c r="D2457" s="2" t="s">
        <v>6327</v>
      </c>
      <c r="E2457" s="2" t="s">
        <v>4261</v>
      </c>
      <c r="F2457" s="2" t="s">
        <v>6003</v>
      </c>
      <c r="G2457" s="2"/>
    </row>
    <row r="2458" customFormat="false" ht="15" hidden="false" customHeight="false" outlineLevel="0" collapsed="false">
      <c r="A2458" s="2" t="s">
        <v>2384</v>
      </c>
      <c r="B2458" s="2" t="s">
        <v>1985</v>
      </c>
      <c r="C2458" s="2" t="s">
        <v>455</v>
      </c>
      <c r="D2458" s="2" t="s">
        <v>5778</v>
      </c>
      <c r="E2458" s="2" t="s">
        <v>4261</v>
      </c>
      <c r="F2458" s="2" t="s">
        <v>6003</v>
      </c>
      <c r="G2458" s="2"/>
    </row>
    <row r="2459" customFormat="false" ht="15" hidden="false" customHeight="false" outlineLevel="0" collapsed="false">
      <c r="A2459" s="2" t="s">
        <v>2384</v>
      </c>
      <c r="B2459" s="2" t="s">
        <v>1985</v>
      </c>
      <c r="C2459" s="2" t="s">
        <v>455</v>
      </c>
      <c r="D2459" s="2" t="s">
        <v>6328</v>
      </c>
      <c r="E2459" s="2" t="s">
        <v>4261</v>
      </c>
      <c r="F2459" s="2" t="s">
        <v>6003</v>
      </c>
      <c r="G2459" s="2"/>
    </row>
    <row r="2460" customFormat="false" ht="15" hidden="false" customHeight="false" outlineLevel="0" collapsed="false">
      <c r="A2460" s="2" t="s">
        <v>2384</v>
      </c>
      <c r="B2460" s="2" t="s">
        <v>1985</v>
      </c>
      <c r="C2460" s="2" t="s">
        <v>455</v>
      </c>
      <c r="D2460" s="2" t="s">
        <v>6329</v>
      </c>
      <c r="E2460" s="2" t="s">
        <v>4261</v>
      </c>
      <c r="F2460" s="2" t="s">
        <v>6003</v>
      </c>
      <c r="G2460" s="2"/>
    </row>
    <row r="2461" customFormat="false" ht="15" hidden="false" customHeight="false" outlineLevel="0" collapsed="false">
      <c r="A2461" s="2" t="s">
        <v>2384</v>
      </c>
      <c r="B2461" s="2" t="s">
        <v>1985</v>
      </c>
      <c r="C2461" s="2" t="s">
        <v>455</v>
      </c>
      <c r="D2461" s="2" t="s">
        <v>6330</v>
      </c>
      <c r="E2461" s="2" t="s">
        <v>4261</v>
      </c>
      <c r="F2461" s="2" t="s">
        <v>6003</v>
      </c>
      <c r="G2461" s="2"/>
    </row>
    <row r="2462" customFormat="false" ht="15" hidden="false" customHeight="false" outlineLevel="0" collapsed="false">
      <c r="A2462" s="2" t="s">
        <v>2384</v>
      </c>
      <c r="B2462" s="2" t="s">
        <v>1985</v>
      </c>
      <c r="C2462" s="2" t="s">
        <v>455</v>
      </c>
      <c r="D2462" s="2" t="s">
        <v>6331</v>
      </c>
      <c r="E2462" s="2" t="s">
        <v>4261</v>
      </c>
      <c r="F2462" s="2" t="s">
        <v>6003</v>
      </c>
      <c r="G2462" s="2"/>
    </row>
    <row r="2463" customFormat="false" ht="15" hidden="false" customHeight="false" outlineLevel="0" collapsed="false">
      <c r="A2463" s="2" t="s">
        <v>2384</v>
      </c>
      <c r="B2463" s="2" t="s">
        <v>1985</v>
      </c>
      <c r="C2463" s="2" t="s">
        <v>455</v>
      </c>
      <c r="D2463" s="2" t="s">
        <v>6332</v>
      </c>
      <c r="E2463" s="2" t="s">
        <v>4261</v>
      </c>
      <c r="F2463" s="2" t="s">
        <v>6003</v>
      </c>
      <c r="G2463" s="2"/>
    </row>
    <row r="2464" customFormat="false" ht="15" hidden="false" customHeight="false" outlineLevel="0" collapsed="false">
      <c r="A2464" s="2" t="s">
        <v>2384</v>
      </c>
      <c r="B2464" s="2" t="s">
        <v>1985</v>
      </c>
      <c r="C2464" s="2" t="s">
        <v>455</v>
      </c>
      <c r="D2464" s="2" t="s">
        <v>6333</v>
      </c>
      <c r="E2464" s="2" t="s">
        <v>4261</v>
      </c>
      <c r="F2464" s="2" t="s">
        <v>6003</v>
      </c>
      <c r="G2464" s="2"/>
    </row>
    <row r="2465" customFormat="false" ht="15" hidden="false" customHeight="false" outlineLevel="0" collapsed="false">
      <c r="A2465" s="2" t="s">
        <v>2384</v>
      </c>
      <c r="B2465" s="2" t="s">
        <v>1985</v>
      </c>
      <c r="C2465" s="2" t="s">
        <v>455</v>
      </c>
      <c r="D2465" s="2" t="s">
        <v>6334</v>
      </c>
      <c r="E2465" s="2" t="s">
        <v>4261</v>
      </c>
      <c r="F2465" s="2" t="s">
        <v>6003</v>
      </c>
      <c r="G2465" s="2"/>
    </row>
    <row r="2466" customFormat="false" ht="15" hidden="false" customHeight="false" outlineLevel="0" collapsed="false">
      <c r="A2466" s="2" t="s">
        <v>2384</v>
      </c>
      <c r="B2466" s="2" t="s">
        <v>1985</v>
      </c>
      <c r="C2466" s="2" t="s">
        <v>455</v>
      </c>
      <c r="D2466" s="2" t="s">
        <v>6335</v>
      </c>
      <c r="E2466" s="2" t="s">
        <v>4261</v>
      </c>
      <c r="F2466" s="2" t="s">
        <v>6003</v>
      </c>
      <c r="G2466" s="2"/>
    </row>
    <row r="2467" customFormat="false" ht="15" hidden="false" customHeight="false" outlineLevel="0" collapsed="false">
      <c r="A2467" s="2" t="s">
        <v>2384</v>
      </c>
      <c r="B2467" s="2" t="s">
        <v>1985</v>
      </c>
      <c r="C2467" s="2" t="s">
        <v>455</v>
      </c>
      <c r="D2467" s="2" t="s">
        <v>6336</v>
      </c>
      <c r="E2467" s="2" t="s">
        <v>4261</v>
      </c>
      <c r="F2467" s="2" t="s">
        <v>6003</v>
      </c>
      <c r="G2467" s="2"/>
    </row>
    <row r="2468" customFormat="false" ht="15" hidden="false" customHeight="false" outlineLevel="0" collapsed="false">
      <c r="A2468" s="2" t="s">
        <v>2384</v>
      </c>
      <c r="B2468" s="2" t="s">
        <v>1985</v>
      </c>
      <c r="C2468" s="2" t="s">
        <v>455</v>
      </c>
      <c r="D2468" s="2" t="s">
        <v>6337</v>
      </c>
      <c r="E2468" s="2" t="s">
        <v>4261</v>
      </c>
      <c r="F2468" s="2" t="s">
        <v>6003</v>
      </c>
      <c r="G2468" s="2"/>
    </row>
    <row r="2469" customFormat="false" ht="15" hidden="false" customHeight="false" outlineLevel="0" collapsed="false">
      <c r="A2469" s="2" t="s">
        <v>2384</v>
      </c>
      <c r="B2469" s="2" t="s">
        <v>1985</v>
      </c>
      <c r="C2469" s="2" t="s">
        <v>455</v>
      </c>
      <c r="D2469" s="2" t="s">
        <v>6338</v>
      </c>
      <c r="E2469" s="2" t="s">
        <v>4261</v>
      </c>
      <c r="F2469" s="2" t="s">
        <v>6003</v>
      </c>
      <c r="G2469" s="2"/>
    </row>
    <row r="2470" customFormat="false" ht="15" hidden="false" customHeight="false" outlineLevel="0" collapsed="false">
      <c r="A2470" s="2" t="s">
        <v>2384</v>
      </c>
      <c r="B2470" s="2" t="s">
        <v>1985</v>
      </c>
      <c r="C2470" s="2" t="s">
        <v>455</v>
      </c>
      <c r="D2470" s="2" t="s">
        <v>6339</v>
      </c>
      <c r="E2470" s="2" t="s">
        <v>4261</v>
      </c>
      <c r="F2470" s="2" t="s">
        <v>6003</v>
      </c>
      <c r="G2470" s="2"/>
    </row>
    <row r="2471" customFormat="false" ht="15" hidden="false" customHeight="false" outlineLevel="0" collapsed="false">
      <c r="A2471" s="2" t="s">
        <v>2384</v>
      </c>
      <c r="B2471" s="2" t="s">
        <v>1985</v>
      </c>
      <c r="C2471" s="2" t="s">
        <v>455</v>
      </c>
      <c r="D2471" s="2" t="s">
        <v>4702</v>
      </c>
      <c r="E2471" s="2" t="s">
        <v>4261</v>
      </c>
      <c r="F2471" s="2" t="s">
        <v>6003</v>
      </c>
      <c r="G2471" s="2"/>
    </row>
    <row r="2472" customFormat="false" ht="15" hidden="false" customHeight="false" outlineLevel="0" collapsed="false">
      <c r="A2472" s="2" t="s">
        <v>2384</v>
      </c>
      <c r="B2472" s="2" t="s">
        <v>1985</v>
      </c>
      <c r="C2472" s="2" t="s">
        <v>455</v>
      </c>
      <c r="D2472" s="2" t="s">
        <v>6340</v>
      </c>
      <c r="E2472" s="2" t="s">
        <v>4261</v>
      </c>
      <c r="F2472" s="2" t="s">
        <v>6003</v>
      </c>
      <c r="G2472" s="2"/>
    </row>
    <row r="2473" customFormat="false" ht="15" hidden="false" customHeight="false" outlineLevel="0" collapsed="false">
      <c r="A2473" s="2" t="s">
        <v>2384</v>
      </c>
      <c r="B2473" s="2" t="s">
        <v>1985</v>
      </c>
      <c r="C2473" s="2" t="s">
        <v>455</v>
      </c>
      <c r="D2473" s="2" t="s">
        <v>6341</v>
      </c>
      <c r="E2473" s="2" t="s">
        <v>4261</v>
      </c>
      <c r="F2473" s="2" t="s">
        <v>6003</v>
      </c>
      <c r="G2473" s="2"/>
    </row>
    <row r="2474" customFormat="false" ht="15" hidden="false" customHeight="false" outlineLevel="0" collapsed="false">
      <c r="A2474" s="2" t="s">
        <v>2384</v>
      </c>
      <c r="B2474" s="2" t="s">
        <v>1985</v>
      </c>
      <c r="C2474" s="2" t="s">
        <v>455</v>
      </c>
      <c r="D2474" s="2" t="s">
        <v>6304</v>
      </c>
      <c r="E2474" s="2" t="s">
        <v>4261</v>
      </c>
      <c r="F2474" s="2" t="s">
        <v>6003</v>
      </c>
      <c r="G2474" s="2"/>
    </row>
    <row r="2475" customFormat="false" ht="15" hidden="false" customHeight="false" outlineLevel="0" collapsed="false">
      <c r="A2475" s="2" t="s">
        <v>2384</v>
      </c>
      <c r="B2475" s="2" t="s">
        <v>1985</v>
      </c>
      <c r="C2475" s="2" t="s">
        <v>455</v>
      </c>
      <c r="D2475" s="2" t="s">
        <v>5328</v>
      </c>
      <c r="E2475" s="2" t="s">
        <v>4261</v>
      </c>
      <c r="F2475" s="2" t="s">
        <v>6003</v>
      </c>
      <c r="G2475" s="2"/>
    </row>
    <row r="2476" customFormat="false" ht="15" hidden="false" customHeight="false" outlineLevel="0" collapsed="false">
      <c r="A2476" s="2" t="s">
        <v>2384</v>
      </c>
      <c r="B2476" s="2" t="s">
        <v>1985</v>
      </c>
      <c r="C2476" s="2" t="s">
        <v>455</v>
      </c>
      <c r="D2476" s="2" t="s">
        <v>6342</v>
      </c>
      <c r="E2476" s="2" t="s">
        <v>4261</v>
      </c>
      <c r="F2476" s="2" t="s">
        <v>6003</v>
      </c>
      <c r="G2476" s="2"/>
    </row>
    <row r="2477" customFormat="false" ht="15" hidden="false" customHeight="false" outlineLevel="0" collapsed="false">
      <c r="A2477" s="2" t="s">
        <v>2384</v>
      </c>
      <c r="B2477" s="2" t="s">
        <v>1985</v>
      </c>
      <c r="C2477" s="2" t="s">
        <v>455</v>
      </c>
      <c r="D2477" s="2" t="s">
        <v>4755</v>
      </c>
      <c r="E2477" s="2" t="s">
        <v>4261</v>
      </c>
      <c r="F2477" s="2" t="s">
        <v>6003</v>
      </c>
      <c r="G2477" s="2"/>
    </row>
    <row r="2478" customFormat="false" ht="15" hidden="false" customHeight="false" outlineLevel="0" collapsed="false">
      <c r="A2478" s="2" t="s">
        <v>2384</v>
      </c>
      <c r="B2478" s="2" t="s">
        <v>1985</v>
      </c>
      <c r="C2478" s="2" t="s">
        <v>455</v>
      </c>
      <c r="D2478" s="2" t="s">
        <v>5049</v>
      </c>
      <c r="E2478" s="2" t="s">
        <v>4261</v>
      </c>
      <c r="F2478" s="2" t="s">
        <v>6003</v>
      </c>
      <c r="G2478" s="2"/>
    </row>
    <row r="2479" customFormat="false" ht="15" hidden="false" customHeight="false" outlineLevel="0" collapsed="false">
      <c r="A2479" s="2" t="s">
        <v>2384</v>
      </c>
      <c r="B2479" s="2" t="s">
        <v>1985</v>
      </c>
      <c r="C2479" s="2" t="s">
        <v>455</v>
      </c>
      <c r="D2479" s="2" t="s">
        <v>6343</v>
      </c>
      <c r="E2479" s="2" t="s">
        <v>4261</v>
      </c>
      <c r="F2479" s="2" t="s">
        <v>6003</v>
      </c>
      <c r="G2479" s="2"/>
    </row>
    <row r="2480" customFormat="false" ht="15" hidden="false" customHeight="false" outlineLevel="0" collapsed="false">
      <c r="A2480" s="2" t="s">
        <v>2384</v>
      </c>
      <c r="B2480" s="2" t="s">
        <v>1985</v>
      </c>
      <c r="C2480" s="2" t="s">
        <v>455</v>
      </c>
      <c r="D2480" s="2" t="s">
        <v>6344</v>
      </c>
      <c r="E2480" s="2" t="s">
        <v>4261</v>
      </c>
      <c r="F2480" s="2" t="s">
        <v>6003</v>
      </c>
      <c r="G2480" s="2"/>
    </row>
    <row r="2481" customFormat="false" ht="15" hidden="false" customHeight="false" outlineLevel="0" collapsed="false">
      <c r="A2481" s="2" t="s">
        <v>2384</v>
      </c>
      <c r="B2481" s="2" t="s">
        <v>1985</v>
      </c>
      <c r="C2481" s="2" t="s">
        <v>455</v>
      </c>
      <c r="D2481" s="2" t="s">
        <v>6345</v>
      </c>
      <c r="E2481" s="2" t="s">
        <v>4261</v>
      </c>
      <c r="F2481" s="2" t="s">
        <v>6003</v>
      </c>
      <c r="G2481" s="2"/>
    </row>
    <row r="2482" customFormat="false" ht="15" hidden="false" customHeight="false" outlineLevel="0" collapsed="false">
      <c r="A2482" s="2" t="s">
        <v>2384</v>
      </c>
      <c r="B2482" s="2" t="s">
        <v>1985</v>
      </c>
      <c r="C2482" s="2" t="s">
        <v>455</v>
      </c>
      <c r="D2482" s="2" t="s">
        <v>6346</v>
      </c>
      <c r="E2482" s="2" t="s">
        <v>4261</v>
      </c>
      <c r="F2482" s="2" t="s">
        <v>6003</v>
      </c>
      <c r="G2482" s="2"/>
    </row>
    <row r="2483" customFormat="false" ht="15" hidden="false" customHeight="false" outlineLevel="0" collapsed="false">
      <c r="A2483" s="2" t="s">
        <v>2384</v>
      </c>
      <c r="B2483" s="2" t="s">
        <v>1985</v>
      </c>
      <c r="C2483" s="2" t="s">
        <v>455</v>
      </c>
      <c r="D2483" s="2" t="s">
        <v>1142</v>
      </c>
      <c r="E2483" s="2" t="s">
        <v>4261</v>
      </c>
      <c r="F2483" s="2" t="s">
        <v>6003</v>
      </c>
      <c r="G2483" s="2"/>
    </row>
    <row r="2484" customFormat="false" ht="15" hidden="false" customHeight="false" outlineLevel="0" collapsed="false">
      <c r="A2484" s="2" t="s">
        <v>2384</v>
      </c>
      <c r="B2484" s="2" t="s">
        <v>1985</v>
      </c>
      <c r="C2484" s="2" t="s">
        <v>455</v>
      </c>
      <c r="D2484" s="2" t="s">
        <v>6347</v>
      </c>
      <c r="E2484" s="2" t="s">
        <v>4261</v>
      </c>
      <c r="F2484" s="2" t="s">
        <v>6003</v>
      </c>
      <c r="G2484" s="2"/>
    </row>
    <row r="2485" customFormat="false" ht="15" hidden="false" customHeight="false" outlineLevel="0" collapsed="false">
      <c r="A2485" s="2" t="s">
        <v>2384</v>
      </c>
      <c r="B2485" s="2" t="s">
        <v>1985</v>
      </c>
      <c r="C2485" s="2" t="s">
        <v>455</v>
      </c>
      <c r="D2485" s="2" t="s">
        <v>6348</v>
      </c>
      <c r="E2485" s="2" t="s">
        <v>4261</v>
      </c>
      <c r="F2485" s="2" t="s">
        <v>6003</v>
      </c>
      <c r="G2485" s="2"/>
    </row>
    <row r="2486" customFormat="false" ht="15" hidden="false" customHeight="false" outlineLevel="0" collapsed="false">
      <c r="A2486" s="2" t="s">
        <v>2384</v>
      </c>
      <c r="B2486" s="2" t="s">
        <v>1985</v>
      </c>
      <c r="C2486" s="2" t="s">
        <v>455</v>
      </c>
      <c r="D2486" s="2" t="s">
        <v>6349</v>
      </c>
      <c r="E2486" s="2" t="s">
        <v>4261</v>
      </c>
      <c r="F2486" s="2" t="s">
        <v>6003</v>
      </c>
      <c r="G2486" s="2"/>
    </row>
    <row r="2487" customFormat="false" ht="15" hidden="false" customHeight="false" outlineLevel="0" collapsed="false">
      <c r="A2487" s="2" t="s">
        <v>2384</v>
      </c>
      <c r="B2487" s="2" t="s">
        <v>1985</v>
      </c>
      <c r="C2487" s="2" t="s">
        <v>455</v>
      </c>
      <c r="D2487" s="2" t="s">
        <v>6350</v>
      </c>
      <c r="E2487" s="2" t="s">
        <v>4261</v>
      </c>
      <c r="F2487" s="2" t="s">
        <v>6003</v>
      </c>
      <c r="G2487" s="2"/>
    </row>
    <row r="2488" customFormat="false" ht="15" hidden="false" customHeight="false" outlineLevel="0" collapsed="false">
      <c r="A2488" s="2" t="s">
        <v>2384</v>
      </c>
      <c r="B2488" s="2" t="s">
        <v>1985</v>
      </c>
      <c r="C2488" s="2" t="s">
        <v>455</v>
      </c>
      <c r="D2488" s="2" t="s">
        <v>6351</v>
      </c>
      <c r="E2488" s="2" t="s">
        <v>4261</v>
      </c>
      <c r="F2488" s="2" t="s">
        <v>6003</v>
      </c>
      <c r="G2488" s="2"/>
    </row>
    <row r="2489" customFormat="false" ht="15" hidden="false" customHeight="false" outlineLevel="0" collapsed="false">
      <c r="A2489" s="2" t="s">
        <v>2384</v>
      </c>
      <c r="B2489" s="2" t="s">
        <v>1985</v>
      </c>
      <c r="C2489" s="2" t="s">
        <v>455</v>
      </c>
      <c r="D2489" s="2" t="s">
        <v>6352</v>
      </c>
      <c r="E2489" s="2" t="s">
        <v>4261</v>
      </c>
      <c r="F2489" s="2" t="s">
        <v>6003</v>
      </c>
      <c r="G2489" s="2"/>
    </row>
    <row r="2490" customFormat="false" ht="15" hidden="false" customHeight="false" outlineLevel="0" collapsed="false">
      <c r="A2490" s="2" t="s">
        <v>2384</v>
      </c>
      <c r="B2490" s="2" t="s">
        <v>1985</v>
      </c>
      <c r="C2490" s="2" t="s">
        <v>455</v>
      </c>
      <c r="D2490" s="2" t="s">
        <v>6353</v>
      </c>
      <c r="E2490" s="2" t="s">
        <v>4261</v>
      </c>
      <c r="F2490" s="2" t="s">
        <v>6003</v>
      </c>
      <c r="G2490" s="2"/>
    </row>
    <row r="2491" customFormat="false" ht="15" hidden="false" customHeight="false" outlineLevel="0" collapsed="false">
      <c r="A2491" s="2" t="s">
        <v>2384</v>
      </c>
      <c r="B2491" s="2" t="s">
        <v>1985</v>
      </c>
      <c r="C2491" s="2" t="s">
        <v>455</v>
      </c>
      <c r="D2491" s="2" t="s">
        <v>6354</v>
      </c>
      <c r="E2491" s="2" t="s">
        <v>4261</v>
      </c>
      <c r="F2491" s="2" t="s">
        <v>6003</v>
      </c>
      <c r="G2491" s="2"/>
    </row>
    <row r="2492" customFormat="false" ht="15" hidden="false" customHeight="false" outlineLevel="0" collapsed="false">
      <c r="A2492" s="2" t="s">
        <v>2384</v>
      </c>
      <c r="B2492" s="2" t="s">
        <v>1985</v>
      </c>
      <c r="C2492" s="2" t="s">
        <v>455</v>
      </c>
      <c r="D2492" s="2" t="s">
        <v>6253</v>
      </c>
      <c r="E2492" s="2" t="s">
        <v>4261</v>
      </c>
      <c r="F2492" s="2" t="s">
        <v>6003</v>
      </c>
      <c r="G2492" s="2"/>
    </row>
    <row r="2493" customFormat="false" ht="15" hidden="false" customHeight="false" outlineLevel="0" collapsed="false">
      <c r="A2493" s="2" t="s">
        <v>2384</v>
      </c>
      <c r="B2493" s="2" t="s">
        <v>1985</v>
      </c>
      <c r="C2493" s="2" t="s">
        <v>455</v>
      </c>
      <c r="D2493" s="2" t="s">
        <v>6355</v>
      </c>
      <c r="E2493" s="2" t="s">
        <v>4261</v>
      </c>
      <c r="F2493" s="2" t="s">
        <v>6003</v>
      </c>
      <c r="G2493" s="2"/>
    </row>
    <row r="2494" customFormat="false" ht="15" hidden="false" customHeight="false" outlineLevel="0" collapsed="false">
      <c r="A2494" s="2" t="s">
        <v>2384</v>
      </c>
      <c r="B2494" s="2" t="s">
        <v>1985</v>
      </c>
      <c r="C2494" s="2" t="s">
        <v>455</v>
      </c>
      <c r="D2494" s="2" t="s">
        <v>6356</v>
      </c>
      <c r="E2494" s="2" t="s">
        <v>4261</v>
      </c>
      <c r="F2494" s="2" t="s">
        <v>6003</v>
      </c>
      <c r="G2494" s="2"/>
    </row>
    <row r="2495" customFormat="false" ht="15" hidden="false" customHeight="false" outlineLevel="0" collapsed="false">
      <c r="A2495" s="2" t="s">
        <v>2384</v>
      </c>
      <c r="B2495" s="2" t="s">
        <v>1985</v>
      </c>
      <c r="C2495" s="2" t="s">
        <v>455</v>
      </c>
      <c r="D2495" s="2" t="s">
        <v>6357</v>
      </c>
      <c r="E2495" s="2" t="s">
        <v>4261</v>
      </c>
      <c r="F2495" s="2" t="s">
        <v>6003</v>
      </c>
      <c r="G2495" s="2"/>
    </row>
    <row r="2496" customFormat="false" ht="15" hidden="false" customHeight="false" outlineLevel="0" collapsed="false">
      <c r="A2496" s="2" t="s">
        <v>2384</v>
      </c>
      <c r="B2496" s="2" t="s">
        <v>1985</v>
      </c>
      <c r="C2496" s="2" t="s">
        <v>455</v>
      </c>
      <c r="D2496" s="2" t="s">
        <v>6358</v>
      </c>
      <c r="E2496" s="2" t="s">
        <v>4261</v>
      </c>
      <c r="F2496" s="2" t="s">
        <v>6003</v>
      </c>
      <c r="G2496" s="2"/>
    </row>
    <row r="2497" customFormat="false" ht="15" hidden="false" customHeight="false" outlineLevel="0" collapsed="false">
      <c r="A2497" s="2" t="s">
        <v>2384</v>
      </c>
      <c r="B2497" s="2" t="s">
        <v>1985</v>
      </c>
      <c r="C2497" s="2" t="s">
        <v>455</v>
      </c>
      <c r="D2497" s="2" t="s">
        <v>6359</v>
      </c>
      <c r="E2497" s="2" t="s">
        <v>4261</v>
      </c>
      <c r="F2497" s="2" t="s">
        <v>6003</v>
      </c>
      <c r="G2497" s="2"/>
    </row>
    <row r="2498" customFormat="false" ht="15" hidden="false" customHeight="false" outlineLevel="0" collapsed="false">
      <c r="A2498" s="2" t="s">
        <v>2384</v>
      </c>
      <c r="B2498" s="2" t="s">
        <v>1985</v>
      </c>
      <c r="C2498" s="2" t="s">
        <v>455</v>
      </c>
      <c r="D2498" s="2" t="s">
        <v>6360</v>
      </c>
      <c r="E2498" s="2" t="s">
        <v>4261</v>
      </c>
      <c r="F2498" s="2" t="s">
        <v>6003</v>
      </c>
      <c r="G2498" s="2"/>
    </row>
    <row r="2499" customFormat="false" ht="15" hidden="false" customHeight="false" outlineLevel="0" collapsed="false">
      <c r="A2499" s="2" t="s">
        <v>2384</v>
      </c>
      <c r="B2499" s="2" t="s">
        <v>1985</v>
      </c>
      <c r="C2499" s="2" t="s">
        <v>455</v>
      </c>
      <c r="D2499" s="2" t="s">
        <v>6361</v>
      </c>
      <c r="E2499" s="2" t="s">
        <v>4261</v>
      </c>
      <c r="F2499" s="2" t="s">
        <v>6003</v>
      </c>
      <c r="G2499" s="2"/>
    </row>
    <row r="2500" customFormat="false" ht="15" hidden="false" customHeight="false" outlineLevel="0" collapsed="false">
      <c r="A2500" s="2" t="s">
        <v>2384</v>
      </c>
      <c r="B2500" s="2" t="s">
        <v>1985</v>
      </c>
      <c r="C2500" s="2" t="s">
        <v>455</v>
      </c>
      <c r="D2500" s="2" t="s">
        <v>6362</v>
      </c>
      <c r="E2500" s="2" t="s">
        <v>4261</v>
      </c>
      <c r="F2500" s="2" t="s">
        <v>6003</v>
      </c>
      <c r="G2500" s="2"/>
    </row>
    <row r="2501" customFormat="false" ht="15" hidden="false" customHeight="false" outlineLevel="0" collapsed="false">
      <c r="A2501" s="2" t="s">
        <v>2384</v>
      </c>
      <c r="B2501" s="2" t="s">
        <v>1985</v>
      </c>
      <c r="C2501" s="2" t="s">
        <v>455</v>
      </c>
      <c r="D2501" s="2" t="s">
        <v>6363</v>
      </c>
      <c r="E2501" s="2" t="s">
        <v>4261</v>
      </c>
      <c r="F2501" s="2" t="s">
        <v>6003</v>
      </c>
      <c r="G2501" s="2"/>
    </row>
    <row r="2502" customFormat="false" ht="15" hidden="false" customHeight="false" outlineLevel="0" collapsed="false">
      <c r="A2502" s="2" t="s">
        <v>2384</v>
      </c>
      <c r="B2502" s="2" t="s">
        <v>1985</v>
      </c>
      <c r="C2502" s="2" t="s">
        <v>455</v>
      </c>
      <c r="D2502" s="2" t="s">
        <v>6364</v>
      </c>
      <c r="E2502" s="2" t="s">
        <v>4261</v>
      </c>
      <c r="F2502" s="2" t="s">
        <v>6003</v>
      </c>
      <c r="G2502" s="2"/>
    </row>
    <row r="2503" customFormat="false" ht="15" hidden="false" customHeight="false" outlineLevel="0" collapsed="false">
      <c r="A2503" s="2" t="s">
        <v>2384</v>
      </c>
      <c r="B2503" s="2" t="s">
        <v>1985</v>
      </c>
      <c r="C2503" s="2" t="s">
        <v>455</v>
      </c>
      <c r="D2503" s="2" t="s">
        <v>3574</v>
      </c>
      <c r="E2503" s="2" t="s">
        <v>4261</v>
      </c>
      <c r="F2503" s="2" t="s">
        <v>6003</v>
      </c>
      <c r="G2503" s="2"/>
    </row>
    <row r="2504" customFormat="false" ht="15" hidden="false" customHeight="false" outlineLevel="0" collapsed="false">
      <c r="A2504" s="2" t="s">
        <v>2384</v>
      </c>
      <c r="B2504" s="2" t="s">
        <v>1985</v>
      </c>
      <c r="C2504" s="2" t="s">
        <v>455</v>
      </c>
      <c r="D2504" s="2" t="s">
        <v>4788</v>
      </c>
      <c r="E2504" s="2" t="s">
        <v>4261</v>
      </c>
      <c r="F2504" s="2" t="s">
        <v>6003</v>
      </c>
      <c r="G2504" s="2"/>
    </row>
    <row r="2505" customFormat="false" ht="15" hidden="false" customHeight="false" outlineLevel="0" collapsed="false">
      <c r="A2505" s="2" t="s">
        <v>2384</v>
      </c>
      <c r="B2505" s="2" t="s">
        <v>1985</v>
      </c>
      <c r="C2505" s="2" t="s">
        <v>455</v>
      </c>
      <c r="D2505" s="2" t="s">
        <v>6365</v>
      </c>
      <c r="E2505" s="2" t="s">
        <v>4261</v>
      </c>
      <c r="F2505" s="2" t="s">
        <v>6003</v>
      </c>
      <c r="G2505" s="2"/>
    </row>
    <row r="2506" customFormat="false" ht="15" hidden="false" customHeight="false" outlineLevel="0" collapsed="false">
      <c r="A2506" s="2" t="s">
        <v>2384</v>
      </c>
      <c r="B2506" s="2" t="s">
        <v>1985</v>
      </c>
      <c r="C2506" s="2" t="s">
        <v>455</v>
      </c>
      <c r="D2506" s="2" t="s">
        <v>6366</v>
      </c>
      <c r="E2506" s="2" t="s">
        <v>4261</v>
      </c>
      <c r="F2506" s="2" t="s">
        <v>6003</v>
      </c>
      <c r="G2506" s="2"/>
    </row>
    <row r="2507" customFormat="false" ht="15" hidden="false" customHeight="false" outlineLevel="0" collapsed="false">
      <c r="A2507" s="2" t="s">
        <v>2384</v>
      </c>
      <c r="B2507" s="2" t="s">
        <v>1985</v>
      </c>
      <c r="C2507" s="2" t="s">
        <v>455</v>
      </c>
      <c r="D2507" s="2" t="s">
        <v>6367</v>
      </c>
      <c r="E2507" s="2" t="s">
        <v>4261</v>
      </c>
      <c r="F2507" s="2" t="s">
        <v>6003</v>
      </c>
      <c r="G2507" s="2"/>
    </row>
    <row r="2508" customFormat="false" ht="15" hidden="false" customHeight="false" outlineLevel="0" collapsed="false">
      <c r="A2508" s="2" t="s">
        <v>2386</v>
      </c>
      <c r="B2508" s="2" t="s">
        <v>1985</v>
      </c>
      <c r="C2508" s="2" t="s">
        <v>455</v>
      </c>
      <c r="D2508" s="2" t="s">
        <v>6368</v>
      </c>
      <c r="E2508" s="2" t="s">
        <v>4261</v>
      </c>
      <c r="F2508" s="2" t="s">
        <v>6003</v>
      </c>
      <c r="G2508" s="2"/>
    </row>
    <row r="2509" customFormat="false" ht="15" hidden="false" customHeight="false" outlineLevel="0" collapsed="false">
      <c r="A2509" s="2" t="s">
        <v>2386</v>
      </c>
      <c r="B2509" s="2" t="s">
        <v>1985</v>
      </c>
      <c r="C2509" s="2" t="s">
        <v>455</v>
      </c>
      <c r="D2509" s="2" t="s">
        <v>6369</v>
      </c>
      <c r="E2509" s="2" t="s">
        <v>4261</v>
      </c>
      <c r="F2509" s="2" t="s">
        <v>6003</v>
      </c>
      <c r="G2509" s="2"/>
    </row>
    <row r="2510" customFormat="false" ht="15" hidden="false" customHeight="false" outlineLevel="0" collapsed="false">
      <c r="A2510" s="2" t="s">
        <v>2386</v>
      </c>
      <c r="B2510" s="2" t="s">
        <v>1985</v>
      </c>
      <c r="C2510" s="2" t="s">
        <v>455</v>
      </c>
      <c r="D2510" s="2" t="s">
        <v>6370</v>
      </c>
      <c r="E2510" s="2" t="s">
        <v>4261</v>
      </c>
      <c r="F2510" s="2" t="s">
        <v>6003</v>
      </c>
      <c r="G2510" s="2"/>
    </row>
    <row r="2511" customFormat="false" ht="15" hidden="false" customHeight="false" outlineLevel="0" collapsed="false">
      <c r="A2511" s="2" t="s">
        <v>2386</v>
      </c>
      <c r="B2511" s="2" t="s">
        <v>1985</v>
      </c>
      <c r="C2511" s="2" t="s">
        <v>455</v>
      </c>
      <c r="D2511" s="2" t="s">
        <v>6371</v>
      </c>
      <c r="E2511" s="2" t="s">
        <v>4261</v>
      </c>
      <c r="F2511" s="2" t="s">
        <v>6003</v>
      </c>
      <c r="G2511" s="2"/>
    </row>
    <row r="2512" customFormat="false" ht="15" hidden="false" customHeight="false" outlineLevel="0" collapsed="false">
      <c r="A2512" s="2" t="s">
        <v>2386</v>
      </c>
      <c r="B2512" s="2" t="s">
        <v>1985</v>
      </c>
      <c r="C2512" s="2" t="s">
        <v>455</v>
      </c>
      <c r="D2512" s="2" t="s">
        <v>6372</v>
      </c>
      <c r="E2512" s="2" t="s">
        <v>4261</v>
      </c>
      <c r="F2512" s="2" t="s">
        <v>6003</v>
      </c>
      <c r="G2512" s="2"/>
    </row>
    <row r="2513" customFormat="false" ht="15" hidden="false" customHeight="false" outlineLevel="0" collapsed="false">
      <c r="A2513" s="2" t="s">
        <v>2386</v>
      </c>
      <c r="B2513" s="2" t="s">
        <v>1985</v>
      </c>
      <c r="C2513" s="2" t="s">
        <v>455</v>
      </c>
      <c r="D2513" s="2" t="s">
        <v>6373</v>
      </c>
      <c r="E2513" s="2" t="s">
        <v>4261</v>
      </c>
      <c r="F2513" s="2" t="s">
        <v>6003</v>
      </c>
      <c r="G2513" s="2"/>
    </row>
    <row r="2514" customFormat="false" ht="15" hidden="false" customHeight="false" outlineLevel="0" collapsed="false">
      <c r="A2514" s="2" t="s">
        <v>2386</v>
      </c>
      <c r="B2514" s="2" t="s">
        <v>1985</v>
      </c>
      <c r="C2514" s="2" t="s">
        <v>455</v>
      </c>
      <c r="D2514" s="2" t="s">
        <v>6374</v>
      </c>
      <c r="E2514" s="2" t="s">
        <v>4261</v>
      </c>
      <c r="F2514" s="2" t="s">
        <v>6003</v>
      </c>
      <c r="G2514" s="2"/>
    </row>
    <row r="2515" customFormat="false" ht="15" hidden="false" customHeight="false" outlineLevel="0" collapsed="false">
      <c r="A2515" s="2" t="s">
        <v>2386</v>
      </c>
      <c r="B2515" s="2" t="s">
        <v>1985</v>
      </c>
      <c r="C2515" s="2" t="s">
        <v>455</v>
      </c>
      <c r="D2515" s="2" t="s">
        <v>6375</v>
      </c>
      <c r="E2515" s="2" t="s">
        <v>4261</v>
      </c>
      <c r="F2515" s="2" t="s">
        <v>6003</v>
      </c>
      <c r="G2515" s="2"/>
    </row>
    <row r="2516" customFormat="false" ht="15" hidden="false" customHeight="false" outlineLevel="0" collapsed="false">
      <c r="A2516" s="2" t="s">
        <v>2386</v>
      </c>
      <c r="B2516" s="2" t="s">
        <v>1985</v>
      </c>
      <c r="C2516" s="2" t="s">
        <v>455</v>
      </c>
      <c r="D2516" s="2" t="s">
        <v>6376</v>
      </c>
      <c r="E2516" s="2" t="s">
        <v>4261</v>
      </c>
      <c r="F2516" s="2" t="s">
        <v>6003</v>
      </c>
      <c r="G2516" s="2"/>
    </row>
    <row r="2517" customFormat="false" ht="15" hidden="false" customHeight="false" outlineLevel="0" collapsed="false">
      <c r="A2517" s="2" t="s">
        <v>2386</v>
      </c>
      <c r="B2517" s="2" t="s">
        <v>1985</v>
      </c>
      <c r="C2517" s="2" t="s">
        <v>455</v>
      </c>
      <c r="D2517" s="2" t="s">
        <v>6377</v>
      </c>
      <c r="E2517" s="2" t="s">
        <v>4261</v>
      </c>
      <c r="F2517" s="2" t="s">
        <v>6003</v>
      </c>
      <c r="G2517" s="2"/>
    </row>
    <row r="2518" customFormat="false" ht="15" hidden="false" customHeight="false" outlineLevel="0" collapsed="false">
      <c r="A2518" s="2" t="s">
        <v>2386</v>
      </c>
      <c r="B2518" s="2" t="s">
        <v>1985</v>
      </c>
      <c r="C2518" s="2" t="s">
        <v>455</v>
      </c>
      <c r="D2518" s="2" t="s">
        <v>6378</v>
      </c>
      <c r="E2518" s="2" t="s">
        <v>4261</v>
      </c>
      <c r="F2518" s="2" t="s">
        <v>6003</v>
      </c>
      <c r="G2518" s="2"/>
    </row>
    <row r="2519" customFormat="false" ht="15" hidden="false" customHeight="false" outlineLevel="0" collapsed="false">
      <c r="A2519" s="2" t="s">
        <v>2386</v>
      </c>
      <c r="B2519" s="2" t="s">
        <v>1985</v>
      </c>
      <c r="C2519" s="2" t="s">
        <v>455</v>
      </c>
      <c r="D2519" s="2" t="s">
        <v>6379</v>
      </c>
      <c r="E2519" s="2" t="s">
        <v>4261</v>
      </c>
      <c r="F2519" s="2" t="s">
        <v>6003</v>
      </c>
      <c r="G2519" s="2"/>
    </row>
    <row r="2520" customFormat="false" ht="15" hidden="false" customHeight="false" outlineLevel="0" collapsed="false">
      <c r="A2520" s="2" t="s">
        <v>2386</v>
      </c>
      <c r="B2520" s="2" t="s">
        <v>1985</v>
      </c>
      <c r="C2520" s="2" t="s">
        <v>455</v>
      </c>
      <c r="D2520" s="2" t="s">
        <v>6380</v>
      </c>
      <c r="E2520" s="2" t="s">
        <v>4261</v>
      </c>
      <c r="F2520" s="2" t="s">
        <v>6003</v>
      </c>
      <c r="G2520" s="2"/>
    </row>
    <row r="2521" customFormat="false" ht="15" hidden="false" customHeight="false" outlineLevel="0" collapsed="false">
      <c r="A2521" s="2" t="s">
        <v>2386</v>
      </c>
      <c r="B2521" s="2" t="s">
        <v>1985</v>
      </c>
      <c r="C2521" s="2" t="s">
        <v>455</v>
      </c>
      <c r="D2521" s="2" t="s">
        <v>6381</v>
      </c>
      <c r="E2521" s="2" t="s">
        <v>4261</v>
      </c>
      <c r="F2521" s="2" t="s">
        <v>6003</v>
      </c>
      <c r="G2521" s="2"/>
    </row>
    <row r="2522" customFormat="false" ht="15" hidden="false" customHeight="false" outlineLevel="0" collapsed="false">
      <c r="A2522" s="2" t="s">
        <v>2386</v>
      </c>
      <c r="B2522" s="2" t="s">
        <v>1985</v>
      </c>
      <c r="C2522" s="2" t="s">
        <v>455</v>
      </c>
      <c r="D2522" s="2" t="s">
        <v>6382</v>
      </c>
      <c r="E2522" s="2" t="s">
        <v>4261</v>
      </c>
      <c r="F2522" s="2" t="s">
        <v>6003</v>
      </c>
      <c r="G2522" s="2"/>
    </row>
    <row r="2523" customFormat="false" ht="15" hidden="false" customHeight="false" outlineLevel="0" collapsed="false">
      <c r="A2523" s="2" t="s">
        <v>2386</v>
      </c>
      <c r="B2523" s="2" t="s">
        <v>1985</v>
      </c>
      <c r="C2523" s="2" t="s">
        <v>455</v>
      </c>
      <c r="D2523" s="2" t="s">
        <v>6383</v>
      </c>
      <c r="E2523" s="2" t="s">
        <v>4261</v>
      </c>
      <c r="F2523" s="2" t="s">
        <v>6003</v>
      </c>
      <c r="G2523" s="2"/>
    </row>
    <row r="2524" customFormat="false" ht="15" hidden="false" customHeight="false" outlineLevel="0" collapsed="false">
      <c r="A2524" s="2" t="s">
        <v>2386</v>
      </c>
      <c r="B2524" s="2" t="s">
        <v>1985</v>
      </c>
      <c r="C2524" s="2" t="s">
        <v>455</v>
      </c>
      <c r="D2524" s="2" t="s">
        <v>6384</v>
      </c>
      <c r="E2524" s="2" t="s">
        <v>4261</v>
      </c>
      <c r="F2524" s="2" t="s">
        <v>6003</v>
      </c>
      <c r="G2524" s="2"/>
    </row>
    <row r="2525" customFormat="false" ht="15" hidden="false" customHeight="false" outlineLevel="0" collapsed="false">
      <c r="A2525" s="2" t="s">
        <v>2386</v>
      </c>
      <c r="B2525" s="2" t="s">
        <v>1985</v>
      </c>
      <c r="C2525" s="2" t="s">
        <v>455</v>
      </c>
      <c r="D2525" s="2" t="s">
        <v>6385</v>
      </c>
      <c r="E2525" s="2" t="s">
        <v>4261</v>
      </c>
      <c r="F2525" s="2" t="s">
        <v>6003</v>
      </c>
      <c r="G2525" s="2"/>
    </row>
    <row r="2526" customFormat="false" ht="15" hidden="false" customHeight="false" outlineLevel="0" collapsed="false">
      <c r="A2526" s="2" t="s">
        <v>2386</v>
      </c>
      <c r="B2526" s="2" t="s">
        <v>1985</v>
      </c>
      <c r="C2526" s="2" t="s">
        <v>455</v>
      </c>
      <c r="D2526" s="2" t="s">
        <v>6386</v>
      </c>
      <c r="E2526" s="2" t="s">
        <v>4261</v>
      </c>
      <c r="F2526" s="2" t="s">
        <v>6003</v>
      </c>
      <c r="G2526" s="2"/>
    </row>
    <row r="2527" customFormat="false" ht="15" hidden="false" customHeight="false" outlineLevel="0" collapsed="false">
      <c r="A2527" s="2" t="s">
        <v>2386</v>
      </c>
      <c r="B2527" s="2" t="s">
        <v>1985</v>
      </c>
      <c r="C2527" s="2" t="s">
        <v>455</v>
      </c>
      <c r="D2527" s="2" t="s">
        <v>6387</v>
      </c>
      <c r="E2527" s="2" t="s">
        <v>4261</v>
      </c>
      <c r="F2527" s="2" t="s">
        <v>6003</v>
      </c>
      <c r="G2527" s="2"/>
    </row>
    <row r="2528" customFormat="false" ht="15" hidden="false" customHeight="false" outlineLevel="0" collapsed="false">
      <c r="A2528" s="2" t="s">
        <v>2386</v>
      </c>
      <c r="B2528" s="2" t="s">
        <v>1985</v>
      </c>
      <c r="C2528" s="2" t="s">
        <v>455</v>
      </c>
      <c r="D2528" s="2" t="s">
        <v>6388</v>
      </c>
      <c r="E2528" s="2" t="s">
        <v>4261</v>
      </c>
      <c r="F2528" s="2" t="s">
        <v>6003</v>
      </c>
      <c r="G2528" s="2"/>
    </row>
    <row r="2529" customFormat="false" ht="15" hidden="false" customHeight="false" outlineLevel="0" collapsed="false">
      <c r="A2529" s="2" t="s">
        <v>2386</v>
      </c>
      <c r="B2529" s="2" t="s">
        <v>1985</v>
      </c>
      <c r="C2529" s="2" t="s">
        <v>455</v>
      </c>
      <c r="D2529" s="2" t="s">
        <v>6389</v>
      </c>
      <c r="E2529" s="2" t="s">
        <v>4261</v>
      </c>
      <c r="F2529" s="2" t="s">
        <v>6003</v>
      </c>
      <c r="G2529" s="2"/>
    </row>
    <row r="2530" customFormat="false" ht="15" hidden="false" customHeight="false" outlineLevel="0" collapsed="false">
      <c r="A2530" s="2" t="s">
        <v>2386</v>
      </c>
      <c r="B2530" s="2" t="s">
        <v>1985</v>
      </c>
      <c r="C2530" s="2" t="s">
        <v>455</v>
      </c>
      <c r="D2530" s="2" t="s">
        <v>6390</v>
      </c>
      <c r="E2530" s="2" t="s">
        <v>4261</v>
      </c>
      <c r="F2530" s="2" t="s">
        <v>6003</v>
      </c>
      <c r="G2530" s="2"/>
    </row>
    <row r="2531" customFormat="false" ht="15" hidden="false" customHeight="false" outlineLevel="0" collapsed="false">
      <c r="A2531" s="2" t="s">
        <v>2386</v>
      </c>
      <c r="B2531" s="2" t="s">
        <v>1985</v>
      </c>
      <c r="C2531" s="2" t="s">
        <v>455</v>
      </c>
      <c r="D2531" s="2" t="s">
        <v>6391</v>
      </c>
      <c r="E2531" s="2" t="s">
        <v>4261</v>
      </c>
      <c r="F2531" s="2" t="s">
        <v>6003</v>
      </c>
      <c r="G2531" s="2"/>
    </row>
    <row r="2532" customFormat="false" ht="15" hidden="false" customHeight="false" outlineLevel="0" collapsed="false">
      <c r="A2532" s="2" t="s">
        <v>2386</v>
      </c>
      <c r="B2532" s="2" t="s">
        <v>1985</v>
      </c>
      <c r="C2532" s="2" t="s">
        <v>455</v>
      </c>
      <c r="D2532" s="2" t="s">
        <v>6392</v>
      </c>
      <c r="E2532" s="2" t="s">
        <v>4261</v>
      </c>
      <c r="F2532" s="2" t="s">
        <v>6003</v>
      </c>
      <c r="G2532" s="2"/>
    </row>
    <row r="2533" customFormat="false" ht="15" hidden="false" customHeight="false" outlineLevel="0" collapsed="false">
      <c r="A2533" s="2" t="s">
        <v>2386</v>
      </c>
      <c r="B2533" s="2" t="s">
        <v>1985</v>
      </c>
      <c r="C2533" s="2" t="s">
        <v>455</v>
      </c>
      <c r="D2533" s="2" t="s">
        <v>6393</v>
      </c>
      <c r="E2533" s="2" t="s">
        <v>4261</v>
      </c>
      <c r="F2533" s="2" t="s">
        <v>6003</v>
      </c>
      <c r="G2533" s="2"/>
    </row>
    <row r="2534" customFormat="false" ht="15" hidden="false" customHeight="false" outlineLevel="0" collapsed="false">
      <c r="A2534" s="2" t="s">
        <v>2386</v>
      </c>
      <c r="B2534" s="2" t="s">
        <v>1985</v>
      </c>
      <c r="C2534" s="2" t="s">
        <v>455</v>
      </c>
      <c r="D2534" s="2" t="s">
        <v>6394</v>
      </c>
      <c r="E2534" s="2" t="s">
        <v>4261</v>
      </c>
      <c r="F2534" s="2" t="s">
        <v>6003</v>
      </c>
      <c r="G2534" s="2"/>
    </row>
    <row r="2535" customFormat="false" ht="15" hidden="false" customHeight="false" outlineLevel="0" collapsed="false">
      <c r="A2535" s="2" t="s">
        <v>2386</v>
      </c>
      <c r="B2535" s="2" t="s">
        <v>1985</v>
      </c>
      <c r="C2535" s="2" t="s">
        <v>455</v>
      </c>
      <c r="D2535" s="2" t="s">
        <v>6395</v>
      </c>
      <c r="E2535" s="2" t="s">
        <v>4261</v>
      </c>
      <c r="F2535" s="2" t="s">
        <v>6003</v>
      </c>
      <c r="G2535" s="2"/>
    </row>
    <row r="2536" customFormat="false" ht="15" hidden="false" customHeight="false" outlineLevel="0" collapsed="false">
      <c r="A2536" s="2" t="s">
        <v>2386</v>
      </c>
      <c r="B2536" s="2" t="s">
        <v>1985</v>
      </c>
      <c r="C2536" s="2" t="s">
        <v>455</v>
      </c>
      <c r="D2536" s="2" t="s">
        <v>6396</v>
      </c>
      <c r="E2536" s="2" t="s">
        <v>4261</v>
      </c>
      <c r="F2536" s="2" t="s">
        <v>6003</v>
      </c>
      <c r="G2536" s="2"/>
    </row>
    <row r="2537" customFormat="false" ht="15" hidden="false" customHeight="false" outlineLevel="0" collapsed="false">
      <c r="A2537" s="2" t="s">
        <v>2386</v>
      </c>
      <c r="B2537" s="2" t="s">
        <v>1985</v>
      </c>
      <c r="C2537" s="2" t="s">
        <v>455</v>
      </c>
      <c r="D2537" s="2" t="s">
        <v>1938</v>
      </c>
      <c r="E2537" s="2" t="s">
        <v>4261</v>
      </c>
      <c r="F2537" s="2" t="s">
        <v>6003</v>
      </c>
      <c r="G2537" s="2"/>
    </row>
    <row r="2538" customFormat="false" ht="15" hidden="false" customHeight="false" outlineLevel="0" collapsed="false">
      <c r="A2538" s="2" t="s">
        <v>2386</v>
      </c>
      <c r="B2538" s="2" t="s">
        <v>1985</v>
      </c>
      <c r="C2538" s="2" t="s">
        <v>455</v>
      </c>
      <c r="D2538" s="2" t="s">
        <v>6397</v>
      </c>
      <c r="E2538" s="2" t="s">
        <v>4261</v>
      </c>
      <c r="F2538" s="2" t="s">
        <v>6003</v>
      </c>
      <c r="G2538" s="2"/>
    </row>
    <row r="2539" customFormat="false" ht="15" hidden="false" customHeight="false" outlineLevel="0" collapsed="false">
      <c r="A2539" s="2" t="s">
        <v>2386</v>
      </c>
      <c r="B2539" s="2" t="s">
        <v>1985</v>
      </c>
      <c r="C2539" s="2" t="s">
        <v>455</v>
      </c>
      <c r="D2539" s="2" t="s">
        <v>6398</v>
      </c>
      <c r="E2539" s="2" t="s">
        <v>4261</v>
      </c>
      <c r="F2539" s="2" t="s">
        <v>6003</v>
      </c>
      <c r="G2539" s="2"/>
    </row>
    <row r="2540" customFormat="false" ht="15" hidden="false" customHeight="false" outlineLevel="0" collapsed="false">
      <c r="A2540" s="2" t="s">
        <v>2386</v>
      </c>
      <c r="B2540" s="2" t="s">
        <v>1985</v>
      </c>
      <c r="C2540" s="2" t="s">
        <v>455</v>
      </c>
      <c r="D2540" s="2" t="s">
        <v>6399</v>
      </c>
      <c r="E2540" s="2" t="s">
        <v>4261</v>
      </c>
      <c r="F2540" s="2" t="s">
        <v>6003</v>
      </c>
      <c r="G2540" s="2"/>
    </row>
    <row r="2541" customFormat="false" ht="15" hidden="false" customHeight="false" outlineLevel="0" collapsed="false">
      <c r="A2541" s="2" t="s">
        <v>2386</v>
      </c>
      <c r="B2541" s="2" t="s">
        <v>1985</v>
      </c>
      <c r="C2541" s="2" t="s">
        <v>455</v>
      </c>
      <c r="D2541" s="2" t="s">
        <v>6400</v>
      </c>
      <c r="E2541" s="2" t="s">
        <v>4261</v>
      </c>
      <c r="F2541" s="2" t="s">
        <v>6003</v>
      </c>
      <c r="G2541" s="2"/>
    </row>
    <row r="2542" customFormat="false" ht="15" hidden="false" customHeight="false" outlineLevel="0" collapsed="false">
      <c r="A2542" s="2" t="s">
        <v>2386</v>
      </c>
      <c r="B2542" s="2" t="s">
        <v>1985</v>
      </c>
      <c r="C2542" s="2" t="s">
        <v>455</v>
      </c>
      <c r="D2542" s="2" t="s">
        <v>6034</v>
      </c>
      <c r="E2542" s="2" t="s">
        <v>4261</v>
      </c>
      <c r="F2542" s="2" t="s">
        <v>6003</v>
      </c>
      <c r="G2542" s="2"/>
    </row>
    <row r="2543" customFormat="false" ht="15" hidden="false" customHeight="false" outlineLevel="0" collapsed="false">
      <c r="A2543" s="2" t="s">
        <v>2386</v>
      </c>
      <c r="B2543" s="2" t="s">
        <v>1985</v>
      </c>
      <c r="C2543" s="2" t="s">
        <v>455</v>
      </c>
      <c r="D2543" s="2" t="s">
        <v>4831</v>
      </c>
      <c r="E2543" s="2" t="s">
        <v>4261</v>
      </c>
      <c r="F2543" s="2" t="s">
        <v>6003</v>
      </c>
      <c r="G2543" s="2"/>
    </row>
    <row r="2544" customFormat="false" ht="15" hidden="false" customHeight="false" outlineLevel="0" collapsed="false">
      <c r="A2544" s="2" t="s">
        <v>2386</v>
      </c>
      <c r="B2544" s="2" t="s">
        <v>1985</v>
      </c>
      <c r="C2544" s="2" t="s">
        <v>455</v>
      </c>
      <c r="D2544" s="2" t="s">
        <v>503</v>
      </c>
      <c r="E2544" s="2" t="s">
        <v>4261</v>
      </c>
      <c r="F2544" s="2" t="s">
        <v>6003</v>
      </c>
      <c r="G2544" s="2"/>
    </row>
    <row r="2545" customFormat="false" ht="15" hidden="false" customHeight="false" outlineLevel="0" collapsed="false">
      <c r="A2545" s="2" t="s">
        <v>2386</v>
      </c>
      <c r="B2545" s="2" t="s">
        <v>1985</v>
      </c>
      <c r="C2545" s="2" t="s">
        <v>455</v>
      </c>
      <c r="D2545" s="2" t="s">
        <v>380</v>
      </c>
      <c r="E2545" s="2" t="s">
        <v>4261</v>
      </c>
      <c r="F2545" s="2" t="s">
        <v>6003</v>
      </c>
      <c r="G2545" s="2"/>
    </row>
    <row r="2546" customFormat="false" ht="15" hidden="false" customHeight="false" outlineLevel="0" collapsed="false">
      <c r="A2546" s="2" t="s">
        <v>2386</v>
      </c>
      <c r="B2546" s="2" t="s">
        <v>1985</v>
      </c>
      <c r="C2546" s="2" t="s">
        <v>455</v>
      </c>
      <c r="D2546" s="2" t="s">
        <v>6401</v>
      </c>
      <c r="E2546" s="2" t="s">
        <v>4261</v>
      </c>
      <c r="F2546" s="2" t="s">
        <v>6003</v>
      </c>
      <c r="G2546" s="2"/>
    </row>
    <row r="2547" customFormat="false" ht="15" hidden="false" customHeight="false" outlineLevel="0" collapsed="false">
      <c r="A2547" s="2" t="s">
        <v>2386</v>
      </c>
      <c r="B2547" s="2" t="s">
        <v>1985</v>
      </c>
      <c r="C2547" s="2" t="s">
        <v>455</v>
      </c>
      <c r="D2547" s="2" t="s">
        <v>6402</v>
      </c>
      <c r="E2547" s="2" t="s">
        <v>4261</v>
      </c>
      <c r="F2547" s="2" t="s">
        <v>6003</v>
      </c>
      <c r="G2547" s="2"/>
    </row>
    <row r="2548" customFormat="false" ht="15" hidden="false" customHeight="false" outlineLevel="0" collapsed="false">
      <c r="A2548" s="2" t="s">
        <v>2386</v>
      </c>
      <c r="B2548" s="2" t="s">
        <v>1985</v>
      </c>
      <c r="C2548" s="2" t="s">
        <v>455</v>
      </c>
      <c r="D2548" s="2" t="s">
        <v>151</v>
      </c>
      <c r="E2548" s="2" t="s">
        <v>4261</v>
      </c>
      <c r="F2548" s="2" t="s">
        <v>6003</v>
      </c>
      <c r="G2548" s="2"/>
    </row>
    <row r="2549" customFormat="false" ht="15" hidden="false" customHeight="false" outlineLevel="0" collapsed="false">
      <c r="A2549" s="2" t="s">
        <v>2386</v>
      </c>
      <c r="B2549" s="2" t="s">
        <v>1985</v>
      </c>
      <c r="C2549" s="2" t="s">
        <v>455</v>
      </c>
      <c r="D2549" s="2" t="s">
        <v>6403</v>
      </c>
      <c r="E2549" s="2" t="s">
        <v>4261</v>
      </c>
      <c r="F2549" s="2" t="s">
        <v>6003</v>
      </c>
      <c r="G2549" s="2"/>
    </row>
    <row r="2550" customFormat="false" ht="15" hidden="false" customHeight="false" outlineLevel="0" collapsed="false">
      <c r="A2550" s="2" t="s">
        <v>2386</v>
      </c>
      <c r="B2550" s="2" t="s">
        <v>1985</v>
      </c>
      <c r="C2550" s="2" t="s">
        <v>455</v>
      </c>
      <c r="D2550" s="2" t="s">
        <v>6404</v>
      </c>
      <c r="E2550" s="2" t="s">
        <v>4261</v>
      </c>
      <c r="F2550" s="2" t="s">
        <v>6003</v>
      </c>
      <c r="G2550" s="2"/>
    </row>
    <row r="2551" customFormat="false" ht="15" hidden="false" customHeight="false" outlineLevel="0" collapsed="false">
      <c r="A2551" s="2" t="s">
        <v>2386</v>
      </c>
      <c r="B2551" s="2" t="s">
        <v>1985</v>
      </c>
      <c r="C2551" s="2" t="s">
        <v>455</v>
      </c>
      <c r="D2551" s="2" t="s">
        <v>6405</v>
      </c>
      <c r="E2551" s="2" t="s">
        <v>4261</v>
      </c>
      <c r="F2551" s="2" t="s">
        <v>6003</v>
      </c>
      <c r="G2551" s="2"/>
    </row>
    <row r="2552" customFormat="false" ht="15" hidden="false" customHeight="false" outlineLevel="0" collapsed="false">
      <c r="A2552" s="2" t="s">
        <v>2386</v>
      </c>
      <c r="B2552" s="2" t="s">
        <v>1985</v>
      </c>
      <c r="C2552" s="2" t="s">
        <v>455</v>
      </c>
      <c r="D2552" s="2" t="s">
        <v>6406</v>
      </c>
      <c r="E2552" s="2" t="s">
        <v>4261</v>
      </c>
      <c r="F2552" s="2" t="s">
        <v>6003</v>
      </c>
      <c r="G2552" s="2"/>
    </row>
    <row r="2553" customFormat="false" ht="15" hidden="false" customHeight="false" outlineLevel="0" collapsed="false">
      <c r="A2553" s="2" t="s">
        <v>2386</v>
      </c>
      <c r="B2553" s="2" t="s">
        <v>1985</v>
      </c>
      <c r="C2553" s="2" t="s">
        <v>455</v>
      </c>
      <c r="D2553" s="2" t="s">
        <v>6407</v>
      </c>
      <c r="E2553" s="2" t="s">
        <v>4261</v>
      </c>
      <c r="F2553" s="2" t="s">
        <v>6003</v>
      </c>
      <c r="G2553" s="2"/>
    </row>
    <row r="2554" customFormat="false" ht="15" hidden="false" customHeight="false" outlineLevel="0" collapsed="false">
      <c r="A2554" s="2" t="s">
        <v>2386</v>
      </c>
      <c r="B2554" s="2" t="s">
        <v>1985</v>
      </c>
      <c r="C2554" s="2" t="s">
        <v>455</v>
      </c>
      <c r="D2554" s="2" t="s">
        <v>6408</v>
      </c>
      <c r="E2554" s="2" t="s">
        <v>4261</v>
      </c>
      <c r="F2554" s="2" t="s">
        <v>6003</v>
      </c>
      <c r="G2554" s="2"/>
    </row>
    <row r="2555" customFormat="false" ht="15" hidden="false" customHeight="false" outlineLevel="0" collapsed="false">
      <c r="A2555" s="2" t="s">
        <v>2386</v>
      </c>
      <c r="B2555" s="2" t="s">
        <v>1985</v>
      </c>
      <c r="C2555" s="2" t="s">
        <v>455</v>
      </c>
      <c r="D2555" s="2" t="s">
        <v>6409</v>
      </c>
      <c r="E2555" s="2" t="s">
        <v>4261</v>
      </c>
      <c r="F2555" s="2" t="s">
        <v>6003</v>
      </c>
      <c r="G2555" s="2"/>
    </row>
    <row r="2556" customFormat="false" ht="15" hidden="false" customHeight="false" outlineLevel="0" collapsed="false">
      <c r="A2556" s="2" t="s">
        <v>2386</v>
      </c>
      <c r="B2556" s="2" t="s">
        <v>1985</v>
      </c>
      <c r="C2556" s="2" t="s">
        <v>455</v>
      </c>
      <c r="D2556" s="2" t="s">
        <v>6410</v>
      </c>
      <c r="E2556" s="2" t="s">
        <v>4261</v>
      </c>
      <c r="F2556" s="2" t="s">
        <v>6003</v>
      </c>
      <c r="G2556" s="2"/>
    </row>
    <row r="2557" customFormat="false" ht="15" hidden="false" customHeight="false" outlineLevel="0" collapsed="false">
      <c r="A2557" s="2" t="s">
        <v>2386</v>
      </c>
      <c r="B2557" s="2" t="s">
        <v>1985</v>
      </c>
      <c r="C2557" s="2" t="s">
        <v>455</v>
      </c>
      <c r="D2557" s="2" t="s">
        <v>6411</v>
      </c>
      <c r="E2557" s="2" t="s">
        <v>4261</v>
      </c>
      <c r="F2557" s="2" t="s">
        <v>6003</v>
      </c>
      <c r="G2557" s="2"/>
    </row>
    <row r="2558" customFormat="false" ht="15" hidden="false" customHeight="false" outlineLevel="0" collapsed="false">
      <c r="A2558" s="2" t="s">
        <v>2386</v>
      </c>
      <c r="B2558" s="2" t="s">
        <v>1985</v>
      </c>
      <c r="C2558" s="2" t="s">
        <v>455</v>
      </c>
      <c r="D2558" s="2" t="s">
        <v>6412</v>
      </c>
      <c r="E2558" s="2" t="s">
        <v>4261</v>
      </c>
      <c r="F2558" s="2" t="s">
        <v>6003</v>
      </c>
      <c r="G2558" s="2"/>
    </row>
    <row r="2559" customFormat="false" ht="15" hidden="false" customHeight="false" outlineLevel="0" collapsed="false">
      <c r="A2559" s="2" t="s">
        <v>2386</v>
      </c>
      <c r="B2559" s="2" t="s">
        <v>1985</v>
      </c>
      <c r="C2559" s="2" t="s">
        <v>455</v>
      </c>
      <c r="D2559" s="2" t="s">
        <v>6413</v>
      </c>
      <c r="E2559" s="2" t="s">
        <v>4261</v>
      </c>
      <c r="F2559" s="2" t="s">
        <v>6003</v>
      </c>
      <c r="G2559" s="2"/>
    </row>
    <row r="2560" customFormat="false" ht="15" hidden="false" customHeight="false" outlineLevel="0" collapsed="false">
      <c r="A2560" s="2" t="s">
        <v>2386</v>
      </c>
      <c r="B2560" s="2" t="s">
        <v>1985</v>
      </c>
      <c r="C2560" s="2" t="s">
        <v>455</v>
      </c>
      <c r="D2560" s="2" t="s">
        <v>651</v>
      </c>
      <c r="E2560" s="2" t="s">
        <v>4261</v>
      </c>
      <c r="F2560" s="2" t="s">
        <v>6003</v>
      </c>
      <c r="G2560" s="2"/>
    </row>
    <row r="2561" customFormat="false" ht="15" hidden="false" customHeight="false" outlineLevel="0" collapsed="false">
      <c r="A2561" s="2" t="s">
        <v>2386</v>
      </c>
      <c r="B2561" s="2" t="s">
        <v>1985</v>
      </c>
      <c r="C2561" s="2" t="s">
        <v>455</v>
      </c>
      <c r="D2561" s="2" t="s">
        <v>6414</v>
      </c>
      <c r="E2561" s="2" t="s">
        <v>4261</v>
      </c>
      <c r="F2561" s="2" t="s">
        <v>6003</v>
      </c>
      <c r="G2561" s="2"/>
    </row>
    <row r="2562" customFormat="false" ht="15" hidden="false" customHeight="false" outlineLevel="0" collapsed="false">
      <c r="A2562" s="2" t="s">
        <v>2386</v>
      </c>
      <c r="B2562" s="2" t="s">
        <v>1985</v>
      </c>
      <c r="C2562" s="2" t="s">
        <v>455</v>
      </c>
      <c r="D2562" s="2" t="s">
        <v>6415</v>
      </c>
      <c r="E2562" s="2" t="s">
        <v>4261</v>
      </c>
      <c r="F2562" s="2" t="s">
        <v>6003</v>
      </c>
      <c r="G2562" s="2"/>
    </row>
    <row r="2563" customFormat="false" ht="15" hidden="false" customHeight="false" outlineLevel="0" collapsed="false">
      <c r="A2563" s="2" t="s">
        <v>2386</v>
      </c>
      <c r="B2563" s="2" t="s">
        <v>1985</v>
      </c>
      <c r="C2563" s="2" t="s">
        <v>455</v>
      </c>
      <c r="D2563" s="2" t="s">
        <v>6416</v>
      </c>
      <c r="E2563" s="2" t="s">
        <v>4261</v>
      </c>
      <c r="F2563" s="2" t="s">
        <v>6003</v>
      </c>
      <c r="G2563" s="2"/>
    </row>
    <row r="2564" customFormat="false" ht="15" hidden="false" customHeight="false" outlineLevel="0" collapsed="false">
      <c r="A2564" s="2" t="s">
        <v>2386</v>
      </c>
      <c r="B2564" s="2" t="s">
        <v>1985</v>
      </c>
      <c r="C2564" s="2" t="s">
        <v>455</v>
      </c>
      <c r="D2564" s="2" t="s">
        <v>6417</v>
      </c>
      <c r="E2564" s="2" t="s">
        <v>4261</v>
      </c>
      <c r="F2564" s="2" t="s">
        <v>6003</v>
      </c>
      <c r="G2564" s="2"/>
    </row>
    <row r="2565" customFormat="false" ht="15" hidden="false" customHeight="false" outlineLevel="0" collapsed="false">
      <c r="A2565" s="2" t="s">
        <v>2386</v>
      </c>
      <c r="B2565" s="2" t="s">
        <v>1985</v>
      </c>
      <c r="C2565" s="2" t="s">
        <v>455</v>
      </c>
      <c r="D2565" s="2" t="s">
        <v>6418</v>
      </c>
      <c r="E2565" s="2" t="s">
        <v>4261</v>
      </c>
      <c r="F2565" s="2" t="s">
        <v>6003</v>
      </c>
      <c r="G2565" s="2"/>
    </row>
    <row r="2566" customFormat="false" ht="15" hidden="false" customHeight="false" outlineLevel="0" collapsed="false">
      <c r="A2566" s="2" t="s">
        <v>2386</v>
      </c>
      <c r="B2566" s="2" t="s">
        <v>1985</v>
      </c>
      <c r="C2566" s="2" t="s">
        <v>455</v>
      </c>
      <c r="D2566" s="2" t="s">
        <v>6419</v>
      </c>
      <c r="E2566" s="2" t="s">
        <v>4261</v>
      </c>
      <c r="F2566" s="2" t="s">
        <v>6003</v>
      </c>
      <c r="G2566" s="2"/>
    </row>
    <row r="2567" customFormat="false" ht="15" hidden="false" customHeight="false" outlineLevel="0" collapsed="false">
      <c r="A2567" s="2" t="s">
        <v>2386</v>
      </c>
      <c r="B2567" s="2" t="s">
        <v>1985</v>
      </c>
      <c r="C2567" s="2" t="s">
        <v>455</v>
      </c>
      <c r="D2567" s="2" t="s">
        <v>6420</v>
      </c>
      <c r="E2567" s="2" t="s">
        <v>4261</v>
      </c>
      <c r="F2567" s="2" t="s">
        <v>6003</v>
      </c>
      <c r="G2567" s="2"/>
    </row>
    <row r="2568" customFormat="false" ht="15" hidden="false" customHeight="false" outlineLevel="0" collapsed="false">
      <c r="A2568" s="2" t="s">
        <v>2386</v>
      </c>
      <c r="B2568" s="2" t="s">
        <v>1985</v>
      </c>
      <c r="C2568" s="2" t="s">
        <v>455</v>
      </c>
      <c r="D2568" s="2" t="s">
        <v>6421</v>
      </c>
      <c r="E2568" s="2" t="s">
        <v>4261</v>
      </c>
      <c r="F2568" s="2" t="s">
        <v>6003</v>
      </c>
      <c r="G2568" s="2"/>
    </row>
    <row r="2569" customFormat="false" ht="15" hidden="false" customHeight="false" outlineLevel="0" collapsed="false">
      <c r="A2569" s="2" t="s">
        <v>2386</v>
      </c>
      <c r="B2569" s="2" t="s">
        <v>1985</v>
      </c>
      <c r="C2569" s="2" t="s">
        <v>455</v>
      </c>
      <c r="D2569" s="2" t="s">
        <v>6422</v>
      </c>
      <c r="E2569" s="2" t="s">
        <v>4261</v>
      </c>
      <c r="F2569" s="2" t="s">
        <v>6003</v>
      </c>
      <c r="G2569" s="2"/>
    </row>
    <row r="2570" customFormat="false" ht="15" hidden="false" customHeight="false" outlineLevel="0" collapsed="false">
      <c r="A2570" s="2" t="s">
        <v>2386</v>
      </c>
      <c r="B2570" s="2" t="s">
        <v>1985</v>
      </c>
      <c r="C2570" s="2" t="s">
        <v>455</v>
      </c>
      <c r="D2570" s="2" t="s">
        <v>6423</v>
      </c>
      <c r="E2570" s="2" t="s">
        <v>4261</v>
      </c>
      <c r="F2570" s="2" t="s">
        <v>6003</v>
      </c>
      <c r="G2570" s="2"/>
    </row>
    <row r="2571" customFormat="false" ht="15" hidden="false" customHeight="false" outlineLevel="0" collapsed="false">
      <c r="A2571" s="2" t="s">
        <v>2386</v>
      </c>
      <c r="B2571" s="2" t="s">
        <v>1985</v>
      </c>
      <c r="C2571" s="2" t="s">
        <v>455</v>
      </c>
      <c r="D2571" s="2" t="s">
        <v>6424</v>
      </c>
      <c r="E2571" s="2" t="s">
        <v>4271</v>
      </c>
      <c r="F2571" s="2" t="s">
        <v>6003</v>
      </c>
      <c r="G2571" s="2"/>
    </row>
    <row r="2572" customFormat="false" ht="15" hidden="false" customHeight="false" outlineLevel="0" collapsed="false">
      <c r="A2572" s="2" t="s">
        <v>2386</v>
      </c>
      <c r="B2572" s="2" t="s">
        <v>1985</v>
      </c>
      <c r="C2572" s="2" t="s">
        <v>455</v>
      </c>
      <c r="D2572" s="2" t="s">
        <v>6425</v>
      </c>
      <c r="E2572" s="2" t="s">
        <v>4261</v>
      </c>
      <c r="F2572" s="2" t="s">
        <v>6003</v>
      </c>
      <c r="G2572" s="2"/>
    </row>
    <row r="2573" customFormat="false" ht="15" hidden="false" customHeight="false" outlineLevel="0" collapsed="false">
      <c r="A2573" s="2" t="s">
        <v>2386</v>
      </c>
      <c r="B2573" s="2" t="s">
        <v>1985</v>
      </c>
      <c r="C2573" s="2" t="s">
        <v>455</v>
      </c>
      <c r="D2573" s="2" t="s">
        <v>6426</v>
      </c>
      <c r="E2573" s="2" t="s">
        <v>4261</v>
      </c>
      <c r="F2573" s="2" t="s">
        <v>6003</v>
      </c>
      <c r="G2573" s="2"/>
    </row>
    <row r="2574" customFormat="false" ht="15" hidden="false" customHeight="false" outlineLevel="0" collapsed="false">
      <c r="A2574" s="2" t="s">
        <v>2386</v>
      </c>
      <c r="B2574" s="2" t="s">
        <v>1985</v>
      </c>
      <c r="C2574" s="2" t="s">
        <v>455</v>
      </c>
      <c r="D2574" s="2" t="s">
        <v>4838</v>
      </c>
      <c r="E2574" s="2" t="s">
        <v>4261</v>
      </c>
      <c r="F2574" s="2" t="s">
        <v>6003</v>
      </c>
      <c r="G2574" s="2"/>
    </row>
    <row r="2575" customFormat="false" ht="15" hidden="false" customHeight="false" outlineLevel="0" collapsed="false">
      <c r="A2575" s="2" t="s">
        <v>2386</v>
      </c>
      <c r="B2575" s="2" t="s">
        <v>1985</v>
      </c>
      <c r="C2575" s="2" t="s">
        <v>455</v>
      </c>
      <c r="D2575" s="2" t="s">
        <v>4327</v>
      </c>
      <c r="E2575" s="2" t="s">
        <v>4261</v>
      </c>
      <c r="F2575" s="2" t="s">
        <v>6003</v>
      </c>
      <c r="G2575" s="2"/>
    </row>
    <row r="2576" customFormat="false" ht="15" hidden="false" customHeight="false" outlineLevel="0" collapsed="false">
      <c r="A2576" s="2" t="s">
        <v>2386</v>
      </c>
      <c r="B2576" s="2" t="s">
        <v>1985</v>
      </c>
      <c r="C2576" s="2" t="s">
        <v>455</v>
      </c>
      <c r="D2576" s="2" t="s">
        <v>5642</v>
      </c>
      <c r="E2576" s="2" t="s">
        <v>4261</v>
      </c>
      <c r="F2576" s="2" t="s">
        <v>6003</v>
      </c>
      <c r="G2576" s="2"/>
    </row>
    <row r="2577" customFormat="false" ht="15" hidden="false" customHeight="false" outlineLevel="0" collapsed="false">
      <c r="A2577" s="2" t="s">
        <v>2386</v>
      </c>
      <c r="B2577" s="2" t="s">
        <v>1985</v>
      </c>
      <c r="C2577" s="2" t="s">
        <v>455</v>
      </c>
      <c r="D2577" s="2" t="s">
        <v>6427</v>
      </c>
      <c r="E2577" s="2" t="s">
        <v>4261</v>
      </c>
      <c r="F2577" s="2" t="s">
        <v>6003</v>
      </c>
      <c r="G2577" s="2"/>
    </row>
    <row r="2578" customFormat="false" ht="15" hidden="false" customHeight="false" outlineLevel="0" collapsed="false">
      <c r="A2578" s="2" t="s">
        <v>2386</v>
      </c>
      <c r="B2578" s="2" t="s">
        <v>1985</v>
      </c>
      <c r="C2578" s="2" t="s">
        <v>455</v>
      </c>
      <c r="D2578" s="2" t="s">
        <v>6428</v>
      </c>
      <c r="E2578" s="2" t="s">
        <v>4261</v>
      </c>
      <c r="F2578" s="2" t="s">
        <v>6003</v>
      </c>
      <c r="G2578" s="2"/>
    </row>
    <row r="2579" customFormat="false" ht="15" hidden="false" customHeight="false" outlineLevel="0" collapsed="false">
      <c r="A2579" s="2" t="s">
        <v>2386</v>
      </c>
      <c r="B2579" s="2" t="s">
        <v>1985</v>
      </c>
      <c r="C2579" s="2" t="s">
        <v>455</v>
      </c>
      <c r="D2579" s="2" t="s">
        <v>6429</v>
      </c>
      <c r="E2579" s="2" t="s">
        <v>4261</v>
      </c>
      <c r="F2579" s="2" t="s">
        <v>6003</v>
      </c>
      <c r="G2579" s="2"/>
    </row>
    <row r="2580" customFormat="false" ht="15" hidden="false" customHeight="false" outlineLevel="0" collapsed="false">
      <c r="A2580" s="2" t="s">
        <v>2386</v>
      </c>
      <c r="B2580" s="2" t="s">
        <v>1985</v>
      </c>
      <c r="C2580" s="2" t="s">
        <v>455</v>
      </c>
      <c r="D2580" s="2" t="s">
        <v>6430</v>
      </c>
      <c r="E2580" s="2" t="s">
        <v>4261</v>
      </c>
      <c r="F2580" s="2" t="s">
        <v>6003</v>
      </c>
      <c r="G2580" s="2"/>
    </row>
    <row r="2581" customFormat="false" ht="15" hidden="false" customHeight="false" outlineLevel="0" collapsed="false">
      <c r="A2581" s="2" t="s">
        <v>2386</v>
      </c>
      <c r="B2581" s="2" t="s">
        <v>1985</v>
      </c>
      <c r="C2581" s="2" t="s">
        <v>455</v>
      </c>
      <c r="D2581" s="2" t="s">
        <v>6431</v>
      </c>
      <c r="E2581" s="2" t="s">
        <v>4261</v>
      </c>
      <c r="F2581" s="2" t="s">
        <v>6003</v>
      </c>
      <c r="G2581" s="2"/>
    </row>
    <row r="2582" customFormat="false" ht="15" hidden="false" customHeight="false" outlineLevel="0" collapsed="false">
      <c r="A2582" s="2" t="s">
        <v>2386</v>
      </c>
      <c r="B2582" s="2" t="s">
        <v>1985</v>
      </c>
      <c r="C2582" s="2" t="s">
        <v>455</v>
      </c>
      <c r="D2582" s="2" t="s">
        <v>6432</v>
      </c>
      <c r="E2582" s="2" t="s">
        <v>4261</v>
      </c>
      <c r="F2582" s="2" t="s">
        <v>6003</v>
      </c>
      <c r="G2582" s="2"/>
    </row>
    <row r="2583" customFormat="false" ht="15" hidden="false" customHeight="false" outlineLevel="0" collapsed="false">
      <c r="A2583" s="2" t="s">
        <v>2386</v>
      </c>
      <c r="B2583" s="2" t="s">
        <v>1985</v>
      </c>
      <c r="C2583" s="2" t="s">
        <v>455</v>
      </c>
      <c r="D2583" s="2" t="s">
        <v>6433</v>
      </c>
      <c r="E2583" s="2" t="s">
        <v>4261</v>
      </c>
      <c r="F2583" s="2" t="s">
        <v>6003</v>
      </c>
      <c r="G2583" s="2"/>
    </row>
    <row r="2584" customFormat="false" ht="15" hidden="false" customHeight="false" outlineLevel="0" collapsed="false">
      <c r="A2584" s="2" t="s">
        <v>2386</v>
      </c>
      <c r="B2584" s="2" t="s">
        <v>1985</v>
      </c>
      <c r="C2584" s="2" t="s">
        <v>455</v>
      </c>
      <c r="D2584" s="2" t="s">
        <v>6434</v>
      </c>
      <c r="E2584" s="2" t="s">
        <v>4261</v>
      </c>
      <c r="F2584" s="2" t="s">
        <v>6003</v>
      </c>
      <c r="G2584" s="2"/>
    </row>
    <row r="2585" customFormat="false" ht="15" hidden="false" customHeight="false" outlineLevel="0" collapsed="false">
      <c r="A2585" s="2" t="s">
        <v>2386</v>
      </c>
      <c r="B2585" s="2" t="s">
        <v>1985</v>
      </c>
      <c r="C2585" s="2" t="s">
        <v>455</v>
      </c>
      <c r="D2585" s="2" t="s">
        <v>6435</v>
      </c>
      <c r="E2585" s="2" t="s">
        <v>4261</v>
      </c>
      <c r="F2585" s="2" t="s">
        <v>6003</v>
      </c>
      <c r="G2585" s="2"/>
    </row>
    <row r="2586" customFormat="false" ht="15" hidden="false" customHeight="false" outlineLevel="0" collapsed="false">
      <c r="A2586" s="2" t="s">
        <v>2386</v>
      </c>
      <c r="B2586" s="2" t="s">
        <v>1985</v>
      </c>
      <c r="C2586" s="2" t="s">
        <v>455</v>
      </c>
      <c r="D2586" s="2" t="s">
        <v>6436</v>
      </c>
      <c r="E2586" s="2" t="s">
        <v>4261</v>
      </c>
      <c r="F2586" s="2" t="s">
        <v>6003</v>
      </c>
      <c r="G2586" s="2"/>
    </row>
    <row r="2587" customFormat="false" ht="15" hidden="false" customHeight="false" outlineLevel="0" collapsed="false">
      <c r="A2587" s="2" t="s">
        <v>2386</v>
      </c>
      <c r="B2587" s="2" t="s">
        <v>1985</v>
      </c>
      <c r="C2587" s="2" t="s">
        <v>455</v>
      </c>
      <c r="D2587" s="2" t="s">
        <v>6437</v>
      </c>
      <c r="E2587" s="2" t="s">
        <v>4261</v>
      </c>
      <c r="F2587" s="2" t="s">
        <v>6003</v>
      </c>
      <c r="G2587" s="2"/>
    </row>
    <row r="2588" customFormat="false" ht="15" hidden="false" customHeight="false" outlineLevel="0" collapsed="false">
      <c r="A2588" s="2" t="s">
        <v>2386</v>
      </c>
      <c r="B2588" s="2" t="s">
        <v>1985</v>
      </c>
      <c r="C2588" s="2" t="s">
        <v>455</v>
      </c>
      <c r="D2588" s="2" t="s">
        <v>6438</v>
      </c>
      <c r="E2588" s="2" t="s">
        <v>4261</v>
      </c>
      <c r="F2588" s="2" t="s">
        <v>6003</v>
      </c>
      <c r="G2588" s="2"/>
    </row>
    <row r="2589" customFormat="false" ht="15" hidden="false" customHeight="false" outlineLevel="0" collapsed="false">
      <c r="A2589" s="2" t="s">
        <v>2386</v>
      </c>
      <c r="B2589" s="2" t="s">
        <v>1985</v>
      </c>
      <c r="C2589" s="2" t="s">
        <v>455</v>
      </c>
      <c r="D2589" s="2" t="s">
        <v>6439</v>
      </c>
      <c r="E2589" s="2" t="s">
        <v>4261</v>
      </c>
      <c r="F2589" s="2" t="s">
        <v>6003</v>
      </c>
      <c r="G2589" s="2"/>
    </row>
    <row r="2590" customFormat="false" ht="15" hidden="false" customHeight="false" outlineLevel="0" collapsed="false">
      <c r="A2590" s="2" t="s">
        <v>2386</v>
      </c>
      <c r="B2590" s="2" t="s">
        <v>1985</v>
      </c>
      <c r="C2590" s="2" t="s">
        <v>455</v>
      </c>
      <c r="D2590" s="2" t="s">
        <v>6440</v>
      </c>
      <c r="E2590" s="2" t="s">
        <v>4261</v>
      </c>
      <c r="F2590" s="2" t="s">
        <v>6003</v>
      </c>
      <c r="G2590" s="2"/>
    </row>
    <row r="2591" customFormat="false" ht="15" hidden="false" customHeight="false" outlineLevel="0" collapsed="false">
      <c r="A2591" s="2" t="s">
        <v>2386</v>
      </c>
      <c r="B2591" s="2" t="s">
        <v>1985</v>
      </c>
      <c r="C2591" s="2" t="s">
        <v>455</v>
      </c>
      <c r="D2591" s="2" t="s">
        <v>6441</v>
      </c>
      <c r="E2591" s="2" t="s">
        <v>4261</v>
      </c>
      <c r="F2591" s="2" t="s">
        <v>6003</v>
      </c>
      <c r="G2591" s="2"/>
    </row>
    <row r="2592" customFormat="false" ht="15" hidden="false" customHeight="false" outlineLevel="0" collapsed="false">
      <c r="A2592" s="2" t="s">
        <v>2388</v>
      </c>
      <c r="B2592" s="2" t="s">
        <v>2389</v>
      </c>
      <c r="C2592" s="2" t="s">
        <v>455</v>
      </c>
      <c r="D2592" s="2" t="s">
        <v>2390</v>
      </c>
      <c r="E2592" s="2" t="s">
        <v>4261</v>
      </c>
      <c r="F2592" s="2" t="s">
        <v>6003</v>
      </c>
      <c r="G2592" s="2"/>
    </row>
    <row r="2593" customFormat="false" ht="15" hidden="false" customHeight="false" outlineLevel="0" collapsed="false">
      <c r="A2593" s="2" t="s">
        <v>2391</v>
      </c>
      <c r="B2593" s="2" t="s">
        <v>2392</v>
      </c>
      <c r="C2593" s="2" t="s">
        <v>455</v>
      </c>
      <c r="D2593" s="2" t="s">
        <v>6442</v>
      </c>
      <c r="E2593" s="2" t="s">
        <v>4261</v>
      </c>
      <c r="F2593" s="2" t="s">
        <v>6003</v>
      </c>
      <c r="G2593" s="2"/>
    </row>
    <row r="2594" customFormat="false" ht="15" hidden="false" customHeight="false" outlineLevel="0" collapsed="false">
      <c r="A2594" s="2" t="s">
        <v>2391</v>
      </c>
      <c r="B2594" s="2" t="s">
        <v>2392</v>
      </c>
      <c r="C2594" s="2" t="s">
        <v>455</v>
      </c>
      <c r="D2594" s="2" t="s">
        <v>6443</v>
      </c>
      <c r="E2594" s="2" t="s">
        <v>4261</v>
      </c>
      <c r="F2594" s="2" t="s">
        <v>6003</v>
      </c>
      <c r="G2594" s="2"/>
    </row>
    <row r="2595" customFormat="false" ht="15" hidden="false" customHeight="false" outlineLevel="0" collapsed="false">
      <c r="A2595" s="2" t="s">
        <v>2391</v>
      </c>
      <c r="B2595" s="2" t="s">
        <v>2392</v>
      </c>
      <c r="C2595" s="2" t="s">
        <v>455</v>
      </c>
      <c r="D2595" s="2" t="s">
        <v>6444</v>
      </c>
      <c r="E2595" s="2" t="s">
        <v>4261</v>
      </c>
      <c r="F2595" s="2" t="s">
        <v>6003</v>
      </c>
      <c r="G2595" s="2"/>
    </row>
    <row r="2596" customFormat="false" ht="15" hidden="false" customHeight="false" outlineLevel="0" collapsed="false">
      <c r="A2596" s="2" t="s">
        <v>2391</v>
      </c>
      <c r="B2596" s="2" t="s">
        <v>2392</v>
      </c>
      <c r="C2596" s="2" t="s">
        <v>455</v>
      </c>
      <c r="D2596" s="2" t="s">
        <v>6280</v>
      </c>
      <c r="E2596" s="2" t="s">
        <v>4261</v>
      </c>
      <c r="F2596" s="2" t="s">
        <v>6003</v>
      </c>
      <c r="G2596" s="2"/>
    </row>
    <row r="2597" customFormat="false" ht="15" hidden="false" customHeight="false" outlineLevel="0" collapsed="false">
      <c r="A2597" s="2" t="s">
        <v>2391</v>
      </c>
      <c r="B2597" s="2" t="s">
        <v>2392</v>
      </c>
      <c r="C2597" s="2" t="s">
        <v>455</v>
      </c>
      <c r="D2597" s="2" t="s">
        <v>6445</v>
      </c>
      <c r="E2597" s="2" t="s">
        <v>4261</v>
      </c>
      <c r="F2597" s="2" t="s">
        <v>6003</v>
      </c>
      <c r="G2597" s="2"/>
    </row>
    <row r="2598" customFormat="false" ht="15" hidden="false" customHeight="false" outlineLevel="0" collapsed="false">
      <c r="A2598" s="2" t="s">
        <v>2391</v>
      </c>
      <c r="B2598" s="2" t="s">
        <v>2392</v>
      </c>
      <c r="C2598" s="2" t="s">
        <v>455</v>
      </c>
      <c r="D2598" s="2" t="s">
        <v>6446</v>
      </c>
      <c r="E2598" s="2" t="s">
        <v>4261</v>
      </c>
      <c r="F2598" s="2" t="s">
        <v>6003</v>
      </c>
      <c r="G2598" s="2"/>
    </row>
    <row r="2599" customFormat="false" ht="15" hidden="false" customHeight="false" outlineLevel="0" collapsed="false">
      <c r="A2599" s="2" t="s">
        <v>2391</v>
      </c>
      <c r="B2599" s="2" t="s">
        <v>2392</v>
      </c>
      <c r="C2599" s="2" t="s">
        <v>455</v>
      </c>
      <c r="D2599" s="2" t="s">
        <v>6447</v>
      </c>
      <c r="E2599" s="2" t="s">
        <v>4261</v>
      </c>
      <c r="F2599" s="2" t="s">
        <v>6003</v>
      </c>
      <c r="G2599" s="2"/>
    </row>
    <row r="2600" customFormat="false" ht="15" hidden="false" customHeight="false" outlineLevel="0" collapsed="false">
      <c r="A2600" s="2" t="s">
        <v>2391</v>
      </c>
      <c r="B2600" s="2" t="s">
        <v>2392</v>
      </c>
      <c r="C2600" s="2" t="s">
        <v>455</v>
      </c>
      <c r="D2600" s="2" t="s">
        <v>6448</v>
      </c>
      <c r="E2600" s="2" t="s">
        <v>4261</v>
      </c>
      <c r="F2600" s="2" t="s">
        <v>6003</v>
      </c>
      <c r="G2600" s="2"/>
    </row>
    <row r="2601" customFormat="false" ht="15" hidden="false" customHeight="false" outlineLevel="0" collapsed="false">
      <c r="A2601" s="2" t="s">
        <v>2391</v>
      </c>
      <c r="B2601" s="2" t="s">
        <v>2392</v>
      </c>
      <c r="C2601" s="2" t="s">
        <v>455</v>
      </c>
      <c r="D2601" s="2" t="s">
        <v>6281</v>
      </c>
      <c r="E2601" s="2" t="s">
        <v>4261</v>
      </c>
      <c r="F2601" s="2" t="s">
        <v>6003</v>
      </c>
      <c r="G2601" s="2"/>
    </row>
    <row r="2602" customFormat="false" ht="15" hidden="false" customHeight="false" outlineLevel="0" collapsed="false">
      <c r="A2602" s="2" t="s">
        <v>2391</v>
      </c>
      <c r="B2602" s="2" t="s">
        <v>2392</v>
      </c>
      <c r="C2602" s="2" t="s">
        <v>455</v>
      </c>
      <c r="D2602" s="2" t="s">
        <v>6449</v>
      </c>
      <c r="E2602" s="2" t="s">
        <v>4261</v>
      </c>
      <c r="F2602" s="2" t="s">
        <v>6003</v>
      </c>
      <c r="G2602" s="2"/>
    </row>
    <row r="2603" customFormat="false" ht="15" hidden="false" customHeight="false" outlineLevel="0" collapsed="false">
      <c r="A2603" s="2" t="s">
        <v>2391</v>
      </c>
      <c r="B2603" s="2" t="s">
        <v>2392</v>
      </c>
      <c r="C2603" s="2" t="s">
        <v>455</v>
      </c>
      <c r="D2603" s="2" t="s">
        <v>6450</v>
      </c>
      <c r="E2603" s="2" t="s">
        <v>4261</v>
      </c>
      <c r="F2603" s="2" t="s">
        <v>6003</v>
      </c>
      <c r="G2603" s="2"/>
    </row>
    <row r="2604" customFormat="false" ht="15" hidden="false" customHeight="false" outlineLevel="0" collapsed="false">
      <c r="A2604" s="2" t="s">
        <v>2391</v>
      </c>
      <c r="B2604" s="2" t="s">
        <v>2392</v>
      </c>
      <c r="C2604" s="2" t="s">
        <v>455</v>
      </c>
      <c r="D2604" s="2" t="s">
        <v>6451</v>
      </c>
      <c r="E2604" s="2" t="s">
        <v>4261</v>
      </c>
      <c r="F2604" s="2" t="s">
        <v>6003</v>
      </c>
      <c r="G2604" s="2"/>
    </row>
    <row r="2605" customFormat="false" ht="15" hidden="false" customHeight="false" outlineLevel="0" collapsed="false">
      <c r="A2605" s="2" t="s">
        <v>2391</v>
      </c>
      <c r="B2605" s="2" t="s">
        <v>2392</v>
      </c>
      <c r="C2605" s="2" t="s">
        <v>455</v>
      </c>
      <c r="D2605" s="2" t="s">
        <v>6452</v>
      </c>
      <c r="E2605" s="2" t="s">
        <v>4261</v>
      </c>
      <c r="F2605" s="2" t="s">
        <v>6003</v>
      </c>
      <c r="G2605" s="2"/>
    </row>
    <row r="2606" customFormat="false" ht="15" hidden="false" customHeight="false" outlineLevel="0" collapsed="false">
      <c r="A2606" s="2" t="s">
        <v>2391</v>
      </c>
      <c r="B2606" s="2" t="s">
        <v>2392</v>
      </c>
      <c r="C2606" s="2" t="s">
        <v>455</v>
      </c>
      <c r="D2606" s="2" t="s">
        <v>6453</v>
      </c>
      <c r="E2606" s="2" t="s">
        <v>4261</v>
      </c>
      <c r="F2606" s="2" t="s">
        <v>6003</v>
      </c>
      <c r="G2606" s="2"/>
    </row>
    <row r="2607" customFormat="false" ht="15" hidden="false" customHeight="false" outlineLevel="0" collapsed="false">
      <c r="A2607" s="2" t="s">
        <v>2391</v>
      </c>
      <c r="B2607" s="2" t="s">
        <v>2392</v>
      </c>
      <c r="C2607" s="2" t="s">
        <v>455</v>
      </c>
      <c r="D2607" s="2" t="s">
        <v>6454</v>
      </c>
      <c r="E2607" s="2" t="s">
        <v>4261</v>
      </c>
      <c r="F2607" s="2" t="s">
        <v>6003</v>
      </c>
      <c r="G2607" s="2"/>
    </row>
    <row r="2608" customFormat="false" ht="15" hidden="false" customHeight="false" outlineLevel="0" collapsed="false">
      <c r="A2608" s="2" t="s">
        <v>2391</v>
      </c>
      <c r="B2608" s="2" t="s">
        <v>2392</v>
      </c>
      <c r="C2608" s="2" t="s">
        <v>455</v>
      </c>
      <c r="D2608" s="2" t="s">
        <v>6455</v>
      </c>
      <c r="E2608" s="2" t="s">
        <v>4261</v>
      </c>
      <c r="F2608" s="2" t="s">
        <v>6003</v>
      </c>
      <c r="G2608" s="2"/>
    </row>
    <row r="2609" customFormat="false" ht="15" hidden="false" customHeight="false" outlineLevel="0" collapsed="false">
      <c r="A2609" s="2" t="s">
        <v>2394</v>
      </c>
      <c r="B2609" s="2" t="s">
        <v>2395</v>
      </c>
      <c r="C2609" s="2" t="s">
        <v>455</v>
      </c>
      <c r="D2609" s="2" t="s">
        <v>2396</v>
      </c>
      <c r="E2609" s="2" t="s">
        <v>4261</v>
      </c>
      <c r="F2609" s="2" t="s">
        <v>6003</v>
      </c>
      <c r="G2609" s="2"/>
    </row>
    <row r="2610" customFormat="false" ht="15" hidden="false" customHeight="false" outlineLevel="0" collapsed="false">
      <c r="A2610" s="2" t="s">
        <v>2398</v>
      </c>
      <c r="B2610" s="2" t="s">
        <v>2399</v>
      </c>
      <c r="C2610" s="2" t="s">
        <v>455</v>
      </c>
      <c r="D2610" s="2" t="s">
        <v>6456</v>
      </c>
      <c r="E2610" s="2" t="s">
        <v>4261</v>
      </c>
      <c r="F2610" s="2" t="s">
        <v>6003</v>
      </c>
      <c r="G2610" s="2"/>
    </row>
    <row r="2611" customFormat="false" ht="15" hidden="false" customHeight="false" outlineLevel="0" collapsed="false">
      <c r="A2611" s="2" t="s">
        <v>2398</v>
      </c>
      <c r="B2611" s="2" t="s">
        <v>2399</v>
      </c>
      <c r="C2611" s="2" t="s">
        <v>455</v>
      </c>
      <c r="D2611" s="2" t="s">
        <v>6457</v>
      </c>
      <c r="E2611" s="2" t="s">
        <v>4261</v>
      </c>
      <c r="F2611" s="2" t="s">
        <v>6003</v>
      </c>
      <c r="G2611" s="2"/>
    </row>
    <row r="2612" customFormat="false" ht="15" hidden="false" customHeight="false" outlineLevel="0" collapsed="false">
      <c r="A2612" s="2" t="s">
        <v>2398</v>
      </c>
      <c r="B2612" s="2" t="s">
        <v>2399</v>
      </c>
      <c r="C2612" s="2" t="s">
        <v>455</v>
      </c>
      <c r="D2612" s="2" t="s">
        <v>5842</v>
      </c>
      <c r="E2612" s="2" t="s">
        <v>4261</v>
      </c>
      <c r="F2612" s="2" t="s">
        <v>6003</v>
      </c>
      <c r="G2612" s="2"/>
    </row>
    <row r="2613" customFormat="false" ht="15" hidden="false" customHeight="false" outlineLevel="0" collapsed="false">
      <c r="A2613" s="2" t="s">
        <v>2405</v>
      </c>
      <c r="B2613" s="2" t="s">
        <v>2399</v>
      </c>
      <c r="C2613" s="2" t="s">
        <v>455</v>
      </c>
      <c r="D2613" s="2" t="s">
        <v>6458</v>
      </c>
      <c r="E2613" s="2" t="s">
        <v>4261</v>
      </c>
      <c r="F2613" s="2" t="s">
        <v>6003</v>
      </c>
      <c r="G2613" s="2"/>
    </row>
    <row r="2614" customFormat="false" ht="15" hidden="false" customHeight="false" outlineLevel="0" collapsed="false">
      <c r="A2614" s="2" t="s">
        <v>2405</v>
      </c>
      <c r="B2614" s="2" t="s">
        <v>2399</v>
      </c>
      <c r="C2614" s="2" t="s">
        <v>455</v>
      </c>
      <c r="D2614" s="2" t="s">
        <v>6459</v>
      </c>
      <c r="E2614" s="2" t="s">
        <v>4261</v>
      </c>
      <c r="F2614" s="2" t="s">
        <v>6003</v>
      </c>
      <c r="G2614" s="2"/>
    </row>
    <row r="2615" customFormat="false" ht="15" hidden="false" customHeight="false" outlineLevel="0" collapsed="false">
      <c r="A2615" s="2" t="s">
        <v>2407</v>
      </c>
      <c r="B2615" s="2" t="s">
        <v>2399</v>
      </c>
      <c r="C2615" s="2" t="s">
        <v>455</v>
      </c>
      <c r="D2615" s="2" t="s">
        <v>2408</v>
      </c>
      <c r="E2615" s="2" t="s">
        <v>4271</v>
      </c>
      <c r="F2615" s="2" t="s">
        <v>6003</v>
      </c>
      <c r="G2615" s="2"/>
    </row>
    <row r="2616" customFormat="false" ht="15" hidden="false" customHeight="false" outlineLevel="0" collapsed="false">
      <c r="A2616" s="2" t="s">
        <v>2409</v>
      </c>
      <c r="B2616" s="2" t="s">
        <v>2399</v>
      </c>
      <c r="C2616" s="2" t="s">
        <v>455</v>
      </c>
      <c r="D2616" s="2" t="s">
        <v>6460</v>
      </c>
      <c r="E2616" s="2" t="s">
        <v>4261</v>
      </c>
      <c r="F2616" s="2" t="s">
        <v>6003</v>
      </c>
      <c r="G2616" s="2"/>
    </row>
    <row r="2617" customFormat="false" ht="15" hidden="false" customHeight="false" outlineLevel="0" collapsed="false">
      <c r="A2617" s="2" t="s">
        <v>2409</v>
      </c>
      <c r="B2617" s="2" t="s">
        <v>2399</v>
      </c>
      <c r="C2617" s="2" t="s">
        <v>455</v>
      </c>
      <c r="D2617" s="2" t="s">
        <v>6461</v>
      </c>
      <c r="E2617" s="2" t="s">
        <v>4261</v>
      </c>
      <c r="F2617" s="2" t="s">
        <v>6003</v>
      </c>
      <c r="G2617" s="2"/>
    </row>
    <row r="2618" customFormat="false" ht="15" hidden="false" customHeight="false" outlineLevel="0" collapsed="false">
      <c r="A2618" s="2" t="s">
        <v>2409</v>
      </c>
      <c r="B2618" s="2" t="s">
        <v>2399</v>
      </c>
      <c r="C2618" s="2" t="s">
        <v>455</v>
      </c>
      <c r="D2618" s="2" t="s">
        <v>6462</v>
      </c>
      <c r="E2618" s="2" t="s">
        <v>4261</v>
      </c>
      <c r="F2618" s="2" t="s">
        <v>6003</v>
      </c>
      <c r="G2618" s="2"/>
    </row>
    <row r="2619" customFormat="false" ht="15" hidden="false" customHeight="false" outlineLevel="0" collapsed="false">
      <c r="A2619" s="2" t="s">
        <v>2409</v>
      </c>
      <c r="B2619" s="2" t="s">
        <v>2399</v>
      </c>
      <c r="C2619" s="2" t="s">
        <v>455</v>
      </c>
      <c r="D2619" s="2" t="s">
        <v>6463</v>
      </c>
      <c r="E2619" s="2" t="s">
        <v>4261</v>
      </c>
      <c r="F2619" s="2" t="s">
        <v>6003</v>
      </c>
      <c r="G2619" s="2"/>
    </row>
    <row r="2620" customFormat="false" ht="15" hidden="false" customHeight="false" outlineLevel="0" collapsed="false">
      <c r="A2620" s="2" t="s">
        <v>2409</v>
      </c>
      <c r="B2620" s="2" t="s">
        <v>2399</v>
      </c>
      <c r="C2620" s="2" t="s">
        <v>455</v>
      </c>
      <c r="D2620" s="2" t="s">
        <v>4462</v>
      </c>
      <c r="E2620" s="2" t="s">
        <v>4261</v>
      </c>
      <c r="F2620" s="2" t="s">
        <v>6003</v>
      </c>
      <c r="G2620" s="2"/>
    </row>
    <row r="2621" customFormat="false" ht="15" hidden="false" customHeight="false" outlineLevel="0" collapsed="false">
      <c r="A2621" s="2" t="s">
        <v>2409</v>
      </c>
      <c r="B2621" s="2" t="s">
        <v>2399</v>
      </c>
      <c r="C2621" s="2" t="s">
        <v>455</v>
      </c>
      <c r="D2621" s="2" t="s">
        <v>6464</v>
      </c>
      <c r="E2621" s="2" t="s">
        <v>4261</v>
      </c>
      <c r="F2621" s="2" t="s">
        <v>6003</v>
      </c>
      <c r="G2621" s="2"/>
    </row>
    <row r="2622" customFormat="false" ht="15" hidden="false" customHeight="false" outlineLevel="0" collapsed="false">
      <c r="A2622" s="2" t="s">
        <v>2428</v>
      </c>
      <c r="B2622" s="2" t="s">
        <v>2429</v>
      </c>
      <c r="C2622" s="2" t="s">
        <v>273</v>
      </c>
      <c r="D2622" s="2" t="s">
        <v>6465</v>
      </c>
      <c r="E2622" s="2" t="s">
        <v>4261</v>
      </c>
      <c r="F2622" s="2" t="s">
        <v>6003</v>
      </c>
      <c r="G2622" s="2"/>
    </row>
    <row r="2623" customFormat="false" ht="15" hidden="false" customHeight="false" outlineLevel="0" collapsed="false">
      <c r="A2623" s="2" t="s">
        <v>2428</v>
      </c>
      <c r="B2623" s="2" t="s">
        <v>2429</v>
      </c>
      <c r="C2623" s="2" t="s">
        <v>273</v>
      </c>
      <c r="D2623" s="2" t="s">
        <v>6466</v>
      </c>
      <c r="E2623" s="2" t="s">
        <v>4261</v>
      </c>
      <c r="F2623" s="2" t="s">
        <v>6003</v>
      </c>
      <c r="G2623" s="2"/>
    </row>
    <row r="2624" customFormat="false" ht="15" hidden="false" customHeight="false" outlineLevel="0" collapsed="false">
      <c r="A2624" s="2" t="s">
        <v>2428</v>
      </c>
      <c r="B2624" s="2" t="s">
        <v>2429</v>
      </c>
      <c r="C2624" s="2" t="s">
        <v>273</v>
      </c>
      <c r="D2624" s="2" t="s">
        <v>6467</v>
      </c>
      <c r="E2624" s="2" t="s">
        <v>4261</v>
      </c>
      <c r="F2624" s="2" t="s">
        <v>6003</v>
      </c>
      <c r="G2624" s="2"/>
    </row>
    <row r="2625" customFormat="false" ht="15" hidden="false" customHeight="false" outlineLevel="0" collapsed="false">
      <c r="A2625" s="2" t="s">
        <v>2428</v>
      </c>
      <c r="B2625" s="2" t="s">
        <v>2429</v>
      </c>
      <c r="C2625" s="2" t="s">
        <v>273</v>
      </c>
      <c r="D2625" s="2" t="s">
        <v>6468</v>
      </c>
      <c r="E2625" s="2" t="s">
        <v>4261</v>
      </c>
      <c r="F2625" s="2" t="s">
        <v>6003</v>
      </c>
      <c r="G2625" s="2"/>
    </row>
    <row r="2626" customFormat="false" ht="15" hidden="false" customHeight="false" outlineLevel="0" collapsed="false">
      <c r="A2626" s="2" t="s">
        <v>2433</v>
      </c>
      <c r="B2626" s="2" t="s">
        <v>2429</v>
      </c>
      <c r="C2626" s="2" t="s">
        <v>273</v>
      </c>
      <c r="D2626" s="2" t="s">
        <v>2434</v>
      </c>
      <c r="E2626" s="2" t="s">
        <v>4261</v>
      </c>
      <c r="F2626" s="2" t="s">
        <v>6003</v>
      </c>
      <c r="G2626" s="2"/>
    </row>
    <row r="2627" customFormat="false" ht="15" hidden="false" customHeight="false" outlineLevel="0" collapsed="false">
      <c r="A2627" s="2" t="s">
        <v>2474</v>
      </c>
      <c r="B2627" s="2" t="s">
        <v>2475</v>
      </c>
      <c r="C2627" s="2" t="s">
        <v>2445</v>
      </c>
      <c r="D2627" s="2" t="s">
        <v>2475</v>
      </c>
      <c r="E2627" s="2" t="s">
        <v>4261</v>
      </c>
      <c r="F2627" s="2" t="s">
        <v>6003</v>
      </c>
      <c r="G2627" s="2"/>
    </row>
    <row r="2628" customFormat="false" ht="15" hidden="false" customHeight="false" outlineLevel="0" collapsed="false">
      <c r="A2628" s="2" t="s">
        <v>2476</v>
      </c>
      <c r="B2628" s="2" t="s">
        <v>2477</v>
      </c>
      <c r="C2628" s="2" t="s">
        <v>2437</v>
      </c>
      <c r="D2628" s="2" t="s">
        <v>6469</v>
      </c>
      <c r="E2628" s="2" t="s">
        <v>4261</v>
      </c>
      <c r="F2628" s="2" t="s">
        <v>6003</v>
      </c>
      <c r="G2628" s="2"/>
    </row>
    <row r="2629" customFormat="false" ht="15" hidden="false" customHeight="false" outlineLevel="0" collapsed="false">
      <c r="A2629" s="2" t="s">
        <v>2476</v>
      </c>
      <c r="B2629" s="2" t="s">
        <v>2477</v>
      </c>
      <c r="C2629" s="2" t="s">
        <v>2437</v>
      </c>
      <c r="D2629" s="2" t="s">
        <v>6470</v>
      </c>
      <c r="E2629" s="2" t="s">
        <v>4261</v>
      </c>
      <c r="F2629" s="2" t="s">
        <v>6003</v>
      </c>
      <c r="G2629" s="2"/>
    </row>
    <row r="2630" customFormat="false" ht="15" hidden="false" customHeight="false" outlineLevel="0" collapsed="false">
      <c r="A2630" s="2" t="s">
        <v>2476</v>
      </c>
      <c r="B2630" s="2" t="s">
        <v>2477</v>
      </c>
      <c r="C2630" s="2" t="s">
        <v>2437</v>
      </c>
      <c r="D2630" s="2" t="s">
        <v>6471</v>
      </c>
      <c r="E2630" s="2" t="s">
        <v>4261</v>
      </c>
      <c r="F2630" s="2" t="s">
        <v>6003</v>
      </c>
      <c r="G2630" s="2"/>
    </row>
    <row r="2631" customFormat="false" ht="15" hidden="false" customHeight="false" outlineLevel="0" collapsed="false">
      <c r="A2631" s="2" t="s">
        <v>2476</v>
      </c>
      <c r="B2631" s="2" t="s">
        <v>2477</v>
      </c>
      <c r="C2631" s="2" t="s">
        <v>2437</v>
      </c>
      <c r="D2631" s="2" t="s">
        <v>6472</v>
      </c>
      <c r="E2631" s="2" t="s">
        <v>4261</v>
      </c>
      <c r="F2631" s="2" t="s">
        <v>6003</v>
      </c>
      <c r="G2631" s="2"/>
    </row>
    <row r="2632" customFormat="false" ht="15" hidden="false" customHeight="false" outlineLevel="0" collapsed="false">
      <c r="A2632" s="2" t="s">
        <v>2476</v>
      </c>
      <c r="B2632" s="2" t="s">
        <v>2477</v>
      </c>
      <c r="C2632" s="2" t="s">
        <v>2437</v>
      </c>
      <c r="D2632" s="2" t="s">
        <v>6473</v>
      </c>
      <c r="E2632" s="2" t="s">
        <v>4261</v>
      </c>
      <c r="F2632" s="2" t="s">
        <v>6003</v>
      </c>
      <c r="G2632" s="2"/>
    </row>
    <row r="2633" customFormat="false" ht="15" hidden="false" customHeight="false" outlineLevel="0" collapsed="false">
      <c r="A2633" s="2" t="s">
        <v>2476</v>
      </c>
      <c r="B2633" s="2" t="s">
        <v>2477</v>
      </c>
      <c r="C2633" s="2" t="s">
        <v>2437</v>
      </c>
      <c r="D2633" s="2" t="s">
        <v>6474</v>
      </c>
      <c r="E2633" s="2" t="s">
        <v>4261</v>
      </c>
      <c r="F2633" s="2" t="s">
        <v>6003</v>
      </c>
      <c r="G2633" s="2"/>
    </row>
    <row r="2634" customFormat="false" ht="15" hidden="false" customHeight="false" outlineLevel="0" collapsed="false">
      <c r="A2634" s="2" t="s">
        <v>2476</v>
      </c>
      <c r="B2634" s="2" t="s">
        <v>2477</v>
      </c>
      <c r="C2634" s="2" t="s">
        <v>2437</v>
      </c>
      <c r="D2634" s="2" t="s">
        <v>6475</v>
      </c>
      <c r="E2634" s="2" t="s">
        <v>4261</v>
      </c>
      <c r="F2634" s="2" t="s">
        <v>6003</v>
      </c>
      <c r="G2634" s="2"/>
    </row>
    <row r="2635" customFormat="false" ht="15" hidden="false" customHeight="false" outlineLevel="0" collapsed="false">
      <c r="A2635" s="2" t="s">
        <v>2476</v>
      </c>
      <c r="B2635" s="2" t="s">
        <v>2477</v>
      </c>
      <c r="C2635" s="2" t="s">
        <v>2437</v>
      </c>
      <c r="D2635" s="2" t="s">
        <v>6476</v>
      </c>
      <c r="E2635" s="2" t="s">
        <v>4261</v>
      </c>
      <c r="F2635" s="2" t="s">
        <v>6003</v>
      </c>
      <c r="G2635" s="2"/>
    </row>
    <row r="2636" customFormat="false" ht="15" hidden="false" customHeight="false" outlineLevel="0" collapsed="false">
      <c r="A2636" s="2" t="s">
        <v>2476</v>
      </c>
      <c r="B2636" s="2" t="s">
        <v>2477</v>
      </c>
      <c r="C2636" s="2" t="s">
        <v>2437</v>
      </c>
      <c r="D2636" s="2" t="s">
        <v>6477</v>
      </c>
      <c r="E2636" s="2" t="s">
        <v>4261</v>
      </c>
      <c r="F2636" s="2" t="s">
        <v>6003</v>
      </c>
      <c r="G2636" s="2"/>
    </row>
    <row r="2637" customFormat="false" ht="15" hidden="false" customHeight="false" outlineLevel="0" collapsed="false">
      <c r="A2637" s="2" t="s">
        <v>2476</v>
      </c>
      <c r="B2637" s="2" t="s">
        <v>2477</v>
      </c>
      <c r="C2637" s="2" t="s">
        <v>2437</v>
      </c>
      <c r="D2637" s="2" t="s">
        <v>6478</v>
      </c>
      <c r="E2637" s="2" t="s">
        <v>4261</v>
      </c>
      <c r="F2637" s="2" t="s">
        <v>6003</v>
      </c>
      <c r="G2637" s="2"/>
    </row>
    <row r="2638" customFormat="false" ht="15" hidden="false" customHeight="false" outlineLevel="0" collapsed="false">
      <c r="A2638" s="2" t="s">
        <v>2476</v>
      </c>
      <c r="B2638" s="2" t="s">
        <v>2477</v>
      </c>
      <c r="C2638" s="2" t="s">
        <v>2437</v>
      </c>
      <c r="D2638" s="2" t="s">
        <v>386</v>
      </c>
      <c r="E2638" s="2" t="s">
        <v>4261</v>
      </c>
      <c r="F2638" s="2" t="s">
        <v>6003</v>
      </c>
      <c r="G2638" s="2"/>
    </row>
    <row r="2639" customFormat="false" ht="15" hidden="false" customHeight="false" outlineLevel="0" collapsed="false">
      <c r="A2639" s="2" t="s">
        <v>2476</v>
      </c>
      <c r="B2639" s="2" t="s">
        <v>2477</v>
      </c>
      <c r="C2639" s="2" t="s">
        <v>2437</v>
      </c>
      <c r="D2639" s="2" t="s">
        <v>3634</v>
      </c>
      <c r="E2639" s="2" t="s">
        <v>4261</v>
      </c>
      <c r="F2639" s="2" t="s">
        <v>6003</v>
      </c>
      <c r="G2639" s="2"/>
    </row>
    <row r="2640" customFormat="false" ht="15" hidden="false" customHeight="false" outlineLevel="0" collapsed="false">
      <c r="A2640" s="2" t="s">
        <v>2476</v>
      </c>
      <c r="B2640" s="2" t="s">
        <v>2477</v>
      </c>
      <c r="C2640" s="2" t="s">
        <v>2437</v>
      </c>
      <c r="D2640" s="2" t="s">
        <v>6479</v>
      </c>
      <c r="E2640" s="2" t="s">
        <v>4261</v>
      </c>
      <c r="F2640" s="2" t="s">
        <v>6003</v>
      </c>
      <c r="G2640" s="2"/>
    </row>
    <row r="2641" customFormat="false" ht="15" hidden="false" customHeight="false" outlineLevel="0" collapsed="false">
      <c r="A2641" s="2" t="s">
        <v>2476</v>
      </c>
      <c r="B2641" s="2" t="s">
        <v>2477</v>
      </c>
      <c r="C2641" s="2" t="s">
        <v>2437</v>
      </c>
      <c r="D2641" s="2" t="s">
        <v>6480</v>
      </c>
      <c r="E2641" s="2" t="s">
        <v>4261</v>
      </c>
      <c r="F2641" s="2" t="s">
        <v>6003</v>
      </c>
      <c r="G2641" s="2"/>
    </row>
    <row r="2642" customFormat="false" ht="15" hidden="false" customHeight="false" outlineLevel="0" collapsed="false">
      <c r="A2642" s="2" t="s">
        <v>2496</v>
      </c>
      <c r="B2642" s="2" t="s">
        <v>2497</v>
      </c>
      <c r="C2642" s="2" t="s">
        <v>2445</v>
      </c>
      <c r="D2642" s="2" t="s">
        <v>2498</v>
      </c>
      <c r="E2642" s="2" t="s">
        <v>4261</v>
      </c>
      <c r="F2642" s="2" t="s">
        <v>6003</v>
      </c>
      <c r="G2642" s="2"/>
    </row>
    <row r="2643" customFormat="false" ht="15" hidden="false" customHeight="false" outlineLevel="0" collapsed="false">
      <c r="A2643" s="2" t="s">
        <v>2509</v>
      </c>
      <c r="B2643" s="2" t="s">
        <v>2510</v>
      </c>
      <c r="C2643" s="2" t="s">
        <v>2437</v>
      </c>
      <c r="D2643" s="2" t="s">
        <v>6481</v>
      </c>
      <c r="E2643" s="2" t="s">
        <v>4261</v>
      </c>
      <c r="F2643" s="2" t="s">
        <v>6003</v>
      </c>
      <c r="G2643" s="2"/>
    </row>
    <row r="2644" customFormat="false" ht="15" hidden="false" customHeight="false" outlineLevel="0" collapsed="false">
      <c r="A2644" s="2" t="s">
        <v>2509</v>
      </c>
      <c r="B2644" s="2" t="s">
        <v>2510</v>
      </c>
      <c r="C2644" s="2" t="s">
        <v>2437</v>
      </c>
      <c r="D2644" s="2" t="s">
        <v>6482</v>
      </c>
      <c r="E2644" s="2" t="s">
        <v>4261</v>
      </c>
      <c r="F2644" s="2" t="s">
        <v>6003</v>
      </c>
      <c r="G2644" s="2"/>
    </row>
    <row r="2645" customFormat="false" ht="15" hidden="false" customHeight="false" outlineLevel="0" collapsed="false">
      <c r="A2645" s="2" t="s">
        <v>2509</v>
      </c>
      <c r="B2645" s="2" t="s">
        <v>2510</v>
      </c>
      <c r="C2645" s="2" t="s">
        <v>2437</v>
      </c>
      <c r="D2645" s="2" t="s">
        <v>6483</v>
      </c>
      <c r="E2645" s="2" t="s">
        <v>4261</v>
      </c>
      <c r="F2645" s="2" t="s">
        <v>6003</v>
      </c>
      <c r="G2645" s="2"/>
    </row>
    <row r="2646" customFormat="false" ht="15" hidden="false" customHeight="false" outlineLevel="0" collapsed="false">
      <c r="A2646" s="2" t="s">
        <v>2509</v>
      </c>
      <c r="B2646" s="2" t="s">
        <v>2510</v>
      </c>
      <c r="C2646" s="2" t="s">
        <v>2437</v>
      </c>
      <c r="D2646" s="2" t="s">
        <v>6484</v>
      </c>
      <c r="E2646" s="2" t="s">
        <v>4261</v>
      </c>
      <c r="F2646" s="2" t="s">
        <v>6003</v>
      </c>
      <c r="G2646" s="2"/>
    </row>
    <row r="2647" customFormat="false" ht="15" hidden="false" customHeight="false" outlineLevel="0" collapsed="false">
      <c r="A2647" s="2" t="s">
        <v>2509</v>
      </c>
      <c r="B2647" s="2" t="s">
        <v>2510</v>
      </c>
      <c r="C2647" s="2" t="s">
        <v>2437</v>
      </c>
      <c r="D2647" s="2" t="s">
        <v>6485</v>
      </c>
      <c r="E2647" s="2" t="s">
        <v>4261</v>
      </c>
      <c r="F2647" s="2" t="s">
        <v>6003</v>
      </c>
      <c r="G2647" s="2"/>
    </row>
    <row r="2648" customFormat="false" ht="15" hidden="false" customHeight="false" outlineLevel="0" collapsed="false">
      <c r="A2648" s="2" t="s">
        <v>2509</v>
      </c>
      <c r="B2648" s="2" t="s">
        <v>2510</v>
      </c>
      <c r="C2648" s="2" t="s">
        <v>2437</v>
      </c>
      <c r="D2648" s="2" t="s">
        <v>6486</v>
      </c>
      <c r="E2648" s="2" t="s">
        <v>4261</v>
      </c>
      <c r="F2648" s="2" t="s">
        <v>6003</v>
      </c>
      <c r="G2648" s="2"/>
    </row>
    <row r="2649" customFormat="false" ht="15" hidden="false" customHeight="false" outlineLevel="0" collapsed="false">
      <c r="A2649" s="2" t="s">
        <v>2527</v>
      </c>
      <c r="B2649" s="2" t="s">
        <v>2528</v>
      </c>
      <c r="C2649" s="2" t="s">
        <v>2437</v>
      </c>
      <c r="D2649" s="2" t="s">
        <v>6487</v>
      </c>
      <c r="E2649" s="2" t="s">
        <v>4261</v>
      </c>
      <c r="F2649" s="2" t="s">
        <v>6003</v>
      </c>
      <c r="G2649" s="2"/>
    </row>
    <row r="2650" customFormat="false" ht="15" hidden="false" customHeight="false" outlineLevel="0" collapsed="false">
      <c r="A2650" s="2" t="s">
        <v>2527</v>
      </c>
      <c r="B2650" s="2" t="s">
        <v>2528</v>
      </c>
      <c r="C2650" s="2" t="s">
        <v>2437</v>
      </c>
      <c r="D2650" s="2" t="s">
        <v>6488</v>
      </c>
      <c r="E2650" s="2" t="s">
        <v>4261</v>
      </c>
      <c r="F2650" s="2" t="s">
        <v>6003</v>
      </c>
      <c r="G2650" s="2"/>
    </row>
    <row r="2651" customFormat="false" ht="15" hidden="false" customHeight="false" outlineLevel="0" collapsed="false">
      <c r="A2651" s="2" t="s">
        <v>2539</v>
      </c>
      <c r="B2651" s="2" t="s">
        <v>2452</v>
      </c>
      <c r="C2651" s="2" t="s">
        <v>2445</v>
      </c>
      <c r="D2651" s="2" t="s">
        <v>6489</v>
      </c>
      <c r="E2651" s="2" t="s">
        <v>4261</v>
      </c>
      <c r="F2651" s="2" t="s">
        <v>6003</v>
      </c>
      <c r="G2651" s="2"/>
    </row>
    <row r="2652" customFormat="false" ht="15" hidden="false" customHeight="false" outlineLevel="0" collapsed="false">
      <c r="A2652" s="2" t="s">
        <v>2539</v>
      </c>
      <c r="B2652" s="2" t="s">
        <v>2452</v>
      </c>
      <c r="C2652" s="2" t="s">
        <v>2445</v>
      </c>
      <c r="D2652" s="2" t="s">
        <v>6490</v>
      </c>
      <c r="E2652" s="2" t="s">
        <v>4261</v>
      </c>
      <c r="F2652" s="2" t="s">
        <v>6003</v>
      </c>
      <c r="G2652" s="2"/>
    </row>
    <row r="2653" customFormat="false" ht="15" hidden="false" customHeight="false" outlineLevel="0" collapsed="false">
      <c r="A2653" s="2" t="s">
        <v>2549</v>
      </c>
      <c r="B2653" s="2" t="s">
        <v>2519</v>
      </c>
      <c r="C2653" s="2" t="s">
        <v>2445</v>
      </c>
      <c r="D2653" s="2" t="s">
        <v>6491</v>
      </c>
      <c r="E2653" s="2" t="s">
        <v>4271</v>
      </c>
      <c r="F2653" s="2" t="s">
        <v>6003</v>
      </c>
      <c r="G2653" s="2"/>
    </row>
    <row r="2654" customFormat="false" ht="15" hidden="false" customHeight="false" outlineLevel="0" collapsed="false">
      <c r="A2654" s="2" t="s">
        <v>2549</v>
      </c>
      <c r="B2654" s="2" t="s">
        <v>2519</v>
      </c>
      <c r="C2654" s="2" t="s">
        <v>2445</v>
      </c>
      <c r="D2654" s="2" t="s">
        <v>6492</v>
      </c>
      <c r="E2654" s="2" t="s">
        <v>4271</v>
      </c>
      <c r="F2654" s="2" t="s">
        <v>6003</v>
      </c>
      <c r="G2654" s="2"/>
    </row>
    <row r="2655" customFormat="false" ht="15" hidden="false" customHeight="false" outlineLevel="0" collapsed="false">
      <c r="A2655" s="2" t="s">
        <v>2558</v>
      </c>
      <c r="B2655" s="2" t="s">
        <v>2437</v>
      </c>
      <c r="C2655" s="2" t="s">
        <v>2437</v>
      </c>
      <c r="D2655" s="2" t="s">
        <v>3960</v>
      </c>
      <c r="E2655" s="2" t="s">
        <v>4261</v>
      </c>
      <c r="F2655" s="2" t="s">
        <v>6003</v>
      </c>
      <c r="G2655" s="2"/>
    </row>
    <row r="2656" customFormat="false" ht="15" hidden="false" customHeight="false" outlineLevel="0" collapsed="false">
      <c r="A2656" s="2" t="s">
        <v>2558</v>
      </c>
      <c r="B2656" s="2" t="s">
        <v>2437</v>
      </c>
      <c r="C2656" s="2" t="s">
        <v>2437</v>
      </c>
      <c r="D2656" s="2" t="s">
        <v>6493</v>
      </c>
      <c r="E2656" s="2" t="s">
        <v>4261</v>
      </c>
      <c r="F2656" s="2" t="s">
        <v>6003</v>
      </c>
      <c r="G2656" s="2"/>
    </row>
    <row r="2657" customFormat="false" ht="15" hidden="false" customHeight="false" outlineLevel="0" collapsed="false">
      <c r="A2657" s="2" t="s">
        <v>2558</v>
      </c>
      <c r="B2657" s="2" t="s">
        <v>2437</v>
      </c>
      <c r="C2657" s="2" t="s">
        <v>2437</v>
      </c>
      <c r="D2657" s="2" t="s">
        <v>6494</v>
      </c>
      <c r="E2657" s="2" t="s">
        <v>4261</v>
      </c>
      <c r="F2657" s="2" t="s">
        <v>6003</v>
      </c>
      <c r="G2657" s="2"/>
    </row>
    <row r="2658" customFormat="false" ht="15" hidden="false" customHeight="false" outlineLevel="0" collapsed="false">
      <c r="A2658" s="2" t="s">
        <v>2558</v>
      </c>
      <c r="B2658" s="2" t="s">
        <v>2437</v>
      </c>
      <c r="C2658" s="2" t="s">
        <v>2437</v>
      </c>
      <c r="D2658" s="2" t="s">
        <v>6495</v>
      </c>
      <c r="E2658" s="2" t="s">
        <v>4261</v>
      </c>
      <c r="F2658" s="2" t="s">
        <v>6003</v>
      </c>
      <c r="G2658" s="2"/>
    </row>
    <row r="2659" customFormat="false" ht="15" hidden="false" customHeight="false" outlineLevel="0" collapsed="false">
      <c r="A2659" s="2" t="s">
        <v>2562</v>
      </c>
      <c r="B2659" s="2" t="s">
        <v>2563</v>
      </c>
      <c r="C2659" s="2" t="s">
        <v>2437</v>
      </c>
      <c r="D2659" s="2" t="s">
        <v>6496</v>
      </c>
      <c r="E2659" s="2" t="s">
        <v>4261</v>
      </c>
      <c r="F2659" s="2" t="s">
        <v>6003</v>
      </c>
      <c r="G2659" s="2"/>
    </row>
    <row r="2660" customFormat="false" ht="15" hidden="false" customHeight="false" outlineLevel="0" collapsed="false">
      <c r="A2660" s="2" t="s">
        <v>2562</v>
      </c>
      <c r="B2660" s="2" t="s">
        <v>2563</v>
      </c>
      <c r="C2660" s="2" t="s">
        <v>2437</v>
      </c>
      <c r="D2660" s="2" t="s">
        <v>6497</v>
      </c>
      <c r="E2660" s="2" t="s">
        <v>4261</v>
      </c>
      <c r="F2660" s="2" t="s">
        <v>6003</v>
      </c>
      <c r="G2660" s="2"/>
    </row>
    <row r="2661" customFormat="false" ht="15" hidden="false" customHeight="false" outlineLevel="0" collapsed="false">
      <c r="A2661" s="2" t="s">
        <v>2562</v>
      </c>
      <c r="B2661" s="2" t="s">
        <v>2563</v>
      </c>
      <c r="C2661" s="2" t="s">
        <v>2437</v>
      </c>
      <c r="D2661" s="2" t="s">
        <v>6498</v>
      </c>
      <c r="E2661" s="2" t="s">
        <v>4261</v>
      </c>
      <c r="F2661" s="2" t="s">
        <v>6003</v>
      </c>
      <c r="G2661" s="2"/>
    </row>
    <row r="2662" customFormat="false" ht="15" hidden="false" customHeight="false" outlineLevel="0" collapsed="false">
      <c r="A2662" s="2" t="s">
        <v>2562</v>
      </c>
      <c r="B2662" s="2" t="s">
        <v>2563</v>
      </c>
      <c r="C2662" s="2" t="s">
        <v>2437</v>
      </c>
      <c r="D2662" s="2" t="s">
        <v>6499</v>
      </c>
      <c r="E2662" s="2" t="s">
        <v>4261</v>
      </c>
      <c r="F2662" s="2" t="s">
        <v>6003</v>
      </c>
      <c r="G2662" s="2"/>
    </row>
    <row r="2663" customFormat="false" ht="15" hidden="false" customHeight="false" outlineLevel="0" collapsed="false">
      <c r="A2663" s="2" t="s">
        <v>2562</v>
      </c>
      <c r="B2663" s="2" t="s">
        <v>2563</v>
      </c>
      <c r="C2663" s="2" t="s">
        <v>2437</v>
      </c>
      <c r="D2663" s="2" t="s">
        <v>6500</v>
      </c>
      <c r="E2663" s="2" t="s">
        <v>4261</v>
      </c>
      <c r="F2663" s="2" t="s">
        <v>6003</v>
      </c>
      <c r="G2663" s="2"/>
    </row>
    <row r="2664" customFormat="false" ht="15" hidden="false" customHeight="false" outlineLevel="0" collapsed="false">
      <c r="A2664" s="2" t="s">
        <v>2562</v>
      </c>
      <c r="B2664" s="2" t="s">
        <v>2563</v>
      </c>
      <c r="C2664" s="2" t="s">
        <v>2437</v>
      </c>
      <c r="D2664" s="2" t="s">
        <v>6501</v>
      </c>
      <c r="E2664" s="2" t="s">
        <v>4261</v>
      </c>
      <c r="F2664" s="2" t="s">
        <v>6003</v>
      </c>
      <c r="G2664" s="2"/>
    </row>
    <row r="2665" customFormat="false" ht="15" hidden="false" customHeight="false" outlineLevel="0" collapsed="false">
      <c r="A2665" s="2" t="s">
        <v>2562</v>
      </c>
      <c r="B2665" s="2" t="s">
        <v>2563</v>
      </c>
      <c r="C2665" s="2" t="s">
        <v>2437</v>
      </c>
      <c r="D2665" s="2" t="s">
        <v>6502</v>
      </c>
      <c r="E2665" s="2" t="s">
        <v>4261</v>
      </c>
      <c r="F2665" s="2" t="s">
        <v>6003</v>
      </c>
      <c r="G2665" s="2"/>
    </row>
    <row r="2666" customFormat="false" ht="15" hidden="false" customHeight="false" outlineLevel="0" collapsed="false">
      <c r="A2666" s="2" t="s">
        <v>2562</v>
      </c>
      <c r="B2666" s="2" t="s">
        <v>2563</v>
      </c>
      <c r="C2666" s="2" t="s">
        <v>2437</v>
      </c>
      <c r="D2666" s="2" t="s">
        <v>6503</v>
      </c>
      <c r="E2666" s="2" t="s">
        <v>4261</v>
      </c>
      <c r="F2666" s="2" t="s">
        <v>6003</v>
      </c>
      <c r="G2666" s="2"/>
    </row>
    <row r="2667" customFormat="false" ht="15" hidden="false" customHeight="false" outlineLevel="0" collapsed="false">
      <c r="A2667" s="2" t="s">
        <v>2562</v>
      </c>
      <c r="B2667" s="2" t="s">
        <v>2563</v>
      </c>
      <c r="C2667" s="2" t="s">
        <v>2437</v>
      </c>
      <c r="D2667" s="2" t="s">
        <v>6504</v>
      </c>
      <c r="E2667" s="2" t="s">
        <v>4261</v>
      </c>
      <c r="F2667" s="2" t="s">
        <v>6003</v>
      </c>
      <c r="G2667" s="2"/>
    </row>
    <row r="2668" customFormat="false" ht="15" hidden="false" customHeight="false" outlineLevel="0" collapsed="false">
      <c r="A2668" s="2" t="s">
        <v>2562</v>
      </c>
      <c r="B2668" s="2" t="s">
        <v>2563</v>
      </c>
      <c r="C2668" s="2" t="s">
        <v>2437</v>
      </c>
      <c r="D2668" s="2" t="s">
        <v>6505</v>
      </c>
      <c r="E2668" s="2" t="s">
        <v>4261</v>
      </c>
      <c r="F2668" s="2" t="s">
        <v>6003</v>
      </c>
      <c r="G2668" s="2"/>
    </row>
    <row r="2669" customFormat="false" ht="15" hidden="false" customHeight="false" outlineLevel="0" collapsed="false">
      <c r="A2669" s="2" t="s">
        <v>2562</v>
      </c>
      <c r="B2669" s="2" t="s">
        <v>2563</v>
      </c>
      <c r="C2669" s="2" t="s">
        <v>2437</v>
      </c>
      <c r="D2669" s="2" t="s">
        <v>6506</v>
      </c>
      <c r="E2669" s="2" t="s">
        <v>4261</v>
      </c>
      <c r="F2669" s="2" t="s">
        <v>6003</v>
      </c>
      <c r="G2669" s="2"/>
    </row>
    <row r="2670" customFormat="false" ht="15" hidden="false" customHeight="false" outlineLevel="0" collapsed="false">
      <c r="A2670" s="2" t="s">
        <v>2562</v>
      </c>
      <c r="B2670" s="2" t="s">
        <v>2563</v>
      </c>
      <c r="C2670" s="2" t="s">
        <v>2437</v>
      </c>
      <c r="D2670" s="2" t="s">
        <v>6507</v>
      </c>
      <c r="E2670" s="2" t="s">
        <v>4261</v>
      </c>
      <c r="F2670" s="2" t="s">
        <v>6003</v>
      </c>
      <c r="G2670" s="2"/>
    </row>
    <row r="2671" customFormat="false" ht="15" hidden="false" customHeight="false" outlineLevel="0" collapsed="false">
      <c r="A2671" s="2" t="s">
        <v>2562</v>
      </c>
      <c r="B2671" s="2" t="s">
        <v>2563</v>
      </c>
      <c r="C2671" s="2" t="s">
        <v>2437</v>
      </c>
      <c r="D2671" s="2" t="s">
        <v>6508</v>
      </c>
      <c r="E2671" s="2" t="s">
        <v>4261</v>
      </c>
      <c r="F2671" s="2" t="s">
        <v>6003</v>
      </c>
      <c r="G2671" s="2"/>
    </row>
    <row r="2672" customFormat="false" ht="15" hidden="false" customHeight="false" outlineLevel="0" collapsed="false">
      <c r="A2672" s="2" t="s">
        <v>2562</v>
      </c>
      <c r="B2672" s="2" t="s">
        <v>2563</v>
      </c>
      <c r="C2672" s="2" t="s">
        <v>2437</v>
      </c>
      <c r="D2672" s="2" t="s">
        <v>6509</v>
      </c>
      <c r="E2672" s="2" t="s">
        <v>4261</v>
      </c>
      <c r="F2672" s="2" t="s">
        <v>6003</v>
      </c>
      <c r="G2672" s="2"/>
    </row>
    <row r="2673" customFormat="false" ht="15" hidden="false" customHeight="false" outlineLevel="0" collapsed="false">
      <c r="A2673" s="2" t="s">
        <v>2562</v>
      </c>
      <c r="B2673" s="2" t="s">
        <v>2563</v>
      </c>
      <c r="C2673" s="2" t="s">
        <v>2437</v>
      </c>
      <c r="D2673" s="2" t="s">
        <v>6510</v>
      </c>
      <c r="E2673" s="2" t="s">
        <v>4261</v>
      </c>
      <c r="F2673" s="2" t="s">
        <v>6003</v>
      </c>
      <c r="G2673" s="2"/>
    </row>
    <row r="2674" customFormat="false" ht="15" hidden="false" customHeight="false" outlineLevel="0" collapsed="false">
      <c r="A2674" s="2" t="s">
        <v>2562</v>
      </c>
      <c r="B2674" s="2" t="s">
        <v>2563</v>
      </c>
      <c r="C2674" s="2" t="s">
        <v>2437</v>
      </c>
      <c r="D2674" s="2" t="s">
        <v>6511</v>
      </c>
      <c r="E2674" s="2" t="s">
        <v>4261</v>
      </c>
      <c r="F2674" s="2" t="s">
        <v>6003</v>
      </c>
      <c r="G2674" s="2"/>
    </row>
    <row r="2675" customFormat="false" ht="15" hidden="false" customHeight="false" outlineLevel="0" collapsed="false">
      <c r="A2675" s="2" t="s">
        <v>2562</v>
      </c>
      <c r="B2675" s="2" t="s">
        <v>2563</v>
      </c>
      <c r="C2675" s="2" t="s">
        <v>2437</v>
      </c>
      <c r="D2675" s="2" t="s">
        <v>6512</v>
      </c>
      <c r="E2675" s="2" t="s">
        <v>4261</v>
      </c>
      <c r="F2675" s="2" t="s">
        <v>6003</v>
      </c>
      <c r="G2675" s="2"/>
    </row>
    <row r="2676" customFormat="false" ht="15" hidden="false" customHeight="false" outlineLevel="0" collapsed="false">
      <c r="A2676" s="2" t="s">
        <v>2562</v>
      </c>
      <c r="B2676" s="2" t="s">
        <v>2563</v>
      </c>
      <c r="C2676" s="2" t="s">
        <v>2437</v>
      </c>
      <c r="D2676" s="2" t="s">
        <v>6513</v>
      </c>
      <c r="E2676" s="2" t="s">
        <v>4261</v>
      </c>
      <c r="F2676" s="2" t="s">
        <v>6003</v>
      </c>
      <c r="G2676" s="2"/>
    </row>
    <row r="2677" customFormat="false" ht="15" hidden="false" customHeight="false" outlineLevel="0" collapsed="false">
      <c r="A2677" s="2" t="s">
        <v>2562</v>
      </c>
      <c r="B2677" s="2" t="s">
        <v>2563</v>
      </c>
      <c r="C2677" s="2" t="s">
        <v>2437</v>
      </c>
      <c r="D2677" s="2" t="s">
        <v>6514</v>
      </c>
      <c r="E2677" s="2" t="s">
        <v>4261</v>
      </c>
      <c r="F2677" s="2" t="s">
        <v>6003</v>
      </c>
      <c r="G2677" s="2"/>
    </row>
    <row r="2678" customFormat="false" ht="15" hidden="false" customHeight="false" outlineLevel="0" collapsed="false">
      <c r="A2678" s="2" t="s">
        <v>2562</v>
      </c>
      <c r="B2678" s="2" t="s">
        <v>2563</v>
      </c>
      <c r="C2678" s="2" t="s">
        <v>2437</v>
      </c>
      <c r="D2678" s="2" t="s">
        <v>6515</v>
      </c>
      <c r="E2678" s="2" t="s">
        <v>4261</v>
      </c>
      <c r="F2678" s="2" t="s">
        <v>6003</v>
      </c>
      <c r="G2678" s="2"/>
    </row>
    <row r="2679" customFormat="false" ht="15" hidden="false" customHeight="false" outlineLevel="0" collapsed="false">
      <c r="A2679" s="2" t="s">
        <v>2562</v>
      </c>
      <c r="B2679" s="2" t="s">
        <v>2563</v>
      </c>
      <c r="C2679" s="2" t="s">
        <v>2437</v>
      </c>
      <c r="D2679" s="2" t="s">
        <v>6516</v>
      </c>
      <c r="E2679" s="2" t="s">
        <v>4261</v>
      </c>
      <c r="F2679" s="2" t="s">
        <v>6003</v>
      </c>
      <c r="G2679" s="2"/>
    </row>
    <row r="2680" customFormat="false" ht="15" hidden="false" customHeight="false" outlineLevel="0" collapsed="false">
      <c r="A2680" s="2" t="s">
        <v>2562</v>
      </c>
      <c r="B2680" s="2" t="s">
        <v>2563</v>
      </c>
      <c r="C2680" s="2" t="s">
        <v>2437</v>
      </c>
      <c r="D2680" s="2" t="s">
        <v>4462</v>
      </c>
      <c r="E2680" s="2" t="s">
        <v>4261</v>
      </c>
      <c r="F2680" s="2" t="s">
        <v>6003</v>
      </c>
      <c r="G2680" s="2"/>
    </row>
    <row r="2681" customFormat="false" ht="15" hidden="false" customHeight="false" outlineLevel="0" collapsed="false">
      <c r="A2681" s="2" t="s">
        <v>2562</v>
      </c>
      <c r="B2681" s="2" t="s">
        <v>2563</v>
      </c>
      <c r="C2681" s="2" t="s">
        <v>2437</v>
      </c>
      <c r="D2681" s="2" t="s">
        <v>6517</v>
      </c>
      <c r="E2681" s="2" t="s">
        <v>4261</v>
      </c>
      <c r="F2681" s="2" t="s">
        <v>6003</v>
      </c>
      <c r="G2681" s="2"/>
    </row>
    <row r="2682" customFormat="false" ht="15" hidden="false" customHeight="false" outlineLevel="0" collapsed="false">
      <c r="A2682" s="2" t="s">
        <v>2562</v>
      </c>
      <c r="B2682" s="2" t="s">
        <v>2563</v>
      </c>
      <c r="C2682" s="2" t="s">
        <v>2437</v>
      </c>
      <c r="D2682" s="2" t="s">
        <v>6518</v>
      </c>
      <c r="E2682" s="2" t="s">
        <v>4261</v>
      </c>
      <c r="F2682" s="2" t="s">
        <v>6003</v>
      </c>
      <c r="G2682" s="2"/>
    </row>
    <row r="2683" customFormat="false" ht="15" hidden="false" customHeight="false" outlineLevel="0" collapsed="false">
      <c r="A2683" s="2" t="s">
        <v>2562</v>
      </c>
      <c r="B2683" s="2" t="s">
        <v>2563</v>
      </c>
      <c r="C2683" s="2" t="s">
        <v>2437</v>
      </c>
      <c r="D2683" s="2" t="s">
        <v>6519</v>
      </c>
      <c r="E2683" s="2" t="s">
        <v>4261</v>
      </c>
      <c r="F2683" s="2" t="s">
        <v>6003</v>
      </c>
      <c r="G2683" s="2"/>
    </row>
    <row r="2684" customFormat="false" ht="15" hidden="false" customHeight="false" outlineLevel="0" collapsed="false">
      <c r="A2684" s="2" t="s">
        <v>2562</v>
      </c>
      <c r="B2684" s="2" t="s">
        <v>2563</v>
      </c>
      <c r="C2684" s="2" t="s">
        <v>2437</v>
      </c>
      <c r="D2684" s="2" t="s">
        <v>6520</v>
      </c>
      <c r="E2684" s="2" t="s">
        <v>4261</v>
      </c>
      <c r="F2684" s="2" t="s">
        <v>6003</v>
      </c>
      <c r="G2684" s="2"/>
    </row>
    <row r="2685" customFormat="false" ht="15" hidden="false" customHeight="false" outlineLevel="0" collapsed="false">
      <c r="A2685" s="2" t="s">
        <v>2562</v>
      </c>
      <c r="B2685" s="2" t="s">
        <v>2563</v>
      </c>
      <c r="C2685" s="2" t="s">
        <v>2437</v>
      </c>
      <c r="D2685" s="2" t="s">
        <v>6521</v>
      </c>
      <c r="E2685" s="2" t="s">
        <v>4261</v>
      </c>
      <c r="F2685" s="2" t="s">
        <v>6003</v>
      </c>
      <c r="G2685" s="2"/>
    </row>
    <row r="2686" customFormat="false" ht="15" hidden="false" customHeight="false" outlineLevel="0" collapsed="false">
      <c r="A2686" s="2" t="s">
        <v>2575</v>
      </c>
      <c r="B2686" s="2" t="s">
        <v>2563</v>
      </c>
      <c r="C2686" s="2" t="s">
        <v>2437</v>
      </c>
      <c r="D2686" s="2" t="s">
        <v>6522</v>
      </c>
      <c r="E2686" s="2" t="s">
        <v>4261</v>
      </c>
      <c r="F2686" s="2" t="s">
        <v>6003</v>
      </c>
      <c r="G2686" s="2"/>
    </row>
    <row r="2687" customFormat="false" ht="15" hidden="false" customHeight="false" outlineLevel="0" collapsed="false">
      <c r="A2687" s="2" t="s">
        <v>2575</v>
      </c>
      <c r="B2687" s="2" t="s">
        <v>2563</v>
      </c>
      <c r="C2687" s="2" t="s">
        <v>2437</v>
      </c>
      <c r="D2687" s="2" t="s">
        <v>6523</v>
      </c>
      <c r="E2687" s="2" t="s">
        <v>4261</v>
      </c>
      <c r="F2687" s="2" t="s">
        <v>6003</v>
      </c>
      <c r="G2687" s="2"/>
    </row>
    <row r="2688" customFormat="false" ht="15" hidden="false" customHeight="false" outlineLevel="0" collapsed="false">
      <c r="A2688" s="2" t="s">
        <v>2575</v>
      </c>
      <c r="B2688" s="2" t="s">
        <v>2563</v>
      </c>
      <c r="C2688" s="2" t="s">
        <v>2437</v>
      </c>
      <c r="D2688" s="2" t="s">
        <v>6524</v>
      </c>
      <c r="E2688" s="2" t="s">
        <v>4261</v>
      </c>
      <c r="F2688" s="2" t="s">
        <v>6003</v>
      </c>
      <c r="G2688" s="2"/>
    </row>
    <row r="2689" customFormat="false" ht="15" hidden="false" customHeight="false" outlineLevel="0" collapsed="false">
      <c r="A2689" s="2" t="s">
        <v>2575</v>
      </c>
      <c r="B2689" s="2" t="s">
        <v>2563</v>
      </c>
      <c r="C2689" s="2" t="s">
        <v>2437</v>
      </c>
      <c r="D2689" s="2" t="s">
        <v>1691</v>
      </c>
      <c r="E2689" s="2" t="s">
        <v>4261</v>
      </c>
      <c r="F2689" s="2" t="s">
        <v>6003</v>
      </c>
      <c r="G2689" s="2"/>
    </row>
    <row r="2690" customFormat="false" ht="15" hidden="false" customHeight="false" outlineLevel="0" collapsed="false">
      <c r="A2690" s="2" t="s">
        <v>2575</v>
      </c>
      <c r="B2690" s="2" t="s">
        <v>2563</v>
      </c>
      <c r="C2690" s="2" t="s">
        <v>2437</v>
      </c>
      <c r="D2690" s="2" t="s">
        <v>6525</v>
      </c>
      <c r="E2690" s="2" t="s">
        <v>4261</v>
      </c>
      <c r="F2690" s="2" t="s">
        <v>6003</v>
      </c>
      <c r="G2690" s="2"/>
    </row>
    <row r="2691" customFormat="false" ht="15" hidden="false" customHeight="false" outlineLevel="0" collapsed="false">
      <c r="A2691" s="2" t="s">
        <v>2575</v>
      </c>
      <c r="B2691" s="2" t="s">
        <v>2563</v>
      </c>
      <c r="C2691" s="2" t="s">
        <v>2437</v>
      </c>
      <c r="D2691" s="2" t="s">
        <v>6526</v>
      </c>
      <c r="E2691" s="2" t="s">
        <v>4261</v>
      </c>
      <c r="F2691" s="2" t="s">
        <v>6003</v>
      </c>
      <c r="G2691" s="2"/>
    </row>
    <row r="2692" customFormat="false" ht="15" hidden="false" customHeight="false" outlineLevel="0" collapsed="false">
      <c r="A2692" s="2" t="s">
        <v>2575</v>
      </c>
      <c r="B2692" s="2" t="s">
        <v>2563</v>
      </c>
      <c r="C2692" s="2" t="s">
        <v>2437</v>
      </c>
      <c r="D2692" s="2" t="s">
        <v>6527</v>
      </c>
      <c r="E2692" s="2" t="s">
        <v>4261</v>
      </c>
      <c r="F2692" s="2" t="s">
        <v>6003</v>
      </c>
      <c r="G2692" s="2"/>
    </row>
    <row r="2693" customFormat="false" ht="15" hidden="false" customHeight="false" outlineLevel="0" collapsed="false">
      <c r="A2693" s="2" t="s">
        <v>2575</v>
      </c>
      <c r="B2693" s="2" t="s">
        <v>2563</v>
      </c>
      <c r="C2693" s="2" t="s">
        <v>2437</v>
      </c>
      <c r="D2693" s="2" t="s">
        <v>6528</v>
      </c>
      <c r="E2693" s="2" t="s">
        <v>4261</v>
      </c>
      <c r="F2693" s="2" t="s">
        <v>6003</v>
      </c>
      <c r="G2693" s="2"/>
    </row>
    <row r="2694" customFormat="false" ht="15" hidden="false" customHeight="false" outlineLevel="0" collapsed="false">
      <c r="A2694" s="2" t="s">
        <v>2575</v>
      </c>
      <c r="B2694" s="2" t="s">
        <v>2563</v>
      </c>
      <c r="C2694" s="2" t="s">
        <v>2437</v>
      </c>
      <c r="D2694" s="2" t="s">
        <v>6529</v>
      </c>
      <c r="E2694" s="2" t="s">
        <v>4261</v>
      </c>
      <c r="F2694" s="2" t="s">
        <v>6003</v>
      </c>
      <c r="G2694" s="2"/>
    </row>
    <row r="2695" customFormat="false" ht="15" hidden="false" customHeight="false" outlineLevel="0" collapsed="false">
      <c r="A2695" s="2" t="s">
        <v>2575</v>
      </c>
      <c r="B2695" s="2" t="s">
        <v>2563</v>
      </c>
      <c r="C2695" s="2" t="s">
        <v>2437</v>
      </c>
      <c r="D2695" s="2" t="s">
        <v>6530</v>
      </c>
      <c r="E2695" s="2" t="s">
        <v>4261</v>
      </c>
      <c r="F2695" s="2" t="s">
        <v>6003</v>
      </c>
      <c r="G2695" s="2"/>
    </row>
    <row r="2696" customFormat="false" ht="15" hidden="false" customHeight="false" outlineLevel="0" collapsed="false">
      <c r="A2696" s="2" t="s">
        <v>2575</v>
      </c>
      <c r="B2696" s="2" t="s">
        <v>2563</v>
      </c>
      <c r="C2696" s="2" t="s">
        <v>2437</v>
      </c>
      <c r="D2696" s="2" t="s">
        <v>6531</v>
      </c>
      <c r="E2696" s="2" t="s">
        <v>4261</v>
      </c>
      <c r="F2696" s="2" t="s">
        <v>6003</v>
      </c>
      <c r="G2696" s="2"/>
    </row>
    <row r="2697" customFormat="false" ht="15" hidden="false" customHeight="false" outlineLevel="0" collapsed="false">
      <c r="A2697" s="2" t="s">
        <v>2575</v>
      </c>
      <c r="B2697" s="2" t="s">
        <v>2563</v>
      </c>
      <c r="C2697" s="2" t="s">
        <v>2437</v>
      </c>
      <c r="D2697" s="2" t="s">
        <v>6532</v>
      </c>
      <c r="E2697" s="2" t="s">
        <v>4261</v>
      </c>
      <c r="F2697" s="2" t="s">
        <v>6003</v>
      </c>
      <c r="G2697" s="2"/>
    </row>
    <row r="2698" customFormat="false" ht="15" hidden="false" customHeight="false" outlineLevel="0" collapsed="false">
      <c r="A2698" s="2" t="s">
        <v>2575</v>
      </c>
      <c r="B2698" s="2" t="s">
        <v>2563</v>
      </c>
      <c r="C2698" s="2" t="s">
        <v>2437</v>
      </c>
      <c r="D2698" s="2" t="s">
        <v>6533</v>
      </c>
      <c r="E2698" s="2" t="s">
        <v>4261</v>
      </c>
      <c r="F2698" s="2" t="s">
        <v>6003</v>
      </c>
      <c r="G2698" s="2"/>
    </row>
    <row r="2699" customFormat="false" ht="15" hidden="false" customHeight="false" outlineLevel="0" collapsed="false">
      <c r="A2699" s="2" t="s">
        <v>2575</v>
      </c>
      <c r="B2699" s="2" t="s">
        <v>2563</v>
      </c>
      <c r="C2699" s="2" t="s">
        <v>2437</v>
      </c>
      <c r="D2699" s="2" t="s">
        <v>6534</v>
      </c>
      <c r="E2699" s="2" t="s">
        <v>4261</v>
      </c>
      <c r="F2699" s="2" t="s">
        <v>6003</v>
      </c>
      <c r="G2699" s="2"/>
    </row>
    <row r="2700" customFormat="false" ht="15" hidden="false" customHeight="false" outlineLevel="0" collapsed="false">
      <c r="A2700" s="2" t="s">
        <v>2575</v>
      </c>
      <c r="B2700" s="2" t="s">
        <v>2563</v>
      </c>
      <c r="C2700" s="2" t="s">
        <v>2437</v>
      </c>
      <c r="D2700" s="2" t="s">
        <v>521</v>
      </c>
      <c r="E2700" s="2" t="s">
        <v>4261</v>
      </c>
      <c r="F2700" s="2" t="s">
        <v>6003</v>
      </c>
      <c r="G2700" s="2"/>
    </row>
    <row r="2701" customFormat="false" ht="15" hidden="false" customHeight="false" outlineLevel="0" collapsed="false">
      <c r="A2701" s="2" t="s">
        <v>2575</v>
      </c>
      <c r="B2701" s="2" t="s">
        <v>2563</v>
      </c>
      <c r="C2701" s="2" t="s">
        <v>2437</v>
      </c>
      <c r="D2701" s="2" t="s">
        <v>471</v>
      </c>
      <c r="E2701" s="2" t="s">
        <v>4261</v>
      </c>
      <c r="F2701" s="2" t="s">
        <v>6003</v>
      </c>
      <c r="G2701" s="2"/>
    </row>
    <row r="2702" customFormat="false" ht="15" hidden="false" customHeight="false" outlineLevel="0" collapsed="false">
      <c r="A2702" s="2" t="s">
        <v>2575</v>
      </c>
      <c r="B2702" s="2" t="s">
        <v>2563</v>
      </c>
      <c r="C2702" s="2" t="s">
        <v>2437</v>
      </c>
      <c r="D2702" s="2" t="s">
        <v>6535</v>
      </c>
      <c r="E2702" s="2" t="s">
        <v>4261</v>
      </c>
      <c r="F2702" s="2" t="s">
        <v>6003</v>
      </c>
      <c r="G2702" s="2"/>
    </row>
    <row r="2703" customFormat="false" ht="15" hidden="false" customHeight="false" outlineLevel="0" collapsed="false">
      <c r="A2703" s="2" t="s">
        <v>2575</v>
      </c>
      <c r="B2703" s="2" t="s">
        <v>2563</v>
      </c>
      <c r="C2703" s="2" t="s">
        <v>2437</v>
      </c>
      <c r="D2703" s="2" t="s">
        <v>6536</v>
      </c>
      <c r="E2703" s="2" t="s">
        <v>4261</v>
      </c>
      <c r="F2703" s="2" t="s">
        <v>6003</v>
      </c>
      <c r="G2703" s="2"/>
    </row>
    <row r="2704" customFormat="false" ht="15" hidden="false" customHeight="false" outlineLevel="0" collapsed="false">
      <c r="A2704" s="2" t="s">
        <v>2575</v>
      </c>
      <c r="B2704" s="2" t="s">
        <v>2563</v>
      </c>
      <c r="C2704" s="2" t="s">
        <v>2437</v>
      </c>
      <c r="D2704" s="2" t="s">
        <v>6537</v>
      </c>
      <c r="E2704" s="2" t="s">
        <v>4261</v>
      </c>
      <c r="F2704" s="2" t="s">
        <v>6003</v>
      </c>
      <c r="G2704" s="2"/>
    </row>
    <row r="2705" customFormat="false" ht="15" hidden="false" customHeight="false" outlineLevel="0" collapsed="false">
      <c r="A2705" s="2" t="s">
        <v>2575</v>
      </c>
      <c r="B2705" s="2" t="s">
        <v>2563</v>
      </c>
      <c r="C2705" s="2" t="s">
        <v>2437</v>
      </c>
      <c r="D2705" s="2" t="s">
        <v>6538</v>
      </c>
      <c r="E2705" s="2" t="s">
        <v>4261</v>
      </c>
      <c r="F2705" s="2" t="s">
        <v>6003</v>
      </c>
      <c r="G2705" s="2"/>
    </row>
    <row r="2706" customFormat="false" ht="15" hidden="false" customHeight="false" outlineLevel="0" collapsed="false">
      <c r="A2706" s="2" t="s">
        <v>2575</v>
      </c>
      <c r="B2706" s="2" t="s">
        <v>2563</v>
      </c>
      <c r="C2706" s="2" t="s">
        <v>2437</v>
      </c>
      <c r="D2706" s="2" t="s">
        <v>6539</v>
      </c>
      <c r="E2706" s="2" t="s">
        <v>4261</v>
      </c>
      <c r="F2706" s="2" t="s">
        <v>6003</v>
      </c>
      <c r="G2706" s="2"/>
    </row>
    <row r="2707" customFormat="false" ht="15" hidden="false" customHeight="false" outlineLevel="0" collapsed="false">
      <c r="A2707" s="2" t="s">
        <v>2575</v>
      </c>
      <c r="B2707" s="2" t="s">
        <v>2563</v>
      </c>
      <c r="C2707" s="2" t="s">
        <v>2437</v>
      </c>
      <c r="D2707" s="2" t="s">
        <v>6540</v>
      </c>
      <c r="E2707" s="2" t="s">
        <v>4261</v>
      </c>
      <c r="F2707" s="2" t="s">
        <v>6003</v>
      </c>
      <c r="G2707" s="2"/>
    </row>
    <row r="2708" customFormat="false" ht="15" hidden="false" customHeight="false" outlineLevel="0" collapsed="false">
      <c r="A2708" s="2" t="s">
        <v>2575</v>
      </c>
      <c r="B2708" s="2" t="s">
        <v>2563</v>
      </c>
      <c r="C2708" s="2" t="s">
        <v>2437</v>
      </c>
      <c r="D2708" s="2" t="s">
        <v>6541</v>
      </c>
      <c r="E2708" s="2" t="s">
        <v>4261</v>
      </c>
      <c r="F2708" s="2" t="s">
        <v>6003</v>
      </c>
      <c r="G2708" s="2"/>
    </row>
    <row r="2709" customFormat="false" ht="15" hidden="false" customHeight="false" outlineLevel="0" collapsed="false">
      <c r="A2709" s="2" t="s">
        <v>2575</v>
      </c>
      <c r="B2709" s="2" t="s">
        <v>2563</v>
      </c>
      <c r="C2709" s="2" t="s">
        <v>2437</v>
      </c>
      <c r="D2709" s="2" t="s">
        <v>6542</v>
      </c>
      <c r="E2709" s="2" t="s">
        <v>4261</v>
      </c>
      <c r="F2709" s="2" t="s">
        <v>6003</v>
      </c>
      <c r="G2709" s="2"/>
    </row>
    <row r="2710" customFormat="false" ht="15" hidden="false" customHeight="false" outlineLevel="0" collapsed="false">
      <c r="A2710" s="2" t="s">
        <v>2575</v>
      </c>
      <c r="B2710" s="2" t="s">
        <v>2563</v>
      </c>
      <c r="C2710" s="2" t="s">
        <v>2437</v>
      </c>
      <c r="D2710" s="2" t="s">
        <v>6543</v>
      </c>
      <c r="E2710" s="2" t="s">
        <v>4261</v>
      </c>
      <c r="F2710" s="2" t="s">
        <v>6003</v>
      </c>
      <c r="G2710" s="2"/>
    </row>
    <row r="2711" customFormat="false" ht="15" hidden="false" customHeight="false" outlineLevel="0" collapsed="false">
      <c r="A2711" s="2" t="s">
        <v>2575</v>
      </c>
      <c r="B2711" s="2" t="s">
        <v>2563</v>
      </c>
      <c r="C2711" s="2" t="s">
        <v>2437</v>
      </c>
      <c r="D2711" s="2" t="s">
        <v>6544</v>
      </c>
      <c r="E2711" s="2" t="s">
        <v>4261</v>
      </c>
      <c r="F2711" s="2" t="s">
        <v>6003</v>
      </c>
      <c r="G2711" s="2"/>
    </row>
    <row r="2712" customFormat="false" ht="15" hidden="false" customHeight="false" outlineLevel="0" collapsed="false">
      <c r="A2712" s="2" t="s">
        <v>2575</v>
      </c>
      <c r="B2712" s="2" t="s">
        <v>2563</v>
      </c>
      <c r="C2712" s="2" t="s">
        <v>2437</v>
      </c>
      <c r="D2712" s="2" t="s">
        <v>6545</v>
      </c>
      <c r="E2712" s="2" t="s">
        <v>4264</v>
      </c>
      <c r="F2712" s="2" t="s">
        <v>6003</v>
      </c>
      <c r="G2712" s="2"/>
    </row>
    <row r="2713" customFormat="false" ht="15" hidden="false" customHeight="false" outlineLevel="0" collapsed="false">
      <c r="A2713" s="2" t="s">
        <v>2575</v>
      </c>
      <c r="B2713" s="2" t="s">
        <v>2563</v>
      </c>
      <c r="C2713" s="2" t="s">
        <v>2437</v>
      </c>
      <c r="D2713" s="2" t="s">
        <v>6546</v>
      </c>
      <c r="E2713" s="2" t="s">
        <v>4261</v>
      </c>
      <c r="F2713" s="2" t="s">
        <v>6003</v>
      </c>
      <c r="G2713" s="2"/>
    </row>
    <row r="2714" customFormat="false" ht="15" hidden="false" customHeight="false" outlineLevel="0" collapsed="false">
      <c r="A2714" s="2" t="s">
        <v>2575</v>
      </c>
      <c r="B2714" s="2" t="s">
        <v>2563</v>
      </c>
      <c r="C2714" s="2" t="s">
        <v>2437</v>
      </c>
      <c r="D2714" s="2" t="s">
        <v>6547</v>
      </c>
      <c r="E2714" s="2" t="s">
        <v>4261</v>
      </c>
      <c r="F2714" s="2" t="s">
        <v>6003</v>
      </c>
      <c r="G2714" s="2"/>
    </row>
    <row r="2715" customFormat="false" ht="15" hidden="false" customHeight="false" outlineLevel="0" collapsed="false">
      <c r="A2715" s="2" t="s">
        <v>2575</v>
      </c>
      <c r="B2715" s="2" t="s">
        <v>2563</v>
      </c>
      <c r="C2715" s="2" t="s">
        <v>2437</v>
      </c>
      <c r="D2715" s="2" t="s">
        <v>6253</v>
      </c>
      <c r="E2715" s="2" t="s">
        <v>4261</v>
      </c>
      <c r="F2715" s="2" t="s">
        <v>6003</v>
      </c>
      <c r="G2715" s="2"/>
    </row>
    <row r="2716" customFormat="false" ht="15" hidden="false" customHeight="false" outlineLevel="0" collapsed="false">
      <c r="A2716" s="2" t="s">
        <v>2575</v>
      </c>
      <c r="B2716" s="2" t="s">
        <v>2563</v>
      </c>
      <c r="C2716" s="2" t="s">
        <v>2437</v>
      </c>
      <c r="D2716" s="2" t="s">
        <v>6548</v>
      </c>
      <c r="E2716" s="2" t="s">
        <v>4261</v>
      </c>
      <c r="F2716" s="2" t="s">
        <v>6003</v>
      </c>
      <c r="G2716" s="2"/>
    </row>
    <row r="2717" customFormat="false" ht="15" hidden="false" customHeight="false" outlineLevel="0" collapsed="false">
      <c r="A2717" s="2" t="s">
        <v>2575</v>
      </c>
      <c r="B2717" s="2" t="s">
        <v>2563</v>
      </c>
      <c r="C2717" s="2" t="s">
        <v>2437</v>
      </c>
      <c r="D2717" s="2" t="s">
        <v>4582</v>
      </c>
      <c r="E2717" s="2" t="s">
        <v>4261</v>
      </c>
      <c r="F2717" s="2" t="s">
        <v>6003</v>
      </c>
      <c r="G2717" s="2"/>
    </row>
    <row r="2718" customFormat="false" ht="15" hidden="false" customHeight="false" outlineLevel="0" collapsed="false">
      <c r="A2718" s="2" t="s">
        <v>2575</v>
      </c>
      <c r="B2718" s="2" t="s">
        <v>2563</v>
      </c>
      <c r="C2718" s="2" t="s">
        <v>2437</v>
      </c>
      <c r="D2718" s="2" t="s">
        <v>6549</v>
      </c>
      <c r="E2718" s="2" t="s">
        <v>4261</v>
      </c>
      <c r="F2718" s="2" t="s">
        <v>6003</v>
      </c>
      <c r="G2718" s="2"/>
    </row>
    <row r="2719" customFormat="false" ht="15" hidden="false" customHeight="false" outlineLevel="0" collapsed="false">
      <c r="A2719" s="2" t="s">
        <v>2575</v>
      </c>
      <c r="B2719" s="2" t="s">
        <v>2563</v>
      </c>
      <c r="C2719" s="2" t="s">
        <v>2437</v>
      </c>
      <c r="D2719" s="2" t="s">
        <v>6550</v>
      </c>
      <c r="E2719" s="2" t="s">
        <v>4261</v>
      </c>
      <c r="F2719" s="2" t="s">
        <v>6003</v>
      </c>
      <c r="G2719" s="2"/>
    </row>
    <row r="2720" customFormat="false" ht="15" hidden="false" customHeight="false" outlineLevel="0" collapsed="false">
      <c r="A2720" s="2" t="s">
        <v>2575</v>
      </c>
      <c r="B2720" s="2" t="s">
        <v>2563</v>
      </c>
      <c r="C2720" s="2" t="s">
        <v>2437</v>
      </c>
      <c r="D2720" s="2" t="s">
        <v>6360</v>
      </c>
      <c r="E2720" s="2" t="s">
        <v>4261</v>
      </c>
      <c r="F2720" s="2" t="s">
        <v>6003</v>
      </c>
      <c r="G2720" s="2"/>
    </row>
    <row r="2721" customFormat="false" ht="15" hidden="false" customHeight="false" outlineLevel="0" collapsed="false">
      <c r="A2721" s="2" t="s">
        <v>2575</v>
      </c>
      <c r="B2721" s="2" t="s">
        <v>2563</v>
      </c>
      <c r="C2721" s="2" t="s">
        <v>2437</v>
      </c>
      <c r="D2721" s="2" t="s">
        <v>6551</v>
      </c>
      <c r="E2721" s="2" t="s">
        <v>4261</v>
      </c>
      <c r="F2721" s="2" t="s">
        <v>6003</v>
      </c>
      <c r="G2721" s="2"/>
    </row>
    <row r="2722" customFormat="false" ht="15" hidden="false" customHeight="false" outlineLevel="0" collapsed="false">
      <c r="A2722" s="2" t="s">
        <v>2575</v>
      </c>
      <c r="B2722" s="2" t="s">
        <v>2563</v>
      </c>
      <c r="C2722" s="2" t="s">
        <v>2437</v>
      </c>
      <c r="D2722" s="2" t="s">
        <v>6552</v>
      </c>
      <c r="E2722" s="2" t="s">
        <v>4261</v>
      </c>
      <c r="F2722" s="2" t="s">
        <v>6003</v>
      </c>
      <c r="G2722" s="2"/>
    </row>
    <row r="2723" customFormat="false" ht="15" hidden="false" customHeight="false" outlineLevel="0" collapsed="false">
      <c r="A2723" s="2" t="s">
        <v>2575</v>
      </c>
      <c r="B2723" s="2" t="s">
        <v>2563</v>
      </c>
      <c r="C2723" s="2" t="s">
        <v>2437</v>
      </c>
      <c r="D2723" s="2" t="s">
        <v>5774</v>
      </c>
      <c r="E2723" s="2" t="s">
        <v>4261</v>
      </c>
      <c r="F2723" s="2" t="s">
        <v>6003</v>
      </c>
      <c r="G2723" s="2"/>
    </row>
    <row r="2724" customFormat="false" ht="15" hidden="false" customHeight="false" outlineLevel="0" collapsed="false">
      <c r="A2724" s="2" t="s">
        <v>2577</v>
      </c>
      <c r="B2724" s="2" t="s">
        <v>2563</v>
      </c>
      <c r="C2724" s="2" t="s">
        <v>2437</v>
      </c>
      <c r="D2724" s="2" t="s">
        <v>6553</v>
      </c>
      <c r="E2724" s="2" t="s">
        <v>4261</v>
      </c>
      <c r="F2724" s="2" t="s">
        <v>6003</v>
      </c>
      <c r="G2724" s="2"/>
    </row>
    <row r="2725" customFormat="false" ht="15" hidden="false" customHeight="false" outlineLevel="0" collapsed="false">
      <c r="A2725" s="2" t="s">
        <v>2577</v>
      </c>
      <c r="B2725" s="2" t="s">
        <v>2563</v>
      </c>
      <c r="C2725" s="2" t="s">
        <v>2437</v>
      </c>
      <c r="D2725" s="2" t="s">
        <v>6554</v>
      </c>
      <c r="E2725" s="2" t="s">
        <v>4261</v>
      </c>
      <c r="F2725" s="2" t="s">
        <v>6003</v>
      </c>
      <c r="G2725" s="2"/>
    </row>
    <row r="2726" customFormat="false" ht="15" hidden="false" customHeight="false" outlineLevel="0" collapsed="false">
      <c r="A2726" s="2" t="s">
        <v>2577</v>
      </c>
      <c r="B2726" s="2" t="s">
        <v>2563</v>
      </c>
      <c r="C2726" s="2" t="s">
        <v>2437</v>
      </c>
      <c r="D2726" s="2" t="s">
        <v>6555</v>
      </c>
      <c r="E2726" s="2" t="s">
        <v>4261</v>
      </c>
      <c r="F2726" s="2" t="s">
        <v>6003</v>
      </c>
      <c r="G2726" s="2"/>
    </row>
    <row r="2727" customFormat="false" ht="15" hidden="false" customHeight="false" outlineLevel="0" collapsed="false">
      <c r="A2727" s="2" t="s">
        <v>2577</v>
      </c>
      <c r="B2727" s="2" t="s">
        <v>2563</v>
      </c>
      <c r="C2727" s="2" t="s">
        <v>2437</v>
      </c>
      <c r="D2727" s="2" t="s">
        <v>6556</v>
      </c>
      <c r="E2727" s="2" t="s">
        <v>4261</v>
      </c>
      <c r="F2727" s="2" t="s">
        <v>6003</v>
      </c>
      <c r="G2727" s="2"/>
    </row>
    <row r="2728" customFormat="false" ht="15" hidden="false" customHeight="false" outlineLevel="0" collapsed="false">
      <c r="A2728" s="2" t="s">
        <v>2577</v>
      </c>
      <c r="B2728" s="2" t="s">
        <v>2563</v>
      </c>
      <c r="C2728" s="2" t="s">
        <v>2437</v>
      </c>
      <c r="D2728" s="2" t="s">
        <v>6557</v>
      </c>
      <c r="E2728" s="2" t="s">
        <v>4261</v>
      </c>
      <c r="F2728" s="2" t="s">
        <v>6003</v>
      </c>
      <c r="G2728" s="2"/>
    </row>
    <row r="2729" customFormat="false" ht="15" hidden="false" customHeight="false" outlineLevel="0" collapsed="false">
      <c r="A2729" s="2" t="s">
        <v>2577</v>
      </c>
      <c r="B2729" s="2" t="s">
        <v>2563</v>
      </c>
      <c r="C2729" s="2" t="s">
        <v>2437</v>
      </c>
      <c r="D2729" s="2" t="s">
        <v>6558</v>
      </c>
      <c r="E2729" s="2" t="s">
        <v>4261</v>
      </c>
      <c r="F2729" s="2" t="s">
        <v>6003</v>
      </c>
      <c r="G2729" s="2"/>
    </row>
    <row r="2730" customFormat="false" ht="15" hidden="false" customHeight="false" outlineLevel="0" collapsed="false">
      <c r="A2730" s="2" t="s">
        <v>2577</v>
      </c>
      <c r="B2730" s="2" t="s">
        <v>2563</v>
      </c>
      <c r="C2730" s="2" t="s">
        <v>2437</v>
      </c>
      <c r="D2730" s="2" t="s">
        <v>6559</v>
      </c>
      <c r="E2730" s="2" t="s">
        <v>4261</v>
      </c>
      <c r="F2730" s="2" t="s">
        <v>6003</v>
      </c>
      <c r="G2730" s="2"/>
    </row>
    <row r="2731" customFormat="false" ht="15" hidden="false" customHeight="false" outlineLevel="0" collapsed="false">
      <c r="A2731" s="2" t="s">
        <v>2577</v>
      </c>
      <c r="B2731" s="2" t="s">
        <v>2563</v>
      </c>
      <c r="C2731" s="2" t="s">
        <v>2437</v>
      </c>
      <c r="D2731" s="2" t="s">
        <v>6560</v>
      </c>
      <c r="E2731" s="2" t="s">
        <v>4261</v>
      </c>
      <c r="F2731" s="2" t="s">
        <v>6003</v>
      </c>
      <c r="G2731" s="2"/>
    </row>
    <row r="2732" customFormat="false" ht="15" hidden="false" customHeight="false" outlineLevel="0" collapsed="false">
      <c r="A2732" s="2" t="s">
        <v>2577</v>
      </c>
      <c r="B2732" s="2" t="s">
        <v>2563</v>
      </c>
      <c r="C2732" s="2" t="s">
        <v>2437</v>
      </c>
      <c r="D2732" s="2" t="s">
        <v>6561</v>
      </c>
      <c r="E2732" s="2" t="s">
        <v>4261</v>
      </c>
      <c r="F2732" s="2" t="s">
        <v>6003</v>
      </c>
      <c r="G2732" s="2"/>
    </row>
    <row r="2733" customFormat="false" ht="15" hidden="false" customHeight="false" outlineLevel="0" collapsed="false">
      <c r="A2733" s="2" t="s">
        <v>2577</v>
      </c>
      <c r="B2733" s="2" t="s">
        <v>2563</v>
      </c>
      <c r="C2733" s="2" t="s">
        <v>2437</v>
      </c>
      <c r="D2733" s="2" t="s">
        <v>6562</v>
      </c>
      <c r="E2733" s="2" t="s">
        <v>4261</v>
      </c>
      <c r="F2733" s="2" t="s">
        <v>6003</v>
      </c>
      <c r="G2733" s="2"/>
    </row>
    <row r="2734" customFormat="false" ht="15" hidden="false" customHeight="false" outlineLevel="0" collapsed="false">
      <c r="A2734" s="2" t="s">
        <v>2577</v>
      </c>
      <c r="B2734" s="2" t="s">
        <v>2563</v>
      </c>
      <c r="C2734" s="2" t="s">
        <v>2437</v>
      </c>
      <c r="D2734" s="2" t="s">
        <v>6563</v>
      </c>
      <c r="E2734" s="2" t="s">
        <v>4261</v>
      </c>
      <c r="F2734" s="2" t="s">
        <v>6003</v>
      </c>
      <c r="G2734" s="2"/>
    </row>
    <row r="2735" customFormat="false" ht="15" hidden="false" customHeight="false" outlineLevel="0" collapsed="false">
      <c r="A2735" s="2" t="s">
        <v>2577</v>
      </c>
      <c r="B2735" s="2" t="s">
        <v>2563</v>
      </c>
      <c r="C2735" s="2" t="s">
        <v>2437</v>
      </c>
      <c r="D2735" s="2" t="s">
        <v>6564</v>
      </c>
      <c r="E2735" s="2" t="s">
        <v>4261</v>
      </c>
      <c r="F2735" s="2" t="s">
        <v>6003</v>
      </c>
      <c r="G2735" s="2"/>
    </row>
    <row r="2736" customFormat="false" ht="15" hidden="false" customHeight="false" outlineLevel="0" collapsed="false">
      <c r="A2736" s="2" t="s">
        <v>2577</v>
      </c>
      <c r="B2736" s="2" t="s">
        <v>2563</v>
      </c>
      <c r="C2736" s="2" t="s">
        <v>2437</v>
      </c>
      <c r="D2736" s="2" t="s">
        <v>6565</v>
      </c>
      <c r="E2736" s="2" t="s">
        <v>4261</v>
      </c>
      <c r="F2736" s="2" t="s">
        <v>6003</v>
      </c>
      <c r="G2736" s="2"/>
    </row>
    <row r="2737" customFormat="false" ht="15" hidden="false" customHeight="false" outlineLevel="0" collapsed="false">
      <c r="A2737" s="2" t="s">
        <v>2577</v>
      </c>
      <c r="B2737" s="2" t="s">
        <v>2563</v>
      </c>
      <c r="C2737" s="2" t="s">
        <v>2437</v>
      </c>
      <c r="D2737" s="2" t="s">
        <v>6566</v>
      </c>
      <c r="E2737" s="2" t="s">
        <v>4261</v>
      </c>
      <c r="F2737" s="2" t="s">
        <v>6003</v>
      </c>
      <c r="G2737" s="2"/>
    </row>
    <row r="2738" customFormat="false" ht="15" hidden="false" customHeight="false" outlineLevel="0" collapsed="false">
      <c r="A2738" s="2" t="s">
        <v>2577</v>
      </c>
      <c r="B2738" s="2" t="s">
        <v>2563</v>
      </c>
      <c r="C2738" s="2" t="s">
        <v>2437</v>
      </c>
      <c r="D2738" s="2" t="s">
        <v>6567</v>
      </c>
      <c r="E2738" s="2" t="s">
        <v>4261</v>
      </c>
      <c r="F2738" s="2" t="s">
        <v>6003</v>
      </c>
      <c r="G2738" s="2"/>
    </row>
    <row r="2739" customFormat="false" ht="15" hidden="false" customHeight="false" outlineLevel="0" collapsed="false">
      <c r="A2739" s="2" t="s">
        <v>2577</v>
      </c>
      <c r="B2739" s="2" t="s">
        <v>2563</v>
      </c>
      <c r="C2739" s="2" t="s">
        <v>2437</v>
      </c>
      <c r="D2739" s="2" t="s">
        <v>6568</v>
      </c>
      <c r="E2739" s="2" t="s">
        <v>4261</v>
      </c>
      <c r="F2739" s="2" t="s">
        <v>6003</v>
      </c>
      <c r="G2739" s="2"/>
    </row>
    <row r="2740" customFormat="false" ht="15" hidden="false" customHeight="false" outlineLevel="0" collapsed="false">
      <c r="A2740" s="2" t="s">
        <v>2577</v>
      </c>
      <c r="B2740" s="2" t="s">
        <v>2563</v>
      </c>
      <c r="C2740" s="2" t="s">
        <v>2437</v>
      </c>
      <c r="D2740" s="2" t="s">
        <v>6569</v>
      </c>
      <c r="E2740" s="2" t="s">
        <v>4261</v>
      </c>
      <c r="F2740" s="2" t="s">
        <v>6003</v>
      </c>
      <c r="G2740" s="2"/>
    </row>
    <row r="2741" customFormat="false" ht="15" hidden="false" customHeight="false" outlineLevel="0" collapsed="false">
      <c r="A2741" s="2" t="s">
        <v>2577</v>
      </c>
      <c r="B2741" s="2" t="s">
        <v>2563</v>
      </c>
      <c r="C2741" s="2" t="s">
        <v>2437</v>
      </c>
      <c r="D2741" s="2" t="s">
        <v>6570</v>
      </c>
      <c r="E2741" s="2" t="s">
        <v>4261</v>
      </c>
      <c r="F2741" s="2" t="s">
        <v>6003</v>
      </c>
      <c r="G2741" s="2"/>
    </row>
    <row r="2742" customFormat="false" ht="15" hidden="false" customHeight="false" outlineLevel="0" collapsed="false">
      <c r="A2742" s="2" t="s">
        <v>2577</v>
      </c>
      <c r="B2742" s="2" t="s">
        <v>2563</v>
      </c>
      <c r="C2742" s="2" t="s">
        <v>2437</v>
      </c>
      <c r="D2742" s="2" t="s">
        <v>6571</v>
      </c>
      <c r="E2742" s="2" t="s">
        <v>4261</v>
      </c>
      <c r="F2742" s="2" t="s">
        <v>6003</v>
      </c>
      <c r="G2742" s="2"/>
    </row>
    <row r="2743" customFormat="false" ht="15" hidden="false" customHeight="false" outlineLevel="0" collapsed="false">
      <c r="A2743" s="2" t="s">
        <v>2577</v>
      </c>
      <c r="B2743" s="2" t="s">
        <v>2563</v>
      </c>
      <c r="C2743" s="2" t="s">
        <v>2437</v>
      </c>
      <c r="D2743" s="2" t="s">
        <v>6572</v>
      </c>
      <c r="E2743" s="2" t="s">
        <v>4261</v>
      </c>
      <c r="F2743" s="2" t="s">
        <v>6003</v>
      </c>
      <c r="G2743" s="2"/>
    </row>
    <row r="2744" customFormat="false" ht="15" hidden="false" customHeight="false" outlineLevel="0" collapsed="false">
      <c r="A2744" s="2" t="s">
        <v>2577</v>
      </c>
      <c r="B2744" s="2" t="s">
        <v>2563</v>
      </c>
      <c r="C2744" s="2" t="s">
        <v>2437</v>
      </c>
      <c r="D2744" s="2" t="s">
        <v>6573</v>
      </c>
      <c r="E2744" s="2" t="s">
        <v>4261</v>
      </c>
      <c r="F2744" s="2" t="s">
        <v>6003</v>
      </c>
      <c r="G2744" s="2"/>
    </row>
    <row r="2745" customFormat="false" ht="15" hidden="false" customHeight="false" outlineLevel="0" collapsed="false">
      <c r="A2745" s="2" t="s">
        <v>2577</v>
      </c>
      <c r="B2745" s="2" t="s">
        <v>2563</v>
      </c>
      <c r="C2745" s="2" t="s">
        <v>2437</v>
      </c>
      <c r="D2745" s="2" t="s">
        <v>6574</v>
      </c>
      <c r="E2745" s="2" t="s">
        <v>4261</v>
      </c>
      <c r="F2745" s="2" t="s">
        <v>6003</v>
      </c>
      <c r="G2745" s="2"/>
    </row>
    <row r="2746" customFormat="false" ht="15" hidden="false" customHeight="false" outlineLevel="0" collapsed="false">
      <c r="A2746" s="2" t="s">
        <v>2577</v>
      </c>
      <c r="B2746" s="2" t="s">
        <v>2563</v>
      </c>
      <c r="C2746" s="2" t="s">
        <v>2437</v>
      </c>
      <c r="D2746" s="2" t="s">
        <v>6575</v>
      </c>
      <c r="E2746" s="2" t="s">
        <v>4261</v>
      </c>
      <c r="F2746" s="2" t="s">
        <v>6003</v>
      </c>
      <c r="G2746" s="2"/>
    </row>
    <row r="2747" customFormat="false" ht="15" hidden="false" customHeight="false" outlineLevel="0" collapsed="false">
      <c r="A2747" s="2" t="s">
        <v>2577</v>
      </c>
      <c r="B2747" s="2" t="s">
        <v>2563</v>
      </c>
      <c r="C2747" s="2" t="s">
        <v>2437</v>
      </c>
      <c r="D2747" s="2" t="s">
        <v>6576</v>
      </c>
      <c r="E2747" s="2" t="s">
        <v>4261</v>
      </c>
      <c r="F2747" s="2" t="s">
        <v>6003</v>
      </c>
      <c r="G2747" s="2"/>
    </row>
    <row r="2748" customFormat="false" ht="15" hidden="false" customHeight="false" outlineLevel="0" collapsed="false">
      <c r="A2748" s="2" t="s">
        <v>2577</v>
      </c>
      <c r="B2748" s="2" t="s">
        <v>2563</v>
      </c>
      <c r="C2748" s="2" t="s">
        <v>2437</v>
      </c>
      <c r="D2748" s="2" t="s">
        <v>6577</v>
      </c>
      <c r="E2748" s="2" t="s">
        <v>4261</v>
      </c>
      <c r="F2748" s="2" t="s">
        <v>6003</v>
      </c>
      <c r="G2748" s="2"/>
    </row>
    <row r="2749" customFormat="false" ht="15" hidden="false" customHeight="false" outlineLevel="0" collapsed="false">
      <c r="A2749" s="2" t="s">
        <v>2577</v>
      </c>
      <c r="B2749" s="2" t="s">
        <v>2563</v>
      </c>
      <c r="C2749" s="2" t="s">
        <v>2437</v>
      </c>
      <c r="D2749" s="2" t="s">
        <v>6578</v>
      </c>
      <c r="E2749" s="2" t="s">
        <v>4261</v>
      </c>
      <c r="F2749" s="2" t="s">
        <v>6003</v>
      </c>
      <c r="G2749" s="2"/>
    </row>
    <row r="2750" customFormat="false" ht="15" hidden="false" customHeight="false" outlineLevel="0" collapsed="false">
      <c r="A2750" s="2" t="s">
        <v>2587</v>
      </c>
      <c r="B2750" s="2" t="s">
        <v>2471</v>
      </c>
      <c r="C2750" s="2" t="s">
        <v>2445</v>
      </c>
      <c r="D2750" s="2" t="s">
        <v>2588</v>
      </c>
      <c r="E2750" s="2" t="s">
        <v>4261</v>
      </c>
      <c r="F2750" s="2" t="s">
        <v>6003</v>
      </c>
      <c r="G2750" s="2"/>
    </row>
    <row r="2751" customFormat="false" ht="15" hidden="false" customHeight="false" outlineLevel="0" collapsed="false">
      <c r="A2751" s="2" t="s">
        <v>2593</v>
      </c>
      <c r="B2751" s="2" t="s">
        <v>595</v>
      </c>
      <c r="C2751" s="2" t="s">
        <v>595</v>
      </c>
      <c r="D2751" s="2" t="s">
        <v>2594</v>
      </c>
      <c r="E2751" s="2" t="s">
        <v>4264</v>
      </c>
      <c r="F2751" s="2"/>
      <c r="G2751" s="2"/>
    </row>
    <row r="2752" customFormat="false" ht="15" hidden="false" customHeight="false" outlineLevel="0" collapsed="false">
      <c r="A2752" s="2" t="s">
        <v>2595</v>
      </c>
      <c r="B2752" s="2" t="s">
        <v>1424</v>
      </c>
      <c r="C2752" s="2" t="s">
        <v>595</v>
      </c>
      <c r="D2752" s="2" t="s">
        <v>6579</v>
      </c>
      <c r="E2752" s="2" t="s">
        <v>4261</v>
      </c>
      <c r="F2752" s="2" t="s">
        <v>6003</v>
      </c>
      <c r="G2752" s="2"/>
    </row>
    <row r="2753" customFormat="false" ht="15" hidden="false" customHeight="false" outlineLevel="0" collapsed="false">
      <c r="A2753" s="2" t="s">
        <v>2595</v>
      </c>
      <c r="B2753" s="2" t="s">
        <v>1424</v>
      </c>
      <c r="C2753" s="2" t="s">
        <v>595</v>
      </c>
      <c r="D2753" s="2" t="s">
        <v>6580</v>
      </c>
      <c r="E2753" s="2" t="s">
        <v>4261</v>
      </c>
      <c r="F2753" s="2" t="s">
        <v>6003</v>
      </c>
      <c r="G2753" s="2"/>
    </row>
    <row r="2754" customFormat="false" ht="15" hidden="false" customHeight="false" outlineLevel="0" collapsed="false">
      <c r="A2754" s="2" t="s">
        <v>2595</v>
      </c>
      <c r="B2754" s="2" t="s">
        <v>1424</v>
      </c>
      <c r="C2754" s="2" t="s">
        <v>595</v>
      </c>
      <c r="D2754" s="2" t="s">
        <v>6581</v>
      </c>
      <c r="E2754" s="2" t="s">
        <v>4261</v>
      </c>
      <c r="F2754" s="2" t="s">
        <v>6003</v>
      </c>
      <c r="G2754" s="2"/>
    </row>
    <row r="2755" customFormat="false" ht="15" hidden="false" customHeight="false" outlineLevel="0" collapsed="false">
      <c r="A2755" s="2" t="s">
        <v>2595</v>
      </c>
      <c r="B2755" s="2" t="s">
        <v>1424</v>
      </c>
      <c r="C2755" s="2" t="s">
        <v>595</v>
      </c>
      <c r="D2755" s="2" t="s">
        <v>6582</v>
      </c>
      <c r="E2755" s="2" t="s">
        <v>4261</v>
      </c>
      <c r="F2755" s="2" t="s">
        <v>6003</v>
      </c>
      <c r="G2755" s="2"/>
    </row>
    <row r="2756" customFormat="false" ht="15" hidden="false" customHeight="false" outlineLevel="0" collapsed="false">
      <c r="A2756" s="2" t="s">
        <v>2607</v>
      </c>
      <c r="B2756" s="2" t="s">
        <v>2608</v>
      </c>
      <c r="C2756" s="2" t="s">
        <v>423</v>
      </c>
      <c r="D2756" s="2" t="s">
        <v>6583</v>
      </c>
      <c r="E2756" s="2" t="s">
        <v>4261</v>
      </c>
      <c r="F2756" s="2" t="s">
        <v>6003</v>
      </c>
      <c r="G2756" s="2"/>
    </row>
    <row r="2757" customFormat="false" ht="15" hidden="false" customHeight="false" outlineLevel="0" collapsed="false">
      <c r="A2757" s="2" t="s">
        <v>2607</v>
      </c>
      <c r="B2757" s="2" t="s">
        <v>2608</v>
      </c>
      <c r="C2757" s="2" t="s">
        <v>423</v>
      </c>
      <c r="D2757" s="2" t="s">
        <v>6584</v>
      </c>
      <c r="E2757" s="2" t="s">
        <v>4261</v>
      </c>
      <c r="F2757" s="2" t="s">
        <v>6003</v>
      </c>
      <c r="G2757" s="2"/>
    </row>
    <row r="2758" customFormat="false" ht="15" hidden="false" customHeight="false" outlineLevel="0" collapsed="false">
      <c r="A2758" s="2" t="s">
        <v>2645</v>
      </c>
      <c r="B2758" s="2" t="s">
        <v>2646</v>
      </c>
      <c r="C2758" s="2" t="s">
        <v>2642</v>
      </c>
      <c r="D2758" s="2" t="s">
        <v>5341</v>
      </c>
      <c r="E2758" s="2" t="s">
        <v>4261</v>
      </c>
      <c r="F2758" s="2"/>
      <c r="G2758" s="2"/>
    </row>
    <row r="2759" customFormat="false" ht="15" hidden="false" customHeight="false" outlineLevel="0" collapsed="false">
      <c r="A2759" s="2" t="s">
        <v>2645</v>
      </c>
      <c r="B2759" s="2" t="s">
        <v>2646</v>
      </c>
      <c r="C2759" s="2" t="s">
        <v>2642</v>
      </c>
      <c r="D2759" s="2" t="s">
        <v>6585</v>
      </c>
      <c r="E2759" s="2" t="s">
        <v>4261</v>
      </c>
      <c r="F2759" s="2"/>
      <c r="G2759" s="2"/>
    </row>
    <row r="2760" customFormat="false" ht="15" hidden="false" customHeight="false" outlineLevel="0" collapsed="false">
      <c r="A2760" s="2" t="s">
        <v>2645</v>
      </c>
      <c r="B2760" s="2" t="s">
        <v>2646</v>
      </c>
      <c r="C2760" s="2" t="s">
        <v>2642</v>
      </c>
      <c r="D2760" s="2" t="s">
        <v>6586</v>
      </c>
      <c r="E2760" s="2" t="s">
        <v>4261</v>
      </c>
      <c r="F2760" s="2"/>
      <c r="G2760" s="2"/>
    </row>
    <row r="2761" customFormat="false" ht="15" hidden="false" customHeight="false" outlineLevel="0" collapsed="false">
      <c r="A2761" s="2" t="s">
        <v>2645</v>
      </c>
      <c r="B2761" s="2" t="s">
        <v>2646</v>
      </c>
      <c r="C2761" s="2" t="s">
        <v>2642</v>
      </c>
      <c r="D2761" s="2" t="s">
        <v>6587</v>
      </c>
      <c r="E2761" s="2" t="s">
        <v>4261</v>
      </c>
      <c r="F2761" s="2"/>
      <c r="G2761" s="2"/>
    </row>
    <row r="2762" customFormat="false" ht="15" hidden="false" customHeight="false" outlineLevel="0" collapsed="false">
      <c r="A2762" s="2" t="s">
        <v>2645</v>
      </c>
      <c r="B2762" s="2" t="s">
        <v>2646</v>
      </c>
      <c r="C2762" s="2" t="s">
        <v>2642</v>
      </c>
      <c r="D2762" s="2" t="s">
        <v>6588</v>
      </c>
      <c r="E2762" s="2" t="s">
        <v>4261</v>
      </c>
      <c r="F2762" s="2"/>
      <c r="G2762" s="2"/>
    </row>
    <row r="2763" customFormat="false" ht="15" hidden="false" customHeight="false" outlineLevel="0" collapsed="false">
      <c r="A2763" s="2" t="s">
        <v>2645</v>
      </c>
      <c r="B2763" s="2" t="s">
        <v>2646</v>
      </c>
      <c r="C2763" s="2" t="s">
        <v>2642</v>
      </c>
      <c r="D2763" s="2" t="s">
        <v>6589</v>
      </c>
      <c r="E2763" s="2" t="s">
        <v>4264</v>
      </c>
      <c r="F2763" s="2"/>
      <c r="G2763" s="2"/>
    </row>
    <row r="2764" customFormat="false" ht="15" hidden="false" customHeight="false" outlineLevel="0" collapsed="false">
      <c r="A2764" s="2" t="s">
        <v>2672</v>
      </c>
      <c r="B2764" s="2" t="s">
        <v>2673</v>
      </c>
      <c r="C2764" s="2" t="s">
        <v>2445</v>
      </c>
      <c r="D2764" s="2" t="s">
        <v>2674</v>
      </c>
      <c r="E2764" s="2" t="s">
        <v>4261</v>
      </c>
      <c r="F2764" s="2" t="s">
        <v>6003</v>
      </c>
      <c r="G2764" s="2"/>
    </row>
    <row r="2765" customFormat="false" ht="15" hidden="false" customHeight="false" outlineLevel="0" collapsed="false">
      <c r="A2765" s="2" t="s">
        <v>2692</v>
      </c>
      <c r="B2765" s="2" t="s">
        <v>2693</v>
      </c>
      <c r="C2765" s="2" t="s">
        <v>2642</v>
      </c>
      <c r="D2765" s="2" t="s">
        <v>6590</v>
      </c>
      <c r="E2765" s="2" t="s">
        <v>4261</v>
      </c>
      <c r="F2765" s="2"/>
      <c r="G2765" s="2"/>
    </row>
    <row r="2766" customFormat="false" ht="15" hidden="false" customHeight="false" outlineLevel="0" collapsed="false">
      <c r="A2766" s="2" t="s">
        <v>2692</v>
      </c>
      <c r="B2766" s="2" t="s">
        <v>2693</v>
      </c>
      <c r="C2766" s="2" t="s">
        <v>2642</v>
      </c>
      <c r="D2766" s="2" t="s">
        <v>6591</v>
      </c>
      <c r="E2766" s="2" t="s">
        <v>4271</v>
      </c>
      <c r="F2766" s="2"/>
      <c r="G2766" s="2"/>
    </row>
    <row r="2767" customFormat="false" ht="15" hidden="false" customHeight="false" outlineLevel="0" collapsed="false">
      <c r="A2767" s="2" t="s">
        <v>2692</v>
      </c>
      <c r="B2767" s="2" t="s">
        <v>2693</v>
      </c>
      <c r="C2767" s="2" t="s">
        <v>2642</v>
      </c>
      <c r="D2767" s="2" t="s">
        <v>6592</v>
      </c>
      <c r="E2767" s="2" t="s">
        <v>4261</v>
      </c>
      <c r="F2767" s="2"/>
      <c r="G2767" s="2"/>
    </row>
    <row r="2768" customFormat="false" ht="15" hidden="false" customHeight="false" outlineLevel="0" collapsed="false">
      <c r="A2768" s="2" t="s">
        <v>2692</v>
      </c>
      <c r="B2768" s="2" t="s">
        <v>2693</v>
      </c>
      <c r="C2768" s="2" t="s">
        <v>2642</v>
      </c>
      <c r="D2768" s="2" t="s">
        <v>6593</v>
      </c>
      <c r="E2768" s="2" t="s">
        <v>4261</v>
      </c>
      <c r="F2768" s="2"/>
      <c r="G2768" s="2"/>
    </row>
    <row r="2769" customFormat="false" ht="15" hidden="false" customHeight="false" outlineLevel="0" collapsed="false">
      <c r="A2769" s="2" t="s">
        <v>2705</v>
      </c>
      <c r="B2769" s="2" t="s">
        <v>2706</v>
      </c>
      <c r="C2769" s="2" t="s">
        <v>2445</v>
      </c>
      <c r="D2769" s="2" t="s">
        <v>6594</v>
      </c>
      <c r="E2769" s="2" t="s">
        <v>4261</v>
      </c>
      <c r="F2769" s="2" t="s">
        <v>6003</v>
      </c>
      <c r="G2769" s="2"/>
    </row>
    <row r="2770" customFormat="false" ht="15" hidden="false" customHeight="false" outlineLevel="0" collapsed="false">
      <c r="A2770" s="2" t="s">
        <v>2705</v>
      </c>
      <c r="B2770" s="2" t="s">
        <v>2706</v>
      </c>
      <c r="C2770" s="2" t="s">
        <v>2445</v>
      </c>
      <c r="D2770" s="2" t="s">
        <v>6048</v>
      </c>
      <c r="E2770" s="2" t="s">
        <v>4261</v>
      </c>
      <c r="F2770" s="2" t="s">
        <v>6003</v>
      </c>
      <c r="G2770" s="2"/>
    </row>
    <row r="2771" customFormat="false" ht="15" hidden="false" customHeight="false" outlineLevel="0" collapsed="false">
      <c r="A2771" s="2" t="s">
        <v>2714</v>
      </c>
      <c r="B2771" s="2" t="s">
        <v>2715</v>
      </c>
      <c r="C2771" s="2" t="s">
        <v>524</v>
      </c>
      <c r="D2771" s="2" t="s">
        <v>2716</v>
      </c>
      <c r="E2771" s="2" t="s">
        <v>4264</v>
      </c>
      <c r="F2771" s="2" t="s">
        <v>6003</v>
      </c>
      <c r="G2771" s="2"/>
    </row>
    <row r="2772" customFormat="false" ht="15" hidden="false" customHeight="false" outlineLevel="0" collapsed="false">
      <c r="A2772" s="2" t="s">
        <v>2758</v>
      </c>
      <c r="B2772" s="2" t="s">
        <v>2759</v>
      </c>
      <c r="C2772" s="2" t="s">
        <v>2437</v>
      </c>
      <c r="D2772" s="2" t="s">
        <v>2760</v>
      </c>
      <c r="E2772" s="2" t="s">
        <v>4261</v>
      </c>
      <c r="F2772" s="2" t="s">
        <v>6003</v>
      </c>
      <c r="G2772" s="2"/>
    </row>
    <row r="2773" customFormat="false" ht="15" hidden="false" customHeight="false" outlineLevel="0" collapsed="false">
      <c r="A2773" s="2" t="s">
        <v>2761</v>
      </c>
      <c r="B2773" s="2" t="s">
        <v>2747</v>
      </c>
      <c r="C2773" s="2" t="s">
        <v>2460</v>
      </c>
      <c r="D2773" s="2" t="s">
        <v>2762</v>
      </c>
      <c r="E2773" s="2" t="s">
        <v>4261</v>
      </c>
      <c r="F2773" s="2" t="s">
        <v>6003</v>
      </c>
      <c r="G2773" s="2"/>
    </row>
    <row r="2774" customFormat="false" ht="15" hidden="false" customHeight="false" outlineLevel="0" collapsed="false">
      <c r="A2774" s="2" t="s">
        <v>2779</v>
      </c>
      <c r="B2774" s="2" t="s">
        <v>2780</v>
      </c>
      <c r="C2774" s="2" t="s">
        <v>2724</v>
      </c>
      <c r="D2774" s="2" t="s">
        <v>2781</v>
      </c>
      <c r="E2774" s="2" t="s">
        <v>4261</v>
      </c>
      <c r="F2774" s="2" t="s">
        <v>6003</v>
      </c>
      <c r="G2774" s="2"/>
    </row>
    <row r="2775" customFormat="false" ht="15" hidden="false" customHeight="false" outlineLevel="0" collapsed="false">
      <c r="A2775" s="2" t="s">
        <v>2798</v>
      </c>
      <c r="B2775" s="2" t="s">
        <v>2724</v>
      </c>
      <c r="C2775" s="2" t="s">
        <v>2724</v>
      </c>
      <c r="D2775" s="2" t="s">
        <v>6595</v>
      </c>
      <c r="E2775" s="2" t="s">
        <v>4264</v>
      </c>
      <c r="F2775" s="2" t="s">
        <v>6003</v>
      </c>
      <c r="G2775" s="2"/>
    </row>
    <row r="2776" customFormat="false" ht="15" hidden="false" customHeight="false" outlineLevel="0" collapsed="false">
      <c r="A2776" s="2" t="s">
        <v>2798</v>
      </c>
      <c r="B2776" s="2" t="s">
        <v>2724</v>
      </c>
      <c r="C2776" s="2" t="s">
        <v>2724</v>
      </c>
      <c r="D2776" s="2" t="s">
        <v>6596</v>
      </c>
      <c r="E2776" s="2" t="s">
        <v>4271</v>
      </c>
      <c r="F2776" s="2" t="s">
        <v>6003</v>
      </c>
      <c r="G2776" s="2"/>
    </row>
    <row r="2777" customFormat="false" ht="15" hidden="false" customHeight="false" outlineLevel="0" collapsed="false">
      <c r="A2777" s="2" t="s">
        <v>2798</v>
      </c>
      <c r="B2777" s="2" t="s">
        <v>2724</v>
      </c>
      <c r="C2777" s="2" t="s">
        <v>2724</v>
      </c>
      <c r="D2777" s="2" t="s">
        <v>6597</v>
      </c>
      <c r="E2777" s="2" t="s">
        <v>4261</v>
      </c>
      <c r="F2777" s="2" t="s">
        <v>6003</v>
      </c>
      <c r="G2777" s="2"/>
    </row>
    <row r="2778" customFormat="false" ht="15" hidden="false" customHeight="false" outlineLevel="0" collapsed="false">
      <c r="A2778" s="2" t="s">
        <v>2867</v>
      </c>
      <c r="B2778" s="2" t="s">
        <v>2460</v>
      </c>
      <c r="C2778" s="2" t="s">
        <v>2460</v>
      </c>
      <c r="D2778" s="2" t="s">
        <v>2868</v>
      </c>
      <c r="E2778" s="2" t="s">
        <v>4261</v>
      </c>
      <c r="F2778" s="2" t="s">
        <v>6003</v>
      </c>
      <c r="G2778" s="2"/>
    </row>
    <row r="2779" customFormat="false" ht="15" hidden="false" customHeight="false" outlineLevel="0" collapsed="false">
      <c r="A2779" s="2" t="s">
        <v>2871</v>
      </c>
      <c r="B2779" s="2" t="s">
        <v>2460</v>
      </c>
      <c r="C2779" s="2" t="s">
        <v>2460</v>
      </c>
      <c r="D2779" s="2" t="s">
        <v>6598</v>
      </c>
      <c r="E2779" s="2" t="s">
        <v>4261</v>
      </c>
      <c r="F2779" s="2" t="s">
        <v>6003</v>
      </c>
      <c r="G2779" s="2"/>
    </row>
    <row r="2780" customFormat="false" ht="15" hidden="false" customHeight="false" outlineLevel="0" collapsed="false">
      <c r="A2780" s="2" t="s">
        <v>2871</v>
      </c>
      <c r="B2780" s="2" t="s">
        <v>2460</v>
      </c>
      <c r="C2780" s="2" t="s">
        <v>2460</v>
      </c>
      <c r="D2780" s="2" t="s">
        <v>6599</v>
      </c>
      <c r="E2780" s="2" t="s">
        <v>4261</v>
      </c>
      <c r="F2780" s="2" t="s">
        <v>6003</v>
      </c>
      <c r="G2780" s="2"/>
    </row>
    <row r="2781" customFormat="false" ht="15" hidden="false" customHeight="false" outlineLevel="0" collapsed="false">
      <c r="A2781" s="2" t="s">
        <v>2874</v>
      </c>
      <c r="B2781" s="2" t="s">
        <v>2460</v>
      </c>
      <c r="C2781" s="2" t="s">
        <v>2460</v>
      </c>
      <c r="D2781" s="2" t="s">
        <v>2875</v>
      </c>
      <c r="E2781" s="2" t="s">
        <v>4271</v>
      </c>
      <c r="F2781" s="2" t="s">
        <v>6003</v>
      </c>
      <c r="G2781" s="2"/>
    </row>
    <row r="2782" customFormat="false" ht="15" hidden="false" customHeight="false" outlineLevel="0" collapsed="false">
      <c r="A2782" s="2" t="s">
        <v>2882</v>
      </c>
      <c r="B2782" s="2" t="s">
        <v>1045</v>
      </c>
      <c r="C2782" s="2" t="s">
        <v>380</v>
      </c>
      <c r="D2782" s="2" t="s">
        <v>6600</v>
      </c>
      <c r="E2782" s="2" t="s">
        <v>4271</v>
      </c>
      <c r="F2782" s="2" t="s">
        <v>6003</v>
      </c>
      <c r="G2782" s="2"/>
    </row>
    <row r="2783" customFormat="false" ht="15" hidden="false" customHeight="false" outlineLevel="0" collapsed="false">
      <c r="A2783" s="2" t="s">
        <v>2882</v>
      </c>
      <c r="B2783" s="2" t="s">
        <v>1045</v>
      </c>
      <c r="C2783" s="2" t="s">
        <v>380</v>
      </c>
      <c r="D2783" s="2" t="s">
        <v>5948</v>
      </c>
      <c r="E2783" s="2" t="s">
        <v>4271</v>
      </c>
      <c r="F2783" s="2" t="s">
        <v>6003</v>
      </c>
      <c r="G2783" s="2"/>
    </row>
    <row r="2784" customFormat="false" ht="15" hidden="false" customHeight="false" outlineLevel="0" collapsed="false">
      <c r="A2784" s="2" t="s">
        <v>2882</v>
      </c>
      <c r="B2784" s="2" t="s">
        <v>1045</v>
      </c>
      <c r="C2784" s="2" t="s">
        <v>380</v>
      </c>
      <c r="D2784" s="2" t="s">
        <v>6601</v>
      </c>
      <c r="E2784" s="2" t="s">
        <v>4271</v>
      </c>
      <c r="F2784" s="2" t="s">
        <v>6003</v>
      </c>
      <c r="G2784" s="2"/>
    </row>
    <row r="2785" customFormat="false" ht="15" hidden="false" customHeight="false" outlineLevel="0" collapsed="false">
      <c r="A2785" s="2" t="s">
        <v>2890</v>
      </c>
      <c r="B2785" s="2" t="s">
        <v>2891</v>
      </c>
      <c r="C2785" s="2" t="s">
        <v>380</v>
      </c>
      <c r="D2785" s="2" t="s">
        <v>5575</v>
      </c>
      <c r="E2785" s="2" t="s">
        <v>4261</v>
      </c>
      <c r="F2785" s="2" t="s">
        <v>6003</v>
      </c>
      <c r="G2785" s="2"/>
    </row>
    <row r="2786" customFormat="false" ht="15" hidden="false" customHeight="false" outlineLevel="0" collapsed="false">
      <c r="A2786" s="2" t="s">
        <v>2890</v>
      </c>
      <c r="B2786" s="2" t="s">
        <v>2891</v>
      </c>
      <c r="C2786" s="2" t="s">
        <v>380</v>
      </c>
      <c r="D2786" s="2" t="s">
        <v>6602</v>
      </c>
      <c r="E2786" s="2" t="s">
        <v>4261</v>
      </c>
      <c r="F2786" s="2" t="s">
        <v>6003</v>
      </c>
      <c r="G2786" s="2"/>
    </row>
    <row r="2787" customFormat="false" ht="15" hidden="false" customHeight="false" outlineLevel="0" collapsed="false">
      <c r="A2787" s="2" t="s">
        <v>2890</v>
      </c>
      <c r="B2787" s="2" t="s">
        <v>2891</v>
      </c>
      <c r="C2787" s="2" t="s">
        <v>380</v>
      </c>
      <c r="D2787" s="2" t="s">
        <v>6603</v>
      </c>
      <c r="E2787" s="2" t="s">
        <v>4264</v>
      </c>
      <c r="F2787" s="2" t="s">
        <v>6003</v>
      </c>
      <c r="G2787" s="2"/>
    </row>
    <row r="2788" customFormat="false" ht="15" hidden="false" customHeight="false" outlineLevel="0" collapsed="false">
      <c r="A2788" s="2" t="s">
        <v>2890</v>
      </c>
      <c r="B2788" s="2" t="s">
        <v>2891</v>
      </c>
      <c r="C2788" s="2" t="s">
        <v>380</v>
      </c>
      <c r="D2788" s="2" t="s">
        <v>4729</v>
      </c>
      <c r="E2788" s="2" t="s">
        <v>4261</v>
      </c>
      <c r="F2788" s="2" t="s">
        <v>6003</v>
      </c>
      <c r="G2788" s="2"/>
    </row>
    <row r="2789" customFormat="false" ht="15" hidden="false" customHeight="false" outlineLevel="0" collapsed="false">
      <c r="A2789" s="2" t="s">
        <v>2890</v>
      </c>
      <c r="B2789" s="2" t="s">
        <v>2891</v>
      </c>
      <c r="C2789" s="2" t="s">
        <v>380</v>
      </c>
      <c r="D2789" s="2" t="s">
        <v>4805</v>
      </c>
      <c r="E2789" s="2" t="s">
        <v>4264</v>
      </c>
      <c r="F2789" s="2" t="s">
        <v>6003</v>
      </c>
      <c r="G2789" s="2"/>
    </row>
    <row r="2790" customFormat="false" ht="15" hidden="false" customHeight="false" outlineLevel="0" collapsed="false">
      <c r="A2790" s="2" t="s">
        <v>2890</v>
      </c>
      <c r="B2790" s="2" t="s">
        <v>2891</v>
      </c>
      <c r="C2790" s="2" t="s">
        <v>380</v>
      </c>
      <c r="D2790" s="2" t="s">
        <v>6604</v>
      </c>
      <c r="E2790" s="2" t="s">
        <v>4261</v>
      </c>
      <c r="F2790" s="2" t="s">
        <v>6003</v>
      </c>
      <c r="G2790" s="2"/>
    </row>
    <row r="2791" customFormat="false" ht="15" hidden="false" customHeight="false" outlineLevel="0" collapsed="false">
      <c r="A2791" s="2" t="s">
        <v>2890</v>
      </c>
      <c r="B2791" s="2" t="s">
        <v>2891</v>
      </c>
      <c r="C2791" s="2" t="s">
        <v>380</v>
      </c>
      <c r="D2791" s="2" t="s">
        <v>6605</v>
      </c>
      <c r="E2791" s="2" t="s">
        <v>4261</v>
      </c>
      <c r="F2791" s="2" t="s">
        <v>6003</v>
      </c>
      <c r="G2791" s="2"/>
    </row>
    <row r="2792" customFormat="false" ht="15" hidden="false" customHeight="false" outlineLevel="0" collapsed="false">
      <c r="A2792" s="2" t="s">
        <v>2890</v>
      </c>
      <c r="B2792" s="2" t="s">
        <v>2891</v>
      </c>
      <c r="C2792" s="2" t="s">
        <v>380</v>
      </c>
      <c r="D2792" s="2" t="s">
        <v>6606</v>
      </c>
      <c r="E2792" s="2" t="s">
        <v>4264</v>
      </c>
      <c r="F2792" s="2" t="s">
        <v>6003</v>
      </c>
      <c r="G2792" s="2"/>
    </row>
    <row r="2793" customFormat="false" ht="15" hidden="false" customHeight="false" outlineLevel="0" collapsed="false">
      <c r="A2793" s="2" t="s">
        <v>2890</v>
      </c>
      <c r="B2793" s="2" t="s">
        <v>2891</v>
      </c>
      <c r="C2793" s="2" t="s">
        <v>380</v>
      </c>
      <c r="D2793" s="2" t="s">
        <v>6607</v>
      </c>
      <c r="E2793" s="2" t="s">
        <v>4261</v>
      </c>
      <c r="F2793" s="2" t="s">
        <v>6003</v>
      </c>
      <c r="G2793" s="2"/>
    </row>
    <row r="2794" customFormat="false" ht="15" hidden="false" customHeight="false" outlineLevel="0" collapsed="false">
      <c r="A2794" s="2" t="s">
        <v>2890</v>
      </c>
      <c r="B2794" s="2" t="s">
        <v>2891</v>
      </c>
      <c r="C2794" s="2" t="s">
        <v>380</v>
      </c>
      <c r="D2794" s="2" t="s">
        <v>6608</v>
      </c>
      <c r="E2794" s="2" t="s">
        <v>4264</v>
      </c>
      <c r="F2794" s="2" t="s">
        <v>6003</v>
      </c>
      <c r="G2794" s="2"/>
    </row>
    <row r="2795" customFormat="false" ht="15" hidden="false" customHeight="false" outlineLevel="0" collapsed="false">
      <c r="A2795" s="2" t="s">
        <v>2890</v>
      </c>
      <c r="B2795" s="2" t="s">
        <v>2891</v>
      </c>
      <c r="C2795" s="2" t="s">
        <v>380</v>
      </c>
      <c r="D2795" s="2" t="s">
        <v>6609</v>
      </c>
      <c r="E2795" s="2" t="s">
        <v>4261</v>
      </c>
      <c r="F2795" s="2" t="s">
        <v>6003</v>
      </c>
      <c r="G2795" s="2"/>
    </row>
    <row r="2796" customFormat="false" ht="15" hidden="false" customHeight="false" outlineLevel="0" collapsed="false">
      <c r="A2796" s="2" t="s">
        <v>2890</v>
      </c>
      <c r="B2796" s="2" t="s">
        <v>2891</v>
      </c>
      <c r="C2796" s="2" t="s">
        <v>380</v>
      </c>
      <c r="D2796" s="2" t="s">
        <v>6610</v>
      </c>
      <c r="E2796" s="2" t="s">
        <v>4261</v>
      </c>
      <c r="F2796" s="2" t="s">
        <v>6003</v>
      </c>
      <c r="G2796" s="2"/>
    </row>
    <row r="2797" customFormat="false" ht="15" hidden="false" customHeight="false" outlineLevel="0" collapsed="false">
      <c r="A2797" s="2" t="s">
        <v>2890</v>
      </c>
      <c r="B2797" s="2" t="s">
        <v>2891</v>
      </c>
      <c r="C2797" s="2" t="s">
        <v>380</v>
      </c>
      <c r="D2797" s="2" t="s">
        <v>6611</v>
      </c>
      <c r="E2797" s="2" t="s">
        <v>4261</v>
      </c>
      <c r="F2797" s="2" t="s">
        <v>6003</v>
      </c>
      <c r="G2797" s="2"/>
    </row>
    <row r="2798" customFormat="false" ht="15" hidden="false" customHeight="false" outlineLevel="0" collapsed="false">
      <c r="A2798" s="2" t="s">
        <v>2890</v>
      </c>
      <c r="B2798" s="2" t="s">
        <v>2891</v>
      </c>
      <c r="C2798" s="2" t="s">
        <v>380</v>
      </c>
      <c r="D2798" s="2" t="s">
        <v>6612</v>
      </c>
      <c r="E2798" s="2" t="s">
        <v>4261</v>
      </c>
      <c r="F2798" s="2" t="s">
        <v>6003</v>
      </c>
      <c r="G2798" s="2"/>
    </row>
    <row r="2799" customFormat="false" ht="15" hidden="false" customHeight="false" outlineLevel="0" collapsed="false">
      <c r="A2799" s="2" t="s">
        <v>2890</v>
      </c>
      <c r="B2799" s="2" t="s">
        <v>2891</v>
      </c>
      <c r="C2799" s="2" t="s">
        <v>380</v>
      </c>
      <c r="D2799" s="2" t="s">
        <v>6613</v>
      </c>
      <c r="E2799" s="2" t="s">
        <v>4261</v>
      </c>
      <c r="F2799" s="2" t="s">
        <v>6003</v>
      </c>
      <c r="G2799" s="2"/>
    </row>
    <row r="2800" customFormat="false" ht="15" hidden="false" customHeight="false" outlineLevel="0" collapsed="false">
      <c r="A2800" s="2" t="s">
        <v>2890</v>
      </c>
      <c r="B2800" s="2" t="s">
        <v>2891</v>
      </c>
      <c r="C2800" s="2" t="s">
        <v>380</v>
      </c>
      <c r="D2800" s="2" t="s">
        <v>6614</v>
      </c>
      <c r="E2800" s="2" t="s">
        <v>4261</v>
      </c>
      <c r="F2800" s="2" t="s">
        <v>6003</v>
      </c>
      <c r="G2800" s="2"/>
    </row>
    <row r="2801" customFormat="false" ht="15" hidden="false" customHeight="false" outlineLevel="0" collapsed="false">
      <c r="A2801" s="2" t="s">
        <v>2890</v>
      </c>
      <c r="B2801" s="2" t="s">
        <v>2891</v>
      </c>
      <c r="C2801" s="2" t="s">
        <v>380</v>
      </c>
      <c r="D2801" s="2" t="s">
        <v>2960</v>
      </c>
      <c r="E2801" s="2" t="s">
        <v>4261</v>
      </c>
      <c r="F2801" s="2" t="s">
        <v>6003</v>
      </c>
      <c r="G2801" s="2"/>
    </row>
    <row r="2802" customFormat="false" ht="15" hidden="false" customHeight="false" outlineLevel="0" collapsed="false">
      <c r="A2802" s="2" t="s">
        <v>2890</v>
      </c>
      <c r="B2802" s="2" t="s">
        <v>2891</v>
      </c>
      <c r="C2802" s="2" t="s">
        <v>380</v>
      </c>
      <c r="D2802" s="2" t="s">
        <v>6615</v>
      </c>
      <c r="E2802" s="2" t="s">
        <v>4261</v>
      </c>
      <c r="F2802" s="2" t="s">
        <v>6003</v>
      </c>
      <c r="G2802" s="2"/>
    </row>
    <row r="2803" customFormat="false" ht="15" hidden="false" customHeight="false" outlineLevel="0" collapsed="false">
      <c r="A2803" s="2" t="s">
        <v>2890</v>
      </c>
      <c r="B2803" s="2" t="s">
        <v>2891</v>
      </c>
      <c r="C2803" s="2" t="s">
        <v>380</v>
      </c>
      <c r="D2803" s="2" t="s">
        <v>6616</v>
      </c>
      <c r="E2803" s="2" t="s">
        <v>4261</v>
      </c>
      <c r="F2803" s="2" t="s">
        <v>6003</v>
      </c>
      <c r="G2803" s="2"/>
    </row>
    <row r="2804" customFormat="false" ht="15" hidden="false" customHeight="false" outlineLevel="0" collapsed="false">
      <c r="A2804" s="2" t="s">
        <v>2890</v>
      </c>
      <c r="B2804" s="2" t="s">
        <v>2891</v>
      </c>
      <c r="C2804" s="2" t="s">
        <v>380</v>
      </c>
      <c r="D2804" s="2" t="s">
        <v>6617</v>
      </c>
      <c r="E2804" s="2" t="s">
        <v>4261</v>
      </c>
      <c r="F2804" s="2" t="s">
        <v>6003</v>
      </c>
      <c r="G2804" s="2"/>
    </row>
    <row r="2805" customFormat="false" ht="15" hidden="false" customHeight="false" outlineLevel="0" collapsed="false">
      <c r="A2805" s="2" t="s">
        <v>2890</v>
      </c>
      <c r="B2805" s="2" t="s">
        <v>2891</v>
      </c>
      <c r="C2805" s="2" t="s">
        <v>380</v>
      </c>
      <c r="D2805" s="2" t="s">
        <v>6618</v>
      </c>
      <c r="E2805" s="2" t="s">
        <v>4261</v>
      </c>
      <c r="F2805" s="2" t="s">
        <v>6003</v>
      </c>
      <c r="G2805" s="2"/>
    </row>
    <row r="2806" customFormat="false" ht="15" hidden="false" customHeight="false" outlineLevel="0" collapsed="false">
      <c r="A2806" s="2" t="s">
        <v>2890</v>
      </c>
      <c r="B2806" s="2" t="s">
        <v>2891</v>
      </c>
      <c r="C2806" s="2" t="s">
        <v>380</v>
      </c>
      <c r="D2806" s="2" t="s">
        <v>1129</v>
      </c>
      <c r="E2806" s="2" t="s">
        <v>4261</v>
      </c>
      <c r="F2806" s="2" t="s">
        <v>6003</v>
      </c>
      <c r="G2806" s="2"/>
    </row>
    <row r="2807" customFormat="false" ht="15" hidden="false" customHeight="false" outlineLevel="0" collapsed="false">
      <c r="A2807" s="2" t="s">
        <v>2890</v>
      </c>
      <c r="B2807" s="2" t="s">
        <v>2891</v>
      </c>
      <c r="C2807" s="2" t="s">
        <v>380</v>
      </c>
      <c r="D2807" s="2" t="s">
        <v>6619</v>
      </c>
      <c r="E2807" s="2" t="s">
        <v>4261</v>
      </c>
      <c r="F2807" s="2" t="s">
        <v>6003</v>
      </c>
      <c r="G2807" s="2"/>
    </row>
    <row r="2808" customFormat="false" ht="15" hidden="false" customHeight="false" outlineLevel="0" collapsed="false">
      <c r="A2808" s="2" t="s">
        <v>2910</v>
      </c>
      <c r="B2808" s="2" t="s">
        <v>428</v>
      </c>
      <c r="C2808" s="2" t="s">
        <v>39</v>
      </c>
      <c r="D2808" s="2" t="s">
        <v>2911</v>
      </c>
      <c r="E2808" s="2" t="s">
        <v>4264</v>
      </c>
      <c r="F2808" s="2"/>
      <c r="G2808" s="2"/>
    </row>
    <row r="2809" customFormat="false" ht="15" hidden="false" customHeight="false" outlineLevel="0" collapsed="false">
      <c r="A2809" s="2" t="s">
        <v>2928</v>
      </c>
      <c r="B2809" s="2" t="s">
        <v>2929</v>
      </c>
      <c r="C2809" s="2" t="s">
        <v>105</v>
      </c>
      <c r="D2809" s="2" t="s">
        <v>2930</v>
      </c>
      <c r="E2809" s="2" t="s">
        <v>4261</v>
      </c>
      <c r="F2809" s="2" t="s">
        <v>6003</v>
      </c>
      <c r="G2809" s="2"/>
    </row>
    <row r="2810" customFormat="false" ht="15" hidden="false" customHeight="false" outlineLevel="0" collapsed="false">
      <c r="A2810" s="2" t="s">
        <v>2931</v>
      </c>
      <c r="B2810" s="2" t="s">
        <v>2932</v>
      </c>
      <c r="C2810" s="2" t="s">
        <v>105</v>
      </c>
      <c r="D2810" s="2" t="s">
        <v>2933</v>
      </c>
      <c r="E2810" s="2" t="s">
        <v>4261</v>
      </c>
      <c r="F2810" s="2" t="s">
        <v>6003</v>
      </c>
      <c r="G2810" s="2"/>
    </row>
    <row r="2811" customFormat="false" ht="15" hidden="false" customHeight="false" outlineLevel="0" collapsed="false">
      <c r="A2811" s="2" t="s">
        <v>2949</v>
      </c>
      <c r="B2811" s="2" t="s">
        <v>2950</v>
      </c>
      <c r="C2811" s="2" t="s">
        <v>105</v>
      </c>
      <c r="D2811" s="2" t="s">
        <v>2951</v>
      </c>
      <c r="E2811" s="2" t="s">
        <v>4261</v>
      </c>
      <c r="F2811" s="2" t="s">
        <v>6003</v>
      </c>
      <c r="G2811" s="2"/>
    </row>
    <row r="2812" customFormat="false" ht="15" hidden="false" customHeight="false" outlineLevel="0" collapsed="false">
      <c r="A2812" s="2" t="s">
        <v>2959</v>
      </c>
      <c r="B2812" s="2" t="s">
        <v>2960</v>
      </c>
      <c r="C2812" s="2" t="s">
        <v>2922</v>
      </c>
      <c r="D2812" s="2" t="s">
        <v>2961</v>
      </c>
      <c r="E2812" s="2" t="s">
        <v>4261</v>
      </c>
      <c r="F2812" s="2" t="s">
        <v>6003</v>
      </c>
      <c r="G2812" s="2"/>
    </row>
    <row r="2813" customFormat="false" ht="15" hidden="false" customHeight="false" outlineLevel="0" collapsed="false">
      <c r="A2813" s="2" t="s">
        <v>2970</v>
      </c>
      <c r="B2813" s="2" t="s">
        <v>2934</v>
      </c>
      <c r="C2813" s="2" t="s">
        <v>2922</v>
      </c>
      <c r="D2813" s="2" t="s">
        <v>6620</v>
      </c>
      <c r="E2813" s="2" t="s">
        <v>4261</v>
      </c>
      <c r="F2813" s="2" t="s">
        <v>6003</v>
      </c>
      <c r="G2813" s="2"/>
    </row>
    <row r="2814" customFormat="false" ht="15" hidden="false" customHeight="false" outlineLevel="0" collapsed="false">
      <c r="A2814" s="2" t="s">
        <v>2970</v>
      </c>
      <c r="B2814" s="2" t="s">
        <v>2934</v>
      </c>
      <c r="C2814" s="2" t="s">
        <v>2922</v>
      </c>
      <c r="D2814" s="2" t="s">
        <v>6621</v>
      </c>
      <c r="E2814" s="2" t="s">
        <v>4261</v>
      </c>
      <c r="F2814" s="2" t="s">
        <v>6003</v>
      </c>
      <c r="G2814" s="2"/>
    </row>
    <row r="2815" customFormat="false" ht="15" hidden="false" customHeight="false" outlineLevel="0" collapsed="false">
      <c r="A2815" s="2" t="s">
        <v>2972</v>
      </c>
      <c r="B2815" s="2" t="s">
        <v>2934</v>
      </c>
      <c r="C2815" s="2" t="s">
        <v>2922</v>
      </c>
      <c r="D2815" s="2" t="s">
        <v>2973</v>
      </c>
      <c r="E2815" s="2" t="s">
        <v>4264</v>
      </c>
      <c r="F2815" s="2" t="s">
        <v>6003</v>
      </c>
      <c r="G2815" s="2"/>
    </row>
    <row r="2816" customFormat="false" ht="15" hidden="false" customHeight="false" outlineLevel="0" collapsed="false">
      <c r="A2816" s="2" t="s">
        <v>2974</v>
      </c>
      <c r="B2816" s="2" t="s">
        <v>2934</v>
      </c>
      <c r="C2816" s="2" t="s">
        <v>2922</v>
      </c>
      <c r="D2816" s="2" t="s">
        <v>6622</v>
      </c>
      <c r="E2816" s="2" t="s">
        <v>4261</v>
      </c>
      <c r="F2816" s="2" t="s">
        <v>6003</v>
      </c>
      <c r="G2816" s="2"/>
    </row>
    <row r="2817" customFormat="false" ht="15" hidden="false" customHeight="false" outlineLevel="0" collapsed="false">
      <c r="A2817" s="2" t="s">
        <v>2974</v>
      </c>
      <c r="B2817" s="2" t="s">
        <v>2934</v>
      </c>
      <c r="C2817" s="2" t="s">
        <v>2922</v>
      </c>
      <c r="D2817" s="2" t="s">
        <v>6623</v>
      </c>
      <c r="E2817" s="2" t="s">
        <v>4261</v>
      </c>
      <c r="F2817" s="2" t="s">
        <v>6003</v>
      </c>
      <c r="G2817" s="2"/>
    </row>
    <row r="2818" customFormat="false" ht="15" hidden="false" customHeight="false" outlineLevel="0" collapsed="false">
      <c r="A2818" s="2" t="s">
        <v>2974</v>
      </c>
      <c r="B2818" s="2" t="s">
        <v>2934</v>
      </c>
      <c r="C2818" s="2" t="s">
        <v>2922</v>
      </c>
      <c r="D2818" s="2" t="s">
        <v>6624</v>
      </c>
      <c r="E2818" s="2" t="s">
        <v>4261</v>
      </c>
      <c r="F2818" s="2" t="s">
        <v>6003</v>
      </c>
      <c r="G2818" s="2"/>
    </row>
    <row r="2819" customFormat="false" ht="15" hidden="false" customHeight="false" outlineLevel="0" collapsed="false">
      <c r="A2819" s="2" t="s">
        <v>2974</v>
      </c>
      <c r="B2819" s="2" t="s">
        <v>2934</v>
      </c>
      <c r="C2819" s="2" t="s">
        <v>2922</v>
      </c>
      <c r="D2819" s="2" t="s">
        <v>6625</v>
      </c>
      <c r="E2819" s="2" t="s">
        <v>4261</v>
      </c>
      <c r="F2819" s="2" t="s">
        <v>6003</v>
      </c>
      <c r="G2819" s="2"/>
    </row>
    <row r="2820" customFormat="false" ht="15" hidden="false" customHeight="false" outlineLevel="0" collapsed="false">
      <c r="A2820" s="2" t="s">
        <v>2977</v>
      </c>
      <c r="B2820" s="2" t="s">
        <v>133</v>
      </c>
      <c r="C2820" s="2" t="s">
        <v>34</v>
      </c>
      <c r="D2820" s="2" t="s">
        <v>6626</v>
      </c>
      <c r="E2820" s="2" t="s">
        <v>4271</v>
      </c>
      <c r="F2820" s="2" t="s">
        <v>6003</v>
      </c>
      <c r="G2820" s="2"/>
    </row>
    <row r="2821" customFormat="false" ht="15" hidden="false" customHeight="false" outlineLevel="0" collapsed="false">
      <c r="A2821" s="2" t="s">
        <v>2977</v>
      </c>
      <c r="B2821" s="2" t="s">
        <v>133</v>
      </c>
      <c r="C2821" s="2" t="s">
        <v>34</v>
      </c>
      <c r="D2821" s="2" t="s">
        <v>6627</v>
      </c>
      <c r="E2821" s="2" t="s">
        <v>4261</v>
      </c>
      <c r="F2821" s="2" t="s">
        <v>6003</v>
      </c>
      <c r="G2821" s="2"/>
    </row>
    <row r="2822" customFormat="false" ht="15" hidden="false" customHeight="false" outlineLevel="0" collapsed="false">
      <c r="A2822" s="2" t="s">
        <v>2977</v>
      </c>
      <c r="B2822" s="2" t="s">
        <v>133</v>
      </c>
      <c r="C2822" s="2" t="s">
        <v>34</v>
      </c>
      <c r="D2822" s="2" t="s">
        <v>6628</v>
      </c>
      <c r="E2822" s="2" t="s">
        <v>4261</v>
      </c>
      <c r="F2822" s="2" t="s">
        <v>6003</v>
      </c>
      <c r="G2822" s="2"/>
    </row>
    <row r="2823" customFormat="false" ht="15" hidden="false" customHeight="false" outlineLevel="0" collapsed="false">
      <c r="A2823" s="2" t="s">
        <v>2977</v>
      </c>
      <c r="B2823" s="2" t="s">
        <v>133</v>
      </c>
      <c r="C2823" s="2" t="s">
        <v>34</v>
      </c>
      <c r="D2823" s="2" t="s">
        <v>6629</v>
      </c>
      <c r="E2823" s="2" t="s">
        <v>4261</v>
      </c>
      <c r="F2823" s="2" t="s">
        <v>6003</v>
      </c>
      <c r="G2823" s="2"/>
    </row>
    <row r="2824" customFormat="false" ht="15" hidden="false" customHeight="false" outlineLevel="0" collapsed="false">
      <c r="A2824" s="2" t="s">
        <v>2979</v>
      </c>
      <c r="B2824" s="2" t="s">
        <v>133</v>
      </c>
      <c r="C2824" s="2" t="s">
        <v>34</v>
      </c>
      <c r="D2824" s="2" t="s">
        <v>2980</v>
      </c>
      <c r="E2824" s="2" t="s">
        <v>4261</v>
      </c>
      <c r="F2824" s="2" t="s">
        <v>6003</v>
      </c>
      <c r="G2824" s="2"/>
    </row>
    <row r="2825" customFormat="false" ht="15" hidden="false" customHeight="false" outlineLevel="0" collapsed="false">
      <c r="A2825" s="2" t="s">
        <v>2981</v>
      </c>
      <c r="B2825" s="2" t="s">
        <v>133</v>
      </c>
      <c r="C2825" s="2" t="s">
        <v>34</v>
      </c>
      <c r="D2825" s="2" t="s">
        <v>6630</v>
      </c>
      <c r="E2825" s="2" t="s">
        <v>4261</v>
      </c>
      <c r="F2825" s="2" t="s">
        <v>6003</v>
      </c>
      <c r="G2825" s="2"/>
    </row>
    <row r="2826" customFormat="false" ht="15" hidden="false" customHeight="false" outlineLevel="0" collapsed="false">
      <c r="A2826" s="2" t="s">
        <v>2981</v>
      </c>
      <c r="B2826" s="2" t="s">
        <v>133</v>
      </c>
      <c r="C2826" s="2" t="s">
        <v>34</v>
      </c>
      <c r="D2826" s="2" t="s">
        <v>6631</v>
      </c>
      <c r="E2826" s="2" t="s">
        <v>4261</v>
      </c>
      <c r="F2826" s="2" t="s">
        <v>6003</v>
      </c>
      <c r="G2826" s="2"/>
    </row>
    <row r="2827" customFormat="false" ht="15" hidden="false" customHeight="false" outlineLevel="0" collapsed="false">
      <c r="A2827" s="2" t="s">
        <v>2981</v>
      </c>
      <c r="B2827" s="2" t="s">
        <v>133</v>
      </c>
      <c r="C2827" s="2" t="s">
        <v>34</v>
      </c>
      <c r="D2827" s="2" t="s">
        <v>6052</v>
      </c>
      <c r="E2827" s="2" t="s">
        <v>4261</v>
      </c>
      <c r="F2827" s="2" t="s">
        <v>6003</v>
      </c>
      <c r="G2827" s="2"/>
    </row>
    <row r="2828" customFormat="false" ht="15" hidden="false" customHeight="false" outlineLevel="0" collapsed="false">
      <c r="A2828" s="2" t="s">
        <v>2981</v>
      </c>
      <c r="B2828" s="2" t="s">
        <v>133</v>
      </c>
      <c r="C2828" s="2" t="s">
        <v>34</v>
      </c>
      <c r="D2828" s="2" t="s">
        <v>240</v>
      </c>
      <c r="E2828" s="2" t="s">
        <v>4261</v>
      </c>
      <c r="F2828" s="2" t="s">
        <v>6003</v>
      </c>
      <c r="G2828" s="2"/>
    </row>
    <row r="2829" customFormat="false" ht="15" hidden="false" customHeight="false" outlineLevel="0" collapsed="false">
      <c r="A2829" s="2" t="s">
        <v>2981</v>
      </c>
      <c r="B2829" s="2" t="s">
        <v>133</v>
      </c>
      <c r="C2829" s="2" t="s">
        <v>34</v>
      </c>
      <c r="D2829" s="2" t="s">
        <v>393</v>
      </c>
      <c r="E2829" s="2" t="s">
        <v>4261</v>
      </c>
      <c r="F2829" s="2" t="s">
        <v>6003</v>
      </c>
      <c r="G2829" s="2"/>
    </row>
    <row r="2830" customFormat="false" ht="15" hidden="false" customHeight="false" outlineLevel="0" collapsed="false">
      <c r="A2830" s="2" t="s">
        <v>2981</v>
      </c>
      <c r="B2830" s="2" t="s">
        <v>133</v>
      </c>
      <c r="C2830" s="2" t="s">
        <v>34</v>
      </c>
      <c r="D2830" s="2" t="s">
        <v>6632</v>
      </c>
      <c r="E2830" s="2" t="s">
        <v>4261</v>
      </c>
      <c r="F2830" s="2" t="s">
        <v>6003</v>
      </c>
      <c r="G2830" s="2"/>
    </row>
    <row r="2831" customFormat="false" ht="15" hidden="false" customHeight="false" outlineLevel="0" collapsed="false">
      <c r="A2831" s="2" t="s">
        <v>2983</v>
      </c>
      <c r="B2831" s="2" t="s">
        <v>133</v>
      </c>
      <c r="C2831" s="2" t="s">
        <v>34</v>
      </c>
      <c r="D2831" s="2" t="s">
        <v>6633</v>
      </c>
      <c r="E2831" s="2" t="s">
        <v>4261</v>
      </c>
      <c r="F2831" s="2" t="s">
        <v>6003</v>
      </c>
      <c r="G2831" s="2"/>
    </row>
    <row r="2832" customFormat="false" ht="15" hidden="false" customHeight="false" outlineLevel="0" collapsed="false">
      <c r="A2832" s="2" t="s">
        <v>2983</v>
      </c>
      <c r="B2832" s="2" t="s">
        <v>133</v>
      </c>
      <c r="C2832" s="2" t="s">
        <v>34</v>
      </c>
      <c r="D2832" s="2" t="s">
        <v>5793</v>
      </c>
      <c r="E2832" s="2" t="s">
        <v>4261</v>
      </c>
      <c r="F2832" s="2" t="s">
        <v>6003</v>
      </c>
      <c r="G2832" s="2"/>
    </row>
    <row r="2833" customFormat="false" ht="15" hidden="false" customHeight="false" outlineLevel="0" collapsed="false">
      <c r="A2833" s="2" t="s">
        <v>2983</v>
      </c>
      <c r="B2833" s="2" t="s">
        <v>133</v>
      </c>
      <c r="C2833" s="2" t="s">
        <v>34</v>
      </c>
      <c r="D2833" s="2" t="s">
        <v>6634</v>
      </c>
      <c r="E2833" s="2" t="s">
        <v>4261</v>
      </c>
      <c r="F2833" s="2" t="s">
        <v>6003</v>
      </c>
      <c r="G2833" s="2"/>
    </row>
    <row r="2834" customFormat="false" ht="15" hidden="false" customHeight="false" outlineLevel="0" collapsed="false">
      <c r="A2834" s="2" t="s">
        <v>2983</v>
      </c>
      <c r="B2834" s="2" t="s">
        <v>133</v>
      </c>
      <c r="C2834" s="2" t="s">
        <v>34</v>
      </c>
      <c r="D2834" s="2" t="s">
        <v>6635</v>
      </c>
      <c r="E2834" s="2" t="s">
        <v>4261</v>
      </c>
      <c r="F2834" s="2" t="s">
        <v>6003</v>
      </c>
      <c r="G2834" s="2"/>
    </row>
    <row r="2835" customFormat="false" ht="15" hidden="false" customHeight="false" outlineLevel="0" collapsed="false">
      <c r="A2835" s="2" t="s">
        <v>2983</v>
      </c>
      <c r="B2835" s="2" t="s">
        <v>133</v>
      </c>
      <c r="C2835" s="2" t="s">
        <v>34</v>
      </c>
      <c r="D2835" s="2" t="s">
        <v>6636</v>
      </c>
      <c r="E2835" s="2" t="s">
        <v>4261</v>
      </c>
      <c r="F2835" s="2" t="s">
        <v>6003</v>
      </c>
      <c r="G2835" s="2"/>
    </row>
    <row r="2836" customFormat="false" ht="15" hidden="false" customHeight="false" outlineLevel="0" collapsed="false">
      <c r="A2836" s="2" t="s">
        <v>2983</v>
      </c>
      <c r="B2836" s="2" t="s">
        <v>133</v>
      </c>
      <c r="C2836" s="2" t="s">
        <v>34</v>
      </c>
      <c r="D2836" s="2" t="s">
        <v>6637</v>
      </c>
      <c r="E2836" s="2" t="s">
        <v>4261</v>
      </c>
      <c r="F2836" s="2" t="s">
        <v>6003</v>
      </c>
      <c r="G2836" s="2"/>
    </row>
    <row r="2837" customFormat="false" ht="15" hidden="false" customHeight="false" outlineLevel="0" collapsed="false">
      <c r="A2837" s="2" t="s">
        <v>2983</v>
      </c>
      <c r="B2837" s="2" t="s">
        <v>133</v>
      </c>
      <c r="C2837" s="2" t="s">
        <v>34</v>
      </c>
      <c r="D2837" s="2" t="s">
        <v>6638</v>
      </c>
      <c r="E2837" s="2" t="s">
        <v>4271</v>
      </c>
      <c r="F2837" s="2" t="s">
        <v>6003</v>
      </c>
      <c r="G2837" s="2"/>
    </row>
    <row r="2838" customFormat="false" ht="15" hidden="false" customHeight="false" outlineLevel="0" collapsed="false">
      <c r="A2838" s="2" t="s">
        <v>2985</v>
      </c>
      <c r="B2838" s="2" t="s">
        <v>133</v>
      </c>
      <c r="C2838" s="2" t="s">
        <v>34</v>
      </c>
      <c r="D2838" s="2" t="s">
        <v>5723</v>
      </c>
      <c r="E2838" s="2" t="s">
        <v>4261</v>
      </c>
      <c r="F2838" s="2" t="s">
        <v>6003</v>
      </c>
      <c r="G2838" s="2"/>
    </row>
    <row r="2839" customFormat="false" ht="15" hidden="false" customHeight="false" outlineLevel="0" collapsed="false">
      <c r="A2839" s="2" t="s">
        <v>2985</v>
      </c>
      <c r="B2839" s="2" t="s">
        <v>133</v>
      </c>
      <c r="C2839" s="2" t="s">
        <v>34</v>
      </c>
      <c r="D2839" s="2" t="s">
        <v>4729</v>
      </c>
      <c r="E2839" s="2" t="s">
        <v>4261</v>
      </c>
      <c r="F2839" s="2" t="s">
        <v>6003</v>
      </c>
      <c r="G2839" s="2"/>
    </row>
    <row r="2840" customFormat="false" ht="15" hidden="false" customHeight="false" outlineLevel="0" collapsed="false">
      <c r="A2840" s="2" t="s">
        <v>2985</v>
      </c>
      <c r="B2840" s="2" t="s">
        <v>133</v>
      </c>
      <c r="C2840" s="2" t="s">
        <v>34</v>
      </c>
      <c r="D2840" s="2" t="s">
        <v>6639</v>
      </c>
      <c r="E2840" s="2" t="s">
        <v>4271</v>
      </c>
      <c r="F2840" s="2" t="s">
        <v>6003</v>
      </c>
      <c r="G2840" s="2"/>
    </row>
    <row r="2841" customFormat="false" ht="15" hidden="false" customHeight="false" outlineLevel="0" collapsed="false">
      <c r="A2841" s="2" t="s">
        <v>2985</v>
      </c>
      <c r="B2841" s="2" t="s">
        <v>133</v>
      </c>
      <c r="C2841" s="2" t="s">
        <v>34</v>
      </c>
      <c r="D2841" s="2" t="s">
        <v>1172</v>
      </c>
      <c r="E2841" s="2" t="s">
        <v>4261</v>
      </c>
      <c r="F2841" s="2" t="s">
        <v>6003</v>
      </c>
      <c r="G2841" s="2"/>
    </row>
    <row r="2842" customFormat="false" ht="15" hidden="false" customHeight="false" outlineLevel="0" collapsed="false">
      <c r="A2842" s="2" t="s">
        <v>2985</v>
      </c>
      <c r="B2842" s="2" t="s">
        <v>133</v>
      </c>
      <c r="C2842" s="2" t="s">
        <v>34</v>
      </c>
      <c r="D2842" s="2" t="s">
        <v>1990</v>
      </c>
      <c r="E2842" s="2" t="s">
        <v>4261</v>
      </c>
      <c r="F2842" s="2" t="s">
        <v>6003</v>
      </c>
      <c r="G2842" s="2"/>
    </row>
    <row r="2843" customFormat="false" ht="15" hidden="false" customHeight="false" outlineLevel="0" collapsed="false">
      <c r="A2843" s="2" t="s">
        <v>2985</v>
      </c>
      <c r="B2843" s="2" t="s">
        <v>133</v>
      </c>
      <c r="C2843" s="2" t="s">
        <v>34</v>
      </c>
      <c r="D2843" s="2" t="s">
        <v>6640</v>
      </c>
      <c r="E2843" s="2" t="s">
        <v>4261</v>
      </c>
      <c r="F2843" s="2" t="s">
        <v>6003</v>
      </c>
      <c r="G2843" s="2"/>
    </row>
    <row r="2844" customFormat="false" ht="15" hidden="false" customHeight="false" outlineLevel="0" collapsed="false">
      <c r="A2844" s="2" t="s">
        <v>2985</v>
      </c>
      <c r="B2844" s="2" t="s">
        <v>133</v>
      </c>
      <c r="C2844" s="2" t="s">
        <v>34</v>
      </c>
      <c r="D2844" s="2" t="s">
        <v>6641</v>
      </c>
      <c r="E2844" s="2" t="s">
        <v>4261</v>
      </c>
      <c r="F2844" s="2" t="s">
        <v>6003</v>
      </c>
      <c r="G2844" s="2"/>
    </row>
    <row r="2845" customFormat="false" ht="15" hidden="false" customHeight="false" outlineLevel="0" collapsed="false">
      <c r="A2845" s="2" t="s">
        <v>2985</v>
      </c>
      <c r="B2845" s="2" t="s">
        <v>133</v>
      </c>
      <c r="C2845" s="2" t="s">
        <v>34</v>
      </c>
      <c r="D2845" s="2" t="s">
        <v>6642</v>
      </c>
      <c r="E2845" s="2" t="s">
        <v>4261</v>
      </c>
      <c r="F2845" s="2" t="s">
        <v>6003</v>
      </c>
      <c r="G2845" s="2"/>
    </row>
    <row r="2846" customFormat="false" ht="15" hidden="false" customHeight="false" outlineLevel="0" collapsed="false">
      <c r="A2846" s="2" t="s">
        <v>2988</v>
      </c>
      <c r="B2846" s="2" t="s">
        <v>133</v>
      </c>
      <c r="C2846" s="2" t="s">
        <v>34</v>
      </c>
      <c r="D2846" s="2" t="s">
        <v>5710</v>
      </c>
      <c r="E2846" s="2" t="s">
        <v>4261</v>
      </c>
      <c r="F2846" s="2" t="s">
        <v>6003</v>
      </c>
      <c r="G2846" s="2"/>
    </row>
    <row r="2847" customFormat="false" ht="15" hidden="false" customHeight="false" outlineLevel="0" collapsed="false">
      <c r="A2847" s="2" t="s">
        <v>2988</v>
      </c>
      <c r="B2847" s="2" t="s">
        <v>133</v>
      </c>
      <c r="C2847" s="2" t="s">
        <v>34</v>
      </c>
      <c r="D2847" s="2" t="s">
        <v>6643</v>
      </c>
      <c r="E2847" s="2" t="s">
        <v>4261</v>
      </c>
      <c r="F2847" s="2" t="s">
        <v>6003</v>
      </c>
      <c r="G2847" s="2"/>
    </row>
    <row r="2848" customFormat="false" ht="15" hidden="false" customHeight="false" outlineLevel="0" collapsed="false">
      <c r="A2848" s="2" t="s">
        <v>2991</v>
      </c>
      <c r="B2848" s="2" t="s">
        <v>1083</v>
      </c>
      <c r="C2848" s="2" t="s">
        <v>105</v>
      </c>
      <c r="D2848" s="2" t="s">
        <v>6644</v>
      </c>
      <c r="E2848" s="2" t="s">
        <v>4261</v>
      </c>
      <c r="F2848" s="2" t="s">
        <v>6003</v>
      </c>
      <c r="G2848" s="2"/>
    </row>
    <row r="2849" customFormat="false" ht="15" hidden="false" customHeight="false" outlineLevel="0" collapsed="false">
      <c r="A2849" s="2" t="s">
        <v>2991</v>
      </c>
      <c r="B2849" s="2" t="s">
        <v>1083</v>
      </c>
      <c r="C2849" s="2" t="s">
        <v>105</v>
      </c>
      <c r="D2849" s="2" t="s">
        <v>6645</v>
      </c>
      <c r="E2849" s="2" t="s">
        <v>4261</v>
      </c>
      <c r="F2849" s="2" t="s">
        <v>6003</v>
      </c>
      <c r="G2849" s="2"/>
    </row>
    <row r="2850" customFormat="false" ht="15" hidden="false" customHeight="false" outlineLevel="0" collapsed="false">
      <c r="A2850" s="2" t="s">
        <v>2991</v>
      </c>
      <c r="B2850" s="2" t="s">
        <v>1083</v>
      </c>
      <c r="C2850" s="2" t="s">
        <v>105</v>
      </c>
      <c r="D2850" s="2" t="s">
        <v>6646</v>
      </c>
      <c r="E2850" s="2" t="s">
        <v>4261</v>
      </c>
      <c r="F2850" s="2" t="s">
        <v>6003</v>
      </c>
      <c r="G2850" s="2"/>
    </row>
    <row r="2851" customFormat="false" ht="15" hidden="false" customHeight="false" outlineLevel="0" collapsed="false">
      <c r="A2851" s="2" t="s">
        <v>3025</v>
      </c>
      <c r="B2851" s="2" t="s">
        <v>197</v>
      </c>
      <c r="C2851" s="2" t="s">
        <v>197</v>
      </c>
      <c r="D2851" s="2" t="s">
        <v>6647</v>
      </c>
      <c r="E2851" s="2" t="s">
        <v>4264</v>
      </c>
      <c r="F2851" s="2"/>
      <c r="G2851" s="2"/>
    </row>
    <row r="2852" customFormat="false" ht="15" hidden="false" customHeight="false" outlineLevel="0" collapsed="false">
      <c r="A2852" s="2" t="s">
        <v>3025</v>
      </c>
      <c r="B2852" s="2" t="s">
        <v>197</v>
      </c>
      <c r="C2852" s="2" t="s">
        <v>197</v>
      </c>
      <c r="D2852" s="2" t="s">
        <v>6199</v>
      </c>
      <c r="E2852" s="2" t="s">
        <v>4271</v>
      </c>
      <c r="F2852" s="2"/>
      <c r="G2852" s="2"/>
    </row>
    <row r="2853" customFormat="false" ht="15" hidden="false" customHeight="false" outlineLevel="0" collapsed="false">
      <c r="A2853" s="2" t="s">
        <v>3029</v>
      </c>
      <c r="B2853" s="2" t="s">
        <v>3030</v>
      </c>
      <c r="C2853" s="2" t="s">
        <v>2837</v>
      </c>
      <c r="D2853" s="2" t="s">
        <v>3031</v>
      </c>
      <c r="E2853" s="2" t="s">
        <v>4264</v>
      </c>
      <c r="F2853" s="2" t="s">
        <v>6003</v>
      </c>
      <c r="G2853" s="2"/>
    </row>
    <row r="2854" customFormat="false" ht="15" hidden="false" customHeight="false" outlineLevel="0" collapsed="false">
      <c r="A2854" s="2" t="s">
        <v>3038</v>
      </c>
      <c r="B2854" s="2" t="s">
        <v>3030</v>
      </c>
      <c r="C2854" s="2" t="s">
        <v>2837</v>
      </c>
      <c r="D2854" s="2" t="s">
        <v>3039</v>
      </c>
      <c r="E2854" s="2" t="s">
        <v>4261</v>
      </c>
      <c r="F2854" s="2" t="s">
        <v>6003</v>
      </c>
      <c r="G2854" s="2"/>
    </row>
    <row r="2855" customFormat="false" ht="15" hidden="false" customHeight="false" outlineLevel="0" collapsed="false">
      <c r="A2855" s="2" t="s">
        <v>3040</v>
      </c>
      <c r="B2855" s="2" t="s">
        <v>3030</v>
      </c>
      <c r="C2855" s="2" t="s">
        <v>2837</v>
      </c>
      <c r="D2855" s="2" t="s">
        <v>6648</v>
      </c>
      <c r="E2855" s="2" t="s">
        <v>4261</v>
      </c>
      <c r="F2855" s="2" t="s">
        <v>6003</v>
      </c>
      <c r="G2855" s="2"/>
    </row>
    <row r="2856" customFormat="false" ht="15" hidden="false" customHeight="false" outlineLevel="0" collapsed="false">
      <c r="A2856" s="2" t="s">
        <v>3040</v>
      </c>
      <c r="B2856" s="2" t="s">
        <v>3030</v>
      </c>
      <c r="C2856" s="2" t="s">
        <v>2837</v>
      </c>
      <c r="D2856" s="2" t="s">
        <v>6649</v>
      </c>
      <c r="E2856" s="2" t="s">
        <v>4261</v>
      </c>
      <c r="F2856" s="2" t="s">
        <v>6003</v>
      </c>
      <c r="G2856" s="2"/>
    </row>
    <row r="2857" customFormat="false" ht="15" hidden="false" customHeight="false" outlineLevel="0" collapsed="false">
      <c r="A2857" s="2" t="s">
        <v>3052</v>
      </c>
      <c r="B2857" s="2" t="s">
        <v>3053</v>
      </c>
      <c r="C2857" s="2" t="s">
        <v>1828</v>
      </c>
      <c r="D2857" s="2" t="s">
        <v>6650</v>
      </c>
      <c r="E2857" s="2" t="s">
        <v>4261</v>
      </c>
      <c r="F2857" s="2"/>
      <c r="G2857" s="2"/>
    </row>
    <row r="2858" customFormat="false" ht="15" hidden="false" customHeight="false" outlineLevel="0" collapsed="false">
      <c r="A2858" s="2" t="s">
        <v>3052</v>
      </c>
      <c r="B2858" s="2" t="s">
        <v>3053</v>
      </c>
      <c r="C2858" s="2" t="s">
        <v>1828</v>
      </c>
      <c r="D2858" s="2" t="s">
        <v>6651</v>
      </c>
      <c r="E2858" s="2" t="s">
        <v>4261</v>
      </c>
      <c r="F2858" s="2"/>
      <c r="G2858" s="2"/>
    </row>
    <row r="2859" customFormat="false" ht="15" hidden="false" customHeight="false" outlineLevel="0" collapsed="false">
      <c r="A2859" s="2" t="s">
        <v>3087</v>
      </c>
      <c r="B2859" s="2" t="s">
        <v>3088</v>
      </c>
      <c r="C2859" s="2" t="s">
        <v>3051</v>
      </c>
      <c r="D2859" s="2" t="s">
        <v>6652</v>
      </c>
      <c r="E2859" s="2" t="s">
        <v>4261</v>
      </c>
      <c r="F2859" s="2"/>
      <c r="G2859" s="2"/>
    </row>
    <row r="2860" customFormat="false" ht="15" hidden="false" customHeight="false" outlineLevel="0" collapsed="false">
      <c r="A2860" s="2" t="s">
        <v>3087</v>
      </c>
      <c r="B2860" s="2" t="s">
        <v>3088</v>
      </c>
      <c r="C2860" s="2" t="s">
        <v>3051</v>
      </c>
      <c r="D2860" s="2" t="s">
        <v>6653</v>
      </c>
      <c r="E2860" s="2" t="s">
        <v>4261</v>
      </c>
      <c r="F2860" s="2"/>
      <c r="G2860" s="2"/>
    </row>
    <row r="2861" customFormat="false" ht="15" hidden="false" customHeight="false" outlineLevel="0" collapsed="false">
      <c r="A2861" s="2" t="s">
        <v>3115</v>
      </c>
      <c r="B2861" s="2" t="s">
        <v>3116</v>
      </c>
      <c r="C2861" s="2" t="s">
        <v>2837</v>
      </c>
      <c r="D2861" s="2" t="s">
        <v>6654</v>
      </c>
      <c r="E2861" s="2" t="s">
        <v>4261</v>
      </c>
      <c r="F2861" s="2" t="s">
        <v>6003</v>
      </c>
      <c r="G2861" s="2"/>
    </row>
    <row r="2862" customFormat="false" ht="15" hidden="false" customHeight="false" outlineLevel="0" collapsed="false">
      <c r="A2862" s="2" t="s">
        <v>3115</v>
      </c>
      <c r="B2862" s="2" t="s">
        <v>3116</v>
      </c>
      <c r="C2862" s="2" t="s">
        <v>2837</v>
      </c>
      <c r="D2862" s="2" t="s">
        <v>6655</v>
      </c>
      <c r="E2862" s="2" t="s">
        <v>4261</v>
      </c>
      <c r="F2862" s="2" t="s">
        <v>6003</v>
      </c>
      <c r="G2862" s="2"/>
    </row>
    <row r="2863" customFormat="false" ht="15" hidden="false" customHeight="false" outlineLevel="0" collapsed="false">
      <c r="A2863" s="2" t="s">
        <v>3115</v>
      </c>
      <c r="B2863" s="2" t="s">
        <v>3116</v>
      </c>
      <c r="C2863" s="2" t="s">
        <v>2837</v>
      </c>
      <c r="D2863" s="2" t="s">
        <v>6656</v>
      </c>
      <c r="E2863" s="2" t="s">
        <v>4261</v>
      </c>
      <c r="F2863" s="2" t="s">
        <v>6003</v>
      </c>
      <c r="G2863" s="2"/>
    </row>
    <row r="2864" customFormat="false" ht="15" hidden="false" customHeight="false" outlineLevel="0" collapsed="false">
      <c r="A2864" s="2" t="s">
        <v>3180</v>
      </c>
      <c r="B2864" s="2" t="s">
        <v>2765</v>
      </c>
      <c r="C2864" s="2" t="s">
        <v>2765</v>
      </c>
      <c r="D2864" s="2" t="s">
        <v>6657</v>
      </c>
      <c r="E2864" s="2" t="s">
        <v>4264</v>
      </c>
      <c r="F2864" s="2" t="s">
        <v>6003</v>
      </c>
      <c r="G2864" s="2"/>
    </row>
    <row r="2865" customFormat="false" ht="15" hidden="false" customHeight="false" outlineLevel="0" collapsed="false">
      <c r="A2865" s="2" t="s">
        <v>3180</v>
      </c>
      <c r="B2865" s="2" t="s">
        <v>2765</v>
      </c>
      <c r="C2865" s="2" t="s">
        <v>2765</v>
      </c>
      <c r="D2865" s="2" t="s">
        <v>6658</v>
      </c>
      <c r="E2865" s="2" t="s">
        <v>4261</v>
      </c>
      <c r="F2865" s="2" t="s">
        <v>6003</v>
      </c>
      <c r="G2865" s="2"/>
    </row>
    <row r="2866" customFormat="false" ht="15" hidden="false" customHeight="false" outlineLevel="0" collapsed="false">
      <c r="A2866" s="2" t="s">
        <v>3180</v>
      </c>
      <c r="B2866" s="2" t="s">
        <v>2765</v>
      </c>
      <c r="C2866" s="2" t="s">
        <v>2765</v>
      </c>
      <c r="D2866" s="2" t="s">
        <v>6659</v>
      </c>
      <c r="E2866" s="2" t="s">
        <v>4261</v>
      </c>
      <c r="F2866" s="2" t="s">
        <v>6003</v>
      </c>
      <c r="G2866" s="2"/>
    </row>
    <row r="2867" customFormat="false" ht="15" hidden="false" customHeight="false" outlineLevel="0" collapsed="false">
      <c r="A2867" s="2" t="s">
        <v>3188</v>
      </c>
      <c r="B2867" s="2" t="s">
        <v>2765</v>
      </c>
      <c r="C2867" s="2" t="s">
        <v>2765</v>
      </c>
      <c r="D2867" s="2" t="s">
        <v>6660</v>
      </c>
      <c r="E2867" s="2" t="s">
        <v>4271</v>
      </c>
      <c r="F2867" s="2" t="s">
        <v>6003</v>
      </c>
      <c r="G2867" s="2"/>
    </row>
    <row r="2868" customFormat="false" ht="15" hidden="false" customHeight="false" outlineLevel="0" collapsed="false">
      <c r="A2868" s="2" t="s">
        <v>3188</v>
      </c>
      <c r="B2868" s="2" t="s">
        <v>2765</v>
      </c>
      <c r="C2868" s="2" t="s">
        <v>2765</v>
      </c>
      <c r="D2868" s="2" t="s">
        <v>6661</v>
      </c>
      <c r="E2868" s="2" t="s">
        <v>4261</v>
      </c>
      <c r="F2868" s="2" t="s">
        <v>6003</v>
      </c>
      <c r="G2868" s="2"/>
    </row>
    <row r="2869" customFormat="false" ht="15" hidden="false" customHeight="false" outlineLevel="0" collapsed="false">
      <c r="A2869" s="2" t="s">
        <v>3191</v>
      </c>
      <c r="B2869" s="2" t="s">
        <v>3144</v>
      </c>
      <c r="C2869" s="2" t="s">
        <v>1817</v>
      </c>
      <c r="D2869" s="2" t="s">
        <v>6662</v>
      </c>
      <c r="E2869" s="2" t="s">
        <v>4261</v>
      </c>
      <c r="F2869" s="2" t="s">
        <v>6003</v>
      </c>
      <c r="G2869" s="2"/>
    </row>
    <row r="2870" customFormat="false" ht="15" hidden="false" customHeight="false" outlineLevel="0" collapsed="false">
      <c r="A2870" s="2" t="s">
        <v>3191</v>
      </c>
      <c r="B2870" s="2" t="s">
        <v>3144</v>
      </c>
      <c r="C2870" s="2" t="s">
        <v>1817</v>
      </c>
      <c r="D2870" s="2" t="s">
        <v>6663</v>
      </c>
      <c r="E2870" s="2" t="s">
        <v>4261</v>
      </c>
      <c r="F2870" s="2" t="s">
        <v>6003</v>
      </c>
      <c r="G2870" s="2"/>
    </row>
    <row r="2871" customFormat="false" ht="15" hidden="false" customHeight="false" outlineLevel="0" collapsed="false">
      <c r="A2871" s="2" t="s">
        <v>3200</v>
      </c>
      <c r="B2871" s="2" t="s">
        <v>3201</v>
      </c>
      <c r="C2871" s="2" t="s">
        <v>1817</v>
      </c>
      <c r="D2871" s="2" t="s">
        <v>3202</v>
      </c>
      <c r="E2871" s="2" t="s">
        <v>4264</v>
      </c>
      <c r="F2871" s="2" t="s">
        <v>6003</v>
      </c>
      <c r="G2871" s="2"/>
    </row>
    <row r="2872" customFormat="false" ht="15" hidden="false" customHeight="false" outlineLevel="0" collapsed="false">
      <c r="A2872" s="2" t="s">
        <v>3210</v>
      </c>
      <c r="B2872" s="2" t="s">
        <v>3211</v>
      </c>
      <c r="C2872" s="2" t="s">
        <v>2837</v>
      </c>
      <c r="D2872" s="2" t="s">
        <v>3212</v>
      </c>
      <c r="E2872" s="2" t="s">
        <v>4261</v>
      </c>
      <c r="F2872" s="2" t="s">
        <v>6003</v>
      </c>
      <c r="G2872" s="2"/>
    </row>
    <row r="2873" customFormat="false" ht="15" hidden="false" customHeight="false" outlineLevel="0" collapsed="false">
      <c r="A2873" s="2" t="s">
        <v>3219</v>
      </c>
      <c r="B2873" s="2" t="s">
        <v>3220</v>
      </c>
      <c r="C2873" s="2" t="s">
        <v>3120</v>
      </c>
      <c r="D2873" s="2" t="s">
        <v>6664</v>
      </c>
      <c r="E2873" s="2" t="s">
        <v>4261</v>
      </c>
      <c r="F2873" s="2" t="s">
        <v>6003</v>
      </c>
      <c r="G2873" s="2"/>
    </row>
    <row r="2874" customFormat="false" ht="15" hidden="false" customHeight="false" outlineLevel="0" collapsed="false">
      <c r="A2874" s="2" t="s">
        <v>3219</v>
      </c>
      <c r="B2874" s="2" t="s">
        <v>3220</v>
      </c>
      <c r="C2874" s="2" t="s">
        <v>3120</v>
      </c>
      <c r="D2874" s="2" t="s">
        <v>6665</v>
      </c>
      <c r="E2874" s="2" t="s">
        <v>4261</v>
      </c>
      <c r="F2874" s="2" t="s">
        <v>6003</v>
      </c>
      <c r="G2874" s="2"/>
    </row>
    <row r="2875" customFormat="false" ht="15" hidden="false" customHeight="false" outlineLevel="0" collapsed="false">
      <c r="A2875" s="2" t="s">
        <v>3219</v>
      </c>
      <c r="B2875" s="2" t="s">
        <v>3220</v>
      </c>
      <c r="C2875" s="2" t="s">
        <v>3120</v>
      </c>
      <c r="D2875" s="2" t="s">
        <v>6666</v>
      </c>
      <c r="E2875" s="2" t="s">
        <v>4261</v>
      </c>
      <c r="F2875" s="2" t="s">
        <v>6003</v>
      </c>
      <c r="G2875" s="2"/>
    </row>
    <row r="2876" customFormat="false" ht="15" hidden="false" customHeight="false" outlineLevel="0" collapsed="false">
      <c r="A2876" s="2" t="s">
        <v>3219</v>
      </c>
      <c r="B2876" s="2" t="s">
        <v>3220</v>
      </c>
      <c r="C2876" s="2" t="s">
        <v>3120</v>
      </c>
      <c r="D2876" s="2" t="s">
        <v>6667</v>
      </c>
      <c r="E2876" s="2" t="s">
        <v>4261</v>
      </c>
      <c r="F2876" s="2" t="s">
        <v>6003</v>
      </c>
      <c r="G2876" s="2"/>
    </row>
    <row r="2877" customFormat="false" ht="15" hidden="false" customHeight="false" outlineLevel="0" collapsed="false">
      <c r="A2877" s="2" t="s">
        <v>3219</v>
      </c>
      <c r="B2877" s="2" t="s">
        <v>3220</v>
      </c>
      <c r="C2877" s="2" t="s">
        <v>3120</v>
      </c>
      <c r="D2877" s="2" t="s">
        <v>6668</v>
      </c>
      <c r="E2877" s="2" t="s">
        <v>4261</v>
      </c>
      <c r="F2877" s="2" t="s">
        <v>6003</v>
      </c>
      <c r="G2877" s="2"/>
    </row>
    <row r="2878" customFormat="false" ht="15" hidden="false" customHeight="false" outlineLevel="0" collapsed="false">
      <c r="A2878" s="2" t="s">
        <v>3219</v>
      </c>
      <c r="B2878" s="2" t="s">
        <v>3220</v>
      </c>
      <c r="C2878" s="2" t="s">
        <v>3120</v>
      </c>
      <c r="D2878" s="2" t="s">
        <v>6669</v>
      </c>
      <c r="E2878" s="2" t="s">
        <v>4261</v>
      </c>
      <c r="F2878" s="2" t="s">
        <v>6003</v>
      </c>
      <c r="G2878" s="2"/>
    </row>
    <row r="2879" customFormat="false" ht="15" hidden="false" customHeight="false" outlineLevel="0" collapsed="false">
      <c r="A2879" s="2" t="s">
        <v>3219</v>
      </c>
      <c r="B2879" s="2" t="s">
        <v>3220</v>
      </c>
      <c r="C2879" s="2" t="s">
        <v>3120</v>
      </c>
      <c r="D2879" s="2" t="s">
        <v>6670</v>
      </c>
      <c r="E2879" s="2" t="s">
        <v>4261</v>
      </c>
      <c r="F2879" s="2" t="s">
        <v>6003</v>
      </c>
      <c r="G2879" s="2"/>
    </row>
    <row r="2880" customFormat="false" ht="15" hidden="false" customHeight="false" outlineLevel="0" collapsed="false">
      <c r="A2880" s="2" t="s">
        <v>3219</v>
      </c>
      <c r="B2880" s="2" t="s">
        <v>3220</v>
      </c>
      <c r="C2880" s="2" t="s">
        <v>3120</v>
      </c>
      <c r="D2880" s="2" t="s">
        <v>6671</v>
      </c>
      <c r="E2880" s="2" t="s">
        <v>4261</v>
      </c>
      <c r="F2880" s="2" t="s">
        <v>6003</v>
      </c>
      <c r="G2880" s="2"/>
    </row>
    <row r="2881" customFormat="false" ht="15" hidden="false" customHeight="false" outlineLevel="0" collapsed="false">
      <c r="A2881" s="2" t="s">
        <v>3229</v>
      </c>
      <c r="B2881" s="2" t="s">
        <v>3116</v>
      </c>
      <c r="C2881" s="2" t="s">
        <v>2837</v>
      </c>
      <c r="D2881" s="2" t="s">
        <v>6672</v>
      </c>
      <c r="E2881" s="2" t="s">
        <v>4261</v>
      </c>
      <c r="F2881" s="2" t="s">
        <v>6003</v>
      </c>
      <c r="G2881" s="2"/>
    </row>
    <row r="2882" customFormat="false" ht="15" hidden="false" customHeight="false" outlineLevel="0" collapsed="false">
      <c r="A2882" s="2" t="s">
        <v>3229</v>
      </c>
      <c r="B2882" s="2" t="s">
        <v>3116</v>
      </c>
      <c r="C2882" s="2" t="s">
        <v>2837</v>
      </c>
      <c r="D2882" s="2" t="s">
        <v>6673</v>
      </c>
      <c r="E2882" s="2" t="s">
        <v>4261</v>
      </c>
      <c r="F2882" s="2" t="s">
        <v>6003</v>
      </c>
      <c r="G2882" s="2"/>
    </row>
    <row r="2883" customFormat="false" ht="15" hidden="false" customHeight="false" outlineLevel="0" collapsed="false">
      <c r="A2883" s="2" t="s">
        <v>3229</v>
      </c>
      <c r="B2883" s="2" t="s">
        <v>3116</v>
      </c>
      <c r="C2883" s="2" t="s">
        <v>2837</v>
      </c>
      <c r="D2883" s="2" t="s">
        <v>6674</v>
      </c>
      <c r="E2883" s="2" t="s">
        <v>4261</v>
      </c>
      <c r="F2883" s="2" t="s">
        <v>6003</v>
      </c>
      <c r="G2883" s="2"/>
    </row>
    <row r="2884" customFormat="false" ht="15" hidden="false" customHeight="false" outlineLevel="0" collapsed="false">
      <c r="A2884" s="2" t="s">
        <v>3229</v>
      </c>
      <c r="B2884" s="2" t="s">
        <v>3116</v>
      </c>
      <c r="C2884" s="2" t="s">
        <v>2837</v>
      </c>
      <c r="D2884" s="2" t="s">
        <v>6675</v>
      </c>
      <c r="E2884" s="2" t="s">
        <v>4261</v>
      </c>
      <c r="F2884" s="2" t="s">
        <v>6003</v>
      </c>
      <c r="G2884" s="2"/>
    </row>
    <row r="2885" customFormat="false" ht="15" hidden="false" customHeight="false" outlineLevel="0" collapsed="false">
      <c r="A2885" s="2" t="s">
        <v>3229</v>
      </c>
      <c r="B2885" s="2" t="s">
        <v>3116</v>
      </c>
      <c r="C2885" s="2" t="s">
        <v>2837</v>
      </c>
      <c r="D2885" s="2" t="s">
        <v>6676</v>
      </c>
      <c r="E2885" s="2" t="s">
        <v>4261</v>
      </c>
      <c r="F2885" s="2" t="s">
        <v>6003</v>
      </c>
      <c r="G2885" s="2"/>
    </row>
    <row r="2886" customFormat="false" ht="15" hidden="false" customHeight="false" outlineLevel="0" collapsed="false">
      <c r="A2886" s="2" t="s">
        <v>3229</v>
      </c>
      <c r="B2886" s="2" t="s">
        <v>3116</v>
      </c>
      <c r="C2886" s="2" t="s">
        <v>2837</v>
      </c>
      <c r="D2886" s="2" t="s">
        <v>6677</v>
      </c>
      <c r="E2886" s="2" t="s">
        <v>4261</v>
      </c>
      <c r="F2886" s="2" t="s">
        <v>6003</v>
      </c>
      <c r="G2886" s="2"/>
    </row>
    <row r="2887" customFormat="false" ht="15" hidden="false" customHeight="false" outlineLevel="0" collapsed="false">
      <c r="A2887" s="2" t="s">
        <v>3229</v>
      </c>
      <c r="B2887" s="2" t="s">
        <v>3116</v>
      </c>
      <c r="C2887" s="2" t="s">
        <v>2837</v>
      </c>
      <c r="D2887" s="2" t="s">
        <v>6678</v>
      </c>
      <c r="E2887" s="2" t="s">
        <v>4261</v>
      </c>
      <c r="F2887" s="2" t="s">
        <v>6003</v>
      </c>
      <c r="G2887" s="2"/>
    </row>
    <row r="2888" customFormat="false" ht="15" hidden="false" customHeight="false" outlineLevel="0" collapsed="false">
      <c r="A2888" s="2" t="s">
        <v>3229</v>
      </c>
      <c r="B2888" s="2" t="s">
        <v>3116</v>
      </c>
      <c r="C2888" s="2" t="s">
        <v>2837</v>
      </c>
      <c r="D2888" s="2" t="s">
        <v>6679</v>
      </c>
      <c r="E2888" s="2" t="s">
        <v>4261</v>
      </c>
      <c r="F2888" s="2" t="s">
        <v>6003</v>
      </c>
      <c r="G2888" s="2"/>
    </row>
    <row r="2889" customFormat="false" ht="15" hidden="false" customHeight="false" outlineLevel="0" collapsed="false">
      <c r="A2889" s="2" t="s">
        <v>3229</v>
      </c>
      <c r="B2889" s="2" t="s">
        <v>3116</v>
      </c>
      <c r="C2889" s="2" t="s">
        <v>2837</v>
      </c>
      <c r="D2889" s="2" t="s">
        <v>6680</v>
      </c>
      <c r="E2889" s="2" t="s">
        <v>4261</v>
      </c>
      <c r="F2889" s="2" t="s">
        <v>6003</v>
      </c>
      <c r="G2889" s="2"/>
    </row>
    <row r="2890" customFormat="false" ht="15" hidden="false" customHeight="false" outlineLevel="0" collapsed="false">
      <c r="A2890" s="2" t="s">
        <v>3229</v>
      </c>
      <c r="B2890" s="2" t="s">
        <v>3116</v>
      </c>
      <c r="C2890" s="2" t="s">
        <v>2837</v>
      </c>
      <c r="D2890" s="2" t="s">
        <v>6681</v>
      </c>
      <c r="E2890" s="2" t="s">
        <v>4261</v>
      </c>
      <c r="F2890" s="2" t="s">
        <v>6003</v>
      </c>
      <c r="G2890" s="2"/>
    </row>
    <row r="2891" customFormat="false" ht="15" hidden="false" customHeight="false" outlineLevel="0" collapsed="false">
      <c r="A2891" s="2" t="s">
        <v>3229</v>
      </c>
      <c r="B2891" s="2" t="s">
        <v>3116</v>
      </c>
      <c r="C2891" s="2" t="s">
        <v>2837</v>
      </c>
      <c r="D2891" s="2" t="s">
        <v>6682</v>
      </c>
      <c r="E2891" s="2" t="s">
        <v>4261</v>
      </c>
      <c r="F2891" s="2" t="s">
        <v>6003</v>
      </c>
      <c r="G2891" s="2"/>
    </row>
    <row r="2892" customFormat="false" ht="15" hidden="false" customHeight="false" outlineLevel="0" collapsed="false">
      <c r="A2892" s="2" t="s">
        <v>3229</v>
      </c>
      <c r="B2892" s="2" t="s">
        <v>3116</v>
      </c>
      <c r="C2892" s="2" t="s">
        <v>2837</v>
      </c>
      <c r="D2892" s="2" t="s">
        <v>6683</v>
      </c>
      <c r="E2892" s="2" t="s">
        <v>4261</v>
      </c>
      <c r="F2892" s="2" t="s">
        <v>6003</v>
      </c>
      <c r="G2892" s="2"/>
    </row>
    <row r="2893" customFormat="false" ht="15" hidden="false" customHeight="false" outlineLevel="0" collapsed="false">
      <c r="A2893" s="2" t="s">
        <v>3229</v>
      </c>
      <c r="B2893" s="2" t="s">
        <v>3116</v>
      </c>
      <c r="C2893" s="2" t="s">
        <v>2837</v>
      </c>
      <c r="D2893" s="2" t="s">
        <v>6684</v>
      </c>
      <c r="E2893" s="2" t="s">
        <v>4261</v>
      </c>
      <c r="F2893" s="2" t="s">
        <v>6003</v>
      </c>
      <c r="G2893" s="2"/>
    </row>
    <row r="2894" customFormat="false" ht="15" hidden="false" customHeight="false" outlineLevel="0" collapsed="false">
      <c r="A2894" s="2" t="s">
        <v>3229</v>
      </c>
      <c r="B2894" s="2" t="s">
        <v>3116</v>
      </c>
      <c r="C2894" s="2" t="s">
        <v>2837</v>
      </c>
      <c r="D2894" s="2" t="s">
        <v>6685</v>
      </c>
      <c r="E2894" s="2" t="s">
        <v>4261</v>
      </c>
      <c r="F2894" s="2" t="s">
        <v>6003</v>
      </c>
      <c r="G2894" s="2"/>
    </row>
    <row r="2895" customFormat="false" ht="15" hidden="false" customHeight="false" outlineLevel="0" collapsed="false">
      <c r="A2895" s="2" t="s">
        <v>3229</v>
      </c>
      <c r="B2895" s="2" t="s">
        <v>3116</v>
      </c>
      <c r="C2895" s="2" t="s">
        <v>2837</v>
      </c>
      <c r="D2895" s="2" t="s">
        <v>6686</v>
      </c>
      <c r="E2895" s="2" t="s">
        <v>4261</v>
      </c>
      <c r="F2895" s="2" t="s">
        <v>6003</v>
      </c>
      <c r="G2895" s="2"/>
    </row>
    <row r="2896" customFormat="false" ht="15" hidden="false" customHeight="false" outlineLevel="0" collapsed="false">
      <c r="A2896" s="2" t="s">
        <v>3229</v>
      </c>
      <c r="B2896" s="2" t="s">
        <v>3116</v>
      </c>
      <c r="C2896" s="2" t="s">
        <v>2837</v>
      </c>
      <c r="D2896" s="2" t="s">
        <v>4828</v>
      </c>
      <c r="E2896" s="2" t="s">
        <v>4261</v>
      </c>
      <c r="F2896" s="2" t="s">
        <v>6003</v>
      </c>
      <c r="G2896" s="2"/>
    </row>
    <row r="2897" customFormat="false" ht="15" hidden="false" customHeight="false" outlineLevel="0" collapsed="false">
      <c r="A2897" s="2" t="s">
        <v>3229</v>
      </c>
      <c r="B2897" s="2" t="s">
        <v>3116</v>
      </c>
      <c r="C2897" s="2" t="s">
        <v>2837</v>
      </c>
      <c r="D2897" s="2" t="s">
        <v>974</v>
      </c>
      <c r="E2897" s="2" t="s">
        <v>4261</v>
      </c>
      <c r="F2897" s="2" t="s">
        <v>6003</v>
      </c>
      <c r="G2897" s="2"/>
    </row>
    <row r="2898" customFormat="false" ht="15" hidden="false" customHeight="false" outlineLevel="0" collapsed="false">
      <c r="A2898" s="2" t="s">
        <v>3229</v>
      </c>
      <c r="B2898" s="2" t="s">
        <v>3116</v>
      </c>
      <c r="C2898" s="2" t="s">
        <v>2837</v>
      </c>
      <c r="D2898" s="2" t="s">
        <v>6687</v>
      </c>
      <c r="E2898" s="2" t="s">
        <v>4261</v>
      </c>
      <c r="F2898" s="2" t="s">
        <v>6003</v>
      </c>
      <c r="G2898" s="2"/>
    </row>
    <row r="2899" customFormat="false" ht="15" hidden="false" customHeight="false" outlineLevel="0" collapsed="false">
      <c r="A2899" s="2" t="s">
        <v>3229</v>
      </c>
      <c r="B2899" s="2" t="s">
        <v>3116</v>
      </c>
      <c r="C2899" s="2" t="s">
        <v>2837</v>
      </c>
      <c r="D2899" s="2" t="s">
        <v>6688</v>
      </c>
      <c r="E2899" s="2" t="s">
        <v>4261</v>
      </c>
      <c r="F2899" s="2" t="s">
        <v>6003</v>
      </c>
      <c r="G2899" s="2"/>
    </row>
    <row r="2900" customFormat="false" ht="15" hidden="false" customHeight="false" outlineLevel="0" collapsed="false">
      <c r="A2900" s="2" t="s">
        <v>3229</v>
      </c>
      <c r="B2900" s="2" t="s">
        <v>3116</v>
      </c>
      <c r="C2900" s="2" t="s">
        <v>2837</v>
      </c>
      <c r="D2900" s="2" t="s">
        <v>6689</v>
      </c>
      <c r="E2900" s="2" t="s">
        <v>4261</v>
      </c>
      <c r="F2900" s="2" t="s">
        <v>6003</v>
      </c>
      <c r="G2900" s="2"/>
    </row>
    <row r="2901" customFormat="false" ht="15" hidden="false" customHeight="false" outlineLevel="0" collapsed="false">
      <c r="A2901" s="2" t="s">
        <v>3229</v>
      </c>
      <c r="B2901" s="2" t="s">
        <v>3116</v>
      </c>
      <c r="C2901" s="2" t="s">
        <v>2837</v>
      </c>
      <c r="D2901" s="2" t="s">
        <v>2887</v>
      </c>
      <c r="E2901" s="2" t="s">
        <v>4261</v>
      </c>
      <c r="F2901" s="2" t="s">
        <v>6003</v>
      </c>
      <c r="G2901" s="2"/>
    </row>
    <row r="2902" customFormat="false" ht="15" hidden="false" customHeight="false" outlineLevel="0" collapsed="false">
      <c r="A2902" s="2" t="s">
        <v>3229</v>
      </c>
      <c r="B2902" s="2" t="s">
        <v>3116</v>
      </c>
      <c r="C2902" s="2" t="s">
        <v>2837</v>
      </c>
      <c r="D2902" s="2" t="s">
        <v>6690</v>
      </c>
      <c r="E2902" s="2" t="s">
        <v>4261</v>
      </c>
      <c r="F2902" s="2" t="s">
        <v>6003</v>
      </c>
      <c r="G2902" s="2"/>
    </row>
    <row r="2903" customFormat="false" ht="15" hidden="false" customHeight="false" outlineLevel="0" collapsed="false">
      <c r="A2903" s="2" t="s">
        <v>3229</v>
      </c>
      <c r="B2903" s="2" t="s">
        <v>3116</v>
      </c>
      <c r="C2903" s="2" t="s">
        <v>2837</v>
      </c>
      <c r="D2903" s="2" t="s">
        <v>6691</v>
      </c>
      <c r="E2903" s="2" t="s">
        <v>4261</v>
      </c>
      <c r="F2903" s="2" t="s">
        <v>6003</v>
      </c>
      <c r="G2903" s="2"/>
    </row>
    <row r="2904" customFormat="false" ht="15" hidden="false" customHeight="false" outlineLevel="0" collapsed="false">
      <c r="A2904" s="2" t="s">
        <v>3229</v>
      </c>
      <c r="B2904" s="2" t="s">
        <v>3116</v>
      </c>
      <c r="C2904" s="2" t="s">
        <v>2837</v>
      </c>
      <c r="D2904" s="2" t="s">
        <v>6692</v>
      </c>
      <c r="E2904" s="2" t="s">
        <v>4261</v>
      </c>
      <c r="F2904" s="2" t="s">
        <v>6003</v>
      </c>
      <c r="G2904" s="2"/>
    </row>
    <row r="2905" customFormat="false" ht="15" hidden="false" customHeight="false" outlineLevel="0" collapsed="false">
      <c r="A2905" s="2" t="s">
        <v>3229</v>
      </c>
      <c r="B2905" s="2" t="s">
        <v>3116</v>
      </c>
      <c r="C2905" s="2" t="s">
        <v>2837</v>
      </c>
      <c r="D2905" s="2" t="s">
        <v>6693</v>
      </c>
      <c r="E2905" s="2" t="s">
        <v>4261</v>
      </c>
      <c r="F2905" s="2" t="s">
        <v>6003</v>
      </c>
      <c r="G2905" s="2"/>
    </row>
    <row r="2906" customFormat="false" ht="15" hidden="false" customHeight="false" outlineLevel="0" collapsed="false">
      <c r="A2906" s="2" t="s">
        <v>3229</v>
      </c>
      <c r="B2906" s="2" t="s">
        <v>3116</v>
      </c>
      <c r="C2906" s="2" t="s">
        <v>2837</v>
      </c>
      <c r="D2906" s="2" t="s">
        <v>6329</v>
      </c>
      <c r="E2906" s="2" t="s">
        <v>4261</v>
      </c>
      <c r="F2906" s="2" t="s">
        <v>6003</v>
      </c>
      <c r="G2906" s="2"/>
    </row>
    <row r="2907" customFormat="false" ht="15" hidden="false" customHeight="false" outlineLevel="0" collapsed="false">
      <c r="A2907" s="2" t="s">
        <v>3229</v>
      </c>
      <c r="B2907" s="2" t="s">
        <v>3116</v>
      </c>
      <c r="C2907" s="2" t="s">
        <v>2837</v>
      </c>
      <c r="D2907" s="2" t="s">
        <v>5954</v>
      </c>
      <c r="E2907" s="2" t="s">
        <v>4261</v>
      </c>
      <c r="F2907" s="2" t="s">
        <v>6003</v>
      </c>
      <c r="G2907" s="2"/>
    </row>
    <row r="2908" customFormat="false" ht="15" hidden="false" customHeight="false" outlineLevel="0" collapsed="false">
      <c r="A2908" s="2" t="s">
        <v>3229</v>
      </c>
      <c r="B2908" s="2" t="s">
        <v>3116</v>
      </c>
      <c r="C2908" s="2" t="s">
        <v>2837</v>
      </c>
      <c r="D2908" s="2" t="s">
        <v>6694</v>
      </c>
      <c r="E2908" s="2" t="s">
        <v>4261</v>
      </c>
      <c r="F2908" s="2" t="s">
        <v>6003</v>
      </c>
      <c r="G2908" s="2"/>
    </row>
    <row r="2909" customFormat="false" ht="15" hidden="false" customHeight="false" outlineLevel="0" collapsed="false">
      <c r="A2909" s="2" t="s">
        <v>3229</v>
      </c>
      <c r="B2909" s="2" t="s">
        <v>3116</v>
      </c>
      <c r="C2909" s="2" t="s">
        <v>2837</v>
      </c>
      <c r="D2909" s="2" t="s">
        <v>6695</v>
      </c>
      <c r="E2909" s="2" t="s">
        <v>4261</v>
      </c>
      <c r="F2909" s="2" t="s">
        <v>6003</v>
      </c>
      <c r="G2909" s="2"/>
    </row>
    <row r="2910" customFormat="false" ht="15" hidden="false" customHeight="false" outlineLevel="0" collapsed="false">
      <c r="A2910" s="2" t="s">
        <v>3229</v>
      </c>
      <c r="B2910" s="2" t="s">
        <v>3116</v>
      </c>
      <c r="C2910" s="2" t="s">
        <v>2837</v>
      </c>
      <c r="D2910" s="2" t="s">
        <v>3557</v>
      </c>
      <c r="E2910" s="2" t="s">
        <v>4261</v>
      </c>
      <c r="F2910" s="2" t="s">
        <v>6003</v>
      </c>
      <c r="G2910" s="2"/>
    </row>
    <row r="2911" customFormat="false" ht="15" hidden="false" customHeight="false" outlineLevel="0" collapsed="false">
      <c r="A2911" s="2" t="s">
        <v>3229</v>
      </c>
      <c r="B2911" s="2" t="s">
        <v>3116</v>
      </c>
      <c r="C2911" s="2" t="s">
        <v>2837</v>
      </c>
      <c r="D2911" s="2" t="s">
        <v>6696</v>
      </c>
      <c r="E2911" s="2" t="s">
        <v>4261</v>
      </c>
      <c r="F2911" s="2" t="s">
        <v>6003</v>
      </c>
      <c r="G2911" s="2"/>
    </row>
    <row r="2912" customFormat="false" ht="15" hidden="false" customHeight="false" outlineLevel="0" collapsed="false">
      <c r="A2912" s="2" t="s">
        <v>3229</v>
      </c>
      <c r="B2912" s="2" t="s">
        <v>3116</v>
      </c>
      <c r="C2912" s="2" t="s">
        <v>2837</v>
      </c>
      <c r="D2912" s="2" t="s">
        <v>6697</v>
      </c>
      <c r="E2912" s="2" t="s">
        <v>4261</v>
      </c>
      <c r="F2912" s="2" t="s">
        <v>6003</v>
      </c>
      <c r="G2912" s="2"/>
    </row>
    <row r="2913" customFormat="false" ht="15" hidden="false" customHeight="false" outlineLevel="0" collapsed="false">
      <c r="A2913" s="2" t="s">
        <v>3229</v>
      </c>
      <c r="B2913" s="2" t="s">
        <v>3116</v>
      </c>
      <c r="C2913" s="2" t="s">
        <v>2837</v>
      </c>
      <c r="D2913" s="2" t="s">
        <v>6698</v>
      </c>
      <c r="E2913" s="2" t="s">
        <v>4261</v>
      </c>
      <c r="F2913" s="2" t="s">
        <v>6003</v>
      </c>
      <c r="G2913" s="2"/>
    </row>
    <row r="2914" customFormat="false" ht="15" hidden="false" customHeight="false" outlineLevel="0" collapsed="false">
      <c r="A2914" s="2" t="s">
        <v>3229</v>
      </c>
      <c r="B2914" s="2" t="s">
        <v>3116</v>
      </c>
      <c r="C2914" s="2" t="s">
        <v>2837</v>
      </c>
      <c r="D2914" s="2" t="s">
        <v>5128</v>
      </c>
      <c r="E2914" s="2" t="s">
        <v>4261</v>
      </c>
      <c r="F2914" s="2" t="s">
        <v>6003</v>
      </c>
      <c r="G2914" s="2"/>
    </row>
    <row r="2915" customFormat="false" ht="15" hidden="false" customHeight="false" outlineLevel="0" collapsed="false">
      <c r="A2915" s="2" t="s">
        <v>3229</v>
      </c>
      <c r="B2915" s="2" t="s">
        <v>3116</v>
      </c>
      <c r="C2915" s="2" t="s">
        <v>2837</v>
      </c>
      <c r="D2915" s="2" t="s">
        <v>6699</v>
      </c>
      <c r="E2915" s="2" t="s">
        <v>4261</v>
      </c>
      <c r="F2915" s="2" t="s">
        <v>6003</v>
      </c>
      <c r="G2915" s="2"/>
    </row>
    <row r="2916" customFormat="false" ht="15" hidden="false" customHeight="false" outlineLevel="0" collapsed="false">
      <c r="A2916" s="2" t="s">
        <v>3229</v>
      </c>
      <c r="B2916" s="2" t="s">
        <v>3116</v>
      </c>
      <c r="C2916" s="2" t="s">
        <v>2837</v>
      </c>
      <c r="D2916" s="2" t="s">
        <v>6700</v>
      </c>
      <c r="E2916" s="2" t="s">
        <v>4261</v>
      </c>
      <c r="F2916" s="2" t="s">
        <v>6003</v>
      </c>
      <c r="G2916" s="2"/>
    </row>
    <row r="2917" customFormat="false" ht="15" hidden="false" customHeight="false" outlineLevel="0" collapsed="false">
      <c r="A2917" s="2" t="s">
        <v>3229</v>
      </c>
      <c r="B2917" s="2" t="s">
        <v>3116</v>
      </c>
      <c r="C2917" s="2" t="s">
        <v>2837</v>
      </c>
      <c r="D2917" s="2" t="s">
        <v>6701</v>
      </c>
      <c r="E2917" s="2" t="s">
        <v>4261</v>
      </c>
      <c r="F2917" s="2" t="s">
        <v>6003</v>
      </c>
      <c r="G2917" s="2"/>
    </row>
    <row r="2918" customFormat="false" ht="15" hidden="false" customHeight="false" outlineLevel="0" collapsed="false">
      <c r="A2918" s="2" t="s">
        <v>3229</v>
      </c>
      <c r="B2918" s="2" t="s">
        <v>3116</v>
      </c>
      <c r="C2918" s="2" t="s">
        <v>2837</v>
      </c>
      <c r="D2918" s="2" t="s">
        <v>6540</v>
      </c>
      <c r="E2918" s="2" t="s">
        <v>4261</v>
      </c>
      <c r="F2918" s="2" t="s">
        <v>6003</v>
      </c>
      <c r="G2918" s="2"/>
    </row>
    <row r="2919" customFormat="false" ht="15" hidden="false" customHeight="false" outlineLevel="0" collapsed="false">
      <c r="A2919" s="2" t="s">
        <v>3229</v>
      </c>
      <c r="B2919" s="2" t="s">
        <v>3116</v>
      </c>
      <c r="C2919" s="2" t="s">
        <v>2837</v>
      </c>
      <c r="D2919" s="2" t="s">
        <v>6702</v>
      </c>
      <c r="E2919" s="2" t="s">
        <v>4261</v>
      </c>
      <c r="F2919" s="2" t="s">
        <v>6003</v>
      </c>
      <c r="G2919" s="2"/>
    </row>
    <row r="2920" customFormat="false" ht="15" hidden="false" customHeight="false" outlineLevel="0" collapsed="false">
      <c r="A2920" s="2" t="s">
        <v>3229</v>
      </c>
      <c r="B2920" s="2" t="s">
        <v>3116</v>
      </c>
      <c r="C2920" s="2" t="s">
        <v>2837</v>
      </c>
      <c r="D2920" s="2" t="s">
        <v>6703</v>
      </c>
      <c r="E2920" s="2" t="s">
        <v>4261</v>
      </c>
      <c r="F2920" s="2" t="s">
        <v>6003</v>
      </c>
      <c r="G2920" s="2"/>
    </row>
    <row r="2921" customFormat="false" ht="15" hidden="false" customHeight="false" outlineLevel="0" collapsed="false">
      <c r="A2921" s="2" t="s">
        <v>3229</v>
      </c>
      <c r="B2921" s="2" t="s">
        <v>3116</v>
      </c>
      <c r="C2921" s="2" t="s">
        <v>2837</v>
      </c>
      <c r="D2921" s="2" t="s">
        <v>6704</v>
      </c>
      <c r="E2921" s="2" t="s">
        <v>4261</v>
      </c>
      <c r="F2921" s="2" t="s">
        <v>6003</v>
      </c>
      <c r="G2921" s="2"/>
    </row>
    <row r="2922" customFormat="false" ht="15" hidden="false" customHeight="false" outlineLevel="0" collapsed="false">
      <c r="A2922" s="2" t="s">
        <v>3229</v>
      </c>
      <c r="B2922" s="2" t="s">
        <v>3116</v>
      </c>
      <c r="C2922" s="2" t="s">
        <v>2837</v>
      </c>
      <c r="D2922" s="2" t="s">
        <v>6705</v>
      </c>
      <c r="E2922" s="2" t="s">
        <v>4261</v>
      </c>
      <c r="F2922" s="2" t="s">
        <v>6003</v>
      </c>
      <c r="G2922" s="2"/>
    </row>
    <row r="2923" customFormat="false" ht="15" hidden="false" customHeight="false" outlineLevel="0" collapsed="false">
      <c r="A2923" s="2" t="s">
        <v>3229</v>
      </c>
      <c r="B2923" s="2" t="s">
        <v>3116</v>
      </c>
      <c r="C2923" s="2" t="s">
        <v>2837</v>
      </c>
      <c r="D2923" s="2" t="s">
        <v>6706</v>
      </c>
      <c r="E2923" s="2" t="s">
        <v>4261</v>
      </c>
      <c r="F2923" s="2" t="s">
        <v>6003</v>
      </c>
      <c r="G2923" s="2"/>
    </row>
    <row r="2924" customFormat="false" ht="15" hidden="false" customHeight="false" outlineLevel="0" collapsed="false">
      <c r="A2924" s="2" t="s">
        <v>3229</v>
      </c>
      <c r="B2924" s="2" t="s">
        <v>3116</v>
      </c>
      <c r="C2924" s="2" t="s">
        <v>2837</v>
      </c>
      <c r="D2924" s="2" t="s">
        <v>6707</v>
      </c>
      <c r="E2924" s="2" t="s">
        <v>4261</v>
      </c>
      <c r="F2924" s="2" t="s">
        <v>6003</v>
      </c>
      <c r="G2924" s="2"/>
    </row>
    <row r="2925" customFormat="false" ht="15" hidden="false" customHeight="false" outlineLevel="0" collapsed="false">
      <c r="A2925" s="2" t="s">
        <v>3229</v>
      </c>
      <c r="B2925" s="2" t="s">
        <v>3116</v>
      </c>
      <c r="C2925" s="2" t="s">
        <v>2837</v>
      </c>
      <c r="D2925" s="2" t="s">
        <v>6708</v>
      </c>
      <c r="E2925" s="2" t="s">
        <v>4261</v>
      </c>
      <c r="F2925" s="2" t="s">
        <v>6003</v>
      </c>
      <c r="G2925" s="2"/>
    </row>
    <row r="2926" customFormat="false" ht="15" hidden="false" customHeight="false" outlineLevel="0" collapsed="false">
      <c r="A2926" s="2" t="s">
        <v>3229</v>
      </c>
      <c r="B2926" s="2" t="s">
        <v>3116</v>
      </c>
      <c r="C2926" s="2" t="s">
        <v>2837</v>
      </c>
      <c r="D2926" s="2" t="s">
        <v>6709</v>
      </c>
      <c r="E2926" s="2" t="s">
        <v>4261</v>
      </c>
      <c r="F2926" s="2" t="s">
        <v>6003</v>
      </c>
      <c r="G2926" s="2"/>
    </row>
    <row r="2927" customFormat="false" ht="15" hidden="false" customHeight="false" outlineLevel="0" collapsed="false">
      <c r="A2927" s="2" t="s">
        <v>3229</v>
      </c>
      <c r="B2927" s="2" t="s">
        <v>3116</v>
      </c>
      <c r="C2927" s="2" t="s">
        <v>2837</v>
      </c>
      <c r="D2927" s="2" t="s">
        <v>6710</v>
      </c>
      <c r="E2927" s="2" t="s">
        <v>4261</v>
      </c>
      <c r="F2927" s="2" t="s">
        <v>6003</v>
      </c>
      <c r="G2927" s="2"/>
    </row>
    <row r="2928" customFormat="false" ht="15" hidden="false" customHeight="false" outlineLevel="0" collapsed="false">
      <c r="A2928" s="2" t="s">
        <v>3229</v>
      </c>
      <c r="B2928" s="2" t="s">
        <v>3116</v>
      </c>
      <c r="C2928" s="2" t="s">
        <v>2837</v>
      </c>
      <c r="D2928" s="2" t="s">
        <v>6711</v>
      </c>
      <c r="E2928" s="2" t="s">
        <v>4261</v>
      </c>
      <c r="F2928" s="2" t="s">
        <v>6003</v>
      </c>
      <c r="G2928" s="2"/>
    </row>
    <row r="2929" customFormat="false" ht="15" hidden="false" customHeight="false" outlineLevel="0" collapsed="false">
      <c r="A2929" s="2" t="s">
        <v>3229</v>
      </c>
      <c r="B2929" s="2" t="s">
        <v>3116</v>
      </c>
      <c r="C2929" s="2" t="s">
        <v>2837</v>
      </c>
      <c r="D2929" s="2" t="s">
        <v>6712</v>
      </c>
      <c r="E2929" s="2" t="s">
        <v>4261</v>
      </c>
      <c r="F2929" s="2" t="s">
        <v>6003</v>
      </c>
      <c r="G2929" s="2"/>
    </row>
    <row r="2930" customFormat="false" ht="15" hidden="false" customHeight="false" outlineLevel="0" collapsed="false">
      <c r="A2930" s="2" t="s">
        <v>3229</v>
      </c>
      <c r="B2930" s="2" t="s">
        <v>3116</v>
      </c>
      <c r="C2930" s="2" t="s">
        <v>2837</v>
      </c>
      <c r="D2930" s="2" t="s">
        <v>6713</v>
      </c>
      <c r="E2930" s="2" t="s">
        <v>4261</v>
      </c>
      <c r="F2930" s="2" t="s">
        <v>6003</v>
      </c>
      <c r="G2930" s="2"/>
    </row>
    <row r="2931" customFormat="false" ht="15" hidden="false" customHeight="false" outlineLevel="0" collapsed="false">
      <c r="A2931" s="2" t="s">
        <v>3229</v>
      </c>
      <c r="B2931" s="2" t="s">
        <v>3116</v>
      </c>
      <c r="C2931" s="2" t="s">
        <v>2837</v>
      </c>
      <c r="D2931" s="2" t="s">
        <v>6714</v>
      </c>
      <c r="E2931" s="2" t="s">
        <v>4261</v>
      </c>
      <c r="F2931" s="2" t="s">
        <v>6003</v>
      </c>
      <c r="G2931" s="2"/>
    </row>
    <row r="2932" customFormat="false" ht="15" hidden="false" customHeight="false" outlineLevel="0" collapsed="false">
      <c r="A2932" s="2" t="s">
        <v>3229</v>
      </c>
      <c r="B2932" s="2" t="s">
        <v>3116</v>
      </c>
      <c r="C2932" s="2" t="s">
        <v>2837</v>
      </c>
      <c r="D2932" s="2" t="s">
        <v>6715</v>
      </c>
      <c r="E2932" s="2" t="s">
        <v>4261</v>
      </c>
      <c r="F2932" s="2" t="s">
        <v>6003</v>
      </c>
      <c r="G2932" s="2"/>
    </row>
    <row r="2933" customFormat="false" ht="15" hidden="false" customHeight="false" outlineLevel="0" collapsed="false">
      <c r="A2933" s="2" t="s">
        <v>3229</v>
      </c>
      <c r="B2933" s="2" t="s">
        <v>3116</v>
      </c>
      <c r="C2933" s="2" t="s">
        <v>2837</v>
      </c>
      <c r="D2933" s="2" t="s">
        <v>6716</v>
      </c>
      <c r="E2933" s="2" t="s">
        <v>4261</v>
      </c>
      <c r="F2933" s="2" t="s">
        <v>6003</v>
      </c>
      <c r="G2933" s="2"/>
    </row>
    <row r="2934" customFormat="false" ht="15" hidden="false" customHeight="false" outlineLevel="0" collapsed="false">
      <c r="A2934" s="2" t="s">
        <v>3229</v>
      </c>
      <c r="B2934" s="2" t="s">
        <v>3116</v>
      </c>
      <c r="C2934" s="2" t="s">
        <v>2837</v>
      </c>
      <c r="D2934" s="2" t="s">
        <v>6717</v>
      </c>
      <c r="E2934" s="2" t="s">
        <v>4261</v>
      </c>
      <c r="F2934" s="2" t="s">
        <v>6003</v>
      </c>
      <c r="G2934" s="2"/>
    </row>
    <row r="2935" customFormat="false" ht="15" hidden="false" customHeight="false" outlineLevel="0" collapsed="false">
      <c r="A2935" s="2" t="s">
        <v>3229</v>
      </c>
      <c r="B2935" s="2" t="s">
        <v>3116</v>
      </c>
      <c r="C2935" s="2" t="s">
        <v>2837</v>
      </c>
      <c r="D2935" s="2" t="s">
        <v>5129</v>
      </c>
      <c r="E2935" s="2" t="s">
        <v>4261</v>
      </c>
      <c r="F2935" s="2" t="s">
        <v>6003</v>
      </c>
      <c r="G2935" s="2"/>
    </row>
    <row r="2936" customFormat="false" ht="15" hidden="false" customHeight="false" outlineLevel="0" collapsed="false">
      <c r="A2936" s="2" t="s">
        <v>3229</v>
      </c>
      <c r="B2936" s="2" t="s">
        <v>3116</v>
      </c>
      <c r="C2936" s="2" t="s">
        <v>2837</v>
      </c>
      <c r="D2936" s="2" t="s">
        <v>6718</v>
      </c>
      <c r="E2936" s="2" t="s">
        <v>4261</v>
      </c>
      <c r="F2936" s="2" t="s">
        <v>6003</v>
      </c>
      <c r="G2936" s="2"/>
    </row>
    <row r="2937" customFormat="false" ht="15" hidden="false" customHeight="false" outlineLevel="0" collapsed="false">
      <c r="A2937" s="2" t="s">
        <v>3229</v>
      </c>
      <c r="B2937" s="2" t="s">
        <v>3116</v>
      </c>
      <c r="C2937" s="2" t="s">
        <v>2837</v>
      </c>
      <c r="D2937" s="2" t="s">
        <v>6719</v>
      </c>
      <c r="E2937" s="2" t="s">
        <v>4261</v>
      </c>
      <c r="F2937" s="2" t="s">
        <v>6003</v>
      </c>
      <c r="G2937" s="2"/>
    </row>
    <row r="2938" customFormat="false" ht="15" hidden="false" customHeight="false" outlineLevel="0" collapsed="false">
      <c r="A2938" s="2" t="s">
        <v>3231</v>
      </c>
      <c r="B2938" s="2" t="s">
        <v>3116</v>
      </c>
      <c r="C2938" s="2" t="s">
        <v>2837</v>
      </c>
      <c r="D2938" s="2" t="s">
        <v>6720</v>
      </c>
      <c r="E2938" s="2" t="s">
        <v>4261</v>
      </c>
      <c r="F2938" s="2" t="s">
        <v>6003</v>
      </c>
      <c r="G2938" s="2"/>
    </row>
    <row r="2939" customFormat="false" ht="15" hidden="false" customHeight="false" outlineLevel="0" collapsed="false">
      <c r="A2939" s="2" t="s">
        <v>3231</v>
      </c>
      <c r="B2939" s="2" t="s">
        <v>3116</v>
      </c>
      <c r="C2939" s="2" t="s">
        <v>2837</v>
      </c>
      <c r="D2939" s="2" t="s">
        <v>6721</v>
      </c>
      <c r="E2939" s="2" t="s">
        <v>4261</v>
      </c>
      <c r="F2939" s="2" t="s">
        <v>6003</v>
      </c>
      <c r="G2939" s="2"/>
    </row>
    <row r="2940" customFormat="false" ht="15" hidden="false" customHeight="false" outlineLevel="0" collapsed="false">
      <c r="A2940" s="2" t="s">
        <v>3231</v>
      </c>
      <c r="B2940" s="2" t="s">
        <v>3116</v>
      </c>
      <c r="C2940" s="2" t="s">
        <v>2837</v>
      </c>
      <c r="D2940" s="2" t="s">
        <v>6722</v>
      </c>
      <c r="E2940" s="2" t="s">
        <v>4261</v>
      </c>
      <c r="F2940" s="2" t="s">
        <v>6003</v>
      </c>
      <c r="G2940" s="2"/>
    </row>
    <row r="2941" customFormat="false" ht="15" hidden="false" customHeight="false" outlineLevel="0" collapsed="false">
      <c r="A2941" s="2" t="s">
        <v>3231</v>
      </c>
      <c r="B2941" s="2" t="s">
        <v>3116</v>
      </c>
      <c r="C2941" s="2" t="s">
        <v>2837</v>
      </c>
      <c r="D2941" s="2" t="s">
        <v>6723</v>
      </c>
      <c r="E2941" s="2" t="s">
        <v>4261</v>
      </c>
      <c r="F2941" s="2" t="s">
        <v>6003</v>
      </c>
      <c r="G2941" s="2"/>
    </row>
    <row r="2942" customFormat="false" ht="15" hidden="false" customHeight="false" outlineLevel="0" collapsed="false">
      <c r="A2942" s="2" t="s">
        <v>3231</v>
      </c>
      <c r="B2942" s="2" t="s">
        <v>3116</v>
      </c>
      <c r="C2942" s="2" t="s">
        <v>2837</v>
      </c>
      <c r="D2942" s="2" t="s">
        <v>4603</v>
      </c>
      <c r="E2942" s="2" t="s">
        <v>4261</v>
      </c>
      <c r="F2942" s="2" t="s">
        <v>6003</v>
      </c>
      <c r="G2942" s="2"/>
    </row>
    <row r="2943" customFormat="false" ht="15" hidden="false" customHeight="false" outlineLevel="0" collapsed="false">
      <c r="A2943" s="2" t="s">
        <v>3231</v>
      </c>
      <c r="B2943" s="2" t="s">
        <v>3116</v>
      </c>
      <c r="C2943" s="2" t="s">
        <v>2837</v>
      </c>
      <c r="D2943" s="2" t="s">
        <v>6724</v>
      </c>
      <c r="E2943" s="2" t="s">
        <v>4261</v>
      </c>
      <c r="F2943" s="2" t="s">
        <v>6003</v>
      </c>
      <c r="G2943" s="2"/>
    </row>
    <row r="2944" customFormat="false" ht="15" hidden="false" customHeight="false" outlineLevel="0" collapsed="false">
      <c r="A2944" s="2" t="s">
        <v>3231</v>
      </c>
      <c r="B2944" s="2" t="s">
        <v>3116</v>
      </c>
      <c r="C2944" s="2" t="s">
        <v>2837</v>
      </c>
      <c r="D2944" s="2" t="s">
        <v>6725</v>
      </c>
      <c r="E2944" s="2" t="s">
        <v>4261</v>
      </c>
      <c r="F2944" s="2" t="s">
        <v>6003</v>
      </c>
      <c r="G2944" s="2"/>
    </row>
    <row r="2945" customFormat="false" ht="15" hidden="false" customHeight="false" outlineLevel="0" collapsed="false">
      <c r="A2945" s="2" t="s">
        <v>3231</v>
      </c>
      <c r="B2945" s="2" t="s">
        <v>3116</v>
      </c>
      <c r="C2945" s="2" t="s">
        <v>2837</v>
      </c>
      <c r="D2945" s="2" t="s">
        <v>6267</v>
      </c>
      <c r="E2945" s="2" t="s">
        <v>4261</v>
      </c>
      <c r="F2945" s="2" t="s">
        <v>6003</v>
      </c>
      <c r="G2945" s="2"/>
    </row>
    <row r="2946" customFormat="false" ht="15" hidden="false" customHeight="false" outlineLevel="0" collapsed="false">
      <c r="A2946" s="2" t="s">
        <v>3231</v>
      </c>
      <c r="B2946" s="2" t="s">
        <v>3116</v>
      </c>
      <c r="C2946" s="2" t="s">
        <v>2837</v>
      </c>
      <c r="D2946" s="2" t="s">
        <v>6726</v>
      </c>
      <c r="E2946" s="2" t="s">
        <v>4261</v>
      </c>
      <c r="F2946" s="2" t="s">
        <v>6003</v>
      </c>
      <c r="G2946" s="2"/>
    </row>
    <row r="2947" customFormat="false" ht="15" hidden="false" customHeight="false" outlineLevel="0" collapsed="false">
      <c r="A2947" s="2" t="s">
        <v>3231</v>
      </c>
      <c r="B2947" s="2" t="s">
        <v>3116</v>
      </c>
      <c r="C2947" s="2" t="s">
        <v>2837</v>
      </c>
      <c r="D2947" s="2" t="s">
        <v>1213</v>
      </c>
      <c r="E2947" s="2" t="s">
        <v>4261</v>
      </c>
      <c r="F2947" s="2" t="s">
        <v>6003</v>
      </c>
      <c r="G2947" s="2"/>
    </row>
    <row r="2948" customFormat="false" ht="15" hidden="false" customHeight="false" outlineLevel="0" collapsed="false">
      <c r="A2948" s="2" t="s">
        <v>3231</v>
      </c>
      <c r="B2948" s="2" t="s">
        <v>3116</v>
      </c>
      <c r="C2948" s="2" t="s">
        <v>2837</v>
      </c>
      <c r="D2948" s="2" t="s">
        <v>6727</v>
      </c>
      <c r="E2948" s="2" t="s">
        <v>4261</v>
      </c>
      <c r="F2948" s="2" t="s">
        <v>6003</v>
      </c>
      <c r="G2948" s="2"/>
    </row>
    <row r="2949" customFormat="false" ht="15" hidden="false" customHeight="false" outlineLevel="0" collapsed="false">
      <c r="A2949" s="2" t="s">
        <v>3231</v>
      </c>
      <c r="B2949" s="2" t="s">
        <v>3116</v>
      </c>
      <c r="C2949" s="2" t="s">
        <v>2837</v>
      </c>
      <c r="D2949" s="2" t="s">
        <v>6728</v>
      </c>
      <c r="E2949" s="2" t="s">
        <v>4261</v>
      </c>
      <c r="F2949" s="2" t="s">
        <v>6003</v>
      </c>
      <c r="G2949" s="2"/>
    </row>
    <row r="2950" customFormat="false" ht="15" hidden="false" customHeight="false" outlineLevel="0" collapsed="false">
      <c r="A2950" s="2" t="s">
        <v>3231</v>
      </c>
      <c r="B2950" s="2" t="s">
        <v>3116</v>
      </c>
      <c r="C2950" s="2" t="s">
        <v>2837</v>
      </c>
      <c r="D2950" s="2" t="s">
        <v>6729</v>
      </c>
      <c r="E2950" s="2" t="s">
        <v>4261</v>
      </c>
      <c r="F2950" s="2" t="s">
        <v>6003</v>
      </c>
      <c r="G2950" s="2"/>
    </row>
    <row r="2951" customFormat="false" ht="15" hidden="false" customHeight="false" outlineLevel="0" collapsed="false">
      <c r="A2951" s="2" t="s">
        <v>3231</v>
      </c>
      <c r="B2951" s="2" t="s">
        <v>3116</v>
      </c>
      <c r="C2951" s="2" t="s">
        <v>2837</v>
      </c>
      <c r="D2951" s="2" t="s">
        <v>6730</v>
      </c>
      <c r="E2951" s="2" t="s">
        <v>4261</v>
      </c>
      <c r="F2951" s="2" t="s">
        <v>6003</v>
      </c>
      <c r="G2951" s="2"/>
    </row>
    <row r="2952" customFormat="false" ht="15" hidden="false" customHeight="false" outlineLevel="0" collapsed="false">
      <c r="A2952" s="2" t="s">
        <v>3231</v>
      </c>
      <c r="B2952" s="2" t="s">
        <v>3116</v>
      </c>
      <c r="C2952" s="2" t="s">
        <v>2837</v>
      </c>
      <c r="D2952" s="2" t="s">
        <v>6731</v>
      </c>
      <c r="E2952" s="2" t="s">
        <v>4261</v>
      </c>
      <c r="F2952" s="2" t="s">
        <v>6003</v>
      </c>
      <c r="G2952" s="2"/>
    </row>
    <row r="2953" customFormat="false" ht="15" hidden="false" customHeight="false" outlineLevel="0" collapsed="false">
      <c r="A2953" s="2" t="s">
        <v>3231</v>
      </c>
      <c r="B2953" s="2" t="s">
        <v>3116</v>
      </c>
      <c r="C2953" s="2" t="s">
        <v>2837</v>
      </c>
      <c r="D2953" s="2" t="s">
        <v>6732</v>
      </c>
      <c r="E2953" s="2" t="s">
        <v>4261</v>
      </c>
      <c r="F2953" s="2" t="s">
        <v>6003</v>
      </c>
      <c r="G2953" s="2"/>
    </row>
    <row r="2954" customFormat="false" ht="15" hidden="false" customHeight="false" outlineLevel="0" collapsed="false">
      <c r="A2954" s="2" t="s">
        <v>3231</v>
      </c>
      <c r="B2954" s="2" t="s">
        <v>3116</v>
      </c>
      <c r="C2954" s="2" t="s">
        <v>2837</v>
      </c>
      <c r="D2954" s="2" t="s">
        <v>6733</v>
      </c>
      <c r="E2954" s="2" t="s">
        <v>4261</v>
      </c>
      <c r="F2954" s="2" t="s">
        <v>6003</v>
      </c>
      <c r="G2954" s="2"/>
    </row>
    <row r="2955" customFormat="false" ht="15" hidden="false" customHeight="false" outlineLevel="0" collapsed="false">
      <c r="A2955" s="2" t="s">
        <v>3231</v>
      </c>
      <c r="B2955" s="2" t="s">
        <v>3116</v>
      </c>
      <c r="C2955" s="2" t="s">
        <v>2837</v>
      </c>
      <c r="D2955" s="2" t="s">
        <v>6734</v>
      </c>
      <c r="E2955" s="2" t="s">
        <v>4261</v>
      </c>
      <c r="F2955" s="2" t="s">
        <v>6003</v>
      </c>
      <c r="G2955" s="2"/>
    </row>
    <row r="2956" customFormat="false" ht="15" hidden="false" customHeight="false" outlineLevel="0" collapsed="false">
      <c r="A2956" s="2" t="s">
        <v>3231</v>
      </c>
      <c r="B2956" s="2" t="s">
        <v>3116</v>
      </c>
      <c r="C2956" s="2" t="s">
        <v>2837</v>
      </c>
      <c r="D2956" s="2" t="s">
        <v>6735</v>
      </c>
      <c r="E2956" s="2" t="s">
        <v>4261</v>
      </c>
      <c r="F2956" s="2" t="s">
        <v>6003</v>
      </c>
      <c r="G2956" s="2"/>
    </row>
    <row r="2957" customFormat="false" ht="15" hidden="false" customHeight="false" outlineLevel="0" collapsed="false">
      <c r="A2957" s="2" t="s">
        <v>3231</v>
      </c>
      <c r="B2957" s="2" t="s">
        <v>3116</v>
      </c>
      <c r="C2957" s="2" t="s">
        <v>2837</v>
      </c>
      <c r="D2957" s="2" t="s">
        <v>6736</v>
      </c>
      <c r="E2957" s="2" t="s">
        <v>4261</v>
      </c>
      <c r="F2957" s="2" t="s">
        <v>6003</v>
      </c>
      <c r="G2957" s="2"/>
    </row>
    <row r="2958" customFormat="false" ht="15" hidden="false" customHeight="false" outlineLevel="0" collapsed="false">
      <c r="A2958" s="2" t="s">
        <v>3231</v>
      </c>
      <c r="B2958" s="2" t="s">
        <v>3116</v>
      </c>
      <c r="C2958" s="2" t="s">
        <v>2837</v>
      </c>
      <c r="D2958" s="2" t="s">
        <v>6737</v>
      </c>
      <c r="E2958" s="2" t="s">
        <v>4261</v>
      </c>
      <c r="F2958" s="2" t="s">
        <v>6003</v>
      </c>
      <c r="G2958" s="2"/>
    </row>
    <row r="2959" customFormat="false" ht="15" hidden="false" customHeight="false" outlineLevel="0" collapsed="false">
      <c r="A2959" s="2" t="s">
        <v>3231</v>
      </c>
      <c r="B2959" s="2" t="s">
        <v>3116</v>
      </c>
      <c r="C2959" s="2" t="s">
        <v>2837</v>
      </c>
      <c r="D2959" s="2" t="s">
        <v>6738</v>
      </c>
      <c r="E2959" s="2" t="s">
        <v>4261</v>
      </c>
      <c r="F2959" s="2" t="s">
        <v>6003</v>
      </c>
      <c r="G2959" s="2"/>
    </row>
    <row r="2960" customFormat="false" ht="15" hidden="false" customHeight="false" outlineLevel="0" collapsed="false">
      <c r="A2960" s="2" t="s">
        <v>3231</v>
      </c>
      <c r="B2960" s="2" t="s">
        <v>3116</v>
      </c>
      <c r="C2960" s="2" t="s">
        <v>2837</v>
      </c>
      <c r="D2960" s="2" t="s">
        <v>6739</v>
      </c>
      <c r="E2960" s="2" t="s">
        <v>4261</v>
      </c>
      <c r="F2960" s="2" t="s">
        <v>6003</v>
      </c>
      <c r="G2960" s="2"/>
    </row>
    <row r="2961" customFormat="false" ht="15" hidden="false" customHeight="false" outlineLevel="0" collapsed="false">
      <c r="A2961" s="2" t="s">
        <v>3231</v>
      </c>
      <c r="B2961" s="2" t="s">
        <v>3116</v>
      </c>
      <c r="C2961" s="2" t="s">
        <v>2837</v>
      </c>
      <c r="D2961" s="2" t="s">
        <v>6740</v>
      </c>
      <c r="E2961" s="2" t="s">
        <v>4261</v>
      </c>
      <c r="F2961" s="2" t="s">
        <v>6003</v>
      </c>
      <c r="G2961" s="2"/>
    </row>
    <row r="2962" customFormat="false" ht="15" hidden="false" customHeight="false" outlineLevel="0" collapsed="false">
      <c r="A2962" s="2" t="s">
        <v>3231</v>
      </c>
      <c r="B2962" s="2" t="s">
        <v>3116</v>
      </c>
      <c r="C2962" s="2" t="s">
        <v>2837</v>
      </c>
      <c r="D2962" s="2" t="s">
        <v>6741</v>
      </c>
      <c r="E2962" s="2" t="s">
        <v>4261</v>
      </c>
      <c r="F2962" s="2" t="s">
        <v>6003</v>
      </c>
      <c r="G2962" s="2"/>
    </row>
    <row r="2963" customFormat="false" ht="15" hidden="false" customHeight="false" outlineLevel="0" collapsed="false">
      <c r="A2963" s="2" t="s">
        <v>3231</v>
      </c>
      <c r="B2963" s="2" t="s">
        <v>3116</v>
      </c>
      <c r="C2963" s="2" t="s">
        <v>2837</v>
      </c>
      <c r="D2963" s="2" t="s">
        <v>4959</v>
      </c>
      <c r="E2963" s="2" t="s">
        <v>4261</v>
      </c>
      <c r="F2963" s="2" t="s">
        <v>6003</v>
      </c>
      <c r="G2963" s="2"/>
    </row>
    <row r="2964" customFormat="false" ht="15" hidden="false" customHeight="false" outlineLevel="0" collapsed="false">
      <c r="A2964" s="2" t="s">
        <v>3231</v>
      </c>
      <c r="B2964" s="2" t="s">
        <v>3116</v>
      </c>
      <c r="C2964" s="2" t="s">
        <v>2837</v>
      </c>
      <c r="D2964" s="2" t="s">
        <v>6742</v>
      </c>
      <c r="E2964" s="2" t="s">
        <v>4261</v>
      </c>
      <c r="F2964" s="2" t="s">
        <v>6003</v>
      </c>
      <c r="G2964" s="2"/>
    </row>
    <row r="2965" customFormat="false" ht="15" hidden="false" customHeight="false" outlineLevel="0" collapsed="false">
      <c r="A2965" s="2" t="s">
        <v>3231</v>
      </c>
      <c r="B2965" s="2" t="s">
        <v>3116</v>
      </c>
      <c r="C2965" s="2" t="s">
        <v>2837</v>
      </c>
      <c r="D2965" s="2" t="s">
        <v>4676</v>
      </c>
      <c r="E2965" s="2" t="s">
        <v>4261</v>
      </c>
      <c r="F2965" s="2" t="s">
        <v>6003</v>
      </c>
      <c r="G2965" s="2"/>
    </row>
    <row r="2966" customFormat="false" ht="15" hidden="false" customHeight="false" outlineLevel="0" collapsed="false">
      <c r="A2966" s="2" t="s">
        <v>3231</v>
      </c>
      <c r="B2966" s="2" t="s">
        <v>3116</v>
      </c>
      <c r="C2966" s="2" t="s">
        <v>2837</v>
      </c>
      <c r="D2966" s="2" t="s">
        <v>6743</v>
      </c>
      <c r="E2966" s="2" t="s">
        <v>4271</v>
      </c>
      <c r="F2966" s="2" t="s">
        <v>6003</v>
      </c>
      <c r="G2966" s="2"/>
    </row>
    <row r="2967" customFormat="false" ht="15" hidden="false" customHeight="false" outlineLevel="0" collapsed="false">
      <c r="A2967" s="2" t="s">
        <v>3231</v>
      </c>
      <c r="B2967" s="2" t="s">
        <v>3116</v>
      </c>
      <c r="C2967" s="2" t="s">
        <v>2837</v>
      </c>
      <c r="D2967" s="2" t="s">
        <v>6744</v>
      </c>
      <c r="E2967" s="2" t="s">
        <v>4261</v>
      </c>
      <c r="F2967" s="2" t="s">
        <v>6003</v>
      </c>
      <c r="G2967" s="2"/>
    </row>
    <row r="2968" customFormat="false" ht="15" hidden="false" customHeight="false" outlineLevel="0" collapsed="false">
      <c r="A2968" s="2" t="s">
        <v>3231</v>
      </c>
      <c r="B2968" s="2" t="s">
        <v>3116</v>
      </c>
      <c r="C2968" s="2" t="s">
        <v>2837</v>
      </c>
      <c r="D2968" s="2" t="s">
        <v>6745</v>
      </c>
      <c r="E2968" s="2" t="s">
        <v>4261</v>
      </c>
      <c r="F2968" s="2" t="s">
        <v>6003</v>
      </c>
      <c r="G2968" s="2"/>
    </row>
    <row r="2969" customFormat="false" ht="15" hidden="false" customHeight="false" outlineLevel="0" collapsed="false">
      <c r="A2969" s="2" t="s">
        <v>3255</v>
      </c>
      <c r="B2969" s="2" t="s">
        <v>3256</v>
      </c>
      <c r="C2969" s="2" t="s">
        <v>34</v>
      </c>
      <c r="D2969" s="2" t="s">
        <v>6746</v>
      </c>
      <c r="E2969" s="2" t="s">
        <v>4261</v>
      </c>
      <c r="F2969" s="2" t="s">
        <v>6003</v>
      </c>
      <c r="G2969" s="2"/>
    </row>
    <row r="2970" customFormat="false" ht="15" hidden="false" customHeight="false" outlineLevel="0" collapsed="false">
      <c r="A2970" s="2" t="s">
        <v>3255</v>
      </c>
      <c r="B2970" s="2" t="s">
        <v>3256</v>
      </c>
      <c r="C2970" s="2" t="s">
        <v>34</v>
      </c>
      <c r="D2970" s="2" t="s">
        <v>6747</v>
      </c>
      <c r="E2970" s="2" t="s">
        <v>4261</v>
      </c>
      <c r="F2970" s="2" t="s">
        <v>6003</v>
      </c>
      <c r="G2970" s="2"/>
    </row>
    <row r="2971" customFormat="false" ht="15" hidden="false" customHeight="false" outlineLevel="0" collapsed="false">
      <c r="A2971" s="2" t="s">
        <v>3255</v>
      </c>
      <c r="B2971" s="2" t="s">
        <v>3256</v>
      </c>
      <c r="C2971" s="2" t="s">
        <v>34</v>
      </c>
      <c r="D2971" s="2" t="s">
        <v>6748</v>
      </c>
      <c r="E2971" s="2" t="s">
        <v>4261</v>
      </c>
      <c r="F2971" s="2" t="s">
        <v>6003</v>
      </c>
      <c r="G2971" s="2"/>
    </row>
    <row r="2972" customFormat="false" ht="15" hidden="false" customHeight="false" outlineLevel="0" collapsed="false">
      <c r="A2972" s="2" t="s">
        <v>3255</v>
      </c>
      <c r="B2972" s="2" t="s">
        <v>3256</v>
      </c>
      <c r="C2972" s="2" t="s">
        <v>34</v>
      </c>
      <c r="D2972" s="2" t="s">
        <v>6749</v>
      </c>
      <c r="E2972" s="2" t="s">
        <v>4261</v>
      </c>
      <c r="F2972" s="2" t="s">
        <v>6003</v>
      </c>
      <c r="G2972" s="2"/>
    </row>
    <row r="2973" customFormat="false" ht="15" hidden="false" customHeight="false" outlineLevel="0" collapsed="false">
      <c r="A2973" s="2" t="s">
        <v>3255</v>
      </c>
      <c r="B2973" s="2" t="s">
        <v>3256</v>
      </c>
      <c r="C2973" s="2" t="s">
        <v>34</v>
      </c>
      <c r="D2973" s="2" t="s">
        <v>6750</v>
      </c>
      <c r="E2973" s="2" t="s">
        <v>4261</v>
      </c>
      <c r="F2973" s="2" t="s">
        <v>6003</v>
      </c>
      <c r="G2973" s="2"/>
    </row>
    <row r="2974" customFormat="false" ht="15" hidden="false" customHeight="false" outlineLevel="0" collapsed="false">
      <c r="A2974" s="2" t="s">
        <v>3255</v>
      </c>
      <c r="B2974" s="2" t="s">
        <v>3256</v>
      </c>
      <c r="C2974" s="2" t="s">
        <v>34</v>
      </c>
      <c r="D2974" s="2" t="s">
        <v>6751</v>
      </c>
      <c r="E2974" s="2" t="s">
        <v>4261</v>
      </c>
      <c r="F2974" s="2" t="s">
        <v>6003</v>
      </c>
      <c r="G2974" s="2"/>
    </row>
    <row r="2975" customFormat="false" ht="15" hidden="false" customHeight="false" outlineLevel="0" collapsed="false">
      <c r="A2975" s="2" t="s">
        <v>3258</v>
      </c>
      <c r="B2975" s="2" t="s">
        <v>765</v>
      </c>
      <c r="C2975" s="2" t="s">
        <v>190</v>
      </c>
      <c r="D2975" s="2" t="s">
        <v>3259</v>
      </c>
      <c r="E2975" s="2" t="s">
        <v>4261</v>
      </c>
      <c r="F2975" s="2" t="s">
        <v>6003</v>
      </c>
      <c r="G2975" s="2"/>
    </row>
    <row r="2976" customFormat="false" ht="15" hidden="false" customHeight="false" outlineLevel="0" collapsed="false">
      <c r="A2976" s="2" t="s">
        <v>3260</v>
      </c>
      <c r="B2976" s="2" t="s">
        <v>765</v>
      </c>
      <c r="C2976" s="2" t="s">
        <v>190</v>
      </c>
      <c r="D2976" s="2" t="s">
        <v>3261</v>
      </c>
      <c r="E2976" s="2" t="s">
        <v>4261</v>
      </c>
      <c r="F2976" s="2" t="s">
        <v>6003</v>
      </c>
      <c r="G2976" s="2"/>
    </row>
    <row r="2977" customFormat="false" ht="15" hidden="false" customHeight="false" outlineLevel="0" collapsed="false">
      <c r="A2977" s="2" t="s">
        <v>3262</v>
      </c>
      <c r="B2977" s="2" t="s">
        <v>765</v>
      </c>
      <c r="C2977" s="2" t="s">
        <v>190</v>
      </c>
      <c r="D2977" s="2" t="s">
        <v>3263</v>
      </c>
      <c r="E2977" s="2" t="s">
        <v>4261</v>
      </c>
      <c r="F2977" s="2" t="s">
        <v>6003</v>
      </c>
      <c r="G2977" s="2"/>
    </row>
    <row r="2978" customFormat="false" ht="15" hidden="false" customHeight="false" outlineLevel="0" collapsed="false">
      <c r="A2978" s="2" t="s">
        <v>3270</v>
      </c>
      <c r="B2978" s="2" t="s">
        <v>3271</v>
      </c>
      <c r="C2978" s="2" t="s">
        <v>1595</v>
      </c>
      <c r="D2978" s="2" t="s">
        <v>3272</v>
      </c>
      <c r="E2978" s="2" t="s">
        <v>4261</v>
      </c>
      <c r="F2978" s="2" t="s">
        <v>6003</v>
      </c>
      <c r="G2978" s="2"/>
    </row>
    <row r="2979" customFormat="false" ht="15" hidden="false" customHeight="false" outlineLevel="0" collapsed="false">
      <c r="A2979" s="2" t="s">
        <v>3276</v>
      </c>
      <c r="B2979" s="2" t="s">
        <v>3277</v>
      </c>
      <c r="C2979" s="2" t="s">
        <v>3278</v>
      </c>
      <c r="D2979" s="2" t="s">
        <v>3279</v>
      </c>
      <c r="E2979" s="2" t="s">
        <v>4261</v>
      </c>
      <c r="F2979" s="2" t="s">
        <v>6003</v>
      </c>
      <c r="G2979" s="2"/>
    </row>
    <row r="2980" customFormat="false" ht="15" hidden="false" customHeight="false" outlineLevel="0" collapsed="false">
      <c r="A2980" s="2" t="s">
        <v>3284</v>
      </c>
      <c r="B2980" s="2" t="s">
        <v>3285</v>
      </c>
      <c r="C2980" s="2" t="s">
        <v>190</v>
      </c>
      <c r="D2980" s="2" t="s">
        <v>6752</v>
      </c>
      <c r="E2980" s="2" t="s">
        <v>4261</v>
      </c>
      <c r="F2980" s="2" t="s">
        <v>6003</v>
      </c>
      <c r="G2980" s="2"/>
    </row>
    <row r="2981" customFormat="false" ht="15" hidden="false" customHeight="false" outlineLevel="0" collapsed="false">
      <c r="A2981" s="2" t="s">
        <v>3284</v>
      </c>
      <c r="B2981" s="2" t="s">
        <v>3285</v>
      </c>
      <c r="C2981" s="2" t="s">
        <v>190</v>
      </c>
      <c r="D2981" s="2" t="s">
        <v>6753</v>
      </c>
      <c r="E2981" s="2" t="s">
        <v>4261</v>
      </c>
      <c r="F2981" s="2" t="s">
        <v>6003</v>
      </c>
      <c r="G2981" s="2"/>
    </row>
    <row r="2982" customFormat="false" ht="15" hidden="false" customHeight="false" outlineLevel="0" collapsed="false">
      <c r="A2982" s="2" t="s">
        <v>3284</v>
      </c>
      <c r="B2982" s="2" t="s">
        <v>3285</v>
      </c>
      <c r="C2982" s="2" t="s">
        <v>190</v>
      </c>
      <c r="D2982" s="2" t="s">
        <v>6754</v>
      </c>
      <c r="E2982" s="2" t="s">
        <v>4261</v>
      </c>
      <c r="F2982" s="2" t="s">
        <v>6003</v>
      </c>
      <c r="G2982" s="2"/>
    </row>
    <row r="2983" customFormat="false" ht="15" hidden="false" customHeight="false" outlineLevel="0" collapsed="false">
      <c r="A2983" s="2" t="s">
        <v>3284</v>
      </c>
      <c r="B2983" s="2" t="s">
        <v>3285</v>
      </c>
      <c r="C2983" s="2" t="s">
        <v>190</v>
      </c>
      <c r="D2983" s="2" t="s">
        <v>6755</v>
      </c>
      <c r="E2983" s="2" t="s">
        <v>4261</v>
      </c>
      <c r="F2983" s="2" t="s">
        <v>6003</v>
      </c>
      <c r="G2983" s="2"/>
    </row>
    <row r="2984" customFormat="false" ht="15" hidden="false" customHeight="false" outlineLevel="0" collapsed="false">
      <c r="A2984" s="2" t="s">
        <v>3284</v>
      </c>
      <c r="B2984" s="2" t="s">
        <v>3285</v>
      </c>
      <c r="C2984" s="2" t="s">
        <v>190</v>
      </c>
      <c r="D2984" s="2" t="s">
        <v>6756</v>
      </c>
      <c r="E2984" s="2" t="s">
        <v>4261</v>
      </c>
      <c r="F2984" s="2" t="s">
        <v>6003</v>
      </c>
      <c r="G2984" s="2"/>
    </row>
    <row r="2985" customFormat="false" ht="15" hidden="false" customHeight="false" outlineLevel="0" collapsed="false">
      <c r="A2985" s="2" t="s">
        <v>3284</v>
      </c>
      <c r="B2985" s="2" t="s">
        <v>3285</v>
      </c>
      <c r="C2985" s="2" t="s">
        <v>190</v>
      </c>
      <c r="D2985" s="2" t="s">
        <v>6757</v>
      </c>
      <c r="E2985" s="2" t="s">
        <v>4261</v>
      </c>
      <c r="F2985" s="2" t="s">
        <v>6003</v>
      </c>
      <c r="G2985" s="2"/>
    </row>
    <row r="2986" customFormat="false" ht="15" hidden="false" customHeight="false" outlineLevel="0" collapsed="false">
      <c r="A2986" s="2" t="s">
        <v>3284</v>
      </c>
      <c r="B2986" s="2" t="s">
        <v>3285</v>
      </c>
      <c r="C2986" s="2" t="s">
        <v>190</v>
      </c>
      <c r="D2986" s="2" t="s">
        <v>6758</v>
      </c>
      <c r="E2986" s="2" t="s">
        <v>4261</v>
      </c>
      <c r="F2986" s="2" t="s">
        <v>6003</v>
      </c>
      <c r="G2986" s="2"/>
    </row>
    <row r="2987" customFormat="false" ht="15" hidden="false" customHeight="false" outlineLevel="0" collapsed="false">
      <c r="A2987" s="2" t="s">
        <v>3284</v>
      </c>
      <c r="B2987" s="2" t="s">
        <v>3285</v>
      </c>
      <c r="C2987" s="2" t="s">
        <v>190</v>
      </c>
      <c r="D2987" s="2" t="s">
        <v>6759</v>
      </c>
      <c r="E2987" s="2" t="s">
        <v>4261</v>
      </c>
      <c r="F2987" s="2" t="s">
        <v>6003</v>
      </c>
      <c r="G2987" s="2"/>
    </row>
    <row r="2988" customFormat="false" ht="15" hidden="false" customHeight="false" outlineLevel="0" collapsed="false">
      <c r="A2988" s="2" t="s">
        <v>3284</v>
      </c>
      <c r="B2988" s="2" t="s">
        <v>3285</v>
      </c>
      <c r="C2988" s="2" t="s">
        <v>190</v>
      </c>
      <c r="D2988" s="2" t="s">
        <v>6760</v>
      </c>
      <c r="E2988" s="2" t="s">
        <v>4261</v>
      </c>
      <c r="F2988" s="2" t="s">
        <v>6003</v>
      </c>
      <c r="G2988" s="2"/>
    </row>
    <row r="2989" customFormat="false" ht="15" hidden="false" customHeight="false" outlineLevel="0" collapsed="false">
      <c r="A2989" s="2" t="s">
        <v>3284</v>
      </c>
      <c r="B2989" s="2" t="s">
        <v>3285</v>
      </c>
      <c r="C2989" s="2" t="s">
        <v>190</v>
      </c>
      <c r="D2989" s="2" t="s">
        <v>6761</v>
      </c>
      <c r="E2989" s="2" t="s">
        <v>4261</v>
      </c>
      <c r="F2989" s="2" t="s">
        <v>6003</v>
      </c>
      <c r="G2989" s="2"/>
    </row>
    <row r="2990" customFormat="false" ht="15" hidden="false" customHeight="false" outlineLevel="0" collapsed="false">
      <c r="A2990" s="2" t="s">
        <v>3284</v>
      </c>
      <c r="B2990" s="2" t="s">
        <v>3285</v>
      </c>
      <c r="C2990" s="2" t="s">
        <v>190</v>
      </c>
      <c r="D2990" s="2" t="s">
        <v>6762</v>
      </c>
      <c r="E2990" s="2" t="s">
        <v>4261</v>
      </c>
      <c r="F2990" s="2" t="s">
        <v>6003</v>
      </c>
      <c r="G2990" s="2"/>
    </row>
    <row r="2991" customFormat="false" ht="15" hidden="false" customHeight="false" outlineLevel="0" collapsed="false">
      <c r="A2991" s="2" t="s">
        <v>3284</v>
      </c>
      <c r="B2991" s="2" t="s">
        <v>3285</v>
      </c>
      <c r="C2991" s="2" t="s">
        <v>190</v>
      </c>
      <c r="D2991" s="2" t="s">
        <v>6763</v>
      </c>
      <c r="E2991" s="2" t="s">
        <v>4261</v>
      </c>
      <c r="F2991" s="2" t="s">
        <v>6003</v>
      </c>
      <c r="G2991" s="2"/>
    </row>
    <row r="2992" customFormat="false" ht="15" hidden="false" customHeight="false" outlineLevel="0" collapsed="false">
      <c r="A2992" s="2" t="s">
        <v>3301</v>
      </c>
      <c r="B2992" s="2" t="s">
        <v>3302</v>
      </c>
      <c r="C2992" s="2" t="s">
        <v>1595</v>
      </c>
      <c r="D2992" s="2" t="s">
        <v>3303</v>
      </c>
      <c r="E2992" s="2" t="s">
        <v>4261</v>
      </c>
      <c r="F2992" s="2" t="s">
        <v>6003</v>
      </c>
      <c r="G2992" s="2"/>
    </row>
    <row r="2993" customFormat="false" ht="15" hidden="false" customHeight="false" outlineLevel="0" collapsed="false">
      <c r="A2993" s="2" t="s">
        <v>3323</v>
      </c>
      <c r="B2993" s="2" t="s">
        <v>1595</v>
      </c>
      <c r="C2993" s="2" t="s">
        <v>1595</v>
      </c>
      <c r="D2993" s="2" t="s">
        <v>3324</v>
      </c>
      <c r="E2993" s="2" t="s">
        <v>4261</v>
      </c>
      <c r="F2993" s="2" t="s">
        <v>6003</v>
      </c>
      <c r="G2993" s="2"/>
    </row>
    <row r="2994" customFormat="false" ht="15" hidden="false" customHeight="false" outlineLevel="0" collapsed="false">
      <c r="A2994" s="2" t="s">
        <v>3344</v>
      </c>
      <c r="B2994" s="2" t="s">
        <v>3345</v>
      </c>
      <c r="C2994" s="2" t="s">
        <v>1595</v>
      </c>
      <c r="D2994" s="2" t="s">
        <v>6764</v>
      </c>
      <c r="E2994" s="2" t="s">
        <v>4261</v>
      </c>
      <c r="F2994" s="2" t="s">
        <v>6003</v>
      </c>
      <c r="G2994" s="2"/>
    </row>
    <row r="2995" customFormat="false" ht="15" hidden="false" customHeight="false" outlineLevel="0" collapsed="false">
      <c r="A2995" s="2" t="s">
        <v>3344</v>
      </c>
      <c r="B2995" s="2" t="s">
        <v>3345</v>
      </c>
      <c r="C2995" s="2" t="s">
        <v>1595</v>
      </c>
      <c r="D2995" s="2" t="s">
        <v>6765</v>
      </c>
      <c r="E2995" s="2" t="s">
        <v>4261</v>
      </c>
      <c r="F2995" s="2" t="s">
        <v>6003</v>
      </c>
      <c r="G2995" s="2"/>
    </row>
    <row r="2996" customFormat="false" ht="15" hidden="false" customHeight="false" outlineLevel="0" collapsed="false">
      <c r="A2996" s="2" t="s">
        <v>3344</v>
      </c>
      <c r="B2996" s="2" t="s">
        <v>3345</v>
      </c>
      <c r="C2996" s="2" t="s">
        <v>1595</v>
      </c>
      <c r="D2996" s="2" t="s">
        <v>6766</v>
      </c>
      <c r="E2996" s="2" t="s">
        <v>4261</v>
      </c>
      <c r="F2996" s="2" t="s">
        <v>6003</v>
      </c>
      <c r="G2996" s="2"/>
    </row>
    <row r="2997" customFormat="false" ht="15" hidden="false" customHeight="false" outlineLevel="0" collapsed="false">
      <c r="A2997" s="2" t="s">
        <v>3344</v>
      </c>
      <c r="B2997" s="2" t="s">
        <v>3345</v>
      </c>
      <c r="C2997" s="2" t="s">
        <v>1595</v>
      </c>
      <c r="D2997" s="2" t="s">
        <v>4729</v>
      </c>
      <c r="E2997" s="2" t="s">
        <v>4261</v>
      </c>
      <c r="F2997" s="2" t="s">
        <v>6003</v>
      </c>
      <c r="G2997" s="2"/>
    </row>
    <row r="2998" customFormat="false" ht="15" hidden="false" customHeight="false" outlineLevel="0" collapsed="false">
      <c r="A2998" s="2" t="s">
        <v>3344</v>
      </c>
      <c r="B2998" s="2" t="s">
        <v>3345</v>
      </c>
      <c r="C2998" s="2" t="s">
        <v>1595</v>
      </c>
      <c r="D2998" s="2" t="s">
        <v>6767</v>
      </c>
      <c r="E2998" s="2" t="s">
        <v>4261</v>
      </c>
      <c r="F2998" s="2" t="s">
        <v>6003</v>
      </c>
      <c r="G2998" s="2"/>
    </row>
    <row r="2999" customFormat="false" ht="15" hidden="false" customHeight="false" outlineLevel="0" collapsed="false">
      <c r="A2999" s="2" t="s">
        <v>3344</v>
      </c>
      <c r="B2999" s="2" t="s">
        <v>3345</v>
      </c>
      <c r="C2999" s="2" t="s">
        <v>1595</v>
      </c>
      <c r="D2999" s="2" t="s">
        <v>6768</v>
      </c>
      <c r="E2999" s="2" t="s">
        <v>4261</v>
      </c>
      <c r="F2999" s="2" t="s">
        <v>6003</v>
      </c>
      <c r="G2999" s="2"/>
    </row>
    <row r="3000" customFormat="false" ht="15" hidden="false" customHeight="false" outlineLevel="0" collapsed="false">
      <c r="A3000" s="2" t="s">
        <v>3344</v>
      </c>
      <c r="B3000" s="2" t="s">
        <v>3345</v>
      </c>
      <c r="C3000" s="2" t="s">
        <v>1595</v>
      </c>
      <c r="D3000" s="2" t="s">
        <v>6769</v>
      </c>
      <c r="E3000" s="2" t="s">
        <v>4261</v>
      </c>
      <c r="F3000" s="2" t="s">
        <v>6003</v>
      </c>
      <c r="G3000" s="2"/>
    </row>
    <row r="3001" customFormat="false" ht="15" hidden="false" customHeight="false" outlineLevel="0" collapsed="false">
      <c r="A3001" s="2" t="s">
        <v>3344</v>
      </c>
      <c r="B3001" s="2" t="s">
        <v>3345</v>
      </c>
      <c r="C3001" s="2" t="s">
        <v>1595</v>
      </c>
      <c r="D3001" s="2" t="s">
        <v>6770</v>
      </c>
      <c r="E3001" s="2" t="s">
        <v>4261</v>
      </c>
      <c r="F3001" s="2" t="s">
        <v>6003</v>
      </c>
      <c r="G3001" s="2"/>
    </row>
    <row r="3002" customFormat="false" ht="15" hidden="false" customHeight="false" outlineLevel="0" collapsed="false">
      <c r="A3002" s="2" t="s">
        <v>3344</v>
      </c>
      <c r="B3002" s="2" t="s">
        <v>3345</v>
      </c>
      <c r="C3002" s="2" t="s">
        <v>1595</v>
      </c>
      <c r="D3002" s="2" t="s">
        <v>6771</v>
      </c>
      <c r="E3002" s="2" t="s">
        <v>4261</v>
      </c>
      <c r="F3002" s="2" t="s">
        <v>6003</v>
      </c>
      <c r="G3002" s="2"/>
    </row>
    <row r="3003" customFormat="false" ht="15" hidden="false" customHeight="false" outlineLevel="0" collapsed="false">
      <c r="A3003" s="2" t="s">
        <v>3344</v>
      </c>
      <c r="B3003" s="2" t="s">
        <v>3345</v>
      </c>
      <c r="C3003" s="2" t="s">
        <v>1595</v>
      </c>
      <c r="D3003" s="2" t="s">
        <v>6772</v>
      </c>
      <c r="E3003" s="2" t="s">
        <v>4261</v>
      </c>
      <c r="F3003" s="2" t="s">
        <v>6003</v>
      </c>
      <c r="G3003" s="2"/>
    </row>
    <row r="3004" customFormat="false" ht="15" hidden="false" customHeight="false" outlineLevel="0" collapsed="false">
      <c r="A3004" s="2" t="s">
        <v>3344</v>
      </c>
      <c r="B3004" s="2" t="s">
        <v>3345</v>
      </c>
      <c r="C3004" s="2" t="s">
        <v>1595</v>
      </c>
      <c r="D3004" s="2" t="s">
        <v>6773</v>
      </c>
      <c r="E3004" s="2" t="s">
        <v>4261</v>
      </c>
      <c r="F3004" s="2" t="s">
        <v>6003</v>
      </c>
      <c r="G3004" s="2"/>
    </row>
    <row r="3005" customFormat="false" ht="15" hidden="false" customHeight="false" outlineLevel="0" collapsed="false">
      <c r="A3005" s="2" t="s">
        <v>3344</v>
      </c>
      <c r="B3005" s="2" t="s">
        <v>3345</v>
      </c>
      <c r="C3005" s="2" t="s">
        <v>1595</v>
      </c>
      <c r="D3005" s="2" t="s">
        <v>6774</v>
      </c>
      <c r="E3005" s="2" t="s">
        <v>4261</v>
      </c>
      <c r="F3005" s="2" t="s">
        <v>6003</v>
      </c>
      <c r="G3005" s="2"/>
    </row>
    <row r="3006" customFormat="false" ht="15" hidden="false" customHeight="false" outlineLevel="0" collapsed="false">
      <c r="A3006" s="2" t="s">
        <v>3344</v>
      </c>
      <c r="B3006" s="2" t="s">
        <v>3345</v>
      </c>
      <c r="C3006" s="2" t="s">
        <v>1595</v>
      </c>
      <c r="D3006" s="2" t="s">
        <v>6775</v>
      </c>
      <c r="E3006" s="2" t="s">
        <v>4261</v>
      </c>
      <c r="F3006" s="2" t="s">
        <v>6003</v>
      </c>
      <c r="G3006" s="2"/>
    </row>
    <row r="3007" customFormat="false" ht="15" hidden="false" customHeight="false" outlineLevel="0" collapsed="false">
      <c r="A3007" s="2" t="s">
        <v>3344</v>
      </c>
      <c r="B3007" s="2" t="s">
        <v>3345</v>
      </c>
      <c r="C3007" s="2" t="s">
        <v>1595</v>
      </c>
      <c r="D3007" s="2" t="s">
        <v>6776</v>
      </c>
      <c r="E3007" s="2" t="s">
        <v>4261</v>
      </c>
      <c r="F3007" s="2" t="s">
        <v>6003</v>
      </c>
      <c r="G3007" s="2"/>
    </row>
    <row r="3008" customFormat="false" ht="15" hidden="false" customHeight="false" outlineLevel="0" collapsed="false">
      <c r="A3008" s="2" t="s">
        <v>3344</v>
      </c>
      <c r="B3008" s="2" t="s">
        <v>3345</v>
      </c>
      <c r="C3008" s="2" t="s">
        <v>1595</v>
      </c>
      <c r="D3008" s="2" t="s">
        <v>6777</v>
      </c>
      <c r="E3008" s="2" t="s">
        <v>4261</v>
      </c>
      <c r="F3008" s="2" t="s">
        <v>6003</v>
      </c>
      <c r="G3008" s="2"/>
    </row>
    <row r="3009" customFormat="false" ht="15" hidden="false" customHeight="false" outlineLevel="0" collapsed="false">
      <c r="A3009" s="2" t="s">
        <v>3344</v>
      </c>
      <c r="B3009" s="2" t="s">
        <v>3345</v>
      </c>
      <c r="C3009" s="2" t="s">
        <v>1595</v>
      </c>
      <c r="D3009" s="2" t="s">
        <v>2776</v>
      </c>
      <c r="E3009" s="2" t="s">
        <v>4261</v>
      </c>
      <c r="F3009" s="2" t="s">
        <v>6003</v>
      </c>
      <c r="G3009" s="2"/>
    </row>
    <row r="3010" customFormat="false" ht="15" hidden="false" customHeight="false" outlineLevel="0" collapsed="false">
      <c r="A3010" s="2" t="s">
        <v>3351</v>
      </c>
      <c r="B3010" s="2" t="s">
        <v>3352</v>
      </c>
      <c r="C3010" s="2" t="s">
        <v>1595</v>
      </c>
      <c r="D3010" s="2" t="s">
        <v>3522</v>
      </c>
      <c r="E3010" s="2" t="s">
        <v>4261</v>
      </c>
      <c r="F3010" s="2" t="s">
        <v>6003</v>
      </c>
      <c r="G3010" s="2"/>
    </row>
    <row r="3011" customFormat="false" ht="15" hidden="false" customHeight="false" outlineLevel="0" collapsed="false">
      <c r="A3011" s="2" t="s">
        <v>3351</v>
      </c>
      <c r="B3011" s="2" t="s">
        <v>3352</v>
      </c>
      <c r="C3011" s="2" t="s">
        <v>1595</v>
      </c>
      <c r="D3011" s="2" t="s">
        <v>6778</v>
      </c>
      <c r="E3011" s="2" t="s">
        <v>4261</v>
      </c>
      <c r="F3011" s="2" t="s">
        <v>6003</v>
      </c>
      <c r="G3011" s="2"/>
    </row>
    <row r="3012" customFormat="false" ht="15" hidden="false" customHeight="false" outlineLevel="0" collapsed="false">
      <c r="A3012" s="2" t="s">
        <v>3351</v>
      </c>
      <c r="B3012" s="2" t="s">
        <v>3352</v>
      </c>
      <c r="C3012" s="2" t="s">
        <v>1595</v>
      </c>
      <c r="D3012" s="2" t="s">
        <v>6779</v>
      </c>
      <c r="E3012" s="2" t="s">
        <v>4261</v>
      </c>
      <c r="F3012" s="2" t="s">
        <v>6003</v>
      </c>
      <c r="G3012" s="2"/>
    </row>
    <row r="3013" customFormat="false" ht="15" hidden="false" customHeight="false" outlineLevel="0" collapsed="false">
      <c r="A3013" s="2" t="s">
        <v>3359</v>
      </c>
      <c r="B3013" s="2" t="s">
        <v>3360</v>
      </c>
      <c r="C3013" s="2" t="s">
        <v>1740</v>
      </c>
      <c r="D3013" s="2" t="s">
        <v>6780</v>
      </c>
      <c r="E3013" s="2" t="s">
        <v>4261</v>
      </c>
      <c r="F3013" s="2" t="s">
        <v>6003</v>
      </c>
      <c r="G3013" s="2"/>
    </row>
    <row r="3014" customFormat="false" ht="15" hidden="false" customHeight="false" outlineLevel="0" collapsed="false">
      <c r="A3014" s="2" t="s">
        <v>3359</v>
      </c>
      <c r="B3014" s="2" t="s">
        <v>3360</v>
      </c>
      <c r="C3014" s="2" t="s">
        <v>1740</v>
      </c>
      <c r="D3014" s="2" t="s">
        <v>6781</v>
      </c>
      <c r="E3014" s="2" t="s">
        <v>4264</v>
      </c>
      <c r="F3014" s="2" t="s">
        <v>6003</v>
      </c>
      <c r="G3014" s="2"/>
    </row>
    <row r="3015" customFormat="false" ht="15" hidden="false" customHeight="false" outlineLevel="0" collapsed="false">
      <c r="A3015" s="2" t="s">
        <v>3359</v>
      </c>
      <c r="B3015" s="2" t="s">
        <v>3360</v>
      </c>
      <c r="C3015" s="2" t="s">
        <v>1740</v>
      </c>
      <c r="D3015" s="2" t="s">
        <v>1263</v>
      </c>
      <c r="E3015" s="2" t="s">
        <v>4261</v>
      </c>
      <c r="F3015" s="2" t="s">
        <v>6003</v>
      </c>
      <c r="G3015" s="2"/>
    </row>
    <row r="3016" customFormat="false" ht="15" hidden="false" customHeight="false" outlineLevel="0" collapsed="false">
      <c r="A3016" s="2" t="s">
        <v>3359</v>
      </c>
      <c r="B3016" s="2" t="s">
        <v>3360</v>
      </c>
      <c r="C3016" s="2" t="s">
        <v>1740</v>
      </c>
      <c r="D3016" s="2" t="s">
        <v>6782</v>
      </c>
      <c r="E3016" s="2" t="s">
        <v>4261</v>
      </c>
      <c r="F3016" s="2" t="s">
        <v>6003</v>
      </c>
      <c r="G3016" s="2"/>
    </row>
    <row r="3017" customFormat="false" ht="15" hidden="false" customHeight="false" outlineLevel="0" collapsed="false">
      <c r="A3017" s="2" t="s">
        <v>3362</v>
      </c>
      <c r="B3017" s="2" t="s">
        <v>3360</v>
      </c>
      <c r="C3017" s="2" t="s">
        <v>1740</v>
      </c>
      <c r="D3017" s="2" t="s">
        <v>6783</v>
      </c>
      <c r="E3017" s="2" t="s">
        <v>4261</v>
      </c>
      <c r="F3017" s="2" t="s">
        <v>6003</v>
      </c>
      <c r="G3017" s="2"/>
    </row>
    <row r="3018" customFormat="false" ht="15" hidden="false" customHeight="false" outlineLevel="0" collapsed="false">
      <c r="A3018" s="2" t="s">
        <v>3362</v>
      </c>
      <c r="B3018" s="2" t="s">
        <v>3360</v>
      </c>
      <c r="C3018" s="2" t="s">
        <v>1740</v>
      </c>
      <c r="D3018" s="2" t="s">
        <v>240</v>
      </c>
      <c r="E3018" s="2" t="s">
        <v>4261</v>
      </c>
      <c r="F3018" s="2" t="s">
        <v>6003</v>
      </c>
      <c r="G3018" s="2"/>
    </row>
    <row r="3019" customFormat="false" ht="15" hidden="false" customHeight="false" outlineLevel="0" collapsed="false">
      <c r="A3019" s="2" t="s">
        <v>3362</v>
      </c>
      <c r="B3019" s="2" t="s">
        <v>3360</v>
      </c>
      <c r="C3019" s="2" t="s">
        <v>1740</v>
      </c>
      <c r="D3019" s="2" t="s">
        <v>6784</v>
      </c>
      <c r="E3019" s="2" t="s">
        <v>4261</v>
      </c>
      <c r="F3019" s="2" t="s">
        <v>6003</v>
      </c>
      <c r="G3019" s="2"/>
    </row>
    <row r="3020" customFormat="false" ht="15" hidden="false" customHeight="false" outlineLevel="0" collapsed="false">
      <c r="A3020" s="2" t="s">
        <v>3362</v>
      </c>
      <c r="B3020" s="2" t="s">
        <v>3360</v>
      </c>
      <c r="C3020" s="2" t="s">
        <v>1740</v>
      </c>
      <c r="D3020" s="2" t="s">
        <v>5948</v>
      </c>
      <c r="E3020" s="2" t="s">
        <v>4261</v>
      </c>
      <c r="F3020" s="2" t="s">
        <v>6003</v>
      </c>
      <c r="G3020" s="2"/>
    </row>
    <row r="3021" customFormat="false" ht="15" hidden="false" customHeight="false" outlineLevel="0" collapsed="false">
      <c r="A3021" s="2" t="s">
        <v>3423</v>
      </c>
      <c r="B3021" s="2" t="s">
        <v>3424</v>
      </c>
      <c r="C3021" s="2" t="s">
        <v>1740</v>
      </c>
      <c r="D3021" s="2" t="s">
        <v>6785</v>
      </c>
      <c r="E3021" s="2" t="s">
        <v>4264</v>
      </c>
      <c r="F3021" s="2" t="s">
        <v>6003</v>
      </c>
      <c r="G3021" s="2"/>
    </row>
    <row r="3022" customFormat="false" ht="15" hidden="false" customHeight="false" outlineLevel="0" collapsed="false">
      <c r="A3022" s="2" t="s">
        <v>3423</v>
      </c>
      <c r="B3022" s="2" t="s">
        <v>3424</v>
      </c>
      <c r="C3022" s="2" t="s">
        <v>1740</v>
      </c>
      <c r="D3022" s="2" t="s">
        <v>6786</v>
      </c>
      <c r="E3022" s="2" t="s">
        <v>4264</v>
      </c>
      <c r="F3022" s="2" t="s">
        <v>6003</v>
      </c>
      <c r="G3022" s="2"/>
    </row>
    <row r="3023" customFormat="false" ht="15" hidden="false" customHeight="false" outlineLevel="0" collapsed="false">
      <c r="A3023" s="2" t="s">
        <v>3462</v>
      </c>
      <c r="B3023" s="2" t="s">
        <v>3463</v>
      </c>
      <c r="C3023" s="2" t="s">
        <v>1595</v>
      </c>
      <c r="D3023" s="2" t="s">
        <v>3464</v>
      </c>
      <c r="E3023" s="2" t="s">
        <v>4261</v>
      </c>
      <c r="F3023" s="2"/>
      <c r="G3023" s="2"/>
    </row>
    <row r="3024" customFormat="false" ht="15" hidden="false" customHeight="false" outlineLevel="0" collapsed="false">
      <c r="A3024" s="2" t="s">
        <v>3488</v>
      </c>
      <c r="B3024" s="2" t="s">
        <v>3489</v>
      </c>
      <c r="C3024" s="2" t="s">
        <v>976</v>
      </c>
      <c r="D3024" s="2" t="s">
        <v>3489</v>
      </c>
      <c r="E3024" s="2" t="s">
        <v>4271</v>
      </c>
      <c r="F3024" s="2" t="s">
        <v>6003</v>
      </c>
      <c r="G3024" s="2"/>
    </row>
    <row r="3025" customFormat="false" ht="15" hidden="false" customHeight="false" outlineLevel="0" collapsed="false">
      <c r="A3025" s="2" t="s">
        <v>3500</v>
      </c>
      <c r="B3025" s="2" t="s">
        <v>3501</v>
      </c>
      <c r="C3025" s="2" t="s">
        <v>1800</v>
      </c>
      <c r="D3025" s="2" t="s">
        <v>6787</v>
      </c>
      <c r="E3025" s="2" t="s">
        <v>4264</v>
      </c>
      <c r="F3025" s="2" t="s">
        <v>6003</v>
      </c>
      <c r="G3025" s="2"/>
    </row>
    <row r="3026" customFormat="false" ht="15" hidden="false" customHeight="false" outlineLevel="0" collapsed="false">
      <c r="A3026" s="2" t="s">
        <v>3500</v>
      </c>
      <c r="B3026" s="2" t="s">
        <v>3501</v>
      </c>
      <c r="C3026" s="2" t="s">
        <v>1800</v>
      </c>
      <c r="D3026" s="2" t="s">
        <v>6788</v>
      </c>
      <c r="E3026" s="2" t="s">
        <v>4264</v>
      </c>
      <c r="F3026" s="2" t="s">
        <v>6003</v>
      </c>
      <c r="G3026" s="2"/>
    </row>
    <row r="3027" customFormat="false" ht="15" hidden="false" customHeight="false" outlineLevel="0" collapsed="false">
      <c r="A3027" s="2" t="s">
        <v>3500</v>
      </c>
      <c r="B3027" s="2" t="s">
        <v>3501</v>
      </c>
      <c r="C3027" s="2" t="s">
        <v>1800</v>
      </c>
      <c r="D3027" s="2" t="s">
        <v>6789</v>
      </c>
      <c r="E3027" s="2" t="s">
        <v>4264</v>
      </c>
      <c r="F3027" s="2" t="s">
        <v>6003</v>
      </c>
      <c r="G3027" s="2"/>
    </row>
    <row r="3028" customFormat="false" ht="15" hidden="false" customHeight="false" outlineLevel="0" collapsed="false">
      <c r="A3028" s="2" t="s">
        <v>3503</v>
      </c>
      <c r="B3028" s="2" t="s">
        <v>3501</v>
      </c>
      <c r="C3028" s="2" t="s">
        <v>1800</v>
      </c>
      <c r="D3028" s="2" t="s">
        <v>3504</v>
      </c>
      <c r="E3028" s="2" t="s">
        <v>4264</v>
      </c>
      <c r="F3028" s="2" t="s">
        <v>6003</v>
      </c>
      <c r="G3028" s="2"/>
    </row>
    <row r="3029" customFormat="false" ht="15" hidden="false" customHeight="false" outlineLevel="0" collapsed="false">
      <c r="A3029" s="2" t="s">
        <v>3505</v>
      </c>
      <c r="B3029" s="2" t="s">
        <v>1207</v>
      </c>
      <c r="C3029" s="2" t="s">
        <v>1207</v>
      </c>
      <c r="D3029" s="2" t="s">
        <v>2966</v>
      </c>
      <c r="E3029" s="2" t="s">
        <v>4261</v>
      </c>
      <c r="F3029" s="2" t="s">
        <v>6003</v>
      </c>
      <c r="G3029" s="2"/>
    </row>
    <row r="3030" customFormat="false" ht="15" hidden="false" customHeight="false" outlineLevel="0" collapsed="false">
      <c r="A3030" s="2" t="s">
        <v>3521</v>
      </c>
      <c r="B3030" s="2" t="s">
        <v>3522</v>
      </c>
      <c r="C3030" s="2" t="s">
        <v>976</v>
      </c>
      <c r="D3030" s="2" t="s">
        <v>3522</v>
      </c>
      <c r="E3030" s="2" t="s">
        <v>4271</v>
      </c>
      <c r="F3030" s="2" t="s">
        <v>6003</v>
      </c>
      <c r="G3030" s="2"/>
    </row>
    <row r="3031" customFormat="false" ht="15" hidden="false" customHeight="false" outlineLevel="0" collapsed="false">
      <c r="A3031" s="2" t="s">
        <v>3526</v>
      </c>
      <c r="B3031" s="2" t="s">
        <v>3527</v>
      </c>
      <c r="C3031" s="2" t="s">
        <v>976</v>
      </c>
      <c r="D3031" s="2" t="s">
        <v>6790</v>
      </c>
      <c r="E3031" s="2" t="s">
        <v>4261</v>
      </c>
      <c r="F3031" s="2" t="s">
        <v>6003</v>
      </c>
      <c r="G3031" s="2"/>
    </row>
    <row r="3032" customFormat="false" ht="15" hidden="false" customHeight="false" outlineLevel="0" collapsed="false">
      <c r="A3032" s="2" t="s">
        <v>3526</v>
      </c>
      <c r="B3032" s="2" t="s">
        <v>3527</v>
      </c>
      <c r="C3032" s="2" t="s">
        <v>976</v>
      </c>
      <c r="D3032" s="2" t="s">
        <v>6791</v>
      </c>
      <c r="E3032" s="2" t="s">
        <v>4261</v>
      </c>
      <c r="F3032" s="2" t="s">
        <v>6003</v>
      </c>
      <c r="G3032" s="2"/>
    </row>
    <row r="3033" customFormat="false" ht="15" hidden="false" customHeight="false" outlineLevel="0" collapsed="false">
      <c r="A3033" s="2" t="s">
        <v>3526</v>
      </c>
      <c r="B3033" s="2" t="s">
        <v>3527</v>
      </c>
      <c r="C3033" s="2" t="s">
        <v>976</v>
      </c>
      <c r="D3033" s="2" t="s">
        <v>6792</v>
      </c>
      <c r="E3033" s="2" t="s">
        <v>4261</v>
      </c>
      <c r="F3033" s="2" t="s">
        <v>6003</v>
      </c>
      <c r="G3033" s="2"/>
    </row>
    <row r="3034" customFormat="false" ht="15" hidden="false" customHeight="false" outlineLevel="0" collapsed="false">
      <c r="A3034" s="2" t="s">
        <v>3526</v>
      </c>
      <c r="B3034" s="2" t="s">
        <v>3527</v>
      </c>
      <c r="C3034" s="2" t="s">
        <v>976</v>
      </c>
      <c r="D3034" s="2" t="s">
        <v>6793</v>
      </c>
      <c r="E3034" s="2" t="s">
        <v>4261</v>
      </c>
      <c r="F3034" s="2" t="s">
        <v>6003</v>
      </c>
      <c r="G3034" s="2"/>
    </row>
    <row r="3035" customFormat="false" ht="15" hidden="false" customHeight="false" outlineLevel="0" collapsed="false">
      <c r="A3035" s="2" t="s">
        <v>3526</v>
      </c>
      <c r="B3035" s="2" t="s">
        <v>3527</v>
      </c>
      <c r="C3035" s="2" t="s">
        <v>976</v>
      </c>
      <c r="D3035" s="2" t="s">
        <v>6794</v>
      </c>
      <c r="E3035" s="2" t="s">
        <v>4261</v>
      </c>
      <c r="F3035" s="2" t="s">
        <v>6003</v>
      </c>
      <c r="G3035" s="2"/>
    </row>
    <row r="3036" customFormat="false" ht="15" hidden="false" customHeight="false" outlineLevel="0" collapsed="false">
      <c r="A3036" s="2" t="s">
        <v>3526</v>
      </c>
      <c r="B3036" s="2" t="s">
        <v>3527</v>
      </c>
      <c r="C3036" s="2" t="s">
        <v>976</v>
      </c>
      <c r="D3036" s="2" t="s">
        <v>6795</v>
      </c>
      <c r="E3036" s="2" t="s">
        <v>4261</v>
      </c>
      <c r="F3036" s="2" t="s">
        <v>6003</v>
      </c>
      <c r="G3036" s="2"/>
    </row>
    <row r="3037" customFormat="false" ht="15" hidden="false" customHeight="false" outlineLevel="0" collapsed="false">
      <c r="A3037" s="2" t="s">
        <v>3526</v>
      </c>
      <c r="B3037" s="2" t="s">
        <v>3527</v>
      </c>
      <c r="C3037" s="2" t="s">
        <v>976</v>
      </c>
      <c r="D3037" s="2" t="s">
        <v>6796</v>
      </c>
      <c r="E3037" s="2" t="s">
        <v>4261</v>
      </c>
      <c r="F3037" s="2" t="s">
        <v>6003</v>
      </c>
      <c r="G3037" s="2"/>
    </row>
    <row r="3038" customFormat="false" ht="15" hidden="false" customHeight="false" outlineLevel="0" collapsed="false">
      <c r="A3038" s="2" t="s">
        <v>3526</v>
      </c>
      <c r="B3038" s="2" t="s">
        <v>3527</v>
      </c>
      <c r="C3038" s="2" t="s">
        <v>976</v>
      </c>
      <c r="D3038" s="2" t="s">
        <v>6797</v>
      </c>
      <c r="E3038" s="2" t="s">
        <v>4261</v>
      </c>
      <c r="F3038" s="2" t="s">
        <v>6003</v>
      </c>
      <c r="G3038" s="2"/>
    </row>
    <row r="3039" customFormat="false" ht="15" hidden="false" customHeight="false" outlineLevel="0" collapsed="false">
      <c r="A3039" s="2" t="s">
        <v>3526</v>
      </c>
      <c r="B3039" s="2" t="s">
        <v>3527</v>
      </c>
      <c r="C3039" s="2" t="s">
        <v>976</v>
      </c>
      <c r="D3039" s="2" t="s">
        <v>6798</v>
      </c>
      <c r="E3039" s="2" t="s">
        <v>4271</v>
      </c>
      <c r="F3039" s="2" t="s">
        <v>6003</v>
      </c>
      <c r="G3039" s="2"/>
    </row>
    <row r="3040" customFormat="false" ht="15" hidden="false" customHeight="false" outlineLevel="0" collapsed="false">
      <c r="A3040" s="2" t="s">
        <v>3526</v>
      </c>
      <c r="B3040" s="2" t="s">
        <v>3527</v>
      </c>
      <c r="C3040" s="2" t="s">
        <v>976</v>
      </c>
      <c r="D3040" s="2" t="s">
        <v>6799</v>
      </c>
      <c r="E3040" s="2" t="s">
        <v>4261</v>
      </c>
      <c r="F3040" s="2" t="s">
        <v>6003</v>
      </c>
      <c r="G3040" s="2"/>
    </row>
    <row r="3041" customFormat="false" ht="15" hidden="false" customHeight="false" outlineLevel="0" collapsed="false">
      <c r="A3041" s="2" t="s">
        <v>3526</v>
      </c>
      <c r="B3041" s="2" t="s">
        <v>3527</v>
      </c>
      <c r="C3041" s="2" t="s">
        <v>976</v>
      </c>
      <c r="D3041" s="2" t="s">
        <v>3224</v>
      </c>
      <c r="E3041" s="2" t="s">
        <v>4261</v>
      </c>
      <c r="F3041" s="2" t="s">
        <v>6003</v>
      </c>
      <c r="G3041" s="2"/>
    </row>
    <row r="3042" customFormat="false" ht="15" hidden="false" customHeight="false" outlineLevel="0" collapsed="false">
      <c r="A3042" s="2" t="s">
        <v>3529</v>
      </c>
      <c r="B3042" s="2" t="s">
        <v>3530</v>
      </c>
      <c r="C3042" s="2" t="s">
        <v>50</v>
      </c>
      <c r="D3042" s="2" t="s">
        <v>3531</v>
      </c>
      <c r="E3042" s="2" t="s">
        <v>4261</v>
      </c>
      <c r="F3042" s="2" t="s">
        <v>6003</v>
      </c>
      <c r="G3042" s="2"/>
    </row>
    <row r="3043" customFormat="false" ht="15" hidden="false" customHeight="false" outlineLevel="0" collapsed="false">
      <c r="A3043" s="2" t="s">
        <v>3578</v>
      </c>
      <c r="B3043" s="2" t="s">
        <v>3579</v>
      </c>
      <c r="C3043" s="2" t="s">
        <v>976</v>
      </c>
      <c r="D3043" s="2" t="s">
        <v>3579</v>
      </c>
      <c r="E3043" s="2" t="s">
        <v>4271</v>
      </c>
      <c r="F3043" s="2" t="s">
        <v>6003</v>
      </c>
      <c r="G3043" s="2"/>
    </row>
    <row r="3044" customFormat="false" ht="15" hidden="false" customHeight="false" outlineLevel="0" collapsed="false">
      <c r="A3044" s="2" t="s">
        <v>3590</v>
      </c>
      <c r="B3044" s="2" t="s">
        <v>3591</v>
      </c>
      <c r="C3044" s="2" t="s">
        <v>1207</v>
      </c>
      <c r="D3044" s="2" t="s">
        <v>3592</v>
      </c>
      <c r="E3044" s="2" t="s">
        <v>4261</v>
      </c>
      <c r="F3044" s="2" t="s">
        <v>6003</v>
      </c>
      <c r="G3044" s="2"/>
    </row>
    <row r="3045" customFormat="false" ht="15" hidden="false" customHeight="false" outlineLevel="0" collapsed="false">
      <c r="A3045" s="2" t="s">
        <v>3595</v>
      </c>
      <c r="B3045" s="2" t="s">
        <v>3568</v>
      </c>
      <c r="C3045" s="2" t="s">
        <v>976</v>
      </c>
      <c r="D3045" s="2" t="s">
        <v>3596</v>
      </c>
      <c r="E3045" s="2" t="s">
        <v>4271</v>
      </c>
      <c r="F3045" s="2" t="s">
        <v>6003</v>
      </c>
      <c r="G3045" s="2"/>
    </row>
    <row r="3046" customFormat="false" ht="15" hidden="false" customHeight="false" outlineLevel="0" collapsed="false">
      <c r="A3046" s="2" t="s">
        <v>3628</v>
      </c>
      <c r="B3046" s="2" t="s">
        <v>3515</v>
      </c>
      <c r="C3046" s="2" t="s">
        <v>2922</v>
      </c>
      <c r="D3046" s="2" t="s">
        <v>6800</v>
      </c>
      <c r="E3046" s="2" t="s">
        <v>4261</v>
      </c>
      <c r="F3046" s="2" t="s">
        <v>6003</v>
      </c>
      <c r="G3046" s="2"/>
    </row>
    <row r="3047" customFormat="false" ht="15" hidden="false" customHeight="false" outlineLevel="0" collapsed="false">
      <c r="A3047" s="2" t="s">
        <v>3628</v>
      </c>
      <c r="B3047" s="2" t="s">
        <v>3515</v>
      </c>
      <c r="C3047" s="2" t="s">
        <v>2922</v>
      </c>
      <c r="D3047" s="2" t="s">
        <v>6801</v>
      </c>
      <c r="E3047" s="2" t="s">
        <v>4261</v>
      </c>
      <c r="F3047" s="2" t="s">
        <v>6003</v>
      </c>
      <c r="G3047" s="2"/>
    </row>
    <row r="3048" customFormat="false" ht="15" hidden="false" customHeight="false" outlineLevel="0" collapsed="false">
      <c r="A3048" s="2" t="s">
        <v>3652</v>
      </c>
      <c r="B3048" s="2" t="s">
        <v>3653</v>
      </c>
      <c r="C3048" s="2" t="s">
        <v>50</v>
      </c>
      <c r="D3048" s="2" t="s">
        <v>3654</v>
      </c>
      <c r="E3048" s="2" t="s">
        <v>4261</v>
      </c>
      <c r="F3048" s="2" t="s">
        <v>6003</v>
      </c>
      <c r="G3048" s="2"/>
    </row>
    <row r="3049" customFormat="false" ht="15" hidden="false" customHeight="false" outlineLevel="0" collapsed="false">
      <c r="A3049" s="2" t="s">
        <v>3660</v>
      </c>
      <c r="B3049" s="2" t="s">
        <v>3661</v>
      </c>
      <c r="C3049" s="2" t="s">
        <v>50</v>
      </c>
      <c r="D3049" s="2" t="s">
        <v>3662</v>
      </c>
      <c r="E3049" s="2" t="s">
        <v>4261</v>
      </c>
      <c r="F3049" s="2" t="s">
        <v>6003</v>
      </c>
      <c r="G3049" s="2"/>
    </row>
    <row r="3050" customFormat="false" ht="15" hidden="false" customHeight="false" outlineLevel="0" collapsed="false">
      <c r="A3050" s="2" t="s">
        <v>3667</v>
      </c>
      <c r="B3050" s="2" t="s">
        <v>3668</v>
      </c>
      <c r="C3050" s="2" t="s">
        <v>50</v>
      </c>
      <c r="D3050" s="2" t="s">
        <v>3669</v>
      </c>
      <c r="E3050" s="2" t="s">
        <v>4261</v>
      </c>
      <c r="F3050" s="2" t="s">
        <v>6003</v>
      </c>
      <c r="G3050" s="2"/>
    </row>
    <row r="3051" customFormat="false" ht="15" hidden="false" customHeight="false" outlineLevel="0" collapsed="false">
      <c r="A3051" s="2" t="s">
        <v>3674</v>
      </c>
      <c r="B3051" s="2" t="s">
        <v>3675</v>
      </c>
      <c r="C3051" s="2" t="s">
        <v>1207</v>
      </c>
      <c r="D3051" s="2" t="s">
        <v>3676</v>
      </c>
      <c r="E3051" s="2" t="s">
        <v>4261</v>
      </c>
      <c r="F3051" s="2" t="s">
        <v>6003</v>
      </c>
      <c r="G3051" s="2"/>
    </row>
    <row r="3052" customFormat="false" ht="15" hidden="false" customHeight="false" outlineLevel="0" collapsed="false">
      <c r="A3052" s="2" t="s">
        <v>3679</v>
      </c>
      <c r="B3052" s="2" t="s">
        <v>3680</v>
      </c>
      <c r="C3052" s="2" t="s">
        <v>1207</v>
      </c>
      <c r="D3052" s="2" t="s">
        <v>6802</v>
      </c>
      <c r="E3052" s="2" t="s">
        <v>4261</v>
      </c>
      <c r="F3052" s="2" t="s">
        <v>6003</v>
      </c>
      <c r="G3052" s="2"/>
    </row>
    <row r="3053" customFormat="false" ht="15" hidden="false" customHeight="false" outlineLevel="0" collapsed="false">
      <c r="A3053" s="2" t="s">
        <v>3679</v>
      </c>
      <c r="B3053" s="2" t="s">
        <v>3680</v>
      </c>
      <c r="C3053" s="2" t="s">
        <v>1207</v>
      </c>
      <c r="D3053" s="2" t="s">
        <v>6803</v>
      </c>
      <c r="E3053" s="2" t="s">
        <v>4261</v>
      </c>
      <c r="F3053" s="2" t="s">
        <v>6003</v>
      </c>
      <c r="G3053" s="2"/>
    </row>
    <row r="3054" customFormat="false" ht="15" hidden="false" customHeight="false" outlineLevel="0" collapsed="false">
      <c r="A3054" s="2" t="s">
        <v>3682</v>
      </c>
      <c r="B3054" s="2" t="s">
        <v>3683</v>
      </c>
      <c r="C3054" s="2" t="s">
        <v>1207</v>
      </c>
      <c r="D3054" s="2" t="s">
        <v>6804</v>
      </c>
      <c r="E3054" s="2" t="s">
        <v>4261</v>
      </c>
      <c r="F3054" s="2" t="s">
        <v>6003</v>
      </c>
      <c r="G3054" s="2"/>
    </row>
    <row r="3055" customFormat="false" ht="15" hidden="false" customHeight="false" outlineLevel="0" collapsed="false">
      <c r="A3055" s="2" t="s">
        <v>3682</v>
      </c>
      <c r="B3055" s="2" t="s">
        <v>3683</v>
      </c>
      <c r="C3055" s="2" t="s">
        <v>1207</v>
      </c>
      <c r="D3055" s="2" t="s">
        <v>6805</v>
      </c>
      <c r="E3055" s="2" t="s">
        <v>4261</v>
      </c>
      <c r="F3055" s="2" t="s">
        <v>6003</v>
      </c>
      <c r="G3055" s="2"/>
    </row>
    <row r="3056" customFormat="false" ht="15" hidden="false" customHeight="false" outlineLevel="0" collapsed="false">
      <c r="A3056" s="2" t="s">
        <v>3682</v>
      </c>
      <c r="B3056" s="2" t="s">
        <v>3683</v>
      </c>
      <c r="C3056" s="2" t="s">
        <v>1207</v>
      </c>
      <c r="D3056" s="2" t="s">
        <v>6806</v>
      </c>
      <c r="E3056" s="2" t="s">
        <v>4261</v>
      </c>
      <c r="F3056" s="2" t="s">
        <v>6003</v>
      </c>
      <c r="G3056" s="2"/>
    </row>
    <row r="3057" customFormat="false" ht="15" hidden="false" customHeight="false" outlineLevel="0" collapsed="false">
      <c r="A3057" s="2" t="s">
        <v>3682</v>
      </c>
      <c r="B3057" s="2" t="s">
        <v>3683</v>
      </c>
      <c r="C3057" s="2" t="s">
        <v>1207</v>
      </c>
      <c r="D3057" s="2" t="s">
        <v>6807</v>
      </c>
      <c r="E3057" s="2" t="s">
        <v>4261</v>
      </c>
      <c r="F3057" s="2" t="s">
        <v>6003</v>
      </c>
      <c r="G3057" s="2"/>
    </row>
    <row r="3058" customFormat="false" ht="15" hidden="false" customHeight="false" outlineLevel="0" collapsed="false">
      <c r="A3058" s="2" t="s">
        <v>3682</v>
      </c>
      <c r="B3058" s="2" t="s">
        <v>3683</v>
      </c>
      <c r="C3058" s="2" t="s">
        <v>1207</v>
      </c>
      <c r="D3058" s="2" t="s">
        <v>6808</v>
      </c>
      <c r="E3058" s="2" t="s">
        <v>4261</v>
      </c>
      <c r="F3058" s="2" t="s">
        <v>6003</v>
      </c>
      <c r="G3058" s="2"/>
    </row>
    <row r="3059" customFormat="false" ht="15" hidden="false" customHeight="false" outlineLevel="0" collapsed="false">
      <c r="A3059" s="2" t="s">
        <v>3682</v>
      </c>
      <c r="B3059" s="2" t="s">
        <v>3683</v>
      </c>
      <c r="C3059" s="2" t="s">
        <v>1207</v>
      </c>
      <c r="D3059" s="2" t="s">
        <v>6809</v>
      </c>
      <c r="E3059" s="2" t="s">
        <v>4261</v>
      </c>
      <c r="F3059" s="2" t="s">
        <v>6003</v>
      </c>
      <c r="G3059" s="2"/>
    </row>
    <row r="3060" customFormat="false" ht="15" hidden="false" customHeight="false" outlineLevel="0" collapsed="false">
      <c r="A3060" s="2" t="s">
        <v>3682</v>
      </c>
      <c r="B3060" s="2" t="s">
        <v>3683</v>
      </c>
      <c r="C3060" s="2" t="s">
        <v>1207</v>
      </c>
      <c r="D3060" s="2" t="s">
        <v>6810</v>
      </c>
      <c r="E3060" s="2" t="s">
        <v>4261</v>
      </c>
      <c r="F3060" s="2" t="s">
        <v>6003</v>
      </c>
      <c r="G3060" s="2"/>
    </row>
    <row r="3061" customFormat="false" ht="15" hidden="false" customHeight="false" outlineLevel="0" collapsed="false">
      <c r="A3061" s="2" t="s">
        <v>3690</v>
      </c>
      <c r="B3061" s="2" t="s">
        <v>3691</v>
      </c>
      <c r="C3061" s="2" t="s">
        <v>50</v>
      </c>
      <c r="D3061" s="2" t="s">
        <v>3692</v>
      </c>
      <c r="E3061" s="2" t="s">
        <v>4261</v>
      </c>
      <c r="F3061" s="2" t="s">
        <v>6003</v>
      </c>
      <c r="G3061" s="2"/>
    </row>
    <row r="3062" customFormat="false" ht="15" hidden="false" customHeight="false" outlineLevel="0" collapsed="false">
      <c r="A3062" s="2" t="s">
        <v>3694</v>
      </c>
      <c r="B3062" s="2" t="s">
        <v>1760</v>
      </c>
      <c r="C3062" s="2" t="s">
        <v>50</v>
      </c>
      <c r="D3062" s="2" t="s">
        <v>6811</v>
      </c>
      <c r="E3062" s="2" t="s">
        <v>4261</v>
      </c>
      <c r="F3062" s="2" t="s">
        <v>6003</v>
      </c>
      <c r="G3062" s="2"/>
    </row>
    <row r="3063" customFormat="false" ht="15" hidden="false" customHeight="false" outlineLevel="0" collapsed="false">
      <c r="A3063" s="2" t="s">
        <v>3694</v>
      </c>
      <c r="B3063" s="2" t="s">
        <v>1760</v>
      </c>
      <c r="C3063" s="2" t="s">
        <v>50</v>
      </c>
      <c r="D3063" s="2" t="s">
        <v>6812</v>
      </c>
      <c r="E3063" s="2" t="s">
        <v>4261</v>
      </c>
      <c r="F3063" s="2" t="s">
        <v>6003</v>
      </c>
      <c r="G3063" s="2"/>
    </row>
    <row r="3064" customFormat="false" ht="15" hidden="false" customHeight="false" outlineLevel="0" collapsed="false">
      <c r="A3064" s="2" t="s">
        <v>3694</v>
      </c>
      <c r="B3064" s="2" t="s">
        <v>1760</v>
      </c>
      <c r="C3064" s="2" t="s">
        <v>50</v>
      </c>
      <c r="D3064" s="2" t="s">
        <v>6718</v>
      </c>
      <c r="E3064" s="2" t="s">
        <v>4261</v>
      </c>
      <c r="F3064" s="2" t="s">
        <v>6003</v>
      </c>
      <c r="G3064" s="2"/>
    </row>
    <row r="3065" customFormat="false" ht="15" hidden="false" customHeight="false" outlineLevel="0" collapsed="false">
      <c r="A3065" s="2" t="s">
        <v>3696</v>
      </c>
      <c r="B3065" s="2" t="s">
        <v>3512</v>
      </c>
      <c r="C3065" s="2" t="s">
        <v>976</v>
      </c>
      <c r="D3065" s="2" t="s">
        <v>6813</v>
      </c>
      <c r="E3065" s="2" t="s">
        <v>4261</v>
      </c>
      <c r="F3065" s="2" t="s">
        <v>6003</v>
      </c>
      <c r="G3065" s="2"/>
    </row>
    <row r="3066" customFormat="false" ht="15" hidden="false" customHeight="false" outlineLevel="0" collapsed="false">
      <c r="A3066" s="2" t="s">
        <v>3696</v>
      </c>
      <c r="B3066" s="2" t="s">
        <v>3512</v>
      </c>
      <c r="C3066" s="2" t="s">
        <v>976</v>
      </c>
      <c r="D3066" s="2" t="s">
        <v>6814</v>
      </c>
      <c r="E3066" s="2" t="s">
        <v>4261</v>
      </c>
      <c r="F3066" s="2" t="s">
        <v>6003</v>
      </c>
      <c r="G3066" s="2"/>
    </row>
    <row r="3067" customFormat="false" ht="15" hidden="false" customHeight="false" outlineLevel="0" collapsed="false">
      <c r="A3067" s="2" t="s">
        <v>3698</v>
      </c>
      <c r="B3067" s="2" t="s">
        <v>3512</v>
      </c>
      <c r="C3067" s="2" t="s">
        <v>976</v>
      </c>
      <c r="D3067" s="2" t="s">
        <v>3699</v>
      </c>
      <c r="E3067" s="2" t="s">
        <v>4261</v>
      </c>
      <c r="F3067" s="2" t="s">
        <v>6003</v>
      </c>
      <c r="G3067" s="2"/>
    </row>
    <row r="3068" customFormat="false" ht="15" hidden="false" customHeight="false" outlineLevel="0" collapsed="false">
      <c r="A3068" s="2" t="s">
        <v>3701</v>
      </c>
      <c r="B3068" s="2" t="s">
        <v>3527</v>
      </c>
      <c r="C3068" s="2" t="s">
        <v>1207</v>
      </c>
      <c r="D3068" s="2" t="s">
        <v>6815</v>
      </c>
      <c r="E3068" s="2" t="s">
        <v>4261</v>
      </c>
      <c r="F3068" s="2" t="s">
        <v>6003</v>
      </c>
      <c r="G3068" s="2"/>
    </row>
    <row r="3069" customFormat="false" ht="15" hidden="false" customHeight="false" outlineLevel="0" collapsed="false">
      <c r="A3069" s="2" t="s">
        <v>3701</v>
      </c>
      <c r="B3069" s="2" t="s">
        <v>3527</v>
      </c>
      <c r="C3069" s="2" t="s">
        <v>1207</v>
      </c>
      <c r="D3069" s="2" t="s">
        <v>6816</v>
      </c>
      <c r="E3069" s="2" t="s">
        <v>4271</v>
      </c>
      <c r="F3069" s="2" t="s">
        <v>6003</v>
      </c>
      <c r="G3069" s="2"/>
    </row>
    <row r="3070" customFormat="false" ht="15" hidden="false" customHeight="false" outlineLevel="0" collapsed="false">
      <c r="A3070" s="2" t="s">
        <v>3701</v>
      </c>
      <c r="B3070" s="2" t="s">
        <v>3527</v>
      </c>
      <c r="C3070" s="2" t="s">
        <v>1207</v>
      </c>
      <c r="D3070" s="2" t="s">
        <v>6817</v>
      </c>
      <c r="E3070" s="2" t="s">
        <v>4261</v>
      </c>
      <c r="F3070" s="2" t="s">
        <v>6003</v>
      </c>
      <c r="G3070" s="2"/>
    </row>
    <row r="3071" customFormat="false" ht="15" hidden="false" customHeight="false" outlineLevel="0" collapsed="false">
      <c r="A3071" s="2" t="s">
        <v>3701</v>
      </c>
      <c r="B3071" s="2" t="s">
        <v>3527</v>
      </c>
      <c r="C3071" s="2" t="s">
        <v>1207</v>
      </c>
      <c r="D3071" s="2" t="s">
        <v>6818</v>
      </c>
      <c r="E3071" s="2" t="s">
        <v>4261</v>
      </c>
      <c r="F3071" s="2" t="s">
        <v>6003</v>
      </c>
      <c r="G3071" s="2"/>
    </row>
    <row r="3072" customFormat="false" ht="15" hidden="false" customHeight="false" outlineLevel="0" collapsed="false">
      <c r="A3072" s="2" t="s">
        <v>3701</v>
      </c>
      <c r="B3072" s="2" t="s">
        <v>3527</v>
      </c>
      <c r="C3072" s="2" t="s">
        <v>1207</v>
      </c>
      <c r="D3072" s="2" t="s">
        <v>5061</v>
      </c>
      <c r="E3072" s="2" t="s">
        <v>4261</v>
      </c>
      <c r="F3072" s="2" t="s">
        <v>6003</v>
      </c>
      <c r="G3072" s="2"/>
    </row>
    <row r="3073" customFormat="false" ht="15" hidden="false" customHeight="false" outlineLevel="0" collapsed="false">
      <c r="A3073" s="2" t="s">
        <v>3701</v>
      </c>
      <c r="B3073" s="2" t="s">
        <v>3527</v>
      </c>
      <c r="C3073" s="2" t="s">
        <v>1207</v>
      </c>
      <c r="D3073" s="2" t="s">
        <v>4417</v>
      </c>
      <c r="E3073" s="2" t="s">
        <v>4261</v>
      </c>
      <c r="F3073" s="2" t="s">
        <v>6003</v>
      </c>
      <c r="G3073" s="2"/>
    </row>
    <row r="3074" customFormat="false" ht="15" hidden="false" customHeight="false" outlineLevel="0" collapsed="false">
      <c r="A3074" s="2" t="s">
        <v>3701</v>
      </c>
      <c r="B3074" s="2" t="s">
        <v>3527</v>
      </c>
      <c r="C3074" s="2" t="s">
        <v>1207</v>
      </c>
      <c r="D3074" s="2" t="s">
        <v>6819</v>
      </c>
      <c r="E3074" s="2" t="s">
        <v>4261</v>
      </c>
      <c r="F3074" s="2" t="s">
        <v>6003</v>
      </c>
      <c r="G3074" s="2"/>
    </row>
    <row r="3075" customFormat="false" ht="15" hidden="false" customHeight="false" outlineLevel="0" collapsed="false">
      <c r="A3075" s="2" t="s">
        <v>3701</v>
      </c>
      <c r="B3075" s="2" t="s">
        <v>3527</v>
      </c>
      <c r="C3075" s="2" t="s">
        <v>1207</v>
      </c>
      <c r="D3075" s="2" t="s">
        <v>6820</v>
      </c>
      <c r="E3075" s="2" t="s">
        <v>4261</v>
      </c>
      <c r="F3075" s="2" t="s">
        <v>6003</v>
      </c>
      <c r="G3075" s="2"/>
    </row>
    <row r="3076" customFormat="false" ht="15" hidden="false" customHeight="false" outlineLevel="0" collapsed="false">
      <c r="A3076" s="2" t="s">
        <v>3705</v>
      </c>
      <c r="B3076" s="2" t="s">
        <v>976</v>
      </c>
      <c r="C3076" s="2" t="s">
        <v>976</v>
      </c>
      <c r="D3076" s="2" t="s">
        <v>6821</v>
      </c>
      <c r="E3076" s="2" t="s">
        <v>4264</v>
      </c>
      <c r="F3076" s="2" t="s">
        <v>6003</v>
      </c>
      <c r="G3076" s="2"/>
    </row>
    <row r="3077" customFormat="false" ht="15" hidden="false" customHeight="false" outlineLevel="0" collapsed="false">
      <c r="A3077" s="2" t="s">
        <v>3705</v>
      </c>
      <c r="B3077" s="2" t="s">
        <v>976</v>
      </c>
      <c r="C3077" s="2" t="s">
        <v>976</v>
      </c>
      <c r="D3077" s="2" t="s">
        <v>6822</v>
      </c>
      <c r="E3077" s="2" t="s">
        <v>4261</v>
      </c>
      <c r="F3077" s="2" t="s">
        <v>6003</v>
      </c>
      <c r="G3077" s="2"/>
    </row>
    <row r="3078" customFormat="false" ht="15" hidden="false" customHeight="false" outlineLevel="0" collapsed="false">
      <c r="A3078" s="2" t="s">
        <v>3707</v>
      </c>
      <c r="B3078" s="2" t="s">
        <v>976</v>
      </c>
      <c r="C3078" s="2" t="s">
        <v>976</v>
      </c>
      <c r="D3078" s="2" t="s">
        <v>6823</v>
      </c>
      <c r="E3078" s="2" t="s">
        <v>4264</v>
      </c>
      <c r="F3078" s="2" t="s">
        <v>6003</v>
      </c>
      <c r="G3078" s="2"/>
    </row>
    <row r="3079" customFormat="false" ht="15" hidden="false" customHeight="false" outlineLevel="0" collapsed="false">
      <c r="A3079" s="2" t="s">
        <v>3707</v>
      </c>
      <c r="B3079" s="2" t="s">
        <v>976</v>
      </c>
      <c r="C3079" s="2" t="s">
        <v>976</v>
      </c>
      <c r="D3079" s="2" t="s">
        <v>4729</v>
      </c>
      <c r="E3079" s="2" t="s">
        <v>4271</v>
      </c>
      <c r="F3079" s="2" t="s">
        <v>6003</v>
      </c>
      <c r="G3079" s="2"/>
    </row>
    <row r="3080" customFormat="false" ht="15" hidden="false" customHeight="false" outlineLevel="0" collapsed="false">
      <c r="A3080" s="2" t="s">
        <v>3707</v>
      </c>
      <c r="B3080" s="2" t="s">
        <v>976</v>
      </c>
      <c r="C3080" s="2" t="s">
        <v>976</v>
      </c>
      <c r="D3080" s="2" t="s">
        <v>6824</v>
      </c>
      <c r="E3080" s="2" t="s">
        <v>4264</v>
      </c>
      <c r="F3080" s="2" t="s">
        <v>6003</v>
      </c>
      <c r="G3080" s="2"/>
    </row>
    <row r="3081" customFormat="false" ht="15" hidden="false" customHeight="false" outlineLevel="0" collapsed="false">
      <c r="A3081" s="2" t="s">
        <v>3707</v>
      </c>
      <c r="B3081" s="2" t="s">
        <v>976</v>
      </c>
      <c r="C3081" s="2" t="s">
        <v>976</v>
      </c>
      <c r="D3081" s="2" t="s">
        <v>6825</v>
      </c>
      <c r="E3081" s="2" t="s">
        <v>4264</v>
      </c>
      <c r="F3081" s="2" t="s">
        <v>6003</v>
      </c>
      <c r="G3081" s="2"/>
    </row>
    <row r="3082" customFormat="false" ht="15" hidden="false" customHeight="false" outlineLevel="0" collapsed="false">
      <c r="A3082" s="2" t="s">
        <v>3709</v>
      </c>
      <c r="B3082" s="2" t="s">
        <v>976</v>
      </c>
      <c r="C3082" s="2" t="s">
        <v>976</v>
      </c>
      <c r="D3082" s="2" t="s">
        <v>3710</v>
      </c>
      <c r="E3082" s="2" t="s">
        <v>4261</v>
      </c>
      <c r="F3082" s="2" t="s">
        <v>6003</v>
      </c>
      <c r="G3082" s="2"/>
    </row>
    <row r="3083" customFormat="false" ht="15" hidden="false" customHeight="false" outlineLevel="0" collapsed="false">
      <c r="A3083" s="2" t="s">
        <v>3711</v>
      </c>
      <c r="B3083" s="2" t="s">
        <v>976</v>
      </c>
      <c r="C3083" s="2" t="s">
        <v>976</v>
      </c>
      <c r="D3083" s="2" t="s">
        <v>6826</v>
      </c>
      <c r="E3083" s="2" t="s">
        <v>4264</v>
      </c>
      <c r="F3083" s="2" t="s">
        <v>6003</v>
      </c>
      <c r="G3083" s="2"/>
    </row>
    <row r="3084" customFormat="false" ht="15" hidden="false" customHeight="false" outlineLevel="0" collapsed="false">
      <c r="A3084" s="2" t="s">
        <v>3711</v>
      </c>
      <c r="B3084" s="2" t="s">
        <v>976</v>
      </c>
      <c r="C3084" s="2" t="s">
        <v>976</v>
      </c>
      <c r="D3084" s="2" t="s">
        <v>6827</v>
      </c>
      <c r="E3084" s="2" t="s">
        <v>4261</v>
      </c>
      <c r="F3084" s="2" t="s">
        <v>6003</v>
      </c>
      <c r="G3084" s="2"/>
    </row>
    <row r="3085" customFormat="false" ht="15" hidden="false" customHeight="false" outlineLevel="0" collapsed="false">
      <c r="A3085" s="2" t="s">
        <v>3711</v>
      </c>
      <c r="B3085" s="2" t="s">
        <v>976</v>
      </c>
      <c r="C3085" s="2" t="s">
        <v>976</v>
      </c>
      <c r="D3085" s="2" t="s">
        <v>6828</v>
      </c>
      <c r="E3085" s="2" t="s">
        <v>4261</v>
      </c>
      <c r="F3085" s="2" t="s">
        <v>6003</v>
      </c>
      <c r="G3085" s="2"/>
    </row>
    <row r="3086" customFormat="false" ht="15" hidden="false" customHeight="false" outlineLevel="0" collapsed="false">
      <c r="A3086" s="2" t="s">
        <v>3711</v>
      </c>
      <c r="B3086" s="2" t="s">
        <v>976</v>
      </c>
      <c r="C3086" s="2" t="s">
        <v>976</v>
      </c>
      <c r="D3086" s="2" t="s">
        <v>6829</v>
      </c>
      <c r="E3086" s="2" t="s">
        <v>4264</v>
      </c>
      <c r="F3086" s="2" t="s">
        <v>6003</v>
      </c>
      <c r="G3086" s="2"/>
    </row>
    <row r="3087" customFormat="false" ht="15" hidden="false" customHeight="false" outlineLevel="0" collapsed="false">
      <c r="A3087" s="2" t="s">
        <v>3711</v>
      </c>
      <c r="B3087" s="2" t="s">
        <v>976</v>
      </c>
      <c r="C3087" s="2" t="s">
        <v>976</v>
      </c>
      <c r="D3087" s="2" t="s">
        <v>1052</v>
      </c>
      <c r="E3087" s="2" t="s">
        <v>4271</v>
      </c>
      <c r="F3087" s="2" t="s">
        <v>6003</v>
      </c>
      <c r="G3087" s="2"/>
    </row>
    <row r="3088" customFormat="false" ht="15" hidden="false" customHeight="false" outlineLevel="0" collapsed="false">
      <c r="A3088" s="2" t="s">
        <v>3713</v>
      </c>
      <c r="B3088" s="2" t="s">
        <v>976</v>
      </c>
      <c r="C3088" s="2" t="s">
        <v>976</v>
      </c>
      <c r="D3088" s="2" t="s">
        <v>6830</v>
      </c>
      <c r="E3088" s="2" t="s">
        <v>4261</v>
      </c>
      <c r="F3088" s="2" t="s">
        <v>6003</v>
      </c>
      <c r="G3088" s="2"/>
    </row>
    <row r="3089" customFormat="false" ht="15" hidden="false" customHeight="false" outlineLevel="0" collapsed="false">
      <c r="A3089" s="2" t="s">
        <v>3713</v>
      </c>
      <c r="B3089" s="2" t="s">
        <v>976</v>
      </c>
      <c r="C3089" s="2" t="s">
        <v>976</v>
      </c>
      <c r="D3089" s="2" t="s">
        <v>6831</v>
      </c>
      <c r="E3089" s="2" t="s">
        <v>4271</v>
      </c>
      <c r="F3089" s="2" t="s">
        <v>6003</v>
      </c>
      <c r="G3089" s="2"/>
    </row>
    <row r="3090" customFormat="false" ht="15" hidden="false" customHeight="false" outlineLevel="0" collapsed="false">
      <c r="A3090" s="2" t="s">
        <v>3713</v>
      </c>
      <c r="B3090" s="2" t="s">
        <v>976</v>
      </c>
      <c r="C3090" s="2" t="s">
        <v>976</v>
      </c>
      <c r="D3090" s="2" t="s">
        <v>6832</v>
      </c>
      <c r="E3090" s="2" t="s">
        <v>4264</v>
      </c>
      <c r="F3090" s="2" t="s">
        <v>6003</v>
      </c>
      <c r="G3090" s="2"/>
    </row>
    <row r="3091" customFormat="false" ht="15" hidden="false" customHeight="false" outlineLevel="0" collapsed="false">
      <c r="A3091" s="2" t="s">
        <v>3713</v>
      </c>
      <c r="B3091" s="2" t="s">
        <v>976</v>
      </c>
      <c r="C3091" s="2" t="s">
        <v>976</v>
      </c>
      <c r="D3091" s="2" t="s">
        <v>6833</v>
      </c>
      <c r="E3091" s="2" t="s">
        <v>4261</v>
      </c>
      <c r="F3091" s="2" t="s">
        <v>6003</v>
      </c>
      <c r="G3091" s="2"/>
    </row>
    <row r="3092" customFormat="false" ht="15" hidden="false" customHeight="false" outlineLevel="0" collapsed="false">
      <c r="A3092" s="2" t="s">
        <v>3713</v>
      </c>
      <c r="B3092" s="2" t="s">
        <v>976</v>
      </c>
      <c r="C3092" s="2" t="s">
        <v>976</v>
      </c>
      <c r="D3092" s="2" t="s">
        <v>6834</v>
      </c>
      <c r="E3092" s="2" t="s">
        <v>4264</v>
      </c>
      <c r="F3092" s="2" t="s">
        <v>6003</v>
      </c>
      <c r="G3092" s="2"/>
    </row>
    <row r="3093" customFormat="false" ht="15" hidden="false" customHeight="false" outlineLevel="0" collapsed="false">
      <c r="A3093" s="2" t="s">
        <v>3713</v>
      </c>
      <c r="B3093" s="2" t="s">
        <v>976</v>
      </c>
      <c r="C3093" s="2" t="s">
        <v>976</v>
      </c>
      <c r="D3093" s="2" t="s">
        <v>6835</v>
      </c>
      <c r="E3093" s="2" t="s">
        <v>4264</v>
      </c>
      <c r="F3093" s="2" t="s">
        <v>6003</v>
      </c>
      <c r="G3093" s="2"/>
    </row>
    <row r="3094" customFormat="false" ht="15" hidden="false" customHeight="false" outlineLevel="0" collapsed="false">
      <c r="A3094" s="2" t="s">
        <v>3713</v>
      </c>
      <c r="B3094" s="2" t="s">
        <v>976</v>
      </c>
      <c r="C3094" s="2" t="s">
        <v>976</v>
      </c>
      <c r="D3094" s="2" t="s">
        <v>5409</v>
      </c>
      <c r="E3094" s="2" t="s">
        <v>4271</v>
      </c>
      <c r="F3094" s="2" t="s">
        <v>6003</v>
      </c>
      <c r="G3094" s="2"/>
    </row>
    <row r="3095" customFormat="false" ht="15" hidden="false" customHeight="false" outlineLevel="0" collapsed="false">
      <c r="A3095" s="2" t="s">
        <v>3713</v>
      </c>
      <c r="B3095" s="2" t="s">
        <v>976</v>
      </c>
      <c r="C3095" s="2" t="s">
        <v>976</v>
      </c>
      <c r="D3095" s="2" t="s">
        <v>6836</v>
      </c>
      <c r="E3095" s="2" t="s">
        <v>4264</v>
      </c>
      <c r="F3095" s="2" t="s">
        <v>6003</v>
      </c>
      <c r="G3095" s="2"/>
    </row>
    <row r="3096" customFormat="false" ht="15" hidden="false" customHeight="false" outlineLevel="0" collapsed="false">
      <c r="A3096" s="2" t="s">
        <v>3713</v>
      </c>
      <c r="B3096" s="2" t="s">
        <v>976</v>
      </c>
      <c r="C3096" s="2" t="s">
        <v>976</v>
      </c>
      <c r="D3096" s="2" t="s">
        <v>6837</v>
      </c>
      <c r="E3096" s="2" t="s">
        <v>4264</v>
      </c>
      <c r="F3096" s="2" t="s">
        <v>6003</v>
      </c>
      <c r="G3096" s="2"/>
    </row>
    <row r="3097" customFormat="false" ht="15" hidden="false" customHeight="false" outlineLevel="0" collapsed="false">
      <c r="A3097" s="2" t="s">
        <v>3713</v>
      </c>
      <c r="B3097" s="2" t="s">
        <v>976</v>
      </c>
      <c r="C3097" s="2" t="s">
        <v>976</v>
      </c>
      <c r="D3097" s="2" t="s">
        <v>6838</v>
      </c>
      <c r="E3097" s="2" t="s">
        <v>4264</v>
      </c>
      <c r="F3097" s="2" t="s">
        <v>6003</v>
      </c>
      <c r="G3097" s="2"/>
    </row>
    <row r="3098" customFormat="false" ht="15" hidden="false" customHeight="false" outlineLevel="0" collapsed="false">
      <c r="A3098" s="2" t="s">
        <v>3713</v>
      </c>
      <c r="B3098" s="2" t="s">
        <v>976</v>
      </c>
      <c r="C3098" s="2" t="s">
        <v>976</v>
      </c>
      <c r="D3098" s="2" t="s">
        <v>6839</v>
      </c>
      <c r="E3098" s="2" t="s">
        <v>4264</v>
      </c>
      <c r="F3098" s="2" t="s">
        <v>6003</v>
      </c>
      <c r="G3098" s="2"/>
    </row>
    <row r="3099" customFormat="false" ht="15" hidden="false" customHeight="false" outlineLevel="0" collapsed="false">
      <c r="A3099" s="2" t="s">
        <v>3715</v>
      </c>
      <c r="B3099" s="2" t="s">
        <v>976</v>
      </c>
      <c r="C3099" s="2" t="s">
        <v>976</v>
      </c>
      <c r="D3099" s="2" t="s">
        <v>6840</v>
      </c>
      <c r="E3099" s="2" t="s">
        <v>4261</v>
      </c>
      <c r="F3099" s="2" t="s">
        <v>6003</v>
      </c>
      <c r="G3099" s="2"/>
    </row>
    <row r="3100" customFormat="false" ht="15" hidden="false" customHeight="false" outlineLevel="0" collapsed="false">
      <c r="A3100" s="2" t="s">
        <v>3715</v>
      </c>
      <c r="B3100" s="2" t="s">
        <v>976</v>
      </c>
      <c r="C3100" s="2" t="s">
        <v>976</v>
      </c>
      <c r="D3100" s="2" t="s">
        <v>6841</v>
      </c>
      <c r="E3100" s="2" t="s">
        <v>4261</v>
      </c>
      <c r="F3100" s="2" t="s">
        <v>6003</v>
      </c>
      <c r="G3100" s="2"/>
    </row>
    <row r="3101" customFormat="false" ht="15" hidden="false" customHeight="false" outlineLevel="0" collapsed="false">
      <c r="A3101" s="2" t="s">
        <v>3717</v>
      </c>
      <c r="B3101" s="2" t="s">
        <v>976</v>
      </c>
      <c r="C3101" s="2" t="s">
        <v>976</v>
      </c>
      <c r="D3101" s="2" t="s">
        <v>2929</v>
      </c>
      <c r="E3101" s="2" t="s">
        <v>4261</v>
      </c>
      <c r="F3101" s="2" t="s">
        <v>6003</v>
      </c>
      <c r="G3101" s="2"/>
    </row>
    <row r="3102" customFormat="false" ht="15" hidden="false" customHeight="false" outlineLevel="0" collapsed="false">
      <c r="A3102" s="2" t="s">
        <v>3717</v>
      </c>
      <c r="B3102" s="2" t="s">
        <v>976</v>
      </c>
      <c r="C3102" s="2" t="s">
        <v>976</v>
      </c>
      <c r="D3102" s="2" t="s">
        <v>6842</v>
      </c>
      <c r="E3102" s="2" t="s">
        <v>4261</v>
      </c>
      <c r="F3102" s="2" t="s">
        <v>6003</v>
      </c>
      <c r="G3102" s="2"/>
    </row>
    <row r="3103" customFormat="false" ht="15" hidden="false" customHeight="false" outlineLevel="0" collapsed="false">
      <c r="A3103" s="2" t="s">
        <v>3717</v>
      </c>
      <c r="B3103" s="2" t="s">
        <v>976</v>
      </c>
      <c r="C3103" s="2" t="s">
        <v>976</v>
      </c>
      <c r="D3103" s="2" t="s">
        <v>6843</v>
      </c>
      <c r="E3103" s="2" t="s">
        <v>4261</v>
      </c>
      <c r="F3103" s="2" t="s">
        <v>6003</v>
      </c>
      <c r="G3103" s="2"/>
    </row>
    <row r="3104" customFormat="false" ht="15" hidden="false" customHeight="false" outlineLevel="0" collapsed="false">
      <c r="A3104" s="2" t="s">
        <v>3717</v>
      </c>
      <c r="B3104" s="2" t="s">
        <v>976</v>
      </c>
      <c r="C3104" s="2" t="s">
        <v>976</v>
      </c>
      <c r="D3104" s="2" t="s">
        <v>6844</v>
      </c>
      <c r="E3104" s="2" t="s">
        <v>4261</v>
      </c>
      <c r="F3104" s="2" t="s">
        <v>6003</v>
      </c>
      <c r="G3104" s="2"/>
    </row>
    <row r="3105" customFormat="false" ht="15" hidden="false" customHeight="false" outlineLevel="0" collapsed="false">
      <c r="A3105" s="2" t="s">
        <v>3717</v>
      </c>
      <c r="B3105" s="2" t="s">
        <v>976</v>
      </c>
      <c r="C3105" s="2" t="s">
        <v>976</v>
      </c>
      <c r="D3105" s="2" t="s">
        <v>5373</v>
      </c>
      <c r="E3105" s="2" t="s">
        <v>4264</v>
      </c>
      <c r="F3105" s="2" t="s">
        <v>6003</v>
      </c>
      <c r="G3105" s="2"/>
    </row>
    <row r="3106" customFormat="false" ht="15" hidden="false" customHeight="false" outlineLevel="0" collapsed="false">
      <c r="A3106" s="2" t="s">
        <v>3717</v>
      </c>
      <c r="B3106" s="2" t="s">
        <v>976</v>
      </c>
      <c r="C3106" s="2" t="s">
        <v>976</v>
      </c>
      <c r="D3106" s="2" t="s">
        <v>6845</v>
      </c>
      <c r="E3106" s="2" t="s">
        <v>4264</v>
      </c>
      <c r="F3106" s="2" t="s">
        <v>6003</v>
      </c>
      <c r="G3106" s="2"/>
    </row>
    <row r="3107" customFormat="false" ht="15" hidden="false" customHeight="false" outlineLevel="0" collapsed="false">
      <c r="A3107" s="2" t="s">
        <v>3717</v>
      </c>
      <c r="B3107" s="2" t="s">
        <v>976</v>
      </c>
      <c r="C3107" s="2" t="s">
        <v>976</v>
      </c>
      <c r="D3107" s="2" t="s">
        <v>6846</v>
      </c>
      <c r="E3107" s="2" t="s">
        <v>4261</v>
      </c>
      <c r="F3107" s="2" t="s">
        <v>6003</v>
      </c>
      <c r="G3107" s="2"/>
    </row>
    <row r="3108" customFormat="false" ht="15" hidden="false" customHeight="false" outlineLevel="0" collapsed="false">
      <c r="A3108" s="2" t="s">
        <v>3717</v>
      </c>
      <c r="B3108" s="2" t="s">
        <v>976</v>
      </c>
      <c r="C3108" s="2" t="s">
        <v>976</v>
      </c>
      <c r="D3108" s="2" t="s">
        <v>6333</v>
      </c>
      <c r="E3108" s="2" t="s">
        <v>4271</v>
      </c>
      <c r="F3108" s="2" t="s">
        <v>6003</v>
      </c>
      <c r="G3108" s="2"/>
    </row>
    <row r="3109" customFormat="false" ht="15" hidden="false" customHeight="false" outlineLevel="0" collapsed="false">
      <c r="A3109" s="2" t="s">
        <v>3717</v>
      </c>
      <c r="B3109" s="2" t="s">
        <v>976</v>
      </c>
      <c r="C3109" s="2" t="s">
        <v>976</v>
      </c>
      <c r="D3109" s="2" t="s">
        <v>6847</v>
      </c>
      <c r="E3109" s="2" t="s">
        <v>4271</v>
      </c>
      <c r="F3109" s="2" t="s">
        <v>6003</v>
      </c>
      <c r="G3109" s="2"/>
    </row>
    <row r="3110" customFormat="false" ht="15" hidden="false" customHeight="false" outlineLevel="0" collapsed="false">
      <c r="A3110" s="2" t="s">
        <v>3717</v>
      </c>
      <c r="B3110" s="2" t="s">
        <v>976</v>
      </c>
      <c r="C3110" s="2" t="s">
        <v>976</v>
      </c>
      <c r="D3110" s="2" t="s">
        <v>6848</v>
      </c>
      <c r="E3110" s="2" t="s">
        <v>4261</v>
      </c>
      <c r="F3110" s="2" t="s">
        <v>6003</v>
      </c>
      <c r="G3110" s="2"/>
    </row>
    <row r="3111" customFormat="false" ht="15" hidden="false" customHeight="false" outlineLevel="0" collapsed="false">
      <c r="A3111" s="2" t="s">
        <v>3719</v>
      </c>
      <c r="B3111" s="2" t="s">
        <v>976</v>
      </c>
      <c r="C3111" s="2" t="s">
        <v>976</v>
      </c>
      <c r="D3111" s="2" t="s">
        <v>6849</v>
      </c>
      <c r="E3111" s="2" t="s">
        <v>4271</v>
      </c>
      <c r="F3111" s="2" t="s">
        <v>6003</v>
      </c>
      <c r="G3111" s="2"/>
    </row>
    <row r="3112" customFormat="false" ht="15" hidden="false" customHeight="false" outlineLevel="0" collapsed="false">
      <c r="A3112" s="2" t="s">
        <v>3719</v>
      </c>
      <c r="B3112" s="2" t="s">
        <v>976</v>
      </c>
      <c r="C3112" s="2" t="s">
        <v>976</v>
      </c>
      <c r="D3112" s="2" t="s">
        <v>6850</v>
      </c>
      <c r="E3112" s="2" t="s">
        <v>4271</v>
      </c>
      <c r="F3112" s="2" t="s">
        <v>6003</v>
      </c>
      <c r="G3112" s="2"/>
    </row>
    <row r="3113" customFormat="false" ht="15" hidden="false" customHeight="false" outlineLevel="0" collapsed="false">
      <c r="A3113" s="2" t="s">
        <v>3721</v>
      </c>
      <c r="B3113" s="2" t="s">
        <v>976</v>
      </c>
      <c r="C3113" s="2" t="s">
        <v>976</v>
      </c>
      <c r="D3113" s="2" t="s">
        <v>6317</v>
      </c>
      <c r="E3113" s="2" t="s">
        <v>4264</v>
      </c>
      <c r="F3113" s="2" t="s">
        <v>6003</v>
      </c>
      <c r="G3113" s="2"/>
    </row>
    <row r="3114" customFormat="false" ht="15" hidden="false" customHeight="false" outlineLevel="0" collapsed="false">
      <c r="A3114" s="2" t="s">
        <v>3721</v>
      </c>
      <c r="B3114" s="2" t="s">
        <v>976</v>
      </c>
      <c r="C3114" s="2" t="s">
        <v>976</v>
      </c>
      <c r="D3114" s="2" t="s">
        <v>6851</v>
      </c>
      <c r="E3114" s="2" t="s">
        <v>4261</v>
      </c>
      <c r="F3114" s="2" t="s">
        <v>6003</v>
      </c>
      <c r="G3114" s="2"/>
    </row>
    <row r="3115" customFormat="false" ht="15" hidden="false" customHeight="false" outlineLevel="0" collapsed="false">
      <c r="A3115" s="2" t="s">
        <v>3721</v>
      </c>
      <c r="B3115" s="2" t="s">
        <v>976</v>
      </c>
      <c r="C3115" s="2" t="s">
        <v>976</v>
      </c>
      <c r="D3115" s="2" t="s">
        <v>6852</v>
      </c>
      <c r="E3115" s="2" t="s">
        <v>4271</v>
      </c>
      <c r="F3115" s="2" t="s">
        <v>6003</v>
      </c>
      <c r="G3115" s="2"/>
    </row>
    <row r="3116" customFormat="false" ht="15" hidden="false" customHeight="false" outlineLevel="0" collapsed="false">
      <c r="A3116" s="2" t="s">
        <v>3721</v>
      </c>
      <c r="B3116" s="2" t="s">
        <v>976</v>
      </c>
      <c r="C3116" s="2" t="s">
        <v>976</v>
      </c>
      <c r="D3116" s="2" t="s">
        <v>6853</v>
      </c>
      <c r="E3116" s="2" t="s">
        <v>4261</v>
      </c>
      <c r="F3116" s="2" t="s">
        <v>6003</v>
      </c>
      <c r="G3116" s="2"/>
    </row>
    <row r="3117" customFormat="false" ht="15" hidden="false" customHeight="false" outlineLevel="0" collapsed="false">
      <c r="A3117" s="2" t="s">
        <v>3721</v>
      </c>
      <c r="B3117" s="2" t="s">
        <v>976</v>
      </c>
      <c r="C3117" s="2" t="s">
        <v>976</v>
      </c>
      <c r="D3117" s="2" t="s">
        <v>6854</v>
      </c>
      <c r="E3117" s="2" t="s">
        <v>4261</v>
      </c>
      <c r="F3117" s="2" t="s">
        <v>6003</v>
      </c>
      <c r="G3117" s="2"/>
    </row>
    <row r="3118" customFormat="false" ht="15" hidden="false" customHeight="false" outlineLevel="0" collapsed="false">
      <c r="A3118" s="2" t="s">
        <v>3723</v>
      </c>
      <c r="B3118" s="2" t="s">
        <v>976</v>
      </c>
      <c r="C3118" s="2" t="s">
        <v>976</v>
      </c>
      <c r="D3118" s="2" t="s">
        <v>6855</v>
      </c>
      <c r="E3118" s="2" t="s">
        <v>4264</v>
      </c>
      <c r="F3118" s="2" t="s">
        <v>6003</v>
      </c>
      <c r="G3118" s="2"/>
    </row>
    <row r="3119" customFormat="false" ht="15" hidden="false" customHeight="false" outlineLevel="0" collapsed="false">
      <c r="A3119" s="2" t="s">
        <v>3723</v>
      </c>
      <c r="B3119" s="2" t="s">
        <v>976</v>
      </c>
      <c r="C3119" s="2" t="s">
        <v>976</v>
      </c>
      <c r="D3119" s="2" t="s">
        <v>6856</v>
      </c>
      <c r="E3119" s="2" t="s">
        <v>4261</v>
      </c>
      <c r="F3119" s="2" t="s">
        <v>6003</v>
      </c>
      <c r="G3119" s="2"/>
    </row>
    <row r="3120" customFormat="false" ht="15" hidden="false" customHeight="false" outlineLevel="0" collapsed="false">
      <c r="A3120" s="2" t="s">
        <v>3723</v>
      </c>
      <c r="B3120" s="2" t="s">
        <v>976</v>
      </c>
      <c r="C3120" s="2" t="s">
        <v>976</v>
      </c>
      <c r="D3120" s="2" t="s">
        <v>6857</v>
      </c>
      <c r="E3120" s="2" t="s">
        <v>4264</v>
      </c>
      <c r="F3120" s="2" t="s">
        <v>6003</v>
      </c>
      <c r="G3120" s="2"/>
    </row>
    <row r="3121" customFormat="false" ht="15" hidden="false" customHeight="false" outlineLevel="0" collapsed="false">
      <c r="A3121" s="2" t="s">
        <v>3725</v>
      </c>
      <c r="B3121" s="2" t="s">
        <v>976</v>
      </c>
      <c r="C3121" s="2" t="s">
        <v>976</v>
      </c>
      <c r="D3121" s="2" t="s">
        <v>6858</v>
      </c>
      <c r="E3121" s="2" t="s">
        <v>4264</v>
      </c>
      <c r="F3121" s="2" t="s">
        <v>6003</v>
      </c>
      <c r="G3121" s="2"/>
    </row>
    <row r="3122" customFormat="false" ht="15" hidden="false" customHeight="false" outlineLevel="0" collapsed="false">
      <c r="A3122" s="2" t="s">
        <v>3725</v>
      </c>
      <c r="B3122" s="2" t="s">
        <v>976</v>
      </c>
      <c r="C3122" s="2" t="s">
        <v>976</v>
      </c>
      <c r="D3122" s="2" t="s">
        <v>6859</v>
      </c>
      <c r="E3122" s="2" t="s">
        <v>4261</v>
      </c>
      <c r="F3122" s="2" t="s">
        <v>6003</v>
      </c>
      <c r="G3122" s="2"/>
    </row>
    <row r="3123" customFormat="false" ht="15" hidden="false" customHeight="false" outlineLevel="0" collapsed="false">
      <c r="A3123" s="2" t="s">
        <v>3725</v>
      </c>
      <c r="B3123" s="2" t="s">
        <v>976</v>
      </c>
      <c r="C3123" s="2" t="s">
        <v>976</v>
      </c>
      <c r="D3123" s="2" t="s">
        <v>6860</v>
      </c>
      <c r="E3123" s="2" t="s">
        <v>4271</v>
      </c>
      <c r="F3123" s="2" t="s">
        <v>6003</v>
      </c>
      <c r="G3123" s="2"/>
    </row>
    <row r="3124" customFormat="false" ht="15" hidden="false" customHeight="false" outlineLevel="0" collapsed="false">
      <c r="A3124" s="2" t="s">
        <v>3725</v>
      </c>
      <c r="B3124" s="2" t="s">
        <v>976</v>
      </c>
      <c r="C3124" s="2" t="s">
        <v>976</v>
      </c>
      <c r="D3124" s="2" t="s">
        <v>6861</v>
      </c>
      <c r="E3124" s="2" t="s">
        <v>4261</v>
      </c>
      <c r="F3124" s="2" t="s">
        <v>6003</v>
      </c>
      <c r="G3124" s="2"/>
    </row>
    <row r="3125" customFormat="false" ht="15" hidden="false" customHeight="false" outlineLevel="0" collapsed="false">
      <c r="A3125" s="2" t="s">
        <v>3725</v>
      </c>
      <c r="B3125" s="2" t="s">
        <v>976</v>
      </c>
      <c r="C3125" s="2" t="s">
        <v>976</v>
      </c>
      <c r="D3125" s="2" t="s">
        <v>6862</v>
      </c>
      <c r="E3125" s="2" t="s">
        <v>4271</v>
      </c>
      <c r="F3125" s="2" t="s">
        <v>6003</v>
      </c>
      <c r="G3125" s="2"/>
    </row>
    <row r="3126" customFormat="false" ht="15" hidden="false" customHeight="false" outlineLevel="0" collapsed="false">
      <c r="A3126" s="2" t="s">
        <v>3725</v>
      </c>
      <c r="B3126" s="2" t="s">
        <v>976</v>
      </c>
      <c r="C3126" s="2" t="s">
        <v>976</v>
      </c>
      <c r="D3126" s="2" t="s">
        <v>6863</v>
      </c>
      <c r="E3126" s="2" t="s">
        <v>4264</v>
      </c>
      <c r="F3126" s="2" t="s">
        <v>6003</v>
      </c>
      <c r="G3126" s="2"/>
    </row>
    <row r="3127" customFormat="false" ht="15" hidden="false" customHeight="false" outlineLevel="0" collapsed="false">
      <c r="A3127" s="2" t="s">
        <v>3725</v>
      </c>
      <c r="B3127" s="2" t="s">
        <v>976</v>
      </c>
      <c r="C3127" s="2" t="s">
        <v>976</v>
      </c>
      <c r="D3127" s="2" t="s">
        <v>6864</v>
      </c>
      <c r="E3127" s="2" t="s">
        <v>4264</v>
      </c>
      <c r="F3127" s="2" t="s">
        <v>6003</v>
      </c>
      <c r="G3127" s="2"/>
    </row>
    <row r="3128" customFormat="false" ht="15" hidden="false" customHeight="false" outlineLevel="0" collapsed="false">
      <c r="A3128" s="2" t="s">
        <v>3725</v>
      </c>
      <c r="B3128" s="2" t="s">
        <v>976</v>
      </c>
      <c r="C3128" s="2" t="s">
        <v>976</v>
      </c>
      <c r="D3128" s="2" t="s">
        <v>6865</v>
      </c>
      <c r="E3128" s="2" t="s">
        <v>4271</v>
      </c>
      <c r="F3128" s="2" t="s">
        <v>6003</v>
      </c>
      <c r="G3128" s="2"/>
    </row>
    <row r="3129" customFormat="false" ht="15" hidden="false" customHeight="false" outlineLevel="0" collapsed="false">
      <c r="A3129" s="2" t="s">
        <v>3728</v>
      </c>
      <c r="B3129" s="2" t="s">
        <v>976</v>
      </c>
      <c r="C3129" s="2" t="s">
        <v>976</v>
      </c>
      <c r="D3129" s="2" t="s">
        <v>6866</v>
      </c>
      <c r="E3129" s="2" t="s">
        <v>4264</v>
      </c>
      <c r="F3129" s="2" t="s">
        <v>6003</v>
      </c>
      <c r="G3129" s="2"/>
    </row>
    <row r="3130" customFormat="false" ht="15" hidden="false" customHeight="false" outlineLevel="0" collapsed="false">
      <c r="A3130" s="2" t="s">
        <v>3728</v>
      </c>
      <c r="B3130" s="2" t="s">
        <v>976</v>
      </c>
      <c r="C3130" s="2" t="s">
        <v>976</v>
      </c>
      <c r="D3130" s="2" t="s">
        <v>6867</v>
      </c>
      <c r="E3130" s="2" t="s">
        <v>4264</v>
      </c>
      <c r="F3130" s="2" t="s">
        <v>6003</v>
      </c>
      <c r="G3130" s="2"/>
    </row>
    <row r="3131" customFormat="false" ht="15" hidden="false" customHeight="false" outlineLevel="0" collapsed="false">
      <c r="A3131" s="2" t="s">
        <v>3728</v>
      </c>
      <c r="B3131" s="2" t="s">
        <v>976</v>
      </c>
      <c r="C3131" s="2" t="s">
        <v>976</v>
      </c>
      <c r="D3131" s="2" t="s">
        <v>6868</v>
      </c>
      <c r="E3131" s="2" t="s">
        <v>4264</v>
      </c>
      <c r="F3131" s="2" t="s">
        <v>6003</v>
      </c>
      <c r="G3131" s="2"/>
    </row>
    <row r="3132" customFormat="false" ht="15" hidden="false" customHeight="false" outlineLevel="0" collapsed="false">
      <c r="A3132" s="2" t="s">
        <v>3728</v>
      </c>
      <c r="B3132" s="2" t="s">
        <v>976</v>
      </c>
      <c r="C3132" s="2" t="s">
        <v>976</v>
      </c>
      <c r="D3132" s="2" t="s">
        <v>6869</v>
      </c>
      <c r="E3132" s="2" t="s">
        <v>4271</v>
      </c>
      <c r="F3132" s="2" t="s">
        <v>6003</v>
      </c>
      <c r="G3132" s="2"/>
    </row>
    <row r="3133" customFormat="false" ht="15" hidden="false" customHeight="false" outlineLevel="0" collapsed="false">
      <c r="A3133" s="2" t="s">
        <v>3728</v>
      </c>
      <c r="B3133" s="2" t="s">
        <v>976</v>
      </c>
      <c r="C3133" s="2" t="s">
        <v>976</v>
      </c>
      <c r="D3133" s="2" t="s">
        <v>6870</v>
      </c>
      <c r="E3133" s="2" t="s">
        <v>4264</v>
      </c>
      <c r="F3133" s="2" t="s">
        <v>6003</v>
      </c>
      <c r="G3133" s="2"/>
    </row>
    <row r="3134" customFormat="false" ht="15" hidden="false" customHeight="false" outlineLevel="0" collapsed="false">
      <c r="A3134" s="2" t="s">
        <v>3732</v>
      </c>
      <c r="B3134" s="2" t="s">
        <v>976</v>
      </c>
      <c r="C3134" s="2" t="s">
        <v>976</v>
      </c>
      <c r="D3134" s="2" t="s">
        <v>6871</v>
      </c>
      <c r="E3134" s="2" t="s">
        <v>4271</v>
      </c>
      <c r="F3134" s="2" t="s">
        <v>6003</v>
      </c>
      <c r="G3134" s="2"/>
    </row>
    <row r="3135" customFormat="false" ht="15" hidden="false" customHeight="false" outlineLevel="0" collapsed="false">
      <c r="A3135" s="2" t="s">
        <v>3732</v>
      </c>
      <c r="B3135" s="2" t="s">
        <v>976</v>
      </c>
      <c r="C3135" s="2" t="s">
        <v>976</v>
      </c>
      <c r="D3135" s="2" t="s">
        <v>6872</v>
      </c>
      <c r="E3135" s="2" t="s">
        <v>4271</v>
      </c>
      <c r="F3135" s="2" t="s">
        <v>6003</v>
      </c>
      <c r="G3135" s="2"/>
    </row>
    <row r="3136" customFormat="false" ht="15" hidden="false" customHeight="false" outlineLevel="0" collapsed="false">
      <c r="A3136" s="2" t="s">
        <v>3732</v>
      </c>
      <c r="B3136" s="2" t="s">
        <v>976</v>
      </c>
      <c r="C3136" s="2" t="s">
        <v>976</v>
      </c>
      <c r="D3136" s="2" t="s">
        <v>6873</v>
      </c>
      <c r="E3136" s="2" t="s">
        <v>4261</v>
      </c>
      <c r="F3136" s="2" t="s">
        <v>6003</v>
      </c>
      <c r="G3136" s="2"/>
    </row>
    <row r="3137" customFormat="false" ht="15" hidden="false" customHeight="false" outlineLevel="0" collapsed="false">
      <c r="A3137" s="2" t="s">
        <v>3735</v>
      </c>
      <c r="B3137" s="2" t="s">
        <v>976</v>
      </c>
      <c r="C3137" s="2" t="s">
        <v>976</v>
      </c>
      <c r="D3137" s="2" t="s">
        <v>6874</v>
      </c>
      <c r="E3137" s="2" t="s">
        <v>4261</v>
      </c>
      <c r="F3137" s="2" t="s">
        <v>6003</v>
      </c>
      <c r="G3137" s="2"/>
    </row>
    <row r="3138" customFormat="false" ht="15" hidden="false" customHeight="false" outlineLevel="0" collapsed="false">
      <c r="A3138" s="2" t="s">
        <v>3735</v>
      </c>
      <c r="B3138" s="2" t="s">
        <v>976</v>
      </c>
      <c r="C3138" s="2" t="s">
        <v>976</v>
      </c>
      <c r="D3138" s="2" t="s">
        <v>6875</v>
      </c>
      <c r="E3138" s="2" t="s">
        <v>4261</v>
      </c>
      <c r="F3138" s="2" t="s">
        <v>6003</v>
      </c>
      <c r="G3138" s="2"/>
    </row>
    <row r="3139" customFormat="false" ht="15" hidden="false" customHeight="false" outlineLevel="0" collapsed="false">
      <c r="A3139" s="2" t="s">
        <v>3737</v>
      </c>
      <c r="B3139" s="2" t="s">
        <v>976</v>
      </c>
      <c r="C3139" s="2" t="s">
        <v>976</v>
      </c>
      <c r="D3139" s="2" t="s">
        <v>6876</v>
      </c>
      <c r="E3139" s="2" t="s">
        <v>4261</v>
      </c>
      <c r="F3139" s="2" t="s">
        <v>6003</v>
      </c>
      <c r="G3139" s="2"/>
    </row>
    <row r="3140" customFormat="false" ht="15" hidden="false" customHeight="false" outlineLevel="0" collapsed="false">
      <c r="A3140" s="2" t="s">
        <v>3737</v>
      </c>
      <c r="B3140" s="2" t="s">
        <v>976</v>
      </c>
      <c r="C3140" s="2" t="s">
        <v>976</v>
      </c>
      <c r="D3140" s="2" t="s">
        <v>6877</v>
      </c>
      <c r="E3140" s="2" t="s">
        <v>4261</v>
      </c>
      <c r="F3140" s="2" t="s">
        <v>6003</v>
      </c>
      <c r="G3140" s="2"/>
    </row>
    <row r="3141" customFormat="false" ht="15" hidden="false" customHeight="false" outlineLevel="0" collapsed="false">
      <c r="A3141" s="2" t="s">
        <v>3737</v>
      </c>
      <c r="B3141" s="2" t="s">
        <v>976</v>
      </c>
      <c r="C3141" s="2" t="s">
        <v>976</v>
      </c>
      <c r="D3141" s="2" t="s">
        <v>6624</v>
      </c>
      <c r="E3141" s="2" t="s">
        <v>4261</v>
      </c>
      <c r="F3141" s="2" t="s">
        <v>6003</v>
      </c>
      <c r="G3141" s="2"/>
    </row>
    <row r="3142" customFormat="false" ht="15" hidden="false" customHeight="false" outlineLevel="0" collapsed="false">
      <c r="A3142" s="2" t="s">
        <v>3737</v>
      </c>
      <c r="B3142" s="2" t="s">
        <v>976</v>
      </c>
      <c r="C3142" s="2" t="s">
        <v>976</v>
      </c>
      <c r="D3142" s="2" t="s">
        <v>6878</v>
      </c>
      <c r="E3142" s="2" t="s">
        <v>4261</v>
      </c>
      <c r="F3142" s="2" t="s">
        <v>6003</v>
      </c>
      <c r="G3142" s="2"/>
    </row>
    <row r="3143" customFormat="false" ht="15" hidden="false" customHeight="false" outlineLevel="0" collapsed="false">
      <c r="A3143" s="2" t="s">
        <v>3737</v>
      </c>
      <c r="B3143" s="2" t="s">
        <v>976</v>
      </c>
      <c r="C3143" s="2" t="s">
        <v>976</v>
      </c>
      <c r="D3143" s="2" t="s">
        <v>6879</v>
      </c>
      <c r="E3143" s="2" t="s">
        <v>4261</v>
      </c>
      <c r="F3143" s="2" t="s">
        <v>6003</v>
      </c>
      <c r="G3143" s="2"/>
    </row>
    <row r="3144" customFormat="false" ht="15" hidden="false" customHeight="false" outlineLevel="0" collapsed="false">
      <c r="A3144" s="2" t="s">
        <v>3739</v>
      </c>
      <c r="B3144" s="2" t="s">
        <v>976</v>
      </c>
      <c r="C3144" s="2" t="s">
        <v>976</v>
      </c>
      <c r="D3144" s="2" t="s">
        <v>4893</v>
      </c>
      <c r="E3144" s="2" t="s">
        <v>4261</v>
      </c>
      <c r="F3144" s="2" t="s">
        <v>6003</v>
      </c>
      <c r="G3144" s="2"/>
    </row>
    <row r="3145" customFormat="false" ht="15" hidden="false" customHeight="false" outlineLevel="0" collapsed="false">
      <c r="A3145" s="2" t="s">
        <v>3739</v>
      </c>
      <c r="B3145" s="2" t="s">
        <v>976</v>
      </c>
      <c r="C3145" s="2" t="s">
        <v>976</v>
      </c>
      <c r="D3145" s="2" t="s">
        <v>6880</v>
      </c>
      <c r="E3145" s="2" t="s">
        <v>4261</v>
      </c>
      <c r="F3145" s="2" t="s">
        <v>6003</v>
      </c>
      <c r="G3145" s="2"/>
    </row>
    <row r="3146" customFormat="false" ht="15" hidden="false" customHeight="false" outlineLevel="0" collapsed="false">
      <c r="A3146" s="2" t="s">
        <v>3739</v>
      </c>
      <c r="B3146" s="2" t="s">
        <v>976</v>
      </c>
      <c r="C3146" s="2" t="s">
        <v>976</v>
      </c>
      <c r="D3146" s="2" t="s">
        <v>6640</v>
      </c>
      <c r="E3146" s="2" t="s">
        <v>4261</v>
      </c>
      <c r="F3146" s="2" t="s">
        <v>6003</v>
      </c>
      <c r="G3146" s="2"/>
    </row>
    <row r="3147" customFormat="false" ht="15" hidden="false" customHeight="false" outlineLevel="0" collapsed="false">
      <c r="A3147" s="2" t="s">
        <v>3739</v>
      </c>
      <c r="B3147" s="2" t="s">
        <v>976</v>
      </c>
      <c r="C3147" s="2" t="s">
        <v>976</v>
      </c>
      <c r="D3147" s="2" t="s">
        <v>1712</v>
      </c>
      <c r="E3147" s="2" t="s">
        <v>4261</v>
      </c>
      <c r="F3147" s="2" t="s">
        <v>6003</v>
      </c>
      <c r="G3147" s="2"/>
    </row>
    <row r="3148" customFormat="false" ht="15" hidden="false" customHeight="false" outlineLevel="0" collapsed="false">
      <c r="A3148" s="2" t="s">
        <v>3747</v>
      </c>
      <c r="B3148" s="2" t="s">
        <v>976</v>
      </c>
      <c r="C3148" s="2" t="s">
        <v>976</v>
      </c>
      <c r="D3148" s="2" t="s">
        <v>3748</v>
      </c>
      <c r="E3148" s="2" t="s">
        <v>4271</v>
      </c>
      <c r="F3148" s="2" t="s">
        <v>6003</v>
      </c>
      <c r="G3148" s="2"/>
    </row>
    <row r="3149" customFormat="false" ht="15" hidden="false" customHeight="false" outlineLevel="0" collapsed="false">
      <c r="A3149" s="2" t="s">
        <v>3796</v>
      </c>
      <c r="B3149" s="2" t="s">
        <v>3795</v>
      </c>
      <c r="C3149" s="2" t="s">
        <v>3763</v>
      </c>
      <c r="D3149" s="2" t="s">
        <v>6881</v>
      </c>
      <c r="E3149" s="2" t="s">
        <v>4264</v>
      </c>
      <c r="F3149" s="2" t="s">
        <v>6003</v>
      </c>
      <c r="G3149" s="2"/>
    </row>
    <row r="3150" customFormat="false" ht="15" hidden="false" customHeight="false" outlineLevel="0" collapsed="false">
      <c r="A3150" s="2" t="s">
        <v>3796</v>
      </c>
      <c r="B3150" s="2" t="s">
        <v>3795</v>
      </c>
      <c r="C3150" s="2" t="s">
        <v>3763</v>
      </c>
      <c r="D3150" s="2" t="s">
        <v>6882</v>
      </c>
      <c r="E3150" s="2" t="s">
        <v>4261</v>
      </c>
      <c r="F3150" s="2" t="s">
        <v>6003</v>
      </c>
      <c r="G3150" s="2"/>
    </row>
    <row r="3151" customFormat="false" ht="15" hidden="false" customHeight="false" outlineLevel="0" collapsed="false">
      <c r="A3151" s="2" t="s">
        <v>3796</v>
      </c>
      <c r="B3151" s="2" t="s">
        <v>3795</v>
      </c>
      <c r="C3151" s="2" t="s">
        <v>3763</v>
      </c>
      <c r="D3151" s="2" t="s">
        <v>6883</v>
      </c>
      <c r="E3151" s="2" t="s">
        <v>4264</v>
      </c>
      <c r="F3151" s="2" t="s">
        <v>6003</v>
      </c>
      <c r="G3151" s="2"/>
    </row>
    <row r="3152" customFormat="false" ht="15" hidden="false" customHeight="false" outlineLevel="0" collapsed="false">
      <c r="A3152" s="2" t="s">
        <v>3837</v>
      </c>
      <c r="B3152" s="2" t="s">
        <v>3828</v>
      </c>
      <c r="C3152" s="2" t="s">
        <v>3829</v>
      </c>
      <c r="D3152" s="2" t="s">
        <v>6884</v>
      </c>
      <c r="E3152" s="2" t="s">
        <v>4261</v>
      </c>
      <c r="F3152" s="2" t="s">
        <v>6003</v>
      </c>
      <c r="G3152" s="2"/>
    </row>
    <row r="3153" customFormat="false" ht="15" hidden="false" customHeight="false" outlineLevel="0" collapsed="false">
      <c r="A3153" s="2" t="s">
        <v>3837</v>
      </c>
      <c r="B3153" s="2" t="s">
        <v>3828</v>
      </c>
      <c r="C3153" s="2" t="s">
        <v>3829</v>
      </c>
      <c r="D3153" s="2" t="s">
        <v>6885</v>
      </c>
      <c r="E3153" s="2" t="s">
        <v>4261</v>
      </c>
      <c r="F3153" s="2" t="s">
        <v>6003</v>
      </c>
      <c r="G3153" s="2"/>
    </row>
    <row r="3154" customFormat="false" ht="15" hidden="false" customHeight="false" outlineLevel="0" collapsed="false">
      <c r="A3154" s="2" t="s">
        <v>3856</v>
      </c>
      <c r="B3154" s="2" t="s">
        <v>3857</v>
      </c>
      <c r="C3154" s="2" t="s">
        <v>3829</v>
      </c>
      <c r="D3154" s="2" t="s">
        <v>6886</v>
      </c>
      <c r="E3154" s="2" t="s">
        <v>4261</v>
      </c>
      <c r="F3154" s="2" t="s">
        <v>6003</v>
      </c>
      <c r="G3154" s="2"/>
    </row>
    <row r="3155" customFormat="false" ht="15" hidden="false" customHeight="false" outlineLevel="0" collapsed="false">
      <c r="A3155" s="2" t="s">
        <v>3856</v>
      </c>
      <c r="B3155" s="2" t="s">
        <v>3857</v>
      </c>
      <c r="C3155" s="2" t="s">
        <v>3829</v>
      </c>
      <c r="D3155" s="2" t="s">
        <v>1707</v>
      </c>
      <c r="E3155" s="2" t="s">
        <v>4261</v>
      </c>
      <c r="F3155" s="2" t="s">
        <v>6003</v>
      </c>
      <c r="G3155" s="2"/>
    </row>
    <row r="3156" customFormat="false" ht="15" hidden="false" customHeight="false" outlineLevel="0" collapsed="false">
      <c r="A3156" s="2" t="s">
        <v>3856</v>
      </c>
      <c r="B3156" s="2" t="s">
        <v>3857</v>
      </c>
      <c r="C3156" s="2" t="s">
        <v>3829</v>
      </c>
      <c r="D3156" s="2" t="s">
        <v>6887</v>
      </c>
      <c r="E3156" s="2" t="s">
        <v>4261</v>
      </c>
      <c r="F3156" s="2" t="s">
        <v>6003</v>
      </c>
      <c r="G3156" s="2"/>
    </row>
    <row r="3157" customFormat="false" ht="15" hidden="false" customHeight="false" outlineLevel="0" collapsed="false">
      <c r="A3157" s="2" t="s">
        <v>3856</v>
      </c>
      <c r="B3157" s="2" t="s">
        <v>3857</v>
      </c>
      <c r="C3157" s="2" t="s">
        <v>3829</v>
      </c>
      <c r="D3157" s="2" t="s">
        <v>6888</v>
      </c>
      <c r="E3157" s="2" t="s">
        <v>4261</v>
      </c>
      <c r="F3157" s="2" t="s">
        <v>6003</v>
      </c>
      <c r="G3157" s="2"/>
    </row>
    <row r="3158" customFormat="false" ht="15" hidden="false" customHeight="false" outlineLevel="0" collapsed="false">
      <c r="A3158" s="2" t="s">
        <v>3894</v>
      </c>
      <c r="B3158" s="2" t="s">
        <v>3799</v>
      </c>
      <c r="C3158" s="2" t="s">
        <v>3769</v>
      </c>
      <c r="D3158" s="2" t="s">
        <v>3895</v>
      </c>
      <c r="E3158" s="2" t="s">
        <v>4261</v>
      </c>
      <c r="F3158" s="2"/>
      <c r="G3158" s="2"/>
    </row>
    <row r="3159" customFormat="false" ht="15" hidden="false" customHeight="false" outlineLevel="0" collapsed="false">
      <c r="A3159" s="2" t="s">
        <v>3912</v>
      </c>
      <c r="B3159" s="2" t="s">
        <v>3913</v>
      </c>
      <c r="C3159" s="2" t="s">
        <v>1685</v>
      </c>
      <c r="D3159" s="2" t="s">
        <v>6889</v>
      </c>
      <c r="E3159" s="2" t="s">
        <v>4261</v>
      </c>
      <c r="F3159" s="2" t="s">
        <v>6003</v>
      </c>
      <c r="G3159" s="2"/>
    </row>
    <row r="3160" customFormat="false" ht="15" hidden="false" customHeight="false" outlineLevel="0" collapsed="false">
      <c r="A3160" s="2" t="s">
        <v>3912</v>
      </c>
      <c r="B3160" s="2" t="s">
        <v>3913</v>
      </c>
      <c r="C3160" s="2" t="s">
        <v>1685</v>
      </c>
      <c r="D3160" s="2" t="s">
        <v>6890</v>
      </c>
      <c r="E3160" s="2" t="s">
        <v>4261</v>
      </c>
      <c r="F3160" s="2" t="s">
        <v>6003</v>
      </c>
      <c r="G3160" s="2"/>
    </row>
    <row r="3161" customFormat="false" ht="15" hidden="false" customHeight="false" outlineLevel="0" collapsed="false">
      <c r="A3161" s="2" t="s">
        <v>3912</v>
      </c>
      <c r="B3161" s="2" t="s">
        <v>3913</v>
      </c>
      <c r="C3161" s="2" t="s">
        <v>1685</v>
      </c>
      <c r="D3161" s="2" t="s">
        <v>6891</v>
      </c>
      <c r="E3161" s="2" t="s">
        <v>4261</v>
      </c>
      <c r="F3161" s="2" t="s">
        <v>6003</v>
      </c>
      <c r="G3161" s="2"/>
    </row>
    <row r="3162" customFormat="false" ht="15" hidden="false" customHeight="false" outlineLevel="0" collapsed="false">
      <c r="A3162" s="2" t="s">
        <v>3912</v>
      </c>
      <c r="B3162" s="2" t="s">
        <v>3913</v>
      </c>
      <c r="C3162" s="2" t="s">
        <v>1685</v>
      </c>
      <c r="D3162" s="2" t="s">
        <v>6892</v>
      </c>
      <c r="E3162" s="2" t="s">
        <v>4264</v>
      </c>
      <c r="F3162" s="2" t="s">
        <v>6003</v>
      </c>
      <c r="G3162" s="2"/>
    </row>
    <row r="3163" customFormat="false" ht="15" hidden="false" customHeight="false" outlineLevel="0" collapsed="false">
      <c r="A3163" s="2" t="s">
        <v>3912</v>
      </c>
      <c r="B3163" s="2" t="s">
        <v>3913</v>
      </c>
      <c r="C3163" s="2" t="s">
        <v>1685</v>
      </c>
      <c r="D3163" s="2" t="s">
        <v>6893</v>
      </c>
      <c r="E3163" s="2" t="s">
        <v>4264</v>
      </c>
      <c r="F3163" s="2" t="s">
        <v>6003</v>
      </c>
      <c r="G3163" s="2"/>
    </row>
    <row r="3164" customFormat="false" ht="15" hidden="false" customHeight="false" outlineLevel="0" collapsed="false">
      <c r="A3164" s="2" t="s">
        <v>3912</v>
      </c>
      <c r="B3164" s="2" t="s">
        <v>3913</v>
      </c>
      <c r="C3164" s="2" t="s">
        <v>1685</v>
      </c>
      <c r="D3164" s="2" t="s">
        <v>6894</v>
      </c>
      <c r="E3164" s="2" t="s">
        <v>4261</v>
      </c>
      <c r="F3164" s="2" t="s">
        <v>6003</v>
      </c>
      <c r="G3164" s="2"/>
    </row>
    <row r="3165" customFormat="false" ht="15" hidden="false" customHeight="false" outlineLevel="0" collapsed="false">
      <c r="A3165" s="2" t="s">
        <v>3912</v>
      </c>
      <c r="B3165" s="2" t="s">
        <v>3913</v>
      </c>
      <c r="C3165" s="2" t="s">
        <v>1685</v>
      </c>
      <c r="D3165" s="2" t="s">
        <v>6895</v>
      </c>
      <c r="E3165" s="2" t="s">
        <v>4261</v>
      </c>
      <c r="F3165" s="2" t="s">
        <v>6003</v>
      </c>
      <c r="G3165" s="2"/>
    </row>
    <row r="3166" customFormat="false" ht="15" hidden="false" customHeight="false" outlineLevel="0" collapsed="false">
      <c r="A3166" s="2" t="s">
        <v>3912</v>
      </c>
      <c r="B3166" s="2" t="s">
        <v>3913</v>
      </c>
      <c r="C3166" s="2" t="s">
        <v>1685</v>
      </c>
      <c r="D3166" s="2" t="s">
        <v>6896</v>
      </c>
      <c r="E3166" s="2" t="s">
        <v>4261</v>
      </c>
      <c r="F3166" s="2" t="s">
        <v>6003</v>
      </c>
      <c r="G3166" s="2"/>
    </row>
    <row r="3167" customFormat="false" ht="15" hidden="false" customHeight="false" outlineLevel="0" collapsed="false">
      <c r="A3167" s="2" t="s">
        <v>3912</v>
      </c>
      <c r="B3167" s="2" t="s">
        <v>3913</v>
      </c>
      <c r="C3167" s="2" t="s">
        <v>1685</v>
      </c>
      <c r="D3167" s="2" t="s">
        <v>6897</v>
      </c>
      <c r="E3167" s="2" t="s">
        <v>4261</v>
      </c>
      <c r="F3167" s="2" t="s">
        <v>6003</v>
      </c>
      <c r="G3167" s="2"/>
    </row>
    <row r="3168" customFormat="false" ht="15" hidden="false" customHeight="false" outlineLevel="0" collapsed="false">
      <c r="A3168" s="2" t="s">
        <v>3912</v>
      </c>
      <c r="B3168" s="2" t="s">
        <v>3913</v>
      </c>
      <c r="C3168" s="2" t="s">
        <v>1685</v>
      </c>
      <c r="D3168" s="2" t="s">
        <v>6898</v>
      </c>
      <c r="E3168" s="2" t="s">
        <v>4261</v>
      </c>
      <c r="F3168" s="2" t="s">
        <v>6003</v>
      </c>
      <c r="G3168" s="2"/>
    </row>
    <row r="3169" customFormat="false" ht="15" hidden="false" customHeight="false" outlineLevel="0" collapsed="false">
      <c r="A3169" s="2" t="s">
        <v>3915</v>
      </c>
      <c r="B3169" s="2" t="s">
        <v>3913</v>
      </c>
      <c r="C3169" s="2" t="s">
        <v>1685</v>
      </c>
      <c r="D3169" s="2" t="s">
        <v>6899</v>
      </c>
      <c r="E3169" s="2" t="s">
        <v>4271</v>
      </c>
      <c r="F3169" s="2" t="s">
        <v>6003</v>
      </c>
      <c r="G3169" s="2"/>
    </row>
    <row r="3170" customFormat="false" ht="15" hidden="false" customHeight="false" outlineLevel="0" collapsed="false">
      <c r="A3170" s="2" t="s">
        <v>3915</v>
      </c>
      <c r="B3170" s="2" t="s">
        <v>3913</v>
      </c>
      <c r="C3170" s="2" t="s">
        <v>1685</v>
      </c>
      <c r="D3170" s="2" t="s">
        <v>6900</v>
      </c>
      <c r="E3170" s="2" t="s">
        <v>4261</v>
      </c>
      <c r="F3170" s="2" t="s">
        <v>6003</v>
      </c>
      <c r="G3170" s="2"/>
    </row>
    <row r="3171" customFormat="false" ht="15" hidden="false" customHeight="false" outlineLevel="0" collapsed="false">
      <c r="A3171" s="2" t="s">
        <v>3915</v>
      </c>
      <c r="B3171" s="2" t="s">
        <v>3913</v>
      </c>
      <c r="C3171" s="2" t="s">
        <v>1685</v>
      </c>
      <c r="D3171" s="2" t="s">
        <v>6901</v>
      </c>
      <c r="E3171" s="2" t="s">
        <v>4261</v>
      </c>
      <c r="F3171" s="2" t="s">
        <v>6003</v>
      </c>
      <c r="G3171" s="2"/>
    </row>
    <row r="3172" customFormat="false" ht="15" hidden="false" customHeight="false" outlineLevel="0" collapsed="false">
      <c r="A3172" s="2" t="s">
        <v>3915</v>
      </c>
      <c r="B3172" s="2" t="s">
        <v>3913</v>
      </c>
      <c r="C3172" s="2" t="s">
        <v>1685</v>
      </c>
      <c r="D3172" s="2" t="s">
        <v>4828</v>
      </c>
      <c r="E3172" s="2" t="s">
        <v>4261</v>
      </c>
      <c r="F3172" s="2" t="s">
        <v>6003</v>
      </c>
      <c r="G3172" s="2"/>
    </row>
    <row r="3173" customFormat="false" ht="15" hidden="false" customHeight="false" outlineLevel="0" collapsed="false">
      <c r="A3173" s="2" t="s">
        <v>3915</v>
      </c>
      <c r="B3173" s="2" t="s">
        <v>3913</v>
      </c>
      <c r="C3173" s="2" t="s">
        <v>1685</v>
      </c>
      <c r="D3173" s="2" t="s">
        <v>6902</v>
      </c>
      <c r="E3173" s="2" t="s">
        <v>4261</v>
      </c>
      <c r="F3173" s="2" t="s">
        <v>6003</v>
      </c>
      <c r="G3173" s="2"/>
    </row>
    <row r="3174" customFormat="false" ht="15" hidden="false" customHeight="false" outlineLevel="0" collapsed="false">
      <c r="A3174" s="2" t="s">
        <v>3915</v>
      </c>
      <c r="B3174" s="2" t="s">
        <v>3913</v>
      </c>
      <c r="C3174" s="2" t="s">
        <v>1685</v>
      </c>
      <c r="D3174" s="2" t="s">
        <v>6903</v>
      </c>
      <c r="E3174" s="2" t="s">
        <v>4261</v>
      </c>
      <c r="F3174" s="2" t="s">
        <v>6003</v>
      </c>
      <c r="G3174" s="2"/>
    </row>
    <row r="3175" customFormat="false" ht="15" hidden="false" customHeight="false" outlineLevel="0" collapsed="false">
      <c r="A3175" s="2" t="s">
        <v>3915</v>
      </c>
      <c r="B3175" s="2" t="s">
        <v>3913</v>
      </c>
      <c r="C3175" s="2" t="s">
        <v>1685</v>
      </c>
      <c r="D3175" s="2" t="s">
        <v>6904</v>
      </c>
      <c r="E3175" s="2" t="s">
        <v>4261</v>
      </c>
      <c r="F3175" s="2" t="s">
        <v>6003</v>
      </c>
      <c r="G3175" s="2"/>
    </row>
    <row r="3176" customFormat="false" ht="15" hidden="false" customHeight="false" outlineLevel="0" collapsed="false">
      <c r="A3176" s="2" t="s">
        <v>3915</v>
      </c>
      <c r="B3176" s="2" t="s">
        <v>3913</v>
      </c>
      <c r="C3176" s="2" t="s">
        <v>1685</v>
      </c>
      <c r="D3176" s="2" t="s">
        <v>6905</v>
      </c>
      <c r="E3176" s="2" t="s">
        <v>4261</v>
      </c>
      <c r="F3176" s="2" t="s">
        <v>6003</v>
      </c>
      <c r="G3176" s="2"/>
    </row>
    <row r="3177" customFormat="false" ht="15" hidden="false" customHeight="false" outlineLevel="0" collapsed="false">
      <c r="A3177" s="2" t="s">
        <v>3915</v>
      </c>
      <c r="B3177" s="2" t="s">
        <v>3913</v>
      </c>
      <c r="C3177" s="2" t="s">
        <v>1685</v>
      </c>
      <c r="D3177" s="2" t="s">
        <v>5587</v>
      </c>
      <c r="E3177" s="2" t="s">
        <v>4261</v>
      </c>
      <c r="F3177" s="2" t="s">
        <v>6003</v>
      </c>
      <c r="G3177" s="2"/>
    </row>
    <row r="3178" customFormat="false" ht="15" hidden="false" customHeight="false" outlineLevel="0" collapsed="false">
      <c r="A3178" s="2" t="s">
        <v>3915</v>
      </c>
      <c r="B3178" s="2" t="s">
        <v>3913</v>
      </c>
      <c r="C3178" s="2" t="s">
        <v>1685</v>
      </c>
      <c r="D3178" s="2" t="s">
        <v>6906</v>
      </c>
      <c r="E3178" s="2" t="s">
        <v>4261</v>
      </c>
      <c r="F3178" s="2" t="s">
        <v>6003</v>
      </c>
      <c r="G3178" s="2"/>
    </row>
    <row r="3179" customFormat="false" ht="15" hidden="false" customHeight="false" outlineLevel="0" collapsed="false">
      <c r="A3179" s="2" t="s">
        <v>3915</v>
      </c>
      <c r="B3179" s="2" t="s">
        <v>3913</v>
      </c>
      <c r="C3179" s="2" t="s">
        <v>1685</v>
      </c>
      <c r="D3179" s="2" t="s">
        <v>6907</v>
      </c>
      <c r="E3179" s="2" t="s">
        <v>4261</v>
      </c>
      <c r="F3179" s="2" t="s">
        <v>6003</v>
      </c>
      <c r="G3179" s="2"/>
    </row>
    <row r="3180" customFormat="false" ht="15" hidden="false" customHeight="false" outlineLevel="0" collapsed="false">
      <c r="A3180" s="2" t="s">
        <v>3915</v>
      </c>
      <c r="B3180" s="2" t="s">
        <v>3913</v>
      </c>
      <c r="C3180" s="2" t="s">
        <v>1685</v>
      </c>
      <c r="D3180" s="2" t="s">
        <v>6908</v>
      </c>
      <c r="E3180" s="2" t="s">
        <v>4261</v>
      </c>
      <c r="F3180" s="2" t="s">
        <v>6003</v>
      </c>
      <c r="G3180" s="2"/>
    </row>
    <row r="3181" customFormat="false" ht="15" hidden="false" customHeight="false" outlineLevel="0" collapsed="false">
      <c r="A3181" s="2" t="s">
        <v>3915</v>
      </c>
      <c r="B3181" s="2" t="s">
        <v>3913</v>
      </c>
      <c r="C3181" s="2" t="s">
        <v>1685</v>
      </c>
      <c r="D3181" s="2" t="s">
        <v>6909</v>
      </c>
      <c r="E3181" s="2" t="s">
        <v>4261</v>
      </c>
      <c r="F3181" s="2" t="s">
        <v>6003</v>
      </c>
      <c r="G3181" s="2"/>
    </row>
    <row r="3182" customFormat="false" ht="15" hidden="false" customHeight="false" outlineLevel="0" collapsed="false">
      <c r="A3182" s="2" t="s">
        <v>3915</v>
      </c>
      <c r="B3182" s="2" t="s">
        <v>3913</v>
      </c>
      <c r="C3182" s="2" t="s">
        <v>1685</v>
      </c>
      <c r="D3182" s="2" t="s">
        <v>6910</v>
      </c>
      <c r="E3182" s="2" t="s">
        <v>4261</v>
      </c>
      <c r="F3182" s="2" t="s">
        <v>6003</v>
      </c>
      <c r="G3182" s="2"/>
    </row>
    <row r="3183" customFormat="false" ht="15" hidden="false" customHeight="false" outlineLevel="0" collapsed="false">
      <c r="A3183" s="2" t="s">
        <v>3915</v>
      </c>
      <c r="B3183" s="2" t="s">
        <v>3913</v>
      </c>
      <c r="C3183" s="2" t="s">
        <v>1685</v>
      </c>
      <c r="D3183" s="2" t="s">
        <v>6911</v>
      </c>
      <c r="E3183" s="2" t="s">
        <v>4261</v>
      </c>
      <c r="F3183" s="2" t="s">
        <v>6003</v>
      </c>
      <c r="G3183" s="2"/>
    </row>
    <row r="3184" customFormat="false" ht="15" hidden="false" customHeight="false" outlineLevel="0" collapsed="false">
      <c r="A3184" s="2" t="s">
        <v>3915</v>
      </c>
      <c r="B3184" s="2" t="s">
        <v>3913</v>
      </c>
      <c r="C3184" s="2" t="s">
        <v>1685</v>
      </c>
      <c r="D3184" s="2" t="s">
        <v>6912</v>
      </c>
      <c r="E3184" s="2" t="s">
        <v>4261</v>
      </c>
      <c r="F3184" s="2" t="s">
        <v>6003</v>
      </c>
      <c r="G3184" s="2"/>
    </row>
    <row r="3185" customFormat="false" ht="15" hidden="false" customHeight="false" outlineLevel="0" collapsed="false">
      <c r="A3185" s="2" t="s">
        <v>3915</v>
      </c>
      <c r="B3185" s="2" t="s">
        <v>3913</v>
      </c>
      <c r="C3185" s="2" t="s">
        <v>1685</v>
      </c>
      <c r="D3185" s="2" t="s">
        <v>270</v>
      </c>
      <c r="E3185" s="2" t="s">
        <v>4271</v>
      </c>
      <c r="F3185" s="2" t="s">
        <v>6003</v>
      </c>
      <c r="G3185" s="2"/>
    </row>
    <row r="3186" customFormat="false" ht="15" hidden="false" customHeight="false" outlineLevel="0" collapsed="false">
      <c r="A3186" s="2" t="s">
        <v>3915</v>
      </c>
      <c r="B3186" s="2" t="s">
        <v>3913</v>
      </c>
      <c r="C3186" s="2" t="s">
        <v>1685</v>
      </c>
      <c r="D3186" s="2" t="s">
        <v>6913</v>
      </c>
      <c r="E3186" s="2" t="s">
        <v>4261</v>
      </c>
      <c r="F3186" s="2" t="s">
        <v>6003</v>
      </c>
      <c r="G3186" s="2"/>
    </row>
    <row r="3187" customFormat="false" ht="15" hidden="false" customHeight="false" outlineLevel="0" collapsed="false">
      <c r="A3187" s="2" t="s">
        <v>3915</v>
      </c>
      <c r="B3187" s="2" t="s">
        <v>3913</v>
      </c>
      <c r="C3187" s="2" t="s">
        <v>1685</v>
      </c>
      <c r="D3187" s="2" t="s">
        <v>6914</v>
      </c>
      <c r="E3187" s="2" t="s">
        <v>4264</v>
      </c>
      <c r="F3187" s="2" t="s">
        <v>6003</v>
      </c>
      <c r="G3187" s="2"/>
    </row>
    <row r="3188" customFormat="false" ht="15" hidden="false" customHeight="false" outlineLevel="0" collapsed="false">
      <c r="A3188" s="2" t="s">
        <v>3915</v>
      </c>
      <c r="B3188" s="2" t="s">
        <v>3913</v>
      </c>
      <c r="C3188" s="2" t="s">
        <v>1685</v>
      </c>
      <c r="D3188" s="2" t="s">
        <v>6915</v>
      </c>
      <c r="E3188" s="2" t="s">
        <v>4261</v>
      </c>
      <c r="F3188" s="2" t="s">
        <v>6003</v>
      </c>
      <c r="G3188" s="2"/>
    </row>
    <row r="3189" customFormat="false" ht="15" hidden="false" customHeight="false" outlineLevel="0" collapsed="false">
      <c r="A3189" s="2" t="s">
        <v>3915</v>
      </c>
      <c r="B3189" s="2" t="s">
        <v>3913</v>
      </c>
      <c r="C3189" s="2" t="s">
        <v>1685</v>
      </c>
      <c r="D3189" s="2" t="s">
        <v>6916</v>
      </c>
      <c r="E3189" s="2" t="s">
        <v>4261</v>
      </c>
      <c r="F3189" s="2" t="s">
        <v>6003</v>
      </c>
      <c r="G3189" s="2"/>
    </row>
    <row r="3190" customFormat="false" ht="15" hidden="false" customHeight="false" outlineLevel="0" collapsed="false">
      <c r="A3190" s="2" t="s">
        <v>3915</v>
      </c>
      <c r="B3190" s="2" t="s">
        <v>3913</v>
      </c>
      <c r="C3190" s="2" t="s">
        <v>1685</v>
      </c>
      <c r="D3190" s="2" t="s">
        <v>6917</v>
      </c>
      <c r="E3190" s="2" t="s">
        <v>4261</v>
      </c>
      <c r="F3190" s="2" t="s">
        <v>6003</v>
      </c>
      <c r="G3190" s="2"/>
    </row>
    <row r="3191" customFormat="false" ht="15" hidden="false" customHeight="false" outlineLevel="0" collapsed="false">
      <c r="A3191" s="2" t="s">
        <v>3915</v>
      </c>
      <c r="B3191" s="2" t="s">
        <v>3913</v>
      </c>
      <c r="C3191" s="2" t="s">
        <v>1685</v>
      </c>
      <c r="D3191" s="2" t="s">
        <v>5056</v>
      </c>
      <c r="E3191" s="2" t="s">
        <v>4261</v>
      </c>
      <c r="F3191" s="2" t="s">
        <v>6003</v>
      </c>
      <c r="G3191" s="2"/>
    </row>
    <row r="3192" customFormat="false" ht="15" hidden="false" customHeight="false" outlineLevel="0" collapsed="false">
      <c r="A3192" s="2" t="s">
        <v>3917</v>
      </c>
      <c r="B3192" s="2" t="s">
        <v>3913</v>
      </c>
      <c r="C3192" s="2" t="s">
        <v>1685</v>
      </c>
      <c r="D3192" s="2" t="s">
        <v>6918</v>
      </c>
      <c r="E3192" s="2" t="s">
        <v>4261</v>
      </c>
      <c r="F3192" s="2" t="s">
        <v>6003</v>
      </c>
      <c r="G3192" s="2"/>
    </row>
    <row r="3193" customFormat="false" ht="15" hidden="false" customHeight="false" outlineLevel="0" collapsed="false">
      <c r="A3193" s="2" t="s">
        <v>3917</v>
      </c>
      <c r="B3193" s="2" t="s">
        <v>3913</v>
      </c>
      <c r="C3193" s="2" t="s">
        <v>1685</v>
      </c>
      <c r="D3193" s="2" t="s">
        <v>6919</v>
      </c>
      <c r="E3193" s="2" t="s">
        <v>4264</v>
      </c>
      <c r="F3193" s="2" t="s">
        <v>6003</v>
      </c>
      <c r="G3193" s="2"/>
    </row>
    <row r="3194" customFormat="false" ht="15" hidden="false" customHeight="false" outlineLevel="0" collapsed="false">
      <c r="A3194" s="2" t="s">
        <v>3917</v>
      </c>
      <c r="B3194" s="2" t="s">
        <v>3913</v>
      </c>
      <c r="C3194" s="2" t="s">
        <v>1685</v>
      </c>
      <c r="D3194" s="2" t="s">
        <v>6920</v>
      </c>
      <c r="E3194" s="2" t="s">
        <v>4261</v>
      </c>
      <c r="F3194" s="2" t="s">
        <v>6003</v>
      </c>
      <c r="G3194" s="2"/>
    </row>
    <row r="3195" customFormat="false" ht="15" hidden="false" customHeight="false" outlineLevel="0" collapsed="false">
      <c r="A3195" s="2" t="s">
        <v>3917</v>
      </c>
      <c r="B3195" s="2" t="s">
        <v>3913</v>
      </c>
      <c r="C3195" s="2" t="s">
        <v>1685</v>
      </c>
      <c r="D3195" s="2" t="s">
        <v>6921</v>
      </c>
      <c r="E3195" s="2" t="s">
        <v>4264</v>
      </c>
      <c r="F3195" s="2" t="s">
        <v>6003</v>
      </c>
      <c r="G3195" s="2"/>
    </row>
    <row r="3196" customFormat="false" ht="15" hidden="false" customHeight="false" outlineLevel="0" collapsed="false">
      <c r="A3196" s="2" t="s">
        <v>3917</v>
      </c>
      <c r="B3196" s="2" t="s">
        <v>3913</v>
      </c>
      <c r="C3196" s="2" t="s">
        <v>1685</v>
      </c>
      <c r="D3196" s="2" t="s">
        <v>6922</v>
      </c>
      <c r="E3196" s="2" t="s">
        <v>4261</v>
      </c>
      <c r="F3196" s="2" t="s">
        <v>6003</v>
      </c>
      <c r="G3196" s="2"/>
    </row>
    <row r="3197" customFormat="false" ht="15" hidden="false" customHeight="false" outlineLevel="0" collapsed="false">
      <c r="A3197" s="2" t="s">
        <v>3917</v>
      </c>
      <c r="B3197" s="2" t="s">
        <v>3913</v>
      </c>
      <c r="C3197" s="2" t="s">
        <v>1685</v>
      </c>
      <c r="D3197" s="2" t="s">
        <v>6923</v>
      </c>
      <c r="E3197" s="2" t="s">
        <v>4261</v>
      </c>
      <c r="F3197" s="2" t="s">
        <v>6003</v>
      </c>
      <c r="G3197" s="2"/>
    </row>
    <row r="3198" customFormat="false" ht="15" hidden="false" customHeight="false" outlineLevel="0" collapsed="false">
      <c r="A3198" s="2" t="s">
        <v>3917</v>
      </c>
      <c r="B3198" s="2" t="s">
        <v>3913</v>
      </c>
      <c r="C3198" s="2" t="s">
        <v>1685</v>
      </c>
      <c r="D3198" s="2" t="s">
        <v>6924</v>
      </c>
      <c r="E3198" s="2" t="s">
        <v>4261</v>
      </c>
      <c r="F3198" s="2" t="s">
        <v>6003</v>
      </c>
      <c r="G3198" s="2"/>
    </row>
    <row r="3199" customFormat="false" ht="15" hidden="false" customHeight="false" outlineLevel="0" collapsed="false">
      <c r="A3199" s="2" t="s">
        <v>3917</v>
      </c>
      <c r="B3199" s="2" t="s">
        <v>3913</v>
      </c>
      <c r="C3199" s="2" t="s">
        <v>1685</v>
      </c>
      <c r="D3199" s="2" t="s">
        <v>6925</v>
      </c>
      <c r="E3199" s="2" t="s">
        <v>4261</v>
      </c>
      <c r="F3199" s="2" t="s">
        <v>6003</v>
      </c>
      <c r="G3199" s="2"/>
    </row>
    <row r="3200" customFormat="false" ht="15" hidden="false" customHeight="false" outlineLevel="0" collapsed="false">
      <c r="A3200" s="2" t="s">
        <v>3917</v>
      </c>
      <c r="B3200" s="2" t="s">
        <v>3913</v>
      </c>
      <c r="C3200" s="2" t="s">
        <v>1685</v>
      </c>
      <c r="D3200" s="2" t="s">
        <v>6926</v>
      </c>
      <c r="E3200" s="2" t="s">
        <v>4261</v>
      </c>
      <c r="F3200" s="2" t="s">
        <v>6003</v>
      </c>
      <c r="G3200" s="2"/>
    </row>
    <row r="3201" customFormat="false" ht="15" hidden="false" customHeight="false" outlineLevel="0" collapsed="false">
      <c r="A3201" s="2" t="s">
        <v>3917</v>
      </c>
      <c r="B3201" s="2" t="s">
        <v>3913</v>
      </c>
      <c r="C3201" s="2" t="s">
        <v>1685</v>
      </c>
      <c r="D3201" s="2" t="s">
        <v>6927</v>
      </c>
      <c r="E3201" s="2" t="s">
        <v>4261</v>
      </c>
      <c r="F3201" s="2" t="s">
        <v>6003</v>
      </c>
      <c r="G3201" s="2"/>
    </row>
    <row r="3202" customFormat="false" ht="15" hidden="false" customHeight="false" outlineLevel="0" collapsed="false">
      <c r="A3202" s="2" t="s">
        <v>3917</v>
      </c>
      <c r="B3202" s="2" t="s">
        <v>3913</v>
      </c>
      <c r="C3202" s="2" t="s">
        <v>1685</v>
      </c>
      <c r="D3202" s="2" t="s">
        <v>6928</v>
      </c>
      <c r="E3202" s="2" t="s">
        <v>4261</v>
      </c>
      <c r="F3202" s="2" t="s">
        <v>6003</v>
      </c>
      <c r="G3202" s="2"/>
    </row>
    <row r="3203" customFormat="false" ht="15" hidden="false" customHeight="false" outlineLevel="0" collapsed="false">
      <c r="A3203" s="2" t="s">
        <v>3917</v>
      </c>
      <c r="B3203" s="2" t="s">
        <v>3913</v>
      </c>
      <c r="C3203" s="2" t="s">
        <v>1685</v>
      </c>
      <c r="D3203" s="2" t="s">
        <v>6929</v>
      </c>
      <c r="E3203" s="2" t="s">
        <v>4261</v>
      </c>
      <c r="F3203" s="2" t="s">
        <v>6003</v>
      </c>
      <c r="G3203" s="2"/>
    </row>
    <row r="3204" customFormat="false" ht="15" hidden="false" customHeight="false" outlineLevel="0" collapsed="false">
      <c r="A3204" s="2" t="s">
        <v>3917</v>
      </c>
      <c r="B3204" s="2" t="s">
        <v>3913</v>
      </c>
      <c r="C3204" s="2" t="s">
        <v>1685</v>
      </c>
      <c r="D3204" s="2" t="s">
        <v>6930</v>
      </c>
      <c r="E3204" s="2" t="s">
        <v>4261</v>
      </c>
      <c r="F3204" s="2" t="s">
        <v>6003</v>
      </c>
      <c r="G3204" s="2"/>
    </row>
    <row r="3205" customFormat="false" ht="15" hidden="false" customHeight="false" outlineLevel="0" collapsed="false">
      <c r="A3205" s="2" t="s">
        <v>3917</v>
      </c>
      <c r="B3205" s="2" t="s">
        <v>3913</v>
      </c>
      <c r="C3205" s="2" t="s">
        <v>1685</v>
      </c>
      <c r="D3205" s="2" t="s">
        <v>6931</v>
      </c>
      <c r="E3205" s="2" t="s">
        <v>4261</v>
      </c>
      <c r="F3205" s="2" t="s">
        <v>6003</v>
      </c>
      <c r="G3205" s="2"/>
    </row>
    <row r="3206" customFormat="false" ht="15" hidden="false" customHeight="false" outlineLevel="0" collapsed="false">
      <c r="A3206" s="2" t="s">
        <v>3917</v>
      </c>
      <c r="B3206" s="2" t="s">
        <v>3913</v>
      </c>
      <c r="C3206" s="2" t="s">
        <v>1685</v>
      </c>
      <c r="D3206" s="2" t="s">
        <v>6932</v>
      </c>
      <c r="E3206" s="2" t="s">
        <v>4261</v>
      </c>
      <c r="F3206" s="2" t="s">
        <v>6003</v>
      </c>
      <c r="G3206" s="2"/>
    </row>
    <row r="3207" customFormat="false" ht="15" hidden="false" customHeight="false" outlineLevel="0" collapsed="false">
      <c r="A3207" s="2" t="s">
        <v>3917</v>
      </c>
      <c r="B3207" s="2" t="s">
        <v>3913</v>
      </c>
      <c r="C3207" s="2" t="s">
        <v>1685</v>
      </c>
      <c r="D3207" s="2" t="s">
        <v>6933</v>
      </c>
      <c r="E3207" s="2" t="s">
        <v>4261</v>
      </c>
      <c r="F3207" s="2" t="s">
        <v>6003</v>
      </c>
      <c r="G3207" s="2"/>
    </row>
    <row r="3208" customFormat="false" ht="15" hidden="false" customHeight="false" outlineLevel="0" collapsed="false">
      <c r="A3208" s="2" t="s">
        <v>3917</v>
      </c>
      <c r="B3208" s="2" t="s">
        <v>3913</v>
      </c>
      <c r="C3208" s="2" t="s">
        <v>1685</v>
      </c>
      <c r="D3208" s="2" t="s">
        <v>6934</v>
      </c>
      <c r="E3208" s="2" t="s">
        <v>4261</v>
      </c>
      <c r="F3208" s="2" t="s">
        <v>6003</v>
      </c>
      <c r="G3208" s="2"/>
    </row>
    <row r="3209" customFormat="false" ht="15" hidden="false" customHeight="false" outlineLevel="0" collapsed="false">
      <c r="A3209" s="2" t="s">
        <v>3917</v>
      </c>
      <c r="B3209" s="2" t="s">
        <v>3913</v>
      </c>
      <c r="C3209" s="2" t="s">
        <v>1685</v>
      </c>
      <c r="D3209" s="2" t="s">
        <v>6935</v>
      </c>
      <c r="E3209" s="2" t="s">
        <v>4264</v>
      </c>
      <c r="F3209" s="2" t="s">
        <v>6003</v>
      </c>
      <c r="G3209" s="2"/>
    </row>
    <row r="3210" customFormat="false" ht="15" hidden="false" customHeight="false" outlineLevel="0" collapsed="false">
      <c r="A3210" s="2" t="s">
        <v>3917</v>
      </c>
      <c r="B3210" s="2" t="s">
        <v>3913</v>
      </c>
      <c r="C3210" s="2" t="s">
        <v>1685</v>
      </c>
      <c r="D3210" s="2" t="s">
        <v>6936</v>
      </c>
      <c r="E3210" s="2" t="s">
        <v>4261</v>
      </c>
      <c r="F3210" s="2" t="s">
        <v>6003</v>
      </c>
      <c r="G3210" s="2"/>
    </row>
    <row r="3211" customFormat="false" ht="15" hidden="false" customHeight="false" outlineLevel="0" collapsed="false">
      <c r="A3211" s="2" t="s">
        <v>3950</v>
      </c>
      <c r="B3211" s="2" t="s">
        <v>3951</v>
      </c>
      <c r="C3211" s="2" t="s">
        <v>1685</v>
      </c>
      <c r="D3211" s="2" t="s">
        <v>6937</v>
      </c>
      <c r="E3211" s="2" t="s">
        <v>4261</v>
      </c>
      <c r="F3211" s="2" t="s">
        <v>6003</v>
      </c>
      <c r="G3211" s="2"/>
    </row>
    <row r="3212" customFormat="false" ht="15" hidden="false" customHeight="false" outlineLevel="0" collapsed="false">
      <c r="A3212" s="2" t="s">
        <v>3950</v>
      </c>
      <c r="B3212" s="2" t="s">
        <v>3951</v>
      </c>
      <c r="C3212" s="2" t="s">
        <v>1685</v>
      </c>
      <c r="D3212" s="2" t="s">
        <v>6938</v>
      </c>
      <c r="E3212" s="2" t="s">
        <v>4261</v>
      </c>
      <c r="F3212" s="2" t="s">
        <v>6003</v>
      </c>
      <c r="G3212" s="2"/>
    </row>
    <row r="3213" customFormat="false" ht="15" hidden="false" customHeight="false" outlineLevel="0" collapsed="false">
      <c r="A3213" s="2" t="s">
        <v>3954</v>
      </c>
      <c r="B3213" s="2" t="s">
        <v>3955</v>
      </c>
      <c r="C3213" s="2" t="s">
        <v>3769</v>
      </c>
      <c r="D3213" s="2" t="s">
        <v>6939</v>
      </c>
      <c r="E3213" s="2" t="s">
        <v>4261</v>
      </c>
      <c r="F3213" s="2"/>
      <c r="G3213" s="2"/>
    </row>
    <row r="3214" customFormat="false" ht="15" hidden="false" customHeight="false" outlineLevel="0" collapsed="false">
      <c r="A3214" s="2" t="s">
        <v>3954</v>
      </c>
      <c r="B3214" s="2" t="s">
        <v>3955</v>
      </c>
      <c r="C3214" s="2" t="s">
        <v>3769</v>
      </c>
      <c r="D3214" s="2" t="s">
        <v>6940</v>
      </c>
      <c r="E3214" s="2" t="s">
        <v>4261</v>
      </c>
      <c r="F3214" s="2"/>
      <c r="G3214" s="2"/>
    </row>
    <row r="3215" customFormat="false" ht="15" hidden="false" customHeight="false" outlineLevel="0" collapsed="false">
      <c r="A3215" s="2" t="s">
        <v>3966</v>
      </c>
      <c r="B3215" s="2" t="s">
        <v>3967</v>
      </c>
      <c r="C3215" s="2" t="s">
        <v>3452</v>
      </c>
      <c r="D3215" s="2" t="s">
        <v>3968</v>
      </c>
      <c r="E3215" s="2" t="s">
        <v>4261</v>
      </c>
      <c r="F3215" s="2"/>
      <c r="G3215" s="2"/>
    </row>
    <row r="3216" customFormat="false" ht="15" hidden="false" customHeight="false" outlineLevel="0" collapsed="false">
      <c r="A3216" s="2" t="s">
        <v>4068</v>
      </c>
      <c r="B3216" s="2" t="s">
        <v>4069</v>
      </c>
      <c r="C3216" s="2" t="s">
        <v>3452</v>
      </c>
      <c r="D3216" s="2" t="s">
        <v>4070</v>
      </c>
      <c r="E3216" s="2" t="s">
        <v>4261</v>
      </c>
      <c r="F3216" s="2"/>
      <c r="G3216" s="2"/>
    </row>
    <row r="3217" customFormat="false" ht="15" hidden="false" customHeight="false" outlineLevel="0" collapsed="false">
      <c r="A3217" s="2" t="s">
        <v>4081</v>
      </c>
      <c r="B3217" s="2" t="s">
        <v>4082</v>
      </c>
      <c r="C3217" s="2" t="s">
        <v>3380</v>
      </c>
      <c r="D3217" s="2" t="s">
        <v>4083</v>
      </c>
      <c r="E3217" s="2" t="s">
        <v>4261</v>
      </c>
      <c r="F3217" s="2"/>
      <c r="G3217" s="2"/>
    </row>
    <row r="3218" customFormat="false" ht="15" hidden="false" customHeight="false" outlineLevel="0" collapsed="false">
      <c r="A3218" s="2" t="s">
        <v>4092</v>
      </c>
      <c r="B3218" s="2" t="s">
        <v>4093</v>
      </c>
      <c r="C3218" s="2" t="s">
        <v>3769</v>
      </c>
      <c r="D3218" s="2" t="s">
        <v>6941</v>
      </c>
      <c r="E3218" s="2" t="s">
        <v>4261</v>
      </c>
      <c r="F3218" s="2"/>
      <c r="G3218" s="2"/>
    </row>
    <row r="3219" customFormat="false" ht="15" hidden="false" customHeight="false" outlineLevel="0" collapsed="false">
      <c r="A3219" s="2" t="s">
        <v>4092</v>
      </c>
      <c r="B3219" s="2" t="s">
        <v>4093</v>
      </c>
      <c r="C3219" s="2" t="s">
        <v>3769</v>
      </c>
      <c r="D3219" s="2" t="s">
        <v>6942</v>
      </c>
      <c r="E3219" s="2" t="s">
        <v>4261</v>
      </c>
      <c r="F3219" s="2"/>
      <c r="G3219" s="2"/>
    </row>
    <row r="3220" customFormat="false" ht="15" hidden="false" customHeight="false" outlineLevel="0" collapsed="false">
      <c r="A3220" s="2" t="s">
        <v>4099</v>
      </c>
      <c r="B3220" s="2" t="s">
        <v>4100</v>
      </c>
      <c r="C3220" s="2" t="s">
        <v>3769</v>
      </c>
      <c r="D3220" s="2" t="s">
        <v>6943</v>
      </c>
      <c r="E3220" s="2" t="s">
        <v>4261</v>
      </c>
      <c r="F3220" s="2"/>
      <c r="G3220" s="2"/>
    </row>
    <row r="3221" customFormat="false" ht="15" hidden="false" customHeight="false" outlineLevel="0" collapsed="false">
      <c r="A3221" s="2" t="s">
        <v>4099</v>
      </c>
      <c r="B3221" s="2" t="s">
        <v>4100</v>
      </c>
      <c r="C3221" s="2" t="s">
        <v>3769</v>
      </c>
      <c r="D3221" s="2" t="s">
        <v>6944</v>
      </c>
      <c r="E3221" s="2" t="s">
        <v>4261</v>
      </c>
      <c r="F3221" s="2"/>
      <c r="G3221" s="2"/>
    </row>
    <row r="3222" customFormat="false" ht="15" hidden="false" customHeight="false" outlineLevel="0" collapsed="false">
      <c r="A3222" s="2" t="s">
        <v>4099</v>
      </c>
      <c r="B3222" s="2" t="s">
        <v>4100</v>
      </c>
      <c r="C3222" s="2" t="s">
        <v>3769</v>
      </c>
      <c r="D3222" s="2" t="s">
        <v>6945</v>
      </c>
      <c r="E3222" s="2" t="s">
        <v>4261</v>
      </c>
      <c r="F3222" s="2"/>
      <c r="G3222" s="2"/>
    </row>
    <row r="3223" customFormat="false" ht="15" hidden="false" customHeight="false" outlineLevel="0" collapsed="false">
      <c r="A3223" s="2" t="s">
        <v>4125</v>
      </c>
      <c r="B3223" s="2" t="s">
        <v>4126</v>
      </c>
      <c r="C3223" s="2" t="s">
        <v>3756</v>
      </c>
      <c r="D3223" s="2" t="s">
        <v>4127</v>
      </c>
      <c r="E3223" s="2" t="s">
        <v>4261</v>
      </c>
      <c r="F3223" s="2"/>
      <c r="G3223" s="2"/>
    </row>
    <row r="3224" customFormat="false" ht="15" hidden="false" customHeight="false" outlineLevel="0" collapsed="false">
      <c r="A3224" s="2" t="s">
        <v>4131</v>
      </c>
      <c r="B3224" s="2" t="s">
        <v>4132</v>
      </c>
      <c r="C3224" s="2" t="s">
        <v>1828</v>
      </c>
      <c r="D3224" s="2" t="s">
        <v>6946</v>
      </c>
      <c r="E3224" s="2" t="s">
        <v>4261</v>
      </c>
      <c r="F3224" s="2"/>
      <c r="G3224" s="2"/>
    </row>
    <row r="3225" customFormat="false" ht="15" hidden="false" customHeight="false" outlineLevel="0" collapsed="false">
      <c r="A3225" s="2" t="s">
        <v>4131</v>
      </c>
      <c r="B3225" s="2" t="s">
        <v>4132</v>
      </c>
      <c r="C3225" s="2" t="s">
        <v>1828</v>
      </c>
      <c r="D3225" s="2" t="s">
        <v>6947</v>
      </c>
      <c r="E3225" s="2" t="s">
        <v>4261</v>
      </c>
      <c r="F3225" s="2"/>
      <c r="G3225" s="2"/>
    </row>
    <row r="3226" customFormat="false" ht="15" hidden="false" customHeight="false" outlineLevel="0" collapsed="false">
      <c r="A3226" s="2" t="s">
        <v>4131</v>
      </c>
      <c r="B3226" s="2" t="s">
        <v>4132</v>
      </c>
      <c r="C3226" s="2" t="s">
        <v>1828</v>
      </c>
      <c r="D3226" s="2" t="s">
        <v>6948</v>
      </c>
      <c r="E3226" s="2" t="s">
        <v>4261</v>
      </c>
      <c r="F3226" s="2"/>
      <c r="G3226" s="2"/>
    </row>
    <row r="3227" customFormat="false" ht="15" hidden="false" customHeight="false" outlineLevel="0" collapsed="false">
      <c r="A3227" s="2" t="s">
        <v>4170</v>
      </c>
      <c r="B3227" s="2" t="s">
        <v>4171</v>
      </c>
      <c r="C3227" s="2" t="s">
        <v>3921</v>
      </c>
      <c r="D3227" s="2" t="s">
        <v>4172</v>
      </c>
      <c r="E3227" s="2" t="s">
        <v>4261</v>
      </c>
      <c r="F3227" s="2"/>
      <c r="G3227" s="2"/>
    </row>
    <row r="3228" customFormat="false" ht="15" hidden="false" customHeight="false" outlineLevel="0" collapsed="false">
      <c r="A3228" s="2" t="s">
        <v>4173</v>
      </c>
      <c r="B3228" s="2" t="s">
        <v>4174</v>
      </c>
      <c r="C3228" s="2" t="s">
        <v>1207</v>
      </c>
      <c r="D3228" s="2" t="s">
        <v>6949</v>
      </c>
      <c r="E3228" s="2" t="s">
        <v>4264</v>
      </c>
      <c r="F3228" s="2" t="s">
        <v>6003</v>
      </c>
      <c r="G3228" s="2"/>
    </row>
    <row r="3229" customFormat="false" ht="15" hidden="false" customHeight="false" outlineLevel="0" collapsed="false">
      <c r="A3229" s="2" t="s">
        <v>4173</v>
      </c>
      <c r="B3229" s="2" t="s">
        <v>4174</v>
      </c>
      <c r="C3229" s="2" t="s">
        <v>1207</v>
      </c>
      <c r="D3229" s="2" t="s">
        <v>6950</v>
      </c>
      <c r="E3229" s="2" t="s">
        <v>4261</v>
      </c>
      <c r="F3229" s="2" t="s">
        <v>6003</v>
      </c>
      <c r="G3229" s="2"/>
    </row>
    <row r="3230" customFormat="false" ht="15" hidden="false" customHeight="false" outlineLevel="0" collapsed="false">
      <c r="A3230" s="2" t="s">
        <v>4173</v>
      </c>
      <c r="B3230" s="2" t="s">
        <v>4174</v>
      </c>
      <c r="C3230" s="2" t="s">
        <v>1207</v>
      </c>
      <c r="D3230" s="2" t="s">
        <v>6951</v>
      </c>
      <c r="E3230" s="2" t="s">
        <v>4261</v>
      </c>
      <c r="F3230" s="2" t="s">
        <v>6003</v>
      </c>
      <c r="G3230" s="2"/>
    </row>
    <row r="3231" customFormat="false" ht="15" hidden="false" customHeight="false" outlineLevel="0" collapsed="false">
      <c r="A3231" s="2" t="s">
        <v>4173</v>
      </c>
      <c r="B3231" s="2" t="s">
        <v>4174</v>
      </c>
      <c r="C3231" s="2" t="s">
        <v>1207</v>
      </c>
      <c r="D3231" s="2" t="s">
        <v>6952</v>
      </c>
      <c r="E3231" s="2" t="s">
        <v>4261</v>
      </c>
      <c r="F3231" s="2" t="s">
        <v>6003</v>
      </c>
      <c r="G3231" s="2"/>
    </row>
    <row r="3232" customFormat="false" ht="15" hidden="false" customHeight="false" outlineLevel="0" collapsed="false">
      <c r="A3232" s="2" t="s">
        <v>4173</v>
      </c>
      <c r="B3232" s="2" t="s">
        <v>4174</v>
      </c>
      <c r="C3232" s="2" t="s">
        <v>1207</v>
      </c>
      <c r="D3232" s="2" t="s">
        <v>4288</v>
      </c>
      <c r="E3232" s="2" t="s">
        <v>4261</v>
      </c>
      <c r="F3232" s="2" t="s">
        <v>6003</v>
      </c>
      <c r="G3232" s="2"/>
    </row>
    <row r="3233" customFormat="false" ht="15" hidden="false" customHeight="false" outlineLevel="0" collapsed="false">
      <c r="A3233" s="2" t="s">
        <v>4173</v>
      </c>
      <c r="B3233" s="2" t="s">
        <v>4174</v>
      </c>
      <c r="C3233" s="2" t="s">
        <v>1207</v>
      </c>
      <c r="D3233" s="2" t="s">
        <v>6953</v>
      </c>
      <c r="E3233" s="2" t="s">
        <v>4261</v>
      </c>
      <c r="F3233" s="2" t="s">
        <v>6003</v>
      </c>
      <c r="G3233" s="2"/>
    </row>
    <row r="3234" customFormat="false" ht="15" hidden="false" customHeight="false" outlineLevel="0" collapsed="false">
      <c r="A3234" s="2" t="s">
        <v>4173</v>
      </c>
      <c r="B3234" s="2" t="s">
        <v>4174</v>
      </c>
      <c r="C3234" s="2" t="s">
        <v>1207</v>
      </c>
      <c r="D3234" s="2" t="s">
        <v>6954</v>
      </c>
      <c r="E3234" s="2" t="s">
        <v>4261</v>
      </c>
      <c r="F3234" s="2" t="s">
        <v>6003</v>
      </c>
      <c r="G3234" s="2"/>
    </row>
    <row r="3235" customFormat="false" ht="15" hidden="false" customHeight="false" outlineLevel="0" collapsed="false">
      <c r="A3235" s="2" t="s">
        <v>4173</v>
      </c>
      <c r="B3235" s="2" t="s">
        <v>4174</v>
      </c>
      <c r="C3235" s="2" t="s">
        <v>1207</v>
      </c>
      <c r="D3235" s="2" t="s">
        <v>6955</v>
      </c>
      <c r="E3235" s="2" t="s">
        <v>4271</v>
      </c>
      <c r="F3235" s="2" t="s">
        <v>6003</v>
      </c>
      <c r="G3235" s="2"/>
    </row>
    <row r="3236" customFormat="false" ht="15" hidden="false" customHeight="false" outlineLevel="0" collapsed="false">
      <c r="A3236" s="2" t="s">
        <v>4173</v>
      </c>
      <c r="B3236" s="2" t="s">
        <v>4174</v>
      </c>
      <c r="C3236" s="2" t="s">
        <v>1207</v>
      </c>
      <c r="D3236" s="2" t="s">
        <v>6956</v>
      </c>
      <c r="E3236" s="2" t="s">
        <v>4264</v>
      </c>
      <c r="F3236" s="2" t="s">
        <v>6003</v>
      </c>
      <c r="G3236" s="2"/>
    </row>
    <row r="3237" customFormat="false" ht="15" hidden="false" customHeight="false" outlineLevel="0" collapsed="false">
      <c r="A3237" s="2" t="s">
        <v>4173</v>
      </c>
      <c r="B3237" s="2" t="s">
        <v>4174</v>
      </c>
      <c r="C3237" s="2" t="s">
        <v>1207</v>
      </c>
      <c r="D3237" s="2" t="s">
        <v>6957</v>
      </c>
      <c r="E3237" s="2" t="s">
        <v>4261</v>
      </c>
      <c r="F3237" s="2" t="s">
        <v>6003</v>
      </c>
      <c r="G3237" s="2"/>
    </row>
    <row r="3238" customFormat="false" ht="15" hidden="false" customHeight="false" outlineLevel="0" collapsed="false">
      <c r="A3238" s="2" t="s">
        <v>4173</v>
      </c>
      <c r="B3238" s="2" t="s">
        <v>4174</v>
      </c>
      <c r="C3238" s="2" t="s">
        <v>1207</v>
      </c>
      <c r="D3238" s="2" t="s">
        <v>6958</v>
      </c>
      <c r="E3238" s="2" t="s">
        <v>4264</v>
      </c>
      <c r="F3238" s="2" t="s">
        <v>6003</v>
      </c>
      <c r="G3238" s="2"/>
    </row>
    <row r="3239" customFormat="false" ht="15" hidden="false" customHeight="false" outlineLevel="0" collapsed="false">
      <c r="A3239" s="2" t="s">
        <v>4173</v>
      </c>
      <c r="B3239" s="2" t="s">
        <v>4174</v>
      </c>
      <c r="C3239" s="2" t="s">
        <v>1207</v>
      </c>
      <c r="D3239" s="2" t="s">
        <v>6959</v>
      </c>
      <c r="E3239" s="2" t="s">
        <v>4261</v>
      </c>
      <c r="F3239" s="2" t="s">
        <v>6003</v>
      </c>
      <c r="G3239" s="2"/>
    </row>
    <row r="3240" customFormat="false" ht="15" hidden="false" customHeight="false" outlineLevel="0" collapsed="false">
      <c r="A3240" s="2" t="s">
        <v>4173</v>
      </c>
      <c r="B3240" s="2" t="s">
        <v>4174</v>
      </c>
      <c r="C3240" s="2" t="s">
        <v>1207</v>
      </c>
      <c r="D3240" s="2" t="s">
        <v>6960</v>
      </c>
      <c r="E3240" s="2" t="s">
        <v>4261</v>
      </c>
      <c r="F3240" s="2" t="s">
        <v>6003</v>
      </c>
      <c r="G3240" s="2"/>
    </row>
    <row r="3241" customFormat="false" ht="15" hidden="false" customHeight="false" outlineLevel="0" collapsed="false">
      <c r="A3241" s="2" t="s">
        <v>4173</v>
      </c>
      <c r="B3241" s="2" t="s">
        <v>4174</v>
      </c>
      <c r="C3241" s="2" t="s">
        <v>1207</v>
      </c>
      <c r="D3241" s="2" t="s">
        <v>6961</v>
      </c>
      <c r="E3241" s="2" t="s">
        <v>4261</v>
      </c>
      <c r="F3241" s="2" t="s">
        <v>6003</v>
      </c>
      <c r="G3241" s="2"/>
    </row>
    <row r="3242" customFormat="false" ht="15" hidden="false" customHeight="false" outlineLevel="0" collapsed="false">
      <c r="A3242" s="2" t="s">
        <v>4173</v>
      </c>
      <c r="B3242" s="2" t="s">
        <v>4174</v>
      </c>
      <c r="C3242" s="2" t="s">
        <v>1207</v>
      </c>
      <c r="D3242" s="2" t="s">
        <v>6962</v>
      </c>
      <c r="E3242" s="2" t="s">
        <v>4261</v>
      </c>
      <c r="F3242" s="2" t="s">
        <v>6003</v>
      </c>
      <c r="G3242" s="2"/>
    </row>
    <row r="3243" customFormat="false" ht="15" hidden="false" customHeight="false" outlineLevel="0" collapsed="false">
      <c r="A3243" s="2" t="s">
        <v>4173</v>
      </c>
      <c r="B3243" s="2" t="s">
        <v>4174</v>
      </c>
      <c r="C3243" s="2" t="s">
        <v>1207</v>
      </c>
      <c r="D3243" s="2" t="s">
        <v>6963</v>
      </c>
      <c r="E3243" s="2" t="s">
        <v>4264</v>
      </c>
      <c r="F3243" s="2" t="s">
        <v>6003</v>
      </c>
      <c r="G3243" s="2"/>
    </row>
    <row r="3244" customFormat="false" ht="15" hidden="false" customHeight="false" outlineLevel="0" collapsed="false">
      <c r="A3244" s="2" t="s">
        <v>4173</v>
      </c>
      <c r="B3244" s="2" t="s">
        <v>4174</v>
      </c>
      <c r="C3244" s="2" t="s">
        <v>1207</v>
      </c>
      <c r="D3244" s="2" t="s">
        <v>6964</v>
      </c>
      <c r="E3244" s="2" t="s">
        <v>4261</v>
      </c>
      <c r="F3244" s="2" t="s">
        <v>6003</v>
      </c>
      <c r="G3244" s="2"/>
    </row>
    <row r="3245" customFormat="false" ht="15" hidden="false" customHeight="false" outlineLevel="0" collapsed="false">
      <c r="A3245" s="2" t="s">
        <v>4173</v>
      </c>
      <c r="B3245" s="2" t="s">
        <v>4174</v>
      </c>
      <c r="C3245" s="2" t="s">
        <v>1207</v>
      </c>
      <c r="D3245" s="2" t="s">
        <v>6965</v>
      </c>
      <c r="E3245" s="2" t="s">
        <v>4261</v>
      </c>
      <c r="F3245" s="2" t="s">
        <v>6003</v>
      </c>
      <c r="G3245" s="2"/>
    </row>
    <row r="3246" customFormat="false" ht="15" hidden="false" customHeight="false" outlineLevel="0" collapsed="false">
      <c r="A3246" s="2" t="s">
        <v>4173</v>
      </c>
      <c r="B3246" s="2" t="s">
        <v>4174</v>
      </c>
      <c r="C3246" s="2" t="s">
        <v>1207</v>
      </c>
      <c r="D3246" s="2" t="s">
        <v>6966</v>
      </c>
      <c r="E3246" s="2" t="s">
        <v>4261</v>
      </c>
      <c r="F3246" s="2" t="s">
        <v>6003</v>
      </c>
      <c r="G3246" s="2"/>
    </row>
    <row r="3247" customFormat="false" ht="15" hidden="false" customHeight="false" outlineLevel="0" collapsed="false">
      <c r="A3247" s="2" t="s">
        <v>4173</v>
      </c>
      <c r="B3247" s="2" t="s">
        <v>4174</v>
      </c>
      <c r="C3247" s="2" t="s">
        <v>1207</v>
      </c>
      <c r="D3247" s="2" t="s">
        <v>6967</v>
      </c>
      <c r="E3247" s="2" t="s">
        <v>4261</v>
      </c>
      <c r="F3247" s="2" t="s">
        <v>6003</v>
      </c>
      <c r="G3247" s="2"/>
    </row>
    <row r="3248" customFormat="false" ht="15" hidden="false" customHeight="false" outlineLevel="0" collapsed="false">
      <c r="A3248" s="2" t="s">
        <v>4173</v>
      </c>
      <c r="B3248" s="2" t="s">
        <v>4174</v>
      </c>
      <c r="C3248" s="2" t="s">
        <v>1207</v>
      </c>
      <c r="D3248" s="2" t="s">
        <v>6968</v>
      </c>
      <c r="E3248" s="2" t="s">
        <v>4261</v>
      </c>
      <c r="F3248" s="2" t="s">
        <v>6003</v>
      </c>
      <c r="G3248" s="2"/>
    </row>
    <row r="3249" customFormat="false" ht="15" hidden="false" customHeight="false" outlineLevel="0" collapsed="false">
      <c r="A3249" s="2" t="s">
        <v>4173</v>
      </c>
      <c r="B3249" s="2" t="s">
        <v>4174</v>
      </c>
      <c r="C3249" s="2" t="s">
        <v>1207</v>
      </c>
      <c r="D3249" s="2" t="s">
        <v>6969</v>
      </c>
      <c r="E3249" s="2" t="s">
        <v>4261</v>
      </c>
      <c r="F3249" s="2" t="s">
        <v>6003</v>
      </c>
      <c r="G3249" s="2"/>
    </row>
    <row r="3250" customFormat="false" ht="15" hidden="false" customHeight="false" outlineLevel="0" collapsed="false">
      <c r="A3250" s="2" t="s">
        <v>4173</v>
      </c>
      <c r="B3250" s="2" t="s">
        <v>4174</v>
      </c>
      <c r="C3250" s="2" t="s">
        <v>1207</v>
      </c>
      <c r="D3250" s="2" t="s">
        <v>6970</v>
      </c>
      <c r="E3250" s="2" t="s">
        <v>4261</v>
      </c>
      <c r="F3250" s="2" t="s">
        <v>6003</v>
      </c>
      <c r="G3250" s="2"/>
    </row>
    <row r="3251" customFormat="false" ht="15" hidden="false" customHeight="false" outlineLevel="0" collapsed="false">
      <c r="A3251" s="2" t="s">
        <v>4173</v>
      </c>
      <c r="B3251" s="2" t="s">
        <v>4174</v>
      </c>
      <c r="C3251" s="2" t="s">
        <v>1207</v>
      </c>
      <c r="D3251" s="2" t="s">
        <v>6971</v>
      </c>
      <c r="E3251" s="2" t="s">
        <v>4261</v>
      </c>
      <c r="F3251" s="2" t="s">
        <v>6003</v>
      </c>
      <c r="G3251" s="2"/>
    </row>
    <row r="3252" customFormat="false" ht="15" hidden="false" customHeight="false" outlineLevel="0" collapsed="false">
      <c r="A3252" s="2" t="s">
        <v>4173</v>
      </c>
      <c r="B3252" s="2" t="s">
        <v>4174</v>
      </c>
      <c r="C3252" s="2" t="s">
        <v>1207</v>
      </c>
      <c r="D3252" s="2" t="s">
        <v>6972</v>
      </c>
      <c r="E3252" s="2" t="s">
        <v>4261</v>
      </c>
      <c r="F3252" s="2" t="s">
        <v>6003</v>
      </c>
      <c r="G3252" s="2"/>
    </row>
    <row r="3253" customFormat="false" ht="15" hidden="false" customHeight="false" outlineLevel="0" collapsed="false">
      <c r="A3253" s="2" t="s">
        <v>4173</v>
      </c>
      <c r="B3253" s="2" t="s">
        <v>4174</v>
      </c>
      <c r="C3253" s="2" t="s">
        <v>1207</v>
      </c>
      <c r="D3253" s="2" t="s">
        <v>6973</v>
      </c>
      <c r="E3253" s="2" t="s">
        <v>4261</v>
      </c>
      <c r="F3253" s="2" t="s">
        <v>6003</v>
      </c>
      <c r="G3253" s="2"/>
    </row>
    <row r="3254" customFormat="false" ht="15" hidden="false" customHeight="false" outlineLevel="0" collapsed="false">
      <c r="A3254" s="2" t="s">
        <v>4173</v>
      </c>
      <c r="B3254" s="2" t="s">
        <v>4174</v>
      </c>
      <c r="C3254" s="2" t="s">
        <v>1207</v>
      </c>
      <c r="D3254" s="2" t="s">
        <v>5450</v>
      </c>
      <c r="E3254" s="2" t="s">
        <v>4261</v>
      </c>
      <c r="F3254" s="2" t="s">
        <v>6003</v>
      </c>
      <c r="G3254" s="2"/>
    </row>
    <row r="3255" customFormat="false" ht="15" hidden="false" customHeight="false" outlineLevel="0" collapsed="false">
      <c r="A3255" s="2" t="s">
        <v>4173</v>
      </c>
      <c r="B3255" s="2" t="s">
        <v>4174</v>
      </c>
      <c r="C3255" s="2" t="s">
        <v>1207</v>
      </c>
      <c r="D3255" s="2" t="s">
        <v>6974</v>
      </c>
      <c r="E3255" s="2" t="s">
        <v>4261</v>
      </c>
      <c r="F3255" s="2" t="s">
        <v>6003</v>
      </c>
      <c r="G3255" s="2"/>
    </row>
    <row r="3256" customFormat="false" ht="15" hidden="false" customHeight="false" outlineLevel="0" collapsed="false">
      <c r="A3256" s="2" t="s">
        <v>4173</v>
      </c>
      <c r="B3256" s="2" t="s">
        <v>4174</v>
      </c>
      <c r="C3256" s="2" t="s">
        <v>1207</v>
      </c>
      <c r="D3256" s="2" t="s">
        <v>6975</v>
      </c>
      <c r="E3256" s="2" t="s">
        <v>4261</v>
      </c>
      <c r="F3256" s="2" t="s">
        <v>6003</v>
      </c>
      <c r="G3256" s="2"/>
    </row>
    <row r="3257" customFormat="false" ht="15" hidden="false" customHeight="false" outlineLevel="0" collapsed="false">
      <c r="A3257" s="2" t="s">
        <v>4173</v>
      </c>
      <c r="B3257" s="2" t="s">
        <v>4174</v>
      </c>
      <c r="C3257" s="2" t="s">
        <v>1207</v>
      </c>
      <c r="D3257" s="2" t="s">
        <v>6976</v>
      </c>
      <c r="E3257" s="2" t="s">
        <v>4261</v>
      </c>
      <c r="F3257" s="2" t="s">
        <v>6003</v>
      </c>
      <c r="G3257" s="2"/>
    </row>
    <row r="3258" customFormat="false" ht="15" hidden="false" customHeight="false" outlineLevel="0" collapsed="false">
      <c r="A3258" s="2" t="s">
        <v>4173</v>
      </c>
      <c r="B3258" s="2" t="s">
        <v>4174</v>
      </c>
      <c r="C3258" s="2" t="s">
        <v>1207</v>
      </c>
      <c r="D3258" s="2" t="s">
        <v>6977</v>
      </c>
      <c r="E3258" s="2" t="s">
        <v>4261</v>
      </c>
      <c r="F3258" s="2" t="s">
        <v>6003</v>
      </c>
      <c r="G3258" s="2"/>
    </row>
    <row r="3259" customFormat="false" ht="15" hidden="false" customHeight="false" outlineLevel="0" collapsed="false">
      <c r="A3259" s="2" t="s">
        <v>4173</v>
      </c>
      <c r="B3259" s="2" t="s">
        <v>4174</v>
      </c>
      <c r="C3259" s="2" t="s">
        <v>1207</v>
      </c>
      <c r="D3259" s="2" t="s">
        <v>6978</v>
      </c>
      <c r="E3259" s="2" t="s">
        <v>4261</v>
      </c>
      <c r="F3259" s="2" t="s">
        <v>6003</v>
      </c>
      <c r="G3259" s="2"/>
    </row>
    <row r="3260" customFormat="false" ht="15" hidden="false" customHeight="false" outlineLevel="0" collapsed="false">
      <c r="A3260" s="2" t="s">
        <v>4173</v>
      </c>
      <c r="B3260" s="2" t="s">
        <v>4174</v>
      </c>
      <c r="C3260" s="2" t="s">
        <v>1207</v>
      </c>
      <c r="D3260" s="2" t="s">
        <v>6979</v>
      </c>
      <c r="E3260" s="2" t="s">
        <v>4261</v>
      </c>
      <c r="F3260" s="2" t="s">
        <v>6003</v>
      </c>
      <c r="G3260" s="2"/>
    </row>
    <row r="3261" customFormat="false" ht="15" hidden="false" customHeight="false" outlineLevel="0" collapsed="false">
      <c r="A3261" s="2" t="s">
        <v>4173</v>
      </c>
      <c r="B3261" s="2" t="s">
        <v>4174</v>
      </c>
      <c r="C3261" s="2" t="s">
        <v>1207</v>
      </c>
      <c r="D3261" s="2" t="s">
        <v>6980</v>
      </c>
      <c r="E3261" s="2" t="s">
        <v>4261</v>
      </c>
      <c r="F3261" s="2" t="s">
        <v>6003</v>
      </c>
      <c r="G3261" s="2"/>
    </row>
    <row r="3262" customFormat="false" ht="15" hidden="false" customHeight="false" outlineLevel="0" collapsed="false">
      <c r="A3262" s="2" t="s">
        <v>4173</v>
      </c>
      <c r="B3262" s="2" t="s">
        <v>4174</v>
      </c>
      <c r="C3262" s="2" t="s">
        <v>1207</v>
      </c>
      <c r="D3262" s="2" t="s">
        <v>6981</v>
      </c>
      <c r="E3262" s="2" t="s">
        <v>4261</v>
      </c>
      <c r="F3262" s="2" t="s">
        <v>6003</v>
      </c>
      <c r="G3262" s="2"/>
    </row>
    <row r="3263" customFormat="false" ht="15" hidden="false" customHeight="false" outlineLevel="0" collapsed="false">
      <c r="A3263" s="2" t="s">
        <v>4173</v>
      </c>
      <c r="B3263" s="2" t="s">
        <v>4174</v>
      </c>
      <c r="C3263" s="2" t="s">
        <v>1207</v>
      </c>
      <c r="D3263" s="2" t="s">
        <v>6982</v>
      </c>
      <c r="E3263" s="2" t="s">
        <v>4261</v>
      </c>
      <c r="F3263" s="2" t="s">
        <v>6003</v>
      </c>
      <c r="G3263" s="2"/>
    </row>
    <row r="3264" customFormat="false" ht="15" hidden="false" customHeight="false" outlineLevel="0" collapsed="false">
      <c r="A3264" s="2" t="s">
        <v>4173</v>
      </c>
      <c r="B3264" s="2" t="s">
        <v>4174</v>
      </c>
      <c r="C3264" s="2" t="s">
        <v>1207</v>
      </c>
      <c r="D3264" s="2" t="s">
        <v>6983</v>
      </c>
      <c r="E3264" s="2" t="s">
        <v>4261</v>
      </c>
      <c r="F3264" s="2" t="s">
        <v>6003</v>
      </c>
      <c r="G3264" s="2"/>
    </row>
    <row r="3265" customFormat="false" ht="15" hidden="false" customHeight="false" outlineLevel="0" collapsed="false">
      <c r="A3265" s="2" t="s">
        <v>4173</v>
      </c>
      <c r="B3265" s="2" t="s">
        <v>4174</v>
      </c>
      <c r="C3265" s="2" t="s">
        <v>1207</v>
      </c>
      <c r="D3265" s="2" t="s">
        <v>6984</v>
      </c>
      <c r="E3265" s="2" t="s">
        <v>4261</v>
      </c>
      <c r="F3265" s="2" t="s">
        <v>6003</v>
      </c>
      <c r="G3265" s="2"/>
    </row>
    <row r="3266" customFormat="false" ht="15" hidden="false" customHeight="false" outlineLevel="0" collapsed="false">
      <c r="A3266" s="2" t="s">
        <v>4173</v>
      </c>
      <c r="B3266" s="2" t="s">
        <v>4174</v>
      </c>
      <c r="C3266" s="2" t="s">
        <v>1207</v>
      </c>
      <c r="D3266" s="2" t="s">
        <v>6985</v>
      </c>
      <c r="E3266" s="2" t="s">
        <v>4261</v>
      </c>
      <c r="F3266" s="2" t="s">
        <v>6003</v>
      </c>
      <c r="G3266" s="2"/>
    </row>
    <row r="3267" customFormat="false" ht="15" hidden="false" customHeight="false" outlineLevel="0" collapsed="false">
      <c r="A3267" s="2" t="s">
        <v>4173</v>
      </c>
      <c r="B3267" s="2" t="s">
        <v>4174</v>
      </c>
      <c r="C3267" s="2" t="s">
        <v>1207</v>
      </c>
      <c r="D3267" s="2" t="s">
        <v>6986</v>
      </c>
      <c r="E3267" s="2" t="s">
        <v>4261</v>
      </c>
      <c r="F3267" s="2" t="s">
        <v>6003</v>
      </c>
      <c r="G3267" s="2"/>
    </row>
    <row r="3268" customFormat="false" ht="15" hidden="false" customHeight="false" outlineLevel="0" collapsed="false">
      <c r="A3268" s="2" t="s">
        <v>4173</v>
      </c>
      <c r="B3268" s="2" t="s">
        <v>4174</v>
      </c>
      <c r="C3268" s="2" t="s">
        <v>1207</v>
      </c>
      <c r="D3268" s="2" t="s">
        <v>6987</v>
      </c>
      <c r="E3268" s="2" t="s">
        <v>4261</v>
      </c>
      <c r="F3268" s="2" t="s">
        <v>6003</v>
      </c>
      <c r="G3268" s="2"/>
    </row>
    <row r="3269" customFormat="false" ht="15" hidden="false" customHeight="false" outlineLevel="0" collapsed="false">
      <c r="A3269" s="2" t="s">
        <v>4173</v>
      </c>
      <c r="B3269" s="2" t="s">
        <v>4174</v>
      </c>
      <c r="C3269" s="2" t="s">
        <v>1207</v>
      </c>
      <c r="D3269" s="2" t="s">
        <v>6988</v>
      </c>
      <c r="E3269" s="2" t="s">
        <v>4261</v>
      </c>
      <c r="F3269" s="2" t="s">
        <v>6003</v>
      </c>
      <c r="G3269" s="2"/>
    </row>
    <row r="3270" customFormat="false" ht="15" hidden="false" customHeight="false" outlineLevel="0" collapsed="false">
      <c r="A3270" s="2" t="s">
        <v>4173</v>
      </c>
      <c r="B3270" s="2" t="s">
        <v>4174</v>
      </c>
      <c r="C3270" s="2" t="s">
        <v>1207</v>
      </c>
      <c r="D3270" s="2" t="s">
        <v>6989</v>
      </c>
      <c r="E3270" s="2" t="s">
        <v>4261</v>
      </c>
      <c r="F3270" s="2" t="s">
        <v>6003</v>
      </c>
      <c r="G3270" s="2"/>
    </row>
    <row r="3271" customFormat="false" ht="15" hidden="false" customHeight="false" outlineLevel="0" collapsed="false">
      <c r="A3271" s="2" t="s">
        <v>4173</v>
      </c>
      <c r="B3271" s="2" t="s">
        <v>4174</v>
      </c>
      <c r="C3271" s="2" t="s">
        <v>1207</v>
      </c>
      <c r="D3271" s="2" t="s">
        <v>6990</v>
      </c>
      <c r="E3271" s="2" t="s">
        <v>4261</v>
      </c>
      <c r="F3271" s="2" t="s">
        <v>6003</v>
      </c>
      <c r="G3271" s="2"/>
    </row>
    <row r="3272" customFormat="false" ht="15" hidden="false" customHeight="false" outlineLevel="0" collapsed="false">
      <c r="A3272" s="2" t="s">
        <v>4173</v>
      </c>
      <c r="B3272" s="2" t="s">
        <v>4174</v>
      </c>
      <c r="C3272" s="2" t="s">
        <v>1207</v>
      </c>
      <c r="D3272" s="2" t="s">
        <v>6991</v>
      </c>
      <c r="E3272" s="2" t="s">
        <v>4261</v>
      </c>
      <c r="F3272" s="2" t="s">
        <v>6003</v>
      </c>
      <c r="G3272" s="2"/>
    </row>
    <row r="3273" customFormat="false" ht="15" hidden="false" customHeight="false" outlineLevel="0" collapsed="false">
      <c r="A3273" s="2" t="s">
        <v>4173</v>
      </c>
      <c r="B3273" s="2" t="s">
        <v>4174</v>
      </c>
      <c r="C3273" s="2" t="s">
        <v>1207</v>
      </c>
      <c r="D3273" s="2" t="s">
        <v>6992</v>
      </c>
      <c r="E3273" s="2" t="s">
        <v>4261</v>
      </c>
      <c r="F3273" s="2" t="s">
        <v>6003</v>
      </c>
      <c r="G3273" s="2"/>
    </row>
    <row r="3274" customFormat="false" ht="15" hidden="false" customHeight="false" outlineLevel="0" collapsed="false">
      <c r="A3274" s="2" t="s">
        <v>4173</v>
      </c>
      <c r="B3274" s="2" t="s">
        <v>4174</v>
      </c>
      <c r="C3274" s="2" t="s">
        <v>1207</v>
      </c>
      <c r="D3274" s="2" t="s">
        <v>6993</v>
      </c>
      <c r="E3274" s="2" t="s">
        <v>4261</v>
      </c>
      <c r="F3274" s="2" t="s">
        <v>6003</v>
      </c>
      <c r="G3274" s="2"/>
    </row>
    <row r="3275" customFormat="false" ht="15" hidden="false" customHeight="false" outlineLevel="0" collapsed="false">
      <c r="A3275" s="2" t="s">
        <v>4173</v>
      </c>
      <c r="B3275" s="2" t="s">
        <v>4174</v>
      </c>
      <c r="C3275" s="2" t="s">
        <v>1207</v>
      </c>
      <c r="D3275" s="2" t="s">
        <v>6994</v>
      </c>
      <c r="E3275" s="2" t="s">
        <v>4261</v>
      </c>
      <c r="F3275" s="2" t="s">
        <v>6003</v>
      </c>
      <c r="G3275" s="2"/>
    </row>
    <row r="3276" customFormat="false" ht="15" hidden="false" customHeight="false" outlineLevel="0" collapsed="false">
      <c r="A3276" s="2" t="s">
        <v>4173</v>
      </c>
      <c r="B3276" s="2" t="s">
        <v>4174</v>
      </c>
      <c r="C3276" s="2" t="s">
        <v>1207</v>
      </c>
      <c r="D3276" s="2" t="s">
        <v>4324</v>
      </c>
      <c r="E3276" s="2" t="s">
        <v>4261</v>
      </c>
      <c r="F3276" s="2" t="s">
        <v>6003</v>
      </c>
      <c r="G3276" s="2"/>
    </row>
    <row r="3277" customFormat="false" ht="15" hidden="false" customHeight="false" outlineLevel="0" collapsed="false">
      <c r="A3277" s="2" t="s">
        <v>4173</v>
      </c>
      <c r="B3277" s="2" t="s">
        <v>4174</v>
      </c>
      <c r="C3277" s="2" t="s">
        <v>1207</v>
      </c>
      <c r="D3277" s="2" t="s">
        <v>1321</v>
      </c>
      <c r="E3277" s="2" t="s">
        <v>4261</v>
      </c>
      <c r="F3277" s="2" t="s">
        <v>6003</v>
      </c>
      <c r="G3277" s="2"/>
    </row>
    <row r="3278" customFormat="false" ht="15" hidden="false" customHeight="false" outlineLevel="0" collapsed="false">
      <c r="A3278" s="2" t="s">
        <v>4173</v>
      </c>
      <c r="B3278" s="2" t="s">
        <v>4174</v>
      </c>
      <c r="C3278" s="2" t="s">
        <v>1207</v>
      </c>
      <c r="D3278" s="2" t="s">
        <v>6995</v>
      </c>
      <c r="E3278" s="2" t="s">
        <v>4261</v>
      </c>
      <c r="F3278" s="2" t="s">
        <v>6003</v>
      </c>
      <c r="G3278" s="2"/>
    </row>
    <row r="3279" customFormat="false" ht="15" hidden="false" customHeight="false" outlineLevel="0" collapsed="false">
      <c r="A3279" s="2" t="s">
        <v>4173</v>
      </c>
      <c r="B3279" s="2" t="s">
        <v>4174</v>
      </c>
      <c r="C3279" s="2" t="s">
        <v>1207</v>
      </c>
      <c r="D3279" s="2" t="s">
        <v>6996</v>
      </c>
      <c r="E3279" s="2" t="s">
        <v>4264</v>
      </c>
      <c r="F3279" s="2" t="s">
        <v>6003</v>
      </c>
      <c r="G3279" s="2"/>
    </row>
    <row r="3280" customFormat="false" ht="15" hidden="false" customHeight="false" outlineLevel="0" collapsed="false">
      <c r="A3280" s="2" t="s">
        <v>4173</v>
      </c>
      <c r="B3280" s="2" t="s">
        <v>4174</v>
      </c>
      <c r="C3280" s="2" t="s">
        <v>1207</v>
      </c>
      <c r="D3280" s="2" t="s">
        <v>6997</v>
      </c>
      <c r="E3280" s="2" t="s">
        <v>4264</v>
      </c>
      <c r="F3280" s="2" t="s">
        <v>6003</v>
      </c>
      <c r="G3280" s="2"/>
    </row>
    <row r="3281" customFormat="false" ht="15" hidden="false" customHeight="false" outlineLevel="0" collapsed="false">
      <c r="A3281" s="2" t="s">
        <v>4173</v>
      </c>
      <c r="B3281" s="2" t="s">
        <v>4174</v>
      </c>
      <c r="C3281" s="2" t="s">
        <v>1207</v>
      </c>
      <c r="D3281" s="2" t="s">
        <v>6998</v>
      </c>
      <c r="E3281" s="2" t="s">
        <v>4264</v>
      </c>
      <c r="F3281" s="2" t="s">
        <v>6003</v>
      </c>
      <c r="G3281" s="2"/>
    </row>
    <row r="3282" customFormat="false" ht="15" hidden="false" customHeight="false" outlineLevel="0" collapsed="false">
      <c r="A3282" s="2" t="s">
        <v>4173</v>
      </c>
      <c r="B3282" s="2" t="s">
        <v>4174</v>
      </c>
      <c r="C3282" s="2" t="s">
        <v>1207</v>
      </c>
      <c r="D3282" s="2" t="s">
        <v>6999</v>
      </c>
      <c r="E3282" s="2" t="s">
        <v>4261</v>
      </c>
      <c r="F3282" s="2" t="s">
        <v>6003</v>
      </c>
      <c r="G3282" s="2"/>
    </row>
    <row r="3283" customFormat="false" ht="15" hidden="false" customHeight="false" outlineLevel="0" collapsed="false">
      <c r="A3283" s="2" t="s">
        <v>4173</v>
      </c>
      <c r="B3283" s="2" t="s">
        <v>4174</v>
      </c>
      <c r="C3283" s="2" t="s">
        <v>1207</v>
      </c>
      <c r="D3283" s="2" t="s">
        <v>7000</v>
      </c>
      <c r="E3283" s="2" t="s">
        <v>4264</v>
      </c>
      <c r="F3283" s="2" t="s">
        <v>6003</v>
      </c>
      <c r="G3283" s="2"/>
    </row>
    <row r="3284" customFormat="false" ht="15" hidden="false" customHeight="false" outlineLevel="0" collapsed="false">
      <c r="A3284" s="2" t="s">
        <v>4173</v>
      </c>
      <c r="B3284" s="2" t="s">
        <v>4174</v>
      </c>
      <c r="C3284" s="2" t="s">
        <v>1207</v>
      </c>
      <c r="D3284" s="2" t="s">
        <v>7001</v>
      </c>
      <c r="E3284" s="2" t="s">
        <v>4261</v>
      </c>
      <c r="F3284" s="2" t="s">
        <v>6003</v>
      </c>
      <c r="G3284" s="2"/>
    </row>
    <row r="3285" customFormat="false" ht="15" hidden="false" customHeight="false" outlineLevel="0" collapsed="false">
      <c r="A3285" s="2" t="s">
        <v>4173</v>
      </c>
      <c r="B3285" s="2" t="s">
        <v>4174</v>
      </c>
      <c r="C3285" s="2" t="s">
        <v>1207</v>
      </c>
      <c r="D3285" s="2" t="s">
        <v>7002</v>
      </c>
      <c r="E3285" s="2" t="s">
        <v>4264</v>
      </c>
      <c r="F3285" s="2" t="s">
        <v>6003</v>
      </c>
      <c r="G3285" s="2"/>
    </row>
    <row r="3286" customFormat="false" ht="15" hidden="false" customHeight="false" outlineLevel="0" collapsed="false">
      <c r="A3286" s="2" t="s">
        <v>4173</v>
      </c>
      <c r="B3286" s="2" t="s">
        <v>4174</v>
      </c>
      <c r="C3286" s="2" t="s">
        <v>1207</v>
      </c>
      <c r="D3286" s="2" t="s">
        <v>7003</v>
      </c>
      <c r="E3286" s="2" t="s">
        <v>4271</v>
      </c>
      <c r="F3286" s="2" t="s">
        <v>6003</v>
      </c>
      <c r="G3286" s="2"/>
    </row>
    <row r="3287" customFormat="false" ht="15" hidden="false" customHeight="false" outlineLevel="0" collapsed="false">
      <c r="A3287" s="2" t="s">
        <v>4173</v>
      </c>
      <c r="B3287" s="2" t="s">
        <v>4174</v>
      </c>
      <c r="C3287" s="2" t="s">
        <v>1207</v>
      </c>
      <c r="D3287" s="2" t="s">
        <v>7004</v>
      </c>
      <c r="E3287" s="2" t="s">
        <v>4261</v>
      </c>
      <c r="F3287" s="2" t="s">
        <v>6003</v>
      </c>
      <c r="G3287" s="2"/>
    </row>
    <row r="3288" customFormat="false" ht="15" hidden="false" customHeight="false" outlineLevel="0" collapsed="false">
      <c r="A3288" s="2" t="s">
        <v>4173</v>
      </c>
      <c r="B3288" s="2" t="s">
        <v>4174</v>
      </c>
      <c r="C3288" s="2" t="s">
        <v>1207</v>
      </c>
      <c r="D3288" s="2" t="s">
        <v>7005</v>
      </c>
      <c r="E3288" s="2" t="s">
        <v>4261</v>
      </c>
      <c r="F3288" s="2" t="s">
        <v>6003</v>
      </c>
      <c r="G3288" s="2"/>
    </row>
    <row r="3289" customFormat="false" ht="15" hidden="false" customHeight="false" outlineLevel="0" collapsed="false">
      <c r="A3289" s="2" t="s">
        <v>4173</v>
      </c>
      <c r="B3289" s="2" t="s">
        <v>4174</v>
      </c>
      <c r="C3289" s="2" t="s">
        <v>1207</v>
      </c>
      <c r="D3289" s="2" t="s">
        <v>7006</v>
      </c>
      <c r="E3289" s="2" t="s">
        <v>4261</v>
      </c>
      <c r="F3289" s="2" t="s">
        <v>6003</v>
      </c>
      <c r="G3289" s="2"/>
    </row>
    <row r="3290" customFormat="false" ht="15" hidden="false" customHeight="false" outlineLevel="0" collapsed="false">
      <c r="A3290" s="2" t="s">
        <v>4176</v>
      </c>
      <c r="B3290" s="2" t="s">
        <v>1827</v>
      </c>
      <c r="C3290" s="2" t="s">
        <v>1207</v>
      </c>
      <c r="D3290" s="2" t="s">
        <v>7007</v>
      </c>
      <c r="E3290" s="2" t="s">
        <v>4261</v>
      </c>
      <c r="F3290" s="2" t="s">
        <v>6003</v>
      </c>
      <c r="G3290" s="2"/>
    </row>
    <row r="3291" customFormat="false" ht="15" hidden="false" customHeight="false" outlineLevel="0" collapsed="false">
      <c r="A3291" s="2" t="s">
        <v>4176</v>
      </c>
      <c r="B3291" s="2" t="s">
        <v>1827</v>
      </c>
      <c r="C3291" s="2" t="s">
        <v>1207</v>
      </c>
      <c r="D3291" s="2" t="s">
        <v>7008</v>
      </c>
      <c r="E3291" s="2" t="s">
        <v>4261</v>
      </c>
      <c r="F3291" s="2" t="s">
        <v>6003</v>
      </c>
      <c r="G3291" s="2"/>
    </row>
    <row r="3292" customFormat="false" ht="15" hidden="false" customHeight="false" outlineLevel="0" collapsed="false">
      <c r="A3292" s="2"/>
      <c r="B3292" s="2"/>
      <c r="C3292" s="2"/>
      <c r="D3292" s="2"/>
      <c r="E3292" s="2"/>
      <c r="F3292" s="2"/>
      <c r="G3292" s="2"/>
    </row>
    <row r="3293" customFormat="false" ht="15" hidden="false" customHeight="false" outlineLevel="0" collapsed="false">
      <c r="A3293" s="4" t="s">
        <v>7009</v>
      </c>
      <c r="B3293" s="2"/>
      <c r="C3293" s="2"/>
      <c r="D3293" s="2"/>
      <c r="E3293" s="2"/>
      <c r="F3293" s="2"/>
      <c r="G3293" s="2"/>
    </row>
  </sheetData>
  <autoFilter ref="A1:G32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60"/>
  </cols>
  <sheetData>
    <row r="1" customFormat="false" ht="42" hidden="false" customHeight="true" outlineLevel="0" collapsed="false">
      <c r="A1" s="7" t="s">
        <v>14</v>
      </c>
      <c r="B1" s="7" t="s">
        <v>15</v>
      </c>
      <c r="C1" s="7" t="s">
        <v>4257</v>
      </c>
      <c r="D1" s="7" t="s">
        <v>7010</v>
      </c>
      <c r="E1" s="7" t="s">
        <v>3</v>
      </c>
      <c r="F1" s="7" t="s">
        <v>13</v>
      </c>
      <c r="G1" s="7" t="s">
        <v>21</v>
      </c>
      <c r="H1" s="7" t="s">
        <v>19</v>
      </c>
      <c r="I1" s="7" t="s">
        <v>7011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29</v>
      </c>
      <c r="D2" s="6" t="s">
        <v>30</v>
      </c>
      <c r="E2" s="2" t="s">
        <v>8</v>
      </c>
      <c r="F2" s="2" t="n">
        <v>1</v>
      </c>
      <c r="G2" s="6" t="n">
        <v>424</v>
      </c>
      <c r="H2" s="8" t="n">
        <v>811.065578594981</v>
      </c>
      <c r="I2" s="2" t="s">
        <v>7012</v>
      </c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7013</v>
      </c>
      <c r="D3" s="6" t="s">
        <v>30</v>
      </c>
      <c r="E3" s="2" t="s">
        <v>8</v>
      </c>
      <c r="F3" s="2" t="n">
        <v>2</v>
      </c>
      <c r="G3" s="6" t="n">
        <v>412</v>
      </c>
      <c r="H3" s="8" t="n">
        <v>704.67240705357</v>
      </c>
      <c r="I3" s="2" t="s">
        <v>7012</v>
      </c>
    </row>
    <row r="4" customFormat="false" ht="15" hidden="false" customHeight="false" outlineLevel="0" collapsed="false">
      <c r="A4" s="2" t="s">
        <v>37</v>
      </c>
      <c r="B4" s="2" t="s">
        <v>38</v>
      </c>
      <c r="C4" s="2" t="s">
        <v>41</v>
      </c>
      <c r="D4" s="6" t="s">
        <v>30</v>
      </c>
      <c r="E4" s="2" t="s">
        <v>8</v>
      </c>
      <c r="F4" s="2" t="n">
        <v>3</v>
      </c>
      <c r="G4" s="6" t="n">
        <v>381</v>
      </c>
      <c r="H4" s="8" t="n">
        <v>1137.94586899351</v>
      </c>
      <c r="I4" s="2" t="s">
        <v>7012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7014</v>
      </c>
      <c r="D5" s="6" t="s">
        <v>30</v>
      </c>
      <c r="E5" s="2" t="s">
        <v>8</v>
      </c>
      <c r="F5" s="2" t="n">
        <v>4</v>
      </c>
      <c r="G5" s="6" t="n">
        <v>369</v>
      </c>
      <c r="H5" s="8" t="n">
        <v>964.560642842905</v>
      </c>
      <c r="I5" s="2" t="s">
        <v>7012</v>
      </c>
    </row>
    <row r="6" customFormat="false" ht="15" hidden="false" customHeight="false" outlineLevel="0" collapsed="false">
      <c r="A6" s="2" t="s">
        <v>46</v>
      </c>
      <c r="B6" s="2" t="s">
        <v>38</v>
      </c>
      <c r="C6" s="2" t="s">
        <v>47</v>
      </c>
      <c r="D6" s="6" t="s">
        <v>30</v>
      </c>
      <c r="E6" s="2" t="s">
        <v>8</v>
      </c>
      <c r="F6" s="2" t="n">
        <v>5</v>
      </c>
      <c r="G6" s="6" t="n">
        <v>368</v>
      </c>
      <c r="H6" s="8" t="n">
        <v>1220.49885339804</v>
      </c>
      <c r="I6" s="2" t="s">
        <v>7012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7015</v>
      </c>
      <c r="D7" s="6" t="s">
        <v>30</v>
      </c>
      <c r="E7" s="2" t="s">
        <v>9</v>
      </c>
      <c r="F7" s="2" t="n">
        <v>6</v>
      </c>
      <c r="G7" s="6" t="n">
        <v>533</v>
      </c>
      <c r="H7" s="8" t="n">
        <v>612.999915490899</v>
      </c>
      <c r="I7" s="2" t="s">
        <v>7012</v>
      </c>
    </row>
    <row r="8" customFormat="false" ht="15" hidden="false" customHeight="false" outlineLevel="0" collapsed="false">
      <c r="A8" s="2" t="s">
        <v>53</v>
      </c>
      <c r="B8" s="2" t="s">
        <v>44</v>
      </c>
      <c r="C8" s="2" t="s">
        <v>7016</v>
      </c>
      <c r="D8" s="6" t="s">
        <v>30</v>
      </c>
      <c r="E8" s="2" t="s">
        <v>8</v>
      </c>
      <c r="F8" s="2" t="n">
        <v>7</v>
      </c>
      <c r="G8" s="6" t="n">
        <v>349</v>
      </c>
      <c r="H8" s="8" t="n">
        <v>805.708453794106</v>
      </c>
      <c r="I8" s="2" t="s">
        <v>7012</v>
      </c>
    </row>
    <row r="9" customFormat="false" ht="15" hidden="false" customHeight="false" outlineLevel="0" collapsed="false">
      <c r="A9" s="2" t="s">
        <v>55</v>
      </c>
      <c r="B9" s="2" t="s">
        <v>56</v>
      </c>
      <c r="C9" s="2" t="s">
        <v>7017</v>
      </c>
      <c r="D9" s="6" t="s">
        <v>30</v>
      </c>
      <c r="E9" s="2" t="s">
        <v>8</v>
      </c>
      <c r="F9" s="2" t="n">
        <v>8</v>
      </c>
      <c r="G9" s="6" t="n">
        <v>335</v>
      </c>
      <c r="H9" s="8" t="n">
        <v>856.09109182091</v>
      </c>
      <c r="I9" s="2" t="s">
        <v>7012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2"/>
      <c r="D10" s="6" t="s">
        <v>30</v>
      </c>
      <c r="E10" s="2" t="s">
        <v>8</v>
      </c>
      <c r="F10" s="2" t="n">
        <v>9</v>
      </c>
      <c r="G10" s="6" t="n">
        <v>333</v>
      </c>
      <c r="H10" s="8" t="n">
        <v>825.072724060913</v>
      </c>
      <c r="I10" s="2" t="s">
        <v>7012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63</v>
      </c>
      <c r="D11" s="6" t="s">
        <v>30</v>
      </c>
      <c r="E11" s="2" t="s">
        <v>8</v>
      </c>
      <c r="F11" s="2" t="n">
        <v>10</v>
      </c>
      <c r="G11" s="6" t="n">
        <v>328</v>
      </c>
      <c r="H11" s="8" t="n">
        <v>1516.48717108747</v>
      </c>
      <c r="I11" s="2" t="s">
        <v>7012</v>
      </c>
    </row>
    <row r="12" customFormat="false" ht="15" hidden="false" customHeight="false" outlineLevel="0" collapsed="false">
      <c r="A12" s="2" t="s">
        <v>64</v>
      </c>
      <c r="B12" s="2" t="s">
        <v>38</v>
      </c>
      <c r="C12" s="2" t="s">
        <v>65</v>
      </c>
      <c r="D12" s="6" t="s">
        <v>30</v>
      </c>
      <c r="E12" s="2" t="s">
        <v>8</v>
      </c>
      <c r="F12" s="2" t="n">
        <v>11</v>
      </c>
      <c r="G12" s="6" t="n">
        <v>326</v>
      </c>
      <c r="H12" s="8" t="n">
        <v>911.128984012779</v>
      </c>
      <c r="I12" s="2" t="s">
        <v>7012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6" t="s">
        <v>30</v>
      </c>
      <c r="E13" s="2" t="s">
        <v>8</v>
      </c>
      <c r="F13" s="2" t="n">
        <v>12</v>
      </c>
      <c r="G13" s="6" t="n">
        <v>321</v>
      </c>
      <c r="H13" s="8" t="n">
        <v>1691.41660469489</v>
      </c>
      <c r="I13" s="2" t="s">
        <v>7012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7018</v>
      </c>
      <c r="D14" s="6" t="s">
        <v>30</v>
      </c>
      <c r="E14" s="2" t="s">
        <v>8</v>
      </c>
      <c r="F14" s="2" t="n">
        <v>13</v>
      </c>
      <c r="G14" s="6" t="n">
        <v>315</v>
      </c>
      <c r="H14" s="8" t="n">
        <v>1163.80544162614</v>
      </c>
      <c r="I14" s="2" t="s">
        <v>7012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7019</v>
      </c>
      <c r="D15" s="6" t="s">
        <v>30</v>
      </c>
      <c r="E15" s="2" t="s">
        <v>8</v>
      </c>
      <c r="F15" s="2" t="n">
        <v>14</v>
      </c>
      <c r="G15" s="6" t="n">
        <v>305</v>
      </c>
      <c r="H15" s="8" t="n">
        <v>817.192785513433</v>
      </c>
      <c r="I15" s="2" t="s">
        <v>7012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/>
      <c r="D16" s="6" t="s">
        <v>30</v>
      </c>
      <c r="E16" s="2" t="s">
        <v>8</v>
      </c>
      <c r="F16" s="2" t="n">
        <v>15</v>
      </c>
      <c r="G16" s="6" t="n">
        <v>302</v>
      </c>
      <c r="H16" s="8" t="n">
        <v>789.092994557427</v>
      </c>
      <c r="I16" s="2" t="s">
        <v>7012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/>
      <c r="D17" s="6" t="s">
        <v>30</v>
      </c>
      <c r="E17" s="2" t="s">
        <v>8</v>
      </c>
      <c r="F17" s="2" t="n">
        <v>16</v>
      </c>
      <c r="G17" s="6" t="n">
        <v>297</v>
      </c>
      <c r="H17" s="8" t="n">
        <v>730.135920536448</v>
      </c>
      <c r="I17" s="2" t="s">
        <v>7012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7020</v>
      </c>
      <c r="D18" s="6" t="s">
        <v>30</v>
      </c>
      <c r="E18" s="2" t="s">
        <v>8</v>
      </c>
      <c r="F18" s="2" t="n">
        <v>17</v>
      </c>
      <c r="G18" s="6" t="n">
        <v>294</v>
      </c>
      <c r="H18" s="8" t="n">
        <v>1002.4840525621</v>
      </c>
      <c r="I18" s="2" t="s">
        <v>7012</v>
      </c>
    </row>
    <row r="19" customFormat="false" ht="15" hidden="false" customHeight="false" outlineLevel="0" collapsed="false">
      <c r="A19" s="2" t="s">
        <v>83</v>
      </c>
      <c r="B19" s="2" t="s">
        <v>84</v>
      </c>
      <c r="C19" s="2"/>
      <c r="D19" s="6" t="s">
        <v>30</v>
      </c>
      <c r="E19" s="2" t="s">
        <v>8</v>
      </c>
      <c r="F19" s="2" t="n">
        <v>18</v>
      </c>
      <c r="G19" s="6" t="n">
        <v>290</v>
      </c>
      <c r="H19" s="8" t="n">
        <v>716.195669540955</v>
      </c>
      <c r="I19" s="2" t="s">
        <v>7012</v>
      </c>
    </row>
    <row r="20" customFormat="false" ht="15" hidden="false" customHeight="false" outlineLevel="0" collapsed="false">
      <c r="A20" s="2" t="s">
        <v>85</v>
      </c>
      <c r="B20" s="2" t="s">
        <v>86</v>
      </c>
      <c r="C20" s="2" t="s">
        <v>7021</v>
      </c>
      <c r="D20" s="6" t="s">
        <v>30</v>
      </c>
      <c r="E20" s="2" t="s">
        <v>8</v>
      </c>
      <c r="F20" s="2" t="n">
        <v>19</v>
      </c>
      <c r="G20" s="6" t="n">
        <v>284</v>
      </c>
      <c r="H20" s="8" t="n">
        <v>1361.80366427599</v>
      </c>
      <c r="I20" s="2" t="s">
        <v>7012</v>
      </c>
    </row>
    <row r="21" customFormat="false" ht="15" hidden="false" customHeight="false" outlineLevel="0" collapsed="false">
      <c r="A21" s="2" t="s">
        <v>88</v>
      </c>
      <c r="B21" s="2" t="s">
        <v>38</v>
      </c>
      <c r="C21" s="2" t="s">
        <v>89</v>
      </c>
      <c r="D21" s="6" t="s">
        <v>30</v>
      </c>
      <c r="E21" s="2" t="s">
        <v>8</v>
      </c>
      <c r="F21" s="2" t="n">
        <v>20</v>
      </c>
      <c r="G21" s="6" t="n">
        <v>282</v>
      </c>
      <c r="H21" s="8" t="n">
        <v>1003.07323091338</v>
      </c>
      <c r="I21" s="2" t="s">
        <v>7012</v>
      </c>
    </row>
    <row r="22" customFormat="false" ht="15" hidden="false" customHeight="false" outlineLevel="0" collapsed="false">
      <c r="A22" s="2" t="s">
        <v>90</v>
      </c>
      <c r="B22" s="2" t="s">
        <v>91</v>
      </c>
      <c r="C22" s="2" t="s">
        <v>7022</v>
      </c>
      <c r="D22" s="6" t="s">
        <v>30</v>
      </c>
      <c r="E22" s="2" t="s">
        <v>8</v>
      </c>
      <c r="F22" s="2" t="n">
        <v>21</v>
      </c>
      <c r="G22" s="6" t="n">
        <v>281</v>
      </c>
      <c r="H22" s="8" t="n">
        <v>705.440216590367</v>
      </c>
      <c r="I22" s="2" t="s">
        <v>7012</v>
      </c>
    </row>
    <row r="23" customFormat="false" ht="15" hidden="false" customHeight="false" outlineLevel="0" collapsed="false">
      <c r="A23" s="2" t="s">
        <v>93</v>
      </c>
      <c r="B23" s="2" t="s">
        <v>94</v>
      </c>
      <c r="C23" s="2" t="s">
        <v>96</v>
      </c>
      <c r="D23" s="6" t="s">
        <v>30</v>
      </c>
      <c r="E23" s="2" t="s">
        <v>8</v>
      </c>
      <c r="F23" s="2" t="n">
        <v>22</v>
      </c>
      <c r="G23" s="6" t="n">
        <v>279</v>
      </c>
      <c r="H23" s="8" t="n">
        <v>1083.98782984768</v>
      </c>
      <c r="I23" s="2" t="s">
        <v>7012</v>
      </c>
    </row>
    <row r="24" customFormat="false" ht="15" hidden="false" customHeight="false" outlineLevel="0" collapsed="false">
      <c r="A24" s="2" t="s">
        <v>97</v>
      </c>
      <c r="B24" s="2" t="s">
        <v>44</v>
      </c>
      <c r="C24" s="2" t="s">
        <v>7023</v>
      </c>
      <c r="D24" s="6" t="s">
        <v>30</v>
      </c>
      <c r="E24" s="2" t="s">
        <v>8</v>
      </c>
      <c r="F24" s="2" t="n">
        <v>23</v>
      </c>
      <c r="G24" s="6" t="n">
        <v>277</v>
      </c>
      <c r="H24" s="8" t="n">
        <v>704.043139310505</v>
      </c>
      <c r="I24" s="2" t="s">
        <v>7012</v>
      </c>
    </row>
    <row r="25" customFormat="false" ht="15" hidden="false" customHeight="false" outlineLevel="0" collapsed="false">
      <c r="A25" s="2" t="s">
        <v>99</v>
      </c>
      <c r="B25" s="2" t="s">
        <v>84</v>
      </c>
      <c r="C25" s="2" t="s">
        <v>100</v>
      </c>
      <c r="D25" s="6" t="s">
        <v>30</v>
      </c>
      <c r="E25" s="2" t="s">
        <v>8</v>
      </c>
      <c r="F25" s="2" t="n">
        <v>24</v>
      </c>
      <c r="G25" s="6" t="n">
        <v>275</v>
      </c>
      <c r="H25" s="8" t="n">
        <v>736.427218139462</v>
      </c>
      <c r="I25" s="2" t="s">
        <v>7012</v>
      </c>
    </row>
    <row r="26" customFormat="false" ht="15" hidden="false" customHeight="false" outlineLevel="0" collapsed="false">
      <c r="A26" s="2" t="s">
        <v>101</v>
      </c>
      <c r="B26" s="2" t="s">
        <v>70</v>
      </c>
      <c r="C26" s="2" t="s">
        <v>7024</v>
      </c>
      <c r="D26" s="6" t="s">
        <v>30</v>
      </c>
      <c r="E26" s="2" t="s">
        <v>8</v>
      </c>
      <c r="F26" s="2" t="n">
        <v>25</v>
      </c>
      <c r="G26" s="6" t="n">
        <v>273</v>
      </c>
      <c r="H26" s="8" t="n">
        <v>1323.40196116073</v>
      </c>
      <c r="I26" s="2" t="s">
        <v>7012</v>
      </c>
    </row>
    <row r="27" customFormat="false" ht="15" hidden="false" customHeight="false" outlineLevel="0" collapsed="false">
      <c r="A27" s="2" t="s">
        <v>103</v>
      </c>
      <c r="B27" s="2" t="s">
        <v>104</v>
      </c>
      <c r="C27" s="2" t="s">
        <v>106</v>
      </c>
      <c r="D27" s="6" t="s">
        <v>30</v>
      </c>
      <c r="E27" s="2" t="s">
        <v>8</v>
      </c>
      <c r="F27" s="2" t="n">
        <v>26</v>
      </c>
      <c r="G27" s="6" t="n">
        <v>268</v>
      </c>
      <c r="H27" s="8" t="n">
        <v>827.757867136508</v>
      </c>
      <c r="I27" s="2" t="s">
        <v>7012</v>
      </c>
    </row>
    <row r="28" customFormat="false" ht="15" hidden="false" customHeight="false" outlineLevel="0" collapsed="false">
      <c r="A28" s="2" t="s">
        <v>107</v>
      </c>
      <c r="B28" s="2" t="s">
        <v>108</v>
      </c>
      <c r="C28" s="2" t="s">
        <v>109</v>
      </c>
      <c r="D28" s="6" t="s">
        <v>30</v>
      </c>
      <c r="E28" s="2" t="s">
        <v>8</v>
      </c>
      <c r="F28" s="2" t="n">
        <v>27</v>
      </c>
      <c r="G28" s="6" t="n">
        <v>265</v>
      </c>
      <c r="H28" s="8" t="n">
        <v>1545.47444329389</v>
      </c>
      <c r="I28" s="2" t="s">
        <v>7012</v>
      </c>
    </row>
    <row r="29" customFormat="false" ht="15" hidden="false" customHeight="false" outlineLevel="0" collapsed="false">
      <c r="A29" s="2" t="s">
        <v>110</v>
      </c>
      <c r="B29" s="2" t="s">
        <v>111</v>
      </c>
      <c r="C29" s="2" t="s">
        <v>112</v>
      </c>
      <c r="D29" s="6" t="s">
        <v>30</v>
      </c>
      <c r="E29" s="2" t="s">
        <v>8</v>
      </c>
      <c r="F29" s="2" t="n">
        <v>28</v>
      </c>
      <c r="G29" s="6" t="n">
        <v>265</v>
      </c>
      <c r="H29" s="8" t="n">
        <v>1389.70116361067</v>
      </c>
      <c r="I29" s="2" t="s">
        <v>7012</v>
      </c>
    </row>
    <row r="30" customFormat="false" ht="15" hidden="false" customHeight="false" outlineLevel="0" collapsed="false">
      <c r="A30" s="2" t="s">
        <v>113</v>
      </c>
      <c r="B30" s="2" t="s">
        <v>38</v>
      </c>
      <c r="C30" s="2" t="s">
        <v>114</v>
      </c>
      <c r="D30" s="6" t="s">
        <v>30</v>
      </c>
      <c r="E30" s="2" t="s">
        <v>8</v>
      </c>
      <c r="F30" s="2" t="n">
        <v>29</v>
      </c>
      <c r="G30" s="6" t="n">
        <v>265</v>
      </c>
      <c r="H30" s="8" t="n">
        <v>795.738457063872</v>
      </c>
      <c r="I30" s="2" t="s">
        <v>7012</v>
      </c>
    </row>
    <row r="31" customFormat="false" ht="15" hidden="false" customHeight="false" outlineLevel="0" collapsed="false">
      <c r="A31" s="2" t="s">
        <v>115</v>
      </c>
      <c r="B31" s="2" t="s">
        <v>116</v>
      </c>
      <c r="C31" s="2" t="s">
        <v>117</v>
      </c>
      <c r="D31" s="6" t="s">
        <v>30</v>
      </c>
      <c r="E31" s="2" t="s">
        <v>8</v>
      </c>
      <c r="F31" s="2" t="n">
        <v>30</v>
      </c>
      <c r="G31" s="6" t="n">
        <v>264</v>
      </c>
      <c r="H31" s="8" t="n">
        <v>1663.5655056078</v>
      </c>
      <c r="I31" s="2" t="s">
        <v>7012</v>
      </c>
    </row>
    <row r="32" customFormat="false" ht="15" hidden="false" customHeight="false" outlineLevel="0" collapsed="false">
      <c r="A32" s="2" t="s">
        <v>118</v>
      </c>
      <c r="B32" s="2" t="s">
        <v>119</v>
      </c>
      <c r="C32" s="2" t="s">
        <v>7025</v>
      </c>
      <c r="D32" s="6" t="s">
        <v>30</v>
      </c>
      <c r="E32" s="2" t="s">
        <v>9</v>
      </c>
      <c r="F32" s="2" t="n">
        <v>31</v>
      </c>
      <c r="G32" s="6" t="n">
        <v>395</v>
      </c>
      <c r="H32" s="8" t="n">
        <v>657.35357058223</v>
      </c>
      <c r="I32" s="2" t="s">
        <v>7012</v>
      </c>
    </row>
    <row r="33" customFormat="false" ht="15" hidden="false" customHeight="false" outlineLevel="0" collapsed="false">
      <c r="A33" s="2" t="s">
        <v>121</v>
      </c>
      <c r="B33" s="2" t="s">
        <v>122</v>
      </c>
      <c r="C33" s="2" t="s">
        <v>7026</v>
      </c>
      <c r="D33" s="6" t="s">
        <v>30</v>
      </c>
      <c r="E33" s="2" t="s">
        <v>8</v>
      </c>
      <c r="F33" s="2" t="n">
        <v>32</v>
      </c>
      <c r="G33" s="6" t="n">
        <v>261</v>
      </c>
      <c r="H33" s="8" t="n">
        <v>1449.41733112148</v>
      </c>
      <c r="I33" s="2" t="s">
        <v>7012</v>
      </c>
    </row>
    <row r="34" customFormat="false" ht="15" hidden="false" customHeight="false" outlineLevel="0" collapsed="false">
      <c r="A34" s="2" t="s">
        <v>124</v>
      </c>
      <c r="B34" s="2" t="s">
        <v>125</v>
      </c>
      <c r="C34" s="2" t="s">
        <v>7027</v>
      </c>
      <c r="D34" s="6" t="s">
        <v>30</v>
      </c>
      <c r="E34" s="2" t="s">
        <v>9</v>
      </c>
      <c r="F34" s="2" t="n">
        <v>33</v>
      </c>
      <c r="G34" s="6" t="n">
        <v>390</v>
      </c>
      <c r="H34" s="8" t="n">
        <v>673.056528140833</v>
      </c>
      <c r="I34" s="2" t="s">
        <v>7012</v>
      </c>
    </row>
    <row r="35" customFormat="false" ht="15" hidden="false" customHeight="false" outlineLevel="0" collapsed="false">
      <c r="A35" s="2" t="s">
        <v>127</v>
      </c>
      <c r="B35" s="2" t="s">
        <v>128</v>
      </c>
      <c r="C35" s="2" t="s">
        <v>7028</v>
      </c>
      <c r="D35" s="6" t="s">
        <v>30</v>
      </c>
      <c r="E35" s="2" t="s">
        <v>8</v>
      </c>
      <c r="F35" s="2" t="n">
        <v>34</v>
      </c>
      <c r="G35" s="6" t="n">
        <v>258</v>
      </c>
      <c r="H35" s="8" t="n">
        <v>731.407989552322</v>
      </c>
      <c r="I35" s="2" t="s">
        <v>7012</v>
      </c>
    </row>
    <row r="36" customFormat="false" ht="15" hidden="false" customHeight="false" outlineLevel="0" collapsed="false">
      <c r="A36" s="2" t="s">
        <v>130</v>
      </c>
      <c r="B36" s="2" t="s">
        <v>56</v>
      </c>
      <c r="C36" s="2" t="s">
        <v>131</v>
      </c>
      <c r="D36" s="6" t="s">
        <v>30</v>
      </c>
      <c r="E36" s="2" t="s">
        <v>8</v>
      </c>
      <c r="F36" s="2" t="n">
        <v>35</v>
      </c>
      <c r="G36" s="6" t="n">
        <v>258</v>
      </c>
      <c r="H36" s="8" t="n">
        <v>1088.69324287834</v>
      </c>
      <c r="I36" s="2" t="s">
        <v>7012</v>
      </c>
    </row>
    <row r="37" customFormat="false" ht="15" hidden="false" customHeight="false" outlineLevel="0" collapsed="false">
      <c r="A37" s="2" t="s">
        <v>132</v>
      </c>
      <c r="B37" s="2" t="s">
        <v>133</v>
      </c>
      <c r="C37" s="2" t="s">
        <v>7029</v>
      </c>
      <c r="D37" s="6" t="s">
        <v>30</v>
      </c>
      <c r="E37" s="2" t="s">
        <v>9</v>
      </c>
      <c r="F37" s="2" t="n">
        <v>36</v>
      </c>
      <c r="G37" s="6" t="n">
        <v>386</v>
      </c>
      <c r="H37" s="8" t="n">
        <v>686.281506579663</v>
      </c>
      <c r="I37" s="2" t="s">
        <v>7012</v>
      </c>
    </row>
    <row r="38" customFormat="false" ht="15" hidden="false" customHeight="false" outlineLevel="0" collapsed="false">
      <c r="A38" s="2" t="s">
        <v>135</v>
      </c>
      <c r="B38" s="2" t="s">
        <v>136</v>
      </c>
      <c r="C38" s="2"/>
      <c r="D38" s="6" t="s">
        <v>30</v>
      </c>
      <c r="E38" s="2" t="s">
        <v>8</v>
      </c>
      <c r="F38" s="2" t="n">
        <v>37</v>
      </c>
      <c r="G38" s="6" t="n">
        <v>255</v>
      </c>
      <c r="H38" s="8" t="n">
        <v>837.303637239059</v>
      </c>
      <c r="I38" s="2" t="s">
        <v>7012</v>
      </c>
    </row>
    <row r="39" customFormat="false" ht="15" hidden="false" customHeight="false" outlineLevel="0" collapsed="false">
      <c r="A39" s="2" t="s">
        <v>137</v>
      </c>
      <c r="B39" s="2" t="s">
        <v>138</v>
      </c>
      <c r="C39" s="2" t="s">
        <v>7030</v>
      </c>
      <c r="D39" s="6" t="s">
        <v>30</v>
      </c>
      <c r="E39" s="2" t="s">
        <v>8</v>
      </c>
      <c r="F39" s="2" t="n">
        <v>38</v>
      </c>
      <c r="G39" s="6" t="n">
        <v>254</v>
      </c>
      <c r="H39" s="8" t="n">
        <v>1380.83998942141</v>
      </c>
      <c r="I39" s="2" t="s">
        <v>7012</v>
      </c>
    </row>
    <row r="40" customFormat="false" ht="15" hidden="false" customHeight="false" outlineLevel="0" collapsed="false">
      <c r="A40" s="2" t="s">
        <v>140</v>
      </c>
      <c r="B40" s="2" t="s">
        <v>44</v>
      </c>
      <c r="C40" s="2" t="s">
        <v>7031</v>
      </c>
      <c r="D40" s="6" t="s">
        <v>30</v>
      </c>
      <c r="E40" s="2" t="s">
        <v>8</v>
      </c>
      <c r="F40" s="2" t="n">
        <v>39</v>
      </c>
      <c r="G40" s="6" t="n">
        <v>252</v>
      </c>
      <c r="H40" s="8" t="n">
        <v>713.321269161278</v>
      </c>
      <c r="I40" s="2" t="s">
        <v>7012</v>
      </c>
    </row>
    <row r="41" customFormat="false" ht="15" hidden="false" customHeight="false" outlineLevel="0" collapsed="false">
      <c r="A41" s="2" t="s">
        <v>142</v>
      </c>
      <c r="B41" s="2" t="s">
        <v>143</v>
      </c>
      <c r="C41" s="2" t="s">
        <v>7032</v>
      </c>
      <c r="D41" s="6" t="s">
        <v>30</v>
      </c>
      <c r="E41" s="2" t="s">
        <v>9</v>
      </c>
      <c r="F41" s="2" t="n">
        <v>40</v>
      </c>
      <c r="G41" s="6" t="n">
        <v>375</v>
      </c>
      <c r="H41" s="8" t="n">
        <v>641.683894398496</v>
      </c>
      <c r="I41" s="2" t="s">
        <v>7012</v>
      </c>
    </row>
    <row r="42" customFormat="false" ht="15" hidden="false" customHeight="false" outlineLevel="0" collapsed="false">
      <c r="A42" s="2" t="s">
        <v>145</v>
      </c>
      <c r="B42" s="2" t="s">
        <v>146</v>
      </c>
      <c r="C42" s="2" t="s">
        <v>147</v>
      </c>
      <c r="D42" s="6" t="s">
        <v>30</v>
      </c>
      <c r="E42" s="2" t="s">
        <v>9</v>
      </c>
      <c r="F42" s="2" t="n">
        <v>41</v>
      </c>
      <c r="G42" s="6" t="n">
        <v>375</v>
      </c>
      <c r="H42" s="8" t="n">
        <v>631.131136151715</v>
      </c>
      <c r="I42" s="2" t="s">
        <v>7012</v>
      </c>
    </row>
    <row r="43" customFormat="false" ht="15" hidden="false" customHeight="false" outlineLevel="0" collapsed="false">
      <c r="A43" s="2" t="s">
        <v>148</v>
      </c>
      <c r="B43" s="2" t="s">
        <v>70</v>
      </c>
      <c r="C43" s="2" t="s">
        <v>7033</v>
      </c>
      <c r="D43" s="6" t="s">
        <v>30</v>
      </c>
      <c r="E43" s="2" t="s">
        <v>8</v>
      </c>
      <c r="F43" s="2" t="n">
        <v>42</v>
      </c>
      <c r="G43" s="6" t="n">
        <v>248</v>
      </c>
      <c r="H43" s="8" t="n">
        <v>870.919800222093</v>
      </c>
      <c r="I43" s="2" t="s">
        <v>7012</v>
      </c>
    </row>
    <row r="44" customFormat="false" ht="15" hidden="false" customHeight="false" outlineLevel="0" collapsed="false">
      <c r="A44" s="2" t="s">
        <v>150</v>
      </c>
      <c r="B44" s="2" t="s">
        <v>151</v>
      </c>
      <c r="C44" s="2"/>
      <c r="D44" s="6" t="s">
        <v>30</v>
      </c>
      <c r="E44" s="2" t="s">
        <v>9</v>
      </c>
      <c r="F44" s="2" t="n">
        <v>43</v>
      </c>
      <c r="G44" s="6" t="n">
        <v>372</v>
      </c>
      <c r="H44" s="8" t="n">
        <v>660.694664001186</v>
      </c>
      <c r="I44" s="2" t="s">
        <v>7012</v>
      </c>
    </row>
    <row r="45" customFormat="false" ht="15" hidden="false" customHeight="false" outlineLevel="0" collapsed="false">
      <c r="A45" s="2" t="s">
        <v>152</v>
      </c>
      <c r="B45" s="2" t="s">
        <v>153</v>
      </c>
      <c r="C45" s="2" t="s">
        <v>154</v>
      </c>
      <c r="D45" s="6" t="s">
        <v>30</v>
      </c>
      <c r="E45" s="2" t="s">
        <v>8</v>
      </c>
      <c r="F45" s="2" t="n">
        <v>44</v>
      </c>
      <c r="G45" s="6" t="n">
        <v>247</v>
      </c>
      <c r="H45" s="8" t="n">
        <v>1275.35413046081</v>
      </c>
      <c r="I45" s="2" t="s">
        <v>7012</v>
      </c>
    </row>
    <row r="46" customFormat="false" ht="15" hidden="false" customHeight="false" outlineLevel="0" collapsed="false">
      <c r="A46" s="2" t="s">
        <v>155</v>
      </c>
      <c r="B46" s="2" t="s">
        <v>156</v>
      </c>
      <c r="C46" s="2" t="s">
        <v>157</v>
      </c>
      <c r="D46" s="6" t="s">
        <v>30</v>
      </c>
      <c r="E46" s="2" t="s">
        <v>8</v>
      </c>
      <c r="F46" s="2" t="n">
        <v>45</v>
      </c>
      <c r="G46" s="6" t="n">
        <v>247</v>
      </c>
      <c r="H46" s="8" t="n">
        <v>888.081122211227</v>
      </c>
      <c r="I46" s="2" t="s">
        <v>7012</v>
      </c>
    </row>
    <row r="47" customFormat="false" ht="15" hidden="false" customHeight="false" outlineLevel="0" collapsed="false">
      <c r="A47" s="2" t="s">
        <v>158</v>
      </c>
      <c r="B47" s="2" t="s">
        <v>159</v>
      </c>
      <c r="C47" s="2" t="s">
        <v>7034</v>
      </c>
      <c r="D47" s="6" t="s">
        <v>30</v>
      </c>
      <c r="E47" s="2" t="s">
        <v>8</v>
      </c>
      <c r="F47" s="2" t="n">
        <v>46</v>
      </c>
      <c r="G47" s="6" t="n">
        <v>247</v>
      </c>
      <c r="H47" s="8" t="n">
        <v>814.844833931352</v>
      </c>
      <c r="I47" s="2" t="s">
        <v>7012</v>
      </c>
    </row>
    <row r="48" customFormat="false" ht="15" hidden="false" customHeight="false" outlineLevel="0" collapsed="false">
      <c r="A48" s="2" t="s">
        <v>161</v>
      </c>
      <c r="B48" s="2" t="s">
        <v>162</v>
      </c>
      <c r="C48" s="2" t="s">
        <v>163</v>
      </c>
      <c r="D48" s="6" t="s">
        <v>30</v>
      </c>
      <c r="E48" s="2" t="s">
        <v>8</v>
      </c>
      <c r="F48" s="2" t="n">
        <v>47</v>
      </c>
      <c r="G48" s="6" t="n">
        <v>246</v>
      </c>
      <c r="H48" s="8" t="n">
        <v>975.840297856683</v>
      </c>
      <c r="I48" s="2" t="s">
        <v>7012</v>
      </c>
    </row>
    <row r="49" customFormat="false" ht="15" hidden="false" customHeight="false" outlineLevel="0" collapsed="false">
      <c r="A49" s="2" t="s">
        <v>164</v>
      </c>
      <c r="B49" s="2" t="s">
        <v>165</v>
      </c>
      <c r="C49" s="2" t="s">
        <v>7035</v>
      </c>
      <c r="D49" s="6" t="s">
        <v>30</v>
      </c>
      <c r="E49" s="2" t="s">
        <v>8</v>
      </c>
      <c r="F49" s="2" t="n">
        <v>48</v>
      </c>
      <c r="G49" s="6" t="n">
        <v>246</v>
      </c>
      <c r="H49" s="8" t="n">
        <v>818.41089577139</v>
      </c>
      <c r="I49" s="2" t="s">
        <v>7012</v>
      </c>
    </row>
    <row r="50" customFormat="false" ht="15" hidden="false" customHeight="false" outlineLevel="0" collapsed="false">
      <c r="A50" s="2" t="s">
        <v>167</v>
      </c>
      <c r="B50" s="2" t="s">
        <v>39</v>
      </c>
      <c r="C50" s="2"/>
      <c r="D50" s="6" t="s">
        <v>30</v>
      </c>
      <c r="E50" s="2" t="s">
        <v>8</v>
      </c>
      <c r="F50" s="2" t="n">
        <v>49</v>
      </c>
      <c r="G50" s="6" t="n">
        <v>246</v>
      </c>
      <c r="H50" s="8" t="n">
        <v>1419.11151881465</v>
      </c>
      <c r="I50" s="2" t="s">
        <v>7012</v>
      </c>
    </row>
    <row r="51" customFormat="false" ht="15" hidden="false" customHeight="false" outlineLevel="0" collapsed="false">
      <c r="A51" s="2" t="s">
        <v>168</v>
      </c>
      <c r="B51" s="2" t="s">
        <v>169</v>
      </c>
      <c r="C51" s="2" t="s">
        <v>170</v>
      </c>
      <c r="D51" s="6" t="s">
        <v>30</v>
      </c>
      <c r="E51" s="2" t="s">
        <v>8</v>
      </c>
      <c r="F51" s="2" t="n">
        <v>50</v>
      </c>
      <c r="G51" s="6" t="n">
        <v>245</v>
      </c>
      <c r="H51" s="8" t="n">
        <v>1306.33444162572</v>
      </c>
      <c r="I51" s="2" t="s">
        <v>7012</v>
      </c>
    </row>
    <row r="52" customFormat="false" ht="15" hidden="false" customHeight="false" outlineLevel="0" collapsed="false">
      <c r="A52" s="2" t="s">
        <v>171</v>
      </c>
      <c r="B52" s="2" t="s">
        <v>44</v>
      </c>
      <c r="C52" s="2" t="s">
        <v>7036</v>
      </c>
      <c r="D52" s="6" t="s">
        <v>30</v>
      </c>
      <c r="E52" s="2" t="s">
        <v>8</v>
      </c>
      <c r="F52" s="2" t="n">
        <v>51</v>
      </c>
      <c r="G52" s="6" t="n">
        <v>244</v>
      </c>
      <c r="H52" s="8" t="n">
        <v>717.536380903254</v>
      </c>
      <c r="I52" s="2" t="s">
        <v>7012</v>
      </c>
    </row>
    <row r="53" customFormat="false" ht="15" hidden="false" customHeight="false" outlineLevel="0" collapsed="false">
      <c r="A53" s="2" t="s">
        <v>173</v>
      </c>
      <c r="B53" s="2" t="s">
        <v>174</v>
      </c>
      <c r="C53" s="2" t="s">
        <v>7037</v>
      </c>
      <c r="D53" s="6" t="s">
        <v>30</v>
      </c>
      <c r="E53" s="2" t="s">
        <v>8</v>
      </c>
      <c r="F53" s="2" t="n">
        <v>52</v>
      </c>
      <c r="G53" s="6" t="n">
        <v>244</v>
      </c>
      <c r="H53" s="8" t="n">
        <v>867.362277650389</v>
      </c>
      <c r="I53" s="2" t="s">
        <v>7012</v>
      </c>
    </row>
    <row r="54" customFormat="false" ht="15" hidden="false" customHeight="false" outlineLevel="0" collapsed="false">
      <c r="A54" s="2" t="s">
        <v>176</v>
      </c>
      <c r="B54" s="2" t="s">
        <v>81</v>
      </c>
      <c r="C54" s="2" t="s">
        <v>177</v>
      </c>
      <c r="D54" s="6" t="s">
        <v>30</v>
      </c>
      <c r="E54" s="2" t="s">
        <v>8</v>
      </c>
      <c r="F54" s="2" t="n">
        <v>53</v>
      </c>
      <c r="G54" s="6" t="n">
        <v>240</v>
      </c>
      <c r="H54" s="8" t="n">
        <v>1193.96970223441</v>
      </c>
      <c r="I54" s="2" t="s">
        <v>7012</v>
      </c>
    </row>
    <row r="55" customFormat="false" ht="15" hidden="false" customHeight="false" outlineLevel="0" collapsed="false">
      <c r="A55" s="2" t="s">
        <v>178</v>
      </c>
      <c r="B55" s="2" t="s">
        <v>179</v>
      </c>
      <c r="C55" s="2" t="s">
        <v>180</v>
      </c>
      <c r="D55" s="6" t="s">
        <v>30</v>
      </c>
      <c r="E55" s="2" t="s">
        <v>8</v>
      </c>
      <c r="F55" s="2" t="n">
        <v>54</v>
      </c>
      <c r="G55" s="6" t="n">
        <v>239</v>
      </c>
      <c r="H55" s="8" t="n">
        <v>725.470327589477</v>
      </c>
      <c r="I55" s="2" t="s">
        <v>7012</v>
      </c>
    </row>
    <row r="56" customFormat="false" ht="15" hidden="false" customHeight="false" outlineLevel="0" collapsed="false">
      <c r="A56" s="2" t="s">
        <v>181</v>
      </c>
      <c r="B56" s="2" t="s">
        <v>70</v>
      </c>
      <c r="C56" s="2" t="s">
        <v>182</v>
      </c>
      <c r="D56" s="6" t="s">
        <v>30</v>
      </c>
      <c r="E56" s="2" t="s">
        <v>8</v>
      </c>
      <c r="F56" s="2" t="n">
        <v>55</v>
      </c>
      <c r="G56" s="6" t="n">
        <v>238</v>
      </c>
      <c r="H56" s="8" t="n">
        <v>963.51313777192</v>
      </c>
      <c r="I56" s="2" t="s">
        <v>7012</v>
      </c>
    </row>
    <row r="57" customFormat="false" ht="15" hidden="false" customHeight="false" outlineLevel="0" collapsed="false">
      <c r="A57" s="2" t="s">
        <v>183</v>
      </c>
      <c r="B57" s="2" t="s">
        <v>184</v>
      </c>
      <c r="C57" s="2" t="s">
        <v>185</v>
      </c>
      <c r="D57" s="6" t="s">
        <v>30</v>
      </c>
      <c r="E57" s="2" t="s">
        <v>8</v>
      </c>
      <c r="F57" s="2" t="n">
        <v>56</v>
      </c>
      <c r="G57" s="6" t="n">
        <v>238</v>
      </c>
      <c r="H57" s="8" t="n">
        <v>999.241948990563</v>
      </c>
      <c r="I57" s="2" t="s">
        <v>7012</v>
      </c>
    </row>
    <row r="58" customFormat="false" ht="15" hidden="false" customHeight="false" outlineLevel="0" collapsed="false">
      <c r="A58" s="2" t="s">
        <v>186</v>
      </c>
      <c r="B58" s="2" t="s">
        <v>187</v>
      </c>
      <c r="C58" s="2" t="s">
        <v>188</v>
      </c>
      <c r="D58" s="6" t="s">
        <v>30</v>
      </c>
      <c r="E58" s="2" t="s">
        <v>8</v>
      </c>
      <c r="F58" s="2" t="n">
        <v>57</v>
      </c>
      <c r="G58" s="6" t="n">
        <v>238</v>
      </c>
      <c r="H58" s="8" t="n">
        <v>757.76376940679</v>
      </c>
      <c r="I58" s="2" t="s">
        <v>7012</v>
      </c>
    </row>
    <row r="59" customFormat="false" ht="15" hidden="false" customHeight="false" outlineLevel="0" collapsed="false">
      <c r="A59" s="2" t="s">
        <v>189</v>
      </c>
      <c r="B59" s="2" t="s">
        <v>190</v>
      </c>
      <c r="C59" s="2"/>
      <c r="D59" s="6" t="s">
        <v>30</v>
      </c>
      <c r="E59" s="2" t="s">
        <v>9</v>
      </c>
      <c r="F59" s="2" t="n">
        <v>58</v>
      </c>
      <c r="G59" s="6" t="n">
        <v>356</v>
      </c>
      <c r="H59" s="8" t="n">
        <v>644.474982653104</v>
      </c>
      <c r="I59" s="2" t="s">
        <v>7012</v>
      </c>
    </row>
    <row r="60" customFormat="false" ht="15" hidden="false" customHeight="false" outlineLevel="0" collapsed="false">
      <c r="A60" s="2" t="s">
        <v>191</v>
      </c>
      <c r="B60" s="2" t="s">
        <v>70</v>
      </c>
      <c r="C60" s="2" t="s">
        <v>192</v>
      </c>
      <c r="D60" s="6" t="s">
        <v>30</v>
      </c>
      <c r="E60" s="2" t="s">
        <v>8</v>
      </c>
      <c r="F60" s="2" t="n">
        <v>59</v>
      </c>
      <c r="G60" s="6" t="n">
        <v>237</v>
      </c>
      <c r="H60" s="8" t="n">
        <v>952.251217796477</v>
      </c>
      <c r="I60" s="2" t="s">
        <v>7012</v>
      </c>
    </row>
    <row r="61" customFormat="false" ht="15" hidden="false" customHeight="false" outlineLevel="0" collapsed="false">
      <c r="A61" s="2" t="s">
        <v>193</v>
      </c>
      <c r="B61" s="2" t="s">
        <v>56</v>
      </c>
      <c r="C61" s="2" t="s">
        <v>7038</v>
      </c>
      <c r="D61" s="6" t="s">
        <v>30</v>
      </c>
      <c r="E61" s="2" t="s">
        <v>8</v>
      </c>
      <c r="F61" s="2" t="n">
        <v>60</v>
      </c>
      <c r="G61" s="6" t="n">
        <v>237</v>
      </c>
      <c r="H61" s="8" t="n">
        <v>1097.78077428395</v>
      </c>
      <c r="I61" s="2" t="s">
        <v>7012</v>
      </c>
    </row>
    <row r="62" customFormat="false" ht="15" hidden="false" customHeight="false" outlineLevel="0" collapsed="false">
      <c r="A62" s="2" t="s">
        <v>195</v>
      </c>
      <c r="B62" s="2" t="s">
        <v>196</v>
      </c>
      <c r="C62" s="2"/>
      <c r="D62" s="6" t="s">
        <v>30</v>
      </c>
      <c r="E62" s="2" t="s">
        <v>8</v>
      </c>
      <c r="F62" s="2" t="n">
        <v>61</v>
      </c>
      <c r="G62" s="6" t="n">
        <v>237</v>
      </c>
      <c r="H62" s="8" t="n">
        <v>815.350080824279</v>
      </c>
      <c r="I62" s="2" t="s">
        <v>7012</v>
      </c>
    </row>
    <row r="63" customFormat="false" ht="15" hidden="false" customHeight="false" outlineLevel="0" collapsed="false">
      <c r="A63" s="2" t="s">
        <v>198</v>
      </c>
      <c r="B63" s="2" t="s">
        <v>199</v>
      </c>
      <c r="C63" s="2" t="s">
        <v>200</v>
      </c>
      <c r="D63" s="6" t="s">
        <v>30</v>
      </c>
      <c r="E63" s="2" t="s">
        <v>8</v>
      </c>
      <c r="F63" s="2" t="n">
        <v>62</v>
      </c>
      <c r="G63" s="6" t="n">
        <v>236</v>
      </c>
      <c r="H63" s="8" t="n">
        <v>856.381050309792</v>
      </c>
      <c r="I63" s="2" t="s">
        <v>7012</v>
      </c>
    </row>
    <row r="64" customFormat="false" ht="15" hidden="false" customHeight="false" outlineLevel="0" collapsed="false">
      <c r="A64" s="2" t="s">
        <v>201</v>
      </c>
      <c r="B64" s="2" t="s">
        <v>202</v>
      </c>
      <c r="C64" s="2" t="s">
        <v>203</v>
      </c>
      <c r="D64" s="6" t="s">
        <v>30</v>
      </c>
      <c r="E64" s="2" t="s">
        <v>8</v>
      </c>
      <c r="F64" s="2" t="n">
        <v>63</v>
      </c>
      <c r="G64" s="6" t="n">
        <v>236</v>
      </c>
      <c r="H64" s="8" t="n">
        <v>749.014400262403</v>
      </c>
      <c r="I64" s="2" t="s">
        <v>7012</v>
      </c>
    </row>
    <row r="65" customFormat="false" ht="15" hidden="false" customHeight="false" outlineLevel="0" collapsed="false">
      <c r="A65" s="2" t="s">
        <v>204</v>
      </c>
      <c r="B65" s="2" t="s">
        <v>205</v>
      </c>
      <c r="C65" s="2" t="s">
        <v>206</v>
      </c>
      <c r="D65" s="6" t="s">
        <v>30</v>
      </c>
      <c r="E65" s="2" t="s">
        <v>8</v>
      </c>
      <c r="F65" s="2" t="n">
        <v>64</v>
      </c>
      <c r="G65" s="6" t="n">
        <v>234</v>
      </c>
      <c r="H65" s="8" t="n">
        <v>768.833466569111</v>
      </c>
      <c r="I65" s="2" t="s">
        <v>7012</v>
      </c>
    </row>
    <row r="66" customFormat="false" ht="15" hidden="false" customHeight="false" outlineLevel="0" collapsed="false">
      <c r="A66" s="2" t="s">
        <v>207</v>
      </c>
      <c r="B66" s="2" t="s">
        <v>59</v>
      </c>
      <c r="C66" s="2"/>
      <c r="D66" s="6" t="s">
        <v>30</v>
      </c>
      <c r="E66" s="2" t="s">
        <v>8</v>
      </c>
      <c r="F66" s="2" t="n">
        <v>65</v>
      </c>
      <c r="G66" s="6" t="n">
        <v>233</v>
      </c>
      <c r="H66" s="8" t="n">
        <v>846.096398264657</v>
      </c>
      <c r="I66" s="2" t="s">
        <v>7012</v>
      </c>
    </row>
    <row r="67" customFormat="false" ht="15" hidden="false" customHeight="false" outlineLevel="0" collapsed="false">
      <c r="A67" s="2" t="s">
        <v>208</v>
      </c>
      <c r="B67" s="2" t="s">
        <v>56</v>
      </c>
      <c r="C67" s="2" t="s">
        <v>209</v>
      </c>
      <c r="D67" s="6" t="s">
        <v>30</v>
      </c>
      <c r="E67" s="2" t="s">
        <v>8</v>
      </c>
      <c r="F67" s="2" t="n">
        <v>66</v>
      </c>
      <c r="G67" s="6" t="n">
        <v>233</v>
      </c>
      <c r="H67" s="8" t="n">
        <v>1093.24463443816</v>
      </c>
      <c r="I67" s="2" t="s">
        <v>7012</v>
      </c>
    </row>
    <row r="68" customFormat="false" ht="15" hidden="false" customHeight="false" outlineLevel="0" collapsed="false">
      <c r="A68" s="2" t="s">
        <v>210</v>
      </c>
      <c r="B68" s="2" t="s">
        <v>70</v>
      </c>
      <c r="C68" s="2" t="s">
        <v>7039</v>
      </c>
      <c r="D68" s="6" t="s">
        <v>30</v>
      </c>
      <c r="E68" s="2" t="s">
        <v>8</v>
      </c>
      <c r="F68" s="2" t="n">
        <v>67</v>
      </c>
      <c r="G68" s="6" t="n">
        <v>232</v>
      </c>
      <c r="H68" s="8" t="n">
        <v>806.807218273543</v>
      </c>
      <c r="I68" s="2" t="s">
        <v>7012</v>
      </c>
    </row>
    <row r="69" customFormat="false" ht="15" hidden="false" customHeight="false" outlineLevel="0" collapsed="false">
      <c r="A69" s="2" t="s">
        <v>212</v>
      </c>
      <c r="B69" s="2" t="s">
        <v>213</v>
      </c>
      <c r="C69" s="2" t="s">
        <v>214</v>
      </c>
      <c r="D69" s="6" t="s">
        <v>30</v>
      </c>
      <c r="E69" s="2" t="s">
        <v>9</v>
      </c>
      <c r="F69" s="2" t="n">
        <v>68</v>
      </c>
      <c r="G69" s="6" t="n">
        <v>348</v>
      </c>
      <c r="H69" s="8" t="n">
        <v>659.113591835474</v>
      </c>
      <c r="I69" s="2" t="s">
        <v>7012</v>
      </c>
    </row>
    <row r="70" customFormat="false" ht="15" hidden="false" customHeight="false" outlineLevel="0" collapsed="false">
      <c r="A70" s="2" t="s">
        <v>215</v>
      </c>
      <c r="B70" s="2" t="s">
        <v>119</v>
      </c>
      <c r="C70" s="2"/>
      <c r="D70" s="6" t="s">
        <v>30</v>
      </c>
      <c r="E70" s="2" t="s">
        <v>9</v>
      </c>
      <c r="F70" s="2" t="n">
        <v>69</v>
      </c>
      <c r="G70" s="6" t="n">
        <v>344</v>
      </c>
      <c r="H70" s="8" t="n">
        <v>672.266682132224</v>
      </c>
      <c r="I70" s="2" t="s">
        <v>7012</v>
      </c>
    </row>
    <row r="71" customFormat="false" ht="15" hidden="false" customHeight="false" outlineLevel="0" collapsed="false">
      <c r="A71" s="2" t="s">
        <v>216</v>
      </c>
      <c r="B71" s="2" t="s">
        <v>217</v>
      </c>
      <c r="C71" s="2" t="s">
        <v>7040</v>
      </c>
      <c r="D71" s="6" t="s">
        <v>30</v>
      </c>
      <c r="E71" s="2" t="s">
        <v>8</v>
      </c>
      <c r="F71" s="2" t="n">
        <v>70</v>
      </c>
      <c r="G71" s="6" t="n">
        <v>229</v>
      </c>
      <c r="H71" s="8" t="n">
        <v>703.345417364048</v>
      </c>
      <c r="I71" s="2" t="s">
        <v>7012</v>
      </c>
    </row>
    <row r="72" customFormat="false" ht="15" hidden="false" customHeight="false" outlineLevel="0" collapsed="false">
      <c r="A72" s="2" t="s">
        <v>219</v>
      </c>
      <c r="B72" s="2" t="s">
        <v>220</v>
      </c>
      <c r="C72" s="2" t="s">
        <v>221</v>
      </c>
      <c r="D72" s="6" t="s">
        <v>30</v>
      </c>
      <c r="E72" s="2" t="s">
        <v>9</v>
      </c>
      <c r="F72" s="2" t="n">
        <v>71</v>
      </c>
      <c r="G72" s="6" t="n">
        <v>341</v>
      </c>
      <c r="H72" s="8" t="n">
        <v>656.343906632282</v>
      </c>
      <c r="I72" s="2" t="s">
        <v>7012</v>
      </c>
    </row>
    <row r="73" customFormat="false" ht="15" hidden="false" customHeight="false" outlineLevel="0" collapsed="false">
      <c r="A73" s="2" t="s">
        <v>222</v>
      </c>
      <c r="B73" s="2" t="s">
        <v>59</v>
      </c>
      <c r="C73" s="2"/>
      <c r="D73" s="6" t="s">
        <v>30</v>
      </c>
      <c r="E73" s="2" t="s">
        <v>8</v>
      </c>
      <c r="F73" s="2" t="n">
        <v>72</v>
      </c>
      <c r="G73" s="6" t="n">
        <v>227</v>
      </c>
      <c r="H73" s="8" t="n">
        <v>811.461915878934</v>
      </c>
      <c r="I73" s="2" t="s">
        <v>7012</v>
      </c>
    </row>
    <row r="74" customFormat="false" ht="15" hidden="false" customHeight="false" outlineLevel="0" collapsed="false">
      <c r="A74" s="2" t="s">
        <v>223</v>
      </c>
      <c r="B74" s="2" t="s">
        <v>224</v>
      </c>
      <c r="C74" s="2" t="s">
        <v>225</v>
      </c>
      <c r="D74" s="6" t="s">
        <v>30</v>
      </c>
      <c r="E74" s="2" t="s">
        <v>8</v>
      </c>
      <c r="F74" s="2" t="n">
        <v>73</v>
      </c>
      <c r="G74" s="6" t="n">
        <v>225</v>
      </c>
      <c r="H74" s="8" t="n">
        <v>885.314121697698</v>
      </c>
      <c r="I74" s="2" t="s">
        <v>7012</v>
      </c>
    </row>
    <row r="75" customFormat="false" ht="15" hidden="false" customHeight="false" outlineLevel="0" collapsed="false">
      <c r="A75" s="2" t="s">
        <v>226</v>
      </c>
      <c r="B75" s="2" t="s">
        <v>62</v>
      </c>
      <c r="C75" s="2" t="s">
        <v>227</v>
      </c>
      <c r="D75" s="6" t="s">
        <v>30</v>
      </c>
      <c r="E75" s="2" t="s">
        <v>8</v>
      </c>
      <c r="F75" s="2" t="n">
        <v>74</v>
      </c>
      <c r="G75" s="6" t="n">
        <v>224</v>
      </c>
      <c r="H75" s="8" t="n">
        <v>1233.33415868025</v>
      </c>
      <c r="I75" s="2" t="s">
        <v>7012</v>
      </c>
    </row>
    <row r="76" customFormat="false" ht="15" hidden="false" customHeight="false" outlineLevel="0" collapsed="false">
      <c r="A76" s="2" t="s">
        <v>228</v>
      </c>
      <c r="B76" s="2" t="s">
        <v>169</v>
      </c>
      <c r="C76" s="2" t="s">
        <v>229</v>
      </c>
      <c r="D76" s="6" t="s">
        <v>30</v>
      </c>
      <c r="E76" s="2" t="s">
        <v>8</v>
      </c>
      <c r="F76" s="2" t="n">
        <v>75</v>
      </c>
      <c r="G76" s="6" t="n">
        <v>223</v>
      </c>
      <c r="H76" s="8" t="n">
        <v>1288.5232211212</v>
      </c>
      <c r="I76" s="2" t="s">
        <v>7012</v>
      </c>
    </row>
    <row r="77" customFormat="false" ht="15" hidden="false" customHeight="false" outlineLevel="0" collapsed="false">
      <c r="A77" s="2" t="s">
        <v>230</v>
      </c>
      <c r="B77" s="2" t="s">
        <v>56</v>
      </c>
      <c r="C77" s="2" t="s">
        <v>7041</v>
      </c>
      <c r="D77" s="6" t="s">
        <v>30</v>
      </c>
      <c r="E77" s="2" t="s">
        <v>8</v>
      </c>
      <c r="F77" s="2" t="n">
        <v>76</v>
      </c>
      <c r="G77" s="6" t="n">
        <v>223</v>
      </c>
      <c r="H77" s="8" t="n">
        <v>1182.76911293348</v>
      </c>
      <c r="I77" s="2" t="s">
        <v>7012</v>
      </c>
    </row>
    <row r="78" customFormat="false" ht="15" hidden="false" customHeight="false" outlineLevel="0" collapsed="false">
      <c r="A78" s="2" t="s">
        <v>232</v>
      </c>
      <c r="B78" s="2" t="s">
        <v>62</v>
      </c>
      <c r="C78" s="2"/>
      <c r="D78" s="6" t="s">
        <v>30</v>
      </c>
      <c r="E78" s="2" t="s">
        <v>8</v>
      </c>
      <c r="F78" s="2" t="n">
        <v>77</v>
      </c>
      <c r="G78" s="6" t="n">
        <v>218</v>
      </c>
      <c r="H78" s="8" t="n">
        <v>1351.50905469562</v>
      </c>
      <c r="I78" s="2" t="s">
        <v>7012</v>
      </c>
    </row>
    <row r="79" customFormat="false" ht="15" hidden="false" customHeight="false" outlineLevel="0" collapsed="false">
      <c r="A79" s="2" t="s">
        <v>233</v>
      </c>
      <c r="B79" s="2" t="s">
        <v>133</v>
      </c>
      <c r="C79" s="2" t="s">
        <v>7042</v>
      </c>
      <c r="D79" s="6" t="s">
        <v>30</v>
      </c>
      <c r="E79" s="2" t="s">
        <v>8</v>
      </c>
      <c r="F79" s="2" t="n">
        <v>78</v>
      </c>
      <c r="G79" s="6" t="n">
        <v>217</v>
      </c>
      <c r="H79" s="8" t="n">
        <v>719.584581873115</v>
      </c>
      <c r="I79" s="2" t="s">
        <v>7012</v>
      </c>
    </row>
    <row r="80" customFormat="false" ht="15" hidden="false" customHeight="false" outlineLevel="0" collapsed="false">
      <c r="A80" s="2" t="s">
        <v>235</v>
      </c>
      <c r="B80" s="2" t="s">
        <v>56</v>
      </c>
      <c r="C80" s="2" t="s">
        <v>236</v>
      </c>
      <c r="D80" s="6" t="s">
        <v>30</v>
      </c>
      <c r="E80" s="2" t="s">
        <v>8</v>
      </c>
      <c r="F80" s="2" t="n">
        <v>79</v>
      </c>
      <c r="G80" s="6" t="n">
        <v>216</v>
      </c>
      <c r="H80" s="8" t="n">
        <v>1102.98813509967</v>
      </c>
      <c r="I80" s="2" t="s">
        <v>7012</v>
      </c>
    </row>
    <row r="81" customFormat="false" ht="15" hidden="false" customHeight="false" outlineLevel="0" collapsed="false">
      <c r="A81" s="2" t="s">
        <v>237</v>
      </c>
      <c r="B81" s="2" t="s">
        <v>187</v>
      </c>
      <c r="C81" s="2" t="s">
        <v>238</v>
      </c>
      <c r="D81" s="6" t="s">
        <v>30</v>
      </c>
      <c r="E81" s="2" t="s">
        <v>8</v>
      </c>
      <c r="F81" s="2" t="n">
        <v>80</v>
      </c>
      <c r="G81" s="6" t="n">
        <v>216</v>
      </c>
      <c r="H81" s="8" t="n">
        <v>787.224531854704</v>
      </c>
      <c r="I81" s="2" t="s">
        <v>7012</v>
      </c>
    </row>
    <row r="82" customFormat="false" ht="15" hidden="false" customHeight="false" outlineLevel="0" collapsed="false">
      <c r="A82" s="2" t="s">
        <v>239</v>
      </c>
      <c r="B82" s="2" t="s">
        <v>70</v>
      </c>
      <c r="C82" s="2" t="s">
        <v>240</v>
      </c>
      <c r="D82" s="6" t="s">
        <v>30</v>
      </c>
      <c r="E82" s="2" t="s">
        <v>8</v>
      </c>
      <c r="F82" s="2" t="n">
        <v>81</v>
      </c>
      <c r="G82" s="6" t="n">
        <v>215</v>
      </c>
      <c r="H82" s="8" t="n">
        <v>910.327273531163</v>
      </c>
      <c r="I82" s="2" t="s">
        <v>7012</v>
      </c>
    </row>
    <row r="83" customFormat="false" ht="15" hidden="false" customHeight="false" outlineLevel="0" collapsed="false">
      <c r="A83" s="2" t="s">
        <v>241</v>
      </c>
      <c r="B83" s="2" t="s">
        <v>242</v>
      </c>
      <c r="C83" s="2" t="s">
        <v>243</v>
      </c>
      <c r="D83" s="6" t="s">
        <v>30</v>
      </c>
      <c r="E83" s="2" t="s">
        <v>8</v>
      </c>
      <c r="F83" s="2" t="n">
        <v>82</v>
      </c>
      <c r="G83" s="6" t="n">
        <v>215</v>
      </c>
      <c r="H83" s="8" t="n">
        <v>929.384366565875</v>
      </c>
      <c r="I83" s="2" t="s">
        <v>7012</v>
      </c>
    </row>
    <row r="84" customFormat="false" ht="15" hidden="false" customHeight="false" outlineLevel="0" collapsed="false">
      <c r="A84" s="2" t="s">
        <v>244</v>
      </c>
      <c r="B84" s="2" t="s">
        <v>245</v>
      </c>
      <c r="C84" s="2" t="s">
        <v>246</v>
      </c>
      <c r="D84" s="6" t="s">
        <v>30</v>
      </c>
      <c r="E84" s="2" t="s">
        <v>8</v>
      </c>
      <c r="F84" s="2" t="n">
        <v>83</v>
      </c>
      <c r="G84" s="6" t="n">
        <v>214</v>
      </c>
      <c r="H84" s="8" t="n">
        <v>708.532924646108</v>
      </c>
      <c r="I84" s="2" t="s">
        <v>7012</v>
      </c>
    </row>
    <row r="85" customFormat="false" ht="15" hidden="false" customHeight="false" outlineLevel="0" collapsed="false">
      <c r="A85" s="2" t="s">
        <v>247</v>
      </c>
      <c r="B85" s="2" t="s">
        <v>100</v>
      </c>
      <c r="C85" s="2" t="s">
        <v>248</v>
      </c>
      <c r="D85" s="6" t="s">
        <v>30</v>
      </c>
      <c r="E85" s="2" t="s">
        <v>8</v>
      </c>
      <c r="F85" s="2" t="n">
        <v>84</v>
      </c>
      <c r="G85" s="6" t="n">
        <v>214</v>
      </c>
      <c r="H85" s="8" t="n">
        <v>1798.30219981307</v>
      </c>
      <c r="I85" s="2" t="s">
        <v>7012</v>
      </c>
    </row>
    <row r="86" customFormat="false" ht="15" hidden="false" customHeight="false" outlineLevel="0" collapsed="false">
      <c r="A86" s="2" t="s">
        <v>249</v>
      </c>
      <c r="B86" s="2" t="s">
        <v>250</v>
      </c>
      <c r="C86" s="2" t="s">
        <v>251</v>
      </c>
      <c r="D86" s="6" t="s">
        <v>30</v>
      </c>
      <c r="E86" s="2" t="s">
        <v>8</v>
      </c>
      <c r="F86" s="2" t="n">
        <v>85</v>
      </c>
      <c r="G86" s="6" t="n">
        <v>213</v>
      </c>
      <c r="H86" s="8" t="n">
        <v>820.791831333</v>
      </c>
      <c r="I86" s="2" t="s">
        <v>7012</v>
      </c>
    </row>
    <row r="87" customFormat="false" ht="15" hidden="false" customHeight="false" outlineLevel="0" collapsed="false">
      <c r="A87" s="2" t="s">
        <v>252</v>
      </c>
      <c r="B87" s="2" t="s">
        <v>165</v>
      </c>
      <c r="C87" s="2" t="s">
        <v>7043</v>
      </c>
      <c r="D87" s="6" t="s">
        <v>30</v>
      </c>
      <c r="E87" s="2" t="s">
        <v>8</v>
      </c>
      <c r="F87" s="2" t="n">
        <v>86</v>
      </c>
      <c r="G87" s="6" t="n">
        <v>213</v>
      </c>
      <c r="H87" s="8" t="n">
        <v>726.813680983376</v>
      </c>
      <c r="I87" s="2" t="s">
        <v>7012</v>
      </c>
    </row>
    <row r="88" customFormat="false" ht="15" hidden="false" customHeight="false" outlineLevel="0" collapsed="false">
      <c r="A88" s="2" t="s">
        <v>254</v>
      </c>
      <c r="B88" s="2" t="s">
        <v>255</v>
      </c>
      <c r="C88" s="2" t="s">
        <v>7044</v>
      </c>
      <c r="D88" s="6" t="s">
        <v>30</v>
      </c>
      <c r="E88" s="2" t="s">
        <v>8</v>
      </c>
      <c r="F88" s="2" t="n">
        <v>87</v>
      </c>
      <c r="G88" s="6" t="n">
        <v>212</v>
      </c>
      <c r="H88" s="8" t="n">
        <v>1673.32811479882</v>
      </c>
      <c r="I88" s="2" t="s">
        <v>7012</v>
      </c>
    </row>
    <row r="89" customFormat="false" ht="15" hidden="false" customHeight="false" outlineLevel="0" collapsed="false">
      <c r="A89" s="2" t="s">
        <v>257</v>
      </c>
      <c r="B89" s="2" t="s">
        <v>258</v>
      </c>
      <c r="C89" s="2" t="s">
        <v>259</v>
      </c>
      <c r="D89" s="6" t="s">
        <v>30</v>
      </c>
      <c r="E89" s="2" t="s">
        <v>8</v>
      </c>
      <c r="F89" s="2" t="n">
        <v>88</v>
      </c>
      <c r="G89" s="6" t="n">
        <v>211</v>
      </c>
      <c r="H89" s="8" t="n">
        <v>1232.71961616166</v>
      </c>
      <c r="I89" s="2" t="s">
        <v>7012</v>
      </c>
    </row>
    <row r="90" customFormat="false" ht="15" hidden="false" customHeight="false" outlineLevel="0" collapsed="false">
      <c r="A90" s="2" t="s">
        <v>260</v>
      </c>
      <c r="B90" s="2" t="s">
        <v>184</v>
      </c>
      <c r="C90" s="2" t="s">
        <v>7045</v>
      </c>
      <c r="D90" s="6" t="s">
        <v>30</v>
      </c>
      <c r="E90" s="2" t="s">
        <v>8</v>
      </c>
      <c r="F90" s="2" t="n">
        <v>89</v>
      </c>
      <c r="G90" s="6" t="n">
        <v>210</v>
      </c>
      <c r="H90" s="8" t="n">
        <v>710.1821989814</v>
      </c>
      <c r="I90" s="2" t="s">
        <v>7012</v>
      </c>
    </row>
    <row r="91" customFormat="false" ht="15" hidden="false" customHeight="false" outlineLevel="0" collapsed="false">
      <c r="A91" s="2" t="s">
        <v>262</v>
      </c>
      <c r="B91" s="2" t="s">
        <v>263</v>
      </c>
      <c r="C91" s="2" t="s">
        <v>7046</v>
      </c>
      <c r="D91" s="6" t="s">
        <v>30</v>
      </c>
      <c r="E91" s="2" t="s">
        <v>8</v>
      </c>
      <c r="F91" s="2" t="n">
        <v>90</v>
      </c>
      <c r="G91" s="6" t="n">
        <v>209</v>
      </c>
      <c r="H91" s="8" t="n">
        <v>835.061920547</v>
      </c>
      <c r="I91" s="2" t="s">
        <v>7012</v>
      </c>
    </row>
    <row r="92" customFormat="false" ht="15" hidden="false" customHeight="false" outlineLevel="0" collapsed="false">
      <c r="A92" s="2" t="s">
        <v>265</v>
      </c>
      <c r="B92" s="2" t="s">
        <v>266</v>
      </c>
      <c r="C92" s="2"/>
      <c r="D92" s="6" t="s">
        <v>30</v>
      </c>
      <c r="E92" s="2" t="s">
        <v>9</v>
      </c>
      <c r="F92" s="2" t="n">
        <v>91</v>
      </c>
      <c r="G92" s="6" t="n">
        <v>313</v>
      </c>
      <c r="H92" s="8" t="n">
        <v>695.012019651348</v>
      </c>
      <c r="I92" s="2" t="s">
        <v>7012</v>
      </c>
    </row>
    <row r="93" customFormat="false" ht="15" hidden="false" customHeight="false" outlineLevel="0" collapsed="false">
      <c r="A93" s="2" t="s">
        <v>267</v>
      </c>
      <c r="B93" s="2" t="s">
        <v>34</v>
      </c>
      <c r="C93" s="2" t="s">
        <v>7047</v>
      </c>
      <c r="D93" s="6" t="s">
        <v>30</v>
      </c>
      <c r="E93" s="2" t="s">
        <v>8</v>
      </c>
      <c r="F93" s="2" t="n">
        <v>92</v>
      </c>
      <c r="G93" s="6" t="n">
        <v>208</v>
      </c>
      <c r="H93" s="8" t="n">
        <v>785.376406990692</v>
      </c>
      <c r="I93" s="2" t="s">
        <v>7012</v>
      </c>
    </row>
    <row r="94" customFormat="false" ht="15" hidden="false" customHeight="false" outlineLevel="0" collapsed="false">
      <c r="A94" s="2" t="s">
        <v>269</v>
      </c>
      <c r="B94" s="2" t="s">
        <v>270</v>
      </c>
      <c r="C94" s="2"/>
      <c r="D94" s="6" t="s">
        <v>30</v>
      </c>
      <c r="E94" s="2" t="s">
        <v>8</v>
      </c>
      <c r="F94" s="2" t="n">
        <v>93</v>
      </c>
      <c r="G94" s="6" t="n">
        <v>208</v>
      </c>
      <c r="H94" s="8" t="n">
        <v>1578.87667326293</v>
      </c>
      <c r="I94" s="2" t="s">
        <v>7012</v>
      </c>
    </row>
    <row r="95" customFormat="false" ht="15" hidden="false" customHeight="false" outlineLevel="0" collapsed="false">
      <c r="A95" s="2" t="s">
        <v>271</v>
      </c>
      <c r="B95" s="2" t="s">
        <v>272</v>
      </c>
      <c r="C95" s="2" t="s">
        <v>7048</v>
      </c>
      <c r="D95" s="6" t="s">
        <v>30</v>
      </c>
      <c r="E95" s="2" t="s">
        <v>8</v>
      </c>
      <c r="F95" s="2" t="n">
        <v>94</v>
      </c>
      <c r="G95" s="6" t="n">
        <v>207</v>
      </c>
      <c r="H95" s="8" t="n">
        <v>714.261504830459</v>
      </c>
      <c r="I95" s="2" t="s">
        <v>7012</v>
      </c>
    </row>
    <row r="96" customFormat="false" ht="15" hidden="false" customHeight="false" outlineLevel="0" collapsed="false">
      <c r="A96" s="2" t="s">
        <v>275</v>
      </c>
      <c r="B96" s="2" t="s">
        <v>276</v>
      </c>
      <c r="C96" s="2"/>
      <c r="D96" s="6" t="s">
        <v>30</v>
      </c>
      <c r="E96" s="2" t="s">
        <v>9</v>
      </c>
      <c r="F96" s="2" t="n">
        <v>95</v>
      </c>
      <c r="G96" s="6" t="n">
        <v>309</v>
      </c>
      <c r="H96" s="8" t="n">
        <v>636.78250237189</v>
      </c>
      <c r="I96" s="2" t="s">
        <v>7012</v>
      </c>
    </row>
    <row r="97" customFormat="false" ht="15" hidden="false" customHeight="false" outlineLevel="0" collapsed="false">
      <c r="A97" s="2" t="s">
        <v>277</v>
      </c>
      <c r="B97" s="2" t="s">
        <v>278</v>
      </c>
      <c r="C97" s="2" t="s">
        <v>279</v>
      </c>
      <c r="D97" s="6" t="s">
        <v>30</v>
      </c>
      <c r="E97" s="2" t="s">
        <v>8</v>
      </c>
      <c r="F97" s="2" t="n">
        <v>96</v>
      </c>
      <c r="G97" s="6" t="n">
        <v>206</v>
      </c>
      <c r="H97" s="8" t="n">
        <v>866.051856414451</v>
      </c>
      <c r="I97" s="2" t="s">
        <v>7012</v>
      </c>
    </row>
    <row r="98" customFormat="false" ht="15" hidden="false" customHeight="false" outlineLevel="0" collapsed="false">
      <c r="A98" s="2" t="s">
        <v>280</v>
      </c>
      <c r="B98" s="2" t="s">
        <v>38</v>
      </c>
      <c r="C98" s="2"/>
      <c r="D98" s="6" t="s">
        <v>30</v>
      </c>
      <c r="E98" s="2" t="s">
        <v>8</v>
      </c>
      <c r="F98" s="2" t="n">
        <v>97</v>
      </c>
      <c r="G98" s="6" t="n">
        <v>203</v>
      </c>
      <c r="H98" s="8" t="n">
        <v>1129.19170563423</v>
      </c>
      <c r="I98" s="2" t="s">
        <v>7012</v>
      </c>
    </row>
    <row r="99" customFormat="false" ht="15" hidden="false" customHeight="false" outlineLevel="0" collapsed="false">
      <c r="A99" s="2" t="s">
        <v>281</v>
      </c>
      <c r="B99" s="2" t="s">
        <v>197</v>
      </c>
      <c r="C99" s="2" t="s">
        <v>282</v>
      </c>
      <c r="D99" s="6" t="s">
        <v>30</v>
      </c>
      <c r="E99" s="2" t="s">
        <v>8</v>
      </c>
      <c r="F99" s="2" t="n">
        <v>98</v>
      </c>
      <c r="G99" s="6" t="n">
        <v>202</v>
      </c>
      <c r="H99" s="8" t="n">
        <v>918.73049984104</v>
      </c>
      <c r="I99" s="2" t="s">
        <v>7012</v>
      </c>
    </row>
    <row r="100" customFormat="false" ht="15" hidden="false" customHeight="false" outlineLevel="0" collapsed="false">
      <c r="A100" s="2" t="s">
        <v>283</v>
      </c>
      <c r="B100" s="2" t="s">
        <v>44</v>
      </c>
      <c r="C100" s="2" t="s">
        <v>7049</v>
      </c>
      <c r="D100" s="6" t="s">
        <v>30</v>
      </c>
      <c r="E100" s="2" t="s">
        <v>8</v>
      </c>
      <c r="F100" s="2" t="n">
        <v>99</v>
      </c>
      <c r="G100" s="6" t="n">
        <v>201</v>
      </c>
      <c r="H100" s="8" t="n">
        <v>830.5074362261</v>
      </c>
      <c r="I100" s="2" t="s">
        <v>7012</v>
      </c>
    </row>
    <row r="101" customFormat="false" ht="15" hidden="false" customHeight="false" outlineLevel="0" collapsed="false">
      <c r="A101" s="2" t="s">
        <v>285</v>
      </c>
      <c r="B101" s="2" t="s">
        <v>286</v>
      </c>
      <c r="C101" s="2"/>
      <c r="D101" s="6" t="s">
        <v>30</v>
      </c>
      <c r="E101" s="2" t="s">
        <v>8</v>
      </c>
      <c r="F101" s="2" t="n">
        <v>100</v>
      </c>
      <c r="G101" s="6" t="n">
        <v>201</v>
      </c>
      <c r="H101" s="8" t="n">
        <v>993.608681610239</v>
      </c>
      <c r="I101" s="2" t="s">
        <v>7012</v>
      </c>
    </row>
    <row r="102" customFormat="false" ht="15" hidden="false" customHeight="false" outlineLevel="0" collapsed="false">
      <c r="A102" s="2" t="s">
        <v>351</v>
      </c>
      <c r="B102" s="2" t="s">
        <v>352</v>
      </c>
      <c r="C102" s="2" t="s">
        <v>353</v>
      </c>
      <c r="D102" s="6" t="s">
        <v>30</v>
      </c>
      <c r="E102" s="2" t="s">
        <v>8</v>
      </c>
      <c r="F102" s="2" t="n">
        <v>101</v>
      </c>
      <c r="G102" s="6" t="n">
        <v>198</v>
      </c>
      <c r="H102" s="8" t="n">
        <v>846.142550057909</v>
      </c>
      <c r="I102" s="2" t="s">
        <v>7012</v>
      </c>
    </row>
    <row r="103" customFormat="false" ht="15" hidden="false" customHeight="false" outlineLevel="0" collapsed="false">
      <c r="A103" s="2" t="s">
        <v>354</v>
      </c>
      <c r="B103" s="2" t="s">
        <v>355</v>
      </c>
      <c r="C103" s="2" t="s">
        <v>7050</v>
      </c>
      <c r="D103" s="6" t="s">
        <v>30</v>
      </c>
      <c r="E103" s="2" t="s">
        <v>8</v>
      </c>
      <c r="F103" s="2" t="n">
        <v>102</v>
      </c>
      <c r="G103" s="6" t="n">
        <v>198</v>
      </c>
      <c r="H103" s="8" t="n">
        <v>742.010457669636</v>
      </c>
      <c r="I103" s="2" t="s">
        <v>7012</v>
      </c>
    </row>
    <row r="104" customFormat="false" ht="15" hidden="false" customHeight="false" outlineLevel="0" collapsed="false">
      <c r="A104" s="2" t="s">
        <v>357</v>
      </c>
      <c r="B104" s="2" t="s">
        <v>358</v>
      </c>
      <c r="C104" s="2" t="s">
        <v>359</v>
      </c>
      <c r="D104" s="6" t="s">
        <v>30</v>
      </c>
      <c r="E104" s="2" t="s">
        <v>9</v>
      </c>
      <c r="F104" s="2" t="n">
        <v>103</v>
      </c>
      <c r="G104" s="6" t="n">
        <v>296</v>
      </c>
      <c r="H104" s="8" t="n">
        <v>639.897887538584</v>
      </c>
      <c r="I104" s="2" t="s">
        <v>7012</v>
      </c>
    </row>
    <row r="105" customFormat="false" ht="15" hidden="false" customHeight="false" outlineLevel="0" collapsed="false">
      <c r="A105" s="2" t="s">
        <v>360</v>
      </c>
      <c r="B105" s="2" t="s">
        <v>38</v>
      </c>
      <c r="C105" s="2" t="s">
        <v>361</v>
      </c>
      <c r="D105" s="6" t="s">
        <v>30</v>
      </c>
      <c r="E105" s="2" t="s">
        <v>8</v>
      </c>
      <c r="F105" s="2" t="n">
        <v>104</v>
      </c>
      <c r="G105" s="6" t="n">
        <v>197</v>
      </c>
      <c r="H105" s="8" t="n">
        <v>816.001516562061</v>
      </c>
      <c r="I105" s="2" t="s">
        <v>7012</v>
      </c>
    </row>
    <row r="106" customFormat="false" ht="15" hidden="false" customHeight="false" outlineLevel="0" collapsed="false">
      <c r="A106" s="2" t="s">
        <v>362</v>
      </c>
      <c r="B106" s="2" t="s">
        <v>363</v>
      </c>
      <c r="C106" s="2" t="s">
        <v>364</v>
      </c>
      <c r="D106" s="6" t="s">
        <v>30</v>
      </c>
      <c r="E106" s="2" t="s">
        <v>8</v>
      </c>
      <c r="F106" s="2" t="n">
        <v>105</v>
      </c>
      <c r="G106" s="6" t="n">
        <v>196</v>
      </c>
      <c r="H106" s="8" t="n">
        <v>1321.53408601205</v>
      </c>
      <c r="I106" s="2" t="s">
        <v>7012</v>
      </c>
    </row>
    <row r="107" customFormat="false" ht="15" hidden="false" customHeight="false" outlineLevel="0" collapsed="false">
      <c r="A107" s="2" t="s">
        <v>365</v>
      </c>
      <c r="B107" s="2" t="s">
        <v>44</v>
      </c>
      <c r="C107" s="2" t="s">
        <v>7051</v>
      </c>
      <c r="D107" s="6" t="s">
        <v>30</v>
      </c>
      <c r="E107" s="2" t="s">
        <v>9</v>
      </c>
      <c r="F107" s="2" t="n">
        <v>106</v>
      </c>
      <c r="G107" s="6" t="n">
        <v>293</v>
      </c>
      <c r="H107" s="8" t="n">
        <v>638.220515740259</v>
      </c>
      <c r="I107" s="2" t="s">
        <v>7012</v>
      </c>
    </row>
    <row r="108" customFormat="false" ht="15" hidden="false" customHeight="false" outlineLevel="0" collapsed="false">
      <c r="A108" s="2" t="s">
        <v>367</v>
      </c>
      <c r="B108" s="2" t="s">
        <v>368</v>
      </c>
      <c r="C108" s="2"/>
      <c r="D108" s="6" t="s">
        <v>30</v>
      </c>
      <c r="E108" s="2" t="s">
        <v>8</v>
      </c>
      <c r="F108" s="2" t="n">
        <v>107</v>
      </c>
      <c r="G108" s="6" t="n">
        <v>195</v>
      </c>
      <c r="H108" s="8" t="n">
        <v>766.102737311241</v>
      </c>
      <c r="I108" s="2" t="s">
        <v>7012</v>
      </c>
    </row>
    <row r="109" customFormat="false" ht="15" hidden="false" customHeight="false" outlineLevel="0" collapsed="false">
      <c r="A109" s="2" t="s">
        <v>369</v>
      </c>
      <c r="B109" s="2" t="s">
        <v>358</v>
      </c>
      <c r="C109" s="2" t="s">
        <v>370</v>
      </c>
      <c r="D109" s="6" t="s">
        <v>30</v>
      </c>
      <c r="E109" s="2" t="s">
        <v>9</v>
      </c>
      <c r="F109" s="2" t="n">
        <v>108</v>
      </c>
      <c r="G109" s="6" t="n">
        <v>292</v>
      </c>
      <c r="H109" s="8" t="n">
        <v>631.636159002476</v>
      </c>
      <c r="I109" s="2" t="s">
        <v>7012</v>
      </c>
    </row>
    <row r="110" customFormat="false" ht="15" hidden="false" customHeight="false" outlineLevel="0" collapsed="false">
      <c r="A110" s="2" t="s">
        <v>371</v>
      </c>
      <c r="B110" s="2" t="s">
        <v>44</v>
      </c>
      <c r="C110" s="2" t="s">
        <v>7052</v>
      </c>
      <c r="D110" s="6" t="s">
        <v>30</v>
      </c>
      <c r="E110" s="2" t="s">
        <v>8</v>
      </c>
      <c r="F110" s="2" t="n">
        <v>109</v>
      </c>
      <c r="G110" s="6" t="n">
        <v>194</v>
      </c>
      <c r="H110" s="8" t="n">
        <v>727.083264894464</v>
      </c>
      <c r="I110" s="2" t="s">
        <v>7012</v>
      </c>
    </row>
    <row r="111" customFormat="false" ht="15" hidden="false" customHeight="false" outlineLevel="0" collapsed="false">
      <c r="A111" s="2" t="s">
        <v>373</v>
      </c>
      <c r="B111" s="2" t="s">
        <v>81</v>
      </c>
      <c r="C111" s="2" t="s">
        <v>7053</v>
      </c>
      <c r="D111" s="6" t="s">
        <v>30</v>
      </c>
      <c r="E111" s="2" t="s">
        <v>8</v>
      </c>
      <c r="F111" s="2" t="n">
        <v>110</v>
      </c>
      <c r="G111" s="6" t="n">
        <v>194</v>
      </c>
      <c r="H111" s="8" t="n">
        <v>1017.35108900246</v>
      </c>
      <c r="I111" s="2" t="s">
        <v>7012</v>
      </c>
    </row>
    <row r="112" customFormat="false" ht="15" hidden="false" customHeight="false" outlineLevel="0" collapsed="false">
      <c r="A112" s="2" t="s">
        <v>375</v>
      </c>
      <c r="B112" s="2" t="s">
        <v>376</v>
      </c>
      <c r="C112" s="2" t="s">
        <v>377</v>
      </c>
      <c r="D112" s="6" t="s">
        <v>30</v>
      </c>
      <c r="E112" s="2" t="s">
        <v>8</v>
      </c>
      <c r="F112" s="2" t="n">
        <v>111</v>
      </c>
      <c r="G112" s="6" t="n">
        <v>193</v>
      </c>
      <c r="H112" s="8" t="n">
        <v>995.216316907777</v>
      </c>
      <c r="I112" s="2" t="s">
        <v>7012</v>
      </c>
    </row>
    <row r="113" customFormat="false" ht="15" hidden="false" customHeight="false" outlineLevel="0" collapsed="false">
      <c r="A113" s="2" t="s">
        <v>378</v>
      </c>
      <c r="B113" s="2" t="s">
        <v>379</v>
      </c>
      <c r="C113" s="2"/>
      <c r="D113" s="6" t="s">
        <v>30</v>
      </c>
      <c r="E113" s="2" t="s">
        <v>8</v>
      </c>
      <c r="F113" s="2" t="n">
        <v>112</v>
      </c>
      <c r="G113" s="6" t="n">
        <v>191</v>
      </c>
      <c r="H113" s="8" t="n">
        <v>1324.57727107715</v>
      </c>
      <c r="I113" s="2" t="s">
        <v>7012</v>
      </c>
    </row>
    <row r="114" customFormat="false" ht="15" hidden="false" customHeight="false" outlineLevel="0" collapsed="false">
      <c r="A114" s="2" t="s">
        <v>383</v>
      </c>
      <c r="B114" s="2" t="s">
        <v>156</v>
      </c>
      <c r="C114" s="2" t="s">
        <v>384</v>
      </c>
      <c r="D114" s="6" t="s">
        <v>30</v>
      </c>
      <c r="E114" s="2" t="s">
        <v>8</v>
      </c>
      <c r="F114" s="2" t="n">
        <v>113</v>
      </c>
      <c r="G114" s="6" t="n">
        <v>190</v>
      </c>
      <c r="H114" s="8" t="n">
        <v>1058.37826619867</v>
      </c>
      <c r="I114" s="2" t="s">
        <v>7012</v>
      </c>
    </row>
    <row r="115" customFormat="false" ht="15" hidden="false" customHeight="false" outlineLevel="0" collapsed="false">
      <c r="A115" s="2" t="s">
        <v>385</v>
      </c>
      <c r="B115" s="2" t="s">
        <v>386</v>
      </c>
      <c r="C115" s="2" t="s">
        <v>387</v>
      </c>
      <c r="D115" s="6" t="s">
        <v>30</v>
      </c>
      <c r="E115" s="2" t="s">
        <v>8</v>
      </c>
      <c r="F115" s="2" t="n">
        <v>114</v>
      </c>
      <c r="G115" s="6" t="n">
        <v>190</v>
      </c>
      <c r="H115" s="8" t="n">
        <v>721.888513558795</v>
      </c>
      <c r="I115" s="2" t="s">
        <v>7012</v>
      </c>
    </row>
    <row r="116" customFormat="false" ht="15" hidden="false" customHeight="false" outlineLevel="0" collapsed="false">
      <c r="A116" s="2" t="s">
        <v>388</v>
      </c>
      <c r="B116" s="2" t="s">
        <v>59</v>
      </c>
      <c r="C116" s="2"/>
      <c r="D116" s="6" t="s">
        <v>30</v>
      </c>
      <c r="E116" s="2" t="s">
        <v>8</v>
      </c>
      <c r="F116" s="2" t="n">
        <v>115</v>
      </c>
      <c r="G116" s="6" t="n">
        <v>189</v>
      </c>
      <c r="H116" s="8" t="n">
        <v>898.596715618889</v>
      </c>
      <c r="I116" s="2" t="s">
        <v>7012</v>
      </c>
    </row>
    <row r="117" customFormat="false" ht="15" hidden="false" customHeight="false" outlineLevel="0" collapsed="false">
      <c r="A117" s="2" t="s">
        <v>389</v>
      </c>
      <c r="B117" s="2" t="s">
        <v>70</v>
      </c>
      <c r="C117" s="2" t="s">
        <v>7054</v>
      </c>
      <c r="D117" s="6" t="s">
        <v>30</v>
      </c>
      <c r="E117" s="2" t="s">
        <v>8</v>
      </c>
      <c r="F117" s="2" t="n">
        <v>116</v>
      </c>
      <c r="G117" s="6" t="n">
        <v>188</v>
      </c>
      <c r="H117" s="8" t="n">
        <v>1051.16511258947</v>
      </c>
      <c r="I117" s="2" t="s">
        <v>7012</v>
      </c>
    </row>
    <row r="118" customFormat="false" ht="15" hidden="false" customHeight="false" outlineLevel="0" collapsed="false">
      <c r="A118" s="2" t="s">
        <v>391</v>
      </c>
      <c r="B118" s="2" t="s">
        <v>392</v>
      </c>
      <c r="C118" s="2" t="s">
        <v>393</v>
      </c>
      <c r="D118" s="6" t="s">
        <v>30</v>
      </c>
      <c r="E118" s="2" t="s">
        <v>9</v>
      </c>
      <c r="F118" s="2" t="n">
        <v>117</v>
      </c>
      <c r="G118" s="6" t="n">
        <v>282</v>
      </c>
      <c r="H118" s="8" t="n">
        <v>678.991426980784</v>
      </c>
      <c r="I118" s="2" t="s">
        <v>7012</v>
      </c>
    </row>
    <row r="119" customFormat="false" ht="15" hidden="false" customHeight="false" outlineLevel="0" collapsed="false">
      <c r="A119" s="2" t="s">
        <v>394</v>
      </c>
      <c r="B119" s="2" t="s">
        <v>395</v>
      </c>
      <c r="C119" s="2" t="s">
        <v>396</v>
      </c>
      <c r="D119" s="6" t="s">
        <v>30</v>
      </c>
      <c r="E119" s="2" t="s">
        <v>8</v>
      </c>
      <c r="F119" s="2" t="n">
        <v>118</v>
      </c>
      <c r="G119" s="6" t="n">
        <v>188</v>
      </c>
      <c r="H119" s="8" t="n">
        <v>705.485592304181</v>
      </c>
      <c r="I119" s="2" t="s">
        <v>7012</v>
      </c>
    </row>
    <row r="120" customFormat="false" ht="15" hidden="false" customHeight="false" outlineLevel="0" collapsed="false">
      <c r="A120" s="2" t="s">
        <v>397</v>
      </c>
      <c r="B120" s="2" t="s">
        <v>56</v>
      </c>
      <c r="C120" s="2" t="s">
        <v>398</v>
      </c>
      <c r="D120" s="6" t="s">
        <v>30</v>
      </c>
      <c r="E120" s="2" t="s">
        <v>8</v>
      </c>
      <c r="F120" s="2" t="n">
        <v>119</v>
      </c>
      <c r="G120" s="6" t="n">
        <v>188</v>
      </c>
      <c r="H120" s="8" t="n">
        <v>1423.99478560062</v>
      </c>
      <c r="I120" s="2" t="s">
        <v>7012</v>
      </c>
    </row>
    <row r="121" customFormat="false" ht="15" hidden="false" customHeight="false" outlineLevel="0" collapsed="false">
      <c r="A121" s="2" t="s">
        <v>399</v>
      </c>
      <c r="B121" s="2" t="s">
        <v>56</v>
      </c>
      <c r="C121" s="2" t="s">
        <v>7055</v>
      </c>
      <c r="D121" s="6" t="s">
        <v>30</v>
      </c>
      <c r="E121" s="2" t="s">
        <v>8</v>
      </c>
      <c r="F121" s="2" t="n">
        <v>120</v>
      </c>
      <c r="G121" s="6" t="n">
        <v>188</v>
      </c>
      <c r="H121" s="8" t="n">
        <v>1086.98389032813</v>
      </c>
      <c r="I121" s="2" t="s">
        <v>7012</v>
      </c>
    </row>
    <row r="122" customFormat="false" ht="15" hidden="false" customHeight="false" outlineLevel="0" collapsed="false">
      <c r="A122" s="2" t="s">
        <v>401</v>
      </c>
      <c r="B122" s="2" t="s">
        <v>402</v>
      </c>
      <c r="C122" s="2" t="s">
        <v>402</v>
      </c>
      <c r="D122" s="6" t="s">
        <v>30</v>
      </c>
      <c r="E122" s="2" t="s">
        <v>8</v>
      </c>
      <c r="F122" s="2" t="n">
        <v>121</v>
      </c>
      <c r="G122" s="6" t="n">
        <v>187</v>
      </c>
      <c r="H122" s="8" t="n">
        <v>796.61043619185</v>
      </c>
      <c r="I122" s="2" t="s">
        <v>7012</v>
      </c>
    </row>
    <row r="123" customFormat="false" ht="15" hidden="false" customHeight="false" outlineLevel="0" collapsed="false">
      <c r="A123" s="2" t="s">
        <v>404</v>
      </c>
      <c r="B123" s="2" t="s">
        <v>38</v>
      </c>
      <c r="C123" s="2"/>
      <c r="D123" s="6" t="s">
        <v>30</v>
      </c>
      <c r="E123" s="2" t="s">
        <v>8</v>
      </c>
      <c r="F123" s="2" t="n">
        <v>122</v>
      </c>
      <c r="G123" s="6" t="n">
        <v>187</v>
      </c>
      <c r="H123" s="8" t="n">
        <v>895.392957842278</v>
      </c>
      <c r="I123" s="2" t="s">
        <v>7012</v>
      </c>
    </row>
    <row r="124" customFormat="false" ht="15" hidden="false" customHeight="false" outlineLevel="0" collapsed="false">
      <c r="A124" s="2" t="s">
        <v>405</v>
      </c>
      <c r="B124" s="2" t="s">
        <v>100</v>
      </c>
      <c r="C124" s="2"/>
      <c r="D124" s="6" t="s">
        <v>30</v>
      </c>
      <c r="E124" s="2" t="s">
        <v>8</v>
      </c>
      <c r="F124" s="2" t="n">
        <v>123</v>
      </c>
      <c r="G124" s="6" t="n">
        <v>186</v>
      </c>
      <c r="H124" s="8" t="n">
        <v>1868.62568273339</v>
      </c>
      <c r="I124" s="2" t="s">
        <v>7012</v>
      </c>
    </row>
    <row r="125" customFormat="false" ht="15" hidden="false" customHeight="false" outlineLevel="0" collapsed="false">
      <c r="A125" s="2" t="s">
        <v>408</v>
      </c>
      <c r="B125" s="2" t="s">
        <v>263</v>
      </c>
      <c r="C125" s="2" t="s">
        <v>7056</v>
      </c>
      <c r="D125" s="6" t="s">
        <v>30</v>
      </c>
      <c r="E125" s="2" t="s">
        <v>8</v>
      </c>
      <c r="F125" s="2" t="n">
        <v>124</v>
      </c>
      <c r="G125" s="6" t="n">
        <v>183</v>
      </c>
      <c r="H125" s="8" t="n">
        <v>846.619028555803</v>
      </c>
      <c r="I125" s="2" t="s">
        <v>7012</v>
      </c>
    </row>
    <row r="126" customFormat="false" ht="15" hidden="false" customHeight="false" outlineLevel="0" collapsed="false">
      <c r="A126" s="2" t="s">
        <v>410</v>
      </c>
      <c r="B126" s="2" t="s">
        <v>202</v>
      </c>
      <c r="C126" s="2" t="s">
        <v>411</v>
      </c>
      <c r="D126" s="6" t="s">
        <v>30</v>
      </c>
      <c r="E126" s="2" t="s">
        <v>8</v>
      </c>
      <c r="F126" s="2" t="n">
        <v>125</v>
      </c>
      <c r="G126" s="6" t="n">
        <v>182</v>
      </c>
      <c r="H126" s="8" t="n">
        <v>738.139570369203</v>
      </c>
      <c r="I126" s="2" t="s">
        <v>7012</v>
      </c>
    </row>
    <row r="127" customFormat="false" ht="15" hidden="false" customHeight="false" outlineLevel="0" collapsed="false">
      <c r="A127" s="2" t="s">
        <v>412</v>
      </c>
      <c r="B127" s="2" t="s">
        <v>413</v>
      </c>
      <c r="C127" s="2" t="s">
        <v>414</v>
      </c>
      <c r="D127" s="6" t="s">
        <v>30</v>
      </c>
      <c r="E127" s="2" t="s">
        <v>8</v>
      </c>
      <c r="F127" s="2" t="n">
        <v>126</v>
      </c>
      <c r="G127" s="6" t="n">
        <v>181</v>
      </c>
      <c r="H127" s="8" t="n">
        <v>1320.26888031314</v>
      </c>
      <c r="I127" s="2" t="s">
        <v>7012</v>
      </c>
    </row>
    <row r="128" customFormat="false" ht="15" hidden="false" customHeight="false" outlineLevel="0" collapsed="false">
      <c r="A128" s="2" t="s">
        <v>415</v>
      </c>
      <c r="B128" s="2" t="s">
        <v>91</v>
      </c>
      <c r="C128" s="2" t="s">
        <v>7057</v>
      </c>
      <c r="D128" s="6" t="s">
        <v>30</v>
      </c>
      <c r="E128" s="2" t="s">
        <v>8</v>
      </c>
      <c r="F128" s="2" t="n">
        <v>127</v>
      </c>
      <c r="G128" s="6" t="n">
        <v>180</v>
      </c>
      <c r="H128" s="8" t="n">
        <v>864.06267052695</v>
      </c>
      <c r="I128" s="2" t="s">
        <v>7012</v>
      </c>
    </row>
    <row r="129" customFormat="false" ht="15" hidden="false" customHeight="false" outlineLevel="0" collapsed="false">
      <c r="A129" s="2" t="s">
        <v>417</v>
      </c>
      <c r="B129" s="2" t="s">
        <v>418</v>
      </c>
      <c r="C129" s="2" t="s">
        <v>419</v>
      </c>
      <c r="D129" s="6" t="s">
        <v>30</v>
      </c>
      <c r="E129" s="2" t="s">
        <v>8</v>
      </c>
      <c r="F129" s="2" t="n">
        <v>128</v>
      </c>
      <c r="G129" s="6" t="n">
        <v>180</v>
      </c>
      <c r="H129" s="8" t="n">
        <v>749.607007212356</v>
      </c>
      <c r="I129" s="2" t="s">
        <v>7012</v>
      </c>
    </row>
    <row r="130" customFormat="false" ht="15" hidden="false" customHeight="false" outlineLevel="0" collapsed="false">
      <c r="A130" s="2" t="s">
        <v>420</v>
      </c>
      <c r="B130" s="2" t="s">
        <v>278</v>
      </c>
      <c r="C130" s="2" t="s">
        <v>7058</v>
      </c>
      <c r="D130" s="6" t="s">
        <v>30</v>
      </c>
      <c r="E130" s="2" t="s">
        <v>8</v>
      </c>
      <c r="F130" s="2" t="n">
        <v>129</v>
      </c>
      <c r="G130" s="6" t="n">
        <v>178</v>
      </c>
      <c r="H130" s="8" t="n">
        <v>881.385733935135</v>
      </c>
      <c r="I130" s="2" t="s">
        <v>7012</v>
      </c>
    </row>
    <row r="131" customFormat="false" ht="15" hidden="false" customHeight="false" outlineLevel="0" collapsed="false">
      <c r="A131" s="2" t="s">
        <v>422</v>
      </c>
      <c r="B131" s="2" t="s">
        <v>423</v>
      </c>
      <c r="C131" s="2" t="s">
        <v>424</v>
      </c>
      <c r="D131" s="6" t="s">
        <v>30</v>
      </c>
      <c r="E131" s="2" t="s">
        <v>8</v>
      </c>
      <c r="F131" s="2" t="n">
        <v>130</v>
      </c>
      <c r="G131" s="6" t="n">
        <v>178</v>
      </c>
      <c r="H131" s="8" t="n">
        <v>1182.39440965102</v>
      </c>
      <c r="I131" s="2" t="s">
        <v>7012</v>
      </c>
    </row>
    <row r="132" customFormat="false" ht="15" hidden="false" customHeight="false" outlineLevel="0" collapsed="false">
      <c r="A132" s="2" t="s">
        <v>427</v>
      </c>
      <c r="B132" s="2" t="s">
        <v>428</v>
      </c>
      <c r="C132" s="2" t="s">
        <v>7059</v>
      </c>
      <c r="D132" s="6" t="s">
        <v>30</v>
      </c>
      <c r="E132" s="2" t="s">
        <v>8</v>
      </c>
      <c r="F132" s="2" t="n">
        <v>131</v>
      </c>
      <c r="G132" s="6" t="n">
        <v>178</v>
      </c>
      <c r="H132" s="8" t="n">
        <v>1549.07627681082</v>
      </c>
      <c r="I132" s="2" t="s">
        <v>7012</v>
      </c>
    </row>
    <row r="133" customFormat="false" ht="15" hidden="false" customHeight="false" outlineLevel="0" collapsed="false">
      <c r="A133" s="2" t="s">
        <v>432</v>
      </c>
      <c r="B133" s="2" t="s">
        <v>433</v>
      </c>
      <c r="C133" s="2" t="s">
        <v>434</v>
      </c>
      <c r="D133" s="6" t="s">
        <v>30</v>
      </c>
      <c r="E133" s="2" t="s">
        <v>8</v>
      </c>
      <c r="F133" s="2" t="n">
        <v>132</v>
      </c>
      <c r="G133" s="6" t="n">
        <v>177</v>
      </c>
      <c r="H133" s="8" t="n">
        <v>701.030185059842</v>
      </c>
      <c r="I133" s="2" t="s">
        <v>7012</v>
      </c>
    </row>
    <row r="134" customFormat="false" ht="15" hidden="false" customHeight="false" outlineLevel="0" collapsed="false">
      <c r="A134" s="2" t="s">
        <v>436</v>
      </c>
      <c r="B134" s="2" t="s">
        <v>70</v>
      </c>
      <c r="C134" s="2" t="s">
        <v>437</v>
      </c>
      <c r="D134" s="6" t="s">
        <v>30</v>
      </c>
      <c r="E134" s="2" t="s">
        <v>8</v>
      </c>
      <c r="F134" s="2" t="n">
        <v>133</v>
      </c>
      <c r="G134" s="6" t="n">
        <v>176</v>
      </c>
      <c r="H134" s="8" t="n">
        <v>1081.80313002282</v>
      </c>
      <c r="I134" s="2" t="s">
        <v>7012</v>
      </c>
    </row>
    <row r="135" customFormat="false" ht="15" hidden="false" customHeight="false" outlineLevel="0" collapsed="false">
      <c r="A135" s="2" t="s">
        <v>438</v>
      </c>
      <c r="B135" s="2" t="s">
        <v>439</v>
      </c>
      <c r="C135" s="2" t="s">
        <v>440</v>
      </c>
      <c r="D135" s="6" t="s">
        <v>30</v>
      </c>
      <c r="E135" s="2" t="s">
        <v>9</v>
      </c>
      <c r="F135" s="2" t="n">
        <v>134</v>
      </c>
      <c r="G135" s="6" t="n">
        <v>261</v>
      </c>
      <c r="H135" s="8" t="n">
        <v>614.439411772931</v>
      </c>
      <c r="I135" s="2" t="s">
        <v>7012</v>
      </c>
    </row>
    <row r="136" customFormat="false" ht="15" hidden="false" customHeight="false" outlineLevel="0" collapsed="false">
      <c r="A136" s="2" t="s">
        <v>441</v>
      </c>
      <c r="B136" s="2" t="s">
        <v>70</v>
      </c>
      <c r="C136" s="2" t="s">
        <v>7060</v>
      </c>
      <c r="D136" s="6" t="s">
        <v>30</v>
      </c>
      <c r="E136" s="2" t="s">
        <v>8</v>
      </c>
      <c r="F136" s="2" t="n">
        <v>135</v>
      </c>
      <c r="G136" s="6" t="n">
        <v>173</v>
      </c>
      <c r="H136" s="8" t="n">
        <v>957.783699591168</v>
      </c>
      <c r="I136" s="2" t="s">
        <v>7012</v>
      </c>
    </row>
    <row r="137" customFormat="false" ht="15" hidden="false" customHeight="false" outlineLevel="0" collapsed="false">
      <c r="A137" s="2" t="s">
        <v>443</v>
      </c>
      <c r="B137" s="2" t="s">
        <v>444</v>
      </c>
      <c r="C137" s="2"/>
      <c r="D137" s="6" t="s">
        <v>30</v>
      </c>
      <c r="E137" s="2" t="s">
        <v>8</v>
      </c>
      <c r="F137" s="2" t="n">
        <v>136</v>
      </c>
      <c r="G137" s="6" t="n">
        <v>172</v>
      </c>
      <c r="H137" s="8" t="n">
        <v>716.677628136593</v>
      </c>
      <c r="I137" s="2" t="s">
        <v>7012</v>
      </c>
    </row>
    <row r="138" customFormat="false" ht="15" hidden="false" customHeight="false" outlineLevel="0" collapsed="false">
      <c r="A138" s="2" t="s">
        <v>445</v>
      </c>
      <c r="B138" s="2" t="s">
        <v>446</v>
      </c>
      <c r="C138" s="2" t="s">
        <v>447</v>
      </c>
      <c r="D138" s="6" t="s">
        <v>30</v>
      </c>
      <c r="E138" s="2" t="s">
        <v>8</v>
      </c>
      <c r="F138" s="2" t="n">
        <v>137</v>
      </c>
      <c r="G138" s="6" t="n">
        <v>172</v>
      </c>
      <c r="H138" s="8" t="n">
        <v>754.342744256494</v>
      </c>
      <c r="I138" s="2" t="s">
        <v>7012</v>
      </c>
    </row>
    <row r="139" customFormat="false" ht="15" hidden="false" customHeight="false" outlineLevel="0" collapsed="false">
      <c r="A139" s="2" t="s">
        <v>448</v>
      </c>
      <c r="B139" s="2" t="s">
        <v>449</v>
      </c>
      <c r="C139" s="2"/>
      <c r="D139" s="6" t="s">
        <v>30</v>
      </c>
      <c r="E139" s="2" t="s">
        <v>8</v>
      </c>
      <c r="F139" s="2" t="n">
        <v>138</v>
      </c>
      <c r="G139" s="6" t="n">
        <v>171</v>
      </c>
      <c r="H139" s="8" t="n">
        <v>1008.70256050513</v>
      </c>
      <c r="I139" s="2" t="s">
        <v>7012</v>
      </c>
    </row>
    <row r="140" customFormat="false" ht="15" hidden="false" customHeight="false" outlineLevel="0" collapsed="false">
      <c r="A140" s="2" t="s">
        <v>451</v>
      </c>
      <c r="B140" s="2" t="s">
        <v>452</v>
      </c>
      <c r="C140" s="2"/>
      <c r="D140" s="6" t="s">
        <v>30</v>
      </c>
      <c r="E140" s="2" t="s">
        <v>8</v>
      </c>
      <c r="F140" s="2" t="n">
        <v>139</v>
      </c>
      <c r="G140" s="6" t="n">
        <v>168</v>
      </c>
      <c r="H140" s="8" t="n">
        <v>849.439033669298</v>
      </c>
      <c r="I140" s="2" t="s">
        <v>7012</v>
      </c>
    </row>
    <row r="141" customFormat="false" ht="15" hidden="false" customHeight="false" outlineLevel="0" collapsed="false">
      <c r="A141" s="2" t="s">
        <v>453</v>
      </c>
      <c r="B141" s="2" t="s">
        <v>454</v>
      </c>
      <c r="C141" s="2" t="s">
        <v>7061</v>
      </c>
      <c r="D141" s="6" t="s">
        <v>30</v>
      </c>
      <c r="E141" s="2" t="s">
        <v>9</v>
      </c>
      <c r="F141" s="2" t="n">
        <v>140</v>
      </c>
      <c r="G141" s="6" t="n">
        <v>252</v>
      </c>
      <c r="H141" s="8" t="n">
        <v>616.517375944683</v>
      </c>
      <c r="I141" s="2" t="s">
        <v>7012</v>
      </c>
    </row>
    <row r="142" customFormat="false" ht="15" hidden="false" customHeight="false" outlineLevel="0" collapsed="false">
      <c r="A142" s="2" t="s">
        <v>459</v>
      </c>
      <c r="B142" s="2" t="s">
        <v>460</v>
      </c>
      <c r="C142" s="2" t="s">
        <v>7062</v>
      </c>
      <c r="D142" s="6" t="s">
        <v>30</v>
      </c>
      <c r="E142" s="2" t="s">
        <v>8</v>
      </c>
      <c r="F142" s="2" t="n">
        <v>141</v>
      </c>
      <c r="G142" s="6" t="n">
        <v>168</v>
      </c>
      <c r="H142" s="8" t="n">
        <v>856.767160050458</v>
      </c>
      <c r="I142" s="2" t="s">
        <v>7012</v>
      </c>
    </row>
    <row r="143" customFormat="false" ht="15" hidden="false" customHeight="false" outlineLevel="0" collapsed="false">
      <c r="A143" s="2" t="s">
        <v>462</v>
      </c>
      <c r="B143" s="2" t="s">
        <v>33</v>
      </c>
      <c r="C143" s="2" t="s">
        <v>7063</v>
      </c>
      <c r="D143" s="6" t="s">
        <v>30</v>
      </c>
      <c r="E143" s="2" t="s">
        <v>9</v>
      </c>
      <c r="F143" s="2" t="n">
        <v>142</v>
      </c>
      <c r="G143" s="6" t="n">
        <v>248</v>
      </c>
      <c r="H143" s="8" t="n">
        <v>689.863686376048</v>
      </c>
      <c r="I143" s="2" t="s">
        <v>7012</v>
      </c>
    </row>
    <row r="144" customFormat="false" ht="15" hidden="false" customHeight="false" outlineLevel="0" collapsed="false">
      <c r="A144" s="2" t="s">
        <v>464</v>
      </c>
      <c r="B144" s="2" t="s">
        <v>465</v>
      </c>
      <c r="C144" s="2"/>
      <c r="D144" s="6" t="s">
        <v>30</v>
      </c>
      <c r="E144" s="2" t="s">
        <v>8</v>
      </c>
      <c r="F144" s="2" t="n">
        <v>143</v>
      </c>
      <c r="G144" s="6" t="n">
        <v>165</v>
      </c>
      <c r="H144" s="8" t="n">
        <v>742.340212961</v>
      </c>
      <c r="I144" s="2" t="s">
        <v>7012</v>
      </c>
    </row>
    <row r="145" customFormat="false" ht="15" hidden="false" customHeight="false" outlineLevel="0" collapsed="false">
      <c r="A145" s="2" t="s">
        <v>466</v>
      </c>
      <c r="B145" s="2" t="s">
        <v>74</v>
      </c>
      <c r="C145" s="2" t="s">
        <v>467</v>
      </c>
      <c r="D145" s="6" t="s">
        <v>30</v>
      </c>
      <c r="E145" s="2" t="s">
        <v>8</v>
      </c>
      <c r="F145" s="2" t="n">
        <v>144</v>
      </c>
      <c r="G145" s="6" t="n">
        <v>165</v>
      </c>
      <c r="H145" s="8" t="n">
        <v>818.372071937127</v>
      </c>
      <c r="I145" s="2" t="s">
        <v>7012</v>
      </c>
    </row>
    <row r="146" customFormat="false" ht="15" hidden="false" customHeight="false" outlineLevel="0" collapsed="false">
      <c r="A146" s="2" t="s">
        <v>468</v>
      </c>
      <c r="B146" s="2" t="s">
        <v>352</v>
      </c>
      <c r="C146" s="2" t="s">
        <v>469</v>
      </c>
      <c r="D146" s="6" t="s">
        <v>30</v>
      </c>
      <c r="E146" s="2" t="s">
        <v>8</v>
      </c>
      <c r="F146" s="2" t="n">
        <v>145</v>
      </c>
      <c r="G146" s="6" t="n">
        <v>164</v>
      </c>
      <c r="H146" s="8" t="n">
        <v>887.338128871689</v>
      </c>
      <c r="I146" s="2" t="s">
        <v>7012</v>
      </c>
    </row>
    <row r="147" customFormat="false" ht="15" hidden="false" customHeight="false" outlineLevel="0" collapsed="false">
      <c r="A147" s="2" t="s">
        <v>470</v>
      </c>
      <c r="B147" s="2" t="s">
        <v>471</v>
      </c>
      <c r="C147" s="2" t="s">
        <v>472</v>
      </c>
      <c r="D147" s="6" t="s">
        <v>30</v>
      </c>
      <c r="E147" s="2" t="s">
        <v>8</v>
      </c>
      <c r="F147" s="2" t="n">
        <v>146</v>
      </c>
      <c r="G147" s="6" t="n">
        <v>164</v>
      </c>
      <c r="H147" s="8" t="n">
        <v>1388.94657404493</v>
      </c>
      <c r="I147" s="2" t="s">
        <v>7012</v>
      </c>
    </row>
    <row r="148" customFormat="false" ht="15" hidden="false" customHeight="false" outlineLevel="0" collapsed="false">
      <c r="A148" s="2" t="s">
        <v>473</v>
      </c>
      <c r="B148" s="2" t="s">
        <v>474</v>
      </c>
      <c r="C148" s="2" t="s">
        <v>475</v>
      </c>
      <c r="D148" s="6" t="s">
        <v>30</v>
      </c>
      <c r="E148" s="2" t="s">
        <v>9</v>
      </c>
      <c r="F148" s="2" t="n">
        <v>147</v>
      </c>
      <c r="G148" s="6" t="n">
        <v>243</v>
      </c>
      <c r="H148" s="8" t="n">
        <v>600.221383468971</v>
      </c>
      <c r="I148" s="2" t="s">
        <v>7012</v>
      </c>
    </row>
    <row r="149" customFormat="false" ht="15" hidden="false" customHeight="false" outlineLevel="0" collapsed="false">
      <c r="A149" s="2" t="s">
        <v>476</v>
      </c>
      <c r="B149" s="2" t="s">
        <v>27</v>
      </c>
      <c r="C149" s="2"/>
      <c r="D149" s="6" t="s">
        <v>30</v>
      </c>
      <c r="E149" s="2" t="s">
        <v>9</v>
      </c>
      <c r="F149" s="2" t="n">
        <v>148</v>
      </c>
      <c r="G149" s="6" t="n">
        <v>243</v>
      </c>
      <c r="H149" s="8" t="n">
        <v>653.608226225152</v>
      </c>
      <c r="I149" s="2" t="s">
        <v>7012</v>
      </c>
    </row>
    <row r="150" customFormat="false" ht="15" hidden="false" customHeight="false" outlineLevel="0" collapsed="false">
      <c r="A150" s="2" t="s">
        <v>477</v>
      </c>
      <c r="B150" s="2" t="s">
        <v>446</v>
      </c>
      <c r="C150" s="2"/>
      <c r="D150" s="6" t="s">
        <v>30</v>
      </c>
      <c r="E150" s="2" t="s">
        <v>8</v>
      </c>
      <c r="F150" s="2" t="n">
        <v>149</v>
      </c>
      <c r="G150" s="6" t="n">
        <v>161</v>
      </c>
      <c r="H150" s="8" t="n">
        <v>770.422733579584</v>
      </c>
      <c r="I150" s="2" t="s">
        <v>7012</v>
      </c>
    </row>
    <row r="151" customFormat="false" ht="15" hidden="false" customHeight="false" outlineLevel="0" collapsed="false">
      <c r="A151" s="2" t="s">
        <v>478</v>
      </c>
      <c r="B151" s="2" t="s">
        <v>84</v>
      </c>
      <c r="C151" s="2" t="s">
        <v>479</v>
      </c>
      <c r="D151" s="6" t="s">
        <v>30</v>
      </c>
      <c r="E151" s="2" t="s">
        <v>8</v>
      </c>
      <c r="F151" s="2" t="n">
        <v>150</v>
      </c>
      <c r="G151" s="6" t="n">
        <v>160</v>
      </c>
      <c r="H151" s="8" t="n">
        <v>898.490897447725</v>
      </c>
      <c r="I151" s="2" t="s">
        <v>7012</v>
      </c>
    </row>
    <row r="152" customFormat="false" ht="15" hidden="false" customHeight="false" outlineLevel="0" collapsed="false">
      <c r="A152" s="2" t="s">
        <v>480</v>
      </c>
      <c r="B152" s="2" t="s">
        <v>266</v>
      </c>
      <c r="C152" s="2"/>
      <c r="D152" s="6" t="s">
        <v>30</v>
      </c>
      <c r="E152" s="2" t="s">
        <v>9</v>
      </c>
      <c r="F152" s="2" t="n">
        <v>151</v>
      </c>
      <c r="G152" s="6" t="n">
        <v>240</v>
      </c>
      <c r="H152" s="8" t="n">
        <v>640.293676369475</v>
      </c>
      <c r="I152" s="2" t="s">
        <v>7012</v>
      </c>
    </row>
    <row r="153" customFormat="false" ht="15" hidden="false" customHeight="false" outlineLevel="0" collapsed="false">
      <c r="A153" s="2" t="s">
        <v>481</v>
      </c>
      <c r="B153" s="2" t="s">
        <v>38</v>
      </c>
      <c r="C153" s="2"/>
      <c r="D153" s="6" t="s">
        <v>30</v>
      </c>
      <c r="E153" s="2" t="s">
        <v>8</v>
      </c>
      <c r="F153" s="2" t="n">
        <v>152</v>
      </c>
      <c r="G153" s="6" t="n">
        <v>160</v>
      </c>
      <c r="H153" s="8" t="n">
        <v>1097.42754121162</v>
      </c>
      <c r="I153" s="2" t="s">
        <v>7012</v>
      </c>
    </row>
    <row r="154" customFormat="false" ht="15" hidden="false" customHeight="false" outlineLevel="0" collapsed="false">
      <c r="A154" s="2" t="s">
        <v>482</v>
      </c>
      <c r="B154" s="2" t="s">
        <v>133</v>
      </c>
      <c r="C154" s="2" t="s">
        <v>7064</v>
      </c>
      <c r="D154" s="6" t="s">
        <v>30</v>
      </c>
      <c r="E154" s="2" t="s">
        <v>8</v>
      </c>
      <c r="F154" s="2" t="n">
        <v>153</v>
      </c>
      <c r="G154" s="6" t="n">
        <v>157</v>
      </c>
      <c r="H154" s="8" t="n">
        <v>798.541034812363</v>
      </c>
      <c r="I154" s="2" t="s">
        <v>7012</v>
      </c>
    </row>
    <row r="155" customFormat="false" ht="15" hidden="false" customHeight="false" outlineLevel="0" collapsed="false">
      <c r="A155" s="2" t="s">
        <v>484</v>
      </c>
      <c r="B155" s="2" t="s">
        <v>44</v>
      </c>
      <c r="C155" s="2" t="s">
        <v>7065</v>
      </c>
      <c r="D155" s="6" t="s">
        <v>30</v>
      </c>
      <c r="E155" s="2" t="s">
        <v>9</v>
      </c>
      <c r="F155" s="2" t="n">
        <v>154</v>
      </c>
      <c r="G155" s="6" t="n">
        <v>234</v>
      </c>
      <c r="H155" s="8" t="n">
        <v>689.551978958842</v>
      </c>
      <c r="I155" s="2" t="s">
        <v>7012</v>
      </c>
    </row>
    <row r="156" customFormat="false" ht="15" hidden="false" customHeight="false" outlineLevel="0" collapsed="false">
      <c r="A156" s="2" t="s">
        <v>486</v>
      </c>
      <c r="B156" s="2" t="s">
        <v>380</v>
      </c>
      <c r="C156" s="2" t="s">
        <v>7066</v>
      </c>
      <c r="D156" s="6" t="s">
        <v>30</v>
      </c>
      <c r="E156" s="2" t="s">
        <v>8</v>
      </c>
      <c r="F156" s="2" t="n">
        <v>155</v>
      </c>
      <c r="G156" s="6" t="n">
        <v>156</v>
      </c>
      <c r="H156" s="8" t="n">
        <v>706.438660936583</v>
      </c>
      <c r="I156" s="2" t="s">
        <v>7012</v>
      </c>
    </row>
    <row r="157" customFormat="false" ht="15" hidden="false" customHeight="false" outlineLevel="0" collapsed="false">
      <c r="A157" s="2" t="s">
        <v>488</v>
      </c>
      <c r="B157" s="2" t="s">
        <v>428</v>
      </c>
      <c r="C157" s="2" t="s">
        <v>7067</v>
      </c>
      <c r="D157" s="6" t="s">
        <v>30</v>
      </c>
      <c r="E157" s="2" t="s">
        <v>8</v>
      </c>
      <c r="F157" s="2" t="n">
        <v>156</v>
      </c>
      <c r="G157" s="6" t="n">
        <v>156</v>
      </c>
      <c r="H157" s="8" t="n">
        <v>1959.13409575024</v>
      </c>
      <c r="I157" s="2" t="s">
        <v>7012</v>
      </c>
    </row>
    <row r="158" customFormat="false" ht="15" hidden="false" customHeight="false" outlineLevel="0" collapsed="false">
      <c r="A158" s="2" t="s">
        <v>490</v>
      </c>
      <c r="B158" s="2" t="s">
        <v>491</v>
      </c>
      <c r="C158" s="2"/>
      <c r="D158" s="6" t="s">
        <v>30</v>
      </c>
      <c r="E158" s="2" t="s">
        <v>8</v>
      </c>
      <c r="F158" s="2" t="n">
        <v>157</v>
      </c>
      <c r="G158" s="6" t="n">
        <v>155</v>
      </c>
      <c r="H158" s="8" t="n">
        <v>1274.6517241873</v>
      </c>
      <c r="I158" s="2" t="s">
        <v>7012</v>
      </c>
    </row>
    <row r="159" customFormat="false" ht="15" hidden="false" customHeight="false" outlineLevel="0" collapsed="false">
      <c r="A159" s="2" t="s">
        <v>492</v>
      </c>
      <c r="B159" s="2" t="s">
        <v>38</v>
      </c>
      <c r="C159" s="2" t="s">
        <v>493</v>
      </c>
      <c r="D159" s="6" t="s">
        <v>30</v>
      </c>
      <c r="E159" s="2" t="s">
        <v>8</v>
      </c>
      <c r="F159" s="2" t="n">
        <v>158</v>
      </c>
      <c r="G159" s="6" t="n">
        <v>155</v>
      </c>
      <c r="H159" s="8" t="n">
        <v>1656.72967275547</v>
      </c>
      <c r="I159" s="2" t="s">
        <v>7012</v>
      </c>
    </row>
    <row r="160" customFormat="false" ht="15" hidden="false" customHeight="false" outlineLevel="0" collapsed="false">
      <c r="A160" s="2" t="s">
        <v>494</v>
      </c>
      <c r="B160" s="2" t="s">
        <v>38</v>
      </c>
      <c r="C160" s="2"/>
      <c r="D160" s="6" t="s">
        <v>30</v>
      </c>
      <c r="E160" s="2" t="s">
        <v>8</v>
      </c>
      <c r="F160" s="2" t="n">
        <v>159</v>
      </c>
      <c r="G160" s="6" t="n">
        <v>155</v>
      </c>
      <c r="H160" s="8" t="n">
        <v>1024.4910580375</v>
      </c>
      <c r="I160" s="2" t="s">
        <v>7012</v>
      </c>
    </row>
    <row r="161" customFormat="false" ht="15" hidden="false" customHeight="false" outlineLevel="0" collapsed="false">
      <c r="A161" s="2" t="s">
        <v>495</v>
      </c>
      <c r="B161" s="2" t="s">
        <v>70</v>
      </c>
      <c r="C161" s="2" t="s">
        <v>496</v>
      </c>
      <c r="D161" s="6" t="s">
        <v>30</v>
      </c>
      <c r="E161" s="2" t="s">
        <v>9</v>
      </c>
      <c r="F161" s="2" t="n">
        <v>160</v>
      </c>
      <c r="G161" s="6" t="n">
        <v>230</v>
      </c>
      <c r="H161" s="8" t="n">
        <v>615.053759555939</v>
      </c>
      <c r="I161" s="2" t="s">
        <v>7012</v>
      </c>
    </row>
    <row r="162" customFormat="false" ht="15" hidden="false" customHeight="false" outlineLevel="0" collapsed="false">
      <c r="A162" s="2" t="s">
        <v>497</v>
      </c>
      <c r="B162" s="2" t="s">
        <v>44</v>
      </c>
      <c r="C162" s="2" t="s">
        <v>7068</v>
      </c>
      <c r="D162" s="6" t="s">
        <v>30</v>
      </c>
      <c r="E162" s="2" t="s">
        <v>8</v>
      </c>
      <c r="F162" s="2" t="n">
        <v>161</v>
      </c>
      <c r="G162" s="6" t="n">
        <v>152</v>
      </c>
      <c r="H162" s="8" t="n">
        <v>908.403246262421</v>
      </c>
      <c r="I162" s="2" t="s">
        <v>7012</v>
      </c>
    </row>
    <row r="163" customFormat="false" ht="15" hidden="false" customHeight="false" outlineLevel="0" collapsed="false">
      <c r="A163" s="2" t="s">
        <v>499</v>
      </c>
      <c r="B163" s="2" t="s">
        <v>500</v>
      </c>
      <c r="C163" s="2" t="s">
        <v>7069</v>
      </c>
      <c r="D163" s="6" t="s">
        <v>30</v>
      </c>
      <c r="E163" s="2" t="s">
        <v>8</v>
      </c>
      <c r="F163" s="2" t="n">
        <v>162</v>
      </c>
      <c r="G163" s="6" t="n">
        <v>151</v>
      </c>
      <c r="H163" s="8" t="n">
        <v>714.462442966656</v>
      </c>
      <c r="I163" s="2" t="s">
        <v>7012</v>
      </c>
    </row>
    <row r="164" customFormat="false" ht="15" hidden="false" customHeight="false" outlineLevel="0" collapsed="false">
      <c r="A164" s="2" t="s">
        <v>502</v>
      </c>
      <c r="B164" s="2" t="s">
        <v>503</v>
      </c>
      <c r="C164" s="2"/>
      <c r="D164" s="6" t="s">
        <v>30</v>
      </c>
      <c r="E164" s="2" t="s">
        <v>8</v>
      </c>
      <c r="F164" s="2" t="n">
        <v>163</v>
      </c>
      <c r="G164" s="6" t="n">
        <v>151</v>
      </c>
      <c r="H164" s="8" t="n">
        <v>1790.45197498583</v>
      </c>
      <c r="I164" s="2" t="s">
        <v>7012</v>
      </c>
    </row>
    <row r="165" customFormat="false" ht="15" hidden="false" customHeight="false" outlineLevel="0" collapsed="false">
      <c r="A165" s="2" t="s">
        <v>506</v>
      </c>
      <c r="B165" s="2" t="s">
        <v>507</v>
      </c>
      <c r="C165" s="2" t="s">
        <v>508</v>
      </c>
      <c r="D165" s="6" t="s">
        <v>30</v>
      </c>
      <c r="E165" s="2" t="s">
        <v>9</v>
      </c>
      <c r="F165" s="2" t="n">
        <v>164</v>
      </c>
      <c r="G165" s="6" t="n">
        <v>226</v>
      </c>
      <c r="H165" s="8" t="n">
        <v>611.674350343597</v>
      </c>
      <c r="I165" s="2" t="s">
        <v>7012</v>
      </c>
    </row>
    <row r="166" customFormat="false" ht="15" hidden="false" customHeight="false" outlineLevel="0" collapsed="false">
      <c r="A166" s="2" t="s">
        <v>509</v>
      </c>
      <c r="B166" s="2" t="s">
        <v>91</v>
      </c>
      <c r="C166" s="2" t="s">
        <v>7070</v>
      </c>
      <c r="D166" s="6" t="s">
        <v>30</v>
      </c>
      <c r="E166" s="2" t="s">
        <v>8</v>
      </c>
      <c r="F166" s="2" t="n">
        <v>165</v>
      </c>
      <c r="G166" s="6" t="n">
        <v>150</v>
      </c>
      <c r="H166" s="8" t="n">
        <v>782.117668527013</v>
      </c>
      <c r="I166" s="2" t="s">
        <v>7012</v>
      </c>
    </row>
    <row r="167" customFormat="false" ht="15" hidden="false" customHeight="false" outlineLevel="0" collapsed="false">
      <c r="A167" s="2" t="s">
        <v>511</v>
      </c>
      <c r="B167" s="2" t="s">
        <v>44</v>
      </c>
      <c r="C167" s="2" t="s">
        <v>7071</v>
      </c>
      <c r="D167" s="6" t="s">
        <v>30</v>
      </c>
      <c r="E167" s="2" t="s">
        <v>8</v>
      </c>
      <c r="F167" s="2" t="n">
        <v>166</v>
      </c>
      <c r="G167" s="6" t="n">
        <v>150</v>
      </c>
      <c r="H167" s="8" t="n">
        <v>947.077773704334</v>
      </c>
      <c r="I167" s="2" t="s">
        <v>7012</v>
      </c>
    </row>
    <row r="168" customFormat="false" ht="15" hidden="false" customHeight="false" outlineLevel="0" collapsed="false">
      <c r="A168" s="2" t="s">
        <v>513</v>
      </c>
      <c r="B168" s="2" t="s">
        <v>428</v>
      </c>
      <c r="C168" s="2" t="s">
        <v>7072</v>
      </c>
      <c r="D168" s="6" t="s">
        <v>30</v>
      </c>
      <c r="E168" s="2" t="s">
        <v>8</v>
      </c>
      <c r="F168" s="2" t="n">
        <v>167</v>
      </c>
      <c r="G168" s="6" t="n">
        <v>150</v>
      </c>
      <c r="H168" s="8" t="n">
        <v>2182.7946349685</v>
      </c>
      <c r="I168" s="2" t="s">
        <v>7012</v>
      </c>
    </row>
    <row r="169" customFormat="false" ht="15" hidden="false" customHeight="false" outlineLevel="0" collapsed="false">
      <c r="A169" s="2" t="s">
        <v>515</v>
      </c>
      <c r="B169" s="2" t="s">
        <v>516</v>
      </c>
      <c r="C169" s="2" t="s">
        <v>517</v>
      </c>
      <c r="D169" s="6" t="s">
        <v>30</v>
      </c>
      <c r="E169" s="2" t="s">
        <v>8</v>
      </c>
      <c r="F169" s="2" t="n">
        <v>168</v>
      </c>
      <c r="G169" s="6" t="n">
        <v>149</v>
      </c>
      <c r="H169" s="8" t="n">
        <v>847.193500989201</v>
      </c>
      <c r="I169" s="2" t="s">
        <v>7012</v>
      </c>
    </row>
    <row r="170" customFormat="false" ht="15" hidden="false" customHeight="false" outlineLevel="0" collapsed="false">
      <c r="A170" s="2" t="s">
        <v>518</v>
      </c>
      <c r="B170" s="2" t="s">
        <v>38</v>
      </c>
      <c r="C170" s="2" t="s">
        <v>7073</v>
      </c>
      <c r="D170" s="6" t="s">
        <v>30</v>
      </c>
      <c r="E170" s="2" t="s">
        <v>8</v>
      </c>
      <c r="F170" s="2" t="n">
        <v>169</v>
      </c>
      <c r="G170" s="6" t="n">
        <v>149</v>
      </c>
      <c r="H170" s="8" t="n">
        <v>809.353737238732</v>
      </c>
      <c r="I170" s="2" t="s">
        <v>7012</v>
      </c>
    </row>
    <row r="171" customFormat="false" ht="15" hidden="false" customHeight="false" outlineLevel="0" collapsed="false">
      <c r="A171" s="2" t="s">
        <v>520</v>
      </c>
      <c r="B171" s="2" t="s">
        <v>521</v>
      </c>
      <c r="C171" s="2"/>
      <c r="D171" s="6" t="s">
        <v>30</v>
      </c>
      <c r="E171" s="2" t="s">
        <v>9</v>
      </c>
      <c r="F171" s="2" t="n">
        <v>170</v>
      </c>
      <c r="G171" s="6" t="n">
        <v>223</v>
      </c>
      <c r="H171" s="8" t="n">
        <v>664.933519942466</v>
      </c>
      <c r="I171" s="2" t="s">
        <v>7012</v>
      </c>
    </row>
    <row r="172" customFormat="false" ht="15" hidden="false" customHeight="false" outlineLevel="0" collapsed="false">
      <c r="A172" s="2" t="s">
        <v>522</v>
      </c>
      <c r="B172" s="2" t="s">
        <v>523</v>
      </c>
      <c r="C172" s="2"/>
      <c r="D172" s="6" t="s">
        <v>30</v>
      </c>
      <c r="E172" s="2" t="s">
        <v>10</v>
      </c>
      <c r="F172" s="2" t="n">
        <v>171</v>
      </c>
      <c r="G172" s="6" t="n">
        <v>446</v>
      </c>
      <c r="H172" s="8" t="n">
        <v>517.285597528466</v>
      </c>
      <c r="I172" s="2" t="s">
        <v>7012</v>
      </c>
    </row>
    <row r="173" customFormat="false" ht="15" hidden="false" customHeight="false" outlineLevel="0" collapsed="false">
      <c r="A173" s="2" t="s">
        <v>525</v>
      </c>
      <c r="B173" s="2" t="s">
        <v>526</v>
      </c>
      <c r="C173" s="2" t="s">
        <v>527</v>
      </c>
      <c r="D173" s="6" t="s">
        <v>30</v>
      </c>
      <c r="E173" s="2" t="s">
        <v>9</v>
      </c>
      <c r="F173" s="2" t="n">
        <v>172</v>
      </c>
      <c r="G173" s="6" t="n">
        <v>223</v>
      </c>
      <c r="H173" s="8" t="n">
        <v>612.137852560614</v>
      </c>
      <c r="I173" s="2" t="s">
        <v>7012</v>
      </c>
    </row>
    <row r="174" customFormat="false" ht="15" hidden="false" customHeight="false" outlineLevel="0" collapsed="false">
      <c r="A174" s="2" t="s">
        <v>528</v>
      </c>
      <c r="B174" s="2" t="s">
        <v>355</v>
      </c>
      <c r="C174" s="2" t="s">
        <v>7074</v>
      </c>
      <c r="D174" s="6" t="s">
        <v>30</v>
      </c>
      <c r="E174" s="2" t="s">
        <v>10</v>
      </c>
      <c r="F174" s="2" t="n">
        <v>173</v>
      </c>
      <c r="G174" s="6" t="n">
        <v>445</v>
      </c>
      <c r="H174" s="8" t="n">
        <v>557.198144419308</v>
      </c>
      <c r="I174" s="2" t="s">
        <v>7012</v>
      </c>
    </row>
    <row r="175" customFormat="false" ht="15" hidden="false" customHeight="false" outlineLevel="0" collapsed="false">
      <c r="A175" s="2" t="s">
        <v>530</v>
      </c>
      <c r="B175" s="2" t="s">
        <v>197</v>
      </c>
      <c r="C175" s="2" t="s">
        <v>531</v>
      </c>
      <c r="D175" s="6" t="s">
        <v>30</v>
      </c>
      <c r="E175" s="2" t="s">
        <v>8</v>
      </c>
      <c r="F175" s="2" t="n">
        <v>174</v>
      </c>
      <c r="G175" s="6" t="n">
        <v>148</v>
      </c>
      <c r="H175" s="8" t="n">
        <v>1104.35962127121</v>
      </c>
      <c r="I175" s="2" t="s">
        <v>7012</v>
      </c>
    </row>
    <row r="176" customFormat="false" ht="15" hidden="false" customHeight="false" outlineLevel="0" collapsed="false">
      <c r="A176" s="2" t="s">
        <v>532</v>
      </c>
      <c r="B176" s="2" t="s">
        <v>533</v>
      </c>
      <c r="C176" s="2"/>
      <c r="D176" s="6" t="s">
        <v>30</v>
      </c>
      <c r="E176" s="2" t="s">
        <v>9</v>
      </c>
      <c r="F176" s="2" t="n">
        <v>175</v>
      </c>
      <c r="G176" s="6" t="n">
        <v>219</v>
      </c>
      <c r="H176" s="8" t="n">
        <v>692.485749995699</v>
      </c>
      <c r="I176" s="2" t="s">
        <v>7012</v>
      </c>
    </row>
    <row r="177" customFormat="false" ht="15" hidden="false" customHeight="false" outlineLevel="0" collapsed="false">
      <c r="A177" s="2" t="s">
        <v>534</v>
      </c>
      <c r="B177" s="2" t="s">
        <v>44</v>
      </c>
      <c r="C177" s="2" t="s">
        <v>7075</v>
      </c>
      <c r="D177" s="6" t="s">
        <v>30</v>
      </c>
      <c r="E177" s="2" t="s">
        <v>9</v>
      </c>
      <c r="F177" s="2" t="n">
        <v>176</v>
      </c>
      <c r="G177" s="6" t="n">
        <v>219</v>
      </c>
      <c r="H177" s="8" t="n">
        <v>689.656819989881</v>
      </c>
      <c r="I177" s="2" t="s">
        <v>7012</v>
      </c>
    </row>
    <row r="178" customFormat="false" ht="15" hidden="false" customHeight="false" outlineLevel="0" collapsed="false">
      <c r="A178" s="2" t="s">
        <v>536</v>
      </c>
      <c r="B178" s="2" t="s">
        <v>537</v>
      </c>
      <c r="C178" s="2" t="s">
        <v>538</v>
      </c>
      <c r="D178" s="6" t="s">
        <v>30</v>
      </c>
      <c r="E178" s="2" t="s">
        <v>9</v>
      </c>
      <c r="F178" s="2" t="n">
        <v>177</v>
      </c>
      <c r="G178" s="6" t="n">
        <v>219</v>
      </c>
      <c r="H178" s="8" t="n">
        <v>655.766862834589</v>
      </c>
      <c r="I178" s="2" t="s">
        <v>7012</v>
      </c>
    </row>
    <row r="179" customFormat="false" ht="15" hidden="false" customHeight="false" outlineLevel="0" collapsed="false">
      <c r="A179" s="2" t="s">
        <v>539</v>
      </c>
      <c r="B179" s="2" t="s">
        <v>540</v>
      </c>
      <c r="C179" s="2"/>
      <c r="D179" s="6" t="s">
        <v>30</v>
      </c>
      <c r="E179" s="2" t="s">
        <v>10</v>
      </c>
      <c r="F179" s="2" t="n">
        <v>178</v>
      </c>
      <c r="G179" s="6" t="n">
        <v>438</v>
      </c>
      <c r="H179" s="8" t="n">
        <v>545.946096039795</v>
      </c>
      <c r="I179" s="2" t="s">
        <v>7012</v>
      </c>
    </row>
    <row r="180" customFormat="false" ht="15" hidden="false" customHeight="false" outlineLevel="0" collapsed="false">
      <c r="A180" s="2" t="s">
        <v>542</v>
      </c>
      <c r="B180" s="2" t="s">
        <v>70</v>
      </c>
      <c r="C180" s="2" t="s">
        <v>7076</v>
      </c>
      <c r="D180" s="6" t="s">
        <v>30</v>
      </c>
      <c r="E180" s="2" t="s">
        <v>8</v>
      </c>
      <c r="F180" s="2" t="n">
        <v>179</v>
      </c>
      <c r="G180" s="6" t="n">
        <v>145</v>
      </c>
      <c r="H180" s="8" t="n">
        <v>974.846211060655</v>
      </c>
      <c r="I180" s="2" t="s">
        <v>7012</v>
      </c>
    </row>
    <row r="181" customFormat="false" ht="15" hidden="false" customHeight="false" outlineLevel="0" collapsed="false">
      <c r="A181" s="2" t="s">
        <v>544</v>
      </c>
      <c r="B181" s="2" t="s">
        <v>545</v>
      </c>
      <c r="C181" s="2" t="s">
        <v>546</v>
      </c>
      <c r="D181" s="6" t="s">
        <v>30</v>
      </c>
      <c r="E181" s="2" t="s">
        <v>8</v>
      </c>
      <c r="F181" s="2" t="n">
        <v>180</v>
      </c>
      <c r="G181" s="6" t="n">
        <v>145</v>
      </c>
      <c r="H181" s="8" t="n">
        <v>731.202640567973</v>
      </c>
      <c r="I181" s="2" t="s">
        <v>7012</v>
      </c>
    </row>
    <row r="182" customFormat="false" ht="15" hidden="false" customHeight="false" outlineLevel="0" collapsed="false">
      <c r="A182" s="2" t="s">
        <v>547</v>
      </c>
      <c r="B182" s="2" t="s">
        <v>70</v>
      </c>
      <c r="C182" s="2" t="s">
        <v>548</v>
      </c>
      <c r="D182" s="6" t="s">
        <v>30</v>
      </c>
      <c r="E182" s="2" t="s">
        <v>8</v>
      </c>
      <c r="F182" s="2" t="n">
        <v>181</v>
      </c>
      <c r="G182" s="6" t="n">
        <v>143</v>
      </c>
      <c r="H182" s="8" t="n">
        <v>866.521172093308</v>
      </c>
      <c r="I182" s="2" t="s">
        <v>7012</v>
      </c>
    </row>
    <row r="183" customFormat="false" ht="15" hidden="false" customHeight="false" outlineLevel="0" collapsed="false">
      <c r="A183" s="2" t="s">
        <v>549</v>
      </c>
      <c r="B183" s="2" t="s">
        <v>550</v>
      </c>
      <c r="C183" s="2"/>
      <c r="D183" s="6" t="s">
        <v>30</v>
      </c>
      <c r="E183" s="2" t="s">
        <v>8</v>
      </c>
      <c r="F183" s="2" t="n">
        <v>182</v>
      </c>
      <c r="G183" s="6" t="n">
        <v>143</v>
      </c>
      <c r="H183" s="8" t="n">
        <v>1350.50095760645</v>
      </c>
      <c r="I183" s="2" t="s">
        <v>7012</v>
      </c>
    </row>
    <row r="184" customFormat="false" ht="15" hidden="false" customHeight="false" outlineLevel="0" collapsed="false">
      <c r="A184" s="2" t="s">
        <v>552</v>
      </c>
      <c r="B184" s="2" t="s">
        <v>553</v>
      </c>
      <c r="C184" s="2"/>
      <c r="D184" s="6" t="s">
        <v>30</v>
      </c>
      <c r="E184" s="2" t="s">
        <v>8</v>
      </c>
      <c r="F184" s="2" t="n">
        <v>183</v>
      </c>
      <c r="G184" s="6" t="n">
        <v>143</v>
      </c>
      <c r="H184" s="8" t="n">
        <v>888.859317451532</v>
      </c>
      <c r="I184" s="2" t="s">
        <v>7012</v>
      </c>
    </row>
    <row r="185" customFormat="false" ht="15" hidden="false" customHeight="false" outlineLevel="0" collapsed="false">
      <c r="A185" s="2" t="s">
        <v>554</v>
      </c>
      <c r="B185" s="2" t="s">
        <v>84</v>
      </c>
      <c r="C185" s="2" t="s">
        <v>555</v>
      </c>
      <c r="D185" s="6" t="s">
        <v>30</v>
      </c>
      <c r="E185" s="2" t="s">
        <v>9</v>
      </c>
      <c r="F185" s="2" t="n">
        <v>184</v>
      </c>
      <c r="G185" s="6" t="n">
        <v>214</v>
      </c>
      <c r="H185" s="8" t="n">
        <v>643.381103228682</v>
      </c>
      <c r="I185" s="2" t="s">
        <v>7012</v>
      </c>
    </row>
    <row r="186" customFormat="false" ht="15" hidden="false" customHeight="false" outlineLevel="0" collapsed="false">
      <c r="A186" s="2" t="s">
        <v>556</v>
      </c>
      <c r="B186" s="2" t="s">
        <v>557</v>
      </c>
      <c r="C186" s="2" t="s">
        <v>558</v>
      </c>
      <c r="D186" s="6" t="s">
        <v>30</v>
      </c>
      <c r="E186" s="2" t="s">
        <v>8</v>
      </c>
      <c r="F186" s="2" t="n">
        <v>185</v>
      </c>
      <c r="G186" s="6" t="n">
        <v>141</v>
      </c>
      <c r="H186" s="8" t="n">
        <v>1295.74595167154</v>
      </c>
      <c r="I186" s="2" t="s">
        <v>7012</v>
      </c>
    </row>
    <row r="187" customFormat="false" ht="15" hidden="false" customHeight="false" outlineLevel="0" collapsed="false">
      <c r="A187" s="2" t="s">
        <v>560</v>
      </c>
      <c r="B187" s="2" t="s">
        <v>561</v>
      </c>
      <c r="C187" s="2" t="s">
        <v>7077</v>
      </c>
      <c r="D187" s="6" t="s">
        <v>30</v>
      </c>
      <c r="E187" s="2" t="s">
        <v>9</v>
      </c>
      <c r="F187" s="2" t="n">
        <v>186</v>
      </c>
      <c r="G187" s="6" t="n">
        <v>211</v>
      </c>
      <c r="H187" s="8" t="n">
        <v>656.351386160218</v>
      </c>
      <c r="I187" s="2" t="s">
        <v>7012</v>
      </c>
    </row>
    <row r="188" customFormat="false" ht="15" hidden="false" customHeight="false" outlineLevel="0" collapsed="false">
      <c r="A188" s="2" t="s">
        <v>563</v>
      </c>
      <c r="B188" s="2" t="s">
        <v>564</v>
      </c>
      <c r="C188" s="2"/>
      <c r="D188" s="6" t="s">
        <v>30</v>
      </c>
      <c r="E188" s="2" t="s">
        <v>9</v>
      </c>
      <c r="F188" s="2" t="n">
        <v>187</v>
      </c>
      <c r="G188" s="6" t="n">
        <v>211</v>
      </c>
      <c r="H188" s="8" t="n">
        <v>665.673659031531</v>
      </c>
      <c r="I188" s="2" t="s">
        <v>7012</v>
      </c>
    </row>
    <row r="189" customFormat="false" ht="15" hidden="false" customHeight="false" outlineLevel="0" collapsed="false">
      <c r="A189" s="2" t="s">
        <v>565</v>
      </c>
      <c r="B189" s="2" t="s">
        <v>44</v>
      </c>
      <c r="C189" s="2" t="s">
        <v>7078</v>
      </c>
      <c r="D189" s="6" t="s">
        <v>30</v>
      </c>
      <c r="E189" s="2" t="s">
        <v>8</v>
      </c>
      <c r="F189" s="2" t="n">
        <v>188</v>
      </c>
      <c r="G189" s="6" t="n">
        <v>140</v>
      </c>
      <c r="H189" s="8" t="n">
        <v>1227.61360170749</v>
      </c>
      <c r="I189" s="2" t="s">
        <v>7012</v>
      </c>
    </row>
    <row r="190" customFormat="false" ht="15" hidden="false" customHeight="false" outlineLevel="0" collapsed="false">
      <c r="A190" s="2" t="s">
        <v>567</v>
      </c>
      <c r="B190" s="2" t="s">
        <v>44</v>
      </c>
      <c r="C190" s="2" t="s">
        <v>568</v>
      </c>
      <c r="D190" s="6" t="s">
        <v>30</v>
      </c>
      <c r="E190" s="2" t="s">
        <v>8</v>
      </c>
      <c r="F190" s="2" t="n">
        <v>189</v>
      </c>
      <c r="G190" s="6" t="n">
        <v>140</v>
      </c>
      <c r="H190" s="8" t="n">
        <v>993.953676215921</v>
      </c>
      <c r="I190" s="2" t="s">
        <v>7012</v>
      </c>
    </row>
    <row r="191" customFormat="false" ht="15" hidden="false" customHeight="false" outlineLevel="0" collapsed="false">
      <c r="A191" s="2" t="s">
        <v>569</v>
      </c>
      <c r="B191" s="2" t="s">
        <v>570</v>
      </c>
      <c r="C191" s="2" t="s">
        <v>571</v>
      </c>
      <c r="D191" s="6" t="s">
        <v>30</v>
      </c>
      <c r="E191" s="2" t="s">
        <v>8</v>
      </c>
      <c r="F191" s="2" t="n">
        <v>190</v>
      </c>
      <c r="G191" s="6" t="n">
        <v>139</v>
      </c>
      <c r="H191" s="8" t="n">
        <v>1109.80756572006</v>
      </c>
      <c r="I191" s="2" t="s">
        <v>7012</v>
      </c>
    </row>
    <row r="192" customFormat="false" ht="15" hidden="false" customHeight="false" outlineLevel="0" collapsed="false">
      <c r="A192" s="2" t="s">
        <v>572</v>
      </c>
      <c r="B192" s="2" t="s">
        <v>573</v>
      </c>
      <c r="C192" s="2" t="s">
        <v>574</v>
      </c>
      <c r="D192" s="6" t="s">
        <v>30</v>
      </c>
      <c r="E192" s="2" t="s">
        <v>9</v>
      </c>
      <c r="F192" s="2" t="n">
        <v>191</v>
      </c>
      <c r="G192" s="6" t="n">
        <v>207</v>
      </c>
      <c r="H192" s="8" t="n">
        <v>645.654617052734</v>
      </c>
      <c r="I192" s="2" t="s">
        <v>7012</v>
      </c>
    </row>
    <row r="193" customFormat="false" ht="15" hidden="false" customHeight="false" outlineLevel="0" collapsed="false">
      <c r="A193" s="2" t="s">
        <v>575</v>
      </c>
      <c r="B193" s="2" t="s">
        <v>368</v>
      </c>
      <c r="C193" s="2"/>
      <c r="D193" s="6" t="s">
        <v>30</v>
      </c>
      <c r="E193" s="2" t="s">
        <v>8</v>
      </c>
      <c r="F193" s="2" t="n">
        <v>192</v>
      </c>
      <c r="G193" s="6" t="n">
        <v>138</v>
      </c>
      <c r="H193" s="8" t="n">
        <v>749.67614561821</v>
      </c>
      <c r="I193" s="2" t="s">
        <v>7012</v>
      </c>
    </row>
    <row r="194" customFormat="false" ht="15" hidden="false" customHeight="false" outlineLevel="0" collapsed="false">
      <c r="A194" s="2" t="s">
        <v>576</v>
      </c>
      <c r="B194" s="2" t="s">
        <v>44</v>
      </c>
      <c r="C194" s="2" t="s">
        <v>7079</v>
      </c>
      <c r="D194" s="6" t="s">
        <v>30</v>
      </c>
      <c r="E194" s="2" t="s">
        <v>8</v>
      </c>
      <c r="F194" s="2" t="n">
        <v>193</v>
      </c>
      <c r="G194" s="6" t="n">
        <v>138</v>
      </c>
      <c r="H194" s="8" t="n">
        <v>998.145185031826</v>
      </c>
      <c r="I194" s="2" t="s">
        <v>7012</v>
      </c>
    </row>
    <row r="195" customFormat="false" ht="15" hidden="false" customHeight="false" outlineLevel="0" collapsed="false">
      <c r="A195" s="2" t="s">
        <v>578</v>
      </c>
      <c r="B195" s="2" t="s">
        <v>39</v>
      </c>
      <c r="C195" s="2"/>
      <c r="D195" s="6" t="s">
        <v>30</v>
      </c>
      <c r="E195" s="2" t="s">
        <v>8</v>
      </c>
      <c r="F195" s="2" t="n">
        <v>194</v>
      </c>
      <c r="G195" s="6" t="n">
        <v>138</v>
      </c>
      <c r="H195" s="8" t="n">
        <v>1295.61565998351</v>
      </c>
      <c r="I195" s="2" t="s">
        <v>7012</v>
      </c>
    </row>
    <row r="196" customFormat="false" ht="15" hidden="false" customHeight="false" outlineLevel="0" collapsed="false">
      <c r="A196" s="2" t="s">
        <v>579</v>
      </c>
      <c r="B196" s="2" t="s">
        <v>570</v>
      </c>
      <c r="C196" s="2" t="s">
        <v>580</v>
      </c>
      <c r="D196" s="6" t="s">
        <v>30</v>
      </c>
      <c r="E196" s="2" t="s">
        <v>8</v>
      </c>
      <c r="F196" s="2" t="n">
        <v>195</v>
      </c>
      <c r="G196" s="6" t="n">
        <v>137</v>
      </c>
      <c r="H196" s="8" t="n">
        <v>962.225526409533</v>
      </c>
      <c r="I196" s="2" t="s">
        <v>7012</v>
      </c>
    </row>
    <row r="197" customFormat="false" ht="15" hidden="false" customHeight="false" outlineLevel="0" collapsed="false">
      <c r="A197" s="2" t="s">
        <v>581</v>
      </c>
      <c r="B197" s="2" t="s">
        <v>273</v>
      </c>
      <c r="C197" s="2"/>
      <c r="D197" s="6" t="s">
        <v>30</v>
      </c>
      <c r="E197" s="2" t="s">
        <v>8</v>
      </c>
      <c r="F197" s="2" t="n">
        <v>196</v>
      </c>
      <c r="G197" s="6" t="n">
        <v>137</v>
      </c>
      <c r="H197" s="8" t="n">
        <v>797.698389954438</v>
      </c>
      <c r="I197" s="2" t="s">
        <v>7012</v>
      </c>
    </row>
    <row r="198" customFormat="false" ht="15" hidden="false" customHeight="false" outlineLevel="0" collapsed="false">
      <c r="A198" s="2" t="s">
        <v>583</v>
      </c>
      <c r="B198" s="2" t="s">
        <v>81</v>
      </c>
      <c r="C198" s="2"/>
      <c r="D198" s="6" t="s">
        <v>30</v>
      </c>
      <c r="E198" s="2" t="s">
        <v>8</v>
      </c>
      <c r="F198" s="2" t="n">
        <v>197</v>
      </c>
      <c r="G198" s="6" t="n">
        <v>137</v>
      </c>
      <c r="H198" s="8" t="n">
        <v>1042.08750945953</v>
      </c>
      <c r="I198" s="2" t="s">
        <v>7012</v>
      </c>
    </row>
    <row r="199" customFormat="false" ht="15" hidden="false" customHeight="false" outlineLevel="0" collapsed="false">
      <c r="A199" s="2" t="s">
        <v>584</v>
      </c>
      <c r="B199" s="2" t="s">
        <v>585</v>
      </c>
      <c r="C199" s="2" t="s">
        <v>586</v>
      </c>
      <c r="D199" s="6" t="s">
        <v>30</v>
      </c>
      <c r="E199" s="2" t="s">
        <v>9</v>
      </c>
      <c r="F199" s="2" t="n">
        <v>198</v>
      </c>
      <c r="G199" s="6" t="n">
        <v>205</v>
      </c>
      <c r="H199" s="8" t="n">
        <v>650.741391023146</v>
      </c>
      <c r="I199" s="2" t="s">
        <v>7012</v>
      </c>
    </row>
    <row r="200" customFormat="false" ht="15" hidden="false" customHeight="false" outlineLevel="0" collapsed="false">
      <c r="A200" s="2" t="s">
        <v>588</v>
      </c>
      <c r="B200" s="2" t="s">
        <v>589</v>
      </c>
      <c r="C200" s="2"/>
      <c r="D200" s="6" t="s">
        <v>30</v>
      </c>
      <c r="E200" s="2" t="s">
        <v>8</v>
      </c>
      <c r="F200" s="2" t="n">
        <v>199</v>
      </c>
      <c r="G200" s="6" t="n">
        <v>136</v>
      </c>
      <c r="H200" s="8" t="n">
        <v>779.937211613515</v>
      </c>
      <c r="I200" s="2" t="s">
        <v>7012</v>
      </c>
    </row>
    <row r="201" customFormat="false" ht="15" hidden="false" customHeight="false" outlineLevel="0" collapsed="false">
      <c r="A201" s="2" t="s">
        <v>592</v>
      </c>
      <c r="B201" s="2" t="s">
        <v>38</v>
      </c>
      <c r="C201" s="2" t="s">
        <v>593</v>
      </c>
      <c r="D201" s="6" t="s">
        <v>30</v>
      </c>
      <c r="E201" s="2" t="s">
        <v>8</v>
      </c>
      <c r="F201" s="2" t="n">
        <v>200</v>
      </c>
      <c r="G201" s="6" t="n">
        <v>136</v>
      </c>
      <c r="H201" s="8" t="n">
        <v>780.913918889081</v>
      </c>
      <c r="I201" s="2" t="s">
        <v>7012</v>
      </c>
    </row>
    <row r="202" customFormat="false" ht="15" hidden="false" customHeight="false" outlineLevel="0" collapsed="false">
      <c r="A202" s="2" t="s">
        <v>594</v>
      </c>
      <c r="B202" s="2" t="s">
        <v>595</v>
      </c>
      <c r="C202" s="2" t="s">
        <v>7080</v>
      </c>
      <c r="D202" s="6" t="s">
        <v>30</v>
      </c>
      <c r="E202" s="2" t="s">
        <v>9</v>
      </c>
      <c r="F202" s="2" t="n">
        <v>201</v>
      </c>
      <c r="G202" s="6" t="n">
        <v>203</v>
      </c>
      <c r="H202" s="8" t="n">
        <v>654.37124545965</v>
      </c>
      <c r="I202" s="2" t="s">
        <v>7012</v>
      </c>
    </row>
    <row r="203" customFormat="false" ht="15" hidden="false" customHeight="false" outlineLevel="0" collapsed="false">
      <c r="A203" s="2" t="s">
        <v>598</v>
      </c>
      <c r="B203" s="2" t="s">
        <v>263</v>
      </c>
      <c r="C203" s="2" t="s">
        <v>599</v>
      </c>
      <c r="D203" s="6" t="s">
        <v>30</v>
      </c>
      <c r="E203" s="2" t="s">
        <v>8</v>
      </c>
      <c r="F203" s="2" t="n">
        <v>202</v>
      </c>
      <c r="G203" s="6" t="n">
        <v>135</v>
      </c>
      <c r="H203" s="8" t="n">
        <v>950.246809521163</v>
      </c>
      <c r="I203" s="2" t="s">
        <v>7012</v>
      </c>
    </row>
    <row r="204" customFormat="false" ht="15" hidden="false" customHeight="false" outlineLevel="0" collapsed="false">
      <c r="A204" s="2" t="s">
        <v>600</v>
      </c>
      <c r="B204" s="2" t="s">
        <v>471</v>
      </c>
      <c r="C204" s="2"/>
      <c r="D204" s="6" t="s">
        <v>30</v>
      </c>
      <c r="E204" s="2" t="s">
        <v>8</v>
      </c>
      <c r="F204" s="2" t="n">
        <v>203</v>
      </c>
      <c r="G204" s="6" t="n">
        <v>135</v>
      </c>
      <c r="H204" s="8" t="n">
        <v>1505.73437115951</v>
      </c>
      <c r="I204" s="2" t="s">
        <v>7012</v>
      </c>
    </row>
    <row r="205" customFormat="false" ht="15" hidden="false" customHeight="false" outlineLevel="0" collapsed="false">
      <c r="A205" s="2" t="s">
        <v>603</v>
      </c>
      <c r="B205" s="2" t="s">
        <v>604</v>
      </c>
      <c r="C205" s="2"/>
      <c r="D205" s="6" t="s">
        <v>30</v>
      </c>
      <c r="E205" s="2" t="s">
        <v>9</v>
      </c>
      <c r="F205" s="2" t="n">
        <v>204</v>
      </c>
      <c r="G205" s="6" t="n">
        <v>202</v>
      </c>
      <c r="H205" s="8" t="n">
        <v>613.043922390475</v>
      </c>
      <c r="I205" s="2" t="s">
        <v>7012</v>
      </c>
    </row>
    <row r="206" customFormat="false" ht="15" hidden="false" customHeight="false" outlineLevel="0" collapsed="false">
      <c r="A206" s="2" t="s">
        <v>605</v>
      </c>
      <c r="B206" s="2" t="s">
        <v>266</v>
      </c>
      <c r="C206" s="2"/>
      <c r="D206" s="6" t="s">
        <v>30</v>
      </c>
      <c r="E206" s="2" t="s">
        <v>9</v>
      </c>
      <c r="F206" s="2" t="n">
        <v>205</v>
      </c>
      <c r="G206" s="6" t="n">
        <v>201</v>
      </c>
      <c r="H206" s="8" t="n">
        <v>603.647405318363</v>
      </c>
      <c r="I206" s="2" t="s">
        <v>7012</v>
      </c>
    </row>
    <row r="207" customFormat="false" ht="15" hidden="false" customHeight="false" outlineLevel="0" collapsed="false">
      <c r="A207" s="2" t="s">
        <v>606</v>
      </c>
      <c r="B207" s="2" t="s">
        <v>607</v>
      </c>
      <c r="C207" s="2"/>
      <c r="D207" s="6" t="s">
        <v>30</v>
      </c>
      <c r="E207" s="2" t="s">
        <v>8</v>
      </c>
      <c r="F207" s="2" t="n">
        <v>206</v>
      </c>
      <c r="G207" s="6" t="n">
        <v>133</v>
      </c>
      <c r="H207" s="8" t="n">
        <v>709.780730180489</v>
      </c>
      <c r="I207" s="2" t="s">
        <v>7012</v>
      </c>
    </row>
    <row r="208" customFormat="false" ht="15" hidden="false" customHeight="false" outlineLevel="0" collapsed="false">
      <c r="A208" s="2" t="s">
        <v>608</v>
      </c>
      <c r="B208" s="2" t="s">
        <v>609</v>
      </c>
      <c r="C208" s="2"/>
      <c r="D208" s="6" t="s">
        <v>30</v>
      </c>
      <c r="E208" s="2" t="s">
        <v>9</v>
      </c>
      <c r="F208" s="2" t="n">
        <v>207</v>
      </c>
      <c r="G208" s="6" t="n">
        <v>198</v>
      </c>
      <c r="H208" s="8" t="n">
        <v>645.652509675475</v>
      </c>
      <c r="I208" s="2" t="s">
        <v>7012</v>
      </c>
    </row>
    <row r="209" customFormat="false" ht="15" hidden="false" customHeight="false" outlineLevel="0" collapsed="false">
      <c r="A209" s="2" t="s">
        <v>610</v>
      </c>
      <c r="B209" s="2" t="s">
        <v>56</v>
      </c>
      <c r="C209" s="2" t="s">
        <v>611</v>
      </c>
      <c r="D209" s="6" t="s">
        <v>30</v>
      </c>
      <c r="E209" s="2" t="s">
        <v>8</v>
      </c>
      <c r="F209" s="2" t="n">
        <v>208</v>
      </c>
      <c r="G209" s="6" t="n">
        <v>132</v>
      </c>
      <c r="H209" s="8" t="n">
        <v>1109.90776992771</v>
      </c>
      <c r="I209" s="2" t="s">
        <v>7012</v>
      </c>
    </row>
    <row r="210" customFormat="false" ht="15" hidden="false" customHeight="false" outlineLevel="0" collapsed="false">
      <c r="A210" s="2" t="s">
        <v>612</v>
      </c>
      <c r="B210" s="2" t="s">
        <v>133</v>
      </c>
      <c r="C210" s="2" t="s">
        <v>613</v>
      </c>
      <c r="D210" s="6" t="s">
        <v>30</v>
      </c>
      <c r="E210" s="2" t="s">
        <v>9</v>
      </c>
      <c r="F210" s="2" t="n">
        <v>209</v>
      </c>
      <c r="G210" s="6" t="n">
        <v>197</v>
      </c>
      <c r="H210" s="8" t="n">
        <v>634.999198311036</v>
      </c>
      <c r="I210" s="2" t="s">
        <v>7012</v>
      </c>
    </row>
    <row r="211" customFormat="false" ht="15" hidden="false" customHeight="false" outlineLevel="0" collapsed="false">
      <c r="A211" s="2" t="s">
        <v>614</v>
      </c>
      <c r="B211" s="2" t="s">
        <v>70</v>
      </c>
      <c r="C211" s="2" t="s">
        <v>7081</v>
      </c>
      <c r="D211" s="6" t="s">
        <v>30</v>
      </c>
      <c r="E211" s="2" t="s">
        <v>8</v>
      </c>
      <c r="F211" s="2" t="n">
        <v>210</v>
      </c>
      <c r="G211" s="6" t="n">
        <v>131</v>
      </c>
      <c r="H211" s="8" t="n">
        <v>1014.52948386957</v>
      </c>
      <c r="I211" s="2" t="s">
        <v>7012</v>
      </c>
    </row>
    <row r="212" customFormat="false" ht="15" hidden="false" customHeight="false" outlineLevel="0" collapsed="false">
      <c r="A212" s="2" t="s">
        <v>616</v>
      </c>
      <c r="B212" s="2" t="s">
        <v>44</v>
      </c>
      <c r="C212" s="2" t="s">
        <v>7082</v>
      </c>
      <c r="D212" s="6" t="s">
        <v>30</v>
      </c>
      <c r="E212" s="2" t="s">
        <v>8</v>
      </c>
      <c r="F212" s="2" t="n">
        <v>211</v>
      </c>
      <c r="G212" s="6" t="n">
        <v>131</v>
      </c>
      <c r="H212" s="8" t="n">
        <v>1039.42674261099</v>
      </c>
      <c r="I212" s="2" t="s">
        <v>7012</v>
      </c>
    </row>
    <row r="213" customFormat="false" ht="15" hidden="false" customHeight="false" outlineLevel="0" collapsed="false">
      <c r="A213" s="2" t="s">
        <v>618</v>
      </c>
      <c r="B213" s="2" t="s">
        <v>138</v>
      </c>
      <c r="C213" s="2" t="s">
        <v>7083</v>
      </c>
      <c r="D213" s="6" t="s">
        <v>30</v>
      </c>
      <c r="E213" s="2" t="s">
        <v>8</v>
      </c>
      <c r="F213" s="2" t="n">
        <v>212</v>
      </c>
      <c r="G213" s="6" t="n">
        <v>131</v>
      </c>
      <c r="H213" s="8" t="n">
        <v>1757.86986569873</v>
      </c>
      <c r="I213" s="2" t="s">
        <v>7012</v>
      </c>
    </row>
    <row r="214" customFormat="false" ht="15" hidden="false" customHeight="false" outlineLevel="0" collapsed="false">
      <c r="A214" s="2" t="s">
        <v>620</v>
      </c>
      <c r="B214" s="2" t="s">
        <v>56</v>
      </c>
      <c r="C214" s="2" t="s">
        <v>621</v>
      </c>
      <c r="D214" s="6" t="s">
        <v>30</v>
      </c>
      <c r="E214" s="2" t="s">
        <v>8</v>
      </c>
      <c r="F214" s="2" t="n">
        <v>213</v>
      </c>
      <c r="G214" s="6" t="n">
        <v>131</v>
      </c>
      <c r="H214" s="8" t="n">
        <v>785.098112534535</v>
      </c>
      <c r="I214" s="2" t="s">
        <v>7012</v>
      </c>
    </row>
    <row r="215" customFormat="false" ht="15" hidden="false" customHeight="false" outlineLevel="0" collapsed="false">
      <c r="A215" s="2" t="s">
        <v>622</v>
      </c>
      <c r="B215" s="2" t="s">
        <v>70</v>
      </c>
      <c r="C215" s="2" t="s">
        <v>7084</v>
      </c>
      <c r="D215" s="6" t="s">
        <v>30</v>
      </c>
      <c r="E215" s="2" t="s">
        <v>8</v>
      </c>
      <c r="F215" s="2" t="n">
        <v>214</v>
      </c>
      <c r="G215" s="6" t="n">
        <v>130</v>
      </c>
      <c r="H215" s="8" t="n">
        <v>756.307812855285</v>
      </c>
      <c r="I215" s="2" t="s">
        <v>7012</v>
      </c>
    </row>
    <row r="216" customFormat="false" ht="15" hidden="false" customHeight="false" outlineLevel="0" collapsed="false">
      <c r="A216" s="2" t="s">
        <v>624</v>
      </c>
      <c r="B216" s="2" t="s">
        <v>199</v>
      </c>
      <c r="C216" s="2" t="s">
        <v>625</v>
      </c>
      <c r="D216" s="6" t="s">
        <v>30</v>
      </c>
      <c r="E216" s="2" t="s">
        <v>8</v>
      </c>
      <c r="F216" s="2" t="n">
        <v>215</v>
      </c>
      <c r="G216" s="6" t="n">
        <v>130</v>
      </c>
      <c r="H216" s="8" t="n">
        <v>736.346431375808</v>
      </c>
      <c r="I216" s="2" t="s">
        <v>7012</v>
      </c>
    </row>
    <row r="217" customFormat="false" ht="15" hidden="false" customHeight="false" outlineLevel="0" collapsed="false">
      <c r="A217" s="2" t="s">
        <v>626</v>
      </c>
      <c r="B217" s="2" t="s">
        <v>70</v>
      </c>
      <c r="C217" s="2" t="s">
        <v>7085</v>
      </c>
      <c r="D217" s="6" t="s">
        <v>30</v>
      </c>
      <c r="E217" s="2" t="s">
        <v>8</v>
      </c>
      <c r="F217" s="2" t="n">
        <v>216</v>
      </c>
      <c r="G217" s="6" t="n">
        <v>129</v>
      </c>
      <c r="H217" s="8" t="n">
        <v>795.687499018008</v>
      </c>
      <c r="I217" s="2" t="s">
        <v>7012</v>
      </c>
    </row>
    <row r="218" customFormat="false" ht="15" hidden="false" customHeight="false" outlineLevel="0" collapsed="false">
      <c r="A218" s="2" t="s">
        <v>628</v>
      </c>
      <c r="B218" s="2" t="s">
        <v>250</v>
      </c>
      <c r="C218" s="2" t="s">
        <v>629</v>
      </c>
      <c r="D218" s="6" t="s">
        <v>30</v>
      </c>
      <c r="E218" s="2" t="s">
        <v>8</v>
      </c>
      <c r="F218" s="2" t="n">
        <v>217</v>
      </c>
      <c r="G218" s="6" t="n">
        <v>129</v>
      </c>
      <c r="H218" s="8" t="n">
        <v>825.08597552914</v>
      </c>
      <c r="I218" s="2" t="s">
        <v>7012</v>
      </c>
    </row>
    <row r="219" customFormat="false" ht="15" hidden="false" customHeight="false" outlineLevel="0" collapsed="false">
      <c r="A219" s="2" t="s">
        <v>630</v>
      </c>
      <c r="B219" s="2" t="s">
        <v>631</v>
      </c>
      <c r="C219" s="2" t="s">
        <v>632</v>
      </c>
      <c r="D219" s="6" t="s">
        <v>30</v>
      </c>
      <c r="E219" s="2" t="s">
        <v>8</v>
      </c>
      <c r="F219" s="2" t="n">
        <v>218</v>
      </c>
      <c r="G219" s="6" t="n">
        <v>129</v>
      </c>
      <c r="H219" s="8" t="n">
        <v>1063.04265674431</v>
      </c>
      <c r="I219" s="2" t="s">
        <v>7012</v>
      </c>
    </row>
    <row r="220" customFormat="false" ht="15" hidden="false" customHeight="false" outlineLevel="0" collapsed="false">
      <c r="A220" s="2" t="s">
        <v>633</v>
      </c>
      <c r="B220" s="2" t="s">
        <v>133</v>
      </c>
      <c r="C220" s="2" t="s">
        <v>634</v>
      </c>
      <c r="D220" s="6" t="s">
        <v>30</v>
      </c>
      <c r="E220" s="2" t="s">
        <v>8</v>
      </c>
      <c r="F220" s="2" t="n">
        <v>219</v>
      </c>
      <c r="G220" s="6" t="n">
        <v>129</v>
      </c>
      <c r="H220" s="8" t="n">
        <v>922.721492465163</v>
      </c>
      <c r="I220" s="2" t="s">
        <v>7012</v>
      </c>
    </row>
    <row r="221" customFormat="false" ht="15" hidden="false" customHeight="false" outlineLevel="0" collapsed="false">
      <c r="A221" s="2" t="s">
        <v>635</v>
      </c>
      <c r="B221" s="2" t="s">
        <v>636</v>
      </c>
      <c r="C221" s="2"/>
      <c r="D221" s="6" t="s">
        <v>30</v>
      </c>
      <c r="E221" s="2" t="s">
        <v>8</v>
      </c>
      <c r="F221" s="2" t="n">
        <v>220</v>
      </c>
      <c r="G221" s="6" t="n">
        <v>127</v>
      </c>
      <c r="H221" s="8" t="n">
        <v>1199.90856423797</v>
      </c>
      <c r="I221" s="2" t="s">
        <v>7012</v>
      </c>
    </row>
    <row r="222" customFormat="false" ht="15" hidden="false" customHeight="false" outlineLevel="0" collapsed="false">
      <c r="A222" s="2" t="s">
        <v>637</v>
      </c>
      <c r="B222" s="2" t="s">
        <v>638</v>
      </c>
      <c r="C222" s="2"/>
      <c r="D222" s="6" t="s">
        <v>30</v>
      </c>
      <c r="E222" s="2" t="s">
        <v>9</v>
      </c>
      <c r="F222" s="2" t="n">
        <v>221</v>
      </c>
      <c r="G222" s="6" t="n">
        <v>190</v>
      </c>
      <c r="H222" s="8" t="n">
        <v>653.183223071221</v>
      </c>
      <c r="I222" s="2" t="s">
        <v>7012</v>
      </c>
    </row>
    <row r="223" customFormat="false" ht="15" hidden="false" customHeight="false" outlineLevel="0" collapsed="false">
      <c r="A223" s="2" t="s">
        <v>639</v>
      </c>
      <c r="B223" s="2" t="s">
        <v>27</v>
      </c>
      <c r="C223" s="2" t="s">
        <v>640</v>
      </c>
      <c r="D223" s="6" t="s">
        <v>30</v>
      </c>
      <c r="E223" s="2" t="s">
        <v>9</v>
      </c>
      <c r="F223" s="2" t="n">
        <v>222</v>
      </c>
      <c r="G223" s="6" t="n">
        <v>190</v>
      </c>
      <c r="H223" s="8" t="n">
        <v>636.606304227679</v>
      </c>
      <c r="I223" s="2" t="s">
        <v>7012</v>
      </c>
    </row>
    <row r="224" customFormat="false" ht="15" hidden="false" customHeight="false" outlineLevel="0" collapsed="false">
      <c r="A224" s="2" t="s">
        <v>641</v>
      </c>
      <c r="B224" s="2" t="s">
        <v>642</v>
      </c>
      <c r="C224" s="2" t="s">
        <v>643</v>
      </c>
      <c r="D224" s="6" t="s">
        <v>30</v>
      </c>
      <c r="E224" s="2" t="s">
        <v>9</v>
      </c>
      <c r="F224" s="2" t="n">
        <v>223</v>
      </c>
      <c r="G224" s="6" t="n">
        <v>189</v>
      </c>
      <c r="H224" s="8" t="n">
        <v>609.943707491222</v>
      </c>
      <c r="I224" s="2" t="s">
        <v>7012</v>
      </c>
    </row>
    <row r="225" customFormat="false" ht="15" hidden="false" customHeight="false" outlineLevel="0" collapsed="false">
      <c r="A225" s="2" t="s">
        <v>644</v>
      </c>
      <c r="B225" s="2" t="s">
        <v>521</v>
      </c>
      <c r="C225" s="2"/>
      <c r="D225" s="6" t="s">
        <v>30</v>
      </c>
      <c r="E225" s="2" t="s">
        <v>9</v>
      </c>
      <c r="F225" s="2" t="n">
        <v>224</v>
      </c>
      <c r="G225" s="6" t="n">
        <v>188</v>
      </c>
      <c r="H225" s="8" t="n">
        <v>636.694678426186</v>
      </c>
      <c r="I225" s="2" t="s">
        <v>7012</v>
      </c>
    </row>
    <row r="226" customFormat="false" ht="15" hidden="false" customHeight="false" outlineLevel="0" collapsed="false">
      <c r="A226" s="2" t="s">
        <v>645</v>
      </c>
      <c r="B226" s="2" t="s">
        <v>70</v>
      </c>
      <c r="C226" s="2" t="s">
        <v>646</v>
      </c>
      <c r="D226" s="6" t="s">
        <v>30</v>
      </c>
      <c r="E226" s="2" t="s">
        <v>8</v>
      </c>
      <c r="F226" s="2" t="n">
        <v>225</v>
      </c>
      <c r="G226" s="6" t="n">
        <v>125</v>
      </c>
      <c r="H226" s="8" t="n">
        <v>983.59606341192</v>
      </c>
      <c r="I226" s="2" t="s">
        <v>7012</v>
      </c>
    </row>
    <row r="227" customFormat="false" ht="15" hidden="false" customHeight="false" outlineLevel="0" collapsed="false">
      <c r="A227" s="2" t="s">
        <v>647</v>
      </c>
      <c r="B227" s="2" t="s">
        <v>648</v>
      </c>
      <c r="C227" s="2" t="s">
        <v>7086</v>
      </c>
      <c r="D227" s="6" t="s">
        <v>30</v>
      </c>
      <c r="E227" s="2" t="s">
        <v>8</v>
      </c>
      <c r="F227" s="2" t="n">
        <v>226</v>
      </c>
      <c r="G227" s="6" t="n">
        <v>125</v>
      </c>
      <c r="H227" s="8" t="n">
        <v>1498.7465025108</v>
      </c>
      <c r="I227" s="2" t="s">
        <v>7012</v>
      </c>
    </row>
    <row r="228" customFormat="false" ht="15" hidden="false" customHeight="false" outlineLevel="0" collapsed="false">
      <c r="A228" s="2" t="s">
        <v>650</v>
      </c>
      <c r="B228" s="2" t="s">
        <v>651</v>
      </c>
      <c r="C228" s="2"/>
      <c r="D228" s="6" t="s">
        <v>30</v>
      </c>
      <c r="E228" s="2" t="s">
        <v>8</v>
      </c>
      <c r="F228" s="2" t="n">
        <v>227</v>
      </c>
      <c r="G228" s="6" t="n">
        <v>124</v>
      </c>
      <c r="H228" s="8" t="n">
        <v>1072.75233410826</v>
      </c>
      <c r="I228" s="2" t="s">
        <v>7012</v>
      </c>
    </row>
    <row r="229" customFormat="false" ht="15" hidden="false" customHeight="false" outlineLevel="0" collapsed="false">
      <c r="A229" s="2" t="s">
        <v>652</v>
      </c>
      <c r="B229" s="2" t="s">
        <v>540</v>
      </c>
      <c r="C229" s="2"/>
      <c r="D229" s="6" t="s">
        <v>30</v>
      </c>
      <c r="E229" s="2" t="s">
        <v>9</v>
      </c>
      <c r="F229" s="2" t="n">
        <v>228</v>
      </c>
      <c r="G229" s="6" t="n">
        <v>185</v>
      </c>
      <c r="H229" s="8" t="n">
        <v>636.221207309622</v>
      </c>
      <c r="I229" s="2" t="s">
        <v>7012</v>
      </c>
    </row>
    <row r="230" customFormat="false" ht="15" hidden="false" customHeight="false" outlineLevel="0" collapsed="false">
      <c r="A230" s="2" t="s">
        <v>653</v>
      </c>
      <c r="B230" s="2" t="s">
        <v>452</v>
      </c>
      <c r="C230" s="2"/>
      <c r="D230" s="6" t="s">
        <v>30</v>
      </c>
      <c r="E230" s="2" t="s">
        <v>8</v>
      </c>
      <c r="F230" s="2" t="n">
        <v>229</v>
      </c>
      <c r="G230" s="6" t="n">
        <v>122</v>
      </c>
      <c r="H230" s="8" t="n">
        <v>869.514616805197</v>
      </c>
      <c r="I230" s="2" t="s">
        <v>7012</v>
      </c>
    </row>
    <row r="231" customFormat="false" ht="15" hidden="false" customHeight="false" outlineLevel="0" collapsed="false">
      <c r="A231" s="2" t="s">
        <v>654</v>
      </c>
      <c r="B231" s="2" t="s">
        <v>38</v>
      </c>
      <c r="C231" s="2" t="s">
        <v>655</v>
      </c>
      <c r="D231" s="6" t="s">
        <v>30</v>
      </c>
      <c r="E231" s="2" t="s">
        <v>8</v>
      </c>
      <c r="F231" s="2" t="n">
        <v>230</v>
      </c>
      <c r="G231" s="6" t="n">
        <v>122</v>
      </c>
      <c r="H231" s="8" t="n">
        <v>804.720626440639</v>
      </c>
      <c r="I231" s="2" t="s">
        <v>7012</v>
      </c>
    </row>
    <row r="232" customFormat="false" ht="15" hidden="false" customHeight="false" outlineLevel="0" collapsed="false">
      <c r="A232" s="2" t="s">
        <v>656</v>
      </c>
      <c r="B232" s="2" t="s">
        <v>657</v>
      </c>
      <c r="C232" s="2"/>
      <c r="D232" s="6" t="s">
        <v>30</v>
      </c>
      <c r="E232" s="2" t="s">
        <v>9</v>
      </c>
      <c r="F232" s="2" t="n">
        <v>231</v>
      </c>
      <c r="G232" s="6" t="n">
        <v>182</v>
      </c>
      <c r="H232" s="8" t="n">
        <v>614.5156077</v>
      </c>
      <c r="I232" s="2" t="s">
        <v>7012</v>
      </c>
    </row>
    <row r="233" customFormat="false" ht="15" hidden="false" customHeight="false" outlineLevel="0" collapsed="false">
      <c r="A233" s="2" t="s">
        <v>658</v>
      </c>
      <c r="B233" s="2" t="s">
        <v>659</v>
      </c>
      <c r="C233" s="2"/>
      <c r="D233" s="6" t="s">
        <v>30</v>
      </c>
      <c r="E233" s="2" t="s">
        <v>8</v>
      </c>
      <c r="F233" s="2" t="n">
        <v>232</v>
      </c>
      <c r="G233" s="6" t="n">
        <v>121</v>
      </c>
      <c r="H233" s="8" t="n">
        <v>819.23965625919</v>
      </c>
      <c r="I233" s="2" t="s">
        <v>7012</v>
      </c>
    </row>
    <row r="234" customFormat="false" ht="15" hidden="false" customHeight="false" outlineLevel="0" collapsed="false">
      <c r="A234" s="2" t="s">
        <v>661</v>
      </c>
      <c r="B234" s="2" t="s">
        <v>116</v>
      </c>
      <c r="C234" s="2" t="s">
        <v>662</v>
      </c>
      <c r="D234" s="6" t="s">
        <v>30</v>
      </c>
      <c r="E234" s="2" t="s">
        <v>8</v>
      </c>
      <c r="F234" s="2" t="n">
        <v>233</v>
      </c>
      <c r="G234" s="6" t="n">
        <v>121</v>
      </c>
      <c r="H234" s="8" t="n">
        <v>1468.8014028271</v>
      </c>
      <c r="I234" s="2" t="s">
        <v>7012</v>
      </c>
    </row>
    <row r="235" customFormat="false" ht="15" hidden="false" customHeight="false" outlineLevel="0" collapsed="false">
      <c r="A235" s="2" t="s">
        <v>663</v>
      </c>
      <c r="B235" s="2" t="s">
        <v>146</v>
      </c>
      <c r="C235" s="2" t="s">
        <v>664</v>
      </c>
      <c r="D235" s="6" t="s">
        <v>30</v>
      </c>
      <c r="E235" s="2" t="s">
        <v>9</v>
      </c>
      <c r="F235" s="2" t="n">
        <v>234</v>
      </c>
      <c r="G235" s="6" t="n">
        <v>181</v>
      </c>
      <c r="H235" s="8" t="n">
        <v>643.031761667276</v>
      </c>
      <c r="I235" s="2" t="s">
        <v>7012</v>
      </c>
    </row>
    <row r="236" customFormat="false" ht="15" hidden="false" customHeight="false" outlineLevel="0" collapsed="false">
      <c r="A236" s="2" t="s">
        <v>667</v>
      </c>
      <c r="B236" s="2" t="s">
        <v>668</v>
      </c>
      <c r="C236" s="2"/>
      <c r="D236" s="6" t="s">
        <v>30</v>
      </c>
      <c r="E236" s="2" t="s">
        <v>8</v>
      </c>
      <c r="F236" s="2" t="n">
        <v>235</v>
      </c>
      <c r="G236" s="6" t="n">
        <v>120</v>
      </c>
      <c r="H236" s="8" t="n">
        <v>792.636426866367</v>
      </c>
      <c r="I236" s="2" t="s">
        <v>7012</v>
      </c>
    </row>
    <row r="237" customFormat="false" ht="15" hidden="false" customHeight="false" outlineLevel="0" collapsed="false">
      <c r="A237" s="2" t="s">
        <v>669</v>
      </c>
      <c r="B237" s="2" t="s">
        <v>138</v>
      </c>
      <c r="C237" s="2" t="s">
        <v>7087</v>
      </c>
      <c r="D237" s="6" t="s">
        <v>30</v>
      </c>
      <c r="E237" s="2" t="s">
        <v>8</v>
      </c>
      <c r="F237" s="2" t="n">
        <v>236</v>
      </c>
      <c r="G237" s="6" t="n">
        <v>119</v>
      </c>
      <c r="H237" s="8" t="n">
        <v>2087.36877334122</v>
      </c>
      <c r="I237" s="2" t="s">
        <v>7012</v>
      </c>
    </row>
    <row r="238" customFormat="false" ht="15" hidden="false" customHeight="false" outlineLevel="0" collapsed="false">
      <c r="A238" s="2" t="s">
        <v>671</v>
      </c>
      <c r="B238" s="2" t="s">
        <v>672</v>
      </c>
      <c r="C238" s="2"/>
      <c r="D238" s="6" t="s">
        <v>30</v>
      </c>
      <c r="E238" s="2" t="s">
        <v>8</v>
      </c>
      <c r="F238" s="2" t="n">
        <v>237</v>
      </c>
      <c r="G238" s="6" t="n">
        <v>119</v>
      </c>
      <c r="H238" s="8" t="n">
        <v>981.73333153058</v>
      </c>
      <c r="I238" s="2" t="s">
        <v>7012</v>
      </c>
    </row>
    <row r="239" customFormat="false" ht="15" hidden="false" customHeight="false" outlineLevel="0" collapsed="false">
      <c r="A239" s="2" t="s">
        <v>675</v>
      </c>
      <c r="B239" s="2" t="s">
        <v>676</v>
      </c>
      <c r="C239" s="2" t="s">
        <v>677</v>
      </c>
      <c r="D239" s="6" t="s">
        <v>30</v>
      </c>
      <c r="E239" s="2" t="s">
        <v>8</v>
      </c>
      <c r="F239" s="2" t="n">
        <v>238</v>
      </c>
      <c r="G239" s="6" t="n">
        <v>119</v>
      </c>
      <c r="H239" s="8" t="n">
        <v>1817.94141553072</v>
      </c>
      <c r="I239" s="2" t="s">
        <v>7012</v>
      </c>
    </row>
    <row r="240" customFormat="false" ht="15" hidden="false" customHeight="false" outlineLevel="0" collapsed="false">
      <c r="A240" s="2" t="s">
        <v>678</v>
      </c>
      <c r="B240" s="2" t="s">
        <v>679</v>
      </c>
      <c r="C240" s="2"/>
      <c r="D240" s="6" t="s">
        <v>30</v>
      </c>
      <c r="E240" s="2" t="s">
        <v>8</v>
      </c>
      <c r="F240" s="2" t="n">
        <v>239</v>
      </c>
      <c r="G240" s="6" t="n">
        <v>118</v>
      </c>
      <c r="H240" s="8" t="n">
        <v>1873.29247710105</v>
      </c>
      <c r="I240" s="2" t="s">
        <v>7012</v>
      </c>
    </row>
    <row r="241" customFormat="false" ht="15" hidden="false" customHeight="false" outlineLevel="0" collapsed="false">
      <c r="A241" s="2" t="s">
        <v>680</v>
      </c>
      <c r="B241" s="2" t="s">
        <v>681</v>
      </c>
      <c r="C241" s="2"/>
      <c r="D241" s="6" t="s">
        <v>30</v>
      </c>
      <c r="E241" s="2" t="s">
        <v>8</v>
      </c>
      <c r="F241" s="2" t="n">
        <v>240</v>
      </c>
      <c r="G241" s="6" t="n">
        <v>118</v>
      </c>
      <c r="H241" s="8" t="n">
        <v>729.318388069771</v>
      </c>
      <c r="I241" s="2" t="s">
        <v>7012</v>
      </c>
    </row>
    <row r="242" customFormat="false" ht="15" hidden="false" customHeight="false" outlineLevel="0" collapsed="false">
      <c r="A242" s="2" t="s">
        <v>682</v>
      </c>
      <c r="B242" s="2" t="s">
        <v>683</v>
      </c>
      <c r="C242" s="2" t="s">
        <v>684</v>
      </c>
      <c r="D242" s="6" t="s">
        <v>30</v>
      </c>
      <c r="E242" s="2" t="s">
        <v>10</v>
      </c>
      <c r="F242" s="2" t="n">
        <v>241</v>
      </c>
      <c r="G242" s="6" t="n">
        <v>352</v>
      </c>
      <c r="H242" s="8" t="n">
        <v>510.057886085733</v>
      </c>
      <c r="I242" s="2" t="s">
        <v>7012</v>
      </c>
    </row>
    <row r="243" customFormat="false" ht="15" hidden="false" customHeight="false" outlineLevel="0" collapsed="false">
      <c r="A243" s="2" t="s">
        <v>685</v>
      </c>
      <c r="B243" s="2" t="s">
        <v>686</v>
      </c>
      <c r="C243" s="2"/>
      <c r="D243" s="6" t="s">
        <v>30</v>
      </c>
      <c r="E243" s="2" t="s">
        <v>8</v>
      </c>
      <c r="F243" s="2" t="n">
        <v>242</v>
      </c>
      <c r="G243" s="6" t="n">
        <v>117</v>
      </c>
      <c r="H243" s="8" t="n">
        <v>983.797492556761</v>
      </c>
      <c r="I243" s="2" t="s">
        <v>7012</v>
      </c>
    </row>
    <row r="244" customFormat="false" ht="15" hidden="false" customHeight="false" outlineLevel="0" collapsed="false">
      <c r="A244" s="2" t="s">
        <v>687</v>
      </c>
      <c r="B244" s="2" t="s">
        <v>70</v>
      </c>
      <c r="C244" s="2" t="s">
        <v>7088</v>
      </c>
      <c r="D244" s="6" t="s">
        <v>30</v>
      </c>
      <c r="E244" s="2" t="s">
        <v>9</v>
      </c>
      <c r="F244" s="2" t="n">
        <v>243</v>
      </c>
      <c r="G244" s="6" t="n">
        <v>174</v>
      </c>
      <c r="H244" s="8" t="n">
        <v>694.628950733931</v>
      </c>
      <c r="I244" s="2" t="s">
        <v>7012</v>
      </c>
    </row>
    <row r="245" customFormat="false" ht="15" hidden="false" customHeight="false" outlineLevel="0" collapsed="false">
      <c r="A245" s="2" t="s">
        <v>689</v>
      </c>
      <c r="B245" s="2" t="s">
        <v>690</v>
      </c>
      <c r="C245" s="2"/>
      <c r="D245" s="6" t="s">
        <v>30</v>
      </c>
      <c r="E245" s="2" t="s">
        <v>8</v>
      </c>
      <c r="F245" s="2" t="n">
        <v>244</v>
      </c>
      <c r="G245" s="6" t="n">
        <v>116</v>
      </c>
      <c r="H245" s="8" t="n">
        <v>1005.52211323397</v>
      </c>
      <c r="I245" s="2" t="s">
        <v>7012</v>
      </c>
    </row>
    <row r="246" customFormat="false" ht="15" hidden="false" customHeight="false" outlineLevel="0" collapsed="false">
      <c r="A246" s="2" t="s">
        <v>691</v>
      </c>
      <c r="B246" s="2" t="s">
        <v>692</v>
      </c>
      <c r="C246" s="2"/>
      <c r="D246" s="6" t="s">
        <v>30</v>
      </c>
      <c r="E246" s="2" t="s">
        <v>9</v>
      </c>
      <c r="F246" s="2" t="n">
        <v>245</v>
      </c>
      <c r="G246" s="6" t="n">
        <v>174</v>
      </c>
      <c r="H246" s="8" t="n">
        <v>600.308670728558</v>
      </c>
      <c r="I246" s="2" t="s">
        <v>7012</v>
      </c>
    </row>
    <row r="247" customFormat="false" ht="15" hidden="false" customHeight="false" outlineLevel="0" collapsed="false">
      <c r="A247" s="2" t="s">
        <v>693</v>
      </c>
      <c r="B247" s="2" t="s">
        <v>674</v>
      </c>
      <c r="C247" s="2" t="s">
        <v>7089</v>
      </c>
      <c r="D247" s="6" t="s">
        <v>30</v>
      </c>
      <c r="E247" s="2" t="s">
        <v>8</v>
      </c>
      <c r="F247" s="2" t="n">
        <v>246</v>
      </c>
      <c r="G247" s="6" t="n">
        <v>116</v>
      </c>
      <c r="H247" s="8" t="n">
        <v>888.790989111138</v>
      </c>
      <c r="I247" s="2" t="s">
        <v>7012</v>
      </c>
    </row>
    <row r="248" customFormat="false" ht="15" hidden="false" customHeight="false" outlineLevel="0" collapsed="false">
      <c r="A248" s="2" t="s">
        <v>697</v>
      </c>
      <c r="B248" s="2" t="s">
        <v>38</v>
      </c>
      <c r="C248" s="2"/>
      <c r="D248" s="6" t="s">
        <v>30</v>
      </c>
      <c r="E248" s="2" t="s">
        <v>8</v>
      </c>
      <c r="F248" s="2" t="n">
        <v>247</v>
      </c>
      <c r="G248" s="6" t="n">
        <v>116</v>
      </c>
      <c r="H248" s="8" t="n">
        <v>888.918110486802</v>
      </c>
      <c r="I248" s="2" t="s">
        <v>7012</v>
      </c>
    </row>
    <row r="249" customFormat="false" ht="15" hidden="false" customHeight="false" outlineLevel="0" collapsed="false">
      <c r="A249" s="2" t="s">
        <v>698</v>
      </c>
      <c r="B249" s="2" t="s">
        <v>699</v>
      </c>
      <c r="C249" s="2" t="s">
        <v>700</v>
      </c>
      <c r="D249" s="6" t="s">
        <v>30</v>
      </c>
      <c r="E249" s="2" t="s">
        <v>10</v>
      </c>
      <c r="F249" s="2" t="n">
        <v>248</v>
      </c>
      <c r="G249" s="6" t="n">
        <v>347</v>
      </c>
      <c r="H249" s="8" t="n">
        <v>525.270534680441</v>
      </c>
      <c r="I249" s="2" t="s">
        <v>7012</v>
      </c>
    </row>
    <row r="250" customFormat="false" ht="15" hidden="false" customHeight="false" outlineLevel="0" collapsed="false">
      <c r="A250" s="2" t="s">
        <v>701</v>
      </c>
      <c r="B250" s="2" t="s">
        <v>702</v>
      </c>
      <c r="C250" s="2" t="s">
        <v>7090</v>
      </c>
      <c r="D250" s="6" t="s">
        <v>30</v>
      </c>
      <c r="E250" s="2" t="s">
        <v>10</v>
      </c>
      <c r="F250" s="2" t="n">
        <v>249</v>
      </c>
      <c r="G250" s="6" t="n">
        <v>346</v>
      </c>
      <c r="H250" s="8" t="n">
        <v>536.083506701737</v>
      </c>
      <c r="I250" s="2" t="s">
        <v>7012</v>
      </c>
    </row>
    <row r="251" customFormat="false" ht="15" hidden="false" customHeight="false" outlineLevel="0" collapsed="false">
      <c r="A251" s="2" t="s">
        <v>704</v>
      </c>
      <c r="B251" s="2" t="s">
        <v>44</v>
      </c>
      <c r="C251" s="2" t="s">
        <v>7091</v>
      </c>
      <c r="D251" s="6" t="s">
        <v>30</v>
      </c>
      <c r="E251" s="2" t="s">
        <v>8</v>
      </c>
      <c r="F251" s="2" t="n">
        <v>250</v>
      </c>
      <c r="G251" s="6" t="n">
        <v>115</v>
      </c>
      <c r="H251" s="8" t="n">
        <v>868.422883108139</v>
      </c>
      <c r="I251" s="2" t="s">
        <v>7012</v>
      </c>
    </row>
    <row r="252" customFormat="false" ht="15" hidden="false" customHeight="false" outlineLevel="0" collapsed="false">
      <c r="A252" s="2" t="s">
        <v>706</v>
      </c>
      <c r="B252" s="2" t="s">
        <v>44</v>
      </c>
      <c r="C252" s="2" t="s">
        <v>7092</v>
      </c>
      <c r="D252" s="6" t="s">
        <v>30</v>
      </c>
      <c r="E252" s="2" t="s">
        <v>9</v>
      </c>
      <c r="F252" s="2" t="n">
        <v>251</v>
      </c>
      <c r="G252" s="6" t="n">
        <v>172</v>
      </c>
      <c r="H252" s="8" t="n">
        <v>687.74422745418</v>
      </c>
      <c r="I252" s="2" t="s">
        <v>7012</v>
      </c>
    </row>
    <row r="253" customFormat="false" ht="15" hidden="false" customHeight="false" outlineLevel="0" collapsed="false">
      <c r="A253" s="2" t="s">
        <v>708</v>
      </c>
      <c r="B253" s="2" t="s">
        <v>709</v>
      </c>
      <c r="C253" s="2" t="s">
        <v>710</v>
      </c>
      <c r="D253" s="6" t="s">
        <v>30</v>
      </c>
      <c r="E253" s="2" t="s">
        <v>8</v>
      </c>
      <c r="F253" s="2" t="n">
        <v>252</v>
      </c>
      <c r="G253" s="6" t="n">
        <v>114</v>
      </c>
      <c r="H253" s="8" t="n">
        <v>1228.47356795298</v>
      </c>
      <c r="I253" s="2" t="s">
        <v>7012</v>
      </c>
    </row>
    <row r="254" customFormat="false" ht="15" hidden="false" customHeight="false" outlineLevel="0" collapsed="false">
      <c r="A254" s="2" t="s">
        <v>711</v>
      </c>
      <c r="B254" s="2" t="s">
        <v>712</v>
      </c>
      <c r="C254" s="2" t="s">
        <v>713</v>
      </c>
      <c r="D254" s="6" t="s">
        <v>30</v>
      </c>
      <c r="E254" s="2" t="s">
        <v>8</v>
      </c>
      <c r="F254" s="2" t="n">
        <v>253</v>
      </c>
      <c r="G254" s="6" t="n">
        <v>114</v>
      </c>
      <c r="H254" s="8" t="n">
        <v>781.84361423129</v>
      </c>
      <c r="I254" s="2" t="s">
        <v>7012</v>
      </c>
    </row>
    <row r="255" customFormat="false" ht="15" hidden="false" customHeight="false" outlineLevel="0" collapsed="false">
      <c r="A255" s="2" t="s">
        <v>714</v>
      </c>
      <c r="B255" s="2" t="s">
        <v>715</v>
      </c>
      <c r="C255" s="2"/>
      <c r="D255" s="6" t="s">
        <v>30</v>
      </c>
      <c r="E255" s="2" t="s">
        <v>8</v>
      </c>
      <c r="F255" s="2" t="n">
        <v>254</v>
      </c>
      <c r="G255" s="6" t="n">
        <v>114</v>
      </c>
      <c r="H255" s="8" t="n">
        <v>1220.2771141564</v>
      </c>
      <c r="I255" s="2" t="s">
        <v>7012</v>
      </c>
    </row>
    <row r="256" customFormat="false" ht="15" hidden="false" customHeight="false" outlineLevel="0" collapsed="false">
      <c r="A256" s="2" t="s">
        <v>716</v>
      </c>
      <c r="B256" s="2" t="s">
        <v>717</v>
      </c>
      <c r="C256" s="2" t="s">
        <v>718</v>
      </c>
      <c r="D256" s="6" t="s">
        <v>30</v>
      </c>
      <c r="E256" s="2" t="s">
        <v>10</v>
      </c>
      <c r="F256" s="2" t="n">
        <v>255</v>
      </c>
      <c r="G256" s="6" t="n">
        <v>340</v>
      </c>
      <c r="H256" s="8" t="n">
        <v>504.296764920529</v>
      </c>
      <c r="I256" s="2" t="s">
        <v>7012</v>
      </c>
    </row>
    <row r="257" customFormat="false" ht="15" hidden="false" customHeight="false" outlineLevel="0" collapsed="false">
      <c r="A257" s="2" t="s">
        <v>720</v>
      </c>
      <c r="B257" s="2" t="s">
        <v>56</v>
      </c>
      <c r="C257" s="2" t="s">
        <v>7093</v>
      </c>
      <c r="D257" s="6" t="s">
        <v>30</v>
      </c>
      <c r="E257" s="2" t="s">
        <v>8</v>
      </c>
      <c r="F257" s="2" t="n">
        <v>256</v>
      </c>
      <c r="G257" s="6" t="n">
        <v>113</v>
      </c>
      <c r="H257" s="8" t="n">
        <v>1279.14572564588</v>
      </c>
      <c r="I257" s="2" t="s">
        <v>7012</v>
      </c>
    </row>
    <row r="258" customFormat="false" ht="15" hidden="false" customHeight="false" outlineLevel="0" collapsed="false">
      <c r="A258" s="2" t="s">
        <v>722</v>
      </c>
      <c r="B258" s="2" t="s">
        <v>723</v>
      </c>
      <c r="C258" s="2" t="s">
        <v>7094</v>
      </c>
      <c r="D258" s="6" t="s">
        <v>30</v>
      </c>
      <c r="E258" s="2" t="s">
        <v>9</v>
      </c>
      <c r="F258" s="2" t="n">
        <v>257</v>
      </c>
      <c r="G258" s="6" t="n">
        <v>169</v>
      </c>
      <c r="H258" s="8" t="n">
        <v>618.264877277461</v>
      </c>
      <c r="I258" s="2" t="s">
        <v>7012</v>
      </c>
    </row>
    <row r="259" customFormat="false" ht="15" hidden="false" customHeight="false" outlineLevel="0" collapsed="false">
      <c r="A259" s="2" t="s">
        <v>725</v>
      </c>
      <c r="B259" s="2" t="s">
        <v>537</v>
      </c>
      <c r="C259" s="2"/>
      <c r="D259" s="6" t="s">
        <v>30</v>
      </c>
      <c r="E259" s="2" t="s">
        <v>9</v>
      </c>
      <c r="F259" s="2" t="n">
        <v>258</v>
      </c>
      <c r="G259" s="6" t="n">
        <v>169</v>
      </c>
      <c r="H259" s="8" t="n">
        <v>628.992752771817</v>
      </c>
      <c r="I259" s="2" t="s">
        <v>7012</v>
      </c>
    </row>
    <row r="260" customFormat="false" ht="15" hidden="false" customHeight="false" outlineLevel="0" collapsed="false">
      <c r="A260" s="2" t="s">
        <v>726</v>
      </c>
      <c r="B260" s="2" t="s">
        <v>727</v>
      </c>
      <c r="C260" s="2" t="s">
        <v>7095</v>
      </c>
      <c r="D260" s="6" t="s">
        <v>30</v>
      </c>
      <c r="E260" s="2" t="s">
        <v>10</v>
      </c>
      <c r="F260" s="2" t="n">
        <v>259</v>
      </c>
      <c r="G260" s="6" t="n">
        <v>337</v>
      </c>
      <c r="H260" s="8" t="n">
        <v>563.428434190528</v>
      </c>
      <c r="I260" s="2" t="s">
        <v>7012</v>
      </c>
    </row>
    <row r="261" customFormat="false" ht="15" hidden="false" customHeight="false" outlineLevel="0" collapsed="false">
      <c r="A261" s="2" t="s">
        <v>729</v>
      </c>
      <c r="B261" s="2" t="s">
        <v>730</v>
      </c>
      <c r="C261" s="2"/>
      <c r="D261" s="6" t="s">
        <v>30</v>
      </c>
      <c r="E261" s="2" t="s">
        <v>9</v>
      </c>
      <c r="F261" s="2" t="n">
        <v>260</v>
      </c>
      <c r="G261" s="6" t="n">
        <v>168</v>
      </c>
      <c r="H261" s="8" t="n">
        <v>694.764930304964</v>
      </c>
      <c r="I261" s="2" t="s">
        <v>7012</v>
      </c>
    </row>
    <row r="262" customFormat="false" ht="15" hidden="false" customHeight="false" outlineLevel="0" collapsed="false">
      <c r="A262" s="2" t="s">
        <v>731</v>
      </c>
      <c r="B262" s="2" t="s">
        <v>516</v>
      </c>
      <c r="C262" s="2" t="s">
        <v>732</v>
      </c>
      <c r="D262" s="6" t="s">
        <v>30</v>
      </c>
      <c r="E262" s="2" t="s">
        <v>8</v>
      </c>
      <c r="F262" s="2" t="n">
        <v>261</v>
      </c>
      <c r="G262" s="6" t="n">
        <v>111</v>
      </c>
      <c r="H262" s="8" t="n">
        <v>960.45757066627</v>
      </c>
      <c r="I262" s="2" t="s">
        <v>7012</v>
      </c>
    </row>
    <row r="263" customFormat="false" ht="15" hidden="false" customHeight="false" outlineLevel="0" collapsed="false">
      <c r="A263" s="2" t="s">
        <v>733</v>
      </c>
      <c r="B263" s="2" t="s">
        <v>734</v>
      </c>
      <c r="C263" s="2" t="s">
        <v>735</v>
      </c>
      <c r="D263" s="6" t="s">
        <v>30</v>
      </c>
      <c r="E263" s="2" t="s">
        <v>9</v>
      </c>
      <c r="F263" s="2" t="n">
        <v>262</v>
      </c>
      <c r="G263" s="6" t="n">
        <v>166</v>
      </c>
      <c r="H263" s="8" t="n">
        <v>683.130275523079</v>
      </c>
      <c r="I263" s="2" t="s">
        <v>7012</v>
      </c>
    </row>
    <row r="264" customFormat="false" ht="15" hidden="false" customHeight="false" outlineLevel="0" collapsed="false">
      <c r="A264" s="2" t="s">
        <v>736</v>
      </c>
      <c r="B264" s="2" t="s">
        <v>44</v>
      </c>
      <c r="C264" s="2" t="s">
        <v>111</v>
      </c>
      <c r="D264" s="6" t="s">
        <v>30</v>
      </c>
      <c r="E264" s="2" t="s">
        <v>9</v>
      </c>
      <c r="F264" s="2" t="n">
        <v>263</v>
      </c>
      <c r="G264" s="6" t="n">
        <v>165</v>
      </c>
      <c r="H264" s="8" t="n">
        <v>633.433674971236</v>
      </c>
      <c r="I264" s="2" t="s">
        <v>7012</v>
      </c>
    </row>
    <row r="265" customFormat="false" ht="15" hidden="false" customHeight="false" outlineLevel="0" collapsed="false">
      <c r="A265" s="2" t="s">
        <v>737</v>
      </c>
      <c r="B265" s="2" t="s">
        <v>738</v>
      </c>
      <c r="C265" s="2" t="s">
        <v>7096</v>
      </c>
      <c r="D265" s="6" t="s">
        <v>30</v>
      </c>
      <c r="E265" s="2" t="s">
        <v>10</v>
      </c>
      <c r="F265" s="2" t="n">
        <v>264</v>
      </c>
      <c r="G265" s="6" t="n">
        <v>329</v>
      </c>
      <c r="H265" s="8" t="n">
        <v>559.446694443386</v>
      </c>
      <c r="I265" s="2" t="s">
        <v>7012</v>
      </c>
    </row>
    <row r="266" customFormat="false" ht="15" hidden="false" customHeight="false" outlineLevel="0" collapsed="false">
      <c r="A266" s="2" t="s">
        <v>740</v>
      </c>
      <c r="B266" s="2" t="s">
        <v>84</v>
      </c>
      <c r="C266" s="2" t="s">
        <v>741</v>
      </c>
      <c r="D266" s="6" t="s">
        <v>30</v>
      </c>
      <c r="E266" s="2" t="s">
        <v>9</v>
      </c>
      <c r="F266" s="2" t="n">
        <v>265</v>
      </c>
      <c r="G266" s="6" t="n">
        <v>164</v>
      </c>
      <c r="H266" s="8" t="n">
        <v>660.35102492278</v>
      </c>
      <c r="I266" s="2" t="s">
        <v>7012</v>
      </c>
    </row>
    <row r="267" customFormat="false" ht="15" hidden="false" customHeight="false" outlineLevel="0" collapsed="false">
      <c r="A267" s="2" t="s">
        <v>742</v>
      </c>
      <c r="B267" s="2" t="s">
        <v>266</v>
      </c>
      <c r="C267" s="2"/>
      <c r="D267" s="6" t="s">
        <v>30</v>
      </c>
      <c r="E267" s="2" t="s">
        <v>9</v>
      </c>
      <c r="F267" s="2" t="n">
        <v>266</v>
      </c>
      <c r="G267" s="6" t="n">
        <v>164</v>
      </c>
      <c r="H267" s="8" t="n">
        <v>637.749056599494</v>
      </c>
      <c r="I267" s="2" t="s">
        <v>7012</v>
      </c>
    </row>
    <row r="268" customFormat="false" ht="15" hidden="false" customHeight="false" outlineLevel="0" collapsed="false">
      <c r="A268" s="2" t="s">
        <v>743</v>
      </c>
      <c r="B268" s="2" t="s">
        <v>744</v>
      </c>
      <c r="C268" s="2" t="s">
        <v>745</v>
      </c>
      <c r="D268" s="6" t="s">
        <v>30</v>
      </c>
      <c r="E268" s="2" t="s">
        <v>8</v>
      </c>
      <c r="F268" s="2" t="n">
        <v>267</v>
      </c>
      <c r="G268" s="6" t="n">
        <v>109</v>
      </c>
      <c r="H268" s="8" t="n">
        <v>834.400116764349</v>
      </c>
      <c r="I268" s="2" t="s">
        <v>7012</v>
      </c>
    </row>
    <row r="269" customFormat="false" ht="15" hidden="false" customHeight="false" outlineLevel="0" collapsed="false">
      <c r="A269" s="2" t="s">
        <v>746</v>
      </c>
      <c r="B269" s="2" t="s">
        <v>747</v>
      </c>
      <c r="C269" s="2" t="s">
        <v>748</v>
      </c>
      <c r="D269" s="6" t="s">
        <v>30</v>
      </c>
      <c r="E269" s="2" t="s">
        <v>8</v>
      </c>
      <c r="F269" s="2" t="n">
        <v>268</v>
      </c>
      <c r="G269" s="6" t="n">
        <v>108</v>
      </c>
      <c r="H269" s="8" t="n">
        <v>949.104468609398</v>
      </c>
      <c r="I269" s="2" t="s">
        <v>7012</v>
      </c>
    </row>
    <row r="270" customFormat="false" ht="15" hidden="false" customHeight="false" outlineLevel="0" collapsed="false">
      <c r="A270" s="2" t="s">
        <v>749</v>
      </c>
      <c r="B270" s="2" t="s">
        <v>403</v>
      </c>
      <c r="C270" s="2" t="s">
        <v>750</v>
      </c>
      <c r="D270" s="6" t="s">
        <v>30</v>
      </c>
      <c r="E270" s="2" t="s">
        <v>8</v>
      </c>
      <c r="F270" s="2" t="n">
        <v>269</v>
      </c>
      <c r="G270" s="6" t="n">
        <v>108</v>
      </c>
      <c r="H270" s="8" t="n">
        <v>782.126345547324</v>
      </c>
      <c r="I270" s="2" t="s">
        <v>7012</v>
      </c>
    </row>
    <row r="271" customFormat="false" ht="15" hidden="false" customHeight="false" outlineLevel="0" collapsed="false">
      <c r="A271" s="2" t="s">
        <v>751</v>
      </c>
      <c r="B271" s="2" t="s">
        <v>752</v>
      </c>
      <c r="C271" s="2" t="s">
        <v>753</v>
      </c>
      <c r="D271" s="6" t="s">
        <v>30</v>
      </c>
      <c r="E271" s="2" t="s">
        <v>9</v>
      </c>
      <c r="F271" s="2" t="n">
        <v>270</v>
      </c>
      <c r="G271" s="6" t="n">
        <v>161</v>
      </c>
      <c r="H271" s="8" t="n">
        <v>662.472531549081</v>
      </c>
      <c r="I271" s="2" t="s">
        <v>7012</v>
      </c>
    </row>
    <row r="272" customFormat="false" ht="15" hidden="false" customHeight="false" outlineLevel="0" collapsed="false">
      <c r="A272" s="2" t="s">
        <v>754</v>
      </c>
      <c r="B272" s="2" t="s">
        <v>278</v>
      </c>
      <c r="C272" s="2"/>
      <c r="D272" s="6" t="s">
        <v>30</v>
      </c>
      <c r="E272" s="2" t="s">
        <v>8</v>
      </c>
      <c r="F272" s="2" t="n">
        <v>271</v>
      </c>
      <c r="G272" s="6" t="n">
        <v>107</v>
      </c>
      <c r="H272" s="8" t="n">
        <v>923.913331271907</v>
      </c>
      <c r="I272" s="2" t="s">
        <v>7012</v>
      </c>
    </row>
    <row r="273" customFormat="false" ht="15" hidden="false" customHeight="false" outlineLevel="0" collapsed="false">
      <c r="A273" s="2" t="s">
        <v>755</v>
      </c>
      <c r="B273" s="2" t="s">
        <v>756</v>
      </c>
      <c r="C273" s="2"/>
      <c r="D273" s="6" t="s">
        <v>30</v>
      </c>
      <c r="E273" s="2" t="s">
        <v>8</v>
      </c>
      <c r="F273" s="2" t="n">
        <v>272</v>
      </c>
      <c r="G273" s="6" t="n">
        <v>107</v>
      </c>
      <c r="H273" s="8" t="n">
        <v>716.583216691935</v>
      </c>
      <c r="I273" s="2" t="s">
        <v>7012</v>
      </c>
    </row>
    <row r="274" customFormat="false" ht="15" hidden="false" customHeight="false" outlineLevel="0" collapsed="false">
      <c r="A274" s="2" t="s">
        <v>757</v>
      </c>
      <c r="B274" s="2" t="s">
        <v>758</v>
      </c>
      <c r="C274" s="2" t="s">
        <v>759</v>
      </c>
      <c r="D274" s="6" t="s">
        <v>30</v>
      </c>
      <c r="E274" s="2" t="s">
        <v>8</v>
      </c>
      <c r="F274" s="2" t="n">
        <v>273</v>
      </c>
      <c r="G274" s="6" t="n">
        <v>107</v>
      </c>
      <c r="H274" s="8" t="n">
        <v>786.220883310991</v>
      </c>
      <c r="I274" s="2" t="s">
        <v>7012</v>
      </c>
    </row>
    <row r="275" customFormat="false" ht="15" hidden="false" customHeight="false" outlineLevel="0" collapsed="false">
      <c r="A275" s="2" t="s">
        <v>760</v>
      </c>
      <c r="B275" s="2" t="s">
        <v>386</v>
      </c>
      <c r="C275" s="2" t="s">
        <v>761</v>
      </c>
      <c r="D275" s="6" t="s">
        <v>30</v>
      </c>
      <c r="E275" s="2" t="s">
        <v>8</v>
      </c>
      <c r="F275" s="2" t="n">
        <v>274</v>
      </c>
      <c r="G275" s="6" t="n">
        <v>107</v>
      </c>
      <c r="H275" s="8" t="n">
        <v>771.69205176</v>
      </c>
      <c r="I275" s="2" t="s">
        <v>7012</v>
      </c>
    </row>
    <row r="276" customFormat="false" ht="15" hidden="false" customHeight="false" outlineLevel="0" collapsed="false">
      <c r="A276" s="2" t="s">
        <v>762</v>
      </c>
      <c r="B276" s="2" t="s">
        <v>38</v>
      </c>
      <c r="C276" s="2" t="s">
        <v>7097</v>
      </c>
      <c r="D276" s="6" t="s">
        <v>30</v>
      </c>
      <c r="E276" s="2" t="s">
        <v>8</v>
      </c>
      <c r="F276" s="2" t="n">
        <v>275</v>
      </c>
      <c r="G276" s="6" t="n">
        <v>107</v>
      </c>
      <c r="H276" s="8" t="n">
        <v>1009.50266301099</v>
      </c>
      <c r="I276" s="2" t="s">
        <v>7012</v>
      </c>
    </row>
    <row r="277" customFormat="false" ht="15" hidden="false" customHeight="false" outlineLevel="0" collapsed="false">
      <c r="A277" s="2" t="s">
        <v>764</v>
      </c>
      <c r="B277" s="2" t="s">
        <v>765</v>
      </c>
      <c r="C277" s="2"/>
      <c r="D277" s="6" t="s">
        <v>30</v>
      </c>
      <c r="E277" s="2" t="s">
        <v>10</v>
      </c>
      <c r="F277" s="2" t="n">
        <v>276</v>
      </c>
      <c r="G277" s="6" t="n">
        <v>321</v>
      </c>
      <c r="H277" s="8" t="n">
        <v>506.509215384287</v>
      </c>
      <c r="I277" s="2" t="s">
        <v>7012</v>
      </c>
    </row>
    <row r="278" customFormat="false" ht="15" hidden="false" customHeight="false" outlineLevel="0" collapsed="false">
      <c r="A278" s="2" t="s">
        <v>766</v>
      </c>
      <c r="B278" s="2" t="s">
        <v>767</v>
      </c>
      <c r="C278" s="2" t="s">
        <v>768</v>
      </c>
      <c r="D278" s="6" t="s">
        <v>30</v>
      </c>
      <c r="E278" s="2" t="s">
        <v>9</v>
      </c>
      <c r="F278" s="2" t="n">
        <v>277</v>
      </c>
      <c r="G278" s="6" t="n">
        <v>158</v>
      </c>
      <c r="H278" s="8" t="n">
        <v>622.377278974709</v>
      </c>
      <c r="I278" s="2" t="s">
        <v>7012</v>
      </c>
    </row>
    <row r="279" customFormat="false" ht="15" hidden="false" customHeight="false" outlineLevel="0" collapsed="false">
      <c r="A279" s="2" t="s">
        <v>769</v>
      </c>
      <c r="B279" s="2" t="s">
        <v>133</v>
      </c>
      <c r="C279" s="2" t="s">
        <v>770</v>
      </c>
      <c r="D279" s="6" t="s">
        <v>30</v>
      </c>
      <c r="E279" s="2" t="s">
        <v>10</v>
      </c>
      <c r="F279" s="2" t="n">
        <v>278</v>
      </c>
      <c r="G279" s="6" t="n">
        <v>315</v>
      </c>
      <c r="H279" s="8" t="n">
        <v>503.499003032371</v>
      </c>
      <c r="I279" s="2" t="s">
        <v>7012</v>
      </c>
    </row>
    <row r="280" customFormat="false" ht="15" hidden="false" customHeight="false" outlineLevel="0" collapsed="false">
      <c r="A280" s="2" t="s">
        <v>771</v>
      </c>
      <c r="B280" s="2" t="s">
        <v>772</v>
      </c>
      <c r="C280" s="2" t="s">
        <v>7098</v>
      </c>
      <c r="D280" s="6" t="s">
        <v>30</v>
      </c>
      <c r="E280" s="2" t="s">
        <v>10</v>
      </c>
      <c r="F280" s="2" t="n">
        <v>279</v>
      </c>
      <c r="G280" s="6" t="n">
        <v>312</v>
      </c>
      <c r="H280" s="8" t="n">
        <v>522.620383852522</v>
      </c>
      <c r="I280" s="2" t="s">
        <v>7012</v>
      </c>
    </row>
    <row r="281" customFormat="false" ht="15" hidden="false" customHeight="false" outlineLevel="0" collapsed="false">
      <c r="A281" s="2" t="s">
        <v>774</v>
      </c>
      <c r="B281" s="2" t="s">
        <v>213</v>
      </c>
      <c r="C281" s="2"/>
      <c r="D281" s="6" t="s">
        <v>30</v>
      </c>
      <c r="E281" s="2" t="s">
        <v>9</v>
      </c>
      <c r="F281" s="2" t="n">
        <v>280</v>
      </c>
      <c r="G281" s="6" t="n">
        <v>155</v>
      </c>
      <c r="H281" s="8" t="n">
        <v>616.630076373697</v>
      </c>
      <c r="I281" s="2" t="s">
        <v>7012</v>
      </c>
    </row>
    <row r="282" customFormat="false" ht="15" hidden="false" customHeight="false" outlineLevel="0" collapsed="false">
      <c r="A282" s="2" t="s">
        <v>775</v>
      </c>
      <c r="B282" s="2" t="s">
        <v>62</v>
      </c>
      <c r="C282" s="2"/>
      <c r="D282" s="6" t="s">
        <v>30</v>
      </c>
      <c r="E282" s="2" t="s">
        <v>8</v>
      </c>
      <c r="F282" s="2" t="n">
        <v>281</v>
      </c>
      <c r="G282" s="6" t="n">
        <v>103</v>
      </c>
      <c r="H282" s="8" t="n">
        <v>1115.67848523178</v>
      </c>
      <c r="I282" s="2" t="s">
        <v>7012</v>
      </c>
    </row>
    <row r="283" customFormat="false" ht="15" hidden="false" customHeight="false" outlineLevel="0" collapsed="false">
      <c r="A283" s="2" t="s">
        <v>776</v>
      </c>
      <c r="B283" s="2" t="s">
        <v>352</v>
      </c>
      <c r="C283" s="2" t="s">
        <v>777</v>
      </c>
      <c r="D283" s="6" t="s">
        <v>30</v>
      </c>
      <c r="E283" s="2" t="s">
        <v>9</v>
      </c>
      <c r="F283" s="2" t="n">
        <v>282</v>
      </c>
      <c r="G283" s="6" t="n">
        <v>154</v>
      </c>
      <c r="H283" s="8" t="n">
        <v>698.484866921649</v>
      </c>
      <c r="I283" s="2" t="s">
        <v>7012</v>
      </c>
    </row>
    <row r="284" customFormat="false" ht="15" hidden="false" customHeight="false" outlineLevel="0" collapsed="false">
      <c r="A284" s="2" t="s">
        <v>778</v>
      </c>
      <c r="B284" s="2" t="s">
        <v>779</v>
      </c>
      <c r="C284" s="2" t="s">
        <v>7099</v>
      </c>
      <c r="D284" s="6" t="s">
        <v>30</v>
      </c>
      <c r="E284" s="2" t="s">
        <v>10</v>
      </c>
      <c r="F284" s="2" t="n">
        <v>283</v>
      </c>
      <c r="G284" s="6" t="n">
        <v>307</v>
      </c>
      <c r="H284" s="8" t="n">
        <v>521.059072938332</v>
      </c>
      <c r="I284" s="2" t="s">
        <v>7012</v>
      </c>
    </row>
    <row r="285" customFormat="false" ht="15" hidden="false" customHeight="false" outlineLevel="0" collapsed="false">
      <c r="A285" s="2" t="s">
        <v>781</v>
      </c>
      <c r="B285" s="2" t="s">
        <v>278</v>
      </c>
      <c r="C285" s="2" t="s">
        <v>782</v>
      </c>
      <c r="D285" s="6" t="s">
        <v>30</v>
      </c>
      <c r="E285" s="2" t="s">
        <v>8</v>
      </c>
      <c r="F285" s="2" t="n">
        <v>284</v>
      </c>
      <c r="G285" s="6" t="n">
        <v>102</v>
      </c>
      <c r="H285" s="8" t="n">
        <v>972.256844864275</v>
      </c>
      <c r="I285" s="2" t="s">
        <v>7012</v>
      </c>
    </row>
    <row r="286" customFormat="false" ht="15" hidden="false" customHeight="false" outlineLevel="0" collapsed="false">
      <c r="A286" s="2" t="s">
        <v>783</v>
      </c>
      <c r="B286" s="2" t="s">
        <v>784</v>
      </c>
      <c r="C286" s="2" t="s">
        <v>7100</v>
      </c>
      <c r="D286" s="6" t="s">
        <v>30</v>
      </c>
      <c r="E286" s="2" t="s">
        <v>8</v>
      </c>
      <c r="F286" s="2" t="n">
        <v>285</v>
      </c>
      <c r="G286" s="6" t="n">
        <v>102</v>
      </c>
      <c r="H286" s="8" t="n">
        <v>798.015355888628</v>
      </c>
      <c r="I286" s="2" t="s">
        <v>7012</v>
      </c>
    </row>
    <row r="287" customFormat="false" ht="15" hidden="false" customHeight="false" outlineLevel="0" collapsed="false">
      <c r="A287" s="2" t="s">
        <v>786</v>
      </c>
      <c r="B287" s="2" t="s">
        <v>585</v>
      </c>
      <c r="C287" s="2"/>
      <c r="D287" s="6" t="s">
        <v>30</v>
      </c>
      <c r="E287" s="2" t="s">
        <v>9</v>
      </c>
      <c r="F287" s="2" t="n">
        <v>286</v>
      </c>
      <c r="G287" s="6" t="n">
        <v>152</v>
      </c>
      <c r="H287" s="8" t="n">
        <v>631.098993178671</v>
      </c>
      <c r="I287" s="2" t="s">
        <v>7012</v>
      </c>
    </row>
    <row r="288" customFormat="false" ht="15" hidden="false" customHeight="false" outlineLevel="0" collapsed="false">
      <c r="A288" s="2" t="s">
        <v>787</v>
      </c>
      <c r="B288" s="2" t="s">
        <v>788</v>
      </c>
      <c r="C288" s="2" t="s">
        <v>789</v>
      </c>
      <c r="D288" s="6" t="s">
        <v>30</v>
      </c>
      <c r="E288" s="2" t="s">
        <v>9</v>
      </c>
      <c r="F288" s="2" t="n">
        <v>287</v>
      </c>
      <c r="G288" s="6" t="n">
        <v>151</v>
      </c>
      <c r="H288" s="8" t="n">
        <v>629.514753071245</v>
      </c>
      <c r="I288" s="2" t="s">
        <v>7012</v>
      </c>
    </row>
    <row r="289" customFormat="false" ht="15" hidden="false" customHeight="false" outlineLevel="0" collapsed="false">
      <c r="A289" s="2" t="s">
        <v>790</v>
      </c>
      <c r="B289" s="2" t="s">
        <v>791</v>
      </c>
      <c r="C289" s="2" t="s">
        <v>7101</v>
      </c>
      <c r="D289" s="6" t="s">
        <v>30</v>
      </c>
      <c r="E289" s="2" t="s">
        <v>10</v>
      </c>
      <c r="F289" s="2" t="n">
        <v>288</v>
      </c>
      <c r="G289" s="6" t="n">
        <v>301</v>
      </c>
      <c r="H289" s="8" t="n">
        <v>508.812217882299</v>
      </c>
      <c r="I289" s="2" t="s">
        <v>7012</v>
      </c>
    </row>
    <row r="290" customFormat="false" ht="15" hidden="false" customHeight="false" outlineLevel="0" collapsed="false">
      <c r="A290" s="2" t="s">
        <v>793</v>
      </c>
      <c r="B290" s="2" t="s">
        <v>403</v>
      </c>
      <c r="C290" s="2" t="s">
        <v>794</v>
      </c>
      <c r="D290" s="6" t="s">
        <v>30</v>
      </c>
      <c r="E290" s="2" t="s">
        <v>8</v>
      </c>
      <c r="F290" s="2" t="n">
        <v>289</v>
      </c>
      <c r="G290" s="6" t="n">
        <v>100</v>
      </c>
      <c r="H290" s="8" t="n">
        <v>781.0220301223</v>
      </c>
      <c r="I290" s="2" t="s">
        <v>7012</v>
      </c>
    </row>
    <row r="291" customFormat="false" ht="15" hidden="false" customHeight="false" outlineLevel="0" collapsed="false">
      <c r="A291" s="2" t="s">
        <v>795</v>
      </c>
      <c r="B291" s="2" t="s">
        <v>386</v>
      </c>
      <c r="C291" s="2" t="s">
        <v>796</v>
      </c>
      <c r="D291" s="6" t="s">
        <v>30</v>
      </c>
      <c r="E291" s="2" t="s">
        <v>8</v>
      </c>
      <c r="F291" s="2" t="n">
        <v>290</v>
      </c>
      <c r="G291" s="6" t="n">
        <v>100</v>
      </c>
      <c r="H291" s="8" t="n">
        <v>745.78978652709</v>
      </c>
      <c r="I291" s="2" t="s">
        <v>7012</v>
      </c>
    </row>
    <row r="292" customFormat="false" ht="15" hidden="false" customHeight="false" outlineLevel="0" collapsed="false">
      <c r="A292" s="2" t="s">
        <v>797</v>
      </c>
      <c r="B292" s="2" t="s">
        <v>798</v>
      </c>
      <c r="C292" s="2" t="s">
        <v>799</v>
      </c>
      <c r="D292" s="6" t="s">
        <v>30</v>
      </c>
      <c r="E292" s="2" t="s">
        <v>8</v>
      </c>
      <c r="F292" s="2" t="n">
        <v>291</v>
      </c>
      <c r="G292" s="6" t="n">
        <v>99</v>
      </c>
      <c r="H292" s="8" t="n">
        <v>892.819206969182</v>
      </c>
      <c r="I292" s="2" t="s">
        <v>7012</v>
      </c>
    </row>
    <row r="293" customFormat="false" ht="15" hidden="false" customHeight="false" outlineLevel="0" collapsed="false">
      <c r="A293" s="2" t="s">
        <v>800</v>
      </c>
      <c r="B293" s="2" t="s">
        <v>44</v>
      </c>
      <c r="C293" s="2" t="s">
        <v>7102</v>
      </c>
      <c r="D293" s="6" t="s">
        <v>30</v>
      </c>
      <c r="E293" s="2" t="s">
        <v>8</v>
      </c>
      <c r="F293" s="2" t="n">
        <v>292</v>
      </c>
      <c r="G293" s="6" t="n">
        <v>99</v>
      </c>
      <c r="H293" s="8" t="n">
        <v>922.42751719294</v>
      </c>
      <c r="I293" s="2" t="s">
        <v>7012</v>
      </c>
    </row>
    <row r="294" customFormat="false" ht="15" hidden="false" customHeight="false" outlineLevel="0" collapsed="false">
      <c r="A294" s="2" t="s">
        <v>802</v>
      </c>
      <c r="B294" s="2" t="s">
        <v>791</v>
      </c>
      <c r="C294" s="2" t="s">
        <v>803</v>
      </c>
      <c r="D294" s="6" t="s">
        <v>30</v>
      </c>
      <c r="E294" s="2" t="s">
        <v>10</v>
      </c>
      <c r="F294" s="2" t="n">
        <v>293</v>
      </c>
      <c r="G294" s="6" t="n">
        <v>295</v>
      </c>
      <c r="H294" s="8" t="n">
        <v>526.595861473075</v>
      </c>
      <c r="I294" s="2" t="s">
        <v>7012</v>
      </c>
    </row>
    <row r="295" customFormat="false" ht="15" hidden="false" customHeight="false" outlineLevel="0" collapsed="false">
      <c r="A295" s="2" t="s">
        <v>804</v>
      </c>
      <c r="B295" s="2" t="s">
        <v>70</v>
      </c>
      <c r="C295" s="2" t="s">
        <v>7103</v>
      </c>
      <c r="D295" s="6" t="s">
        <v>30</v>
      </c>
      <c r="E295" s="2" t="s">
        <v>8</v>
      </c>
      <c r="F295" s="2" t="n">
        <v>294</v>
      </c>
      <c r="G295" s="6" t="n">
        <v>98</v>
      </c>
      <c r="H295" s="8" t="n">
        <v>986.24524255301</v>
      </c>
      <c r="I295" s="2" t="s">
        <v>7012</v>
      </c>
    </row>
    <row r="296" customFormat="false" ht="15" hidden="false" customHeight="false" outlineLevel="0" collapsed="false">
      <c r="A296" s="2" t="s">
        <v>806</v>
      </c>
      <c r="B296" s="2" t="s">
        <v>91</v>
      </c>
      <c r="C296" s="2" t="s">
        <v>7104</v>
      </c>
      <c r="D296" s="6" t="s">
        <v>30</v>
      </c>
      <c r="E296" s="2" t="s">
        <v>8</v>
      </c>
      <c r="F296" s="2" t="n">
        <v>295</v>
      </c>
      <c r="G296" s="6" t="n">
        <v>98</v>
      </c>
      <c r="H296" s="8" t="n">
        <v>726.932148068929</v>
      </c>
      <c r="I296" s="2" t="s">
        <v>7012</v>
      </c>
    </row>
    <row r="297" customFormat="false" ht="15" hidden="false" customHeight="false" outlineLevel="0" collapsed="false">
      <c r="A297" s="2" t="s">
        <v>808</v>
      </c>
      <c r="B297" s="2" t="s">
        <v>809</v>
      </c>
      <c r="C297" s="2" t="s">
        <v>7105</v>
      </c>
      <c r="D297" s="6" t="s">
        <v>30</v>
      </c>
      <c r="E297" s="2" t="s">
        <v>8</v>
      </c>
      <c r="F297" s="2" t="n">
        <v>296</v>
      </c>
      <c r="G297" s="6" t="n">
        <v>98</v>
      </c>
      <c r="H297" s="8" t="n">
        <v>1312.00180666939</v>
      </c>
      <c r="I297" s="2" t="s">
        <v>7012</v>
      </c>
    </row>
    <row r="298" customFormat="false" ht="15" hidden="false" customHeight="false" outlineLevel="0" collapsed="false">
      <c r="A298" s="2" t="s">
        <v>811</v>
      </c>
      <c r="B298" s="2" t="s">
        <v>38</v>
      </c>
      <c r="C298" s="2" t="s">
        <v>812</v>
      </c>
      <c r="D298" s="6" t="s">
        <v>30</v>
      </c>
      <c r="E298" s="2" t="s">
        <v>8</v>
      </c>
      <c r="F298" s="2" t="n">
        <v>297</v>
      </c>
      <c r="G298" s="6" t="n">
        <v>98</v>
      </c>
      <c r="H298" s="8" t="n">
        <v>952.287681551561</v>
      </c>
      <c r="I298" s="2" t="s">
        <v>7012</v>
      </c>
    </row>
    <row r="299" customFormat="false" ht="15" hidden="false" customHeight="false" outlineLevel="0" collapsed="false">
      <c r="A299" s="2" t="s">
        <v>813</v>
      </c>
      <c r="B299" s="2" t="s">
        <v>814</v>
      </c>
      <c r="C299" s="2" t="s">
        <v>7106</v>
      </c>
      <c r="D299" s="6" t="s">
        <v>30</v>
      </c>
      <c r="E299" s="2" t="s">
        <v>9</v>
      </c>
      <c r="F299" s="2" t="n">
        <v>298</v>
      </c>
      <c r="G299" s="6" t="n">
        <v>146</v>
      </c>
      <c r="H299" s="8" t="n">
        <v>653.547677872178</v>
      </c>
      <c r="I299" s="2" t="s">
        <v>7012</v>
      </c>
    </row>
    <row r="300" customFormat="false" ht="15" hidden="false" customHeight="false" outlineLevel="0" collapsed="false">
      <c r="A300" s="2" t="s">
        <v>816</v>
      </c>
      <c r="B300" s="2" t="s">
        <v>681</v>
      </c>
      <c r="C300" s="2"/>
      <c r="D300" s="6" t="s">
        <v>30</v>
      </c>
      <c r="E300" s="2" t="s">
        <v>9</v>
      </c>
      <c r="F300" s="2" t="n">
        <v>299</v>
      </c>
      <c r="G300" s="6" t="n">
        <v>144</v>
      </c>
      <c r="H300" s="8" t="n">
        <v>657.665338596875</v>
      </c>
      <c r="I300" s="2" t="s">
        <v>7012</v>
      </c>
    </row>
    <row r="301" customFormat="false" ht="15" hidden="false" customHeight="false" outlineLevel="0" collapsed="false">
      <c r="A301" s="2" t="s">
        <v>817</v>
      </c>
      <c r="B301" s="2" t="s">
        <v>818</v>
      </c>
      <c r="C301" s="2"/>
      <c r="D301" s="6" t="s">
        <v>30</v>
      </c>
      <c r="E301" s="2" t="s">
        <v>8</v>
      </c>
      <c r="F301" s="2" t="n">
        <v>300</v>
      </c>
      <c r="G301" s="6" t="n">
        <v>96</v>
      </c>
      <c r="H301" s="8" t="n">
        <v>1108.48660179795</v>
      </c>
      <c r="I301" s="2" t="s">
        <v>7012</v>
      </c>
    </row>
    <row r="302" customFormat="false" ht="15" hidden="false" customHeight="false" outlineLevel="0" collapsed="false">
      <c r="A302" s="2" t="s">
        <v>821</v>
      </c>
      <c r="B302" s="2" t="s">
        <v>822</v>
      </c>
      <c r="C302" s="2"/>
      <c r="D302" s="6" t="s">
        <v>30</v>
      </c>
      <c r="E302" s="2" t="s">
        <v>8</v>
      </c>
      <c r="F302" s="2" t="n">
        <v>301</v>
      </c>
      <c r="G302" s="6" t="n">
        <v>96</v>
      </c>
      <c r="H302" s="8" t="n">
        <v>1066.31468325626</v>
      </c>
      <c r="I302" s="2" t="s">
        <v>7012</v>
      </c>
    </row>
    <row r="303" customFormat="false" ht="15" hidden="false" customHeight="false" outlineLevel="0" collapsed="false">
      <c r="A303" s="2" t="s">
        <v>826</v>
      </c>
      <c r="B303" s="2" t="s">
        <v>827</v>
      </c>
      <c r="C303" s="2" t="s">
        <v>828</v>
      </c>
      <c r="D303" s="6" t="s">
        <v>30</v>
      </c>
      <c r="E303" s="2" t="s">
        <v>9</v>
      </c>
      <c r="F303" s="2" t="n">
        <v>302</v>
      </c>
      <c r="G303" s="6" t="n">
        <v>144</v>
      </c>
      <c r="H303" s="8" t="n">
        <v>622.338807876438</v>
      </c>
      <c r="I303" s="2" t="s">
        <v>7012</v>
      </c>
    </row>
    <row r="304" customFormat="false" ht="15" hidden="false" customHeight="false" outlineLevel="0" collapsed="false">
      <c r="A304" s="2" t="s">
        <v>829</v>
      </c>
      <c r="B304" s="2" t="s">
        <v>38</v>
      </c>
      <c r="C304" s="2" t="s">
        <v>830</v>
      </c>
      <c r="D304" s="6" t="s">
        <v>30</v>
      </c>
      <c r="E304" s="2" t="s">
        <v>8</v>
      </c>
      <c r="F304" s="2" t="n">
        <v>303</v>
      </c>
      <c r="G304" s="6" t="n">
        <v>96</v>
      </c>
      <c r="H304" s="8" t="n">
        <v>994.95528457899</v>
      </c>
      <c r="I304" s="2" t="s">
        <v>7012</v>
      </c>
    </row>
    <row r="305" customFormat="false" ht="15" hidden="false" customHeight="false" outlineLevel="0" collapsed="false">
      <c r="A305" s="2" t="s">
        <v>831</v>
      </c>
      <c r="B305" s="2" t="s">
        <v>832</v>
      </c>
      <c r="C305" s="2" t="s">
        <v>833</v>
      </c>
      <c r="D305" s="6" t="s">
        <v>30</v>
      </c>
      <c r="E305" s="2" t="s">
        <v>10</v>
      </c>
      <c r="F305" s="2" t="n">
        <v>304</v>
      </c>
      <c r="G305" s="6" t="n">
        <v>287</v>
      </c>
      <c r="H305" s="8" t="n">
        <v>577.245902539725</v>
      </c>
      <c r="I305" s="2" t="s">
        <v>7012</v>
      </c>
    </row>
    <row r="306" customFormat="false" ht="15" hidden="false" customHeight="false" outlineLevel="0" collapsed="false">
      <c r="A306" s="2" t="s">
        <v>834</v>
      </c>
      <c r="B306" s="2" t="s">
        <v>835</v>
      </c>
      <c r="C306" s="2" t="s">
        <v>7107</v>
      </c>
      <c r="D306" s="6" t="s">
        <v>30</v>
      </c>
      <c r="E306" s="2" t="s">
        <v>10</v>
      </c>
      <c r="F306" s="2" t="n">
        <v>305</v>
      </c>
      <c r="G306" s="6" t="n">
        <v>287</v>
      </c>
      <c r="H306" s="8" t="n">
        <v>564.658536460352</v>
      </c>
      <c r="I306" s="2" t="s">
        <v>7012</v>
      </c>
    </row>
    <row r="307" customFormat="false" ht="15" hidden="false" customHeight="false" outlineLevel="0" collapsed="false">
      <c r="A307" s="2" t="s">
        <v>837</v>
      </c>
      <c r="B307" s="2" t="s">
        <v>44</v>
      </c>
      <c r="C307" s="2" t="s">
        <v>7108</v>
      </c>
      <c r="D307" s="6" t="s">
        <v>30</v>
      </c>
      <c r="E307" s="2" t="s">
        <v>10</v>
      </c>
      <c r="F307" s="2" t="n">
        <v>306</v>
      </c>
      <c r="G307" s="6" t="n">
        <v>287</v>
      </c>
      <c r="H307" s="8" t="n">
        <v>526.005173001585</v>
      </c>
      <c r="I307" s="2" t="s">
        <v>7012</v>
      </c>
    </row>
    <row r="308" customFormat="false" ht="15" hidden="false" customHeight="false" outlineLevel="0" collapsed="false">
      <c r="A308" s="2" t="s">
        <v>839</v>
      </c>
      <c r="B308" s="2" t="s">
        <v>70</v>
      </c>
      <c r="C308" s="2" t="s">
        <v>840</v>
      </c>
      <c r="D308" s="6" t="s">
        <v>30</v>
      </c>
      <c r="E308" s="2" t="s">
        <v>8</v>
      </c>
      <c r="F308" s="2" t="n">
        <v>307</v>
      </c>
      <c r="G308" s="6" t="n">
        <v>95</v>
      </c>
      <c r="H308" s="8" t="n">
        <v>913.390751318537</v>
      </c>
      <c r="I308" s="2" t="s">
        <v>7012</v>
      </c>
    </row>
    <row r="309" customFormat="false" ht="15" hidden="false" customHeight="false" outlineLevel="0" collapsed="false">
      <c r="A309" s="2" t="s">
        <v>841</v>
      </c>
      <c r="B309" s="2" t="s">
        <v>70</v>
      </c>
      <c r="C309" s="2" t="s">
        <v>842</v>
      </c>
      <c r="D309" s="6" t="s">
        <v>30</v>
      </c>
      <c r="E309" s="2" t="s">
        <v>8</v>
      </c>
      <c r="F309" s="2" t="n">
        <v>308</v>
      </c>
      <c r="G309" s="6" t="n">
        <v>95</v>
      </c>
      <c r="H309" s="8" t="n">
        <v>1090.17236559151</v>
      </c>
      <c r="I309" s="2" t="s">
        <v>7012</v>
      </c>
    </row>
    <row r="310" customFormat="false" ht="15" hidden="false" customHeight="false" outlineLevel="0" collapsed="false">
      <c r="A310" s="2" t="s">
        <v>843</v>
      </c>
      <c r="B310" s="2" t="s">
        <v>452</v>
      </c>
      <c r="C310" s="2" t="s">
        <v>844</v>
      </c>
      <c r="D310" s="6" t="s">
        <v>30</v>
      </c>
      <c r="E310" s="2" t="s">
        <v>8</v>
      </c>
      <c r="F310" s="2" t="n">
        <v>309</v>
      </c>
      <c r="G310" s="6" t="n">
        <v>95</v>
      </c>
      <c r="H310" s="8" t="n">
        <v>841.991720705979</v>
      </c>
      <c r="I310" s="2" t="s">
        <v>7012</v>
      </c>
    </row>
    <row r="311" customFormat="false" ht="15" hidden="false" customHeight="false" outlineLevel="0" collapsed="false">
      <c r="A311" s="2" t="s">
        <v>845</v>
      </c>
      <c r="B311" s="2" t="s">
        <v>516</v>
      </c>
      <c r="C311" s="2" t="s">
        <v>7109</v>
      </c>
      <c r="D311" s="6" t="s">
        <v>30</v>
      </c>
      <c r="E311" s="2" t="s">
        <v>8</v>
      </c>
      <c r="F311" s="2" t="n">
        <v>310</v>
      </c>
      <c r="G311" s="6" t="n">
        <v>95</v>
      </c>
      <c r="H311" s="8" t="n">
        <v>1011.68696070388</v>
      </c>
      <c r="I311" s="2" t="s">
        <v>7012</v>
      </c>
    </row>
    <row r="312" customFormat="false" ht="15" hidden="false" customHeight="false" outlineLevel="0" collapsed="false">
      <c r="A312" s="2" t="s">
        <v>847</v>
      </c>
      <c r="B312" s="2" t="s">
        <v>217</v>
      </c>
      <c r="C312" s="2" t="s">
        <v>848</v>
      </c>
      <c r="D312" s="6" t="s">
        <v>30</v>
      </c>
      <c r="E312" s="2" t="s">
        <v>9</v>
      </c>
      <c r="F312" s="2" t="n">
        <v>311</v>
      </c>
      <c r="G312" s="6" t="n">
        <v>142</v>
      </c>
      <c r="H312" s="8" t="n">
        <v>659.645529637085</v>
      </c>
      <c r="I312" s="2" t="s">
        <v>7012</v>
      </c>
    </row>
    <row r="313" customFormat="false" ht="15" hidden="false" customHeight="false" outlineLevel="0" collapsed="false">
      <c r="A313" s="2" t="s">
        <v>849</v>
      </c>
      <c r="B313" s="2" t="s">
        <v>38</v>
      </c>
      <c r="C313" s="2" t="s">
        <v>850</v>
      </c>
      <c r="D313" s="6" t="s">
        <v>30</v>
      </c>
      <c r="E313" s="2" t="s">
        <v>8</v>
      </c>
      <c r="F313" s="2" t="n">
        <v>312</v>
      </c>
      <c r="G313" s="6" t="n">
        <v>94</v>
      </c>
      <c r="H313" s="8" t="n">
        <v>761.553707460936</v>
      </c>
      <c r="I313" s="2" t="s">
        <v>7012</v>
      </c>
    </row>
    <row r="314" customFormat="false" ht="15" hidden="false" customHeight="false" outlineLevel="0" collapsed="false">
      <c r="A314" s="2" t="s">
        <v>851</v>
      </c>
      <c r="B314" s="2" t="s">
        <v>44</v>
      </c>
      <c r="C314" s="2" t="s">
        <v>7110</v>
      </c>
      <c r="D314" s="6" t="s">
        <v>30</v>
      </c>
      <c r="E314" s="2" t="s">
        <v>9</v>
      </c>
      <c r="F314" s="2" t="n">
        <v>313</v>
      </c>
      <c r="G314" s="6" t="n">
        <v>140</v>
      </c>
      <c r="H314" s="8" t="n">
        <v>649.588864100293</v>
      </c>
      <c r="I314" s="2" t="s">
        <v>7012</v>
      </c>
    </row>
    <row r="315" customFormat="false" ht="15" hidden="false" customHeight="false" outlineLevel="0" collapsed="false">
      <c r="A315" s="2" t="s">
        <v>853</v>
      </c>
      <c r="B315" s="2" t="s">
        <v>423</v>
      </c>
      <c r="C315" s="2" t="s">
        <v>854</v>
      </c>
      <c r="D315" s="6" t="s">
        <v>30</v>
      </c>
      <c r="E315" s="2" t="s">
        <v>8</v>
      </c>
      <c r="F315" s="2" t="n">
        <v>314</v>
      </c>
      <c r="G315" s="6" t="n">
        <v>93</v>
      </c>
      <c r="H315" s="8" t="n">
        <v>1552.44615052725</v>
      </c>
      <c r="I315" s="2" t="s">
        <v>7012</v>
      </c>
    </row>
    <row r="316" customFormat="false" ht="15" hidden="false" customHeight="false" outlineLevel="0" collapsed="false">
      <c r="A316" s="2" t="s">
        <v>855</v>
      </c>
      <c r="B316" s="2" t="s">
        <v>856</v>
      </c>
      <c r="C316" s="2" t="s">
        <v>857</v>
      </c>
      <c r="D316" s="6" t="s">
        <v>30</v>
      </c>
      <c r="E316" s="2" t="s">
        <v>9</v>
      </c>
      <c r="F316" s="2" t="n">
        <v>315</v>
      </c>
      <c r="G316" s="6" t="n">
        <v>139</v>
      </c>
      <c r="H316" s="8" t="n">
        <v>686.674944891209</v>
      </c>
      <c r="I316" s="2" t="s">
        <v>7012</v>
      </c>
    </row>
    <row r="317" customFormat="false" ht="15" hidden="false" customHeight="false" outlineLevel="0" collapsed="false">
      <c r="A317" s="2" t="s">
        <v>858</v>
      </c>
      <c r="B317" s="2" t="s">
        <v>349</v>
      </c>
      <c r="C317" s="2" t="s">
        <v>7111</v>
      </c>
      <c r="D317" s="6" t="s">
        <v>30</v>
      </c>
      <c r="E317" s="2" t="s">
        <v>10</v>
      </c>
      <c r="F317" s="2" t="n">
        <v>316</v>
      </c>
      <c r="G317" s="6" t="n">
        <v>278</v>
      </c>
      <c r="H317" s="8" t="n">
        <v>576.489022566</v>
      </c>
      <c r="I317" s="2" t="s">
        <v>7012</v>
      </c>
    </row>
    <row r="318" customFormat="false" ht="15" hidden="false" customHeight="false" outlineLevel="0" collapsed="false">
      <c r="A318" s="2" t="s">
        <v>860</v>
      </c>
      <c r="B318" s="2" t="s">
        <v>723</v>
      </c>
      <c r="C318" s="2" t="s">
        <v>7112</v>
      </c>
      <c r="D318" s="6" t="s">
        <v>30</v>
      </c>
      <c r="E318" s="2" t="s">
        <v>10</v>
      </c>
      <c r="F318" s="2" t="n">
        <v>317</v>
      </c>
      <c r="G318" s="6" t="n">
        <v>276</v>
      </c>
      <c r="H318" s="8" t="n">
        <v>561.337267763736</v>
      </c>
      <c r="I318" s="2" t="s">
        <v>7012</v>
      </c>
    </row>
    <row r="319" customFormat="false" ht="15" hidden="false" customHeight="false" outlineLevel="0" collapsed="false">
      <c r="A319" s="2" t="s">
        <v>862</v>
      </c>
      <c r="B319" s="2" t="s">
        <v>672</v>
      </c>
      <c r="C319" s="2" t="s">
        <v>863</v>
      </c>
      <c r="D319" s="6" t="s">
        <v>30</v>
      </c>
      <c r="E319" s="2" t="s">
        <v>8</v>
      </c>
      <c r="F319" s="2" t="n">
        <v>318</v>
      </c>
      <c r="G319" s="6" t="n">
        <v>92</v>
      </c>
      <c r="H319" s="8" t="n">
        <v>1130.98383070021</v>
      </c>
      <c r="I319" s="2" t="s">
        <v>7012</v>
      </c>
    </row>
    <row r="320" customFormat="false" ht="15" hidden="false" customHeight="false" outlineLevel="0" collapsed="false">
      <c r="A320" s="2" t="s">
        <v>865</v>
      </c>
      <c r="B320" s="2" t="s">
        <v>866</v>
      </c>
      <c r="C320" s="2"/>
      <c r="D320" s="6" t="s">
        <v>30</v>
      </c>
      <c r="E320" s="2" t="s">
        <v>9</v>
      </c>
      <c r="F320" s="2" t="n">
        <v>319</v>
      </c>
      <c r="G320" s="6" t="n">
        <v>137</v>
      </c>
      <c r="H320" s="8" t="n">
        <v>616.257436790518</v>
      </c>
      <c r="I320" s="2" t="s">
        <v>7012</v>
      </c>
    </row>
    <row r="321" customFormat="false" ht="15" hidden="false" customHeight="false" outlineLevel="0" collapsed="false">
      <c r="A321" s="2" t="s">
        <v>867</v>
      </c>
      <c r="B321" s="2" t="s">
        <v>868</v>
      </c>
      <c r="C321" s="2" t="s">
        <v>7113</v>
      </c>
      <c r="D321" s="6" t="s">
        <v>30</v>
      </c>
      <c r="E321" s="2" t="s">
        <v>10</v>
      </c>
      <c r="F321" s="2" t="n">
        <v>320</v>
      </c>
      <c r="G321" s="6" t="n">
        <v>274</v>
      </c>
      <c r="H321" s="8" t="n">
        <v>541.177984023996</v>
      </c>
      <c r="I321" s="2" t="s">
        <v>7012</v>
      </c>
    </row>
    <row r="322" customFormat="false" ht="15" hidden="false" customHeight="false" outlineLevel="0" collapsed="false">
      <c r="A322" s="2" t="s">
        <v>870</v>
      </c>
      <c r="B322" s="2" t="s">
        <v>349</v>
      </c>
      <c r="C322" s="2" t="s">
        <v>871</v>
      </c>
      <c r="D322" s="6" t="s">
        <v>30</v>
      </c>
      <c r="E322" s="2" t="s">
        <v>10</v>
      </c>
      <c r="F322" s="2" t="n">
        <v>321</v>
      </c>
      <c r="G322" s="6" t="n">
        <v>273</v>
      </c>
      <c r="H322" s="8" t="n">
        <v>556.231881111945</v>
      </c>
      <c r="I322" s="2" t="s">
        <v>7012</v>
      </c>
    </row>
    <row r="323" customFormat="false" ht="15" hidden="false" customHeight="false" outlineLevel="0" collapsed="false">
      <c r="A323" s="2" t="s">
        <v>872</v>
      </c>
      <c r="B323" s="2" t="s">
        <v>56</v>
      </c>
      <c r="C323" s="2" t="s">
        <v>873</v>
      </c>
      <c r="D323" s="6" t="s">
        <v>30</v>
      </c>
      <c r="E323" s="2" t="s">
        <v>8</v>
      </c>
      <c r="F323" s="2" t="n">
        <v>322</v>
      </c>
      <c r="G323" s="6" t="n">
        <v>91</v>
      </c>
      <c r="H323" s="8" t="n">
        <v>981.487956959308</v>
      </c>
      <c r="I323" s="2" t="s">
        <v>7012</v>
      </c>
    </row>
    <row r="324" customFormat="false" ht="15" hidden="false" customHeight="false" outlineLevel="0" collapsed="false">
      <c r="A324" s="2" t="s">
        <v>874</v>
      </c>
      <c r="B324" s="2" t="s">
        <v>133</v>
      </c>
      <c r="C324" s="2" t="s">
        <v>875</v>
      </c>
      <c r="D324" s="6" t="s">
        <v>30</v>
      </c>
      <c r="E324" s="2" t="s">
        <v>8</v>
      </c>
      <c r="F324" s="2" t="n">
        <v>323</v>
      </c>
      <c r="G324" s="6" t="n">
        <v>91</v>
      </c>
      <c r="H324" s="8" t="n">
        <v>866.375377812813</v>
      </c>
      <c r="I324" s="2" t="s">
        <v>7012</v>
      </c>
    </row>
    <row r="325" customFormat="false" ht="15" hidden="false" customHeight="false" outlineLevel="0" collapsed="false">
      <c r="A325" s="2" t="s">
        <v>876</v>
      </c>
      <c r="B325" s="2" t="s">
        <v>877</v>
      </c>
      <c r="C325" s="2" t="s">
        <v>878</v>
      </c>
      <c r="D325" s="6" t="s">
        <v>30</v>
      </c>
      <c r="E325" s="2" t="s">
        <v>8</v>
      </c>
      <c r="F325" s="2" t="n">
        <v>324</v>
      </c>
      <c r="G325" s="6" t="n">
        <v>91</v>
      </c>
      <c r="H325" s="8" t="n">
        <v>1042.80172086852</v>
      </c>
      <c r="I325" s="2" t="s">
        <v>7012</v>
      </c>
    </row>
    <row r="326" customFormat="false" ht="15" hidden="false" customHeight="false" outlineLevel="0" collapsed="false">
      <c r="A326" s="2" t="s">
        <v>879</v>
      </c>
      <c r="B326" s="2" t="s">
        <v>880</v>
      </c>
      <c r="C326" s="2" t="s">
        <v>7114</v>
      </c>
      <c r="D326" s="6" t="s">
        <v>30</v>
      </c>
      <c r="E326" s="2" t="s">
        <v>8</v>
      </c>
      <c r="F326" s="2" t="n">
        <v>325</v>
      </c>
      <c r="G326" s="6" t="n">
        <v>91</v>
      </c>
      <c r="H326" s="8" t="n">
        <v>810.746280294297</v>
      </c>
      <c r="I326" s="2" t="s">
        <v>7012</v>
      </c>
    </row>
    <row r="327" customFormat="false" ht="15" hidden="false" customHeight="false" outlineLevel="0" collapsed="false">
      <c r="A327" s="2" t="s">
        <v>882</v>
      </c>
      <c r="B327" s="2" t="s">
        <v>44</v>
      </c>
      <c r="C327" s="2" t="s">
        <v>7115</v>
      </c>
      <c r="D327" s="6" t="s">
        <v>30</v>
      </c>
      <c r="E327" s="2" t="s">
        <v>9</v>
      </c>
      <c r="F327" s="2" t="n">
        <v>326</v>
      </c>
      <c r="G327" s="6" t="n">
        <v>136</v>
      </c>
      <c r="H327" s="8" t="n">
        <v>689.458133437</v>
      </c>
      <c r="I327" s="2" t="s">
        <v>7012</v>
      </c>
    </row>
    <row r="328" customFormat="false" ht="15" hidden="false" customHeight="false" outlineLevel="0" collapsed="false">
      <c r="A328" s="2" t="s">
        <v>884</v>
      </c>
      <c r="B328" s="2" t="s">
        <v>885</v>
      </c>
      <c r="C328" s="2" t="s">
        <v>7116</v>
      </c>
      <c r="D328" s="6" t="s">
        <v>30</v>
      </c>
      <c r="E328" s="2" t="s">
        <v>10</v>
      </c>
      <c r="F328" s="2" t="n">
        <v>327</v>
      </c>
      <c r="G328" s="6" t="n">
        <v>270</v>
      </c>
      <c r="H328" s="8" t="n">
        <v>506.574920901785</v>
      </c>
      <c r="I328" s="2" t="s">
        <v>7012</v>
      </c>
    </row>
    <row r="329" customFormat="false" ht="15" hidden="false" customHeight="false" outlineLevel="0" collapsed="false">
      <c r="A329" s="2" t="s">
        <v>887</v>
      </c>
      <c r="B329" s="2" t="s">
        <v>888</v>
      </c>
      <c r="C329" s="2"/>
      <c r="D329" s="6" t="s">
        <v>30</v>
      </c>
      <c r="E329" s="2" t="s">
        <v>8</v>
      </c>
      <c r="F329" s="2" t="n">
        <v>328</v>
      </c>
      <c r="G329" s="6" t="n">
        <v>89</v>
      </c>
      <c r="H329" s="8" t="n">
        <v>1420.51871137351</v>
      </c>
      <c r="I329" s="2" t="s">
        <v>7012</v>
      </c>
    </row>
    <row r="330" customFormat="false" ht="15" hidden="false" customHeight="false" outlineLevel="0" collapsed="false">
      <c r="A330" s="2" t="s">
        <v>889</v>
      </c>
      <c r="B330" s="2" t="s">
        <v>890</v>
      </c>
      <c r="C330" s="2" t="s">
        <v>891</v>
      </c>
      <c r="D330" s="6" t="s">
        <v>30</v>
      </c>
      <c r="E330" s="2" t="s">
        <v>10</v>
      </c>
      <c r="F330" s="2" t="n">
        <v>329</v>
      </c>
      <c r="G330" s="6" t="n">
        <v>267</v>
      </c>
      <c r="H330" s="8" t="n">
        <v>524.55698201348</v>
      </c>
      <c r="I330" s="2" t="s">
        <v>7012</v>
      </c>
    </row>
    <row r="331" customFormat="false" ht="15" hidden="false" customHeight="false" outlineLevel="0" collapsed="false">
      <c r="A331" s="2" t="s">
        <v>893</v>
      </c>
      <c r="B331" s="2" t="s">
        <v>423</v>
      </c>
      <c r="C331" s="2" t="s">
        <v>894</v>
      </c>
      <c r="D331" s="6" t="s">
        <v>30</v>
      </c>
      <c r="E331" s="2" t="s">
        <v>8</v>
      </c>
      <c r="F331" s="2" t="n">
        <v>330</v>
      </c>
      <c r="G331" s="6" t="n">
        <v>88</v>
      </c>
      <c r="H331" s="8" t="n">
        <v>1268.44249642877</v>
      </c>
      <c r="I331" s="2" t="s">
        <v>7012</v>
      </c>
    </row>
    <row r="332" customFormat="false" ht="15" hidden="false" customHeight="false" outlineLevel="0" collapsed="false">
      <c r="A332" s="2" t="s">
        <v>895</v>
      </c>
      <c r="B332" s="2" t="s">
        <v>56</v>
      </c>
      <c r="C332" s="2" t="s">
        <v>896</v>
      </c>
      <c r="D332" s="6" t="s">
        <v>30</v>
      </c>
      <c r="E332" s="2" t="s">
        <v>8</v>
      </c>
      <c r="F332" s="2" t="n">
        <v>331</v>
      </c>
      <c r="G332" s="6" t="n">
        <v>88</v>
      </c>
      <c r="H332" s="8" t="n">
        <v>1531.15129655201</v>
      </c>
      <c r="I332" s="2" t="s">
        <v>7012</v>
      </c>
    </row>
    <row r="333" customFormat="false" ht="15" hidden="false" customHeight="false" outlineLevel="0" collapsed="false">
      <c r="A333" s="2" t="s">
        <v>897</v>
      </c>
      <c r="B333" s="2" t="s">
        <v>526</v>
      </c>
      <c r="C333" s="2"/>
      <c r="D333" s="6" t="s">
        <v>30</v>
      </c>
      <c r="E333" s="2" t="s">
        <v>9</v>
      </c>
      <c r="F333" s="2" t="n">
        <v>332</v>
      </c>
      <c r="G333" s="6" t="n">
        <v>132</v>
      </c>
      <c r="H333" s="8" t="n">
        <v>607.418306745151</v>
      </c>
      <c r="I333" s="2" t="s">
        <v>7012</v>
      </c>
    </row>
    <row r="334" customFormat="false" ht="15" hidden="false" customHeight="false" outlineLevel="0" collapsed="false">
      <c r="A334" s="2" t="s">
        <v>898</v>
      </c>
      <c r="B334" s="2" t="s">
        <v>899</v>
      </c>
      <c r="C334" s="2" t="s">
        <v>900</v>
      </c>
      <c r="D334" s="6" t="s">
        <v>30</v>
      </c>
      <c r="E334" s="2" t="s">
        <v>9</v>
      </c>
      <c r="F334" s="2" t="n">
        <v>333</v>
      </c>
      <c r="G334" s="6" t="n">
        <v>131</v>
      </c>
      <c r="H334" s="8" t="n">
        <v>627.319053600672</v>
      </c>
      <c r="I334" s="2" t="s">
        <v>7012</v>
      </c>
    </row>
    <row r="335" customFormat="false" ht="15" hidden="false" customHeight="false" outlineLevel="0" collapsed="false">
      <c r="A335" s="2" t="s">
        <v>901</v>
      </c>
      <c r="B335" s="2" t="s">
        <v>386</v>
      </c>
      <c r="C335" s="2" t="s">
        <v>902</v>
      </c>
      <c r="D335" s="6" t="s">
        <v>30</v>
      </c>
      <c r="E335" s="2" t="s">
        <v>8</v>
      </c>
      <c r="F335" s="2" t="n">
        <v>334</v>
      </c>
      <c r="G335" s="6" t="n">
        <v>86</v>
      </c>
      <c r="H335" s="8" t="n">
        <v>812.696001493709</v>
      </c>
      <c r="I335" s="2" t="s">
        <v>7012</v>
      </c>
    </row>
    <row r="336" customFormat="false" ht="15" hidden="false" customHeight="false" outlineLevel="0" collapsed="false">
      <c r="A336" s="2" t="s">
        <v>903</v>
      </c>
      <c r="B336" s="2" t="s">
        <v>266</v>
      </c>
      <c r="C336" s="2" t="s">
        <v>904</v>
      </c>
      <c r="D336" s="6" t="s">
        <v>30</v>
      </c>
      <c r="E336" s="2" t="s">
        <v>9</v>
      </c>
      <c r="F336" s="2" t="n">
        <v>335</v>
      </c>
      <c r="G336" s="6" t="n">
        <v>128</v>
      </c>
      <c r="H336" s="8" t="n">
        <v>637.700619131359</v>
      </c>
      <c r="I336" s="2" t="s">
        <v>7012</v>
      </c>
    </row>
    <row r="337" customFormat="false" ht="15" hidden="false" customHeight="false" outlineLevel="0" collapsed="false">
      <c r="A337" s="2" t="s">
        <v>905</v>
      </c>
      <c r="B337" s="2" t="s">
        <v>44</v>
      </c>
      <c r="C337" s="2" t="s">
        <v>7117</v>
      </c>
      <c r="D337" s="6" t="s">
        <v>30</v>
      </c>
      <c r="E337" s="2" t="s">
        <v>8</v>
      </c>
      <c r="F337" s="2" t="n">
        <v>336</v>
      </c>
      <c r="G337" s="6" t="n">
        <v>85</v>
      </c>
      <c r="H337" s="8" t="n">
        <v>724.384576559859</v>
      </c>
      <c r="I337" s="2" t="s">
        <v>7012</v>
      </c>
    </row>
    <row r="338" customFormat="false" ht="15" hidden="false" customHeight="false" outlineLevel="0" collapsed="false">
      <c r="A338" s="2" t="s">
        <v>907</v>
      </c>
      <c r="B338" s="2" t="s">
        <v>908</v>
      </c>
      <c r="C338" s="2"/>
      <c r="D338" s="6" t="s">
        <v>30</v>
      </c>
      <c r="E338" s="2" t="s">
        <v>8</v>
      </c>
      <c r="F338" s="2" t="n">
        <v>337</v>
      </c>
      <c r="G338" s="6" t="n">
        <v>85</v>
      </c>
      <c r="H338" s="8" t="n">
        <v>2158.00546720604</v>
      </c>
      <c r="I338" s="2" t="s">
        <v>7012</v>
      </c>
    </row>
    <row r="339" customFormat="false" ht="15" hidden="false" customHeight="false" outlineLevel="0" collapsed="false">
      <c r="A339" s="2" t="s">
        <v>909</v>
      </c>
      <c r="B339" s="2" t="s">
        <v>910</v>
      </c>
      <c r="C339" s="2" t="s">
        <v>911</v>
      </c>
      <c r="D339" s="6" t="s">
        <v>30</v>
      </c>
      <c r="E339" s="2" t="s">
        <v>10</v>
      </c>
      <c r="F339" s="2" t="n">
        <v>338</v>
      </c>
      <c r="G339" s="6" t="n">
        <v>253</v>
      </c>
      <c r="H339" s="8" t="n">
        <v>559.24839226632</v>
      </c>
      <c r="I339" s="2" t="s">
        <v>7012</v>
      </c>
    </row>
    <row r="340" customFormat="false" ht="15" hidden="false" customHeight="false" outlineLevel="0" collapsed="false">
      <c r="A340" s="2" t="s">
        <v>912</v>
      </c>
      <c r="B340" s="2" t="s">
        <v>913</v>
      </c>
      <c r="C340" s="2"/>
      <c r="D340" s="6" t="s">
        <v>30</v>
      </c>
      <c r="E340" s="2" t="s">
        <v>8</v>
      </c>
      <c r="F340" s="2" t="n">
        <v>339</v>
      </c>
      <c r="G340" s="6" t="n">
        <v>84</v>
      </c>
      <c r="H340" s="8" t="n">
        <v>1251.09874911148</v>
      </c>
      <c r="I340" s="2" t="s">
        <v>7012</v>
      </c>
    </row>
    <row r="341" customFormat="false" ht="15" hidden="false" customHeight="false" outlineLevel="0" collapsed="false">
      <c r="A341" s="2" t="s">
        <v>916</v>
      </c>
      <c r="B341" s="2" t="s">
        <v>537</v>
      </c>
      <c r="C341" s="2"/>
      <c r="D341" s="6" t="s">
        <v>30</v>
      </c>
      <c r="E341" s="2" t="s">
        <v>9</v>
      </c>
      <c r="F341" s="2" t="n">
        <v>340</v>
      </c>
      <c r="G341" s="6" t="n">
        <v>125</v>
      </c>
      <c r="H341" s="8" t="n">
        <v>670.439854237784</v>
      </c>
      <c r="I341" s="2" t="s">
        <v>7012</v>
      </c>
    </row>
    <row r="342" customFormat="false" ht="15" hidden="false" customHeight="false" outlineLevel="0" collapsed="false">
      <c r="A342" s="2" t="s">
        <v>917</v>
      </c>
      <c r="B342" s="2" t="s">
        <v>70</v>
      </c>
      <c r="C342" s="2" t="s">
        <v>7118</v>
      </c>
      <c r="D342" s="6" t="s">
        <v>30</v>
      </c>
      <c r="E342" s="2" t="s">
        <v>10</v>
      </c>
      <c r="F342" s="2" t="n">
        <v>341</v>
      </c>
      <c r="G342" s="6" t="n">
        <v>249</v>
      </c>
      <c r="H342" s="8" t="n">
        <v>523.403071407225</v>
      </c>
      <c r="I342" s="2" t="s">
        <v>7012</v>
      </c>
    </row>
    <row r="343" customFormat="false" ht="15" hidden="false" customHeight="false" outlineLevel="0" collapsed="false">
      <c r="A343" s="2" t="s">
        <v>919</v>
      </c>
      <c r="B343" s="2" t="s">
        <v>920</v>
      </c>
      <c r="C343" s="2"/>
      <c r="D343" s="6" t="s">
        <v>30</v>
      </c>
      <c r="E343" s="2" t="s">
        <v>8</v>
      </c>
      <c r="F343" s="2" t="n">
        <v>342</v>
      </c>
      <c r="G343" s="6" t="n">
        <v>83</v>
      </c>
      <c r="H343" s="8" t="n">
        <v>763.130674178193</v>
      </c>
      <c r="I343" s="2" t="s">
        <v>7012</v>
      </c>
    </row>
    <row r="344" customFormat="false" ht="15" hidden="false" customHeight="false" outlineLevel="0" collapsed="false">
      <c r="A344" s="2" t="s">
        <v>921</v>
      </c>
      <c r="B344" s="2" t="s">
        <v>922</v>
      </c>
      <c r="C344" s="2"/>
      <c r="D344" s="6" t="s">
        <v>30</v>
      </c>
      <c r="E344" s="2" t="s">
        <v>10</v>
      </c>
      <c r="F344" s="2" t="n">
        <v>343</v>
      </c>
      <c r="G344" s="6" t="n">
        <v>248</v>
      </c>
      <c r="H344" s="8" t="n">
        <v>562.569474943512</v>
      </c>
      <c r="I344" s="2" t="s">
        <v>7012</v>
      </c>
    </row>
    <row r="345" customFormat="false" ht="15" hidden="false" customHeight="false" outlineLevel="0" collapsed="false">
      <c r="A345" s="2" t="s">
        <v>923</v>
      </c>
      <c r="B345" s="2" t="s">
        <v>924</v>
      </c>
      <c r="C345" s="2" t="s">
        <v>925</v>
      </c>
      <c r="D345" s="6" t="s">
        <v>30</v>
      </c>
      <c r="E345" s="2" t="s">
        <v>9</v>
      </c>
      <c r="F345" s="2" t="n">
        <v>344</v>
      </c>
      <c r="G345" s="6" t="n">
        <v>123</v>
      </c>
      <c r="H345" s="8" t="n">
        <v>653.78933850852</v>
      </c>
      <c r="I345" s="2" t="s">
        <v>7012</v>
      </c>
    </row>
    <row r="346" customFormat="false" ht="15" hidden="false" customHeight="false" outlineLevel="0" collapsed="false">
      <c r="A346" s="2" t="s">
        <v>927</v>
      </c>
      <c r="B346" s="2" t="s">
        <v>885</v>
      </c>
      <c r="C346" s="2" t="s">
        <v>7119</v>
      </c>
      <c r="D346" s="6" t="s">
        <v>30</v>
      </c>
      <c r="E346" s="2" t="s">
        <v>10</v>
      </c>
      <c r="F346" s="2" t="n">
        <v>345</v>
      </c>
      <c r="G346" s="6" t="n">
        <v>246</v>
      </c>
      <c r="H346" s="8" t="n">
        <v>524.001510420146</v>
      </c>
      <c r="I346" s="2" t="s">
        <v>7012</v>
      </c>
    </row>
    <row r="347" customFormat="false" ht="15" hidden="false" customHeight="false" outlineLevel="0" collapsed="false">
      <c r="A347" s="2" t="s">
        <v>929</v>
      </c>
      <c r="B347" s="2" t="s">
        <v>38</v>
      </c>
      <c r="C347" s="2"/>
      <c r="D347" s="6" t="s">
        <v>30</v>
      </c>
      <c r="E347" s="2" t="s">
        <v>8</v>
      </c>
      <c r="F347" s="2" t="n">
        <v>346</v>
      </c>
      <c r="G347" s="6" t="n">
        <v>82</v>
      </c>
      <c r="H347" s="8" t="n">
        <v>1452.39258104322</v>
      </c>
      <c r="I347" s="2" t="s">
        <v>7012</v>
      </c>
    </row>
    <row r="348" customFormat="false" ht="15" hidden="false" customHeight="false" outlineLevel="0" collapsed="false">
      <c r="A348" s="2" t="s">
        <v>930</v>
      </c>
      <c r="B348" s="2" t="s">
        <v>931</v>
      </c>
      <c r="C348" s="2" t="s">
        <v>932</v>
      </c>
      <c r="D348" s="6" t="s">
        <v>30</v>
      </c>
      <c r="E348" s="2" t="s">
        <v>10</v>
      </c>
      <c r="F348" s="2" t="n">
        <v>347</v>
      </c>
      <c r="G348" s="6" t="n">
        <v>244</v>
      </c>
      <c r="H348" s="8" t="n">
        <v>539.018661407</v>
      </c>
      <c r="I348" s="2" t="s">
        <v>7012</v>
      </c>
    </row>
    <row r="349" customFormat="false" ht="15" hidden="false" customHeight="false" outlineLevel="0" collapsed="false">
      <c r="A349" s="2" t="s">
        <v>933</v>
      </c>
      <c r="B349" s="2" t="s">
        <v>934</v>
      </c>
      <c r="C349" s="2"/>
      <c r="D349" s="6" t="s">
        <v>30</v>
      </c>
      <c r="E349" s="2" t="s">
        <v>10</v>
      </c>
      <c r="F349" s="2" t="n">
        <v>348</v>
      </c>
      <c r="G349" s="6" t="n">
        <v>244</v>
      </c>
      <c r="H349" s="8" t="n">
        <v>561.16914277693</v>
      </c>
      <c r="I349" s="2" t="s">
        <v>7012</v>
      </c>
    </row>
    <row r="350" customFormat="false" ht="15" hidden="false" customHeight="false" outlineLevel="0" collapsed="false">
      <c r="A350" s="2" t="s">
        <v>935</v>
      </c>
      <c r="B350" s="2" t="s">
        <v>70</v>
      </c>
      <c r="C350" s="2" t="s">
        <v>936</v>
      </c>
      <c r="D350" s="6" t="s">
        <v>30</v>
      </c>
      <c r="E350" s="2" t="s">
        <v>8</v>
      </c>
      <c r="F350" s="2" t="n">
        <v>349</v>
      </c>
      <c r="G350" s="6" t="n">
        <v>81</v>
      </c>
      <c r="H350" s="8" t="n">
        <v>741.085887574519</v>
      </c>
      <c r="I350" s="2" t="s">
        <v>7012</v>
      </c>
    </row>
    <row r="351" customFormat="false" ht="15" hidden="false" customHeight="false" outlineLevel="0" collapsed="false">
      <c r="A351" s="2" t="s">
        <v>937</v>
      </c>
      <c r="B351" s="2" t="s">
        <v>798</v>
      </c>
      <c r="C351" s="2" t="s">
        <v>938</v>
      </c>
      <c r="D351" s="6" t="s">
        <v>30</v>
      </c>
      <c r="E351" s="2" t="s">
        <v>8</v>
      </c>
      <c r="F351" s="2" t="n">
        <v>350</v>
      </c>
      <c r="G351" s="6" t="n">
        <v>81</v>
      </c>
      <c r="H351" s="8" t="n">
        <v>755.93059754842</v>
      </c>
      <c r="I351" s="2" t="s">
        <v>7012</v>
      </c>
    </row>
    <row r="352" customFormat="false" ht="15" hidden="false" customHeight="false" outlineLevel="0" collapsed="false">
      <c r="A352" s="2" t="s">
        <v>939</v>
      </c>
      <c r="B352" s="2" t="s">
        <v>138</v>
      </c>
      <c r="C352" s="2" t="s">
        <v>7120</v>
      </c>
      <c r="D352" s="6" t="s">
        <v>30</v>
      </c>
      <c r="E352" s="2" t="s">
        <v>8</v>
      </c>
      <c r="F352" s="2" t="n">
        <v>351</v>
      </c>
      <c r="G352" s="6" t="n">
        <v>81</v>
      </c>
      <c r="H352" s="8" t="n">
        <v>1649.78047956643</v>
      </c>
      <c r="I352" s="2" t="s">
        <v>7012</v>
      </c>
    </row>
    <row r="353" customFormat="false" ht="15" hidden="false" customHeight="false" outlineLevel="0" collapsed="false">
      <c r="A353" s="2" t="s">
        <v>941</v>
      </c>
      <c r="B353" s="2" t="s">
        <v>133</v>
      </c>
      <c r="C353" s="2" t="s">
        <v>7121</v>
      </c>
      <c r="D353" s="6" t="s">
        <v>30</v>
      </c>
      <c r="E353" s="2" t="s">
        <v>8</v>
      </c>
      <c r="F353" s="2" t="n">
        <v>352</v>
      </c>
      <c r="G353" s="6" t="n">
        <v>81</v>
      </c>
      <c r="H353" s="8" t="n">
        <v>801.04818809258</v>
      </c>
      <c r="I353" s="2" t="s">
        <v>7012</v>
      </c>
    </row>
    <row r="354" customFormat="false" ht="15" hidden="false" customHeight="false" outlineLevel="0" collapsed="false">
      <c r="A354" s="2" t="s">
        <v>943</v>
      </c>
      <c r="B354" s="2" t="s">
        <v>507</v>
      </c>
      <c r="C354" s="2"/>
      <c r="D354" s="6" t="s">
        <v>30</v>
      </c>
      <c r="E354" s="2" t="s">
        <v>10</v>
      </c>
      <c r="F354" s="2" t="n">
        <v>353</v>
      </c>
      <c r="G354" s="6" t="n">
        <v>243</v>
      </c>
      <c r="H354" s="8" t="n">
        <v>508.570286707901</v>
      </c>
      <c r="I354" s="2" t="s">
        <v>7012</v>
      </c>
    </row>
    <row r="355" customFormat="false" ht="15" hidden="false" customHeight="false" outlineLevel="0" collapsed="false">
      <c r="A355" s="2" t="s">
        <v>944</v>
      </c>
      <c r="B355" s="2" t="s">
        <v>273</v>
      </c>
      <c r="C355" s="2"/>
      <c r="D355" s="6" t="s">
        <v>30</v>
      </c>
      <c r="E355" s="2" t="s">
        <v>10</v>
      </c>
      <c r="F355" s="2" t="n">
        <v>354</v>
      </c>
      <c r="G355" s="6" t="n">
        <v>242</v>
      </c>
      <c r="H355" s="8" t="n">
        <v>590.634002698215</v>
      </c>
      <c r="I355" s="2" t="s">
        <v>7012</v>
      </c>
    </row>
    <row r="356" customFormat="false" ht="15" hidden="false" customHeight="false" outlineLevel="0" collapsed="false">
      <c r="A356" s="2" t="s">
        <v>945</v>
      </c>
      <c r="B356" s="2" t="s">
        <v>946</v>
      </c>
      <c r="C356" s="2" t="s">
        <v>947</v>
      </c>
      <c r="D356" s="6" t="s">
        <v>30</v>
      </c>
      <c r="E356" s="2" t="s">
        <v>9</v>
      </c>
      <c r="F356" s="2" t="n">
        <v>355</v>
      </c>
      <c r="G356" s="6" t="n">
        <v>121</v>
      </c>
      <c r="H356" s="8" t="n">
        <v>692.951251901537</v>
      </c>
      <c r="I356" s="2" t="s">
        <v>7012</v>
      </c>
    </row>
    <row r="357" customFormat="false" ht="15" hidden="false" customHeight="false" outlineLevel="0" collapsed="false">
      <c r="A357" s="2" t="s">
        <v>948</v>
      </c>
      <c r="B357" s="2" t="s">
        <v>263</v>
      </c>
      <c r="C357" s="2" t="s">
        <v>949</v>
      </c>
      <c r="D357" s="6" t="s">
        <v>30</v>
      </c>
      <c r="E357" s="2" t="s">
        <v>8</v>
      </c>
      <c r="F357" s="2" t="n">
        <v>356</v>
      </c>
      <c r="G357" s="6" t="n">
        <v>80</v>
      </c>
      <c r="H357" s="8" t="n">
        <v>846.258375698575</v>
      </c>
      <c r="I357" s="2" t="s">
        <v>7012</v>
      </c>
    </row>
    <row r="358" customFormat="false" ht="15" hidden="false" customHeight="false" outlineLevel="0" collapsed="false">
      <c r="A358" s="2" t="s">
        <v>950</v>
      </c>
      <c r="B358" s="2" t="s">
        <v>423</v>
      </c>
      <c r="C358" s="2" t="s">
        <v>951</v>
      </c>
      <c r="D358" s="6" t="s">
        <v>30</v>
      </c>
      <c r="E358" s="2" t="s">
        <v>8</v>
      </c>
      <c r="F358" s="2" t="n">
        <v>357</v>
      </c>
      <c r="G358" s="6" t="n">
        <v>80</v>
      </c>
      <c r="H358" s="8" t="n">
        <v>1380.74724689328</v>
      </c>
      <c r="I358" s="2" t="s">
        <v>7012</v>
      </c>
    </row>
    <row r="359" customFormat="false" ht="15" hidden="false" customHeight="false" outlineLevel="0" collapsed="false">
      <c r="A359" s="2" t="s">
        <v>952</v>
      </c>
      <c r="B359" s="2" t="s">
        <v>953</v>
      </c>
      <c r="C359" s="2"/>
      <c r="D359" s="6" t="s">
        <v>30</v>
      </c>
      <c r="E359" s="2" t="s">
        <v>8</v>
      </c>
      <c r="F359" s="2" t="n">
        <v>358</v>
      </c>
      <c r="G359" s="6" t="n">
        <v>80</v>
      </c>
      <c r="H359" s="8" t="n">
        <v>1072.93923962745</v>
      </c>
      <c r="I359" s="2" t="s">
        <v>7012</v>
      </c>
    </row>
    <row r="360" customFormat="false" ht="15" hidden="false" customHeight="false" outlineLevel="0" collapsed="false">
      <c r="A360" s="2" t="s">
        <v>954</v>
      </c>
      <c r="B360" s="2" t="s">
        <v>116</v>
      </c>
      <c r="C360" s="2"/>
      <c r="D360" s="6" t="s">
        <v>30</v>
      </c>
      <c r="E360" s="2" t="s">
        <v>8</v>
      </c>
      <c r="F360" s="2" t="n">
        <v>359</v>
      </c>
      <c r="G360" s="6" t="n">
        <v>80</v>
      </c>
      <c r="H360" s="8" t="n">
        <v>1377.4561265111</v>
      </c>
      <c r="I360" s="2" t="s">
        <v>7012</v>
      </c>
    </row>
    <row r="361" customFormat="false" ht="15" hidden="false" customHeight="false" outlineLevel="0" collapsed="false">
      <c r="A361" s="2" t="s">
        <v>955</v>
      </c>
      <c r="B361" s="2" t="s">
        <v>70</v>
      </c>
      <c r="C361" s="2" t="s">
        <v>7122</v>
      </c>
      <c r="D361" s="6" t="s">
        <v>30</v>
      </c>
      <c r="E361" s="2" t="s">
        <v>9</v>
      </c>
      <c r="F361" s="2" t="n">
        <v>360</v>
      </c>
      <c r="G361" s="6" t="n">
        <v>119</v>
      </c>
      <c r="H361" s="8" t="n">
        <v>630.356194371126</v>
      </c>
      <c r="I361" s="2" t="s">
        <v>7012</v>
      </c>
    </row>
    <row r="362" customFormat="false" ht="15" hidden="false" customHeight="false" outlineLevel="0" collapsed="false">
      <c r="A362" s="2" t="s">
        <v>957</v>
      </c>
      <c r="B362" s="2" t="s">
        <v>585</v>
      </c>
      <c r="C362" s="2" t="s">
        <v>958</v>
      </c>
      <c r="D362" s="6" t="s">
        <v>30</v>
      </c>
      <c r="E362" s="2" t="s">
        <v>10</v>
      </c>
      <c r="F362" s="2" t="n">
        <v>361</v>
      </c>
      <c r="G362" s="6" t="n">
        <v>238</v>
      </c>
      <c r="H362" s="8" t="n">
        <v>587.765858472059</v>
      </c>
      <c r="I362" s="2" t="s">
        <v>7012</v>
      </c>
    </row>
    <row r="363" customFormat="false" ht="15" hidden="false" customHeight="false" outlineLevel="0" collapsed="false">
      <c r="A363" s="2" t="s">
        <v>959</v>
      </c>
      <c r="B363" s="2" t="s">
        <v>960</v>
      </c>
      <c r="C363" s="2" t="s">
        <v>7123</v>
      </c>
      <c r="D363" s="6" t="s">
        <v>30</v>
      </c>
      <c r="E363" s="2" t="s">
        <v>10</v>
      </c>
      <c r="F363" s="2" t="n">
        <v>362</v>
      </c>
      <c r="G363" s="6" t="n">
        <v>237</v>
      </c>
      <c r="H363" s="8" t="n">
        <v>575.037824265131</v>
      </c>
      <c r="I363" s="2" t="s">
        <v>7012</v>
      </c>
    </row>
    <row r="364" customFormat="false" ht="15" hidden="false" customHeight="false" outlineLevel="0" collapsed="false">
      <c r="A364" s="2" t="s">
        <v>963</v>
      </c>
      <c r="B364" s="2" t="s">
        <v>964</v>
      </c>
      <c r="C364" s="2" t="s">
        <v>7124</v>
      </c>
      <c r="D364" s="6" t="s">
        <v>30</v>
      </c>
      <c r="E364" s="2" t="s">
        <v>9</v>
      </c>
      <c r="F364" s="2" t="n">
        <v>363</v>
      </c>
      <c r="G364" s="6" t="n">
        <v>118</v>
      </c>
      <c r="H364" s="8" t="n">
        <v>699.617846108195</v>
      </c>
      <c r="I364" s="2" t="s">
        <v>7012</v>
      </c>
    </row>
    <row r="365" customFormat="false" ht="15" hidden="false" customHeight="false" outlineLevel="0" collapsed="false">
      <c r="A365" s="2" t="s">
        <v>966</v>
      </c>
      <c r="B365" s="2" t="s">
        <v>500</v>
      </c>
      <c r="C365" s="2" t="s">
        <v>967</v>
      </c>
      <c r="D365" s="6" t="s">
        <v>30</v>
      </c>
      <c r="E365" s="2" t="s">
        <v>8</v>
      </c>
      <c r="F365" s="2" t="n">
        <v>364</v>
      </c>
      <c r="G365" s="6" t="n">
        <v>78</v>
      </c>
      <c r="H365" s="8" t="n">
        <v>739.461664974372</v>
      </c>
      <c r="I365" s="2" t="s">
        <v>7012</v>
      </c>
    </row>
    <row r="366" customFormat="false" ht="15" hidden="false" customHeight="false" outlineLevel="0" collapsed="false">
      <c r="A366" s="2" t="s">
        <v>968</v>
      </c>
      <c r="B366" s="2" t="s">
        <v>969</v>
      </c>
      <c r="C366" s="2" t="s">
        <v>970</v>
      </c>
      <c r="D366" s="6" t="s">
        <v>30</v>
      </c>
      <c r="E366" s="2" t="s">
        <v>8</v>
      </c>
      <c r="F366" s="2" t="n">
        <v>365</v>
      </c>
      <c r="G366" s="6" t="n">
        <v>78</v>
      </c>
      <c r="H366" s="8" t="n">
        <v>1493.73921275546</v>
      </c>
      <c r="I366" s="2" t="s">
        <v>7012</v>
      </c>
    </row>
    <row r="367" customFormat="false" ht="15" hidden="false" customHeight="false" outlineLevel="0" collapsed="false">
      <c r="A367" s="2" t="s">
        <v>971</v>
      </c>
      <c r="B367" s="2" t="s">
        <v>676</v>
      </c>
      <c r="C367" s="2" t="s">
        <v>972</v>
      </c>
      <c r="D367" s="6" t="s">
        <v>30</v>
      </c>
      <c r="E367" s="2" t="s">
        <v>8</v>
      </c>
      <c r="F367" s="2" t="n">
        <v>366</v>
      </c>
      <c r="G367" s="6" t="n">
        <v>78</v>
      </c>
      <c r="H367" s="8" t="n">
        <v>1482.11600365882</v>
      </c>
      <c r="I367" s="2" t="s">
        <v>7012</v>
      </c>
    </row>
    <row r="368" customFormat="false" ht="15" hidden="false" customHeight="false" outlineLevel="0" collapsed="false">
      <c r="A368" s="2" t="s">
        <v>973</v>
      </c>
      <c r="B368" s="2" t="s">
        <v>38</v>
      </c>
      <c r="C368" s="2" t="s">
        <v>974</v>
      </c>
      <c r="D368" s="6" t="s">
        <v>30</v>
      </c>
      <c r="E368" s="2" t="s">
        <v>8</v>
      </c>
      <c r="F368" s="2" t="n">
        <v>367</v>
      </c>
      <c r="G368" s="6" t="n">
        <v>78</v>
      </c>
      <c r="H368" s="8" t="n">
        <v>991.199154811282</v>
      </c>
      <c r="I368" s="2" t="s">
        <v>7012</v>
      </c>
    </row>
    <row r="369" customFormat="false" ht="15" hidden="false" customHeight="false" outlineLevel="0" collapsed="false">
      <c r="A369" s="2" t="s">
        <v>975</v>
      </c>
      <c r="B369" s="2" t="s">
        <v>976</v>
      </c>
      <c r="C369" s="2" t="s">
        <v>7125</v>
      </c>
      <c r="D369" s="6" t="s">
        <v>30</v>
      </c>
      <c r="E369" s="2" t="s">
        <v>10</v>
      </c>
      <c r="F369" s="2" t="n">
        <v>368</v>
      </c>
      <c r="G369" s="6" t="n">
        <v>233</v>
      </c>
      <c r="H369" s="8" t="n">
        <v>510.692968890283</v>
      </c>
      <c r="I369" s="2" t="s">
        <v>7012</v>
      </c>
    </row>
    <row r="370" customFormat="false" ht="15" hidden="false" customHeight="false" outlineLevel="0" collapsed="false">
      <c r="A370" s="2" t="s">
        <v>978</v>
      </c>
      <c r="B370" s="2" t="s">
        <v>595</v>
      </c>
      <c r="C370" s="2"/>
      <c r="D370" s="6" t="s">
        <v>30</v>
      </c>
      <c r="E370" s="2" t="s">
        <v>9</v>
      </c>
      <c r="F370" s="2" t="n">
        <v>369</v>
      </c>
      <c r="G370" s="6" t="n">
        <v>116</v>
      </c>
      <c r="H370" s="8" t="n">
        <v>662.196110897138</v>
      </c>
      <c r="I370" s="2" t="s">
        <v>7012</v>
      </c>
    </row>
    <row r="371" customFormat="false" ht="15" hidden="false" customHeight="false" outlineLevel="0" collapsed="false">
      <c r="A371" s="2" t="s">
        <v>979</v>
      </c>
      <c r="B371" s="2" t="s">
        <v>433</v>
      </c>
      <c r="C371" s="2" t="s">
        <v>980</v>
      </c>
      <c r="D371" s="6" t="s">
        <v>30</v>
      </c>
      <c r="E371" s="2" t="s">
        <v>8</v>
      </c>
      <c r="F371" s="2" t="n">
        <v>370</v>
      </c>
      <c r="G371" s="6" t="n">
        <v>77</v>
      </c>
      <c r="H371" s="8" t="n">
        <v>770.200949459935</v>
      </c>
      <c r="I371" s="2" t="s">
        <v>7012</v>
      </c>
    </row>
    <row r="372" customFormat="false" ht="15" hidden="false" customHeight="false" outlineLevel="0" collapsed="false">
      <c r="A372" s="2" t="s">
        <v>981</v>
      </c>
      <c r="B372" s="2" t="s">
        <v>169</v>
      </c>
      <c r="C372" s="2"/>
      <c r="D372" s="6" t="s">
        <v>30</v>
      </c>
      <c r="E372" s="2" t="s">
        <v>8</v>
      </c>
      <c r="F372" s="2" t="n">
        <v>371</v>
      </c>
      <c r="G372" s="6" t="n">
        <v>77</v>
      </c>
      <c r="H372" s="8" t="n">
        <v>1074.84483636813</v>
      </c>
      <c r="I372" s="2" t="s">
        <v>7012</v>
      </c>
    </row>
    <row r="373" customFormat="false" ht="15" hidden="false" customHeight="false" outlineLevel="0" collapsed="false">
      <c r="A373" s="2" t="s">
        <v>982</v>
      </c>
      <c r="B373" s="2" t="s">
        <v>56</v>
      </c>
      <c r="C373" s="2" t="s">
        <v>7126</v>
      </c>
      <c r="D373" s="6" t="s">
        <v>30</v>
      </c>
      <c r="E373" s="2" t="s">
        <v>8</v>
      </c>
      <c r="F373" s="2" t="n">
        <v>372</v>
      </c>
      <c r="G373" s="6" t="n">
        <v>77</v>
      </c>
      <c r="H373" s="8" t="n">
        <v>1200.3508525482</v>
      </c>
      <c r="I373" s="2" t="s">
        <v>7012</v>
      </c>
    </row>
    <row r="374" customFormat="false" ht="15" hidden="false" customHeight="false" outlineLevel="0" collapsed="false">
      <c r="A374" s="2" t="s">
        <v>984</v>
      </c>
      <c r="B374" s="2" t="s">
        <v>985</v>
      </c>
      <c r="C374" s="2" t="s">
        <v>986</v>
      </c>
      <c r="D374" s="6" t="s">
        <v>30</v>
      </c>
      <c r="E374" s="2" t="s">
        <v>10</v>
      </c>
      <c r="F374" s="2" t="n">
        <v>373</v>
      </c>
      <c r="G374" s="6" t="n">
        <v>230</v>
      </c>
      <c r="H374" s="8" t="n">
        <v>575.766425827696</v>
      </c>
      <c r="I374" s="2" t="s">
        <v>7012</v>
      </c>
    </row>
    <row r="375" customFormat="false" ht="15" hidden="false" customHeight="false" outlineLevel="0" collapsed="false">
      <c r="A375" s="2" t="s">
        <v>987</v>
      </c>
      <c r="B375" s="2" t="s">
        <v>27</v>
      </c>
      <c r="C375" s="2" t="s">
        <v>988</v>
      </c>
      <c r="D375" s="6" t="s">
        <v>30</v>
      </c>
      <c r="E375" s="2" t="s">
        <v>9</v>
      </c>
      <c r="F375" s="2" t="n">
        <v>374</v>
      </c>
      <c r="G375" s="6" t="n">
        <v>115</v>
      </c>
      <c r="H375" s="8" t="n">
        <v>633.275958700235</v>
      </c>
      <c r="I375" s="2" t="s">
        <v>7012</v>
      </c>
    </row>
    <row r="376" customFormat="false" ht="15" hidden="false" customHeight="false" outlineLevel="0" collapsed="false">
      <c r="A376" s="2" t="s">
        <v>989</v>
      </c>
      <c r="B376" s="2" t="s">
        <v>990</v>
      </c>
      <c r="C376" s="2" t="s">
        <v>991</v>
      </c>
      <c r="D376" s="6" t="s">
        <v>30</v>
      </c>
      <c r="E376" s="2" t="s">
        <v>9</v>
      </c>
      <c r="F376" s="2" t="n">
        <v>375</v>
      </c>
      <c r="G376" s="6" t="n">
        <v>115</v>
      </c>
      <c r="H376" s="8" t="n">
        <v>604.757511060443</v>
      </c>
      <c r="I376" s="2" t="s">
        <v>7012</v>
      </c>
    </row>
    <row r="377" customFormat="false" ht="15" hidden="false" customHeight="false" outlineLevel="0" collapsed="false">
      <c r="A377" s="2" t="s">
        <v>992</v>
      </c>
      <c r="B377" s="2" t="s">
        <v>993</v>
      </c>
      <c r="C377" s="2" t="s">
        <v>7127</v>
      </c>
      <c r="D377" s="6" t="s">
        <v>30</v>
      </c>
      <c r="E377" s="2" t="s">
        <v>10</v>
      </c>
      <c r="F377" s="2" t="n">
        <v>376</v>
      </c>
      <c r="G377" s="6" t="n">
        <v>229</v>
      </c>
      <c r="H377" s="8" t="n">
        <v>552.537942164673</v>
      </c>
      <c r="I377" s="2" t="s">
        <v>7012</v>
      </c>
    </row>
    <row r="378" customFormat="false" ht="15" hidden="false" customHeight="false" outlineLevel="0" collapsed="false">
      <c r="A378" s="2" t="s">
        <v>995</v>
      </c>
      <c r="B378" s="2" t="s">
        <v>679</v>
      </c>
      <c r="C378" s="2" t="s">
        <v>996</v>
      </c>
      <c r="D378" s="6" t="s">
        <v>30</v>
      </c>
      <c r="E378" s="2" t="s">
        <v>8</v>
      </c>
      <c r="F378" s="2" t="n">
        <v>377</v>
      </c>
      <c r="G378" s="6" t="n">
        <v>76</v>
      </c>
      <c r="H378" s="8" t="n">
        <v>1355.15771186568</v>
      </c>
      <c r="I378" s="2" t="s">
        <v>7012</v>
      </c>
    </row>
    <row r="379" customFormat="false" ht="15" hidden="false" customHeight="false" outlineLevel="0" collapsed="false">
      <c r="A379" s="2" t="s">
        <v>997</v>
      </c>
      <c r="B379" s="2" t="s">
        <v>814</v>
      </c>
      <c r="C379" s="2"/>
      <c r="D379" s="6" t="s">
        <v>30</v>
      </c>
      <c r="E379" s="2" t="s">
        <v>9</v>
      </c>
      <c r="F379" s="2" t="n">
        <v>378</v>
      </c>
      <c r="G379" s="6" t="n">
        <v>114</v>
      </c>
      <c r="H379" s="8" t="n">
        <v>648.705064201053</v>
      </c>
      <c r="I379" s="2" t="s">
        <v>7012</v>
      </c>
    </row>
    <row r="380" customFormat="false" ht="15" hidden="false" customHeight="false" outlineLevel="0" collapsed="false">
      <c r="A380" s="2" t="s">
        <v>998</v>
      </c>
      <c r="B380" s="2" t="s">
        <v>999</v>
      </c>
      <c r="C380" s="2"/>
      <c r="D380" s="6" t="s">
        <v>30</v>
      </c>
      <c r="E380" s="2" t="s">
        <v>8</v>
      </c>
      <c r="F380" s="2" t="n">
        <v>379</v>
      </c>
      <c r="G380" s="6" t="n">
        <v>76</v>
      </c>
      <c r="H380" s="8" t="n">
        <v>784.501531193303</v>
      </c>
      <c r="I380" s="2" t="s">
        <v>7012</v>
      </c>
    </row>
    <row r="381" customFormat="false" ht="15" hidden="false" customHeight="false" outlineLevel="0" collapsed="false">
      <c r="A381" s="2" t="s">
        <v>1000</v>
      </c>
      <c r="B381" s="2" t="s">
        <v>1001</v>
      </c>
      <c r="C381" s="2"/>
      <c r="D381" s="6" t="s">
        <v>30</v>
      </c>
      <c r="E381" s="2" t="s">
        <v>8</v>
      </c>
      <c r="F381" s="2" t="n">
        <v>380</v>
      </c>
      <c r="G381" s="6" t="n">
        <v>76</v>
      </c>
      <c r="H381" s="8" t="n">
        <v>926.593758731184</v>
      </c>
      <c r="I381" s="2" t="s">
        <v>7012</v>
      </c>
    </row>
    <row r="382" customFormat="false" ht="15" hidden="false" customHeight="false" outlineLevel="0" collapsed="false">
      <c r="A382" s="2" t="s">
        <v>1003</v>
      </c>
      <c r="B382" s="2" t="s">
        <v>1004</v>
      </c>
      <c r="C382" s="2" t="s">
        <v>1005</v>
      </c>
      <c r="D382" s="6" t="s">
        <v>30</v>
      </c>
      <c r="E382" s="2" t="s">
        <v>8</v>
      </c>
      <c r="F382" s="2" t="n">
        <v>381</v>
      </c>
      <c r="G382" s="6" t="n">
        <v>76</v>
      </c>
      <c r="H382" s="8" t="n">
        <v>1175.20105735341</v>
      </c>
      <c r="I382" s="2" t="s">
        <v>7012</v>
      </c>
    </row>
    <row r="383" customFormat="false" ht="15" hidden="false" customHeight="false" outlineLevel="0" collapsed="false">
      <c r="A383" s="2" t="s">
        <v>1006</v>
      </c>
      <c r="B383" s="2" t="s">
        <v>471</v>
      </c>
      <c r="C383" s="2" t="s">
        <v>1007</v>
      </c>
      <c r="D383" s="6" t="s">
        <v>30</v>
      </c>
      <c r="E383" s="2" t="s">
        <v>9</v>
      </c>
      <c r="F383" s="2" t="n">
        <v>382</v>
      </c>
      <c r="G383" s="6" t="n">
        <v>114</v>
      </c>
      <c r="H383" s="8" t="n">
        <v>678.860735554912</v>
      </c>
      <c r="I383" s="2" t="s">
        <v>7012</v>
      </c>
    </row>
    <row r="384" customFormat="false" ht="15" hidden="false" customHeight="false" outlineLevel="0" collapsed="false">
      <c r="A384" s="2" t="s">
        <v>1008</v>
      </c>
      <c r="B384" s="2" t="s">
        <v>885</v>
      </c>
      <c r="C384" s="2" t="s">
        <v>1009</v>
      </c>
      <c r="D384" s="6" t="s">
        <v>30</v>
      </c>
      <c r="E384" s="2" t="s">
        <v>10</v>
      </c>
      <c r="F384" s="2" t="n">
        <v>383</v>
      </c>
      <c r="G384" s="6" t="n">
        <v>227</v>
      </c>
      <c r="H384" s="8" t="n">
        <v>523.279215460797</v>
      </c>
      <c r="I384" s="2" t="s">
        <v>7012</v>
      </c>
    </row>
    <row r="385" customFormat="false" ht="15" hidden="false" customHeight="false" outlineLevel="0" collapsed="false">
      <c r="A385" s="2" t="s">
        <v>1010</v>
      </c>
      <c r="B385" s="2" t="s">
        <v>500</v>
      </c>
      <c r="C385" s="2" t="s">
        <v>1011</v>
      </c>
      <c r="D385" s="6" t="s">
        <v>30</v>
      </c>
      <c r="E385" s="2" t="s">
        <v>10</v>
      </c>
      <c r="F385" s="2" t="n">
        <v>384</v>
      </c>
      <c r="G385" s="6" t="n">
        <v>226</v>
      </c>
      <c r="H385" s="8" t="n">
        <v>599.694405208035</v>
      </c>
      <c r="I385" s="2" t="s">
        <v>7012</v>
      </c>
    </row>
    <row r="386" customFormat="false" ht="15" hidden="false" customHeight="false" outlineLevel="0" collapsed="false">
      <c r="A386" s="2" t="s">
        <v>1012</v>
      </c>
      <c r="B386" s="2" t="s">
        <v>1013</v>
      </c>
      <c r="C386" s="2" t="s">
        <v>7128</v>
      </c>
      <c r="D386" s="6" t="s">
        <v>30</v>
      </c>
      <c r="E386" s="2" t="s">
        <v>10</v>
      </c>
      <c r="F386" s="2" t="n">
        <v>385</v>
      </c>
      <c r="G386" s="6" t="n">
        <v>225</v>
      </c>
      <c r="H386" s="8" t="n">
        <v>556.916333611707</v>
      </c>
      <c r="I386" s="2" t="s">
        <v>7012</v>
      </c>
    </row>
    <row r="387" customFormat="false" ht="15" hidden="false" customHeight="false" outlineLevel="0" collapsed="false">
      <c r="A387" s="2" t="s">
        <v>1015</v>
      </c>
      <c r="B387" s="2" t="s">
        <v>1016</v>
      </c>
      <c r="C387" s="2"/>
      <c r="D387" s="6" t="s">
        <v>30</v>
      </c>
      <c r="E387" s="2" t="s">
        <v>8</v>
      </c>
      <c r="F387" s="2" t="n">
        <v>386</v>
      </c>
      <c r="G387" s="6" t="n">
        <v>75</v>
      </c>
      <c r="H387" s="8" t="n">
        <v>705.2560496692</v>
      </c>
      <c r="I387" s="2" t="s">
        <v>7012</v>
      </c>
    </row>
    <row r="388" customFormat="false" ht="15" hidden="false" customHeight="false" outlineLevel="0" collapsed="false">
      <c r="A388" s="2" t="s">
        <v>1018</v>
      </c>
      <c r="B388" s="2" t="s">
        <v>56</v>
      </c>
      <c r="C388" s="2" t="s">
        <v>7129</v>
      </c>
      <c r="D388" s="6" t="s">
        <v>30</v>
      </c>
      <c r="E388" s="2" t="s">
        <v>8</v>
      </c>
      <c r="F388" s="2" t="n">
        <v>387</v>
      </c>
      <c r="G388" s="6" t="n">
        <v>75</v>
      </c>
      <c r="H388" s="8" t="n">
        <v>1191.29602422792</v>
      </c>
      <c r="I388" s="2" t="s">
        <v>7012</v>
      </c>
    </row>
    <row r="389" customFormat="false" ht="15" hidden="false" customHeight="false" outlineLevel="0" collapsed="false">
      <c r="A389" s="2" t="s">
        <v>1020</v>
      </c>
      <c r="B389" s="2" t="s">
        <v>352</v>
      </c>
      <c r="C389" s="2" t="s">
        <v>1021</v>
      </c>
      <c r="D389" s="6" t="s">
        <v>30</v>
      </c>
      <c r="E389" s="2" t="s">
        <v>9</v>
      </c>
      <c r="F389" s="2" t="n">
        <v>388</v>
      </c>
      <c r="G389" s="6" t="n">
        <v>112</v>
      </c>
      <c r="H389" s="8" t="n">
        <v>695.283159858866</v>
      </c>
      <c r="I389" s="2" t="s">
        <v>7012</v>
      </c>
    </row>
    <row r="390" customFormat="false" ht="15" hidden="false" customHeight="false" outlineLevel="0" collapsed="false">
      <c r="A390" s="2" t="s">
        <v>1022</v>
      </c>
      <c r="B390" s="2" t="s">
        <v>835</v>
      </c>
      <c r="C390" s="2" t="s">
        <v>7130</v>
      </c>
      <c r="D390" s="6" t="s">
        <v>30</v>
      </c>
      <c r="E390" s="2" t="s">
        <v>10</v>
      </c>
      <c r="F390" s="2" t="n">
        <v>389</v>
      </c>
      <c r="G390" s="6" t="n">
        <v>224</v>
      </c>
      <c r="H390" s="8" t="n">
        <v>529.036448505116</v>
      </c>
      <c r="I390" s="2" t="s">
        <v>7012</v>
      </c>
    </row>
    <row r="391" customFormat="false" ht="15" hidden="false" customHeight="false" outlineLevel="0" collapsed="false">
      <c r="A391" s="2" t="s">
        <v>1024</v>
      </c>
      <c r="B391" s="2" t="s">
        <v>1025</v>
      </c>
      <c r="C391" s="2"/>
      <c r="D391" s="6" t="s">
        <v>30</v>
      </c>
      <c r="E391" s="2" t="s">
        <v>8</v>
      </c>
      <c r="F391" s="2" t="n">
        <v>390</v>
      </c>
      <c r="G391" s="6" t="n">
        <v>74</v>
      </c>
      <c r="H391" s="8" t="n">
        <v>731.58159915296</v>
      </c>
      <c r="I391" s="2" t="s">
        <v>7012</v>
      </c>
    </row>
    <row r="392" customFormat="false" ht="15" hidden="false" customHeight="false" outlineLevel="0" collapsed="false">
      <c r="A392" s="2" t="s">
        <v>1026</v>
      </c>
      <c r="B392" s="2" t="s">
        <v>1027</v>
      </c>
      <c r="C392" s="2"/>
      <c r="D392" s="6" t="s">
        <v>30</v>
      </c>
      <c r="E392" s="2" t="s">
        <v>10</v>
      </c>
      <c r="F392" s="2" t="n">
        <v>391</v>
      </c>
      <c r="G392" s="6" t="n">
        <v>221</v>
      </c>
      <c r="H392" s="8" t="n">
        <v>564.761996711765</v>
      </c>
      <c r="I392" s="2" t="s">
        <v>7012</v>
      </c>
    </row>
    <row r="393" customFormat="false" ht="15" hidden="false" customHeight="false" outlineLevel="0" collapsed="false">
      <c r="A393" s="2" t="s">
        <v>1028</v>
      </c>
      <c r="B393" s="2" t="s">
        <v>1029</v>
      </c>
      <c r="C393" s="2" t="s">
        <v>1030</v>
      </c>
      <c r="D393" s="6" t="s">
        <v>30</v>
      </c>
      <c r="E393" s="2" t="s">
        <v>9</v>
      </c>
      <c r="F393" s="2" t="n">
        <v>392</v>
      </c>
      <c r="G393" s="6" t="n">
        <v>110</v>
      </c>
      <c r="H393" s="8" t="n">
        <v>611.502399137555</v>
      </c>
      <c r="I393" s="2" t="s">
        <v>7012</v>
      </c>
    </row>
    <row r="394" customFormat="false" ht="15" hidden="false" customHeight="false" outlineLevel="0" collapsed="false">
      <c r="A394" s="2" t="s">
        <v>1031</v>
      </c>
      <c r="B394" s="2" t="s">
        <v>585</v>
      </c>
      <c r="C394" s="2"/>
      <c r="D394" s="6" t="s">
        <v>30</v>
      </c>
      <c r="E394" s="2" t="s">
        <v>9</v>
      </c>
      <c r="F394" s="2" t="n">
        <v>393</v>
      </c>
      <c r="G394" s="6" t="n">
        <v>109</v>
      </c>
      <c r="H394" s="8" t="n">
        <v>606.166593959174</v>
      </c>
      <c r="I394" s="2" t="s">
        <v>7012</v>
      </c>
    </row>
    <row r="395" customFormat="false" ht="15" hidden="false" customHeight="false" outlineLevel="0" collapsed="false">
      <c r="A395" s="2" t="s">
        <v>1032</v>
      </c>
      <c r="B395" s="2" t="s">
        <v>1033</v>
      </c>
      <c r="C395" s="2" t="s">
        <v>1034</v>
      </c>
      <c r="D395" s="6" t="s">
        <v>30</v>
      </c>
      <c r="E395" s="2" t="s">
        <v>10</v>
      </c>
      <c r="F395" s="2" t="n">
        <v>394</v>
      </c>
      <c r="G395" s="6" t="n">
        <v>216</v>
      </c>
      <c r="H395" s="8" t="n">
        <v>580.131107386019</v>
      </c>
      <c r="I395" s="2" t="s">
        <v>7012</v>
      </c>
    </row>
    <row r="396" customFormat="false" ht="15" hidden="false" customHeight="false" outlineLevel="0" collapsed="false">
      <c r="A396" s="2" t="s">
        <v>1035</v>
      </c>
      <c r="B396" s="2" t="s">
        <v>263</v>
      </c>
      <c r="C396" s="2" t="s">
        <v>7131</v>
      </c>
      <c r="D396" s="6" t="s">
        <v>30</v>
      </c>
      <c r="E396" s="2" t="s">
        <v>8</v>
      </c>
      <c r="F396" s="2" t="n">
        <v>395</v>
      </c>
      <c r="G396" s="6" t="n">
        <v>72</v>
      </c>
      <c r="H396" s="8" t="n">
        <v>1226.10999816111</v>
      </c>
      <c r="I396" s="2" t="s">
        <v>7012</v>
      </c>
    </row>
    <row r="397" customFormat="false" ht="15" hidden="false" customHeight="false" outlineLevel="0" collapsed="false">
      <c r="A397" s="2" t="s">
        <v>1037</v>
      </c>
      <c r="B397" s="2" t="s">
        <v>1038</v>
      </c>
      <c r="C397" s="2" t="s">
        <v>1039</v>
      </c>
      <c r="D397" s="6" t="s">
        <v>30</v>
      </c>
      <c r="E397" s="2" t="s">
        <v>9</v>
      </c>
      <c r="F397" s="2" t="n">
        <v>396</v>
      </c>
      <c r="G397" s="6" t="n">
        <v>108</v>
      </c>
      <c r="H397" s="8" t="n">
        <v>673.524390451935</v>
      </c>
      <c r="I397" s="2" t="s">
        <v>7012</v>
      </c>
    </row>
    <row r="398" customFormat="false" ht="15" hidden="false" customHeight="false" outlineLevel="0" collapsed="false">
      <c r="A398" s="2" t="s">
        <v>1041</v>
      </c>
      <c r="B398" s="2" t="s">
        <v>516</v>
      </c>
      <c r="C398" s="2" t="s">
        <v>1042</v>
      </c>
      <c r="D398" s="6" t="s">
        <v>30</v>
      </c>
      <c r="E398" s="2" t="s">
        <v>8</v>
      </c>
      <c r="F398" s="2" t="n">
        <v>397</v>
      </c>
      <c r="G398" s="6" t="n">
        <v>72</v>
      </c>
      <c r="H398" s="8" t="n">
        <v>907.421320979</v>
      </c>
      <c r="I398" s="2" t="s">
        <v>7012</v>
      </c>
    </row>
    <row r="399" customFormat="false" ht="15" hidden="false" customHeight="false" outlineLevel="0" collapsed="false">
      <c r="A399" s="2" t="s">
        <v>1043</v>
      </c>
      <c r="B399" s="2" t="s">
        <v>38</v>
      </c>
      <c r="C399" s="2"/>
      <c r="D399" s="6" t="s">
        <v>30</v>
      </c>
      <c r="E399" s="2" t="s">
        <v>8</v>
      </c>
      <c r="F399" s="2" t="n">
        <v>398</v>
      </c>
      <c r="G399" s="6" t="n">
        <v>72</v>
      </c>
      <c r="H399" s="8" t="n">
        <v>869.462151119625</v>
      </c>
      <c r="I399" s="2" t="s">
        <v>7012</v>
      </c>
    </row>
    <row r="400" customFormat="false" ht="15" hidden="false" customHeight="false" outlineLevel="0" collapsed="false">
      <c r="A400" s="2" t="s">
        <v>1044</v>
      </c>
      <c r="B400" s="2" t="s">
        <v>1045</v>
      </c>
      <c r="C400" s="2" t="s">
        <v>7132</v>
      </c>
      <c r="D400" s="6" t="s">
        <v>30</v>
      </c>
      <c r="E400" s="2" t="s">
        <v>10</v>
      </c>
      <c r="F400" s="2" t="n">
        <v>399</v>
      </c>
      <c r="G400" s="6" t="n">
        <v>214</v>
      </c>
      <c r="H400" s="8" t="n">
        <v>508.172770865533</v>
      </c>
      <c r="I400" s="2" t="s">
        <v>7012</v>
      </c>
    </row>
    <row r="401" customFormat="false" ht="15" hidden="false" customHeight="false" outlineLevel="0" collapsed="false">
      <c r="A401" s="2" t="s">
        <v>1047</v>
      </c>
      <c r="B401" s="2" t="s">
        <v>70</v>
      </c>
      <c r="C401" s="2" t="s">
        <v>1048</v>
      </c>
      <c r="D401" s="6" t="s">
        <v>30</v>
      </c>
      <c r="E401" s="2" t="s">
        <v>8</v>
      </c>
      <c r="F401" s="2" t="n">
        <v>400</v>
      </c>
      <c r="G401" s="6" t="n">
        <v>71</v>
      </c>
      <c r="H401" s="8" t="n">
        <v>1035.76584351013</v>
      </c>
      <c r="I401" s="2" t="s">
        <v>7012</v>
      </c>
    </row>
    <row r="402" customFormat="false" ht="15" hidden="false" customHeight="false" outlineLevel="0" collapsed="false">
      <c r="A402" s="2" t="s">
        <v>1049</v>
      </c>
      <c r="B402" s="2" t="s">
        <v>56</v>
      </c>
      <c r="C402" s="2" t="s">
        <v>7133</v>
      </c>
      <c r="D402" s="6" t="s">
        <v>30</v>
      </c>
      <c r="E402" s="2" t="s">
        <v>8</v>
      </c>
      <c r="F402" s="2" t="n">
        <v>401</v>
      </c>
      <c r="G402" s="6" t="n">
        <v>70</v>
      </c>
      <c r="H402" s="8" t="n">
        <v>1224.0898947252</v>
      </c>
      <c r="I402" s="2" t="s">
        <v>7012</v>
      </c>
    </row>
    <row r="403" customFormat="false" ht="15" hidden="false" customHeight="false" outlineLevel="0" collapsed="false">
      <c r="A403" s="2" t="s">
        <v>1051</v>
      </c>
      <c r="B403" s="2" t="s">
        <v>1052</v>
      </c>
      <c r="C403" s="2" t="s">
        <v>1053</v>
      </c>
      <c r="D403" s="6" t="s">
        <v>30</v>
      </c>
      <c r="E403" s="2" t="s">
        <v>9</v>
      </c>
      <c r="F403" s="2" t="n">
        <v>402</v>
      </c>
      <c r="G403" s="6" t="n">
        <v>103</v>
      </c>
      <c r="H403" s="8" t="n">
        <v>610.182263114185</v>
      </c>
      <c r="I403" s="2" t="s">
        <v>7012</v>
      </c>
    </row>
    <row r="404" customFormat="false" ht="15" hidden="false" customHeight="false" outlineLevel="0" collapsed="false">
      <c r="A404" s="2" t="s">
        <v>1054</v>
      </c>
      <c r="B404" s="2" t="s">
        <v>1055</v>
      </c>
      <c r="C404" s="2"/>
      <c r="D404" s="6" t="s">
        <v>30</v>
      </c>
      <c r="E404" s="2" t="s">
        <v>10</v>
      </c>
      <c r="F404" s="2" t="n">
        <v>403</v>
      </c>
      <c r="G404" s="6" t="n">
        <v>204</v>
      </c>
      <c r="H404" s="8" t="n">
        <v>575.352567858</v>
      </c>
      <c r="I404" s="2" t="s">
        <v>7012</v>
      </c>
    </row>
    <row r="405" customFormat="false" ht="15" hidden="false" customHeight="false" outlineLevel="0" collapsed="false">
      <c r="A405" s="2" t="s">
        <v>1056</v>
      </c>
      <c r="B405" s="2" t="s">
        <v>263</v>
      </c>
      <c r="C405" s="2" t="s">
        <v>7134</v>
      </c>
      <c r="D405" s="6" t="s">
        <v>30</v>
      </c>
      <c r="E405" s="2" t="s">
        <v>8</v>
      </c>
      <c r="F405" s="2" t="n">
        <v>404</v>
      </c>
      <c r="G405" s="6" t="n">
        <v>68</v>
      </c>
      <c r="H405" s="8" t="n">
        <v>884.406745912324</v>
      </c>
      <c r="I405" s="2" t="s">
        <v>7012</v>
      </c>
    </row>
    <row r="406" customFormat="false" ht="15" hidden="false" customHeight="false" outlineLevel="0" collapsed="false">
      <c r="A406" s="2" t="s">
        <v>1058</v>
      </c>
      <c r="B406" s="2" t="s">
        <v>217</v>
      </c>
      <c r="C406" s="2" t="s">
        <v>7135</v>
      </c>
      <c r="D406" s="6" t="s">
        <v>30</v>
      </c>
      <c r="E406" s="2" t="s">
        <v>9</v>
      </c>
      <c r="F406" s="2" t="n">
        <v>405</v>
      </c>
      <c r="G406" s="6" t="n">
        <v>102</v>
      </c>
      <c r="H406" s="8" t="n">
        <v>680.886421735588</v>
      </c>
      <c r="I406" s="2" t="s">
        <v>7012</v>
      </c>
    </row>
    <row r="407" customFormat="false" ht="15" hidden="false" customHeight="false" outlineLevel="0" collapsed="false">
      <c r="A407" s="2" t="s">
        <v>1060</v>
      </c>
      <c r="B407" s="2" t="s">
        <v>38</v>
      </c>
      <c r="C407" s="2" t="s">
        <v>1061</v>
      </c>
      <c r="D407" s="6" t="s">
        <v>30</v>
      </c>
      <c r="E407" s="2" t="s">
        <v>8</v>
      </c>
      <c r="F407" s="2" t="n">
        <v>406</v>
      </c>
      <c r="G407" s="6" t="n">
        <v>68</v>
      </c>
      <c r="H407" s="8" t="n">
        <v>826.725754528677</v>
      </c>
      <c r="I407" s="2" t="s">
        <v>7012</v>
      </c>
    </row>
    <row r="408" customFormat="false" ht="15" hidden="false" customHeight="false" outlineLevel="0" collapsed="false">
      <c r="A408" s="2" t="s">
        <v>1062</v>
      </c>
      <c r="B408" s="2" t="s">
        <v>1063</v>
      </c>
      <c r="C408" s="2"/>
      <c r="D408" s="6" t="s">
        <v>30</v>
      </c>
      <c r="E408" s="2" t="s">
        <v>9</v>
      </c>
      <c r="F408" s="2" t="n">
        <v>407</v>
      </c>
      <c r="G408" s="6" t="n">
        <v>101</v>
      </c>
      <c r="H408" s="8" t="n">
        <v>613.168861262594</v>
      </c>
      <c r="I408" s="2" t="s">
        <v>7012</v>
      </c>
    </row>
    <row r="409" customFormat="false" ht="15" hidden="false" customHeight="false" outlineLevel="0" collapsed="false">
      <c r="A409" s="2" t="s">
        <v>1064</v>
      </c>
      <c r="B409" s="2" t="s">
        <v>1065</v>
      </c>
      <c r="C409" s="2"/>
      <c r="D409" s="6" t="s">
        <v>30</v>
      </c>
      <c r="E409" s="2" t="s">
        <v>9</v>
      </c>
      <c r="F409" s="2" t="n">
        <v>408</v>
      </c>
      <c r="G409" s="6" t="n">
        <v>101</v>
      </c>
      <c r="H409" s="8" t="n">
        <v>671.268947108139</v>
      </c>
      <c r="I409" s="2" t="s">
        <v>7012</v>
      </c>
    </row>
    <row r="410" customFormat="false" ht="15" hidden="false" customHeight="false" outlineLevel="0" collapsed="false">
      <c r="A410" s="2" t="s">
        <v>1066</v>
      </c>
      <c r="B410" s="2" t="s">
        <v>1067</v>
      </c>
      <c r="C410" s="2" t="s">
        <v>7136</v>
      </c>
      <c r="D410" s="6" t="s">
        <v>30</v>
      </c>
      <c r="E410" s="2" t="s">
        <v>8</v>
      </c>
      <c r="F410" s="2" t="n">
        <v>409</v>
      </c>
      <c r="G410" s="6" t="n">
        <v>67</v>
      </c>
      <c r="H410" s="8" t="n">
        <v>1169.96998450133</v>
      </c>
      <c r="I410" s="2" t="s">
        <v>7012</v>
      </c>
    </row>
    <row r="411" customFormat="false" ht="15" hidden="false" customHeight="false" outlineLevel="0" collapsed="false">
      <c r="A411" s="2" t="s">
        <v>1071</v>
      </c>
      <c r="B411" s="2" t="s">
        <v>70</v>
      </c>
      <c r="C411" s="2" t="s">
        <v>1072</v>
      </c>
      <c r="D411" s="6" t="s">
        <v>30</v>
      </c>
      <c r="E411" s="2" t="s">
        <v>9</v>
      </c>
      <c r="F411" s="2" t="n">
        <v>410</v>
      </c>
      <c r="G411" s="6" t="n">
        <v>100</v>
      </c>
      <c r="H411" s="8" t="n">
        <v>615.1283704407</v>
      </c>
      <c r="I411" s="2" t="s">
        <v>7012</v>
      </c>
    </row>
    <row r="412" customFormat="false" ht="15" hidden="false" customHeight="false" outlineLevel="0" collapsed="false">
      <c r="A412" s="2" t="s">
        <v>1073</v>
      </c>
      <c r="B412" s="2" t="s">
        <v>993</v>
      </c>
      <c r="C412" s="2" t="s">
        <v>7137</v>
      </c>
      <c r="D412" s="6" t="s">
        <v>30</v>
      </c>
      <c r="E412" s="2" t="s">
        <v>10</v>
      </c>
      <c r="F412" s="2" t="n">
        <v>411</v>
      </c>
      <c r="G412" s="6" t="n">
        <v>199</v>
      </c>
      <c r="H412" s="8" t="n">
        <v>515.538436169869</v>
      </c>
      <c r="I412" s="2" t="s">
        <v>7012</v>
      </c>
    </row>
    <row r="413" customFormat="false" ht="15" hidden="false" customHeight="false" outlineLevel="0" collapsed="false">
      <c r="A413" s="2" t="s">
        <v>1075</v>
      </c>
      <c r="B413" s="2" t="s">
        <v>70</v>
      </c>
      <c r="C413" s="2" t="s">
        <v>1076</v>
      </c>
      <c r="D413" s="6" t="s">
        <v>30</v>
      </c>
      <c r="E413" s="2" t="s">
        <v>9</v>
      </c>
      <c r="F413" s="2" t="n">
        <v>412</v>
      </c>
      <c r="G413" s="6" t="n">
        <v>99</v>
      </c>
      <c r="H413" s="8" t="n">
        <v>619.739241341414</v>
      </c>
      <c r="I413" s="2" t="s">
        <v>7012</v>
      </c>
    </row>
    <row r="414" customFormat="false" ht="15" hidden="false" customHeight="false" outlineLevel="0" collapsed="false">
      <c r="A414" s="2" t="s">
        <v>1077</v>
      </c>
      <c r="B414" s="2" t="s">
        <v>1078</v>
      </c>
      <c r="C414" s="2" t="s">
        <v>1079</v>
      </c>
      <c r="D414" s="6" t="s">
        <v>30</v>
      </c>
      <c r="E414" s="2" t="s">
        <v>10</v>
      </c>
      <c r="F414" s="2" t="n">
        <v>413</v>
      </c>
      <c r="G414" s="6" t="n">
        <v>197</v>
      </c>
      <c r="H414" s="8" t="n">
        <v>523.089714611416</v>
      </c>
      <c r="I414" s="2" t="s">
        <v>7012</v>
      </c>
    </row>
    <row r="415" customFormat="false" ht="15" hidden="false" customHeight="false" outlineLevel="0" collapsed="false">
      <c r="A415" s="2" t="s">
        <v>1080</v>
      </c>
      <c r="B415" s="2" t="s">
        <v>798</v>
      </c>
      <c r="C415" s="2" t="s">
        <v>1081</v>
      </c>
      <c r="D415" s="6" t="s">
        <v>30</v>
      </c>
      <c r="E415" s="2" t="s">
        <v>9</v>
      </c>
      <c r="F415" s="2" t="n">
        <v>414</v>
      </c>
      <c r="G415" s="6" t="n">
        <v>98</v>
      </c>
      <c r="H415" s="8" t="n">
        <v>621.435240763225</v>
      </c>
      <c r="I415" s="2" t="s">
        <v>7012</v>
      </c>
    </row>
    <row r="416" customFormat="false" ht="15" hidden="false" customHeight="false" outlineLevel="0" collapsed="false">
      <c r="A416" s="2" t="s">
        <v>1082</v>
      </c>
      <c r="B416" s="2" t="s">
        <v>1083</v>
      </c>
      <c r="C416" s="2" t="s">
        <v>1084</v>
      </c>
      <c r="D416" s="6" t="s">
        <v>30</v>
      </c>
      <c r="E416" s="2" t="s">
        <v>10</v>
      </c>
      <c r="F416" s="2" t="n">
        <v>415</v>
      </c>
      <c r="G416" s="6" t="n">
        <v>196</v>
      </c>
      <c r="H416" s="8" t="n">
        <v>514.138479677857</v>
      </c>
      <c r="I416" s="2" t="s">
        <v>7012</v>
      </c>
    </row>
    <row r="417" customFormat="false" ht="15" hidden="false" customHeight="false" outlineLevel="0" collapsed="false">
      <c r="A417" s="2" t="s">
        <v>1085</v>
      </c>
      <c r="B417" s="2" t="s">
        <v>1086</v>
      </c>
      <c r="C417" s="2" t="s">
        <v>7138</v>
      </c>
      <c r="D417" s="6" t="s">
        <v>30</v>
      </c>
      <c r="E417" s="2" t="s">
        <v>8</v>
      </c>
      <c r="F417" s="2" t="n">
        <v>416</v>
      </c>
      <c r="G417" s="6" t="n">
        <v>65</v>
      </c>
      <c r="H417" s="8" t="n">
        <v>1345.90052520751</v>
      </c>
      <c r="I417" s="2" t="s">
        <v>7012</v>
      </c>
    </row>
    <row r="418" customFormat="false" ht="15" hidden="false" customHeight="false" outlineLevel="0" collapsed="false">
      <c r="A418" s="2" t="s">
        <v>1088</v>
      </c>
      <c r="B418" s="2" t="s">
        <v>827</v>
      </c>
      <c r="C418" s="2"/>
      <c r="D418" s="6" t="s">
        <v>30</v>
      </c>
      <c r="E418" s="2" t="s">
        <v>9</v>
      </c>
      <c r="F418" s="2" t="n">
        <v>417</v>
      </c>
      <c r="G418" s="6" t="n">
        <v>97</v>
      </c>
      <c r="H418" s="8" t="n">
        <v>668.517128025052</v>
      </c>
      <c r="I418" s="2" t="s">
        <v>7012</v>
      </c>
    </row>
    <row r="419" customFormat="false" ht="15" hidden="false" customHeight="false" outlineLevel="0" collapsed="false">
      <c r="A419" s="2" t="s">
        <v>1089</v>
      </c>
      <c r="B419" s="2" t="s">
        <v>403</v>
      </c>
      <c r="C419" s="2" t="s">
        <v>1090</v>
      </c>
      <c r="D419" s="6" t="s">
        <v>30</v>
      </c>
      <c r="E419" s="2" t="s">
        <v>8</v>
      </c>
      <c r="F419" s="2" t="n">
        <v>418</v>
      </c>
      <c r="G419" s="6" t="n">
        <v>64</v>
      </c>
      <c r="H419" s="8" t="n">
        <v>839.454209702516</v>
      </c>
      <c r="I419" s="2" t="s">
        <v>7012</v>
      </c>
    </row>
    <row r="420" customFormat="false" ht="15" hidden="false" customHeight="false" outlineLevel="0" collapsed="false">
      <c r="A420" s="2" t="s">
        <v>1091</v>
      </c>
      <c r="B420" s="2" t="s">
        <v>1092</v>
      </c>
      <c r="C420" s="2"/>
      <c r="D420" s="6" t="s">
        <v>30</v>
      </c>
      <c r="E420" s="2" t="s">
        <v>10</v>
      </c>
      <c r="F420" s="2" t="n">
        <v>419</v>
      </c>
      <c r="G420" s="6" t="n">
        <v>192</v>
      </c>
      <c r="H420" s="8" t="n">
        <v>520.742494721104</v>
      </c>
      <c r="I420" s="2" t="s">
        <v>7012</v>
      </c>
    </row>
    <row r="421" customFormat="false" ht="15" hidden="false" customHeight="false" outlineLevel="0" collapsed="false">
      <c r="A421" s="2" t="s">
        <v>1093</v>
      </c>
      <c r="B421" s="2" t="s">
        <v>1094</v>
      </c>
      <c r="C421" s="2" t="s">
        <v>7139</v>
      </c>
      <c r="D421" s="6" t="s">
        <v>30</v>
      </c>
      <c r="E421" s="2" t="s">
        <v>10</v>
      </c>
      <c r="F421" s="2" t="n">
        <v>420</v>
      </c>
      <c r="G421" s="6" t="n">
        <v>191</v>
      </c>
      <c r="H421" s="8" t="n">
        <v>536.530772399215</v>
      </c>
      <c r="I421" s="2" t="s">
        <v>7012</v>
      </c>
    </row>
    <row r="422" customFormat="false" ht="15" hidden="false" customHeight="false" outlineLevel="0" collapsed="false">
      <c r="A422" s="2" t="s">
        <v>1096</v>
      </c>
      <c r="B422" s="2" t="s">
        <v>56</v>
      </c>
      <c r="C422" s="2" t="s">
        <v>1097</v>
      </c>
      <c r="D422" s="6" t="s">
        <v>30</v>
      </c>
      <c r="E422" s="2" t="s">
        <v>9</v>
      </c>
      <c r="F422" s="2" t="n">
        <v>421</v>
      </c>
      <c r="G422" s="6" t="n">
        <v>95</v>
      </c>
      <c r="H422" s="8" t="n">
        <v>665.779506971537</v>
      </c>
      <c r="I422" s="2" t="s">
        <v>7012</v>
      </c>
    </row>
    <row r="423" customFormat="false" ht="15" hidden="false" customHeight="false" outlineLevel="0" collapsed="false">
      <c r="A423" s="2" t="s">
        <v>1099</v>
      </c>
      <c r="B423" s="2" t="s">
        <v>1100</v>
      </c>
      <c r="C423" s="2" t="s">
        <v>7140</v>
      </c>
      <c r="D423" s="6" t="s">
        <v>30</v>
      </c>
      <c r="E423" s="2" t="s">
        <v>10</v>
      </c>
      <c r="F423" s="2" t="n">
        <v>422</v>
      </c>
      <c r="G423" s="6" t="n">
        <v>189</v>
      </c>
      <c r="H423" s="8" t="n">
        <v>506.02635903481</v>
      </c>
      <c r="I423" s="2" t="s">
        <v>7012</v>
      </c>
    </row>
    <row r="424" customFormat="false" ht="15" hidden="false" customHeight="false" outlineLevel="0" collapsed="false">
      <c r="A424" s="2" t="s">
        <v>1103</v>
      </c>
      <c r="B424" s="2" t="s">
        <v>1104</v>
      </c>
      <c r="C424" s="2" t="s">
        <v>7141</v>
      </c>
      <c r="D424" s="6" t="s">
        <v>30</v>
      </c>
      <c r="E424" s="2" t="s">
        <v>9</v>
      </c>
      <c r="F424" s="2" t="n">
        <v>423</v>
      </c>
      <c r="G424" s="6" t="n">
        <v>94</v>
      </c>
      <c r="H424" s="8" t="n">
        <v>697.828984080277</v>
      </c>
      <c r="I424" s="2" t="s">
        <v>7012</v>
      </c>
    </row>
    <row r="425" customFormat="false" ht="15" hidden="false" customHeight="false" outlineLevel="0" collapsed="false">
      <c r="A425" s="2" t="s">
        <v>1106</v>
      </c>
      <c r="B425" s="2" t="s">
        <v>747</v>
      </c>
      <c r="C425" s="2" t="s">
        <v>1107</v>
      </c>
      <c r="D425" s="6" t="s">
        <v>30</v>
      </c>
      <c r="E425" s="2" t="s">
        <v>8</v>
      </c>
      <c r="F425" s="2" t="n">
        <v>424</v>
      </c>
      <c r="G425" s="6" t="n">
        <v>62</v>
      </c>
      <c r="H425" s="8" t="n">
        <v>1149.72173266418</v>
      </c>
      <c r="I425" s="2" t="s">
        <v>7012</v>
      </c>
    </row>
    <row r="426" customFormat="false" ht="15" hidden="false" customHeight="false" outlineLevel="0" collapsed="false">
      <c r="A426" s="2" t="s">
        <v>1108</v>
      </c>
      <c r="B426" s="2" t="s">
        <v>1109</v>
      </c>
      <c r="C426" s="2" t="s">
        <v>1110</v>
      </c>
      <c r="D426" s="6" t="s">
        <v>30</v>
      </c>
      <c r="E426" s="2" t="s">
        <v>10</v>
      </c>
      <c r="F426" s="2" t="n">
        <v>425</v>
      </c>
      <c r="G426" s="6" t="n">
        <v>186</v>
      </c>
      <c r="H426" s="8" t="n">
        <v>503.454044688715</v>
      </c>
      <c r="I426" s="2" t="s">
        <v>7012</v>
      </c>
    </row>
    <row r="427" customFormat="false" ht="15" hidden="false" customHeight="false" outlineLevel="0" collapsed="false">
      <c r="A427" s="2" t="s">
        <v>1111</v>
      </c>
      <c r="B427" s="2" t="s">
        <v>1112</v>
      </c>
      <c r="C427" s="2" t="s">
        <v>1113</v>
      </c>
      <c r="D427" s="6" t="s">
        <v>30</v>
      </c>
      <c r="E427" s="2" t="s">
        <v>9</v>
      </c>
      <c r="F427" s="2" t="n">
        <v>426</v>
      </c>
      <c r="G427" s="6" t="n">
        <v>92</v>
      </c>
      <c r="H427" s="8" t="n">
        <v>611.41185251362</v>
      </c>
      <c r="I427" s="2" t="s">
        <v>7012</v>
      </c>
    </row>
    <row r="428" customFormat="false" ht="15" hidden="false" customHeight="false" outlineLevel="0" collapsed="false">
      <c r="A428" s="2" t="s">
        <v>1114</v>
      </c>
      <c r="B428" s="2" t="s">
        <v>1115</v>
      </c>
      <c r="C428" s="2" t="s">
        <v>1116</v>
      </c>
      <c r="D428" s="6" t="s">
        <v>30</v>
      </c>
      <c r="E428" s="2" t="s">
        <v>10</v>
      </c>
      <c r="F428" s="2" t="n">
        <v>427</v>
      </c>
      <c r="G428" s="6" t="n">
        <v>184</v>
      </c>
      <c r="H428" s="8" t="n">
        <v>539.987950358217</v>
      </c>
      <c r="I428" s="2" t="s">
        <v>7012</v>
      </c>
    </row>
    <row r="429" customFormat="false" ht="15" hidden="false" customHeight="false" outlineLevel="0" collapsed="false">
      <c r="A429" s="2" t="s">
        <v>1117</v>
      </c>
      <c r="B429" s="2" t="s">
        <v>217</v>
      </c>
      <c r="C429" s="2"/>
      <c r="D429" s="6" t="s">
        <v>30</v>
      </c>
      <c r="E429" s="2" t="s">
        <v>9</v>
      </c>
      <c r="F429" s="2" t="n">
        <v>428</v>
      </c>
      <c r="G429" s="6" t="n">
        <v>92</v>
      </c>
      <c r="H429" s="8" t="n">
        <v>672.754681625467</v>
      </c>
      <c r="I429" s="2" t="s">
        <v>7012</v>
      </c>
    </row>
    <row r="430" customFormat="false" ht="15" hidden="false" customHeight="false" outlineLevel="0" collapsed="false">
      <c r="A430" s="2" t="s">
        <v>1118</v>
      </c>
      <c r="B430" s="2" t="s">
        <v>70</v>
      </c>
      <c r="C430" s="2" t="s">
        <v>7142</v>
      </c>
      <c r="D430" s="6" t="s">
        <v>30</v>
      </c>
      <c r="E430" s="2" t="s">
        <v>8</v>
      </c>
      <c r="F430" s="2" t="n">
        <v>429</v>
      </c>
      <c r="G430" s="6" t="n">
        <v>61</v>
      </c>
      <c r="H430" s="8" t="n">
        <v>1225.91903679966</v>
      </c>
      <c r="I430" s="2" t="s">
        <v>7012</v>
      </c>
    </row>
    <row r="431" customFormat="false" ht="15" hidden="false" customHeight="false" outlineLevel="0" collapsed="false">
      <c r="A431" s="2" t="s">
        <v>1120</v>
      </c>
      <c r="B431" s="2" t="s">
        <v>668</v>
      </c>
      <c r="C431" s="2"/>
      <c r="D431" s="6" t="s">
        <v>30</v>
      </c>
      <c r="E431" s="2" t="s">
        <v>8</v>
      </c>
      <c r="F431" s="2" t="n">
        <v>430</v>
      </c>
      <c r="G431" s="6" t="n">
        <v>61</v>
      </c>
      <c r="H431" s="8" t="n">
        <v>741.409351129803</v>
      </c>
      <c r="I431" s="2" t="s">
        <v>7012</v>
      </c>
    </row>
    <row r="432" customFormat="false" ht="15" hidden="false" customHeight="false" outlineLevel="0" collapsed="false">
      <c r="A432" s="2" t="s">
        <v>1121</v>
      </c>
      <c r="B432" s="2" t="s">
        <v>1122</v>
      </c>
      <c r="C432" s="2" t="s">
        <v>1123</v>
      </c>
      <c r="D432" s="6" t="s">
        <v>30</v>
      </c>
      <c r="E432" s="2" t="s">
        <v>10</v>
      </c>
      <c r="F432" s="2" t="n">
        <v>431</v>
      </c>
      <c r="G432" s="6" t="n">
        <v>183</v>
      </c>
      <c r="H432" s="8" t="n">
        <v>511.630189213552</v>
      </c>
      <c r="I432" s="2" t="s">
        <v>7012</v>
      </c>
    </row>
    <row r="433" customFormat="false" ht="15" hidden="false" customHeight="false" outlineLevel="0" collapsed="false">
      <c r="A433" s="2" t="s">
        <v>1124</v>
      </c>
      <c r="B433" s="2" t="s">
        <v>772</v>
      </c>
      <c r="C433" s="2" t="s">
        <v>7143</v>
      </c>
      <c r="D433" s="6" t="s">
        <v>30</v>
      </c>
      <c r="E433" s="2" t="s">
        <v>10</v>
      </c>
      <c r="F433" s="2" t="n">
        <v>432</v>
      </c>
      <c r="G433" s="6" t="n">
        <v>182</v>
      </c>
      <c r="H433" s="8" t="n">
        <v>535.330672844846</v>
      </c>
      <c r="I433" s="2" t="s">
        <v>7012</v>
      </c>
    </row>
    <row r="434" customFormat="false" ht="15" hidden="false" customHeight="false" outlineLevel="0" collapsed="false">
      <c r="A434" s="2" t="s">
        <v>1126</v>
      </c>
      <c r="B434" s="2" t="s">
        <v>767</v>
      </c>
      <c r="C434" s="2" t="s">
        <v>1127</v>
      </c>
      <c r="D434" s="6" t="s">
        <v>30</v>
      </c>
      <c r="E434" s="2" t="s">
        <v>10</v>
      </c>
      <c r="F434" s="2" t="n">
        <v>433</v>
      </c>
      <c r="G434" s="6" t="n">
        <v>181</v>
      </c>
      <c r="H434" s="8" t="n">
        <v>583.014151120044</v>
      </c>
      <c r="I434" s="2" t="s">
        <v>7012</v>
      </c>
    </row>
    <row r="435" customFormat="false" ht="15" hidden="false" customHeight="false" outlineLevel="0" collapsed="false">
      <c r="A435" s="2" t="s">
        <v>1128</v>
      </c>
      <c r="B435" s="2" t="s">
        <v>1129</v>
      </c>
      <c r="C435" s="2" t="s">
        <v>7144</v>
      </c>
      <c r="D435" s="6" t="s">
        <v>30</v>
      </c>
      <c r="E435" s="2" t="s">
        <v>10</v>
      </c>
      <c r="F435" s="2" t="n">
        <v>434</v>
      </c>
      <c r="G435" s="6" t="n">
        <v>181</v>
      </c>
      <c r="H435" s="8" t="n">
        <v>519.840446408983</v>
      </c>
      <c r="I435" s="2" t="s">
        <v>7012</v>
      </c>
    </row>
    <row r="436" customFormat="false" ht="15" hidden="false" customHeight="false" outlineLevel="0" collapsed="false">
      <c r="A436" s="2" t="s">
        <v>1131</v>
      </c>
      <c r="B436" s="2" t="s">
        <v>70</v>
      </c>
      <c r="C436" s="2" t="s">
        <v>1132</v>
      </c>
      <c r="D436" s="6" t="s">
        <v>30</v>
      </c>
      <c r="E436" s="2" t="s">
        <v>8</v>
      </c>
      <c r="F436" s="2" t="n">
        <v>435</v>
      </c>
      <c r="G436" s="6" t="n">
        <v>60</v>
      </c>
      <c r="H436" s="8" t="n">
        <v>1077.77238667887</v>
      </c>
      <c r="I436" s="2" t="s">
        <v>7012</v>
      </c>
    </row>
    <row r="437" customFormat="false" ht="15" hidden="false" customHeight="false" outlineLevel="0" collapsed="false">
      <c r="A437" s="2" t="s">
        <v>1133</v>
      </c>
      <c r="B437" s="2" t="s">
        <v>1029</v>
      </c>
      <c r="C437" s="2" t="s">
        <v>1134</v>
      </c>
      <c r="D437" s="6" t="s">
        <v>30</v>
      </c>
      <c r="E437" s="2" t="s">
        <v>9</v>
      </c>
      <c r="F437" s="2" t="n">
        <v>436</v>
      </c>
      <c r="G437" s="6" t="n">
        <v>90</v>
      </c>
      <c r="H437" s="8" t="n">
        <v>631.307995171622</v>
      </c>
      <c r="I437" s="2" t="s">
        <v>7012</v>
      </c>
    </row>
    <row r="438" customFormat="false" ht="15" hidden="false" customHeight="false" outlineLevel="0" collapsed="false">
      <c r="A438" s="2" t="s">
        <v>1135</v>
      </c>
      <c r="B438" s="2" t="s">
        <v>1136</v>
      </c>
      <c r="C438" s="2" t="s">
        <v>1137</v>
      </c>
      <c r="D438" s="6" t="s">
        <v>30</v>
      </c>
      <c r="E438" s="2" t="s">
        <v>8</v>
      </c>
      <c r="F438" s="2" t="n">
        <v>437</v>
      </c>
      <c r="G438" s="6" t="n">
        <v>60</v>
      </c>
      <c r="H438" s="8" t="n">
        <v>804.520048043083</v>
      </c>
      <c r="I438" s="2" t="s">
        <v>7012</v>
      </c>
    </row>
    <row r="439" customFormat="false" ht="15" hidden="false" customHeight="false" outlineLevel="0" collapsed="false">
      <c r="A439" s="2" t="s">
        <v>1138</v>
      </c>
      <c r="B439" s="2" t="s">
        <v>44</v>
      </c>
      <c r="C439" s="2" t="s">
        <v>7145</v>
      </c>
      <c r="D439" s="6" t="s">
        <v>30</v>
      </c>
      <c r="E439" s="2" t="s">
        <v>9</v>
      </c>
      <c r="F439" s="2" t="n">
        <v>438</v>
      </c>
      <c r="G439" s="6" t="n">
        <v>90</v>
      </c>
      <c r="H439" s="8" t="n">
        <v>641.348974078433</v>
      </c>
      <c r="I439" s="2" t="s">
        <v>7012</v>
      </c>
    </row>
    <row r="440" customFormat="false" ht="15" hidden="false" customHeight="false" outlineLevel="0" collapsed="false">
      <c r="A440" s="2" t="s">
        <v>1140</v>
      </c>
      <c r="B440" s="2" t="s">
        <v>363</v>
      </c>
      <c r="C440" s="2"/>
      <c r="D440" s="6" t="s">
        <v>30</v>
      </c>
      <c r="E440" s="2" t="s">
        <v>8</v>
      </c>
      <c r="F440" s="2" t="n">
        <v>439</v>
      </c>
      <c r="G440" s="6" t="n">
        <v>60</v>
      </c>
      <c r="H440" s="8" t="n">
        <v>979.2738749021</v>
      </c>
      <c r="I440" s="2" t="s">
        <v>7012</v>
      </c>
    </row>
    <row r="441" customFormat="false" ht="15" hidden="false" customHeight="false" outlineLevel="0" collapsed="false">
      <c r="A441" s="2" t="s">
        <v>1141</v>
      </c>
      <c r="B441" s="2" t="s">
        <v>1142</v>
      </c>
      <c r="C441" s="2"/>
      <c r="D441" s="6" t="s">
        <v>30</v>
      </c>
      <c r="E441" s="2" t="s">
        <v>8</v>
      </c>
      <c r="F441" s="2" t="n">
        <v>440</v>
      </c>
      <c r="G441" s="6" t="n">
        <v>60</v>
      </c>
      <c r="H441" s="8" t="n">
        <v>1172.222466757</v>
      </c>
      <c r="I441" s="2" t="s">
        <v>7012</v>
      </c>
    </row>
    <row r="442" customFormat="false" ht="15" hidden="false" customHeight="false" outlineLevel="0" collapsed="false">
      <c r="A442" s="2" t="s">
        <v>1143</v>
      </c>
      <c r="B442" s="2" t="s">
        <v>1122</v>
      </c>
      <c r="C442" s="2" t="s">
        <v>7146</v>
      </c>
      <c r="D442" s="6" t="s">
        <v>30</v>
      </c>
      <c r="E442" s="2" t="s">
        <v>10</v>
      </c>
      <c r="F442" s="2" t="n">
        <v>441</v>
      </c>
      <c r="G442" s="6" t="n">
        <v>177</v>
      </c>
      <c r="H442" s="8" t="n">
        <v>504.943514029582</v>
      </c>
      <c r="I442" s="2" t="s">
        <v>7012</v>
      </c>
    </row>
    <row r="443" customFormat="false" ht="15" hidden="false" customHeight="false" outlineLevel="0" collapsed="false">
      <c r="A443" s="2" t="s">
        <v>1145</v>
      </c>
      <c r="B443" s="2" t="s">
        <v>681</v>
      </c>
      <c r="C443" s="2"/>
      <c r="D443" s="6" t="s">
        <v>30</v>
      </c>
      <c r="E443" s="2" t="s">
        <v>9</v>
      </c>
      <c r="F443" s="2" t="n">
        <v>442</v>
      </c>
      <c r="G443" s="6" t="n">
        <v>88</v>
      </c>
      <c r="H443" s="8" t="n">
        <v>675.814541268295</v>
      </c>
      <c r="I443" s="2" t="s">
        <v>7012</v>
      </c>
    </row>
    <row r="444" customFormat="false" ht="15" hidden="false" customHeight="false" outlineLevel="0" collapsed="false">
      <c r="A444" s="2" t="s">
        <v>1147</v>
      </c>
      <c r="B444" s="2" t="s">
        <v>526</v>
      </c>
      <c r="C444" s="2"/>
      <c r="D444" s="6" t="s">
        <v>30</v>
      </c>
      <c r="E444" s="2" t="s">
        <v>9</v>
      </c>
      <c r="F444" s="2" t="n">
        <v>443</v>
      </c>
      <c r="G444" s="6" t="n">
        <v>88</v>
      </c>
      <c r="H444" s="8" t="n">
        <v>613.688363490989</v>
      </c>
      <c r="I444" s="2" t="s">
        <v>7012</v>
      </c>
    </row>
    <row r="445" customFormat="false" ht="15" hidden="false" customHeight="false" outlineLevel="0" collapsed="false">
      <c r="A445" s="2" t="s">
        <v>1148</v>
      </c>
      <c r="B445" s="2" t="s">
        <v>278</v>
      </c>
      <c r="C445" s="2" t="s">
        <v>1149</v>
      </c>
      <c r="D445" s="6" t="s">
        <v>30</v>
      </c>
      <c r="E445" s="2" t="s">
        <v>8</v>
      </c>
      <c r="F445" s="2" t="n">
        <v>444</v>
      </c>
      <c r="G445" s="6" t="n">
        <v>58</v>
      </c>
      <c r="H445" s="8" t="n">
        <v>978.186718464224</v>
      </c>
      <c r="I445" s="2" t="s">
        <v>7012</v>
      </c>
    </row>
    <row r="446" customFormat="false" ht="15" hidden="false" customHeight="false" outlineLevel="0" collapsed="false">
      <c r="A446" s="2" t="s">
        <v>1150</v>
      </c>
      <c r="B446" s="2" t="s">
        <v>403</v>
      </c>
      <c r="C446" s="2"/>
      <c r="D446" s="6" t="s">
        <v>30</v>
      </c>
      <c r="E446" s="2" t="s">
        <v>8</v>
      </c>
      <c r="F446" s="2" t="n">
        <v>445</v>
      </c>
      <c r="G446" s="6" t="n">
        <v>58</v>
      </c>
      <c r="H446" s="8" t="n">
        <v>851.234918030328</v>
      </c>
      <c r="I446" s="2" t="s">
        <v>7012</v>
      </c>
    </row>
    <row r="447" customFormat="false" ht="15" hidden="false" customHeight="false" outlineLevel="0" collapsed="false">
      <c r="A447" s="2" t="s">
        <v>1151</v>
      </c>
      <c r="B447" s="2" t="s">
        <v>1152</v>
      </c>
      <c r="C447" s="2" t="s">
        <v>7147</v>
      </c>
      <c r="D447" s="6" t="s">
        <v>30</v>
      </c>
      <c r="E447" s="2" t="s">
        <v>9</v>
      </c>
      <c r="F447" s="2" t="n">
        <v>446</v>
      </c>
      <c r="G447" s="6" t="n">
        <v>87</v>
      </c>
      <c r="H447" s="8" t="n">
        <v>652.71065015223</v>
      </c>
      <c r="I447" s="2" t="s">
        <v>7012</v>
      </c>
    </row>
    <row r="448" customFormat="false" ht="15" hidden="false" customHeight="false" outlineLevel="0" collapsed="false">
      <c r="A448" s="2" t="s">
        <v>1154</v>
      </c>
      <c r="B448" s="2" t="s">
        <v>1155</v>
      </c>
      <c r="C448" s="2"/>
      <c r="D448" s="6" t="s">
        <v>30</v>
      </c>
      <c r="E448" s="2" t="s">
        <v>8</v>
      </c>
      <c r="F448" s="2" t="n">
        <v>447</v>
      </c>
      <c r="G448" s="6" t="n">
        <v>58</v>
      </c>
      <c r="H448" s="8" t="n">
        <v>831.822950469431</v>
      </c>
      <c r="I448" s="2" t="s">
        <v>7012</v>
      </c>
    </row>
    <row r="449" customFormat="false" ht="15" hidden="false" customHeight="false" outlineLevel="0" collapsed="false">
      <c r="A449" s="2" t="s">
        <v>1156</v>
      </c>
      <c r="B449" s="2" t="s">
        <v>585</v>
      </c>
      <c r="C449" s="2" t="s">
        <v>1157</v>
      </c>
      <c r="D449" s="6" t="s">
        <v>30</v>
      </c>
      <c r="E449" s="2" t="s">
        <v>9</v>
      </c>
      <c r="F449" s="2" t="n">
        <v>448</v>
      </c>
      <c r="G449" s="6" t="n">
        <v>86</v>
      </c>
      <c r="H449" s="8" t="n">
        <v>649.952224269291</v>
      </c>
      <c r="I449" s="2" t="s">
        <v>7012</v>
      </c>
    </row>
    <row r="450" customFormat="false" ht="15" hidden="false" customHeight="false" outlineLevel="0" collapsed="false">
      <c r="A450" s="2" t="s">
        <v>1158</v>
      </c>
      <c r="B450" s="2" t="s">
        <v>452</v>
      </c>
      <c r="C450" s="2"/>
      <c r="D450" s="6" t="s">
        <v>30</v>
      </c>
      <c r="E450" s="2" t="s">
        <v>8</v>
      </c>
      <c r="F450" s="2" t="n">
        <v>449</v>
      </c>
      <c r="G450" s="6" t="n">
        <v>57</v>
      </c>
      <c r="H450" s="8" t="n">
        <v>816.680076799877</v>
      </c>
      <c r="I450" s="2" t="s">
        <v>7012</v>
      </c>
    </row>
    <row r="451" customFormat="false" ht="15" hidden="false" customHeight="false" outlineLevel="0" collapsed="false">
      <c r="A451" s="2" t="s">
        <v>1159</v>
      </c>
      <c r="B451" s="2" t="s">
        <v>1160</v>
      </c>
      <c r="C451" s="2"/>
      <c r="D451" s="6" t="s">
        <v>30</v>
      </c>
      <c r="E451" s="2" t="s">
        <v>10</v>
      </c>
      <c r="F451" s="2" t="n">
        <v>450</v>
      </c>
      <c r="G451" s="6" t="n">
        <v>169</v>
      </c>
      <c r="H451" s="8" t="n">
        <v>572.169445312734</v>
      </c>
      <c r="I451" s="2" t="s">
        <v>7012</v>
      </c>
    </row>
    <row r="452" customFormat="false" ht="15" hidden="false" customHeight="false" outlineLevel="0" collapsed="false">
      <c r="A452" s="2" t="s">
        <v>1161</v>
      </c>
      <c r="B452" s="2" t="s">
        <v>772</v>
      </c>
      <c r="C452" s="2" t="s">
        <v>1162</v>
      </c>
      <c r="D452" s="6" t="s">
        <v>30</v>
      </c>
      <c r="E452" s="2" t="s">
        <v>10</v>
      </c>
      <c r="F452" s="2" t="n">
        <v>451</v>
      </c>
      <c r="G452" s="6" t="n">
        <v>169</v>
      </c>
      <c r="H452" s="8" t="n">
        <v>540.276858339639</v>
      </c>
      <c r="I452" s="2" t="s">
        <v>7012</v>
      </c>
    </row>
    <row r="453" customFormat="false" ht="15" hidden="false" customHeight="false" outlineLevel="0" collapsed="false">
      <c r="A453" s="2" t="s">
        <v>1163</v>
      </c>
      <c r="B453" s="2" t="s">
        <v>1164</v>
      </c>
      <c r="C453" s="2" t="s">
        <v>1165</v>
      </c>
      <c r="D453" s="6" t="s">
        <v>30</v>
      </c>
      <c r="E453" s="2" t="s">
        <v>10</v>
      </c>
      <c r="F453" s="2" t="n">
        <v>452</v>
      </c>
      <c r="G453" s="6" t="n">
        <v>168</v>
      </c>
      <c r="H453" s="8" t="n">
        <v>551.469278434619</v>
      </c>
      <c r="I453" s="2" t="s">
        <v>7012</v>
      </c>
    </row>
    <row r="454" customFormat="false" ht="15" hidden="false" customHeight="false" outlineLevel="0" collapsed="false">
      <c r="A454" s="2" t="s">
        <v>1166</v>
      </c>
      <c r="B454" s="2" t="s">
        <v>1167</v>
      </c>
      <c r="C454" s="2"/>
      <c r="D454" s="6" t="s">
        <v>30</v>
      </c>
      <c r="E454" s="2" t="s">
        <v>10</v>
      </c>
      <c r="F454" s="2" t="n">
        <v>453</v>
      </c>
      <c r="G454" s="6" t="n">
        <v>168</v>
      </c>
      <c r="H454" s="8" t="n">
        <v>550.474993216292</v>
      </c>
      <c r="I454" s="2" t="s">
        <v>7012</v>
      </c>
    </row>
    <row r="455" customFormat="false" ht="15" hidden="false" customHeight="false" outlineLevel="0" collapsed="false">
      <c r="A455" s="2" t="s">
        <v>1168</v>
      </c>
      <c r="B455" s="2" t="s">
        <v>38</v>
      </c>
      <c r="C455" s="2"/>
      <c r="D455" s="6" t="s">
        <v>30</v>
      </c>
      <c r="E455" s="2" t="s">
        <v>8</v>
      </c>
      <c r="F455" s="2" t="n">
        <v>454</v>
      </c>
      <c r="G455" s="6" t="n">
        <v>56</v>
      </c>
      <c r="H455" s="8" t="n">
        <v>1225.94250849179</v>
      </c>
      <c r="I455" s="2" t="s">
        <v>7012</v>
      </c>
    </row>
    <row r="456" customFormat="false" ht="15" hidden="false" customHeight="false" outlineLevel="0" collapsed="false">
      <c r="A456" s="2" t="s">
        <v>1169</v>
      </c>
      <c r="B456" s="2" t="s">
        <v>976</v>
      </c>
      <c r="C456" s="2" t="s">
        <v>7148</v>
      </c>
      <c r="D456" s="6" t="s">
        <v>30</v>
      </c>
      <c r="E456" s="2" t="s">
        <v>10</v>
      </c>
      <c r="F456" s="2" t="n">
        <v>455</v>
      </c>
      <c r="G456" s="6" t="n">
        <v>168</v>
      </c>
      <c r="H456" s="8" t="n">
        <v>561.93857867572</v>
      </c>
      <c r="I456" s="2" t="s">
        <v>7012</v>
      </c>
    </row>
    <row r="457" customFormat="false" ht="15" hidden="false" customHeight="false" outlineLevel="0" collapsed="false">
      <c r="A457" s="2" t="s">
        <v>1171</v>
      </c>
      <c r="B457" s="2" t="s">
        <v>56</v>
      </c>
      <c r="C457" s="2" t="s">
        <v>1172</v>
      </c>
      <c r="D457" s="6" t="s">
        <v>30</v>
      </c>
      <c r="E457" s="2" t="s">
        <v>8</v>
      </c>
      <c r="F457" s="2" t="n">
        <v>456</v>
      </c>
      <c r="G457" s="6" t="n">
        <v>55</v>
      </c>
      <c r="H457" s="8" t="n">
        <v>937.766548846709</v>
      </c>
      <c r="I457" s="2" t="s">
        <v>7012</v>
      </c>
    </row>
    <row r="458" customFormat="false" ht="15" hidden="false" customHeight="false" outlineLevel="0" collapsed="false">
      <c r="A458" s="2" t="s">
        <v>1173</v>
      </c>
      <c r="B458" s="2" t="s">
        <v>56</v>
      </c>
      <c r="C458" s="2" t="s">
        <v>1174</v>
      </c>
      <c r="D458" s="6" t="s">
        <v>30</v>
      </c>
      <c r="E458" s="2" t="s">
        <v>8</v>
      </c>
      <c r="F458" s="2" t="n">
        <v>457</v>
      </c>
      <c r="G458" s="6" t="n">
        <v>55</v>
      </c>
      <c r="H458" s="8" t="n">
        <v>1188.43811019253</v>
      </c>
      <c r="I458" s="2" t="s">
        <v>7012</v>
      </c>
    </row>
    <row r="459" customFormat="false" ht="15" hidden="false" customHeight="false" outlineLevel="0" collapsed="false">
      <c r="A459" s="2" t="s">
        <v>1175</v>
      </c>
      <c r="B459" s="2" t="s">
        <v>1176</v>
      </c>
      <c r="C459" s="2" t="s">
        <v>1177</v>
      </c>
      <c r="D459" s="6" t="s">
        <v>30</v>
      </c>
      <c r="E459" s="2" t="s">
        <v>10</v>
      </c>
      <c r="F459" s="2" t="n">
        <v>458</v>
      </c>
      <c r="G459" s="6" t="n">
        <v>164</v>
      </c>
      <c r="H459" s="8" t="n">
        <v>528.611629199024</v>
      </c>
      <c r="I459" s="2" t="s">
        <v>7012</v>
      </c>
    </row>
    <row r="460" customFormat="false" ht="15" hidden="false" customHeight="false" outlineLevel="0" collapsed="false">
      <c r="A460" s="2" t="s">
        <v>1178</v>
      </c>
      <c r="B460" s="2" t="s">
        <v>585</v>
      </c>
      <c r="C460" s="2" t="s">
        <v>1179</v>
      </c>
      <c r="D460" s="6" t="s">
        <v>30</v>
      </c>
      <c r="E460" s="2" t="s">
        <v>9</v>
      </c>
      <c r="F460" s="2" t="n">
        <v>459</v>
      </c>
      <c r="G460" s="6" t="n">
        <v>82</v>
      </c>
      <c r="H460" s="8" t="n">
        <v>631.125040600195</v>
      </c>
      <c r="I460" s="2" t="s">
        <v>7012</v>
      </c>
    </row>
    <row r="461" customFormat="false" ht="15" hidden="false" customHeight="false" outlineLevel="0" collapsed="false">
      <c r="A461" s="2" t="s">
        <v>1180</v>
      </c>
      <c r="B461" s="2" t="s">
        <v>273</v>
      </c>
      <c r="C461" s="2"/>
      <c r="D461" s="6" t="s">
        <v>30</v>
      </c>
      <c r="E461" s="2" t="s">
        <v>10</v>
      </c>
      <c r="F461" s="2" t="n">
        <v>460</v>
      </c>
      <c r="G461" s="6" t="n">
        <v>164</v>
      </c>
      <c r="H461" s="8" t="n">
        <v>512.382506650884</v>
      </c>
      <c r="I461" s="2" t="s">
        <v>7012</v>
      </c>
    </row>
    <row r="462" customFormat="false" ht="15" hidden="false" customHeight="false" outlineLevel="0" collapsed="false">
      <c r="A462" s="2" t="s">
        <v>1181</v>
      </c>
      <c r="B462" s="2" t="s">
        <v>84</v>
      </c>
      <c r="C462" s="2" t="s">
        <v>1182</v>
      </c>
      <c r="D462" s="6" t="s">
        <v>30</v>
      </c>
      <c r="E462" s="2" t="s">
        <v>9</v>
      </c>
      <c r="F462" s="2" t="n">
        <v>461</v>
      </c>
      <c r="G462" s="6" t="n">
        <v>81</v>
      </c>
      <c r="H462" s="8" t="n">
        <v>643.41586679737</v>
      </c>
      <c r="I462" s="2" t="s">
        <v>7012</v>
      </c>
    </row>
    <row r="463" customFormat="false" ht="15" hidden="false" customHeight="false" outlineLevel="0" collapsed="false">
      <c r="A463" s="2" t="s">
        <v>1183</v>
      </c>
      <c r="B463" s="2" t="s">
        <v>27</v>
      </c>
      <c r="C463" s="2"/>
      <c r="D463" s="6" t="s">
        <v>30</v>
      </c>
      <c r="E463" s="2" t="s">
        <v>8</v>
      </c>
      <c r="F463" s="2" t="n">
        <v>462</v>
      </c>
      <c r="G463" s="6" t="n">
        <v>54</v>
      </c>
      <c r="H463" s="8" t="n">
        <v>813.030133852982</v>
      </c>
      <c r="I463" s="2" t="s">
        <v>7012</v>
      </c>
    </row>
    <row r="464" customFormat="false" ht="15" hidden="false" customHeight="false" outlineLevel="0" collapsed="false">
      <c r="A464" s="2" t="s">
        <v>1184</v>
      </c>
      <c r="B464" s="2" t="s">
        <v>34</v>
      </c>
      <c r="C464" s="2" t="s">
        <v>1185</v>
      </c>
      <c r="D464" s="6" t="s">
        <v>30</v>
      </c>
      <c r="E464" s="2" t="s">
        <v>8</v>
      </c>
      <c r="F464" s="2" t="n">
        <v>463</v>
      </c>
      <c r="G464" s="6" t="n">
        <v>54</v>
      </c>
      <c r="H464" s="8" t="n">
        <v>775.191088777093</v>
      </c>
      <c r="I464" s="2" t="s">
        <v>7012</v>
      </c>
    </row>
    <row r="465" customFormat="false" ht="15" hidden="false" customHeight="false" outlineLevel="0" collapsed="false">
      <c r="A465" s="2" t="s">
        <v>1186</v>
      </c>
      <c r="B465" s="2" t="s">
        <v>38</v>
      </c>
      <c r="C465" s="2" t="s">
        <v>7149</v>
      </c>
      <c r="D465" s="6" t="s">
        <v>30</v>
      </c>
      <c r="E465" s="2" t="s">
        <v>8</v>
      </c>
      <c r="F465" s="2" t="n">
        <v>464</v>
      </c>
      <c r="G465" s="6" t="n">
        <v>54</v>
      </c>
      <c r="H465" s="8" t="n">
        <v>893.033182094</v>
      </c>
      <c r="I465" s="2" t="s">
        <v>7012</v>
      </c>
    </row>
    <row r="466" customFormat="false" ht="15" hidden="false" customHeight="false" outlineLevel="0" collapsed="false">
      <c r="A466" s="2" t="s">
        <v>1188</v>
      </c>
      <c r="B466" s="2" t="s">
        <v>84</v>
      </c>
      <c r="C466" s="2"/>
      <c r="D466" s="6" t="s">
        <v>30</v>
      </c>
      <c r="E466" s="2" t="s">
        <v>8</v>
      </c>
      <c r="F466" s="2" t="n">
        <v>465</v>
      </c>
      <c r="G466" s="6" t="n">
        <v>53</v>
      </c>
      <c r="H466" s="8" t="n">
        <v>811.496640020189</v>
      </c>
      <c r="I466" s="2" t="s">
        <v>7012</v>
      </c>
    </row>
    <row r="467" customFormat="false" ht="15" hidden="false" customHeight="false" outlineLevel="0" collapsed="false">
      <c r="A467" s="2" t="s">
        <v>1192</v>
      </c>
      <c r="B467" s="2" t="s">
        <v>1193</v>
      </c>
      <c r="C467" s="2"/>
      <c r="D467" s="6" t="s">
        <v>30</v>
      </c>
      <c r="E467" s="2" t="s">
        <v>8</v>
      </c>
      <c r="F467" s="2" t="n">
        <v>466</v>
      </c>
      <c r="G467" s="6" t="n">
        <v>53</v>
      </c>
      <c r="H467" s="8" t="n">
        <v>709.214209484076</v>
      </c>
      <c r="I467" s="2" t="s">
        <v>7012</v>
      </c>
    </row>
    <row r="468" customFormat="false" ht="15" hidden="false" customHeight="false" outlineLevel="0" collapsed="false">
      <c r="A468" s="2" t="s">
        <v>1195</v>
      </c>
      <c r="B468" s="2" t="s">
        <v>339</v>
      </c>
      <c r="C468" s="2" t="s">
        <v>1196</v>
      </c>
      <c r="D468" s="6" t="s">
        <v>30</v>
      </c>
      <c r="E468" s="2" t="s">
        <v>8</v>
      </c>
      <c r="F468" s="2" t="n">
        <v>467</v>
      </c>
      <c r="G468" s="6" t="n">
        <v>53</v>
      </c>
      <c r="H468" s="8" t="n">
        <v>1176.96488464326</v>
      </c>
      <c r="I468" s="2" t="s">
        <v>7012</v>
      </c>
    </row>
    <row r="469" customFormat="false" ht="15" hidden="false" customHeight="false" outlineLevel="0" collapsed="false">
      <c r="A469" s="2" t="s">
        <v>1197</v>
      </c>
      <c r="B469" s="2" t="s">
        <v>1198</v>
      </c>
      <c r="C469" s="2"/>
      <c r="D469" s="6" t="s">
        <v>30</v>
      </c>
      <c r="E469" s="2" t="s">
        <v>10</v>
      </c>
      <c r="F469" s="2" t="n">
        <v>468</v>
      </c>
      <c r="G469" s="6" t="n">
        <v>156</v>
      </c>
      <c r="H469" s="8" t="n">
        <v>532.985125673814</v>
      </c>
      <c r="I469" s="2" t="s">
        <v>7012</v>
      </c>
    </row>
    <row r="470" customFormat="false" ht="15" hidden="false" customHeight="false" outlineLevel="0" collapsed="false">
      <c r="A470" s="2" t="s">
        <v>1200</v>
      </c>
      <c r="B470" s="2" t="s">
        <v>1201</v>
      </c>
      <c r="C470" s="2" t="s">
        <v>1202</v>
      </c>
      <c r="D470" s="6" t="s">
        <v>30</v>
      </c>
      <c r="E470" s="2" t="s">
        <v>8</v>
      </c>
      <c r="F470" s="2" t="n">
        <v>469</v>
      </c>
      <c r="G470" s="6" t="n">
        <v>52</v>
      </c>
      <c r="H470" s="8" t="n">
        <v>1020.66781417815</v>
      </c>
      <c r="I470" s="2" t="s">
        <v>7012</v>
      </c>
    </row>
    <row r="471" customFormat="false" ht="15" hidden="false" customHeight="false" outlineLevel="0" collapsed="false">
      <c r="A471" s="2" t="s">
        <v>1203</v>
      </c>
      <c r="B471" s="2" t="s">
        <v>1204</v>
      </c>
      <c r="C471" s="2"/>
      <c r="D471" s="6" t="s">
        <v>30</v>
      </c>
      <c r="E471" s="2" t="s">
        <v>10</v>
      </c>
      <c r="F471" s="2" t="n">
        <v>470</v>
      </c>
      <c r="G471" s="6" t="n">
        <v>156</v>
      </c>
      <c r="H471" s="8" t="n">
        <v>573.535332320333</v>
      </c>
      <c r="I471" s="2" t="s">
        <v>7012</v>
      </c>
    </row>
    <row r="472" customFormat="false" ht="15" hidden="false" customHeight="false" outlineLevel="0" collapsed="false">
      <c r="A472" s="2" t="s">
        <v>1205</v>
      </c>
      <c r="B472" s="2" t="s">
        <v>1206</v>
      </c>
      <c r="C472" s="2" t="s">
        <v>7150</v>
      </c>
      <c r="D472" s="6" t="s">
        <v>30</v>
      </c>
      <c r="E472" s="2" t="s">
        <v>9</v>
      </c>
      <c r="F472" s="2" t="n">
        <v>471</v>
      </c>
      <c r="G472" s="6" t="n">
        <v>78</v>
      </c>
      <c r="H472" s="8" t="n">
        <v>670.060938634718</v>
      </c>
      <c r="I472" s="2" t="s">
        <v>7012</v>
      </c>
    </row>
    <row r="473" customFormat="false" ht="15" hidden="false" customHeight="false" outlineLevel="0" collapsed="false">
      <c r="A473" s="2" t="s">
        <v>1210</v>
      </c>
      <c r="B473" s="2" t="s">
        <v>1211</v>
      </c>
      <c r="C473" s="2"/>
      <c r="D473" s="6" t="s">
        <v>30</v>
      </c>
      <c r="E473" s="2" t="s">
        <v>10</v>
      </c>
      <c r="F473" s="2" t="n">
        <v>472</v>
      </c>
      <c r="G473" s="6" t="n">
        <v>154</v>
      </c>
      <c r="H473" s="8" t="n">
        <v>547.83997302113</v>
      </c>
      <c r="I473" s="2" t="s">
        <v>7012</v>
      </c>
    </row>
    <row r="474" customFormat="false" ht="15" hidden="false" customHeight="false" outlineLevel="0" collapsed="false">
      <c r="A474" s="2" t="s">
        <v>1212</v>
      </c>
      <c r="B474" s="2" t="s">
        <v>125</v>
      </c>
      <c r="C474" s="2" t="s">
        <v>1213</v>
      </c>
      <c r="D474" s="6" t="s">
        <v>30</v>
      </c>
      <c r="E474" s="2" t="s">
        <v>9</v>
      </c>
      <c r="F474" s="2" t="n">
        <v>473</v>
      </c>
      <c r="G474" s="6" t="n">
        <v>77</v>
      </c>
      <c r="H474" s="8" t="n">
        <v>637.802088666546</v>
      </c>
      <c r="I474" s="2" t="s">
        <v>7012</v>
      </c>
    </row>
    <row r="475" customFormat="false" ht="15" hidden="false" customHeight="false" outlineLevel="0" collapsed="false">
      <c r="A475" s="2" t="s">
        <v>1214</v>
      </c>
      <c r="B475" s="2" t="s">
        <v>70</v>
      </c>
      <c r="C475" s="2" t="s">
        <v>7151</v>
      </c>
      <c r="D475" s="6" t="s">
        <v>30</v>
      </c>
      <c r="E475" s="2" t="s">
        <v>10</v>
      </c>
      <c r="F475" s="2" t="n">
        <v>474</v>
      </c>
      <c r="G475" s="6" t="n">
        <v>151</v>
      </c>
      <c r="H475" s="8" t="n">
        <v>521.562448782768</v>
      </c>
      <c r="I475" s="2" t="s">
        <v>7012</v>
      </c>
    </row>
    <row r="476" customFormat="false" ht="15" hidden="false" customHeight="false" outlineLevel="0" collapsed="false">
      <c r="A476" s="2" t="s">
        <v>1216</v>
      </c>
      <c r="B476" s="2" t="s">
        <v>1217</v>
      </c>
      <c r="C476" s="2" t="s">
        <v>1218</v>
      </c>
      <c r="D476" s="6" t="s">
        <v>30</v>
      </c>
      <c r="E476" s="2" t="s">
        <v>10</v>
      </c>
      <c r="F476" s="2" t="n">
        <v>475</v>
      </c>
      <c r="G476" s="6" t="n">
        <v>150</v>
      </c>
      <c r="H476" s="8" t="n">
        <v>522.385672183287</v>
      </c>
      <c r="I476" s="2" t="s">
        <v>7012</v>
      </c>
    </row>
    <row r="477" customFormat="false" ht="15" hidden="false" customHeight="false" outlineLevel="0" collapsed="false">
      <c r="A477" s="2" t="s">
        <v>1219</v>
      </c>
      <c r="B477" s="2" t="s">
        <v>1220</v>
      </c>
      <c r="C477" s="2"/>
      <c r="D477" s="6" t="s">
        <v>30</v>
      </c>
      <c r="E477" s="2" t="s">
        <v>8</v>
      </c>
      <c r="F477" s="2" t="n">
        <v>476</v>
      </c>
      <c r="G477" s="6" t="n">
        <v>50</v>
      </c>
      <c r="H477" s="8" t="n">
        <v>772.08934367224</v>
      </c>
      <c r="I477" s="2" t="s">
        <v>7012</v>
      </c>
    </row>
    <row r="478" customFormat="false" ht="15" hidden="false" customHeight="false" outlineLevel="0" collapsed="false">
      <c r="A478" s="2" t="s">
        <v>1224</v>
      </c>
      <c r="B478" s="2" t="s">
        <v>1204</v>
      </c>
      <c r="C478" s="2"/>
      <c r="D478" s="6" t="s">
        <v>30</v>
      </c>
      <c r="E478" s="2" t="s">
        <v>10</v>
      </c>
      <c r="F478" s="2" t="n">
        <v>477</v>
      </c>
      <c r="G478" s="6" t="n">
        <v>149</v>
      </c>
      <c r="H478" s="8" t="n">
        <v>525.534931230859</v>
      </c>
      <c r="I478" s="2" t="s">
        <v>7012</v>
      </c>
    </row>
    <row r="479" customFormat="false" ht="15" hidden="false" customHeight="false" outlineLevel="0" collapsed="false">
      <c r="A479" s="2" t="s">
        <v>1225</v>
      </c>
      <c r="B479" s="2" t="s">
        <v>1065</v>
      </c>
      <c r="C479" s="2"/>
      <c r="D479" s="6" t="s">
        <v>30</v>
      </c>
      <c r="E479" s="2" t="s">
        <v>9</v>
      </c>
      <c r="F479" s="2" t="n">
        <v>478</v>
      </c>
      <c r="G479" s="6" t="n">
        <v>74</v>
      </c>
      <c r="H479" s="8" t="n">
        <v>653.772613557622</v>
      </c>
      <c r="I479" s="2" t="s">
        <v>7012</v>
      </c>
    </row>
    <row r="480" customFormat="false" ht="15" hidden="false" customHeight="false" outlineLevel="0" collapsed="false">
      <c r="A480" s="2" t="s">
        <v>1226</v>
      </c>
      <c r="B480" s="2" t="s">
        <v>681</v>
      </c>
      <c r="C480" s="2"/>
      <c r="D480" s="6" t="s">
        <v>30</v>
      </c>
      <c r="E480" s="2" t="s">
        <v>9</v>
      </c>
      <c r="F480" s="2" t="n">
        <v>479</v>
      </c>
      <c r="G480" s="6" t="n">
        <v>74</v>
      </c>
      <c r="H480" s="8" t="n">
        <v>688.417744025689</v>
      </c>
      <c r="I480" s="2" t="s">
        <v>7012</v>
      </c>
    </row>
    <row r="481" customFormat="false" ht="15" hidden="false" customHeight="false" outlineLevel="0" collapsed="false">
      <c r="A481" s="2" t="s">
        <v>1227</v>
      </c>
      <c r="B481" s="2" t="s">
        <v>266</v>
      </c>
      <c r="C481" s="2"/>
      <c r="D481" s="6" t="s">
        <v>30</v>
      </c>
      <c r="E481" s="2" t="s">
        <v>9</v>
      </c>
      <c r="F481" s="2" t="n">
        <v>480</v>
      </c>
      <c r="G481" s="6" t="n">
        <v>74</v>
      </c>
      <c r="H481" s="8" t="n">
        <v>675.432128165324</v>
      </c>
      <c r="I481" s="2" t="s">
        <v>7012</v>
      </c>
    </row>
    <row r="482" customFormat="false" ht="15" hidden="false" customHeight="false" outlineLevel="0" collapsed="false">
      <c r="A482" s="2" t="s">
        <v>1228</v>
      </c>
      <c r="B482" s="2" t="s">
        <v>84</v>
      </c>
      <c r="C482" s="2"/>
      <c r="D482" s="6" t="s">
        <v>30</v>
      </c>
      <c r="E482" s="2" t="s">
        <v>8</v>
      </c>
      <c r="F482" s="2" t="n">
        <v>481</v>
      </c>
      <c r="G482" s="6" t="n">
        <v>49</v>
      </c>
      <c r="H482" s="8" t="n">
        <v>799.879148290184</v>
      </c>
      <c r="I482" s="2" t="s">
        <v>7012</v>
      </c>
    </row>
    <row r="483" customFormat="false" ht="15" hidden="false" customHeight="false" outlineLevel="0" collapsed="false">
      <c r="A483" s="2" t="s">
        <v>1229</v>
      </c>
      <c r="B483" s="2" t="s">
        <v>1230</v>
      </c>
      <c r="C483" s="2"/>
      <c r="D483" s="6" t="s">
        <v>30</v>
      </c>
      <c r="E483" s="2" t="s">
        <v>10</v>
      </c>
      <c r="F483" s="2" t="n">
        <v>482</v>
      </c>
      <c r="G483" s="6" t="n">
        <v>146</v>
      </c>
      <c r="H483" s="8" t="n">
        <v>575.725357823596</v>
      </c>
      <c r="I483" s="2" t="s">
        <v>7012</v>
      </c>
    </row>
    <row r="484" customFormat="false" ht="15" hidden="false" customHeight="false" outlineLevel="0" collapsed="false">
      <c r="A484" s="2" t="s">
        <v>1232</v>
      </c>
      <c r="B484" s="2" t="s">
        <v>1233</v>
      </c>
      <c r="C484" s="2" t="s">
        <v>1234</v>
      </c>
      <c r="D484" s="6" t="s">
        <v>30</v>
      </c>
      <c r="E484" s="2" t="s">
        <v>10</v>
      </c>
      <c r="F484" s="2" t="n">
        <v>483</v>
      </c>
      <c r="G484" s="6" t="n">
        <v>146</v>
      </c>
      <c r="H484" s="8" t="n">
        <v>523.661397672034</v>
      </c>
      <c r="I484" s="2" t="s">
        <v>7012</v>
      </c>
    </row>
    <row r="485" customFormat="false" ht="15" hidden="false" customHeight="false" outlineLevel="0" collapsed="false">
      <c r="A485" s="2" t="s">
        <v>1236</v>
      </c>
      <c r="B485" s="2" t="s">
        <v>1237</v>
      </c>
      <c r="C485" s="2"/>
      <c r="D485" s="6" t="s">
        <v>30</v>
      </c>
      <c r="E485" s="2" t="s">
        <v>10</v>
      </c>
      <c r="F485" s="2" t="n">
        <v>484</v>
      </c>
      <c r="G485" s="6" t="n">
        <v>145</v>
      </c>
      <c r="H485" s="8" t="n">
        <v>563.86364688649</v>
      </c>
      <c r="I485" s="2" t="s">
        <v>7012</v>
      </c>
    </row>
    <row r="486" customFormat="false" ht="15" hidden="false" customHeight="false" outlineLevel="0" collapsed="false">
      <c r="A486" s="2" t="s">
        <v>1238</v>
      </c>
      <c r="B486" s="2" t="s">
        <v>138</v>
      </c>
      <c r="C486" s="2" t="s">
        <v>1239</v>
      </c>
      <c r="D486" s="6" t="s">
        <v>30</v>
      </c>
      <c r="E486" s="2" t="s">
        <v>8</v>
      </c>
      <c r="F486" s="2" t="n">
        <v>485</v>
      </c>
      <c r="G486" s="6" t="n">
        <v>48</v>
      </c>
      <c r="H486" s="8" t="n">
        <v>2618.15200399875</v>
      </c>
      <c r="I486" s="2" t="s">
        <v>7012</v>
      </c>
    </row>
    <row r="487" customFormat="false" ht="15" hidden="false" customHeight="false" outlineLevel="0" collapsed="false">
      <c r="A487" s="2" t="s">
        <v>1240</v>
      </c>
      <c r="B487" s="2" t="s">
        <v>825</v>
      </c>
      <c r="C487" s="2"/>
      <c r="D487" s="6" t="s">
        <v>30</v>
      </c>
      <c r="E487" s="2" t="s">
        <v>8</v>
      </c>
      <c r="F487" s="2" t="n">
        <v>486</v>
      </c>
      <c r="G487" s="6" t="n">
        <v>48</v>
      </c>
      <c r="H487" s="8" t="n">
        <v>1315.62080561269</v>
      </c>
      <c r="I487" s="2" t="s">
        <v>7012</v>
      </c>
    </row>
    <row r="488" customFormat="false" ht="15" hidden="false" customHeight="false" outlineLevel="0" collapsed="false">
      <c r="A488" s="2" t="s">
        <v>1241</v>
      </c>
      <c r="B488" s="2" t="s">
        <v>573</v>
      </c>
      <c r="C488" s="2"/>
      <c r="D488" s="6" t="s">
        <v>30</v>
      </c>
      <c r="E488" s="2" t="s">
        <v>9</v>
      </c>
      <c r="F488" s="2" t="n">
        <v>487</v>
      </c>
      <c r="G488" s="6" t="n">
        <v>71</v>
      </c>
      <c r="H488" s="8" t="n">
        <v>624.149942495437</v>
      </c>
      <c r="I488" s="2" t="s">
        <v>7012</v>
      </c>
    </row>
    <row r="489" customFormat="false" ht="15" hidden="false" customHeight="false" outlineLevel="0" collapsed="false">
      <c r="A489" s="2" t="s">
        <v>1242</v>
      </c>
      <c r="B489" s="2" t="s">
        <v>403</v>
      </c>
      <c r="C489" s="2"/>
      <c r="D489" s="6" t="s">
        <v>30</v>
      </c>
      <c r="E489" s="2" t="s">
        <v>8</v>
      </c>
      <c r="F489" s="2" t="n">
        <v>488</v>
      </c>
      <c r="G489" s="6" t="n">
        <v>47</v>
      </c>
      <c r="H489" s="8" t="n">
        <v>879.361554499277</v>
      </c>
      <c r="I489" s="2" t="s">
        <v>7012</v>
      </c>
    </row>
    <row r="490" customFormat="false" ht="15" hidden="false" customHeight="false" outlineLevel="0" collapsed="false">
      <c r="A490" s="2" t="s">
        <v>1243</v>
      </c>
      <c r="B490" s="2" t="s">
        <v>116</v>
      </c>
      <c r="C490" s="2"/>
      <c r="D490" s="6" t="s">
        <v>30</v>
      </c>
      <c r="E490" s="2" t="s">
        <v>8</v>
      </c>
      <c r="F490" s="2" t="n">
        <v>489</v>
      </c>
      <c r="G490" s="6" t="n">
        <v>47</v>
      </c>
      <c r="H490" s="8" t="n">
        <v>1287.8551777017</v>
      </c>
      <c r="I490" s="2" t="s">
        <v>7012</v>
      </c>
    </row>
    <row r="491" customFormat="false" ht="15" hidden="false" customHeight="false" outlineLevel="0" collapsed="false">
      <c r="A491" s="2" t="s">
        <v>1244</v>
      </c>
      <c r="B491" s="2" t="s">
        <v>767</v>
      </c>
      <c r="C491" s="2"/>
      <c r="D491" s="6" t="s">
        <v>30</v>
      </c>
      <c r="E491" s="2" t="s">
        <v>9</v>
      </c>
      <c r="F491" s="2" t="n">
        <v>490</v>
      </c>
      <c r="G491" s="6" t="n">
        <v>70</v>
      </c>
      <c r="H491" s="8" t="n">
        <v>626.256217863914</v>
      </c>
      <c r="I491" s="2" t="s">
        <v>7012</v>
      </c>
    </row>
    <row r="492" customFormat="false" ht="15" hidden="false" customHeight="false" outlineLevel="0" collapsed="false">
      <c r="A492" s="2" t="s">
        <v>1245</v>
      </c>
      <c r="B492" s="2" t="s">
        <v>217</v>
      </c>
      <c r="C492" s="2" t="s">
        <v>7152</v>
      </c>
      <c r="D492" s="6" t="s">
        <v>30</v>
      </c>
      <c r="E492" s="2" t="s">
        <v>9</v>
      </c>
      <c r="F492" s="2" t="n">
        <v>491</v>
      </c>
      <c r="G492" s="6" t="n">
        <v>70</v>
      </c>
      <c r="H492" s="8" t="n">
        <v>699.1715602922</v>
      </c>
      <c r="I492" s="2" t="s">
        <v>7012</v>
      </c>
    </row>
    <row r="493" customFormat="false" ht="15" hidden="false" customHeight="false" outlineLevel="0" collapsed="false">
      <c r="A493" s="2" t="s">
        <v>1247</v>
      </c>
      <c r="B493" s="2" t="s">
        <v>1248</v>
      </c>
      <c r="C493" s="2"/>
      <c r="D493" s="6" t="s">
        <v>30</v>
      </c>
      <c r="E493" s="2" t="s">
        <v>10</v>
      </c>
      <c r="F493" s="2" t="n">
        <v>492</v>
      </c>
      <c r="G493" s="6" t="n">
        <v>139</v>
      </c>
      <c r="H493" s="8" t="n">
        <v>570.157099981324</v>
      </c>
      <c r="I493" s="2" t="s">
        <v>7012</v>
      </c>
    </row>
    <row r="494" customFormat="false" ht="15" hidden="false" customHeight="false" outlineLevel="0" collapsed="false">
      <c r="A494" s="2" t="s">
        <v>1249</v>
      </c>
      <c r="B494" s="2" t="s">
        <v>1250</v>
      </c>
      <c r="C494" s="2" t="s">
        <v>1251</v>
      </c>
      <c r="D494" s="6" t="s">
        <v>30</v>
      </c>
      <c r="E494" s="2" t="s">
        <v>8</v>
      </c>
      <c r="F494" s="2" t="n">
        <v>493</v>
      </c>
      <c r="G494" s="6" t="n">
        <v>45</v>
      </c>
      <c r="H494" s="8" t="n">
        <v>857.735254858222</v>
      </c>
      <c r="I494" s="2" t="s">
        <v>7012</v>
      </c>
    </row>
    <row r="495" customFormat="false" ht="15" hidden="false" customHeight="false" outlineLevel="0" collapsed="false">
      <c r="A495" s="2" t="s">
        <v>1252</v>
      </c>
      <c r="B495" s="2" t="s">
        <v>263</v>
      </c>
      <c r="C495" s="2" t="s">
        <v>7153</v>
      </c>
      <c r="D495" s="6" t="s">
        <v>30</v>
      </c>
      <c r="E495" s="2" t="s">
        <v>8</v>
      </c>
      <c r="F495" s="2" t="n">
        <v>494</v>
      </c>
      <c r="G495" s="6" t="n">
        <v>45</v>
      </c>
      <c r="H495" s="8" t="n">
        <v>857.283673034778</v>
      </c>
      <c r="I495" s="2" t="s">
        <v>7012</v>
      </c>
    </row>
    <row r="496" customFormat="false" ht="15" hidden="false" customHeight="false" outlineLevel="0" collapsed="false">
      <c r="A496" s="2" t="s">
        <v>1254</v>
      </c>
      <c r="B496" s="2" t="s">
        <v>39</v>
      </c>
      <c r="C496" s="2" t="s">
        <v>1255</v>
      </c>
      <c r="D496" s="6" t="s">
        <v>30</v>
      </c>
      <c r="E496" s="2" t="s">
        <v>8</v>
      </c>
      <c r="F496" s="2" t="n">
        <v>495</v>
      </c>
      <c r="G496" s="6" t="n">
        <v>45</v>
      </c>
      <c r="H496" s="8" t="n">
        <v>1021.70662745627</v>
      </c>
      <c r="I496" s="2" t="s">
        <v>7012</v>
      </c>
    </row>
    <row r="497" customFormat="false" ht="15" hidden="false" customHeight="false" outlineLevel="0" collapsed="false">
      <c r="A497" s="2" t="s">
        <v>1256</v>
      </c>
      <c r="B497" s="2" t="s">
        <v>1025</v>
      </c>
      <c r="C497" s="2" t="s">
        <v>1257</v>
      </c>
      <c r="D497" s="6" t="s">
        <v>30</v>
      </c>
      <c r="E497" s="2" t="s">
        <v>9</v>
      </c>
      <c r="F497" s="2" t="n">
        <v>496</v>
      </c>
      <c r="G497" s="6" t="n">
        <v>67</v>
      </c>
      <c r="H497" s="8" t="n">
        <v>687.26352646997</v>
      </c>
      <c r="I497" s="2" t="s">
        <v>7012</v>
      </c>
    </row>
    <row r="498" customFormat="false" ht="15" hidden="false" customHeight="false" outlineLevel="0" collapsed="false">
      <c r="A498" s="2" t="s">
        <v>1258</v>
      </c>
      <c r="B498" s="2" t="s">
        <v>719</v>
      </c>
      <c r="C498" s="2" t="s">
        <v>1259</v>
      </c>
      <c r="D498" s="6" t="s">
        <v>30</v>
      </c>
      <c r="E498" s="2" t="s">
        <v>10</v>
      </c>
      <c r="F498" s="2" t="n">
        <v>497</v>
      </c>
      <c r="G498" s="6" t="n">
        <v>134</v>
      </c>
      <c r="H498" s="8" t="n">
        <v>535.020138411119</v>
      </c>
      <c r="I498" s="2" t="s">
        <v>7012</v>
      </c>
    </row>
    <row r="499" customFormat="false" ht="15" hidden="false" customHeight="false" outlineLevel="0" collapsed="false">
      <c r="A499" s="2" t="s">
        <v>1260</v>
      </c>
      <c r="B499" s="2" t="s">
        <v>1045</v>
      </c>
      <c r="C499" s="2" t="s">
        <v>7154</v>
      </c>
      <c r="D499" s="6" t="s">
        <v>30</v>
      </c>
      <c r="E499" s="2" t="s">
        <v>10</v>
      </c>
      <c r="F499" s="2" t="n">
        <v>498</v>
      </c>
      <c r="G499" s="6" t="n">
        <v>132</v>
      </c>
      <c r="H499" s="8" t="n">
        <v>500.865472512546</v>
      </c>
      <c r="I499" s="2" t="s">
        <v>7012</v>
      </c>
    </row>
    <row r="500" customFormat="false" ht="15" hidden="false" customHeight="false" outlineLevel="0" collapsed="false">
      <c r="A500" s="2" t="s">
        <v>1262</v>
      </c>
      <c r="B500" s="2" t="s">
        <v>827</v>
      </c>
      <c r="C500" s="2" t="s">
        <v>1263</v>
      </c>
      <c r="D500" s="6" t="s">
        <v>30</v>
      </c>
      <c r="E500" s="2" t="s">
        <v>10</v>
      </c>
      <c r="F500" s="2" t="n">
        <v>499</v>
      </c>
      <c r="G500" s="6" t="n">
        <v>131</v>
      </c>
      <c r="H500" s="8" t="n">
        <v>590.232698864504</v>
      </c>
      <c r="I500" s="2" t="s">
        <v>7012</v>
      </c>
    </row>
    <row r="501" customFormat="false" ht="15" hidden="false" customHeight="false" outlineLevel="0" collapsed="false">
      <c r="A501" s="2" t="s">
        <v>1264</v>
      </c>
      <c r="B501" s="2" t="s">
        <v>263</v>
      </c>
      <c r="C501" s="2" t="s">
        <v>1265</v>
      </c>
      <c r="D501" s="6" t="s">
        <v>30</v>
      </c>
      <c r="E501" s="2" t="s">
        <v>8</v>
      </c>
      <c r="F501" s="2" t="n">
        <v>500</v>
      </c>
      <c r="G501" s="6" t="n">
        <v>43</v>
      </c>
      <c r="H501" s="8" t="n">
        <v>899.518712329558</v>
      </c>
      <c r="I501" s="2" t="s">
        <v>7012</v>
      </c>
    </row>
    <row r="502" customFormat="false" ht="15" hidden="false" customHeight="false" outlineLevel="0" collapsed="false">
      <c r="A502" s="2" t="s">
        <v>1266</v>
      </c>
      <c r="B502" s="2" t="s">
        <v>1267</v>
      </c>
      <c r="C502" s="2" t="s">
        <v>1268</v>
      </c>
      <c r="D502" s="6" t="s">
        <v>30</v>
      </c>
      <c r="E502" s="2" t="s">
        <v>8</v>
      </c>
      <c r="F502" s="2" t="n">
        <v>501</v>
      </c>
      <c r="G502" s="6" t="n">
        <v>43</v>
      </c>
      <c r="H502" s="8" t="n">
        <v>710.953878579163</v>
      </c>
      <c r="I502" s="2" t="s">
        <v>7012</v>
      </c>
    </row>
    <row r="503" customFormat="false" ht="15" hidden="false" customHeight="false" outlineLevel="0" collapsed="false">
      <c r="A503" s="2" t="s">
        <v>1269</v>
      </c>
      <c r="B503" s="2" t="s">
        <v>1198</v>
      </c>
      <c r="C503" s="2" t="s">
        <v>1199</v>
      </c>
      <c r="D503" s="6" t="s">
        <v>30</v>
      </c>
      <c r="E503" s="2" t="s">
        <v>10</v>
      </c>
      <c r="F503" s="2" t="n">
        <v>502</v>
      </c>
      <c r="G503" s="6" t="n">
        <v>128</v>
      </c>
      <c r="H503" s="8" t="n">
        <v>534.984583375813</v>
      </c>
      <c r="I503" s="2" t="s">
        <v>7012</v>
      </c>
    </row>
    <row r="504" customFormat="false" ht="15" hidden="false" customHeight="false" outlineLevel="0" collapsed="false">
      <c r="A504" s="2" t="s">
        <v>1270</v>
      </c>
      <c r="B504" s="2" t="s">
        <v>1271</v>
      </c>
      <c r="C504" s="2"/>
      <c r="D504" s="6" t="s">
        <v>30</v>
      </c>
      <c r="E504" s="2" t="s">
        <v>9</v>
      </c>
      <c r="F504" s="2" t="n">
        <v>503</v>
      </c>
      <c r="G504" s="6" t="n">
        <v>64</v>
      </c>
      <c r="H504" s="8" t="n">
        <v>658.241143261313</v>
      </c>
      <c r="I504" s="2" t="s">
        <v>7012</v>
      </c>
    </row>
    <row r="505" customFormat="false" ht="15" hidden="false" customHeight="false" outlineLevel="0" collapsed="false">
      <c r="A505" s="2" t="s">
        <v>1272</v>
      </c>
      <c r="B505" s="2" t="s">
        <v>70</v>
      </c>
      <c r="C505" s="2" t="s">
        <v>1273</v>
      </c>
      <c r="D505" s="6" t="s">
        <v>30</v>
      </c>
      <c r="E505" s="2" t="s">
        <v>10</v>
      </c>
      <c r="F505" s="2" t="n">
        <v>504</v>
      </c>
      <c r="G505" s="6" t="n">
        <v>127</v>
      </c>
      <c r="H505" s="8" t="n">
        <v>554.462984108307</v>
      </c>
      <c r="I505" s="2" t="s">
        <v>7012</v>
      </c>
    </row>
    <row r="506" customFormat="false" ht="15" hidden="false" customHeight="false" outlineLevel="0" collapsed="false">
      <c r="A506" s="2" t="s">
        <v>1274</v>
      </c>
      <c r="B506" s="2" t="s">
        <v>537</v>
      </c>
      <c r="C506" s="2" t="s">
        <v>1275</v>
      </c>
      <c r="D506" s="6" t="s">
        <v>30</v>
      </c>
      <c r="E506" s="2" t="s">
        <v>9</v>
      </c>
      <c r="F506" s="2" t="n">
        <v>505</v>
      </c>
      <c r="G506" s="6" t="n">
        <v>63</v>
      </c>
      <c r="H506" s="8" t="n">
        <v>647.203845587667</v>
      </c>
      <c r="I506" s="2" t="s">
        <v>7012</v>
      </c>
    </row>
    <row r="507" customFormat="false" ht="15" hidden="false" customHeight="false" outlineLevel="0" collapsed="false">
      <c r="A507" s="2" t="s">
        <v>1276</v>
      </c>
      <c r="B507" s="2" t="s">
        <v>56</v>
      </c>
      <c r="C507" s="2" t="s">
        <v>7155</v>
      </c>
      <c r="D507" s="6" t="s">
        <v>30</v>
      </c>
      <c r="E507" s="2" t="s">
        <v>8</v>
      </c>
      <c r="F507" s="2" t="n">
        <v>506</v>
      </c>
      <c r="G507" s="6" t="n">
        <v>42</v>
      </c>
      <c r="H507" s="8" t="n">
        <v>1245.74127092929</v>
      </c>
      <c r="I507" s="2" t="s">
        <v>7012</v>
      </c>
    </row>
    <row r="508" customFormat="false" ht="15" hidden="false" customHeight="false" outlineLevel="0" collapsed="false">
      <c r="A508" s="2" t="s">
        <v>1278</v>
      </c>
      <c r="B508" s="2" t="s">
        <v>1279</v>
      </c>
      <c r="C508" s="2"/>
      <c r="D508" s="6" t="s">
        <v>30</v>
      </c>
      <c r="E508" s="2" t="s">
        <v>8</v>
      </c>
      <c r="F508" s="2" t="n">
        <v>507</v>
      </c>
      <c r="G508" s="6" t="n">
        <v>42</v>
      </c>
      <c r="H508" s="8" t="n">
        <v>813.474837820024</v>
      </c>
      <c r="I508" s="2" t="s">
        <v>7012</v>
      </c>
    </row>
    <row r="509" customFormat="false" ht="15" hidden="false" customHeight="false" outlineLevel="0" collapsed="false">
      <c r="A509" s="2" t="s">
        <v>1281</v>
      </c>
      <c r="B509" s="2" t="s">
        <v>1282</v>
      </c>
      <c r="C509" s="2" t="s">
        <v>7156</v>
      </c>
      <c r="D509" s="6" t="s">
        <v>30</v>
      </c>
      <c r="E509" s="2" t="s">
        <v>9</v>
      </c>
      <c r="F509" s="2" t="n">
        <v>508</v>
      </c>
      <c r="G509" s="6" t="n">
        <v>63</v>
      </c>
      <c r="H509" s="8" t="n">
        <v>630.249542684079</v>
      </c>
      <c r="I509" s="2" t="s">
        <v>7012</v>
      </c>
    </row>
    <row r="510" customFormat="false" ht="15" hidden="false" customHeight="false" outlineLevel="0" collapsed="false">
      <c r="A510" s="2" t="s">
        <v>1284</v>
      </c>
      <c r="B510" s="2" t="s">
        <v>1237</v>
      </c>
      <c r="C510" s="2"/>
      <c r="D510" s="6" t="s">
        <v>30</v>
      </c>
      <c r="E510" s="2" t="s">
        <v>10</v>
      </c>
      <c r="F510" s="2" t="n">
        <v>509</v>
      </c>
      <c r="G510" s="6" t="n">
        <v>124</v>
      </c>
      <c r="H510" s="8" t="n">
        <v>527.138973257452</v>
      </c>
      <c r="I510" s="2" t="s">
        <v>7012</v>
      </c>
    </row>
    <row r="511" customFormat="false" ht="15" hidden="false" customHeight="false" outlineLevel="0" collapsed="false">
      <c r="A511" s="2" t="s">
        <v>1285</v>
      </c>
      <c r="B511" s="2" t="s">
        <v>27</v>
      </c>
      <c r="C511" s="2"/>
      <c r="D511" s="6" t="s">
        <v>30</v>
      </c>
      <c r="E511" s="2" t="s">
        <v>9</v>
      </c>
      <c r="F511" s="2" t="n">
        <v>510</v>
      </c>
      <c r="G511" s="6" t="n">
        <v>62</v>
      </c>
      <c r="H511" s="8" t="n">
        <v>637.47559010129</v>
      </c>
      <c r="I511" s="2" t="s">
        <v>7012</v>
      </c>
    </row>
    <row r="512" customFormat="false" ht="15" hidden="false" customHeight="false" outlineLevel="0" collapsed="false">
      <c r="A512" s="2" t="s">
        <v>1286</v>
      </c>
      <c r="B512" s="2" t="s">
        <v>169</v>
      </c>
      <c r="C512" s="2"/>
      <c r="D512" s="6" t="s">
        <v>30</v>
      </c>
      <c r="E512" s="2" t="s">
        <v>8</v>
      </c>
      <c r="F512" s="2" t="n">
        <v>511</v>
      </c>
      <c r="G512" s="6" t="n">
        <v>41</v>
      </c>
      <c r="H512" s="8" t="n">
        <v>1333.781625239</v>
      </c>
      <c r="I512" s="2" t="s">
        <v>7012</v>
      </c>
    </row>
    <row r="513" customFormat="false" ht="15" hidden="false" customHeight="false" outlineLevel="0" collapsed="false">
      <c r="A513" s="2" t="s">
        <v>1287</v>
      </c>
      <c r="B513" s="2" t="s">
        <v>1288</v>
      </c>
      <c r="C513" s="2"/>
      <c r="D513" s="6" t="s">
        <v>30</v>
      </c>
      <c r="E513" s="2" t="s">
        <v>8</v>
      </c>
      <c r="F513" s="2" t="n">
        <v>512</v>
      </c>
      <c r="G513" s="6" t="n">
        <v>41</v>
      </c>
      <c r="H513" s="8" t="n">
        <v>707.375849089024</v>
      </c>
      <c r="I513" s="2" t="s">
        <v>7012</v>
      </c>
    </row>
    <row r="514" customFormat="false" ht="15" hidden="false" customHeight="false" outlineLevel="0" collapsed="false">
      <c r="A514" s="2" t="s">
        <v>1289</v>
      </c>
      <c r="B514" s="2" t="s">
        <v>1290</v>
      </c>
      <c r="C514" s="2" t="s">
        <v>1291</v>
      </c>
      <c r="D514" s="6" t="s">
        <v>30</v>
      </c>
      <c r="E514" s="2" t="s">
        <v>9</v>
      </c>
      <c r="F514" s="2" t="n">
        <v>513</v>
      </c>
      <c r="G514" s="6" t="n">
        <v>61</v>
      </c>
      <c r="H514" s="8" t="n">
        <v>693.660313705574</v>
      </c>
      <c r="I514" s="2" t="s">
        <v>7012</v>
      </c>
    </row>
    <row r="515" customFormat="false" ht="15" hidden="false" customHeight="false" outlineLevel="0" collapsed="false">
      <c r="A515" s="2" t="s">
        <v>1293</v>
      </c>
      <c r="B515" s="2" t="s">
        <v>798</v>
      </c>
      <c r="C515" s="2" t="s">
        <v>7157</v>
      </c>
      <c r="D515" s="6" t="s">
        <v>30</v>
      </c>
      <c r="E515" s="2" t="s">
        <v>10</v>
      </c>
      <c r="F515" s="2" t="n">
        <v>514</v>
      </c>
      <c r="G515" s="6" t="n">
        <v>120</v>
      </c>
      <c r="H515" s="8" t="n">
        <v>576.8271727055</v>
      </c>
      <c r="I515" s="2" t="s">
        <v>7012</v>
      </c>
    </row>
    <row r="516" customFormat="false" ht="15" hidden="false" customHeight="false" outlineLevel="0" collapsed="false">
      <c r="A516" s="2" t="s">
        <v>1295</v>
      </c>
      <c r="B516" s="2" t="s">
        <v>395</v>
      </c>
      <c r="C516" s="2"/>
      <c r="D516" s="6" t="s">
        <v>30</v>
      </c>
      <c r="E516" s="2" t="s">
        <v>10</v>
      </c>
      <c r="F516" s="2" t="n">
        <v>515</v>
      </c>
      <c r="G516" s="6" t="n">
        <v>120</v>
      </c>
      <c r="H516" s="8" t="n">
        <v>500.804302461892</v>
      </c>
      <c r="I516" s="2" t="s">
        <v>7012</v>
      </c>
    </row>
    <row r="517" customFormat="false" ht="15" hidden="false" customHeight="false" outlineLevel="0" collapsed="false">
      <c r="A517" s="2" t="s">
        <v>1296</v>
      </c>
      <c r="B517" s="2" t="s">
        <v>676</v>
      </c>
      <c r="C517" s="2"/>
      <c r="D517" s="6" t="s">
        <v>30</v>
      </c>
      <c r="E517" s="2" t="s">
        <v>8</v>
      </c>
      <c r="F517" s="2" t="n">
        <v>516</v>
      </c>
      <c r="G517" s="6" t="n">
        <v>40</v>
      </c>
      <c r="H517" s="8" t="n">
        <v>1533.63485936605</v>
      </c>
      <c r="I517" s="2" t="s">
        <v>7012</v>
      </c>
    </row>
    <row r="518" customFormat="false" ht="15" hidden="false" customHeight="false" outlineLevel="0" collapsed="false">
      <c r="A518" s="2" t="s">
        <v>1297</v>
      </c>
      <c r="B518" s="2" t="s">
        <v>197</v>
      </c>
      <c r="C518" s="2"/>
      <c r="D518" s="6" t="s">
        <v>30</v>
      </c>
      <c r="E518" s="2" t="s">
        <v>8</v>
      </c>
      <c r="F518" s="2" t="n">
        <v>517</v>
      </c>
      <c r="G518" s="6" t="n">
        <v>40</v>
      </c>
      <c r="H518" s="8" t="n">
        <v>776.353698250725</v>
      </c>
      <c r="I518" s="2" t="s">
        <v>7012</v>
      </c>
    </row>
    <row r="519" customFormat="false" ht="15" hidden="false" customHeight="false" outlineLevel="0" collapsed="false">
      <c r="A519" s="2" t="s">
        <v>1298</v>
      </c>
      <c r="B519" s="2" t="s">
        <v>70</v>
      </c>
      <c r="C519" s="2" t="s">
        <v>1299</v>
      </c>
      <c r="D519" s="6" t="s">
        <v>30</v>
      </c>
      <c r="E519" s="2" t="s">
        <v>9</v>
      </c>
      <c r="F519" s="2" t="n">
        <v>518</v>
      </c>
      <c r="G519" s="6" t="n">
        <v>59</v>
      </c>
      <c r="H519" s="8" t="n">
        <v>615.587942840237</v>
      </c>
      <c r="I519" s="2" t="s">
        <v>7012</v>
      </c>
    </row>
    <row r="520" customFormat="false" ht="15" hidden="false" customHeight="false" outlineLevel="0" collapsed="false">
      <c r="A520" s="2" t="s">
        <v>1301</v>
      </c>
      <c r="B520" s="2" t="s">
        <v>1302</v>
      </c>
      <c r="C520" s="2"/>
      <c r="D520" s="6" t="s">
        <v>30</v>
      </c>
      <c r="E520" s="2" t="s">
        <v>9</v>
      </c>
      <c r="F520" s="2" t="n">
        <v>519</v>
      </c>
      <c r="G520" s="6" t="n">
        <v>59</v>
      </c>
      <c r="H520" s="8" t="n">
        <v>691.073044762407</v>
      </c>
      <c r="I520" s="2" t="s">
        <v>7012</v>
      </c>
    </row>
    <row r="521" customFormat="false" ht="15" hidden="false" customHeight="false" outlineLevel="0" collapsed="false">
      <c r="A521" s="2" t="s">
        <v>1303</v>
      </c>
      <c r="B521" s="2" t="s">
        <v>1045</v>
      </c>
      <c r="C521" s="2" t="s">
        <v>7158</v>
      </c>
      <c r="D521" s="6" t="s">
        <v>30</v>
      </c>
      <c r="E521" s="2" t="s">
        <v>10</v>
      </c>
      <c r="F521" s="2" t="n">
        <v>520</v>
      </c>
      <c r="G521" s="6" t="n">
        <v>118</v>
      </c>
      <c r="H521" s="8" t="n">
        <v>505.91316829867</v>
      </c>
      <c r="I521" s="2" t="s">
        <v>7012</v>
      </c>
    </row>
    <row r="522" customFormat="false" ht="15" hidden="false" customHeight="false" outlineLevel="0" collapsed="false">
      <c r="A522" s="2" t="s">
        <v>1305</v>
      </c>
      <c r="B522" s="2" t="s">
        <v>1217</v>
      </c>
      <c r="C522" s="2"/>
      <c r="D522" s="6" t="s">
        <v>30</v>
      </c>
      <c r="E522" s="2" t="s">
        <v>10</v>
      </c>
      <c r="F522" s="2" t="n">
        <v>521</v>
      </c>
      <c r="G522" s="6" t="n">
        <v>117</v>
      </c>
      <c r="H522" s="8" t="n">
        <v>503.780354537325</v>
      </c>
      <c r="I522" s="2" t="s">
        <v>7012</v>
      </c>
    </row>
    <row r="523" customFormat="false" ht="15" hidden="false" customHeight="false" outlineLevel="0" collapsed="false">
      <c r="A523" s="2" t="s">
        <v>1306</v>
      </c>
      <c r="B523" s="2" t="s">
        <v>1045</v>
      </c>
      <c r="C523" s="2"/>
      <c r="D523" s="6" t="s">
        <v>30</v>
      </c>
      <c r="E523" s="2" t="s">
        <v>10</v>
      </c>
      <c r="F523" s="2" t="n">
        <v>522</v>
      </c>
      <c r="G523" s="6" t="n">
        <v>117</v>
      </c>
      <c r="H523" s="8" t="n">
        <v>523.357831691496</v>
      </c>
      <c r="I523" s="2" t="s">
        <v>7012</v>
      </c>
    </row>
    <row r="524" customFormat="false" ht="15" hidden="false" customHeight="false" outlineLevel="0" collapsed="false">
      <c r="A524" s="2" t="s">
        <v>1307</v>
      </c>
      <c r="B524" s="2" t="s">
        <v>1027</v>
      </c>
      <c r="C524" s="2"/>
      <c r="D524" s="6" t="s">
        <v>30</v>
      </c>
      <c r="E524" s="2" t="s">
        <v>10</v>
      </c>
      <c r="F524" s="2" t="n">
        <v>523</v>
      </c>
      <c r="G524" s="6" t="n">
        <v>116</v>
      </c>
      <c r="H524" s="8" t="n">
        <v>581.201037189164</v>
      </c>
      <c r="I524" s="2" t="s">
        <v>7012</v>
      </c>
    </row>
    <row r="525" customFormat="false" ht="15" hidden="false" customHeight="false" outlineLevel="0" collapsed="false">
      <c r="A525" s="2" t="s">
        <v>1308</v>
      </c>
      <c r="B525" s="2" t="s">
        <v>772</v>
      </c>
      <c r="C525" s="2" t="s">
        <v>1309</v>
      </c>
      <c r="D525" s="6" t="s">
        <v>30</v>
      </c>
      <c r="E525" s="2" t="s">
        <v>10</v>
      </c>
      <c r="F525" s="2" t="n">
        <v>524</v>
      </c>
      <c r="G525" s="6" t="n">
        <v>116</v>
      </c>
      <c r="H525" s="8" t="n">
        <v>524.665681883241</v>
      </c>
      <c r="I525" s="2" t="s">
        <v>7012</v>
      </c>
    </row>
    <row r="526" customFormat="false" ht="15" hidden="false" customHeight="false" outlineLevel="0" collapsed="false">
      <c r="A526" s="2" t="s">
        <v>1310</v>
      </c>
      <c r="B526" s="2" t="s">
        <v>1311</v>
      </c>
      <c r="C526" s="2"/>
      <c r="D526" s="6" t="s">
        <v>30</v>
      </c>
      <c r="E526" s="2" t="s">
        <v>10</v>
      </c>
      <c r="F526" s="2" t="n">
        <v>525</v>
      </c>
      <c r="G526" s="6" t="n">
        <v>115</v>
      </c>
      <c r="H526" s="8" t="n">
        <v>594.359272834887</v>
      </c>
      <c r="I526" s="2" t="s">
        <v>7012</v>
      </c>
    </row>
    <row r="527" customFormat="false" ht="15" hidden="false" customHeight="false" outlineLevel="0" collapsed="false">
      <c r="A527" s="2" t="s">
        <v>1312</v>
      </c>
      <c r="B527" s="2" t="s">
        <v>1083</v>
      </c>
      <c r="C527" s="2" t="s">
        <v>1313</v>
      </c>
      <c r="D527" s="6" t="s">
        <v>30</v>
      </c>
      <c r="E527" s="2" t="s">
        <v>10</v>
      </c>
      <c r="F527" s="2" t="n">
        <v>526</v>
      </c>
      <c r="G527" s="6" t="n">
        <v>115</v>
      </c>
      <c r="H527" s="8" t="n">
        <v>569.505566721009</v>
      </c>
      <c r="I527" s="2" t="s">
        <v>7012</v>
      </c>
    </row>
    <row r="528" customFormat="false" ht="15" hidden="false" customHeight="false" outlineLevel="0" collapsed="false">
      <c r="A528" s="2" t="s">
        <v>1314</v>
      </c>
      <c r="B528" s="2" t="s">
        <v>1315</v>
      </c>
      <c r="C528" s="2"/>
      <c r="D528" s="6" t="s">
        <v>30</v>
      </c>
      <c r="E528" s="2" t="s">
        <v>9</v>
      </c>
      <c r="F528" s="2" t="n">
        <v>527</v>
      </c>
      <c r="G528" s="6" t="n">
        <v>57</v>
      </c>
      <c r="H528" s="8" t="n">
        <v>628.332165408561</v>
      </c>
      <c r="I528" s="2" t="s">
        <v>7012</v>
      </c>
    </row>
    <row r="529" customFormat="false" ht="15" hidden="false" customHeight="false" outlineLevel="0" collapsed="false">
      <c r="A529" s="2" t="s">
        <v>1316</v>
      </c>
      <c r="B529" s="2" t="s">
        <v>56</v>
      </c>
      <c r="C529" s="2" t="s">
        <v>7159</v>
      </c>
      <c r="D529" s="6" t="s">
        <v>30</v>
      </c>
      <c r="E529" s="2" t="s">
        <v>8</v>
      </c>
      <c r="F529" s="2" t="n">
        <v>528</v>
      </c>
      <c r="G529" s="6" t="n">
        <v>38</v>
      </c>
      <c r="H529" s="8" t="n">
        <v>1302.91047366679</v>
      </c>
      <c r="I529" s="2" t="s">
        <v>7012</v>
      </c>
    </row>
    <row r="530" customFormat="false" ht="15" hidden="false" customHeight="false" outlineLevel="0" collapsed="false">
      <c r="A530" s="2" t="s">
        <v>1318</v>
      </c>
      <c r="B530" s="2" t="s">
        <v>516</v>
      </c>
      <c r="C530" s="2" t="s">
        <v>1319</v>
      </c>
      <c r="D530" s="6" t="s">
        <v>30</v>
      </c>
      <c r="E530" s="2" t="s">
        <v>8</v>
      </c>
      <c r="F530" s="2" t="n">
        <v>529</v>
      </c>
      <c r="G530" s="6" t="n">
        <v>38</v>
      </c>
      <c r="H530" s="8" t="n">
        <v>918.671303570868</v>
      </c>
      <c r="I530" s="2" t="s">
        <v>7012</v>
      </c>
    </row>
    <row r="531" customFormat="false" ht="15" hidden="false" customHeight="false" outlineLevel="0" collapsed="false">
      <c r="A531" s="2" t="s">
        <v>1320</v>
      </c>
      <c r="B531" s="2" t="s">
        <v>1321</v>
      </c>
      <c r="C531" s="2" t="s">
        <v>1322</v>
      </c>
      <c r="D531" s="6" t="s">
        <v>30</v>
      </c>
      <c r="E531" s="2" t="s">
        <v>10</v>
      </c>
      <c r="F531" s="2" t="n">
        <v>530</v>
      </c>
      <c r="G531" s="6" t="n">
        <v>113</v>
      </c>
      <c r="H531" s="8" t="n">
        <v>570.704298185531</v>
      </c>
      <c r="I531" s="2" t="s">
        <v>7012</v>
      </c>
    </row>
    <row r="532" customFormat="false" ht="15" hidden="false" customHeight="false" outlineLevel="0" collapsed="false">
      <c r="A532" s="2" t="s">
        <v>1323</v>
      </c>
      <c r="B532" s="2" t="s">
        <v>1176</v>
      </c>
      <c r="C532" s="2" t="s">
        <v>7160</v>
      </c>
      <c r="D532" s="6" t="s">
        <v>30</v>
      </c>
      <c r="E532" s="2" t="s">
        <v>10</v>
      </c>
      <c r="F532" s="2" t="n">
        <v>531</v>
      </c>
      <c r="G532" s="6" t="n">
        <v>113</v>
      </c>
      <c r="H532" s="8" t="n">
        <v>531.948255323655</v>
      </c>
      <c r="I532" s="2" t="s">
        <v>7012</v>
      </c>
    </row>
    <row r="533" customFormat="false" ht="15" hidden="false" customHeight="false" outlineLevel="0" collapsed="false">
      <c r="A533" s="2" t="s">
        <v>1325</v>
      </c>
      <c r="B533" s="2" t="s">
        <v>1109</v>
      </c>
      <c r="C533" s="2"/>
      <c r="D533" s="6" t="s">
        <v>30</v>
      </c>
      <c r="E533" s="2" t="s">
        <v>10</v>
      </c>
      <c r="F533" s="2" t="n">
        <v>532</v>
      </c>
      <c r="G533" s="6" t="n">
        <v>113</v>
      </c>
      <c r="H533" s="8" t="n">
        <v>513.225646058372</v>
      </c>
      <c r="I533" s="2" t="s">
        <v>7012</v>
      </c>
    </row>
    <row r="534" customFormat="false" ht="15" hidden="false" customHeight="false" outlineLevel="0" collapsed="false">
      <c r="A534" s="2" t="s">
        <v>1326</v>
      </c>
      <c r="B534" s="2" t="s">
        <v>1327</v>
      </c>
      <c r="C534" s="2" t="s">
        <v>1328</v>
      </c>
      <c r="D534" s="6" t="s">
        <v>30</v>
      </c>
      <c r="E534" s="2" t="s">
        <v>9</v>
      </c>
      <c r="F534" s="2" t="n">
        <v>533</v>
      </c>
      <c r="G534" s="6" t="n">
        <v>56</v>
      </c>
      <c r="H534" s="8" t="n">
        <v>605.418489281536</v>
      </c>
      <c r="I534" s="2" t="s">
        <v>7012</v>
      </c>
    </row>
    <row r="535" customFormat="false" ht="15" hidden="false" customHeight="false" outlineLevel="0" collapsed="false">
      <c r="A535" s="2" t="s">
        <v>1329</v>
      </c>
      <c r="B535" s="2" t="s">
        <v>931</v>
      </c>
      <c r="C535" s="2" t="s">
        <v>1330</v>
      </c>
      <c r="D535" s="6" t="s">
        <v>30</v>
      </c>
      <c r="E535" s="2" t="s">
        <v>9</v>
      </c>
      <c r="F535" s="2" t="n">
        <v>534</v>
      </c>
      <c r="G535" s="6" t="n">
        <v>56</v>
      </c>
      <c r="H535" s="8" t="n">
        <v>617.613978607518</v>
      </c>
      <c r="I535" s="2" t="s">
        <v>7012</v>
      </c>
    </row>
    <row r="536" customFormat="false" ht="15" hidden="false" customHeight="false" outlineLevel="0" collapsed="false">
      <c r="A536" s="2" t="s">
        <v>1331</v>
      </c>
      <c r="B536" s="2" t="s">
        <v>1198</v>
      </c>
      <c r="C536" s="2" t="s">
        <v>1332</v>
      </c>
      <c r="D536" s="6" t="s">
        <v>30</v>
      </c>
      <c r="E536" s="2" t="s">
        <v>10</v>
      </c>
      <c r="F536" s="2" t="n">
        <v>535</v>
      </c>
      <c r="G536" s="6" t="n">
        <v>111</v>
      </c>
      <c r="H536" s="8" t="n">
        <v>550.461285446919</v>
      </c>
      <c r="I536" s="2" t="s">
        <v>7012</v>
      </c>
    </row>
    <row r="537" customFormat="false" ht="15" hidden="false" customHeight="false" outlineLevel="0" collapsed="false">
      <c r="A537" s="2" t="s">
        <v>1333</v>
      </c>
      <c r="B537" s="2" t="s">
        <v>403</v>
      </c>
      <c r="C537" s="2" t="s">
        <v>1334</v>
      </c>
      <c r="D537" s="6" t="s">
        <v>30</v>
      </c>
      <c r="E537" s="2" t="s">
        <v>8</v>
      </c>
      <c r="F537" s="2" t="n">
        <v>536</v>
      </c>
      <c r="G537" s="6" t="n">
        <v>37</v>
      </c>
      <c r="H537" s="8" t="n">
        <v>779.128260192162</v>
      </c>
      <c r="I537" s="2" t="s">
        <v>7012</v>
      </c>
    </row>
    <row r="538" customFormat="false" ht="15" hidden="false" customHeight="false" outlineLevel="0" collapsed="false">
      <c r="A538" s="2" t="s">
        <v>1335</v>
      </c>
      <c r="B538" s="2" t="s">
        <v>681</v>
      </c>
      <c r="C538" s="2" t="s">
        <v>1336</v>
      </c>
      <c r="D538" s="6" t="s">
        <v>30</v>
      </c>
      <c r="E538" s="2" t="s">
        <v>8</v>
      </c>
      <c r="F538" s="2" t="n">
        <v>537</v>
      </c>
      <c r="G538" s="6" t="n">
        <v>37</v>
      </c>
      <c r="H538" s="8" t="n">
        <v>729.970233007243</v>
      </c>
      <c r="I538" s="2" t="s">
        <v>7012</v>
      </c>
    </row>
    <row r="539" customFormat="false" ht="15" hidden="false" customHeight="false" outlineLevel="0" collapsed="false">
      <c r="A539" s="2" t="s">
        <v>1337</v>
      </c>
      <c r="B539" s="2" t="s">
        <v>767</v>
      </c>
      <c r="C539" s="2" t="s">
        <v>1338</v>
      </c>
      <c r="D539" s="6" t="s">
        <v>30</v>
      </c>
      <c r="E539" s="2" t="s">
        <v>10</v>
      </c>
      <c r="F539" s="2" t="n">
        <v>538</v>
      </c>
      <c r="G539" s="6" t="n">
        <v>110</v>
      </c>
      <c r="H539" s="8" t="n">
        <v>541.377799726409</v>
      </c>
      <c r="I539" s="2" t="s">
        <v>7012</v>
      </c>
    </row>
    <row r="540" customFormat="false" ht="15" hidden="false" customHeight="false" outlineLevel="0" collapsed="false">
      <c r="A540" s="2" t="s">
        <v>1339</v>
      </c>
      <c r="B540" s="2" t="s">
        <v>500</v>
      </c>
      <c r="C540" s="2" t="s">
        <v>1340</v>
      </c>
      <c r="D540" s="6" t="s">
        <v>30</v>
      </c>
      <c r="E540" s="2" t="s">
        <v>10</v>
      </c>
      <c r="F540" s="2" t="n">
        <v>539</v>
      </c>
      <c r="G540" s="6" t="n">
        <v>110</v>
      </c>
      <c r="H540" s="8" t="n">
        <v>540.828542929109</v>
      </c>
      <c r="I540" s="2" t="s">
        <v>7012</v>
      </c>
    </row>
    <row r="541" customFormat="false" ht="15" hidden="false" customHeight="false" outlineLevel="0" collapsed="false">
      <c r="A541" s="2" t="s">
        <v>1341</v>
      </c>
      <c r="B541" s="2" t="s">
        <v>767</v>
      </c>
      <c r="C541" s="2" t="s">
        <v>1342</v>
      </c>
      <c r="D541" s="6" t="s">
        <v>30</v>
      </c>
      <c r="E541" s="2" t="s">
        <v>10</v>
      </c>
      <c r="F541" s="2" t="n">
        <v>540</v>
      </c>
      <c r="G541" s="6" t="n">
        <v>108</v>
      </c>
      <c r="H541" s="8" t="n">
        <v>593.886218180315</v>
      </c>
      <c r="I541" s="2" t="s">
        <v>7012</v>
      </c>
    </row>
    <row r="542" customFormat="false" ht="15" hidden="false" customHeight="false" outlineLevel="0" collapsed="false">
      <c r="A542" s="2" t="s">
        <v>1343</v>
      </c>
      <c r="B542" s="2" t="s">
        <v>1344</v>
      </c>
      <c r="C542" s="2"/>
      <c r="D542" s="6" t="s">
        <v>30</v>
      </c>
      <c r="E542" s="2" t="s">
        <v>8</v>
      </c>
      <c r="F542" s="2" t="n">
        <v>541</v>
      </c>
      <c r="G542" s="6" t="n">
        <v>36</v>
      </c>
      <c r="H542" s="8" t="n">
        <v>828.979180811056</v>
      </c>
      <c r="I542" s="2" t="s">
        <v>7012</v>
      </c>
    </row>
    <row r="543" customFormat="false" ht="15" hidden="false" customHeight="false" outlineLevel="0" collapsed="false">
      <c r="A543" s="2" t="s">
        <v>1345</v>
      </c>
      <c r="B543" s="2" t="s">
        <v>1346</v>
      </c>
      <c r="C543" s="2"/>
      <c r="D543" s="6" t="s">
        <v>30</v>
      </c>
      <c r="E543" s="2" t="s">
        <v>8</v>
      </c>
      <c r="F543" s="2" t="n">
        <v>542</v>
      </c>
      <c r="G543" s="6" t="n">
        <v>36</v>
      </c>
      <c r="H543" s="8" t="n">
        <v>728.335559994667</v>
      </c>
      <c r="I543" s="2" t="s">
        <v>7012</v>
      </c>
    </row>
    <row r="544" customFormat="false" ht="15" hidden="false" customHeight="false" outlineLevel="0" collapsed="false">
      <c r="A544" s="2" t="s">
        <v>1347</v>
      </c>
      <c r="B544" s="2" t="s">
        <v>1348</v>
      </c>
      <c r="C544" s="2"/>
      <c r="D544" s="6" t="s">
        <v>30</v>
      </c>
      <c r="E544" s="2" t="s">
        <v>10</v>
      </c>
      <c r="F544" s="2" t="n">
        <v>543</v>
      </c>
      <c r="G544" s="6" t="n">
        <v>107</v>
      </c>
      <c r="H544" s="8" t="n">
        <v>507.781857142785</v>
      </c>
      <c r="I544" s="2" t="s">
        <v>7012</v>
      </c>
    </row>
    <row r="545" customFormat="false" ht="15" hidden="false" customHeight="false" outlineLevel="0" collapsed="false">
      <c r="A545" s="2" t="s">
        <v>1349</v>
      </c>
      <c r="B545" s="2" t="s">
        <v>1350</v>
      </c>
      <c r="C545" s="2" t="s">
        <v>1351</v>
      </c>
      <c r="D545" s="6" t="s">
        <v>30</v>
      </c>
      <c r="E545" s="2" t="s">
        <v>10</v>
      </c>
      <c r="F545" s="2" t="n">
        <v>544</v>
      </c>
      <c r="G545" s="6" t="n">
        <v>106</v>
      </c>
      <c r="H545" s="8" t="n">
        <v>542.968108846991</v>
      </c>
      <c r="I545" s="2" t="s">
        <v>7012</v>
      </c>
    </row>
    <row r="546" customFormat="false" ht="15" hidden="false" customHeight="false" outlineLevel="0" collapsed="false">
      <c r="A546" s="2" t="s">
        <v>1352</v>
      </c>
      <c r="B546" s="2" t="s">
        <v>1353</v>
      </c>
      <c r="C546" s="2" t="s">
        <v>1354</v>
      </c>
      <c r="D546" s="6" t="s">
        <v>30</v>
      </c>
      <c r="E546" s="2" t="s">
        <v>10</v>
      </c>
      <c r="F546" s="2" t="n">
        <v>545</v>
      </c>
      <c r="G546" s="6" t="n">
        <v>105</v>
      </c>
      <c r="H546" s="8" t="n">
        <v>571.711007306943</v>
      </c>
      <c r="I546" s="2" t="s">
        <v>7012</v>
      </c>
    </row>
    <row r="547" customFormat="false" ht="15" hidden="false" customHeight="false" outlineLevel="0" collapsed="false">
      <c r="A547" s="2" t="s">
        <v>1355</v>
      </c>
      <c r="B547" s="2" t="s">
        <v>44</v>
      </c>
      <c r="C547" s="2" t="s">
        <v>1356</v>
      </c>
      <c r="D547" s="6" t="s">
        <v>30</v>
      </c>
      <c r="E547" s="2" t="s">
        <v>10</v>
      </c>
      <c r="F547" s="2" t="n">
        <v>546</v>
      </c>
      <c r="G547" s="6" t="n">
        <v>105</v>
      </c>
      <c r="H547" s="8" t="n">
        <v>525.060528856381</v>
      </c>
      <c r="I547" s="2" t="s">
        <v>7012</v>
      </c>
    </row>
    <row r="548" customFormat="false" ht="15" hidden="false" customHeight="false" outlineLevel="0" collapsed="false">
      <c r="A548" s="2" t="s">
        <v>1357</v>
      </c>
      <c r="B548" s="2" t="s">
        <v>70</v>
      </c>
      <c r="C548" s="2" t="s">
        <v>1358</v>
      </c>
      <c r="D548" s="6" t="s">
        <v>30</v>
      </c>
      <c r="E548" s="2" t="s">
        <v>9</v>
      </c>
      <c r="F548" s="2" t="n">
        <v>547</v>
      </c>
      <c r="G548" s="6" t="n">
        <v>52</v>
      </c>
      <c r="H548" s="8" t="n">
        <v>667.210702839865</v>
      </c>
      <c r="I548" s="2" t="s">
        <v>7012</v>
      </c>
    </row>
    <row r="549" customFormat="false" ht="15" hidden="false" customHeight="false" outlineLevel="0" collapsed="false">
      <c r="A549" s="2" t="s">
        <v>1359</v>
      </c>
      <c r="B549" s="2" t="s">
        <v>1360</v>
      </c>
      <c r="C549" s="2"/>
      <c r="D549" s="6" t="s">
        <v>30</v>
      </c>
      <c r="E549" s="2" t="s">
        <v>10</v>
      </c>
      <c r="F549" s="2" t="n">
        <v>548</v>
      </c>
      <c r="G549" s="6" t="n">
        <v>104</v>
      </c>
      <c r="H549" s="8" t="n">
        <v>589.791622954817</v>
      </c>
      <c r="I549" s="2" t="s">
        <v>7012</v>
      </c>
    </row>
    <row r="550" customFormat="false" ht="15" hidden="false" customHeight="false" outlineLevel="0" collapsed="false">
      <c r="A550" s="2" t="s">
        <v>1361</v>
      </c>
      <c r="B550" s="2" t="s">
        <v>1362</v>
      </c>
      <c r="C550" s="2" t="s">
        <v>7161</v>
      </c>
      <c r="D550" s="6" t="s">
        <v>30</v>
      </c>
      <c r="E550" s="2" t="s">
        <v>9</v>
      </c>
      <c r="F550" s="2" t="n">
        <v>549</v>
      </c>
      <c r="G550" s="6" t="n">
        <v>52</v>
      </c>
      <c r="H550" s="8" t="n">
        <v>628.161990451135</v>
      </c>
      <c r="I550" s="2" t="s">
        <v>7012</v>
      </c>
    </row>
    <row r="551" customFormat="false" ht="15" hidden="false" customHeight="false" outlineLevel="0" collapsed="false">
      <c r="A551" s="2" t="s">
        <v>1365</v>
      </c>
      <c r="B551" s="2" t="s">
        <v>266</v>
      </c>
      <c r="C551" s="2"/>
      <c r="D551" s="6" t="s">
        <v>30</v>
      </c>
      <c r="E551" s="2" t="s">
        <v>10</v>
      </c>
      <c r="F551" s="2" t="n">
        <v>550</v>
      </c>
      <c r="G551" s="6" t="n">
        <v>103</v>
      </c>
      <c r="H551" s="8" t="n">
        <v>593.089471439214</v>
      </c>
      <c r="I551" s="2" t="s">
        <v>7012</v>
      </c>
    </row>
    <row r="552" customFormat="false" ht="15" hidden="false" customHeight="false" outlineLevel="0" collapsed="false">
      <c r="A552" s="2" t="s">
        <v>1366</v>
      </c>
      <c r="B552" s="2" t="s">
        <v>153</v>
      </c>
      <c r="C552" s="2"/>
      <c r="D552" s="6" t="s">
        <v>30</v>
      </c>
      <c r="E552" s="2" t="s">
        <v>8</v>
      </c>
      <c r="F552" s="2" t="n">
        <v>551</v>
      </c>
      <c r="G552" s="6" t="n">
        <v>34</v>
      </c>
      <c r="H552" s="8" t="n">
        <v>1268.05768184612</v>
      </c>
      <c r="I552" s="2" t="s">
        <v>7012</v>
      </c>
    </row>
    <row r="553" customFormat="false" ht="15" hidden="false" customHeight="false" outlineLevel="0" collapsed="false">
      <c r="A553" s="2" t="s">
        <v>1367</v>
      </c>
      <c r="B553" s="2" t="s">
        <v>1368</v>
      </c>
      <c r="C553" s="2" t="s">
        <v>1369</v>
      </c>
      <c r="D553" s="6" t="s">
        <v>30</v>
      </c>
      <c r="E553" s="2" t="s">
        <v>8</v>
      </c>
      <c r="F553" s="2" t="n">
        <v>552</v>
      </c>
      <c r="G553" s="6" t="n">
        <v>34</v>
      </c>
      <c r="H553" s="8" t="n">
        <v>1103.52644390535</v>
      </c>
      <c r="I553" s="2" t="s">
        <v>7012</v>
      </c>
    </row>
    <row r="554" customFormat="false" ht="15" hidden="false" customHeight="false" outlineLevel="0" collapsed="false">
      <c r="A554" s="2" t="s">
        <v>1370</v>
      </c>
      <c r="B554" s="2" t="s">
        <v>70</v>
      </c>
      <c r="C554" s="2"/>
      <c r="D554" s="6" t="s">
        <v>30</v>
      </c>
      <c r="E554" s="2" t="s">
        <v>10</v>
      </c>
      <c r="F554" s="2" t="n">
        <v>553</v>
      </c>
      <c r="G554" s="6" t="n">
        <v>100</v>
      </c>
      <c r="H554" s="8" t="n">
        <v>532.0367721299</v>
      </c>
      <c r="I554" s="2" t="s">
        <v>7012</v>
      </c>
    </row>
    <row r="555" customFormat="false" ht="15" hidden="false" customHeight="false" outlineLevel="0" collapsed="false">
      <c r="A555" s="2" t="s">
        <v>1371</v>
      </c>
      <c r="B555" s="2" t="s">
        <v>1372</v>
      </c>
      <c r="C555" s="2"/>
      <c r="D555" s="6" t="s">
        <v>30</v>
      </c>
      <c r="E555" s="2" t="s">
        <v>9</v>
      </c>
      <c r="F555" s="2" t="n">
        <v>554</v>
      </c>
      <c r="G555" s="6" t="n">
        <v>50</v>
      </c>
      <c r="H555" s="8" t="n">
        <v>611.54646682542</v>
      </c>
      <c r="I555" s="2" t="s">
        <v>7012</v>
      </c>
    </row>
    <row r="556" customFormat="false" ht="15" hidden="false" customHeight="false" outlineLevel="0" collapsed="false">
      <c r="A556" s="2" t="s">
        <v>1373</v>
      </c>
      <c r="B556" s="2" t="s">
        <v>679</v>
      </c>
      <c r="C556" s="2"/>
      <c r="D556" s="6" t="s">
        <v>30</v>
      </c>
      <c r="E556" s="2" t="s">
        <v>8</v>
      </c>
      <c r="F556" s="2" t="n">
        <v>555</v>
      </c>
      <c r="G556" s="6" t="n">
        <v>32</v>
      </c>
      <c r="H556" s="8" t="n">
        <v>1664.07323398194</v>
      </c>
      <c r="I556" s="2" t="s">
        <v>7012</v>
      </c>
    </row>
    <row r="557" customFormat="false" ht="15" hidden="false" customHeight="false" outlineLevel="0" collapsed="false">
      <c r="A557" s="2" t="s">
        <v>1374</v>
      </c>
      <c r="B557" s="2" t="s">
        <v>1375</v>
      </c>
      <c r="C557" s="2"/>
      <c r="D557" s="6" t="s">
        <v>30</v>
      </c>
      <c r="E557" s="2" t="s">
        <v>9</v>
      </c>
      <c r="F557" s="2" t="n">
        <v>556</v>
      </c>
      <c r="G557" s="6" t="n">
        <v>48</v>
      </c>
      <c r="H557" s="8" t="n">
        <v>609.717227288375</v>
      </c>
      <c r="I557" s="2" t="s">
        <v>7012</v>
      </c>
    </row>
    <row r="558" customFormat="false" ht="15" hidden="false" customHeight="false" outlineLevel="0" collapsed="false">
      <c r="A558" s="2" t="s">
        <v>1376</v>
      </c>
      <c r="B558" s="2" t="s">
        <v>138</v>
      </c>
      <c r="C558" s="2" t="s">
        <v>1377</v>
      </c>
      <c r="D558" s="6" t="s">
        <v>30</v>
      </c>
      <c r="E558" s="2" t="s">
        <v>8</v>
      </c>
      <c r="F558" s="2" t="n">
        <v>557</v>
      </c>
      <c r="G558" s="6" t="n">
        <v>32</v>
      </c>
      <c r="H558" s="8" t="n">
        <v>2418.99088863969</v>
      </c>
      <c r="I558" s="2" t="s">
        <v>7012</v>
      </c>
    </row>
    <row r="559" customFormat="false" ht="15" hidden="false" customHeight="false" outlineLevel="0" collapsed="false">
      <c r="A559" s="2" t="s">
        <v>1378</v>
      </c>
      <c r="B559" s="2" t="s">
        <v>38</v>
      </c>
      <c r="C559" s="2" t="s">
        <v>1379</v>
      </c>
      <c r="D559" s="6" t="s">
        <v>30</v>
      </c>
      <c r="E559" s="2" t="s">
        <v>8</v>
      </c>
      <c r="F559" s="2" t="n">
        <v>558</v>
      </c>
      <c r="G559" s="6" t="n">
        <v>32</v>
      </c>
      <c r="H559" s="8" t="n">
        <v>881.218763093688</v>
      </c>
      <c r="I559" s="2" t="s">
        <v>7012</v>
      </c>
    </row>
    <row r="560" customFormat="false" ht="15" hidden="false" customHeight="false" outlineLevel="0" collapsed="false">
      <c r="A560" s="2" t="s">
        <v>1380</v>
      </c>
      <c r="B560" s="2" t="s">
        <v>70</v>
      </c>
      <c r="C560" s="2" t="s">
        <v>1381</v>
      </c>
      <c r="D560" s="6" t="s">
        <v>30</v>
      </c>
      <c r="E560" s="2" t="s">
        <v>10</v>
      </c>
      <c r="F560" s="2" t="n">
        <v>559</v>
      </c>
      <c r="G560" s="6" t="n">
        <v>93</v>
      </c>
      <c r="H560" s="8" t="n">
        <v>518.744391111591</v>
      </c>
      <c r="I560" s="2" t="s">
        <v>7012</v>
      </c>
    </row>
    <row r="561" customFormat="false" ht="15" hidden="false" customHeight="false" outlineLevel="0" collapsed="false">
      <c r="A561" s="2" t="s">
        <v>1382</v>
      </c>
      <c r="B561" s="2" t="s">
        <v>1383</v>
      </c>
      <c r="C561" s="2"/>
      <c r="D561" s="6" t="s">
        <v>30</v>
      </c>
      <c r="E561" s="2" t="s">
        <v>8</v>
      </c>
      <c r="F561" s="2" t="n">
        <v>560</v>
      </c>
      <c r="G561" s="6" t="n">
        <v>31</v>
      </c>
      <c r="H561" s="8" t="n">
        <v>753.105156195677</v>
      </c>
      <c r="I561" s="2" t="s">
        <v>7012</v>
      </c>
    </row>
    <row r="562" customFormat="false" ht="15" hidden="false" customHeight="false" outlineLevel="0" collapsed="false">
      <c r="A562" s="2" t="s">
        <v>1384</v>
      </c>
      <c r="B562" s="2" t="s">
        <v>976</v>
      </c>
      <c r="C562" s="2" t="s">
        <v>7162</v>
      </c>
      <c r="D562" s="6" t="s">
        <v>30</v>
      </c>
      <c r="E562" s="2" t="s">
        <v>10</v>
      </c>
      <c r="F562" s="2" t="n">
        <v>561</v>
      </c>
      <c r="G562" s="6" t="n">
        <v>93</v>
      </c>
      <c r="H562" s="8" t="n">
        <v>500.353531268624</v>
      </c>
      <c r="I562" s="2" t="s">
        <v>7012</v>
      </c>
    </row>
    <row r="563" customFormat="false" ht="15" hidden="false" customHeight="false" outlineLevel="0" collapsed="false">
      <c r="A563" s="2" t="s">
        <v>1386</v>
      </c>
      <c r="B563" s="2" t="s">
        <v>1387</v>
      </c>
      <c r="C563" s="2"/>
      <c r="D563" s="6" t="s">
        <v>30</v>
      </c>
      <c r="E563" s="2" t="s">
        <v>9</v>
      </c>
      <c r="F563" s="2" t="n">
        <v>562</v>
      </c>
      <c r="G563" s="6" t="n">
        <v>46</v>
      </c>
      <c r="H563" s="8" t="n">
        <v>645.6888238725</v>
      </c>
      <c r="I563" s="2" t="s">
        <v>7012</v>
      </c>
    </row>
    <row r="564" customFormat="false" ht="15" hidden="false" customHeight="false" outlineLevel="0" collapsed="false">
      <c r="A564" s="2" t="s">
        <v>1388</v>
      </c>
      <c r="B564" s="2" t="s">
        <v>521</v>
      </c>
      <c r="C564" s="2"/>
      <c r="D564" s="6" t="s">
        <v>30</v>
      </c>
      <c r="E564" s="2" t="s">
        <v>9</v>
      </c>
      <c r="F564" s="2" t="n">
        <v>563</v>
      </c>
      <c r="G564" s="6" t="n">
        <v>46</v>
      </c>
      <c r="H564" s="8" t="n">
        <v>654.502625674696</v>
      </c>
      <c r="I564" s="2" t="s">
        <v>7012</v>
      </c>
    </row>
    <row r="565" customFormat="false" ht="15" hidden="false" customHeight="false" outlineLevel="0" collapsed="false">
      <c r="A565" s="2" t="s">
        <v>1389</v>
      </c>
      <c r="B565" s="2" t="s">
        <v>1390</v>
      </c>
      <c r="C565" s="2"/>
      <c r="D565" s="6" t="s">
        <v>30</v>
      </c>
      <c r="E565" s="2" t="s">
        <v>10</v>
      </c>
      <c r="F565" s="2" t="n">
        <v>564</v>
      </c>
      <c r="G565" s="6" t="n">
        <v>92</v>
      </c>
      <c r="H565" s="8" t="n">
        <v>533.737962572544</v>
      </c>
      <c r="I565" s="2" t="s">
        <v>7012</v>
      </c>
    </row>
    <row r="566" customFormat="false" ht="15" hidden="false" customHeight="false" outlineLevel="0" collapsed="false">
      <c r="A566" s="2" t="s">
        <v>1391</v>
      </c>
      <c r="B566" s="2" t="s">
        <v>1392</v>
      </c>
      <c r="C566" s="2"/>
      <c r="D566" s="6" t="s">
        <v>30</v>
      </c>
      <c r="E566" s="2" t="s">
        <v>10</v>
      </c>
      <c r="F566" s="2" t="n">
        <v>565</v>
      </c>
      <c r="G566" s="6" t="n">
        <v>91</v>
      </c>
      <c r="H566" s="8" t="n">
        <v>559.259721360187</v>
      </c>
      <c r="I566" s="2" t="s">
        <v>7012</v>
      </c>
    </row>
    <row r="567" customFormat="false" ht="15" hidden="false" customHeight="false" outlineLevel="0" collapsed="false">
      <c r="A567" s="2" t="s">
        <v>1393</v>
      </c>
      <c r="B567" s="2" t="s">
        <v>1394</v>
      </c>
      <c r="C567" s="2" t="s">
        <v>1395</v>
      </c>
      <c r="D567" s="6" t="s">
        <v>30</v>
      </c>
      <c r="E567" s="2" t="s">
        <v>9</v>
      </c>
      <c r="F567" s="2" t="n">
        <v>566</v>
      </c>
      <c r="G567" s="6" t="n">
        <v>45</v>
      </c>
      <c r="H567" s="8" t="n">
        <v>672.209277473511</v>
      </c>
      <c r="I567" s="2" t="s">
        <v>7012</v>
      </c>
    </row>
    <row r="568" customFormat="false" ht="15" hidden="false" customHeight="false" outlineLevel="0" collapsed="false">
      <c r="A568" s="2" t="s">
        <v>1396</v>
      </c>
      <c r="B568" s="2" t="s">
        <v>1397</v>
      </c>
      <c r="C568" s="2" t="s">
        <v>7163</v>
      </c>
      <c r="D568" s="6" t="s">
        <v>30</v>
      </c>
      <c r="E568" s="2" t="s">
        <v>10</v>
      </c>
      <c r="F568" s="2" t="n">
        <v>567</v>
      </c>
      <c r="G568" s="6" t="n">
        <v>89</v>
      </c>
      <c r="H568" s="8" t="n">
        <v>583.345797550326</v>
      </c>
      <c r="I568" s="2" t="s">
        <v>7012</v>
      </c>
    </row>
    <row r="569" customFormat="false" ht="15" hidden="false" customHeight="false" outlineLevel="0" collapsed="false">
      <c r="A569" s="2" t="s">
        <v>1399</v>
      </c>
      <c r="B569" s="2" t="s">
        <v>44</v>
      </c>
      <c r="C569" s="2" t="s">
        <v>7164</v>
      </c>
      <c r="D569" s="6" t="s">
        <v>30</v>
      </c>
      <c r="E569" s="2" t="s">
        <v>10</v>
      </c>
      <c r="F569" s="2" t="n">
        <v>568</v>
      </c>
      <c r="G569" s="6" t="n">
        <v>89</v>
      </c>
      <c r="H569" s="8" t="n">
        <v>577.593702312775</v>
      </c>
      <c r="I569" s="2" t="s">
        <v>7012</v>
      </c>
    </row>
    <row r="570" customFormat="false" ht="15" hidden="false" customHeight="false" outlineLevel="0" collapsed="false">
      <c r="A570" s="2" t="s">
        <v>1401</v>
      </c>
      <c r="B570" s="2" t="s">
        <v>352</v>
      </c>
      <c r="C570" s="2" t="s">
        <v>1402</v>
      </c>
      <c r="D570" s="6" t="s">
        <v>30</v>
      </c>
      <c r="E570" s="2" t="s">
        <v>9</v>
      </c>
      <c r="F570" s="2" t="n">
        <v>569</v>
      </c>
      <c r="G570" s="6" t="n">
        <v>44</v>
      </c>
      <c r="H570" s="8" t="n">
        <v>619.755454471341</v>
      </c>
      <c r="I570" s="2" t="s">
        <v>7012</v>
      </c>
    </row>
    <row r="571" customFormat="false" ht="15" hidden="false" customHeight="false" outlineLevel="0" collapsed="false">
      <c r="A571" s="2" t="s">
        <v>1403</v>
      </c>
      <c r="B571" s="2" t="s">
        <v>767</v>
      </c>
      <c r="C571" s="2"/>
      <c r="D571" s="6" t="s">
        <v>30</v>
      </c>
      <c r="E571" s="2" t="s">
        <v>10</v>
      </c>
      <c r="F571" s="2" t="n">
        <v>570</v>
      </c>
      <c r="G571" s="6" t="n">
        <v>88</v>
      </c>
      <c r="H571" s="8" t="n">
        <v>571.021017173466</v>
      </c>
      <c r="I571" s="2" t="s">
        <v>7012</v>
      </c>
    </row>
    <row r="572" customFormat="false" ht="15" hidden="false" customHeight="false" outlineLevel="0" collapsed="false">
      <c r="A572" s="2" t="s">
        <v>1404</v>
      </c>
      <c r="B572" s="2" t="s">
        <v>217</v>
      </c>
      <c r="C572" s="2" t="s">
        <v>7165</v>
      </c>
      <c r="D572" s="6" t="s">
        <v>30</v>
      </c>
      <c r="E572" s="2" t="s">
        <v>9</v>
      </c>
      <c r="F572" s="2" t="n">
        <v>571</v>
      </c>
      <c r="G572" s="6" t="n">
        <v>44</v>
      </c>
      <c r="H572" s="8" t="n">
        <v>605.045073124818</v>
      </c>
      <c r="I572" s="2" t="s">
        <v>7012</v>
      </c>
    </row>
    <row r="573" customFormat="false" ht="15" hidden="false" customHeight="false" outlineLevel="0" collapsed="false">
      <c r="A573" s="2" t="s">
        <v>1406</v>
      </c>
      <c r="B573" s="2" t="s">
        <v>1112</v>
      </c>
      <c r="C573" s="2"/>
      <c r="D573" s="6" t="s">
        <v>30</v>
      </c>
      <c r="E573" s="2" t="s">
        <v>10</v>
      </c>
      <c r="F573" s="2" t="n">
        <v>572</v>
      </c>
      <c r="G573" s="6" t="n">
        <v>87</v>
      </c>
      <c r="H573" s="8" t="n">
        <v>590.051033061276</v>
      </c>
      <c r="I573" s="2" t="s">
        <v>7012</v>
      </c>
    </row>
    <row r="574" customFormat="false" ht="15" hidden="false" customHeight="false" outlineLevel="0" collapsed="false">
      <c r="A574" s="2" t="s">
        <v>1407</v>
      </c>
      <c r="B574" s="2" t="s">
        <v>1129</v>
      </c>
      <c r="C574" s="2" t="s">
        <v>1408</v>
      </c>
      <c r="D574" s="6" t="s">
        <v>30</v>
      </c>
      <c r="E574" s="2" t="s">
        <v>10</v>
      </c>
      <c r="F574" s="2" t="n">
        <v>573</v>
      </c>
      <c r="G574" s="6" t="n">
        <v>87</v>
      </c>
      <c r="H574" s="8" t="n">
        <v>522.815105911701</v>
      </c>
      <c r="I574" s="2" t="s">
        <v>7012</v>
      </c>
    </row>
    <row r="575" customFormat="false" ht="15" hidden="false" customHeight="false" outlineLevel="0" collapsed="false">
      <c r="A575" s="2" t="s">
        <v>1409</v>
      </c>
      <c r="B575" s="2" t="s">
        <v>585</v>
      </c>
      <c r="C575" s="2" t="s">
        <v>1410</v>
      </c>
      <c r="D575" s="6" t="s">
        <v>30</v>
      </c>
      <c r="E575" s="2" t="s">
        <v>10</v>
      </c>
      <c r="F575" s="2" t="n">
        <v>574</v>
      </c>
      <c r="G575" s="6" t="n">
        <v>87</v>
      </c>
      <c r="H575" s="8" t="n">
        <v>577.88066452608</v>
      </c>
      <c r="I575" s="2" t="s">
        <v>7012</v>
      </c>
    </row>
    <row r="576" customFormat="false" ht="15" hidden="false" customHeight="false" outlineLevel="0" collapsed="false">
      <c r="A576" s="2" t="s">
        <v>1411</v>
      </c>
      <c r="B576" s="2" t="s">
        <v>1412</v>
      </c>
      <c r="C576" s="2"/>
      <c r="D576" s="6" t="s">
        <v>30</v>
      </c>
      <c r="E576" s="2" t="s">
        <v>8</v>
      </c>
      <c r="F576" s="2" t="n">
        <v>575</v>
      </c>
      <c r="G576" s="6" t="n">
        <v>28</v>
      </c>
      <c r="H576" s="8" t="n">
        <v>1485.60195260782</v>
      </c>
      <c r="I576" s="2" t="s">
        <v>7012</v>
      </c>
    </row>
    <row r="577" customFormat="false" ht="15" hidden="false" customHeight="false" outlineLevel="0" collapsed="false">
      <c r="A577" s="2" t="s">
        <v>1413</v>
      </c>
      <c r="B577" s="2" t="s">
        <v>1414</v>
      </c>
      <c r="C577" s="2"/>
      <c r="D577" s="6" t="s">
        <v>30</v>
      </c>
      <c r="E577" s="2" t="s">
        <v>8</v>
      </c>
      <c r="F577" s="2" t="n">
        <v>576</v>
      </c>
      <c r="G577" s="6" t="n">
        <v>28</v>
      </c>
      <c r="H577" s="8" t="n">
        <v>765.534000798822</v>
      </c>
      <c r="I577" s="2" t="s">
        <v>7012</v>
      </c>
    </row>
    <row r="578" customFormat="false" ht="15" hidden="false" customHeight="false" outlineLevel="0" collapsed="false">
      <c r="A578" s="2" t="s">
        <v>1415</v>
      </c>
      <c r="B578" s="2" t="s">
        <v>1416</v>
      </c>
      <c r="C578" s="2" t="s">
        <v>1417</v>
      </c>
      <c r="D578" s="6" t="s">
        <v>30</v>
      </c>
      <c r="E578" s="2" t="s">
        <v>9</v>
      </c>
      <c r="F578" s="2" t="n">
        <v>577</v>
      </c>
      <c r="G578" s="6" t="n">
        <v>42</v>
      </c>
      <c r="H578" s="8" t="n">
        <v>607.81914371619</v>
      </c>
      <c r="I578" s="2" t="s">
        <v>7012</v>
      </c>
    </row>
    <row r="579" customFormat="false" ht="15" hidden="false" customHeight="false" outlineLevel="0" collapsed="false">
      <c r="A579" s="2" t="s">
        <v>1418</v>
      </c>
      <c r="B579" s="2" t="s">
        <v>84</v>
      </c>
      <c r="C579" s="2" t="s">
        <v>1419</v>
      </c>
      <c r="D579" s="6" t="s">
        <v>30</v>
      </c>
      <c r="E579" s="2" t="s">
        <v>10</v>
      </c>
      <c r="F579" s="2" t="n">
        <v>578</v>
      </c>
      <c r="G579" s="6" t="n">
        <v>83</v>
      </c>
      <c r="H579" s="8" t="n">
        <v>573.474650667506</v>
      </c>
      <c r="I579" s="2" t="s">
        <v>7012</v>
      </c>
    </row>
    <row r="580" customFormat="false" ht="15" hidden="false" customHeight="false" outlineLevel="0" collapsed="false">
      <c r="A580" s="2" t="s">
        <v>1420</v>
      </c>
      <c r="B580" s="2" t="s">
        <v>1029</v>
      </c>
      <c r="C580" s="2"/>
      <c r="D580" s="6" t="s">
        <v>30</v>
      </c>
      <c r="E580" s="2" t="s">
        <v>10</v>
      </c>
      <c r="F580" s="2" t="n">
        <v>579</v>
      </c>
      <c r="G580" s="6" t="n">
        <v>82</v>
      </c>
      <c r="H580" s="8" t="n">
        <v>546.595599986098</v>
      </c>
      <c r="I580" s="2" t="s">
        <v>7012</v>
      </c>
    </row>
    <row r="581" customFormat="false" ht="15" hidden="false" customHeight="false" outlineLevel="0" collapsed="false">
      <c r="A581" s="2" t="s">
        <v>1421</v>
      </c>
      <c r="B581" s="2" t="s">
        <v>1422</v>
      </c>
      <c r="C581" s="2" t="s">
        <v>1423</v>
      </c>
      <c r="D581" s="6" t="s">
        <v>30</v>
      </c>
      <c r="E581" s="2" t="s">
        <v>10</v>
      </c>
      <c r="F581" s="2" t="n">
        <v>580</v>
      </c>
      <c r="G581" s="6" t="n">
        <v>81</v>
      </c>
      <c r="H581" s="8" t="n">
        <v>516.041808047346</v>
      </c>
      <c r="I581" s="2" t="s">
        <v>7012</v>
      </c>
    </row>
    <row r="582" customFormat="false" ht="15" hidden="false" customHeight="false" outlineLevel="0" collapsed="false">
      <c r="A582" s="2" t="s">
        <v>1425</v>
      </c>
      <c r="B582" s="2" t="s">
        <v>1426</v>
      </c>
      <c r="C582" s="2"/>
      <c r="D582" s="6" t="s">
        <v>30</v>
      </c>
      <c r="E582" s="2" t="s">
        <v>8</v>
      </c>
      <c r="F582" s="2" t="n">
        <v>581</v>
      </c>
      <c r="G582" s="6" t="n">
        <v>27</v>
      </c>
      <c r="H582" s="8" t="n">
        <v>844.432877912704</v>
      </c>
      <c r="I582" s="2" t="s">
        <v>7012</v>
      </c>
    </row>
    <row r="583" customFormat="false" ht="15" hidden="false" customHeight="false" outlineLevel="0" collapsed="false">
      <c r="A583" s="2" t="s">
        <v>1427</v>
      </c>
      <c r="B583" s="2" t="s">
        <v>84</v>
      </c>
      <c r="C583" s="2"/>
      <c r="D583" s="6" t="s">
        <v>30</v>
      </c>
      <c r="E583" s="2" t="s">
        <v>9</v>
      </c>
      <c r="F583" s="2" t="n">
        <v>582</v>
      </c>
      <c r="G583" s="6" t="n">
        <v>40</v>
      </c>
      <c r="H583" s="8" t="n">
        <v>602.872843210675</v>
      </c>
      <c r="I583" s="2" t="s">
        <v>7012</v>
      </c>
    </row>
    <row r="584" customFormat="false" ht="15" hidden="false" customHeight="false" outlineLevel="0" collapsed="false">
      <c r="A584" s="2" t="s">
        <v>1428</v>
      </c>
      <c r="B584" s="2" t="s">
        <v>1204</v>
      </c>
      <c r="C584" s="2"/>
      <c r="D584" s="6" t="s">
        <v>30</v>
      </c>
      <c r="E584" s="2" t="s">
        <v>10</v>
      </c>
      <c r="F584" s="2" t="n">
        <v>583</v>
      </c>
      <c r="G584" s="6" t="n">
        <v>80</v>
      </c>
      <c r="H584" s="8" t="n">
        <v>555.144487959125</v>
      </c>
      <c r="I584" s="2" t="s">
        <v>7012</v>
      </c>
    </row>
    <row r="585" customFormat="false" ht="15" hidden="false" customHeight="false" outlineLevel="0" collapsed="false">
      <c r="A585" s="2" t="s">
        <v>1429</v>
      </c>
      <c r="B585" s="2" t="s">
        <v>70</v>
      </c>
      <c r="C585" s="2" t="s">
        <v>1430</v>
      </c>
      <c r="D585" s="6" t="s">
        <v>30</v>
      </c>
      <c r="E585" s="2" t="s">
        <v>10</v>
      </c>
      <c r="F585" s="2" t="n">
        <v>584</v>
      </c>
      <c r="G585" s="6" t="n">
        <v>79</v>
      </c>
      <c r="H585" s="8" t="n">
        <v>551.452802755494</v>
      </c>
      <c r="I585" s="2" t="s">
        <v>7012</v>
      </c>
    </row>
    <row r="586" customFormat="false" ht="15" hidden="false" customHeight="false" outlineLevel="0" collapsed="false">
      <c r="A586" s="2" t="s">
        <v>1431</v>
      </c>
      <c r="B586" s="2" t="s">
        <v>1432</v>
      </c>
      <c r="C586" s="2" t="s">
        <v>1433</v>
      </c>
      <c r="D586" s="6" t="s">
        <v>30</v>
      </c>
      <c r="E586" s="2" t="s">
        <v>10</v>
      </c>
      <c r="F586" s="2" t="n">
        <v>585</v>
      </c>
      <c r="G586" s="6" t="n">
        <v>78</v>
      </c>
      <c r="H586" s="8" t="n">
        <v>564.622795031974</v>
      </c>
      <c r="I586" s="2" t="s">
        <v>7012</v>
      </c>
    </row>
    <row r="587" customFormat="false" ht="15" hidden="false" customHeight="false" outlineLevel="0" collapsed="false">
      <c r="A587" s="2" t="s">
        <v>1434</v>
      </c>
      <c r="B587" s="2" t="s">
        <v>1435</v>
      </c>
      <c r="C587" s="2" t="s">
        <v>1436</v>
      </c>
      <c r="D587" s="6" t="s">
        <v>30</v>
      </c>
      <c r="E587" s="2" t="s">
        <v>10</v>
      </c>
      <c r="F587" s="2" t="n">
        <v>586</v>
      </c>
      <c r="G587" s="6" t="n">
        <v>78</v>
      </c>
      <c r="H587" s="8" t="n">
        <v>531.984705286167</v>
      </c>
      <c r="I587" s="2" t="s">
        <v>7012</v>
      </c>
    </row>
    <row r="588" customFormat="false" ht="15" hidden="false" customHeight="false" outlineLevel="0" collapsed="false">
      <c r="A588" s="2" t="s">
        <v>1437</v>
      </c>
      <c r="B588" s="2" t="s">
        <v>70</v>
      </c>
      <c r="C588" s="2" t="s">
        <v>7166</v>
      </c>
      <c r="D588" s="6" t="s">
        <v>30</v>
      </c>
      <c r="E588" s="2" t="s">
        <v>9</v>
      </c>
      <c r="F588" s="2" t="n">
        <v>587</v>
      </c>
      <c r="G588" s="6" t="n">
        <v>38</v>
      </c>
      <c r="H588" s="8" t="n">
        <v>689.178548249474</v>
      </c>
      <c r="I588" s="2" t="s">
        <v>7012</v>
      </c>
    </row>
    <row r="589" customFormat="false" ht="15" hidden="false" customHeight="false" outlineLevel="0" collapsed="false">
      <c r="A589" s="2" t="s">
        <v>1439</v>
      </c>
      <c r="B589" s="2" t="s">
        <v>1440</v>
      </c>
      <c r="C589" s="2" t="s">
        <v>1440</v>
      </c>
      <c r="D589" s="6" t="s">
        <v>30</v>
      </c>
      <c r="E589" s="2" t="s">
        <v>10</v>
      </c>
      <c r="F589" s="2" t="n">
        <v>588</v>
      </c>
      <c r="G589" s="6" t="n">
        <v>76</v>
      </c>
      <c r="H589" s="8" t="n">
        <v>581.878873075237</v>
      </c>
      <c r="I589" s="2" t="s">
        <v>7012</v>
      </c>
    </row>
    <row r="590" customFormat="false" ht="15" hidden="false" customHeight="false" outlineLevel="0" collapsed="false">
      <c r="A590" s="2" t="s">
        <v>1441</v>
      </c>
      <c r="B590" s="2" t="s">
        <v>153</v>
      </c>
      <c r="C590" s="2"/>
      <c r="D590" s="6" t="s">
        <v>30</v>
      </c>
      <c r="E590" s="2" t="s">
        <v>8</v>
      </c>
      <c r="F590" s="2" t="n">
        <v>589</v>
      </c>
      <c r="G590" s="6" t="n">
        <v>25</v>
      </c>
      <c r="H590" s="8" t="n">
        <v>1323.09488729572</v>
      </c>
      <c r="I590" s="2" t="s">
        <v>7012</v>
      </c>
    </row>
    <row r="591" customFormat="false" ht="15" hidden="false" customHeight="false" outlineLevel="0" collapsed="false">
      <c r="A591" s="2" t="s">
        <v>1442</v>
      </c>
      <c r="B591" s="2" t="s">
        <v>1443</v>
      </c>
      <c r="C591" s="2"/>
      <c r="D591" s="6" t="s">
        <v>30</v>
      </c>
      <c r="E591" s="2" t="s">
        <v>8</v>
      </c>
      <c r="F591" s="2" t="n">
        <v>590</v>
      </c>
      <c r="G591" s="6" t="n">
        <v>25</v>
      </c>
      <c r="H591" s="8" t="n">
        <v>744.12365979332</v>
      </c>
      <c r="I591" s="2" t="s">
        <v>7012</v>
      </c>
    </row>
    <row r="592" customFormat="false" ht="15" hidden="false" customHeight="false" outlineLevel="0" collapsed="false">
      <c r="A592" s="2" t="s">
        <v>1444</v>
      </c>
      <c r="B592" s="2" t="s">
        <v>1445</v>
      </c>
      <c r="C592" s="2" t="s">
        <v>1446</v>
      </c>
      <c r="D592" s="6" t="s">
        <v>30</v>
      </c>
      <c r="E592" s="2" t="s">
        <v>9</v>
      </c>
      <c r="F592" s="2" t="n">
        <v>591</v>
      </c>
      <c r="G592" s="6" t="n">
        <v>37</v>
      </c>
      <c r="H592" s="8" t="n">
        <v>614.766355659514</v>
      </c>
      <c r="I592" s="2" t="s">
        <v>7012</v>
      </c>
    </row>
    <row r="593" customFormat="false" ht="15" hidden="false" customHeight="false" outlineLevel="0" collapsed="false">
      <c r="A593" s="2" t="s">
        <v>1449</v>
      </c>
      <c r="B593" s="2" t="s">
        <v>1450</v>
      </c>
      <c r="C593" s="2"/>
      <c r="D593" s="6" t="s">
        <v>30</v>
      </c>
      <c r="E593" s="2" t="s">
        <v>9</v>
      </c>
      <c r="F593" s="2" t="n">
        <v>592</v>
      </c>
      <c r="G593" s="6" t="n">
        <v>37</v>
      </c>
      <c r="H593" s="8" t="n">
        <v>645.118047549676</v>
      </c>
      <c r="I593" s="2" t="s">
        <v>7012</v>
      </c>
    </row>
    <row r="594" customFormat="false" ht="15" hidden="false" customHeight="false" outlineLevel="0" collapsed="false">
      <c r="A594" s="2" t="s">
        <v>1452</v>
      </c>
      <c r="B594" s="2" t="s">
        <v>70</v>
      </c>
      <c r="C594" s="2" t="s">
        <v>1453</v>
      </c>
      <c r="D594" s="6" t="s">
        <v>30</v>
      </c>
      <c r="E594" s="2" t="s">
        <v>9</v>
      </c>
      <c r="F594" s="2" t="n">
        <v>593</v>
      </c>
      <c r="G594" s="6" t="n">
        <v>36</v>
      </c>
      <c r="H594" s="8" t="n">
        <v>616.888023495667</v>
      </c>
      <c r="I594" s="2" t="s">
        <v>7012</v>
      </c>
    </row>
    <row r="595" customFormat="false" ht="15" hidden="false" customHeight="false" outlineLevel="0" collapsed="false">
      <c r="A595" s="2" t="s">
        <v>1454</v>
      </c>
      <c r="B595" s="2" t="s">
        <v>1455</v>
      </c>
      <c r="C595" s="2" t="s">
        <v>926</v>
      </c>
      <c r="D595" s="6" t="s">
        <v>30</v>
      </c>
      <c r="E595" s="2" t="s">
        <v>10</v>
      </c>
      <c r="F595" s="2" t="n">
        <v>594</v>
      </c>
      <c r="G595" s="6" t="n">
        <v>72</v>
      </c>
      <c r="H595" s="8" t="n">
        <v>531.707073225833</v>
      </c>
      <c r="I595" s="2" t="s">
        <v>7012</v>
      </c>
    </row>
    <row r="596" customFormat="false" ht="15" hidden="false" customHeight="false" outlineLevel="0" collapsed="false">
      <c r="A596" s="2" t="s">
        <v>1457</v>
      </c>
      <c r="B596" s="2" t="s">
        <v>355</v>
      </c>
      <c r="C596" s="2" t="s">
        <v>7167</v>
      </c>
      <c r="D596" s="6" t="s">
        <v>30</v>
      </c>
      <c r="E596" s="2" t="s">
        <v>10</v>
      </c>
      <c r="F596" s="2" t="n">
        <v>595</v>
      </c>
      <c r="G596" s="6" t="n">
        <v>71</v>
      </c>
      <c r="H596" s="8" t="n">
        <v>527.869656741958</v>
      </c>
      <c r="I596" s="2" t="s">
        <v>7012</v>
      </c>
    </row>
    <row r="597" customFormat="false" ht="15" hidden="false" customHeight="false" outlineLevel="0" collapsed="false">
      <c r="A597" s="2" t="s">
        <v>1459</v>
      </c>
      <c r="B597" s="2" t="s">
        <v>1460</v>
      </c>
      <c r="C597" s="2"/>
      <c r="D597" s="6" t="s">
        <v>30</v>
      </c>
      <c r="E597" s="2" t="s">
        <v>10</v>
      </c>
      <c r="F597" s="2" t="n">
        <v>596</v>
      </c>
      <c r="G597" s="6" t="n">
        <v>70</v>
      </c>
      <c r="H597" s="8" t="n">
        <v>595.581544635957</v>
      </c>
      <c r="I597" s="2" t="s">
        <v>7012</v>
      </c>
    </row>
    <row r="598" customFormat="false" ht="15" hidden="false" customHeight="false" outlineLevel="0" collapsed="false">
      <c r="A598" s="2" t="s">
        <v>1461</v>
      </c>
      <c r="B598" s="2" t="s">
        <v>1055</v>
      </c>
      <c r="C598" s="2"/>
      <c r="D598" s="6" t="s">
        <v>30</v>
      </c>
      <c r="E598" s="2" t="s">
        <v>10</v>
      </c>
      <c r="F598" s="2" t="n">
        <v>597</v>
      </c>
      <c r="G598" s="6" t="n">
        <v>69</v>
      </c>
      <c r="H598" s="8" t="n">
        <v>591.631643898449</v>
      </c>
      <c r="I598" s="2" t="s">
        <v>7012</v>
      </c>
    </row>
    <row r="599" customFormat="false" ht="15" hidden="false" customHeight="false" outlineLevel="0" collapsed="false">
      <c r="A599" s="2" t="s">
        <v>1462</v>
      </c>
      <c r="B599" s="2" t="s">
        <v>1098</v>
      </c>
      <c r="C599" s="2"/>
      <c r="D599" s="6" t="s">
        <v>30</v>
      </c>
      <c r="E599" s="2" t="s">
        <v>8</v>
      </c>
      <c r="F599" s="2" t="n">
        <v>598</v>
      </c>
      <c r="G599" s="6" t="n">
        <v>23</v>
      </c>
      <c r="H599" s="8" t="n">
        <v>804.07968546987</v>
      </c>
      <c r="I599" s="2" t="s">
        <v>7012</v>
      </c>
    </row>
    <row r="600" customFormat="false" ht="15" hidden="false" customHeight="false" outlineLevel="0" collapsed="false">
      <c r="A600" s="2" t="s">
        <v>1463</v>
      </c>
      <c r="B600" s="2" t="s">
        <v>1464</v>
      </c>
      <c r="C600" s="2" t="s">
        <v>7168</v>
      </c>
      <c r="D600" s="6" t="s">
        <v>30</v>
      </c>
      <c r="E600" s="2" t="s">
        <v>8</v>
      </c>
      <c r="F600" s="2" t="n">
        <v>599</v>
      </c>
      <c r="G600" s="6" t="n">
        <v>23</v>
      </c>
      <c r="H600" s="8" t="n">
        <v>862.118289795391</v>
      </c>
      <c r="I600" s="2" t="s">
        <v>7012</v>
      </c>
    </row>
    <row r="601" customFormat="false" ht="15" hidden="false" customHeight="false" outlineLevel="0" collapsed="false">
      <c r="A601" s="2" t="s">
        <v>1466</v>
      </c>
      <c r="B601" s="2" t="s">
        <v>642</v>
      </c>
      <c r="C601" s="2" t="s">
        <v>1467</v>
      </c>
      <c r="D601" s="6" t="s">
        <v>30</v>
      </c>
      <c r="E601" s="2" t="s">
        <v>9</v>
      </c>
      <c r="F601" s="2" t="n">
        <v>600</v>
      </c>
      <c r="G601" s="6" t="n">
        <v>33</v>
      </c>
      <c r="H601" s="8" t="n">
        <v>611.144858503424</v>
      </c>
      <c r="I601" s="2" t="s">
        <v>7012</v>
      </c>
    </row>
    <row r="602" customFormat="false" ht="15" hidden="false" customHeight="false" outlineLevel="0" collapsed="false">
      <c r="A602" s="2" t="s">
        <v>1468</v>
      </c>
      <c r="B602" s="2" t="s">
        <v>1469</v>
      </c>
      <c r="C602" s="2"/>
      <c r="D602" s="6" t="s">
        <v>30</v>
      </c>
      <c r="E602" s="2" t="s">
        <v>8</v>
      </c>
      <c r="F602" s="2" t="n">
        <v>601</v>
      </c>
      <c r="G602" s="6" t="n">
        <v>22</v>
      </c>
      <c r="H602" s="8" t="n">
        <v>899.181259758046</v>
      </c>
      <c r="I602" s="2" t="s">
        <v>7012</v>
      </c>
    </row>
    <row r="603" customFormat="false" ht="15" hidden="false" customHeight="false" outlineLevel="0" collapsed="false">
      <c r="A603" s="2" t="s">
        <v>1470</v>
      </c>
      <c r="B603" s="2" t="s">
        <v>1471</v>
      </c>
      <c r="C603" s="2"/>
      <c r="D603" s="6" t="s">
        <v>30</v>
      </c>
      <c r="E603" s="2" t="s">
        <v>10</v>
      </c>
      <c r="F603" s="2" t="n">
        <v>602</v>
      </c>
      <c r="G603" s="6" t="n">
        <v>66</v>
      </c>
      <c r="H603" s="8" t="n">
        <v>507.372596762</v>
      </c>
      <c r="I603" s="2" t="s">
        <v>7012</v>
      </c>
    </row>
    <row r="604" customFormat="false" ht="15" hidden="false" customHeight="false" outlineLevel="0" collapsed="false">
      <c r="A604" s="2" t="s">
        <v>1473</v>
      </c>
      <c r="B604" s="2" t="s">
        <v>70</v>
      </c>
      <c r="C604" s="2" t="s">
        <v>7169</v>
      </c>
      <c r="D604" s="6" t="s">
        <v>30</v>
      </c>
      <c r="E604" s="2" t="s">
        <v>10</v>
      </c>
      <c r="F604" s="2" t="n">
        <v>603</v>
      </c>
      <c r="G604" s="6" t="n">
        <v>65</v>
      </c>
      <c r="H604" s="8" t="n">
        <v>508.136958148108</v>
      </c>
      <c r="I604" s="2" t="s">
        <v>7012</v>
      </c>
    </row>
    <row r="605" customFormat="false" ht="15" hidden="false" customHeight="false" outlineLevel="0" collapsed="false">
      <c r="A605" s="2" t="s">
        <v>1475</v>
      </c>
      <c r="B605" s="2" t="s">
        <v>70</v>
      </c>
      <c r="C605" s="2"/>
      <c r="D605" s="6" t="s">
        <v>30</v>
      </c>
      <c r="E605" s="2" t="s">
        <v>9</v>
      </c>
      <c r="F605" s="2" t="n">
        <v>604</v>
      </c>
      <c r="G605" s="6" t="n">
        <v>32</v>
      </c>
      <c r="H605" s="8" t="n">
        <v>638.506489464875</v>
      </c>
      <c r="I605" s="2" t="s">
        <v>7012</v>
      </c>
    </row>
    <row r="606" customFormat="false" ht="15" hidden="false" customHeight="false" outlineLevel="0" collapsed="false">
      <c r="A606" s="2" t="s">
        <v>1476</v>
      </c>
      <c r="B606" s="2" t="s">
        <v>1383</v>
      </c>
      <c r="C606" s="2" t="s">
        <v>1477</v>
      </c>
      <c r="D606" s="6" t="s">
        <v>30</v>
      </c>
      <c r="E606" s="2" t="s">
        <v>10</v>
      </c>
      <c r="F606" s="2" t="n">
        <v>605</v>
      </c>
      <c r="G606" s="6" t="n">
        <v>63</v>
      </c>
      <c r="H606" s="8" t="n">
        <v>518.76842839281</v>
      </c>
      <c r="I606" s="2" t="s">
        <v>7012</v>
      </c>
    </row>
    <row r="607" customFormat="false" ht="15" hidden="false" customHeight="false" outlineLevel="0" collapsed="false">
      <c r="A607" s="2" t="s">
        <v>1478</v>
      </c>
      <c r="B607" s="2" t="s">
        <v>686</v>
      </c>
      <c r="C607" s="2" t="s">
        <v>1479</v>
      </c>
      <c r="D607" s="6" t="s">
        <v>30</v>
      </c>
      <c r="E607" s="2" t="s">
        <v>8</v>
      </c>
      <c r="F607" s="2" t="n">
        <v>606</v>
      </c>
      <c r="G607" s="6" t="n">
        <v>21</v>
      </c>
      <c r="H607" s="8" t="n">
        <v>891.866222130714</v>
      </c>
      <c r="I607" s="2" t="s">
        <v>7012</v>
      </c>
    </row>
    <row r="608" customFormat="false" ht="15" hidden="false" customHeight="false" outlineLevel="0" collapsed="false">
      <c r="A608" s="2" t="s">
        <v>1480</v>
      </c>
      <c r="B608" s="2" t="s">
        <v>516</v>
      </c>
      <c r="C608" s="2" t="s">
        <v>7170</v>
      </c>
      <c r="D608" s="6" t="s">
        <v>30</v>
      </c>
      <c r="E608" s="2" t="s">
        <v>8</v>
      </c>
      <c r="F608" s="2" t="n">
        <v>607</v>
      </c>
      <c r="G608" s="6" t="n">
        <v>21</v>
      </c>
      <c r="H608" s="8" t="n">
        <v>833.150036989714</v>
      </c>
      <c r="I608" s="2" t="s">
        <v>7012</v>
      </c>
    </row>
    <row r="609" customFormat="false" ht="15" hidden="false" customHeight="false" outlineLevel="0" collapsed="false">
      <c r="A609" s="2" t="s">
        <v>1482</v>
      </c>
      <c r="B609" s="2" t="s">
        <v>70</v>
      </c>
      <c r="C609" s="2" t="s">
        <v>1483</v>
      </c>
      <c r="D609" s="6" t="s">
        <v>30</v>
      </c>
      <c r="E609" s="2" t="s">
        <v>10</v>
      </c>
      <c r="F609" s="2" t="n">
        <v>608</v>
      </c>
      <c r="G609" s="6" t="n">
        <v>60</v>
      </c>
      <c r="H609" s="8" t="n">
        <v>560.92594795345</v>
      </c>
      <c r="I609" s="2" t="s">
        <v>7012</v>
      </c>
    </row>
    <row r="610" customFormat="false" ht="15" hidden="false" customHeight="false" outlineLevel="0" collapsed="false">
      <c r="A610" s="2" t="s">
        <v>1484</v>
      </c>
      <c r="B610" s="2" t="s">
        <v>1485</v>
      </c>
      <c r="C610" s="2"/>
      <c r="D610" s="6" t="s">
        <v>30</v>
      </c>
      <c r="E610" s="2" t="s">
        <v>10</v>
      </c>
      <c r="F610" s="2" t="n">
        <v>609</v>
      </c>
      <c r="G610" s="6" t="n">
        <v>60</v>
      </c>
      <c r="H610" s="8" t="n">
        <v>559.825159002467</v>
      </c>
      <c r="I610" s="2" t="s">
        <v>7012</v>
      </c>
    </row>
    <row r="611" customFormat="false" ht="15" hidden="false" customHeight="false" outlineLevel="0" collapsed="false">
      <c r="A611" s="2" t="s">
        <v>1486</v>
      </c>
      <c r="B611" s="2" t="s">
        <v>1435</v>
      </c>
      <c r="C611" s="2" t="s">
        <v>7171</v>
      </c>
      <c r="D611" s="6" t="s">
        <v>30</v>
      </c>
      <c r="E611" s="2" t="s">
        <v>10</v>
      </c>
      <c r="F611" s="2" t="n">
        <v>610</v>
      </c>
      <c r="G611" s="6" t="n">
        <v>60</v>
      </c>
      <c r="H611" s="8" t="n">
        <v>562.217571595233</v>
      </c>
      <c r="I611" s="2" t="s">
        <v>7012</v>
      </c>
    </row>
    <row r="612" customFormat="false" ht="15" hidden="false" customHeight="false" outlineLevel="0" collapsed="false">
      <c r="A612" s="2" t="s">
        <v>1488</v>
      </c>
      <c r="B612" s="2" t="s">
        <v>38</v>
      </c>
      <c r="C612" s="2" t="s">
        <v>1489</v>
      </c>
      <c r="D612" s="6" t="s">
        <v>30</v>
      </c>
      <c r="E612" s="2" t="s">
        <v>8</v>
      </c>
      <c r="F612" s="2" t="n">
        <v>611</v>
      </c>
      <c r="G612" s="6" t="n">
        <v>20</v>
      </c>
      <c r="H612" s="8" t="n">
        <v>718.8874763807</v>
      </c>
      <c r="I612" s="2" t="s">
        <v>7012</v>
      </c>
    </row>
    <row r="613" customFormat="false" ht="15" hidden="false" customHeight="false" outlineLevel="0" collapsed="false">
      <c r="A613" s="2" t="s">
        <v>1490</v>
      </c>
      <c r="B613" s="2" t="s">
        <v>1491</v>
      </c>
      <c r="C613" s="2"/>
      <c r="D613" s="6" t="s">
        <v>30</v>
      </c>
      <c r="E613" s="2" t="s">
        <v>9</v>
      </c>
      <c r="F613" s="2" t="n">
        <v>612</v>
      </c>
      <c r="G613" s="6" t="n">
        <v>30</v>
      </c>
      <c r="H613" s="8" t="n">
        <v>609.720636832367</v>
      </c>
      <c r="I613" s="2" t="s">
        <v>7012</v>
      </c>
    </row>
    <row r="614" customFormat="false" ht="15" hidden="false" customHeight="false" outlineLevel="0" collapsed="false">
      <c r="A614" s="2" t="s">
        <v>1493</v>
      </c>
      <c r="B614" s="2" t="s">
        <v>1494</v>
      </c>
      <c r="C614" s="2"/>
      <c r="D614" s="6" t="s">
        <v>30</v>
      </c>
      <c r="E614" s="2" t="s">
        <v>9</v>
      </c>
      <c r="F614" s="2" t="n">
        <v>613</v>
      </c>
      <c r="G614" s="6" t="n">
        <v>30</v>
      </c>
      <c r="H614" s="8" t="n">
        <v>609.720636832367</v>
      </c>
      <c r="I614" s="2" t="s">
        <v>7012</v>
      </c>
    </row>
    <row r="615" customFormat="false" ht="15" hidden="false" customHeight="false" outlineLevel="0" collapsed="false">
      <c r="A615" s="2" t="s">
        <v>1496</v>
      </c>
      <c r="B615" s="2" t="s">
        <v>1497</v>
      </c>
      <c r="C615" s="2"/>
      <c r="D615" s="6" t="s">
        <v>30</v>
      </c>
      <c r="E615" s="2" t="s">
        <v>8</v>
      </c>
      <c r="F615" s="2" t="n">
        <v>614</v>
      </c>
      <c r="G615" s="6" t="n">
        <v>19</v>
      </c>
      <c r="H615" s="8" t="n">
        <v>2005.63260861305</v>
      </c>
      <c r="I615" s="2" t="s">
        <v>7012</v>
      </c>
    </row>
    <row r="616" customFormat="false" ht="15" hidden="false" customHeight="false" outlineLevel="0" collapsed="false">
      <c r="A616" s="2" t="s">
        <v>1498</v>
      </c>
      <c r="B616" s="2" t="s">
        <v>516</v>
      </c>
      <c r="C616" s="2" t="s">
        <v>1499</v>
      </c>
      <c r="D616" s="6" t="s">
        <v>30</v>
      </c>
      <c r="E616" s="2" t="s">
        <v>8</v>
      </c>
      <c r="F616" s="2" t="n">
        <v>615</v>
      </c>
      <c r="G616" s="6" t="n">
        <v>19</v>
      </c>
      <c r="H616" s="8" t="n">
        <v>952.356786559211</v>
      </c>
      <c r="I616" s="2" t="s">
        <v>7012</v>
      </c>
    </row>
    <row r="617" customFormat="false" ht="15" hidden="false" customHeight="false" outlineLevel="0" collapsed="false">
      <c r="A617" s="2" t="s">
        <v>1500</v>
      </c>
      <c r="B617" s="2" t="s">
        <v>1390</v>
      </c>
      <c r="C617" s="2"/>
      <c r="D617" s="6" t="s">
        <v>30</v>
      </c>
      <c r="E617" s="2" t="s">
        <v>9</v>
      </c>
      <c r="F617" s="2" t="n">
        <v>616</v>
      </c>
      <c r="G617" s="6" t="n">
        <v>27</v>
      </c>
      <c r="H617" s="8" t="n">
        <v>689.771326791259</v>
      </c>
      <c r="I617" s="2" t="s">
        <v>7012</v>
      </c>
    </row>
    <row r="618" customFormat="false" ht="15" hidden="false" customHeight="false" outlineLevel="0" collapsed="false">
      <c r="A618" s="2" t="s">
        <v>1501</v>
      </c>
      <c r="B618" s="2" t="s">
        <v>1502</v>
      </c>
      <c r="C618" s="2"/>
      <c r="D618" s="6" t="s">
        <v>30</v>
      </c>
      <c r="E618" s="2" t="s">
        <v>10</v>
      </c>
      <c r="F618" s="2" t="n">
        <v>617</v>
      </c>
      <c r="G618" s="6" t="n">
        <v>53</v>
      </c>
      <c r="H618" s="8" t="n">
        <v>529.639387210132</v>
      </c>
      <c r="I618" s="2" t="s">
        <v>7012</v>
      </c>
    </row>
    <row r="619" customFormat="false" ht="15" hidden="false" customHeight="false" outlineLevel="0" collapsed="false">
      <c r="A619" s="2" t="s">
        <v>1503</v>
      </c>
      <c r="B619" s="2" t="s">
        <v>70</v>
      </c>
      <c r="C619" s="2" t="s">
        <v>1504</v>
      </c>
      <c r="D619" s="6" t="s">
        <v>30</v>
      </c>
      <c r="E619" s="2" t="s">
        <v>10</v>
      </c>
      <c r="F619" s="2" t="n">
        <v>618</v>
      </c>
      <c r="G619" s="6" t="n">
        <v>52</v>
      </c>
      <c r="H619" s="8" t="n">
        <v>580.029103152692</v>
      </c>
      <c r="I619" s="2" t="s">
        <v>7012</v>
      </c>
    </row>
    <row r="620" customFormat="false" ht="15" hidden="false" customHeight="false" outlineLevel="0" collapsed="false">
      <c r="A620" s="2" t="s">
        <v>1505</v>
      </c>
      <c r="B620" s="2" t="s">
        <v>1506</v>
      </c>
      <c r="C620" s="2" t="s">
        <v>1507</v>
      </c>
      <c r="D620" s="6" t="s">
        <v>30</v>
      </c>
      <c r="E620" s="2" t="s">
        <v>10</v>
      </c>
      <c r="F620" s="2" t="n">
        <v>619</v>
      </c>
      <c r="G620" s="6" t="n">
        <v>52</v>
      </c>
      <c r="H620" s="8" t="n">
        <v>527.393985645808</v>
      </c>
      <c r="I620" s="2" t="s">
        <v>7012</v>
      </c>
    </row>
    <row r="621" customFormat="false" ht="15" hidden="false" customHeight="false" outlineLevel="0" collapsed="false">
      <c r="A621" s="2" t="s">
        <v>1508</v>
      </c>
      <c r="B621" s="2" t="s">
        <v>679</v>
      </c>
      <c r="C621" s="2"/>
      <c r="D621" s="6" t="s">
        <v>30</v>
      </c>
      <c r="E621" s="2" t="s">
        <v>8</v>
      </c>
      <c r="F621" s="2" t="n">
        <v>620</v>
      </c>
      <c r="G621" s="6" t="n">
        <v>17</v>
      </c>
      <c r="H621" s="8" t="n">
        <v>1243.83802505453</v>
      </c>
      <c r="I621" s="2" t="s">
        <v>7012</v>
      </c>
    </row>
    <row r="622" customFormat="false" ht="15" hidden="false" customHeight="false" outlineLevel="0" collapsed="false">
      <c r="A622" s="2" t="s">
        <v>1509</v>
      </c>
      <c r="B622" s="2" t="s">
        <v>1510</v>
      </c>
      <c r="C622" s="2" t="s">
        <v>1510</v>
      </c>
      <c r="D622" s="6" t="s">
        <v>30</v>
      </c>
      <c r="E622" s="2" t="s">
        <v>8</v>
      </c>
      <c r="F622" s="2" t="n">
        <v>621</v>
      </c>
      <c r="G622" s="6" t="n">
        <v>17</v>
      </c>
      <c r="H622" s="8" t="n">
        <v>838.28557139</v>
      </c>
      <c r="I622" s="2" t="s">
        <v>7012</v>
      </c>
    </row>
    <row r="623" customFormat="false" ht="15" hidden="false" customHeight="false" outlineLevel="0" collapsed="false">
      <c r="A623" s="2" t="s">
        <v>1511</v>
      </c>
      <c r="B623" s="2" t="s">
        <v>1512</v>
      </c>
      <c r="C623" s="2"/>
      <c r="D623" s="6" t="s">
        <v>30</v>
      </c>
      <c r="E623" s="2" t="s">
        <v>8</v>
      </c>
      <c r="F623" s="2" t="n">
        <v>622</v>
      </c>
      <c r="G623" s="6" t="n">
        <v>17</v>
      </c>
      <c r="H623" s="8" t="n">
        <v>1046.53572553188</v>
      </c>
      <c r="I623" s="2" t="s">
        <v>7012</v>
      </c>
    </row>
    <row r="624" customFormat="false" ht="15" hidden="false" customHeight="false" outlineLevel="0" collapsed="false">
      <c r="A624" s="2" t="s">
        <v>1513</v>
      </c>
      <c r="B624" s="2" t="s">
        <v>70</v>
      </c>
      <c r="C624" s="2"/>
      <c r="D624" s="6" t="s">
        <v>30</v>
      </c>
      <c r="E624" s="2" t="s">
        <v>9</v>
      </c>
      <c r="F624" s="2" t="n">
        <v>623</v>
      </c>
      <c r="G624" s="6" t="n">
        <v>25</v>
      </c>
      <c r="H624" s="8" t="n">
        <v>688.48814649452</v>
      </c>
      <c r="I624" s="2" t="s">
        <v>7012</v>
      </c>
    </row>
    <row r="625" customFormat="false" ht="15" hidden="false" customHeight="false" outlineLevel="0" collapsed="false">
      <c r="A625" s="2" t="s">
        <v>1514</v>
      </c>
      <c r="B625" s="2" t="s">
        <v>1383</v>
      </c>
      <c r="C625" s="2" t="s">
        <v>1515</v>
      </c>
      <c r="D625" s="6" t="s">
        <v>30</v>
      </c>
      <c r="E625" s="2" t="s">
        <v>10</v>
      </c>
      <c r="F625" s="2" t="n">
        <v>624</v>
      </c>
      <c r="G625" s="6" t="n">
        <v>50</v>
      </c>
      <c r="H625" s="8" t="n">
        <v>527.47102871702</v>
      </c>
      <c r="I625" s="2" t="s">
        <v>7012</v>
      </c>
    </row>
    <row r="626" customFormat="false" ht="15" hidden="false" customHeight="false" outlineLevel="0" collapsed="false">
      <c r="A626" s="2" t="s">
        <v>1516</v>
      </c>
      <c r="B626" s="2" t="s">
        <v>1237</v>
      </c>
      <c r="C626" s="2"/>
      <c r="D626" s="6" t="s">
        <v>30</v>
      </c>
      <c r="E626" s="2" t="s">
        <v>10</v>
      </c>
      <c r="F626" s="2" t="n">
        <v>625</v>
      </c>
      <c r="G626" s="6" t="n">
        <v>49</v>
      </c>
      <c r="H626" s="8" t="n">
        <v>527.634603777286</v>
      </c>
      <c r="I626" s="2" t="s">
        <v>7012</v>
      </c>
    </row>
    <row r="627" customFormat="false" ht="15" hidden="false" customHeight="false" outlineLevel="0" collapsed="false">
      <c r="A627" s="2" t="s">
        <v>1517</v>
      </c>
      <c r="B627" s="2" t="s">
        <v>70</v>
      </c>
      <c r="C627" s="2"/>
      <c r="D627" s="6" t="s">
        <v>30</v>
      </c>
      <c r="E627" s="2" t="s">
        <v>8</v>
      </c>
      <c r="F627" s="2" t="n">
        <v>626</v>
      </c>
      <c r="G627" s="6" t="n">
        <v>16</v>
      </c>
      <c r="H627" s="8" t="n">
        <v>919.1655663505</v>
      </c>
      <c r="I627" s="2" t="s">
        <v>7012</v>
      </c>
    </row>
    <row r="628" customFormat="false" ht="15" hidden="false" customHeight="false" outlineLevel="0" collapsed="false">
      <c r="A628" s="2" t="s">
        <v>1519</v>
      </c>
      <c r="B628" s="2" t="s">
        <v>56</v>
      </c>
      <c r="C628" s="2" t="s">
        <v>7172</v>
      </c>
      <c r="D628" s="6" t="s">
        <v>30</v>
      </c>
      <c r="E628" s="2" t="s">
        <v>8</v>
      </c>
      <c r="F628" s="2" t="n">
        <v>627</v>
      </c>
      <c r="G628" s="6" t="n">
        <v>16</v>
      </c>
      <c r="H628" s="8" t="n">
        <v>750.51902937</v>
      </c>
      <c r="I628" s="2" t="s">
        <v>7012</v>
      </c>
    </row>
    <row r="629" customFormat="false" ht="15" hidden="false" customHeight="false" outlineLevel="0" collapsed="false">
      <c r="A629" s="2" t="s">
        <v>1521</v>
      </c>
      <c r="B629" s="2" t="s">
        <v>1522</v>
      </c>
      <c r="C629" s="2"/>
      <c r="D629" s="6" t="s">
        <v>30</v>
      </c>
      <c r="E629" s="2" t="s">
        <v>8</v>
      </c>
      <c r="F629" s="2" t="n">
        <v>628</v>
      </c>
      <c r="G629" s="6" t="n">
        <v>16</v>
      </c>
      <c r="H629" s="8" t="n">
        <v>1030.428856059</v>
      </c>
      <c r="I629" s="2" t="s">
        <v>7012</v>
      </c>
    </row>
    <row r="630" customFormat="false" ht="15" hidden="false" customHeight="false" outlineLevel="0" collapsed="false">
      <c r="A630" s="2" t="s">
        <v>1524</v>
      </c>
      <c r="B630" s="2" t="s">
        <v>1525</v>
      </c>
      <c r="C630" s="2"/>
      <c r="D630" s="6" t="s">
        <v>30</v>
      </c>
      <c r="E630" s="2" t="s">
        <v>8</v>
      </c>
      <c r="F630" s="2" t="n">
        <v>629</v>
      </c>
      <c r="G630" s="6" t="n">
        <v>16</v>
      </c>
      <c r="H630" s="8" t="n">
        <v>2729.54315584925</v>
      </c>
      <c r="I630" s="2" t="s">
        <v>7012</v>
      </c>
    </row>
    <row r="631" customFormat="false" ht="15" hidden="false" customHeight="false" outlineLevel="0" collapsed="false">
      <c r="A631" s="2" t="s">
        <v>1526</v>
      </c>
      <c r="B631" s="2" t="s">
        <v>1527</v>
      </c>
      <c r="C631" s="2"/>
      <c r="D631" s="6" t="s">
        <v>30</v>
      </c>
      <c r="E631" s="2" t="s">
        <v>8</v>
      </c>
      <c r="F631" s="2" t="n">
        <v>630</v>
      </c>
      <c r="G631" s="6" t="n">
        <v>16</v>
      </c>
      <c r="H631" s="8" t="n">
        <v>718.95046535625</v>
      </c>
      <c r="I631" s="2" t="s">
        <v>7012</v>
      </c>
    </row>
    <row r="632" customFormat="false" ht="15" hidden="false" customHeight="false" outlineLevel="0" collapsed="false">
      <c r="A632" s="2" t="s">
        <v>1529</v>
      </c>
      <c r="B632" s="2" t="s">
        <v>1530</v>
      </c>
      <c r="C632" s="2"/>
      <c r="D632" s="6" t="s">
        <v>30</v>
      </c>
      <c r="E632" s="2" t="s">
        <v>10</v>
      </c>
      <c r="F632" s="2" t="n">
        <v>631</v>
      </c>
      <c r="G632" s="6" t="n">
        <v>47</v>
      </c>
      <c r="H632" s="8" t="n">
        <v>534.841067063638</v>
      </c>
      <c r="I632" s="2" t="s">
        <v>7012</v>
      </c>
    </row>
    <row r="633" customFormat="false" ht="15" hidden="false" customHeight="false" outlineLevel="0" collapsed="false">
      <c r="A633" s="2" t="s">
        <v>1531</v>
      </c>
      <c r="B633" s="2" t="s">
        <v>44</v>
      </c>
      <c r="C633" s="2" t="s">
        <v>7173</v>
      </c>
      <c r="D633" s="6" t="s">
        <v>30</v>
      </c>
      <c r="E633" s="2" t="s">
        <v>9</v>
      </c>
      <c r="F633" s="2" t="n">
        <v>632</v>
      </c>
      <c r="G633" s="6" t="n">
        <v>23</v>
      </c>
      <c r="H633" s="8" t="n">
        <v>619.146043393043</v>
      </c>
      <c r="I633" s="2" t="s">
        <v>7012</v>
      </c>
    </row>
    <row r="634" customFormat="false" ht="15" hidden="false" customHeight="false" outlineLevel="0" collapsed="false">
      <c r="A634" s="2" t="s">
        <v>1533</v>
      </c>
      <c r="B634" s="2" t="s">
        <v>70</v>
      </c>
      <c r="C634" s="2" t="s">
        <v>1534</v>
      </c>
      <c r="D634" s="6" t="s">
        <v>30</v>
      </c>
      <c r="E634" s="2" t="s">
        <v>10</v>
      </c>
      <c r="F634" s="2" t="n">
        <v>633</v>
      </c>
      <c r="G634" s="6" t="n">
        <v>45</v>
      </c>
      <c r="H634" s="8" t="n">
        <v>596.049065327978</v>
      </c>
      <c r="I634" s="2" t="s">
        <v>7012</v>
      </c>
    </row>
    <row r="635" customFormat="false" ht="15" hidden="false" customHeight="false" outlineLevel="0" collapsed="false">
      <c r="A635" s="2" t="s">
        <v>1535</v>
      </c>
      <c r="B635" s="2" t="s">
        <v>1536</v>
      </c>
      <c r="C635" s="2" t="s">
        <v>1536</v>
      </c>
      <c r="D635" s="6" t="s">
        <v>30</v>
      </c>
      <c r="E635" s="2" t="s">
        <v>8</v>
      </c>
      <c r="F635" s="2" t="n">
        <v>634</v>
      </c>
      <c r="G635" s="6" t="n">
        <v>15</v>
      </c>
      <c r="H635" s="8" t="n">
        <v>1048.63528827233</v>
      </c>
      <c r="I635" s="2" t="s">
        <v>7012</v>
      </c>
    </row>
    <row r="636" customFormat="false" ht="15" hidden="false" customHeight="false" outlineLevel="0" collapsed="false">
      <c r="A636" s="2" t="s">
        <v>1537</v>
      </c>
      <c r="B636" s="2" t="s">
        <v>1112</v>
      </c>
      <c r="C636" s="2" t="s">
        <v>1538</v>
      </c>
      <c r="D636" s="6" t="s">
        <v>30</v>
      </c>
      <c r="E636" s="2" t="s">
        <v>10</v>
      </c>
      <c r="F636" s="2" t="n">
        <v>635</v>
      </c>
      <c r="G636" s="6" t="n">
        <v>45</v>
      </c>
      <c r="H636" s="8" t="n">
        <v>589.840880628689</v>
      </c>
      <c r="I636" s="2" t="s">
        <v>7012</v>
      </c>
    </row>
    <row r="637" customFormat="false" ht="15" hidden="false" customHeight="false" outlineLevel="0" collapsed="false">
      <c r="A637" s="2" t="s">
        <v>1539</v>
      </c>
      <c r="B637" s="2" t="s">
        <v>1383</v>
      </c>
      <c r="C637" s="2" t="s">
        <v>1540</v>
      </c>
      <c r="D637" s="6" t="s">
        <v>30</v>
      </c>
      <c r="E637" s="2" t="s">
        <v>9</v>
      </c>
      <c r="F637" s="2" t="n">
        <v>636</v>
      </c>
      <c r="G637" s="6" t="n">
        <v>22</v>
      </c>
      <c r="H637" s="8" t="n">
        <v>675.97472715</v>
      </c>
      <c r="I637" s="2" t="s">
        <v>7012</v>
      </c>
    </row>
    <row r="638" customFormat="false" ht="15" hidden="false" customHeight="false" outlineLevel="0" collapsed="false">
      <c r="A638" s="2" t="s">
        <v>1541</v>
      </c>
      <c r="B638" s="2" t="s">
        <v>1542</v>
      </c>
      <c r="C638" s="2"/>
      <c r="D638" s="6" t="s">
        <v>30</v>
      </c>
      <c r="E638" s="2" t="s">
        <v>10</v>
      </c>
      <c r="F638" s="2" t="n">
        <v>637</v>
      </c>
      <c r="G638" s="6" t="n">
        <v>44</v>
      </c>
      <c r="H638" s="8" t="n">
        <v>554.81828231925</v>
      </c>
      <c r="I638" s="2" t="s">
        <v>7012</v>
      </c>
    </row>
    <row r="639" customFormat="false" ht="15" hidden="false" customHeight="false" outlineLevel="0" collapsed="false">
      <c r="A639" s="2" t="s">
        <v>1543</v>
      </c>
      <c r="B639" s="2" t="s">
        <v>70</v>
      </c>
      <c r="C639" s="2"/>
      <c r="D639" s="6" t="s">
        <v>30</v>
      </c>
      <c r="E639" s="2" t="s">
        <v>10</v>
      </c>
      <c r="F639" s="2" t="n">
        <v>638</v>
      </c>
      <c r="G639" s="6" t="n">
        <v>42</v>
      </c>
      <c r="H639" s="8" t="n">
        <v>532.098350361905</v>
      </c>
      <c r="I639" s="2" t="s">
        <v>7012</v>
      </c>
    </row>
    <row r="640" customFormat="false" ht="15" hidden="false" customHeight="false" outlineLevel="0" collapsed="false">
      <c r="A640" s="2" t="s">
        <v>1544</v>
      </c>
      <c r="B640" s="2" t="s">
        <v>679</v>
      </c>
      <c r="C640" s="2" t="s">
        <v>1545</v>
      </c>
      <c r="D640" s="6" t="s">
        <v>30</v>
      </c>
      <c r="E640" s="2" t="s">
        <v>8</v>
      </c>
      <c r="F640" s="2" t="n">
        <v>639</v>
      </c>
      <c r="G640" s="6" t="n">
        <v>14</v>
      </c>
      <c r="H640" s="8" t="n">
        <v>1065.93559756371</v>
      </c>
      <c r="I640" s="2" t="s">
        <v>7012</v>
      </c>
    </row>
    <row r="641" customFormat="false" ht="15" hidden="false" customHeight="false" outlineLevel="0" collapsed="false">
      <c r="A641" s="2" t="s">
        <v>1546</v>
      </c>
      <c r="B641" s="2" t="s">
        <v>70</v>
      </c>
      <c r="C641" s="2" t="s">
        <v>7174</v>
      </c>
      <c r="D641" s="6" t="s">
        <v>30</v>
      </c>
      <c r="E641" s="2" t="s">
        <v>10</v>
      </c>
      <c r="F641" s="2" t="n">
        <v>640</v>
      </c>
      <c r="G641" s="6" t="n">
        <v>41</v>
      </c>
      <c r="H641" s="8" t="n">
        <v>555.575367608024</v>
      </c>
      <c r="I641" s="2" t="s">
        <v>7012</v>
      </c>
    </row>
    <row r="642" customFormat="false" ht="15" hidden="false" customHeight="false" outlineLevel="0" collapsed="false">
      <c r="A642" s="2" t="s">
        <v>1548</v>
      </c>
      <c r="B642" s="2" t="s">
        <v>56</v>
      </c>
      <c r="C642" s="2" t="s">
        <v>7175</v>
      </c>
      <c r="D642" s="6" t="s">
        <v>30</v>
      </c>
      <c r="E642" s="2" t="s">
        <v>8</v>
      </c>
      <c r="F642" s="2" t="n">
        <v>641</v>
      </c>
      <c r="G642" s="6" t="n">
        <v>12</v>
      </c>
      <c r="H642" s="8" t="n">
        <v>890.3555050165</v>
      </c>
      <c r="I642" s="2" t="s">
        <v>7012</v>
      </c>
    </row>
    <row r="643" customFormat="false" ht="15" hidden="false" customHeight="false" outlineLevel="0" collapsed="false">
      <c r="A643" s="2" t="s">
        <v>1550</v>
      </c>
      <c r="B643" s="2" t="s">
        <v>56</v>
      </c>
      <c r="C643" s="2"/>
      <c r="D643" s="6" t="s">
        <v>30</v>
      </c>
      <c r="E643" s="2" t="s">
        <v>8</v>
      </c>
      <c r="F643" s="2" t="n">
        <v>642</v>
      </c>
      <c r="G643" s="6" t="n">
        <v>12</v>
      </c>
      <c r="H643" s="8" t="n">
        <v>991.309110035416</v>
      </c>
      <c r="I643" s="2" t="s">
        <v>7012</v>
      </c>
    </row>
    <row r="644" customFormat="false" ht="15" hidden="false" customHeight="false" outlineLevel="0" collapsed="false">
      <c r="A644" s="2" t="s">
        <v>1551</v>
      </c>
      <c r="B644" s="2" t="s">
        <v>70</v>
      </c>
      <c r="C644" s="2" t="s">
        <v>7176</v>
      </c>
      <c r="D644" s="6" t="s">
        <v>30</v>
      </c>
      <c r="E644" s="2" t="s">
        <v>9</v>
      </c>
      <c r="F644" s="2" t="n">
        <v>643</v>
      </c>
      <c r="G644" s="6" t="n">
        <v>17</v>
      </c>
      <c r="H644" s="8" t="n">
        <v>648.976846494529</v>
      </c>
      <c r="I644" s="2" t="s">
        <v>7012</v>
      </c>
    </row>
    <row r="645" customFormat="false" ht="15" hidden="false" customHeight="false" outlineLevel="0" collapsed="false">
      <c r="A645" s="2" t="s">
        <v>1553</v>
      </c>
      <c r="B645" s="2" t="s">
        <v>84</v>
      </c>
      <c r="C645" s="2" t="s">
        <v>1554</v>
      </c>
      <c r="D645" s="6" t="s">
        <v>30</v>
      </c>
      <c r="E645" s="2" t="s">
        <v>10</v>
      </c>
      <c r="F645" s="2" t="n">
        <v>644</v>
      </c>
      <c r="G645" s="6" t="n">
        <v>33</v>
      </c>
      <c r="H645" s="8" t="n">
        <v>594.894554495212</v>
      </c>
      <c r="I645" s="2" t="s">
        <v>7012</v>
      </c>
    </row>
    <row r="646" customFormat="false" ht="15" hidden="false" customHeight="false" outlineLevel="0" collapsed="false">
      <c r="A646" s="2" t="s">
        <v>1555</v>
      </c>
      <c r="B646" s="2" t="s">
        <v>452</v>
      </c>
      <c r="C646" s="2"/>
      <c r="D646" s="6" t="s">
        <v>30</v>
      </c>
      <c r="E646" s="2" t="s">
        <v>8</v>
      </c>
      <c r="F646" s="2" t="n">
        <v>645</v>
      </c>
      <c r="G646" s="6" t="n">
        <v>11</v>
      </c>
      <c r="H646" s="8" t="n">
        <v>790.693136017273</v>
      </c>
      <c r="I646" s="2" t="s">
        <v>7012</v>
      </c>
    </row>
    <row r="647" customFormat="false" ht="15" hidden="false" customHeight="false" outlineLevel="0" collapsed="false">
      <c r="A647" s="2" t="s">
        <v>1556</v>
      </c>
      <c r="B647" s="2" t="s">
        <v>1557</v>
      </c>
      <c r="C647" s="2"/>
      <c r="D647" s="6" t="s">
        <v>30</v>
      </c>
      <c r="E647" s="2" t="s">
        <v>8</v>
      </c>
      <c r="F647" s="2" t="n">
        <v>646</v>
      </c>
      <c r="G647" s="6" t="n">
        <v>11</v>
      </c>
      <c r="H647" s="8" t="n">
        <v>743.524494040909</v>
      </c>
      <c r="I647" s="2" t="s">
        <v>7012</v>
      </c>
    </row>
    <row r="648" customFormat="false" ht="15" hidden="false" customHeight="false" outlineLevel="0" collapsed="false">
      <c r="A648" s="2" t="s">
        <v>1560</v>
      </c>
      <c r="B648" s="2" t="s">
        <v>1561</v>
      </c>
      <c r="C648" s="2" t="s">
        <v>1562</v>
      </c>
      <c r="D648" s="6" t="s">
        <v>30</v>
      </c>
      <c r="E648" s="2" t="s">
        <v>8</v>
      </c>
      <c r="F648" s="2" t="n">
        <v>647</v>
      </c>
      <c r="G648" s="6" t="n">
        <v>11</v>
      </c>
      <c r="H648" s="8" t="n">
        <v>1160.28016917727</v>
      </c>
      <c r="I648" s="2" t="s">
        <v>7012</v>
      </c>
    </row>
    <row r="649" customFormat="false" ht="15" hidden="false" customHeight="false" outlineLevel="0" collapsed="false">
      <c r="A649" s="2" t="s">
        <v>1564</v>
      </c>
      <c r="B649" s="2" t="s">
        <v>1383</v>
      </c>
      <c r="C649" s="2"/>
      <c r="D649" s="6" t="s">
        <v>30</v>
      </c>
      <c r="E649" s="2" t="s">
        <v>10</v>
      </c>
      <c r="F649" s="2" t="n">
        <v>648</v>
      </c>
      <c r="G649" s="6" t="n">
        <v>31</v>
      </c>
      <c r="H649" s="8" t="n">
        <v>592.112265180968</v>
      </c>
      <c r="I649" s="2" t="s">
        <v>7012</v>
      </c>
    </row>
    <row r="650" customFormat="false" ht="15" hidden="false" customHeight="false" outlineLevel="0" collapsed="false">
      <c r="A650" s="2" t="s">
        <v>1565</v>
      </c>
      <c r="B650" s="2" t="s">
        <v>1566</v>
      </c>
      <c r="C650" s="2"/>
      <c r="D650" s="6" t="s">
        <v>30</v>
      </c>
      <c r="E650" s="2" t="s">
        <v>10</v>
      </c>
      <c r="F650" s="2" t="n">
        <v>649</v>
      </c>
      <c r="G650" s="6" t="n">
        <v>31</v>
      </c>
      <c r="H650" s="8" t="n">
        <v>570.508333111936</v>
      </c>
      <c r="I650" s="2" t="s">
        <v>7012</v>
      </c>
    </row>
    <row r="651" customFormat="false" ht="15" hidden="false" customHeight="false" outlineLevel="0" collapsed="false">
      <c r="A651" s="2" t="s">
        <v>1567</v>
      </c>
      <c r="B651" s="2" t="s">
        <v>1568</v>
      </c>
      <c r="C651" s="2" t="s">
        <v>7177</v>
      </c>
      <c r="D651" s="6" t="s">
        <v>30</v>
      </c>
      <c r="E651" s="2" t="s">
        <v>10</v>
      </c>
      <c r="F651" s="2" t="n">
        <v>650</v>
      </c>
      <c r="G651" s="6" t="n">
        <v>31</v>
      </c>
      <c r="H651" s="8" t="n">
        <v>500.614323130065</v>
      </c>
      <c r="I651" s="2" t="s">
        <v>7012</v>
      </c>
    </row>
    <row r="652" customFormat="false" ht="15" hidden="false" customHeight="false" outlineLevel="0" collapsed="false">
      <c r="A652" s="2" t="s">
        <v>1570</v>
      </c>
      <c r="B652" s="2" t="s">
        <v>1571</v>
      </c>
      <c r="C652" s="2"/>
      <c r="D652" s="6" t="s">
        <v>30</v>
      </c>
      <c r="E652" s="2" t="s">
        <v>10</v>
      </c>
      <c r="F652" s="2" t="n">
        <v>651</v>
      </c>
      <c r="G652" s="6" t="n">
        <v>31</v>
      </c>
      <c r="H652" s="8" t="n">
        <v>520.452069391968</v>
      </c>
      <c r="I652" s="2" t="s">
        <v>7012</v>
      </c>
    </row>
    <row r="653" customFormat="false" ht="15" hidden="false" customHeight="false" outlineLevel="0" collapsed="false">
      <c r="A653" s="2" t="s">
        <v>1573</v>
      </c>
      <c r="B653" s="2" t="s">
        <v>1574</v>
      </c>
      <c r="C653" s="2"/>
      <c r="D653" s="6" t="s">
        <v>30</v>
      </c>
      <c r="E653" s="2" t="s">
        <v>9</v>
      </c>
      <c r="F653" s="2" t="n">
        <v>652</v>
      </c>
      <c r="G653" s="6" t="n">
        <v>15</v>
      </c>
      <c r="H653" s="8" t="n">
        <v>616.711723942467</v>
      </c>
      <c r="I653" s="2" t="s">
        <v>7012</v>
      </c>
    </row>
    <row r="654" customFormat="false" ht="15" hidden="false" customHeight="false" outlineLevel="0" collapsed="false">
      <c r="A654" s="2" t="s">
        <v>1575</v>
      </c>
      <c r="B654" s="2" t="s">
        <v>1576</v>
      </c>
      <c r="C654" s="2" t="s">
        <v>1577</v>
      </c>
      <c r="D654" s="6" t="s">
        <v>30</v>
      </c>
      <c r="E654" s="2" t="s">
        <v>8</v>
      </c>
      <c r="F654" s="2" t="n">
        <v>653</v>
      </c>
      <c r="G654" s="6" t="n">
        <v>10</v>
      </c>
      <c r="H654" s="8" t="n">
        <v>705.1616216982</v>
      </c>
      <c r="I654" s="2" t="s">
        <v>7012</v>
      </c>
    </row>
    <row r="655" customFormat="false" ht="15" hidden="false" customHeight="false" outlineLevel="0" collapsed="false">
      <c r="A655" s="2" t="s">
        <v>1581</v>
      </c>
      <c r="B655" s="2" t="s">
        <v>1582</v>
      </c>
      <c r="C655" s="2"/>
      <c r="D655" s="6" t="s">
        <v>30</v>
      </c>
      <c r="E655" s="2" t="s">
        <v>8</v>
      </c>
      <c r="F655" s="2" t="n">
        <v>654</v>
      </c>
      <c r="G655" s="6" t="n">
        <v>10</v>
      </c>
      <c r="H655" s="8" t="n">
        <v>1335.8756794532</v>
      </c>
      <c r="I655" s="2" t="s">
        <v>7012</v>
      </c>
    </row>
    <row r="656" customFormat="false" ht="15" hidden="false" customHeight="false" outlineLevel="0" collapsed="false">
      <c r="A656" s="2" t="s">
        <v>1584</v>
      </c>
      <c r="B656" s="2" t="s">
        <v>1585</v>
      </c>
      <c r="C656" s="2"/>
      <c r="D656" s="6" t="s">
        <v>30</v>
      </c>
      <c r="E656" s="2" t="s">
        <v>8</v>
      </c>
      <c r="F656" s="2" t="n">
        <v>655</v>
      </c>
      <c r="G656" s="6" t="n">
        <v>10</v>
      </c>
      <c r="H656" s="8" t="n">
        <v>723.881990239</v>
      </c>
      <c r="I656" s="2" t="s">
        <v>7012</v>
      </c>
    </row>
    <row r="657" customFormat="false" ht="15" hidden="false" customHeight="false" outlineLevel="0" collapsed="false">
      <c r="A657" s="2" t="s">
        <v>1586</v>
      </c>
      <c r="B657" s="2" t="s">
        <v>1587</v>
      </c>
      <c r="C657" s="2" t="s">
        <v>1588</v>
      </c>
      <c r="D657" s="6" t="s">
        <v>30</v>
      </c>
      <c r="E657" s="2" t="s">
        <v>9</v>
      </c>
      <c r="F657" s="2" t="n">
        <v>656</v>
      </c>
      <c r="G657" s="6" t="n">
        <v>15</v>
      </c>
      <c r="H657" s="8" t="n">
        <v>685.822868724867</v>
      </c>
      <c r="I657" s="2" t="s">
        <v>7012</v>
      </c>
    </row>
    <row r="658" customFormat="false" ht="15" hidden="false" customHeight="false" outlineLevel="0" collapsed="false">
      <c r="A658" s="2" t="s">
        <v>1590</v>
      </c>
      <c r="B658" s="2" t="s">
        <v>1591</v>
      </c>
      <c r="C658" s="2"/>
      <c r="D658" s="6" t="s">
        <v>30</v>
      </c>
      <c r="E658" s="2" t="s">
        <v>8</v>
      </c>
      <c r="F658" s="2" t="n">
        <v>657</v>
      </c>
      <c r="G658" s="6" t="n">
        <v>10</v>
      </c>
      <c r="H658" s="8" t="n">
        <v>735.503896523</v>
      </c>
      <c r="I658" s="2" t="s">
        <v>7012</v>
      </c>
    </row>
    <row r="659" customFormat="false" ht="15" hidden="false" customHeight="false" outlineLevel="0" collapsed="false">
      <c r="A659" s="2" t="s">
        <v>1593</v>
      </c>
      <c r="B659" s="2" t="s">
        <v>1594</v>
      </c>
      <c r="C659" s="2"/>
      <c r="D659" s="6" t="s">
        <v>30</v>
      </c>
      <c r="E659" s="2" t="s">
        <v>10</v>
      </c>
      <c r="F659" s="2" t="n">
        <v>658</v>
      </c>
      <c r="G659" s="6" t="n">
        <v>29</v>
      </c>
      <c r="H659" s="8" t="n">
        <v>540.238475558483</v>
      </c>
      <c r="I659" s="2" t="s">
        <v>7012</v>
      </c>
    </row>
    <row r="660" customFormat="false" ht="15" hidden="false" customHeight="false" outlineLevel="0" collapsed="false">
      <c r="A660" s="2" t="s">
        <v>1598</v>
      </c>
      <c r="B660" s="2" t="s">
        <v>70</v>
      </c>
      <c r="C660" s="2" t="s">
        <v>1599</v>
      </c>
      <c r="D660" s="6" t="s">
        <v>30</v>
      </c>
      <c r="E660" s="2" t="s">
        <v>10</v>
      </c>
      <c r="F660" s="2" t="n">
        <v>659</v>
      </c>
      <c r="G660" s="6" t="n">
        <v>27</v>
      </c>
      <c r="H660" s="8" t="n">
        <v>532.394090438296</v>
      </c>
      <c r="I660" s="2" t="s">
        <v>7012</v>
      </c>
    </row>
    <row r="661" customFormat="false" ht="15" hidden="false" customHeight="false" outlineLevel="0" collapsed="false">
      <c r="A661" s="2" t="s">
        <v>1600</v>
      </c>
      <c r="B661" s="2" t="s">
        <v>1601</v>
      </c>
      <c r="C661" s="2"/>
      <c r="D661" s="6" t="s">
        <v>30</v>
      </c>
      <c r="E661" s="2" t="s">
        <v>8</v>
      </c>
      <c r="F661" s="2" t="n">
        <v>660</v>
      </c>
      <c r="G661" s="6" t="n">
        <v>9</v>
      </c>
      <c r="H661" s="8" t="n">
        <v>3210.63346457011</v>
      </c>
      <c r="I661" s="2" t="s">
        <v>7012</v>
      </c>
    </row>
    <row r="662" customFormat="false" ht="15" hidden="false" customHeight="false" outlineLevel="0" collapsed="false">
      <c r="A662" s="2" t="s">
        <v>1603</v>
      </c>
      <c r="B662" s="2" t="s">
        <v>1604</v>
      </c>
      <c r="C662" s="2"/>
      <c r="D662" s="6" t="s">
        <v>30</v>
      </c>
      <c r="E662" s="2" t="s">
        <v>8</v>
      </c>
      <c r="F662" s="2" t="n">
        <v>661</v>
      </c>
      <c r="G662" s="6" t="n">
        <v>9</v>
      </c>
      <c r="H662" s="8" t="n">
        <v>768.533089807333</v>
      </c>
      <c r="I662" s="2" t="s">
        <v>7012</v>
      </c>
    </row>
    <row r="663" customFormat="false" ht="15" hidden="false" customHeight="false" outlineLevel="0" collapsed="false">
      <c r="A663" s="2" t="s">
        <v>1606</v>
      </c>
      <c r="B663" s="2" t="s">
        <v>70</v>
      </c>
      <c r="C663" s="2" t="s">
        <v>7178</v>
      </c>
      <c r="D663" s="6" t="s">
        <v>30</v>
      </c>
      <c r="E663" s="2" t="s">
        <v>9</v>
      </c>
      <c r="F663" s="2" t="n">
        <v>662</v>
      </c>
      <c r="G663" s="6" t="n">
        <v>13</v>
      </c>
      <c r="H663" s="8" t="n">
        <v>639.051989323769</v>
      </c>
      <c r="I663" s="2" t="s">
        <v>7012</v>
      </c>
    </row>
    <row r="664" customFormat="false" ht="15" hidden="false" customHeight="false" outlineLevel="0" collapsed="false">
      <c r="A664" s="2" t="s">
        <v>1608</v>
      </c>
      <c r="B664" s="2" t="s">
        <v>1609</v>
      </c>
      <c r="C664" s="2"/>
      <c r="D664" s="6" t="s">
        <v>30</v>
      </c>
      <c r="E664" s="2" t="s">
        <v>10</v>
      </c>
      <c r="F664" s="2" t="n">
        <v>663</v>
      </c>
      <c r="G664" s="6" t="n">
        <v>26</v>
      </c>
      <c r="H664" s="8" t="n">
        <v>592.052243121077</v>
      </c>
      <c r="I664" s="2" t="s">
        <v>7012</v>
      </c>
    </row>
    <row r="665" customFormat="false" ht="15" hidden="false" customHeight="false" outlineLevel="0" collapsed="false">
      <c r="A665" s="2" t="s">
        <v>1610</v>
      </c>
      <c r="B665" s="2" t="s">
        <v>70</v>
      </c>
      <c r="C665" s="2"/>
      <c r="D665" s="6" t="s">
        <v>30</v>
      </c>
      <c r="E665" s="2" t="s">
        <v>8</v>
      </c>
      <c r="F665" s="2" t="n">
        <v>664</v>
      </c>
      <c r="G665" s="6" t="n">
        <v>8</v>
      </c>
      <c r="H665" s="8" t="n">
        <v>779.281085654</v>
      </c>
      <c r="I665" s="2" t="s">
        <v>7012</v>
      </c>
    </row>
    <row r="666" customFormat="false" ht="15" hidden="false" customHeight="false" outlineLevel="0" collapsed="false">
      <c r="A666" s="2" t="s">
        <v>1611</v>
      </c>
      <c r="B666" s="2" t="s">
        <v>403</v>
      </c>
      <c r="C666" s="2" t="s">
        <v>1612</v>
      </c>
      <c r="D666" s="6" t="s">
        <v>30</v>
      </c>
      <c r="E666" s="2" t="s">
        <v>8</v>
      </c>
      <c r="F666" s="2" t="n">
        <v>665</v>
      </c>
      <c r="G666" s="6" t="n">
        <v>8</v>
      </c>
      <c r="H666" s="8" t="n">
        <v>833.26394691625</v>
      </c>
      <c r="I666" s="2" t="s">
        <v>7012</v>
      </c>
    </row>
    <row r="667" customFormat="false" ht="15" hidden="false" customHeight="false" outlineLevel="0" collapsed="false">
      <c r="A667" s="2" t="s">
        <v>1613</v>
      </c>
      <c r="B667" s="2" t="s">
        <v>1614</v>
      </c>
      <c r="C667" s="2"/>
      <c r="D667" s="6" t="s">
        <v>30</v>
      </c>
      <c r="E667" s="2" t="s">
        <v>8</v>
      </c>
      <c r="F667" s="2" t="n">
        <v>666</v>
      </c>
      <c r="G667" s="6" t="n">
        <v>8</v>
      </c>
      <c r="H667" s="8" t="n">
        <v>948.058853844875</v>
      </c>
      <c r="I667" s="2" t="s">
        <v>7012</v>
      </c>
    </row>
    <row r="668" customFormat="false" ht="15" hidden="false" customHeight="false" outlineLevel="0" collapsed="false">
      <c r="A668" s="2" t="s">
        <v>1615</v>
      </c>
      <c r="B668" s="2" t="s">
        <v>1616</v>
      </c>
      <c r="C668" s="2"/>
      <c r="D668" s="6" t="s">
        <v>30</v>
      </c>
      <c r="E668" s="2" t="s">
        <v>9</v>
      </c>
      <c r="F668" s="2" t="n">
        <v>667</v>
      </c>
      <c r="G668" s="6" t="n">
        <v>12</v>
      </c>
      <c r="H668" s="8" t="n">
        <v>694.937337368333</v>
      </c>
      <c r="I668" s="2" t="s">
        <v>7012</v>
      </c>
    </row>
    <row r="669" customFormat="false" ht="15" hidden="false" customHeight="false" outlineLevel="0" collapsed="false">
      <c r="A669" s="2" t="s">
        <v>1617</v>
      </c>
      <c r="B669" s="2" t="s">
        <v>1618</v>
      </c>
      <c r="C669" s="2"/>
      <c r="D669" s="6" t="s">
        <v>30</v>
      </c>
      <c r="E669" s="2" t="s">
        <v>10</v>
      </c>
      <c r="F669" s="2" t="n">
        <v>668</v>
      </c>
      <c r="G669" s="6" t="n">
        <v>23</v>
      </c>
      <c r="H669" s="8" t="n">
        <v>597.022137180478</v>
      </c>
      <c r="I669" s="2" t="s">
        <v>7012</v>
      </c>
    </row>
    <row r="670" customFormat="false" ht="15" hidden="false" customHeight="false" outlineLevel="0" collapsed="false">
      <c r="A670" s="2" t="s">
        <v>1621</v>
      </c>
      <c r="B670" s="2" t="s">
        <v>44</v>
      </c>
      <c r="C670" s="2"/>
      <c r="D670" s="6" t="s">
        <v>30</v>
      </c>
      <c r="E670" s="2" t="s">
        <v>8</v>
      </c>
      <c r="F670" s="2" t="n">
        <v>669</v>
      </c>
      <c r="G670" s="6" t="n">
        <v>7</v>
      </c>
      <c r="H670" s="8" t="n">
        <v>1211.84137877157</v>
      </c>
      <c r="I670" s="2" t="s">
        <v>7012</v>
      </c>
    </row>
    <row r="671" customFormat="false" ht="15" hidden="false" customHeight="false" outlineLevel="0" collapsed="false">
      <c r="A671" s="2" t="s">
        <v>1624</v>
      </c>
      <c r="B671" s="2" t="s">
        <v>1063</v>
      </c>
      <c r="C671" s="2"/>
      <c r="D671" s="6" t="s">
        <v>30</v>
      </c>
      <c r="E671" s="2" t="s">
        <v>9</v>
      </c>
      <c r="F671" s="2" t="n">
        <v>670</v>
      </c>
      <c r="G671" s="6" t="n">
        <v>9</v>
      </c>
      <c r="H671" s="8" t="n">
        <v>607.807322555222</v>
      </c>
      <c r="I671" s="2" t="s">
        <v>7012</v>
      </c>
    </row>
    <row r="672" customFormat="false" ht="15" hidden="false" customHeight="false" outlineLevel="0" collapsed="false">
      <c r="A672" s="2" t="s">
        <v>1626</v>
      </c>
      <c r="B672" s="2" t="s">
        <v>44</v>
      </c>
      <c r="C672" s="2" t="s">
        <v>7179</v>
      </c>
      <c r="D672" s="6" t="s">
        <v>30</v>
      </c>
      <c r="E672" s="2" t="s">
        <v>8</v>
      </c>
      <c r="F672" s="2" t="n">
        <v>671</v>
      </c>
      <c r="G672" s="6" t="n">
        <v>6</v>
      </c>
      <c r="H672" s="8" t="n">
        <v>733.7178273415</v>
      </c>
      <c r="I672" s="2" t="s">
        <v>7012</v>
      </c>
    </row>
    <row r="673" customFormat="false" ht="15" hidden="false" customHeight="false" outlineLevel="0" collapsed="false">
      <c r="A673" s="2" t="s">
        <v>1628</v>
      </c>
      <c r="B673" s="2" t="s">
        <v>1629</v>
      </c>
      <c r="C673" s="2"/>
      <c r="D673" s="6" t="s">
        <v>30</v>
      </c>
      <c r="E673" s="2" t="s">
        <v>8</v>
      </c>
      <c r="F673" s="2" t="n">
        <v>672</v>
      </c>
      <c r="G673" s="6" t="n">
        <v>6</v>
      </c>
      <c r="H673" s="8" t="n">
        <v>866.041461629333</v>
      </c>
      <c r="I673" s="2" t="s">
        <v>7012</v>
      </c>
    </row>
    <row r="674" customFormat="false" ht="15" hidden="false" customHeight="false" outlineLevel="0" collapsed="false">
      <c r="A674" s="2" t="s">
        <v>1631</v>
      </c>
      <c r="B674" s="2" t="s">
        <v>1632</v>
      </c>
      <c r="C674" s="2"/>
      <c r="D674" s="6" t="s">
        <v>30</v>
      </c>
      <c r="E674" s="2" t="s">
        <v>9</v>
      </c>
      <c r="F674" s="2" t="n">
        <v>673</v>
      </c>
      <c r="G674" s="6" t="n">
        <v>9</v>
      </c>
      <c r="H674" s="8" t="n">
        <v>625.769758504778</v>
      </c>
      <c r="I674" s="2" t="s">
        <v>7012</v>
      </c>
    </row>
    <row r="675" customFormat="false" ht="15" hidden="false" customHeight="false" outlineLevel="0" collapsed="false">
      <c r="A675" s="2" t="s">
        <v>1633</v>
      </c>
      <c r="B675" s="2" t="s">
        <v>1634</v>
      </c>
      <c r="C675" s="2"/>
      <c r="D675" s="6" t="s">
        <v>30</v>
      </c>
      <c r="E675" s="2" t="s">
        <v>8</v>
      </c>
      <c r="F675" s="2" t="n">
        <v>674</v>
      </c>
      <c r="G675" s="6" t="n">
        <v>6</v>
      </c>
      <c r="H675" s="8" t="n">
        <v>872.826240561167</v>
      </c>
      <c r="I675" s="2" t="s">
        <v>7012</v>
      </c>
    </row>
    <row r="676" customFormat="false" ht="15" hidden="false" customHeight="false" outlineLevel="0" collapsed="false">
      <c r="A676" s="2" t="s">
        <v>1635</v>
      </c>
      <c r="B676" s="2" t="s">
        <v>1636</v>
      </c>
      <c r="C676" s="2"/>
      <c r="D676" s="6" t="s">
        <v>30</v>
      </c>
      <c r="E676" s="2" t="s">
        <v>8</v>
      </c>
      <c r="F676" s="2" t="n">
        <v>675</v>
      </c>
      <c r="G676" s="6" t="n">
        <v>6</v>
      </c>
      <c r="H676" s="8" t="n">
        <v>722.6477895805</v>
      </c>
      <c r="I676" s="2" t="s">
        <v>7012</v>
      </c>
    </row>
    <row r="677" customFormat="false" ht="15" hidden="false" customHeight="false" outlineLevel="0" collapsed="false">
      <c r="A677" s="2" t="s">
        <v>1637</v>
      </c>
      <c r="B677" s="2" t="s">
        <v>70</v>
      </c>
      <c r="C677" s="2" t="s">
        <v>1638</v>
      </c>
      <c r="D677" s="6" t="s">
        <v>30</v>
      </c>
      <c r="E677" s="2" t="s">
        <v>10</v>
      </c>
      <c r="F677" s="2" t="n">
        <v>676</v>
      </c>
      <c r="G677" s="6" t="n">
        <v>17</v>
      </c>
      <c r="H677" s="8" t="n">
        <v>565.344425562</v>
      </c>
      <c r="I677" s="2" t="s">
        <v>7012</v>
      </c>
    </row>
    <row r="678" customFormat="false" ht="15" hidden="false" customHeight="false" outlineLevel="0" collapsed="false">
      <c r="A678" s="2" t="s">
        <v>1639</v>
      </c>
      <c r="B678" s="2" t="s">
        <v>1640</v>
      </c>
      <c r="C678" s="2"/>
      <c r="D678" s="6" t="s">
        <v>30</v>
      </c>
      <c r="E678" s="2" t="s">
        <v>10</v>
      </c>
      <c r="F678" s="2" t="n">
        <v>677</v>
      </c>
      <c r="G678" s="6" t="n">
        <v>17</v>
      </c>
      <c r="H678" s="8" t="n">
        <v>556.68830782653</v>
      </c>
      <c r="I678" s="2" t="s">
        <v>7012</v>
      </c>
    </row>
    <row r="679" customFormat="false" ht="15" hidden="false" customHeight="false" outlineLevel="0" collapsed="false">
      <c r="A679" s="2" t="s">
        <v>1641</v>
      </c>
      <c r="B679" s="2" t="s">
        <v>1642</v>
      </c>
      <c r="C679" s="2"/>
      <c r="D679" s="6" t="s">
        <v>30</v>
      </c>
      <c r="E679" s="2" t="s">
        <v>10</v>
      </c>
      <c r="F679" s="2" t="n">
        <v>678</v>
      </c>
      <c r="G679" s="6" t="n">
        <v>17</v>
      </c>
      <c r="H679" s="8" t="n">
        <v>597.061964679412</v>
      </c>
      <c r="I679" s="2" t="s">
        <v>7012</v>
      </c>
    </row>
    <row r="680" customFormat="false" ht="15" hidden="false" customHeight="false" outlineLevel="0" collapsed="false">
      <c r="A680" s="2" t="s">
        <v>1645</v>
      </c>
      <c r="B680" s="2" t="s">
        <v>266</v>
      </c>
      <c r="C680" s="2"/>
      <c r="D680" s="6" t="s">
        <v>30</v>
      </c>
      <c r="E680" s="2" t="s">
        <v>9</v>
      </c>
      <c r="F680" s="2" t="n">
        <v>679</v>
      </c>
      <c r="G680" s="6" t="n">
        <v>8</v>
      </c>
      <c r="H680" s="8" t="n">
        <v>649.04392671975</v>
      </c>
      <c r="I680" s="2" t="s">
        <v>7012</v>
      </c>
    </row>
    <row r="681" customFormat="false" ht="15" hidden="false" customHeight="false" outlineLevel="0" collapsed="false">
      <c r="A681" s="2" t="s">
        <v>1646</v>
      </c>
      <c r="B681" s="2" t="s">
        <v>1647</v>
      </c>
      <c r="C681" s="2"/>
      <c r="D681" s="6" t="s">
        <v>30</v>
      </c>
      <c r="E681" s="2" t="s">
        <v>9</v>
      </c>
      <c r="F681" s="2" t="n">
        <v>680</v>
      </c>
      <c r="G681" s="6" t="n">
        <v>8</v>
      </c>
      <c r="H681" s="8" t="n">
        <v>697.542063436375</v>
      </c>
      <c r="I681" s="2" t="s">
        <v>7012</v>
      </c>
    </row>
    <row r="682" customFormat="false" ht="15" hidden="false" customHeight="false" outlineLevel="0" collapsed="false">
      <c r="A682" s="2" t="s">
        <v>1648</v>
      </c>
      <c r="B682" s="2" t="s">
        <v>403</v>
      </c>
      <c r="C682" s="2"/>
      <c r="D682" s="6" t="s">
        <v>30</v>
      </c>
      <c r="E682" s="2" t="s">
        <v>8</v>
      </c>
      <c r="F682" s="2" t="n">
        <v>681</v>
      </c>
      <c r="G682" s="6" t="n">
        <v>5</v>
      </c>
      <c r="H682" s="8" t="n">
        <v>937.8084993736</v>
      </c>
      <c r="I682" s="2" t="s">
        <v>7012</v>
      </c>
    </row>
    <row r="683" customFormat="false" ht="15" hidden="false" customHeight="false" outlineLevel="0" collapsed="false">
      <c r="A683" s="2" t="s">
        <v>1650</v>
      </c>
      <c r="B683" s="2" t="s">
        <v>146</v>
      </c>
      <c r="C683" s="2"/>
      <c r="D683" s="6" t="s">
        <v>30</v>
      </c>
      <c r="E683" s="2" t="s">
        <v>8</v>
      </c>
      <c r="F683" s="2" t="n">
        <v>682</v>
      </c>
      <c r="G683" s="6" t="n">
        <v>5</v>
      </c>
      <c r="H683" s="8" t="n">
        <v>873.635654024</v>
      </c>
      <c r="I683" s="2" t="s">
        <v>7012</v>
      </c>
    </row>
    <row r="684" customFormat="false" ht="15" hidden="false" customHeight="false" outlineLevel="0" collapsed="false">
      <c r="A684" s="2" t="s">
        <v>1651</v>
      </c>
      <c r="B684" s="2" t="s">
        <v>56</v>
      </c>
      <c r="C684" s="2" t="s">
        <v>1652</v>
      </c>
      <c r="D684" s="6" t="s">
        <v>30</v>
      </c>
      <c r="E684" s="2" t="s">
        <v>8</v>
      </c>
      <c r="F684" s="2" t="n">
        <v>683</v>
      </c>
      <c r="G684" s="6" t="n">
        <v>5</v>
      </c>
      <c r="H684" s="8" t="n">
        <v>1009.6005080376</v>
      </c>
      <c r="I684" s="2" t="s">
        <v>7012</v>
      </c>
    </row>
    <row r="685" customFormat="false" ht="15" hidden="false" customHeight="false" outlineLevel="0" collapsed="false">
      <c r="A685" s="2" t="s">
        <v>1653</v>
      </c>
      <c r="B685" s="2" t="s">
        <v>56</v>
      </c>
      <c r="C685" s="2" t="s">
        <v>1654</v>
      </c>
      <c r="D685" s="6" t="s">
        <v>30</v>
      </c>
      <c r="E685" s="2" t="s">
        <v>8</v>
      </c>
      <c r="F685" s="2" t="n">
        <v>684</v>
      </c>
      <c r="G685" s="6" t="n">
        <v>5</v>
      </c>
      <c r="H685" s="8" t="n">
        <v>1067.8748739058</v>
      </c>
      <c r="I685" s="2" t="s">
        <v>7012</v>
      </c>
    </row>
    <row r="686" customFormat="false" ht="15" hidden="false" customHeight="false" outlineLevel="0" collapsed="false">
      <c r="A686" s="2" t="s">
        <v>1655</v>
      </c>
      <c r="B686" s="2" t="s">
        <v>1656</v>
      </c>
      <c r="C686" s="2"/>
      <c r="D686" s="6" t="s">
        <v>30</v>
      </c>
      <c r="E686" s="2" t="s">
        <v>8</v>
      </c>
      <c r="F686" s="2" t="n">
        <v>685</v>
      </c>
      <c r="G686" s="6" t="n">
        <v>5</v>
      </c>
      <c r="H686" s="8" t="n">
        <v>718.8664258888</v>
      </c>
      <c r="I686" s="2" t="s">
        <v>7012</v>
      </c>
    </row>
    <row r="687" customFormat="false" ht="15" hidden="false" customHeight="false" outlineLevel="0" collapsed="false">
      <c r="A687" s="2" t="s">
        <v>1660</v>
      </c>
      <c r="B687" s="2" t="s">
        <v>1661</v>
      </c>
      <c r="C687" s="2" t="s">
        <v>1662</v>
      </c>
      <c r="D687" s="6" t="s">
        <v>30</v>
      </c>
      <c r="E687" s="2" t="s">
        <v>10</v>
      </c>
      <c r="F687" s="2" t="n">
        <v>686</v>
      </c>
      <c r="G687" s="6" t="n">
        <v>13</v>
      </c>
      <c r="H687" s="8" t="n">
        <v>555.805180164077</v>
      </c>
      <c r="I687" s="2" t="s">
        <v>7012</v>
      </c>
    </row>
    <row r="688" customFormat="false" ht="15" hidden="false" customHeight="false" outlineLevel="0" collapsed="false">
      <c r="A688" s="2" t="s">
        <v>1665</v>
      </c>
      <c r="B688" s="2" t="s">
        <v>278</v>
      </c>
      <c r="C688" s="2"/>
      <c r="D688" s="6" t="s">
        <v>30</v>
      </c>
      <c r="E688" s="2" t="s">
        <v>8</v>
      </c>
      <c r="F688" s="2" t="n">
        <v>687</v>
      </c>
      <c r="G688" s="6" t="n">
        <v>4</v>
      </c>
      <c r="H688" s="8" t="n">
        <v>768.44457987375</v>
      </c>
      <c r="I688" s="2" t="s">
        <v>7012</v>
      </c>
    </row>
    <row r="689" customFormat="false" ht="15" hidden="false" customHeight="false" outlineLevel="0" collapsed="false">
      <c r="A689" s="2" t="s">
        <v>1668</v>
      </c>
      <c r="B689" s="2" t="s">
        <v>1669</v>
      </c>
      <c r="C689" s="2"/>
      <c r="D689" s="6" t="s">
        <v>30</v>
      </c>
      <c r="E689" s="2" t="s">
        <v>8</v>
      </c>
      <c r="F689" s="2" t="n">
        <v>688</v>
      </c>
      <c r="G689" s="6" t="n">
        <v>4</v>
      </c>
      <c r="H689" s="8" t="n">
        <v>954.28300213875</v>
      </c>
      <c r="I689" s="2" t="s">
        <v>7012</v>
      </c>
    </row>
    <row r="690" customFormat="false" ht="15" hidden="false" customHeight="false" outlineLevel="0" collapsed="false">
      <c r="A690" s="2" t="s">
        <v>1672</v>
      </c>
      <c r="B690" s="2" t="s">
        <v>38</v>
      </c>
      <c r="C690" s="2"/>
      <c r="D690" s="6" t="s">
        <v>30</v>
      </c>
      <c r="E690" s="2" t="s">
        <v>8</v>
      </c>
      <c r="F690" s="2" t="n">
        <v>689</v>
      </c>
      <c r="G690" s="6" t="n">
        <v>4</v>
      </c>
      <c r="H690" s="8" t="n">
        <v>1153.45263978625</v>
      </c>
      <c r="I690" s="2" t="s">
        <v>7012</v>
      </c>
    </row>
    <row r="691" customFormat="false" ht="15" hidden="false" customHeight="false" outlineLevel="0" collapsed="false">
      <c r="A691" s="2" t="s">
        <v>1673</v>
      </c>
      <c r="B691" s="2" t="s">
        <v>1674</v>
      </c>
      <c r="C691" s="2" t="s">
        <v>7180</v>
      </c>
      <c r="D691" s="6" t="s">
        <v>30</v>
      </c>
      <c r="E691" s="2" t="s">
        <v>9</v>
      </c>
      <c r="F691" s="2" t="n">
        <v>690</v>
      </c>
      <c r="G691" s="6" t="n">
        <v>6</v>
      </c>
      <c r="H691" s="8" t="n">
        <v>606.846858202667</v>
      </c>
      <c r="I691" s="2" t="s">
        <v>7012</v>
      </c>
    </row>
    <row r="692" customFormat="false" ht="15" hidden="false" customHeight="false" outlineLevel="0" collapsed="false">
      <c r="A692" s="2" t="s">
        <v>1676</v>
      </c>
      <c r="B692" s="2" t="s">
        <v>70</v>
      </c>
      <c r="C692" s="2" t="s">
        <v>1677</v>
      </c>
      <c r="D692" s="6" t="s">
        <v>30</v>
      </c>
      <c r="E692" s="2" t="s">
        <v>10</v>
      </c>
      <c r="F692" s="2" t="n">
        <v>691</v>
      </c>
      <c r="G692" s="6" t="n">
        <v>11</v>
      </c>
      <c r="H692" s="8" t="n">
        <v>541.919217190182</v>
      </c>
      <c r="I692" s="2" t="s">
        <v>7012</v>
      </c>
    </row>
    <row r="693" customFormat="false" ht="15" hidden="false" customHeight="false" outlineLevel="0" collapsed="false">
      <c r="A693" s="2" t="s">
        <v>1678</v>
      </c>
      <c r="B693" s="2" t="s">
        <v>1679</v>
      </c>
      <c r="C693" s="2"/>
      <c r="D693" s="6" t="s">
        <v>30</v>
      </c>
      <c r="E693" s="2" t="s">
        <v>10</v>
      </c>
      <c r="F693" s="2" t="n">
        <v>692</v>
      </c>
      <c r="G693" s="6" t="n">
        <v>10</v>
      </c>
      <c r="H693" s="8" t="n">
        <v>513.1182222161</v>
      </c>
      <c r="I693" s="2" t="s">
        <v>7012</v>
      </c>
    </row>
    <row r="694" customFormat="false" ht="15" hidden="false" customHeight="false" outlineLevel="0" collapsed="false">
      <c r="A694" s="2" t="s">
        <v>1683</v>
      </c>
      <c r="B694" s="2" t="s">
        <v>1684</v>
      </c>
      <c r="C694" s="2"/>
      <c r="D694" s="6" t="s">
        <v>30</v>
      </c>
      <c r="E694" s="2" t="s">
        <v>9</v>
      </c>
      <c r="F694" s="2" t="n">
        <v>693</v>
      </c>
      <c r="G694" s="6" t="n">
        <v>5</v>
      </c>
      <c r="H694" s="8" t="n">
        <v>672.4747664492</v>
      </c>
      <c r="I694" s="2" t="s">
        <v>7012</v>
      </c>
    </row>
    <row r="695" customFormat="false" ht="15" hidden="false" customHeight="false" outlineLevel="0" collapsed="false">
      <c r="A695" s="2" t="s">
        <v>1688</v>
      </c>
      <c r="B695" s="2" t="s">
        <v>70</v>
      </c>
      <c r="C695" s="2" t="s">
        <v>1689</v>
      </c>
      <c r="D695" s="6" t="s">
        <v>30</v>
      </c>
      <c r="E695" s="2" t="s">
        <v>8</v>
      </c>
      <c r="F695" s="2" t="n">
        <v>694</v>
      </c>
      <c r="G695" s="6" t="n">
        <v>3</v>
      </c>
      <c r="H695" s="8" t="n">
        <v>1126.61284682833</v>
      </c>
      <c r="I695" s="2" t="s">
        <v>7012</v>
      </c>
    </row>
    <row r="696" customFormat="false" ht="15" hidden="false" customHeight="false" outlineLevel="0" collapsed="false">
      <c r="A696" s="2" t="s">
        <v>1690</v>
      </c>
      <c r="B696" s="2" t="s">
        <v>1691</v>
      </c>
      <c r="C696" s="2"/>
      <c r="D696" s="6" t="s">
        <v>30</v>
      </c>
      <c r="E696" s="2" t="s">
        <v>8</v>
      </c>
      <c r="F696" s="2" t="n">
        <v>695</v>
      </c>
      <c r="G696" s="6" t="n">
        <v>3</v>
      </c>
      <c r="H696" s="8" t="n">
        <v>952.750225077334</v>
      </c>
      <c r="I696" s="2" t="s">
        <v>7012</v>
      </c>
    </row>
    <row r="697" customFormat="false" ht="15" hidden="false" customHeight="false" outlineLevel="0" collapsed="false">
      <c r="A697" s="2" t="s">
        <v>1695</v>
      </c>
      <c r="B697" s="2" t="s">
        <v>44</v>
      </c>
      <c r="C697" s="2" t="s">
        <v>7181</v>
      </c>
      <c r="D697" s="6" t="s">
        <v>30</v>
      </c>
      <c r="E697" s="2" t="s">
        <v>8</v>
      </c>
      <c r="F697" s="2" t="n">
        <v>696</v>
      </c>
      <c r="G697" s="6" t="n">
        <v>3</v>
      </c>
      <c r="H697" s="8" t="n">
        <v>736.413350283667</v>
      </c>
      <c r="I697" s="2" t="s">
        <v>7012</v>
      </c>
    </row>
    <row r="698" customFormat="false" ht="15" hidden="false" customHeight="false" outlineLevel="0" collapsed="false">
      <c r="A698" s="2" t="s">
        <v>1698</v>
      </c>
      <c r="B698" s="2" t="s">
        <v>1699</v>
      </c>
      <c r="C698" s="2"/>
      <c r="D698" s="6" t="s">
        <v>30</v>
      </c>
      <c r="E698" s="2" t="s">
        <v>8</v>
      </c>
      <c r="F698" s="2" t="n">
        <v>697</v>
      </c>
      <c r="G698" s="6" t="n">
        <v>3</v>
      </c>
      <c r="H698" s="8" t="n">
        <v>1050.371586429</v>
      </c>
      <c r="I698" s="2" t="s">
        <v>7012</v>
      </c>
    </row>
    <row r="699" customFormat="false" ht="15" hidden="false" customHeight="false" outlineLevel="0" collapsed="false">
      <c r="A699" s="2" t="s">
        <v>1702</v>
      </c>
      <c r="B699" s="2" t="s">
        <v>1703</v>
      </c>
      <c r="C699" s="2"/>
      <c r="D699" s="6" t="s">
        <v>30</v>
      </c>
      <c r="E699" s="2" t="s">
        <v>8</v>
      </c>
      <c r="F699" s="2" t="n">
        <v>698</v>
      </c>
      <c r="G699" s="6" t="n">
        <v>3</v>
      </c>
      <c r="H699" s="8" t="n">
        <v>1525.46343751467</v>
      </c>
      <c r="I699" s="2" t="s">
        <v>7012</v>
      </c>
    </row>
    <row r="700" customFormat="false" ht="15" hidden="false" customHeight="false" outlineLevel="0" collapsed="false">
      <c r="A700" s="2" t="s">
        <v>1704</v>
      </c>
      <c r="B700" s="2" t="s">
        <v>1705</v>
      </c>
      <c r="C700" s="2"/>
      <c r="D700" s="6" t="s">
        <v>30</v>
      </c>
      <c r="E700" s="2" t="s">
        <v>8</v>
      </c>
      <c r="F700" s="2" t="n">
        <v>699</v>
      </c>
      <c r="G700" s="6" t="n">
        <v>3</v>
      </c>
      <c r="H700" s="8" t="n">
        <v>1065.004088307</v>
      </c>
      <c r="I700" s="2" t="s">
        <v>7012</v>
      </c>
    </row>
    <row r="701" customFormat="false" ht="15" hidden="false" customHeight="false" outlineLevel="0" collapsed="false">
      <c r="A701" s="2" t="s">
        <v>1706</v>
      </c>
      <c r="B701" s="2" t="s">
        <v>1707</v>
      </c>
      <c r="C701" s="2"/>
      <c r="D701" s="6" t="s">
        <v>30</v>
      </c>
      <c r="E701" s="2" t="s">
        <v>8</v>
      </c>
      <c r="F701" s="2" t="n">
        <v>700</v>
      </c>
      <c r="G701" s="6" t="n">
        <v>3</v>
      </c>
      <c r="H701" s="8" t="n">
        <v>777.701687941333</v>
      </c>
      <c r="I701" s="2" t="s">
        <v>7012</v>
      </c>
    </row>
    <row r="702" customFormat="false" ht="15" hidden="false" customHeight="false" outlineLevel="0" collapsed="false">
      <c r="A702" s="2" t="s">
        <v>1708</v>
      </c>
      <c r="B702" s="2" t="s">
        <v>1523</v>
      </c>
      <c r="C702" s="2"/>
      <c r="D702" s="6" t="s">
        <v>30</v>
      </c>
      <c r="E702" s="2" t="s">
        <v>8</v>
      </c>
      <c r="F702" s="2" t="n">
        <v>701</v>
      </c>
      <c r="G702" s="6" t="n">
        <v>3</v>
      </c>
      <c r="H702" s="8" t="n">
        <v>1856.27142138267</v>
      </c>
      <c r="I702" s="2" t="s">
        <v>7012</v>
      </c>
    </row>
    <row r="703" customFormat="false" ht="15" hidden="false" customHeight="false" outlineLevel="0" collapsed="false">
      <c r="A703" s="2" t="s">
        <v>1709</v>
      </c>
      <c r="B703" s="2" t="s">
        <v>1710</v>
      </c>
      <c r="C703" s="2" t="s">
        <v>1710</v>
      </c>
      <c r="D703" s="6" t="s">
        <v>30</v>
      </c>
      <c r="E703" s="2" t="s">
        <v>10</v>
      </c>
      <c r="F703" s="2" t="n">
        <v>702</v>
      </c>
      <c r="G703" s="6" t="n">
        <v>9</v>
      </c>
      <c r="H703" s="8" t="n">
        <v>588.210425510111</v>
      </c>
      <c r="I703" s="2" t="s">
        <v>7012</v>
      </c>
    </row>
    <row r="704" customFormat="false" ht="15" hidden="false" customHeight="false" outlineLevel="0" collapsed="false">
      <c r="A704" s="2" t="s">
        <v>1711</v>
      </c>
      <c r="B704" s="2" t="s">
        <v>70</v>
      </c>
      <c r="C704" s="2" t="s">
        <v>1712</v>
      </c>
      <c r="D704" s="6" t="s">
        <v>30</v>
      </c>
      <c r="E704" s="2" t="s">
        <v>10</v>
      </c>
      <c r="F704" s="2" t="n">
        <v>703</v>
      </c>
      <c r="G704" s="6" t="n">
        <v>8</v>
      </c>
      <c r="H704" s="8" t="n">
        <v>544.567232527125</v>
      </c>
      <c r="I704" s="2" t="s">
        <v>7012</v>
      </c>
    </row>
    <row r="705" customFormat="false" ht="15" hidden="false" customHeight="false" outlineLevel="0" collapsed="false">
      <c r="A705" s="2" t="s">
        <v>1713</v>
      </c>
      <c r="B705" s="2" t="s">
        <v>1714</v>
      </c>
      <c r="C705" s="2"/>
      <c r="D705" s="6" t="s">
        <v>30</v>
      </c>
      <c r="E705" s="2" t="s">
        <v>10</v>
      </c>
      <c r="F705" s="2" t="n">
        <v>704</v>
      </c>
      <c r="G705" s="6" t="n">
        <v>8</v>
      </c>
      <c r="H705" s="8" t="n">
        <v>545.639367768625</v>
      </c>
      <c r="I705" s="2" t="s">
        <v>7012</v>
      </c>
    </row>
    <row r="706" customFormat="false" ht="15" hidden="false" customHeight="false" outlineLevel="0" collapsed="false">
      <c r="A706" s="2" t="s">
        <v>1715</v>
      </c>
      <c r="B706" s="2" t="s">
        <v>1716</v>
      </c>
      <c r="C706" s="2"/>
      <c r="D706" s="6" t="s">
        <v>30</v>
      </c>
      <c r="E706" s="2" t="s">
        <v>10</v>
      </c>
      <c r="F706" s="2" t="n">
        <v>705</v>
      </c>
      <c r="G706" s="6" t="n">
        <v>7</v>
      </c>
      <c r="H706" s="8" t="n">
        <v>572.825491513429</v>
      </c>
      <c r="I706" s="2" t="s">
        <v>7012</v>
      </c>
    </row>
    <row r="707" customFormat="false" ht="15" hidden="false" customHeight="false" outlineLevel="0" collapsed="false">
      <c r="A707" s="2" t="s">
        <v>1718</v>
      </c>
      <c r="B707" s="2" t="s">
        <v>70</v>
      </c>
      <c r="C707" s="2" t="s">
        <v>1719</v>
      </c>
      <c r="D707" s="6" t="s">
        <v>30</v>
      </c>
      <c r="E707" s="2" t="s">
        <v>9</v>
      </c>
      <c r="F707" s="2" t="n">
        <v>706</v>
      </c>
      <c r="G707" s="6" t="n">
        <v>3</v>
      </c>
      <c r="H707" s="8" t="n">
        <v>621.445978879</v>
      </c>
      <c r="I707" s="2" t="s">
        <v>7012</v>
      </c>
    </row>
    <row r="708" customFormat="false" ht="15" hidden="false" customHeight="false" outlineLevel="0" collapsed="false">
      <c r="A708" s="2" t="s">
        <v>1725</v>
      </c>
      <c r="B708" s="2" t="s">
        <v>1726</v>
      </c>
      <c r="C708" s="2"/>
      <c r="D708" s="6" t="s">
        <v>30</v>
      </c>
      <c r="E708" s="2" t="s">
        <v>10</v>
      </c>
      <c r="F708" s="2" t="n">
        <v>707</v>
      </c>
      <c r="G708" s="6" t="n">
        <v>6</v>
      </c>
      <c r="H708" s="8" t="n">
        <v>564.959848519</v>
      </c>
      <c r="I708" s="2" t="s">
        <v>7012</v>
      </c>
    </row>
    <row r="709" customFormat="false" ht="15" hidden="false" customHeight="false" outlineLevel="0" collapsed="false">
      <c r="A709" s="2" t="s">
        <v>1731</v>
      </c>
      <c r="B709" s="2" t="s">
        <v>1732</v>
      </c>
      <c r="C709" s="2"/>
      <c r="D709" s="6" t="s">
        <v>30</v>
      </c>
      <c r="E709" s="2" t="s">
        <v>8</v>
      </c>
      <c r="F709" s="2" t="n">
        <v>708</v>
      </c>
      <c r="G709" s="6" t="n">
        <v>2</v>
      </c>
      <c r="H709" s="8" t="n">
        <v>728.198853557</v>
      </c>
      <c r="I709" s="2" t="s">
        <v>7012</v>
      </c>
    </row>
    <row r="710" customFormat="false" ht="15" hidden="false" customHeight="false" outlineLevel="0" collapsed="false">
      <c r="A710" s="2" t="s">
        <v>1734</v>
      </c>
      <c r="B710" s="2" t="s">
        <v>1735</v>
      </c>
      <c r="C710" s="2"/>
      <c r="D710" s="6" t="s">
        <v>30</v>
      </c>
      <c r="E710" s="2" t="s">
        <v>10</v>
      </c>
      <c r="F710" s="2" t="n">
        <v>709</v>
      </c>
      <c r="G710" s="6" t="n">
        <v>6</v>
      </c>
      <c r="H710" s="8" t="n">
        <v>510.763452175333</v>
      </c>
      <c r="I710" s="2" t="s">
        <v>7012</v>
      </c>
    </row>
    <row r="711" customFormat="false" ht="15" hidden="false" customHeight="false" outlineLevel="0" collapsed="false">
      <c r="A711" s="2" t="s">
        <v>1736</v>
      </c>
      <c r="B711" s="2" t="s">
        <v>1737</v>
      </c>
      <c r="C711" s="2"/>
      <c r="D711" s="6" t="s">
        <v>30</v>
      </c>
      <c r="E711" s="2" t="s">
        <v>9</v>
      </c>
      <c r="F711" s="2" t="n">
        <v>710</v>
      </c>
      <c r="G711" s="6" t="n">
        <v>3</v>
      </c>
      <c r="H711" s="8" t="n">
        <v>649.066699850667</v>
      </c>
      <c r="I711" s="2" t="s">
        <v>7012</v>
      </c>
    </row>
    <row r="712" customFormat="false" ht="15" hidden="false" customHeight="false" outlineLevel="0" collapsed="false">
      <c r="A712" s="2" t="s">
        <v>1738</v>
      </c>
      <c r="B712" s="2" t="s">
        <v>1739</v>
      </c>
      <c r="C712" s="2"/>
      <c r="D712" s="6" t="s">
        <v>30</v>
      </c>
      <c r="E712" s="2" t="s">
        <v>8</v>
      </c>
      <c r="F712" s="2" t="n">
        <v>711</v>
      </c>
      <c r="G712" s="6" t="n">
        <v>2</v>
      </c>
      <c r="H712" s="8" t="n">
        <v>727.8580618795</v>
      </c>
      <c r="I712" s="2" t="s">
        <v>7012</v>
      </c>
    </row>
    <row r="713" customFormat="false" ht="15" hidden="false" customHeight="false" outlineLevel="0" collapsed="false">
      <c r="A713" s="2" t="s">
        <v>1744</v>
      </c>
      <c r="B713" s="2" t="s">
        <v>70</v>
      </c>
      <c r="C713" s="2"/>
      <c r="D713" s="6" t="s">
        <v>30</v>
      </c>
      <c r="E713" s="2" t="s">
        <v>10</v>
      </c>
      <c r="F713" s="2" t="n">
        <v>712</v>
      </c>
      <c r="G713" s="6" t="n">
        <v>4</v>
      </c>
      <c r="H713" s="8" t="n">
        <v>586.34465628375</v>
      </c>
      <c r="I713" s="2" t="s">
        <v>7012</v>
      </c>
    </row>
    <row r="714" customFormat="false" ht="15" hidden="false" customHeight="false" outlineLevel="0" collapsed="false">
      <c r="A714" s="2" t="s">
        <v>1752</v>
      </c>
      <c r="B714" s="2" t="s">
        <v>1753</v>
      </c>
      <c r="C714" s="2"/>
      <c r="D714" s="6" t="s">
        <v>30</v>
      </c>
      <c r="E714" s="2" t="s">
        <v>10</v>
      </c>
      <c r="F714" s="2" t="n">
        <v>713</v>
      </c>
      <c r="G714" s="6" t="n">
        <v>4</v>
      </c>
      <c r="H714" s="8" t="n">
        <v>561.3938039285</v>
      </c>
      <c r="I714" s="2" t="s">
        <v>7012</v>
      </c>
    </row>
    <row r="715" customFormat="false" ht="15" hidden="false" customHeight="false" outlineLevel="0" collapsed="false">
      <c r="A715" s="2" t="s">
        <v>1754</v>
      </c>
      <c r="B715" s="2" t="s">
        <v>1755</v>
      </c>
      <c r="C715" s="2"/>
      <c r="D715" s="6" t="s">
        <v>30</v>
      </c>
      <c r="E715" s="2" t="s">
        <v>9</v>
      </c>
      <c r="F715" s="2" t="n">
        <v>714</v>
      </c>
      <c r="G715" s="6" t="n">
        <v>2</v>
      </c>
      <c r="H715" s="8" t="n">
        <v>630.150857615</v>
      </c>
      <c r="I715" s="2" t="s">
        <v>7012</v>
      </c>
    </row>
    <row r="716" customFormat="false" ht="15" hidden="false" customHeight="false" outlineLevel="0" collapsed="false">
      <c r="A716" s="2" t="s">
        <v>1756</v>
      </c>
      <c r="B716" s="2" t="s">
        <v>1757</v>
      </c>
      <c r="C716" s="2"/>
      <c r="D716" s="6" t="s">
        <v>30</v>
      </c>
      <c r="E716" s="2" t="s">
        <v>10</v>
      </c>
      <c r="F716" s="2" t="n">
        <v>715</v>
      </c>
      <c r="G716" s="6" t="n">
        <v>4</v>
      </c>
      <c r="H716" s="8" t="n">
        <v>528.6833003955</v>
      </c>
      <c r="I716" s="2" t="s">
        <v>7012</v>
      </c>
    </row>
    <row r="717" customFormat="false" ht="15" hidden="false" customHeight="false" outlineLevel="0" collapsed="false">
      <c r="A717" s="2" t="s">
        <v>1761</v>
      </c>
      <c r="B717" s="2" t="s">
        <v>1762</v>
      </c>
      <c r="C717" s="2"/>
      <c r="D717" s="6" t="s">
        <v>30</v>
      </c>
      <c r="E717" s="2" t="s">
        <v>9</v>
      </c>
      <c r="F717" s="2" t="n">
        <v>716</v>
      </c>
      <c r="G717" s="6" t="n">
        <v>2</v>
      </c>
      <c r="H717" s="8" t="n">
        <v>646.0674323315</v>
      </c>
      <c r="I717" s="2" t="s">
        <v>7012</v>
      </c>
    </row>
    <row r="718" customFormat="false" ht="15" hidden="false" customHeight="false" outlineLevel="0" collapsed="false">
      <c r="A718" s="2" t="s">
        <v>1766</v>
      </c>
      <c r="B718" s="2" t="s">
        <v>744</v>
      </c>
      <c r="C718" s="2"/>
      <c r="D718" s="6" t="s">
        <v>30</v>
      </c>
      <c r="E718" s="2" t="s">
        <v>8</v>
      </c>
      <c r="F718" s="2" t="n">
        <v>717</v>
      </c>
      <c r="G718" s="6" t="n">
        <v>1</v>
      </c>
      <c r="H718" s="8" t="n">
        <v>1622.973657548</v>
      </c>
      <c r="I718" s="2" t="s">
        <v>7012</v>
      </c>
    </row>
    <row r="719" customFormat="false" ht="15" hidden="false" customHeight="false" outlineLevel="0" collapsed="false">
      <c r="A719" s="2" t="s">
        <v>1767</v>
      </c>
      <c r="B719" s="2" t="s">
        <v>403</v>
      </c>
      <c r="C719" s="2"/>
      <c r="D719" s="6" t="s">
        <v>30</v>
      </c>
      <c r="E719" s="2" t="s">
        <v>8</v>
      </c>
      <c r="F719" s="2" t="n">
        <v>718</v>
      </c>
      <c r="G719" s="6" t="n">
        <v>1</v>
      </c>
      <c r="H719" s="8" t="n">
        <v>714.285714286</v>
      </c>
      <c r="I719" s="2" t="s">
        <v>7012</v>
      </c>
    </row>
    <row r="720" customFormat="false" ht="15" hidden="false" customHeight="false" outlineLevel="0" collapsed="false">
      <c r="A720" s="2" t="s">
        <v>1770</v>
      </c>
      <c r="B720" s="2" t="s">
        <v>1771</v>
      </c>
      <c r="C720" s="2"/>
      <c r="D720" s="6" t="s">
        <v>30</v>
      </c>
      <c r="E720" s="2" t="s">
        <v>10</v>
      </c>
      <c r="F720" s="2" t="n">
        <v>719</v>
      </c>
      <c r="G720" s="6" t="n">
        <v>3</v>
      </c>
      <c r="H720" s="8" t="n">
        <v>522.364749089</v>
      </c>
      <c r="I720" s="2" t="s">
        <v>7012</v>
      </c>
    </row>
    <row r="721" customFormat="false" ht="15" hidden="false" customHeight="false" outlineLevel="0" collapsed="false">
      <c r="A721" s="2" t="s">
        <v>1775</v>
      </c>
      <c r="B721" s="2" t="s">
        <v>263</v>
      </c>
      <c r="C721" s="2" t="s">
        <v>1776</v>
      </c>
      <c r="D721" s="6" t="s">
        <v>30</v>
      </c>
      <c r="E721" s="2" t="s">
        <v>8</v>
      </c>
      <c r="F721" s="2" t="n">
        <v>720</v>
      </c>
      <c r="G721" s="6" t="n">
        <v>1</v>
      </c>
      <c r="H721" s="8" t="n">
        <v>754.024193548</v>
      </c>
      <c r="I721" s="2" t="s">
        <v>7012</v>
      </c>
    </row>
    <row r="722" customFormat="false" ht="15" hidden="false" customHeight="false" outlineLevel="0" collapsed="false">
      <c r="A722" s="2" t="s">
        <v>1780</v>
      </c>
      <c r="B722" s="2" t="s">
        <v>1781</v>
      </c>
      <c r="C722" s="2"/>
      <c r="D722" s="6" t="s">
        <v>30</v>
      </c>
      <c r="E722" s="2" t="s">
        <v>8</v>
      </c>
      <c r="F722" s="2" t="n">
        <v>721</v>
      </c>
      <c r="G722" s="6" t="n">
        <v>1</v>
      </c>
      <c r="H722" s="8" t="n">
        <v>746.783809225</v>
      </c>
      <c r="I722" s="2" t="s">
        <v>7012</v>
      </c>
    </row>
    <row r="723" customFormat="false" ht="15" hidden="false" customHeight="false" outlineLevel="0" collapsed="false">
      <c r="A723" s="2" t="s">
        <v>1782</v>
      </c>
      <c r="B723" s="2" t="s">
        <v>1783</v>
      </c>
      <c r="C723" s="2"/>
      <c r="D723" s="6" t="s">
        <v>30</v>
      </c>
      <c r="E723" s="2" t="s">
        <v>10</v>
      </c>
      <c r="F723" s="2" t="n">
        <v>722</v>
      </c>
      <c r="G723" s="6" t="n">
        <v>3</v>
      </c>
      <c r="H723" s="8" t="n">
        <v>526.738130226</v>
      </c>
      <c r="I723" s="2" t="s">
        <v>7012</v>
      </c>
    </row>
    <row r="724" customFormat="false" ht="15" hidden="false" customHeight="false" outlineLevel="0" collapsed="false">
      <c r="A724" s="2" t="s">
        <v>1791</v>
      </c>
      <c r="B724" s="2" t="s">
        <v>38</v>
      </c>
      <c r="C724" s="2" t="s">
        <v>1792</v>
      </c>
      <c r="D724" s="6" t="s">
        <v>30</v>
      </c>
      <c r="E724" s="2" t="s">
        <v>8</v>
      </c>
      <c r="F724" s="2" t="n">
        <v>723</v>
      </c>
      <c r="G724" s="6" t="n">
        <v>1</v>
      </c>
      <c r="H724" s="8" t="n">
        <v>741.666666667</v>
      </c>
      <c r="I724" s="2" t="s">
        <v>7012</v>
      </c>
    </row>
    <row r="725" customFormat="false" ht="15" hidden="false" customHeight="false" outlineLevel="0" collapsed="false">
      <c r="A725" s="2" t="s">
        <v>1794</v>
      </c>
      <c r="B725" s="2" t="s">
        <v>1795</v>
      </c>
      <c r="C725" s="2"/>
      <c r="D725" s="6" t="s">
        <v>30</v>
      </c>
      <c r="E725" s="2" t="s">
        <v>10</v>
      </c>
      <c r="F725" s="2" t="n">
        <v>724</v>
      </c>
      <c r="G725" s="6" t="n">
        <v>3</v>
      </c>
      <c r="H725" s="8" t="n">
        <v>513.432047226333</v>
      </c>
      <c r="I725" s="2" t="s">
        <v>7012</v>
      </c>
    </row>
    <row r="726" customFormat="false" ht="15" hidden="false" customHeight="false" outlineLevel="0" collapsed="false">
      <c r="A726" s="2" t="s">
        <v>1796</v>
      </c>
      <c r="B726" s="2" t="s">
        <v>1797</v>
      </c>
      <c r="C726" s="2" t="s">
        <v>1798</v>
      </c>
      <c r="D726" s="6" t="s">
        <v>30</v>
      </c>
      <c r="E726" s="2" t="s">
        <v>10</v>
      </c>
      <c r="F726" s="2" t="n">
        <v>725</v>
      </c>
      <c r="G726" s="6" t="n">
        <v>3</v>
      </c>
      <c r="H726" s="8" t="n">
        <v>543.939393939667</v>
      </c>
      <c r="I726" s="2" t="s">
        <v>7012</v>
      </c>
    </row>
    <row r="727" customFormat="false" ht="15" hidden="false" customHeight="false" outlineLevel="0" collapsed="false">
      <c r="A727" s="2" t="s">
        <v>1799</v>
      </c>
      <c r="B727" s="2" t="s">
        <v>1800</v>
      </c>
      <c r="C727" s="2"/>
      <c r="D727" s="6" t="s">
        <v>30</v>
      </c>
      <c r="E727" s="2" t="s">
        <v>8</v>
      </c>
      <c r="F727" s="2" t="n">
        <v>726</v>
      </c>
      <c r="G727" s="6" t="n">
        <v>1</v>
      </c>
      <c r="H727" s="8" t="n">
        <v>1001.225490196</v>
      </c>
      <c r="I727" s="2" t="s">
        <v>7012</v>
      </c>
    </row>
    <row r="728" customFormat="false" ht="15" hidden="false" customHeight="false" outlineLevel="0" collapsed="false">
      <c r="A728" s="2" t="s">
        <v>1804</v>
      </c>
      <c r="B728" s="2" t="s">
        <v>1805</v>
      </c>
      <c r="C728" s="2"/>
      <c r="D728" s="6" t="s">
        <v>30</v>
      </c>
      <c r="E728" s="2" t="s">
        <v>9</v>
      </c>
      <c r="F728" s="2" t="n">
        <v>727</v>
      </c>
      <c r="G728" s="6" t="n">
        <v>1</v>
      </c>
      <c r="H728" s="8" t="n">
        <v>608.766233766</v>
      </c>
      <c r="I728" s="2" t="s">
        <v>7012</v>
      </c>
    </row>
    <row r="729" customFormat="false" ht="15" hidden="false" customHeight="false" outlineLevel="0" collapsed="false">
      <c r="A729" s="2" t="s">
        <v>1806</v>
      </c>
      <c r="B729" s="2" t="s">
        <v>1807</v>
      </c>
      <c r="C729" s="2"/>
      <c r="D729" s="6" t="s">
        <v>30</v>
      </c>
      <c r="E729" s="2" t="s">
        <v>10</v>
      </c>
      <c r="F729" s="2" t="n">
        <v>728</v>
      </c>
      <c r="G729" s="6" t="n">
        <v>2</v>
      </c>
      <c r="H729" s="8" t="n">
        <v>572.4700553765</v>
      </c>
      <c r="I729" s="2" t="s">
        <v>7012</v>
      </c>
    </row>
    <row r="730" customFormat="false" ht="15" hidden="false" customHeight="false" outlineLevel="0" collapsed="false">
      <c r="A730" s="2" t="s">
        <v>1808</v>
      </c>
      <c r="B730" s="2" t="s">
        <v>1809</v>
      </c>
      <c r="C730" s="2"/>
      <c r="D730" s="6" t="s">
        <v>30</v>
      </c>
      <c r="E730" s="2" t="s">
        <v>10</v>
      </c>
      <c r="F730" s="2" t="n">
        <v>729</v>
      </c>
      <c r="G730" s="6" t="n">
        <v>2</v>
      </c>
      <c r="H730" s="8" t="n">
        <v>527.57701973</v>
      </c>
      <c r="I730" s="2" t="s">
        <v>7012</v>
      </c>
    </row>
    <row r="731" customFormat="false" ht="15" hidden="false" customHeight="false" outlineLevel="0" collapsed="false">
      <c r="A731" s="2" t="s">
        <v>1810</v>
      </c>
      <c r="B731" s="2" t="s">
        <v>1811</v>
      </c>
      <c r="C731" s="2"/>
      <c r="D731" s="6" t="s">
        <v>30</v>
      </c>
      <c r="E731" s="2" t="s">
        <v>9</v>
      </c>
      <c r="F731" s="2" t="n">
        <v>730</v>
      </c>
      <c r="G731" s="6" t="n">
        <v>1</v>
      </c>
      <c r="H731" s="8" t="n">
        <v>655.781584582</v>
      </c>
      <c r="I731" s="2" t="s">
        <v>7012</v>
      </c>
    </row>
    <row r="732" customFormat="false" ht="15" hidden="false" customHeight="false" outlineLevel="0" collapsed="false">
      <c r="A732" s="2" t="s">
        <v>1815</v>
      </c>
      <c r="B732" s="2" t="s">
        <v>1816</v>
      </c>
      <c r="C732" s="2"/>
      <c r="D732" s="6" t="s">
        <v>30</v>
      </c>
      <c r="E732" s="2" t="s">
        <v>10</v>
      </c>
      <c r="F732" s="2" t="n">
        <v>731</v>
      </c>
      <c r="G732" s="6" t="n">
        <v>2</v>
      </c>
      <c r="H732" s="8" t="n">
        <v>510.430276108</v>
      </c>
      <c r="I732" s="2" t="s">
        <v>7012</v>
      </c>
    </row>
    <row r="733" customFormat="false" ht="15" hidden="false" customHeight="false" outlineLevel="0" collapsed="false">
      <c r="A733" s="2" t="s">
        <v>1819</v>
      </c>
      <c r="B733" s="2" t="s">
        <v>1820</v>
      </c>
      <c r="C733" s="2"/>
      <c r="D733" s="6" t="s">
        <v>30</v>
      </c>
      <c r="E733" s="2" t="s">
        <v>10</v>
      </c>
      <c r="F733" s="2" t="n">
        <v>732</v>
      </c>
      <c r="G733" s="6" t="n">
        <v>2</v>
      </c>
      <c r="H733" s="8" t="n">
        <v>503.273322422</v>
      </c>
      <c r="I733" s="2" t="s">
        <v>7012</v>
      </c>
    </row>
    <row r="734" customFormat="false" ht="15" hidden="false" customHeight="false" outlineLevel="0" collapsed="false">
      <c r="A734" s="2" t="s">
        <v>1821</v>
      </c>
      <c r="B734" s="2" t="s">
        <v>1822</v>
      </c>
      <c r="C734" s="2" t="s">
        <v>1823</v>
      </c>
      <c r="D734" s="6" t="s">
        <v>30</v>
      </c>
      <c r="E734" s="2" t="s">
        <v>9</v>
      </c>
      <c r="F734" s="2" t="n">
        <v>733</v>
      </c>
      <c r="G734" s="6" t="n">
        <v>1</v>
      </c>
      <c r="H734" s="8" t="n">
        <v>677.769171185</v>
      </c>
      <c r="I734" s="2" t="s">
        <v>7012</v>
      </c>
    </row>
    <row r="735" customFormat="false" ht="15" hidden="false" customHeight="false" outlineLevel="0" collapsed="false">
      <c r="A735" s="2" t="s">
        <v>1824</v>
      </c>
      <c r="B735" s="2" t="s">
        <v>1825</v>
      </c>
      <c r="C735" s="2"/>
      <c r="D735" s="6" t="s">
        <v>30</v>
      </c>
      <c r="E735" s="2" t="s">
        <v>10</v>
      </c>
      <c r="F735" s="2" t="n">
        <v>734</v>
      </c>
      <c r="G735" s="6" t="n">
        <v>2</v>
      </c>
      <c r="H735" s="8" t="n">
        <v>510.813148789</v>
      </c>
      <c r="I735" s="2" t="s">
        <v>7012</v>
      </c>
    </row>
    <row r="736" customFormat="false" ht="15" hidden="false" customHeight="false" outlineLevel="0" collapsed="false">
      <c r="A736" s="2" t="s">
        <v>1826</v>
      </c>
      <c r="B736" s="2" t="s">
        <v>1827</v>
      </c>
      <c r="C736" s="2"/>
      <c r="D736" s="6" t="s">
        <v>30</v>
      </c>
      <c r="E736" s="2" t="s">
        <v>10</v>
      </c>
      <c r="F736" s="2" t="n">
        <v>735</v>
      </c>
      <c r="G736" s="6" t="n">
        <v>2</v>
      </c>
      <c r="H736" s="8" t="n">
        <v>508.11529313</v>
      </c>
      <c r="I736" s="2" t="s">
        <v>7012</v>
      </c>
    </row>
    <row r="737" customFormat="false" ht="15" hidden="false" customHeight="false" outlineLevel="0" collapsed="false">
      <c r="A737" s="2" t="s">
        <v>1839</v>
      </c>
      <c r="B737" s="2" t="s">
        <v>38</v>
      </c>
      <c r="C737" s="2"/>
      <c r="D737" s="6" t="s">
        <v>30</v>
      </c>
      <c r="E737" s="2" t="s">
        <v>10</v>
      </c>
      <c r="F737" s="2" t="n">
        <v>736</v>
      </c>
      <c r="G737" s="6" t="n">
        <v>1</v>
      </c>
      <c r="H737" s="8" t="n">
        <v>529.567519859</v>
      </c>
      <c r="I737" s="2" t="s">
        <v>7012</v>
      </c>
    </row>
  </sheetData>
  <autoFilter ref="A1:I7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80"/>
  </cols>
  <sheetData>
    <row r="1" customFormat="false" ht="42" hidden="false" customHeight="true" outlineLevel="0" collapsed="false">
      <c r="A1" s="7" t="s">
        <v>16</v>
      </c>
      <c r="B1" s="7" t="s">
        <v>7182</v>
      </c>
      <c r="C1" s="7" t="s">
        <v>7183</v>
      </c>
      <c r="D1" s="7" t="s">
        <v>7184</v>
      </c>
      <c r="E1" s="7" t="s">
        <v>7185</v>
      </c>
      <c r="F1" s="7" t="s">
        <v>7186</v>
      </c>
      <c r="G1" s="7" t="s">
        <v>7187</v>
      </c>
      <c r="H1" s="7" t="s">
        <v>7188</v>
      </c>
      <c r="I1" s="7" t="s">
        <v>7189</v>
      </c>
      <c r="J1" s="7" t="s">
        <v>7190</v>
      </c>
    </row>
    <row r="2" customFormat="false" ht="15" hidden="false" customHeight="false" outlineLevel="0" collapsed="false">
      <c r="A2" s="2" t="s">
        <v>7191</v>
      </c>
      <c r="B2" s="2" t="s">
        <v>7192</v>
      </c>
      <c r="C2" s="2" t="s">
        <v>7193</v>
      </c>
      <c r="D2" s="2" t="s">
        <v>7194</v>
      </c>
      <c r="E2" s="2" t="s">
        <v>7195</v>
      </c>
      <c r="F2" s="2" t="s">
        <v>7196</v>
      </c>
      <c r="G2" s="2" t="s">
        <v>7196</v>
      </c>
      <c r="H2" s="2" t="s">
        <v>7196</v>
      </c>
      <c r="I2" s="2" t="s">
        <v>7197</v>
      </c>
      <c r="J2" s="2" t="s">
        <v>7198</v>
      </c>
    </row>
    <row r="3" customFormat="false" ht="15" hidden="false" customHeight="false" outlineLevel="0" collapsed="false">
      <c r="A3" s="2" t="s">
        <v>7191</v>
      </c>
      <c r="B3" s="2" t="s">
        <v>7199</v>
      </c>
      <c r="C3" s="2" t="s">
        <v>7200</v>
      </c>
      <c r="D3" s="2" t="s">
        <v>7201</v>
      </c>
      <c r="E3" s="2" t="s">
        <v>7202</v>
      </c>
      <c r="F3" s="2" t="s">
        <v>7196</v>
      </c>
      <c r="G3" s="2" t="s">
        <v>7196</v>
      </c>
      <c r="H3" s="2" t="s">
        <v>7196</v>
      </c>
      <c r="I3" s="2" t="s">
        <v>7203</v>
      </c>
      <c r="J3" s="2" t="s">
        <v>7204</v>
      </c>
    </row>
    <row r="4" customFormat="false" ht="15" hidden="false" customHeight="false" outlineLevel="0" collapsed="false">
      <c r="A4" s="2" t="s">
        <v>7191</v>
      </c>
      <c r="B4" s="2" t="s">
        <v>7205</v>
      </c>
      <c r="C4" s="2" t="s">
        <v>7206</v>
      </c>
      <c r="D4" s="2" t="s">
        <v>7201</v>
      </c>
      <c r="E4" s="2" t="s">
        <v>7207</v>
      </c>
      <c r="F4" s="2" t="s">
        <v>7196</v>
      </c>
      <c r="G4" s="2" t="s">
        <v>7196</v>
      </c>
      <c r="H4" s="2" t="s">
        <v>7196</v>
      </c>
      <c r="I4" s="2" t="s">
        <v>7203</v>
      </c>
      <c r="J4" s="2" t="s">
        <v>7208</v>
      </c>
    </row>
    <row r="5" customFormat="false" ht="15" hidden="false" customHeight="false" outlineLevel="0" collapsed="false">
      <c r="A5" s="2" t="s">
        <v>7191</v>
      </c>
      <c r="B5" s="2" t="s">
        <v>7209</v>
      </c>
      <c r="C5" s="2" t="s">
        <v>7210</v>
      </c>
      <c r="D5" s="2" t="s">
        <v>7211</v>
      </c>
      <c r="E5" s="2" t="s">
        <v>7212</v>
      </c>
      <c r="F5" s="2" t="s">
        <v>7196</v>
      </c>
      <c r="G5" s="2" t="s">
        <v>7196</v>
      </c>
      <c r="H5" s="2" t="s">
        <v>7196</v>
      </c>
      <c r="I5" s="2" t="s">
        <v>7213</v>
      </c>
      <c r="J5" s="2" t="s">
        <v>7208</v>
      </c>
    </row>
    <row r="6" customFormat="false" ht="15" hidden="false" customHeight="false" outlineLevel="0" collapsed="false">
      <c r="A6" s="2" t="s">
        <v>7191</v>
      </c>
      <c r="B6" s="2" t="s">
        <v>7214</v>
      </c>
      <c r="C6" s="2" t="s">
        <v>7215</v>
      </c>
      <c r="D6" s="2" t="s">
        <v>7201</v>
      </c>
      <c r="E6" s="2"/>
      <c r="F6" s="2" t="s">
        <v>7196</v>
      </c>
      <c r="G6" s="2" t="s">
        <v>7196</v>
      </c>
      <c r="H6" s="2" t="s">
        <v>7196</v>
      </c>
      <c r="I6" s="2" t="s">
        <v>7203</v>
      </c>
      <c r="J6" s="2" t="s">
        <v>7216</v>
      </c>
    </row>
    <row r="7" customFormat="false" ht="15" hidden="false" customHeight="false" outlineLevel="0" collapsed="false">
      <c r="A7" s="2" t="s">
        <v>7191</v>
      </c>
      <c r="B7" s="2" t="s">
        <v>7217</v>
      </c>
      <c r="C7" s="2" t="s">
        <v>7218</v>
      </c>
      <c r="D7" s="2" t="s">
        <v>7194</v>
      </c>
      <c r="E7" s="2" t="s">
        <v>7219</v>
      </c>
      <c r="F7" s="2" t="s">
        <v>7196</v>
      </c>
      <c r="G7" s="2" t="s">
        <v>7196</v>
      </c>
      <c r="H7" s="2" t="s">
        <v>7196</v>
      </c>
      <c r="I7" s="2" t="s">
        <v>7220</v>
      </c>
      <c r="J7" s="2" t="s">
        <v>7221</v>
      </c>
    </row>
    <row r="8" customFormat="false" ht="15" hidden="false" customHeight="false" outlineLevel="0" collapsed="false">
      <c r="A8" s="2" t="s">
        <v>7191</v>
      </c>
      <c r="B8" s="2" t="s">
        <v>7222</v>
      </c>
      <c r="C8" s="2" t="s">
        <v>7223</v>
      </c>
      <c r="D8" s="2" t="s">
        <v>7201</v>
      </c>
      <c r="E8" s="2" t="s">
        <v>7224</v>
      </c>
      <c r="F8" s="2" t="s">
        <v>7225</v>
      </c>
      <c r="G8" s="2" t="s">
        <v>7226</v>
      </c>
      <c r="H8" s="2"/>
      <c r="I8" s="2" t="s">
        <v>7203</v>
      </c>
      <c r="J8" s="2" t="s">
        <v>7227</v>
      </c>
    </row>
    <row r="9" customFormat="false" ht="15" hidden="false" customHeight="false" outlineLevel="0" collapsed="false">
      <c r="A9" s="2" t="s">
        <v>7191</v>
      </c>
      <c r="B9" s="2" t="s">
        <v>7228</v>
      </c>
      <c r="C9" s="2" t="s">
        <v>7229</v>
      </c>
      <c r="D9" s="2" t="s">
        <v>7201</v>
      </c>
      <c r="E9" s="2" t="s">
        <v>7230</v>
      </c>
      <c r="F9" s="2" t="s">
        <v>7231</v>
      </c>
      <c r="G9" s="2" t="s">
        <v>7232</v>
      </c>
      <c r="H9" s="2"/>
      <c r="I9" s="2" t="s">
        <v>7203</v>
      </c>
      <c r="J9" s="2" t="s">
        <v>7233</v>
      </c>
    </row>
    <row r="10" customFormat="false" ht="15" hidden="false" customHeight="false" outlineLevel="0" collapsed="false">
      <c r="A10" s="2" t="s">
        <v>34</v>
      </c>
      <c r="B10" s="2" t="s">
        <v>7234</v>
      </c>
      <c r="C10" s="2" t="s">
        <v>7235</v>
      </c>
      <c r="D10" s="2" t="s">
        <v>7236</v>
      </c>
      <c r="E10" s="2" t="s">
        <v>7237</v>
      </c>
      <c r="F10" s="2" t="s">
        <v>7238</v>
      </c>
      <c r="G10" s="2" t="s">
        <v>7239</v>
      </c>
      <c r="H10" s="2" t="s">
        <v>7240</v>
      </c>
      <c r="I10" s="2" t="s">
        <v>7241</v>
      </c>
      <c r="J10" s="2" t="s">
        <v>7242</v>
      </c>
    </row>
    <row r="11" customFormat="false" ht="15" hidden="false" customHeight="false" outlineLevel="0" collapsed="false">
      <c r="A11" s="2" t="s">
        <v>1828</v>
      </c>
      <c r="B11" s="2" t="s">
        <v>7243</v>
      </c>
      <c r="C11" s="2"/>
      <c r="D11" s="2" t="s">
        <v>7244</v>
      </c>
      <c r="E11" s="2"/>
      <c r="F11" s="2"/>
      <c r="G11" s="2"/>
      <c r="H11" s="2"/>
      <c r="I11" s="2" t="s">
        <v>7241</v>
      </c>
      <c r="J11" s="2" t="s">
        <v>7245</v>
      </c>
    </row>
    <row r="12" customFormat="false" ht="15" hidden="false" customHeight="false" outlineLevel="0" collapsed="false">
      <c r="A12" s="2" t="s">
        <v>3476</v>
      </c>
      <c r="B12" s="2" t="s">
        <v>7246</v>
      </c>
      <c r="C12" s="2"/>
      <c r="D12" s="2" t="s">
        <v>7247</v>
      </c>
      <c r="E12" s="2" t="s">
        <v>7202</v>
      </c>
      <c r="F12" s="2" t="s">
        <v>7202</v>
      </c>
      <c r="G12" s="2" t="s">
        <v>7202</v>
      </c>
      <c r="H12" s="2" t="s">
        <v>7202</v>
      </c>
      <c r="I12" s="2" t="s">
        <v>7241</v>
      </c>
      <c r="J12" s="2" t="s">
        <v>7248</v>
      </c>
    </row>
    <row r="13" customFormat="false" ht="15" hidden="false" customHeight="false" outlineLevel="0" collapsed="false">
      <c r="A13" s="2" t="s">
        <v>3763</v>
      </c>
      <c r="B13" s="2" t="s">
        <v>7246</v>
      </c>
      <c r="C13" s="2"/>
      <c r="D13" s="2" t="s">
        <v>7249</v>
      </c>
      <c r="E13" s="2" t="s">
        <v>7202</v>
      </c>
      <c r="F13" s="2" t="s">
        <v>7202</v>
      </c>
      <c r="G13" s="2" t="s">
        <v>7202</v>
      </c>
      <c r="H13" s="2" t="s">
        <v>7202</v>
      </c>
      <c r="I13" s="2" t="s">
        <v>7241</v>
      </c>
      <c r="J13" s="2" t="s">
        <v>7250</v>
      </c>
    </row>
    <row r="14" customFormat="false" ht="15" hidden="false" customHeight="false" outlineLevel="0" collapsed="false">
      <c r="A14" s="2" t="s">
        <v>3051</v>
      </c>
      <c r="B14" s="2" t="s">
        <v>7251</v>
      </c>
      <c r="C14" s="2" t="s">
        <v>7252</v>
      </c>
      <c r="D14" s="2" t="s">
        <v>7253</v>
      </c>
      <c r="E14" s="2" t="s">
        <v>7202</v>
      </c>
      <c r="F14" s="2" t="s">
        <v>7202</v>
      </c>
      <c r="G14" s="2" t="s">
        <v>7202</v>
      </c>
      <c r="H14" s="2" t="s">
        <v>7202</v>
      </c>
      <c r="I14" s="2" t="s">
        <v>7241</v>
      </c>
      <c r="J14" s="2" t="s">
        <v>7254</v>
      </c>
    </row>
    <row r="15" customFormat="false" ht="15" hidden="false" customHeight="false" outlineLevel="0" collapsed="false">
      <c r="A15" s="2" t="s">
        <v>3759</v>
      </c>
      <c r="B15" s="2" t="s">
        <v>7243</v>
      </c>
      <c r="C15" s="2"/>
      <c r="D15" s="2" t="s">
        <v>7255</v>
      </c>
      <c r="E15" s="2"/>
      <c r="F15" s="2"/>
      <c r="G15" s="2"/>
      <c r="H15" s="2"/>
      <c r="I15" s="2" t="s">
        <v>7241</v>
      </c>
      <c r="J15" s="2" t="s">
        <v>7245</v>
      </c>
    </row>
    <row r="16" customFormat="false" ht="15" hidden="false" customHeight="false" outlineLevel="0" collapsed="false">
      <c r="A16" s="2" t="s">
        <v>105</v>
      </c>
      <c r="B16" s="2" t="s">
        <v>7256</v>
      </c>
      <c r="C16" s="2" t="s">
        <v>7257</v>
      </c>
      <c r="D16" s="2" t="s">
        <v>7258</v>
      </c>
      <c r="E16" s="2" t="s">
        <v>7259</v>
      </c>
      <c r="F16" s="2" t="s">
        <v>7260</v>
      </c>
      <c r="G16" s="2" t="s">
        <v>7261</v>
      </c>
      <c r="H16" s="2" t="s">
        <v>7262</v>
      </c>
      <c r="I16" s="2" t="s">
        <v>7241</v>
      </c>
      <c r="J16" s="2" t="s">
        <v>7263</v>
      </c>
    </row>
    <row r="17" customFormat="false" ht="15" hidden="false" customHeight="false" outlineLevel="0" collapsed="false">
      <c r="A17" s="2" t="s">
        <v>3390</v>
      </c>
      <c r="B17" s="2" t="s">
        <v>7243</v>
      </c>
      <c r="C17" s="2"/>
      <c r="D17" s="2" t="s">
        <v>7264</v>
      </c>
      <c r="E17" s="2"/>
      <c r="F17" s="2"/>
      <c r="G17" s="2"/>
      <c r="H17" s="2"/>
      <c r="I17" s="2" t="s">
        <v>7241</v>
      </c>
      <c r="J17" s="2" t="s">
        <v>7245</v>
      </c>
    </row>
    <row r="18" customFormat="false" ht="15" hidden="false" customHeight="false" outlineLevel="0" collapsed="false">
      <c r="A18" s="2" t="s">
        <v>1207</v>
      </c>
      <c r="B18" s="2" t="s">
        <v>7265</v>
      </c>
      <c r="C18" s="2" t="s">
        <v>7266</v>
      </c>
      <c r="D18" s="2" t="s">
        <v>7267</v>
      </c>
      <c r="E18" s="2" t="s">
        <v>7202</v>
      </c>
      <c r="F18" s="2" t="s">
        <v>7202</v>
      </c>
      <c r="G18" s="2" t="s">
        <v>7202</v>
      </c>
      <c r="H18" s="2" t="s">
        <v>7202</v>
      </c>
      <c r="I18" s="2" t="s">
        <v>7241</v>
      </c>
      <c r="J18" s="2" t="s">
        <v>7268</v>
      </c>
    </row>
    <row r="19" customFormat="false" ht="15" hidden="false" customHeight="false" outlineLevel="0" collapsed="false">
      <c r="A19" s="2" t="s">
        <v>2460</v>
      </c>
      <c r="B19" s="2" t="s">
        <v>7251</v>
      </c>
      <c r="C19" s="2" t="s">
        <v>7269</v>
      </c>
      <c r="D19" s="2" t="s">
        <v>7270</v>
      </c>
      <c r="E19" s="2" t="s">
        <v>7202</v>
      </c>
      <c r="F19" s="2" t="s">
        <v>7202</v>
      </c>
      <c r="G19" s="2" t="s">
        <v>7202</v>
      </c>
      <c r="H19" s="2" t="s">
        <v>7202</v>
      </c>
      <c r="I19" s="2" t="s">
        <v>7241</v>
      </c>
      <c r="J19" s="2" t="s">
        <v>7271</v>
      </c>
    </row>
    <row r="20" customFormat="false" ht="15" hidden="false" customHeight="false" outlineLevel="0" collapsed="false">
      <c r="A20" s="2" t="s">
        <v>3784</v>
      </c>
      <c r="B20" s="2" t="s">
        <v>7243</v>
      </c>
      <c r="C20" s="2"/>
      <c r="D20" s="2" t="s">
        <v>7272</v>
      </c>
      <c r="E20" s="2"/>
      <c r="F20" s="2"/>
      <c r="G20" s="2"/>
      <c r="H20" s="2"/>
      <c r="I20" s="2" t="s">
        <v>7241</v>
      </c>
      <c r="J20" s="2" t="s">
        <v>7245</v>
      </c>
    </row>
    <row r="21" customFormat="false" ht="15" hidden="false" customHeight="false" outlineLevel="0" collapsed="false">
      <c r="A21" s="2" t="s">
        <v>1740</v>
      </c>
      <c r="B21" s="2" t="s">
        <v>7251</v>
      </c>
      <c r="C21" s="2" t="s">
        <v>7273</v>
      </c>
      <c r="D21" s="2" t="s">
        <v>7274</v>
      </c>
      <c r="E21" s="2" t="s">
        <v>7202</v>
      </c>
      <c r="F21" s="2" t="s">
        <v>7202</v>
      </c>
      <c r="G21" s="2" t="s">
        <v>7202</v>
      </c>
      <c r="H21" s="2" t="s">
        <v>7202</v>
      </c>
      <c r="I21" s="2" t="s">
        <v>7241</v>
      </c>
      <c r="J21" s="2" t="s">
        <v>7275</v>
      </c>
    </row>
    <row r="22" customFormat="false" ht="15" hidden="false" customHeight="false" outlineLevel="0" collapsed="false">
      <c r="A22" s="2" t="s">
        <v>1975</v>
      </c>
      <c r="B22" s="2" t="s">
        <v>7243</v>
      </c>
      <c r="C22" s="2"/>
      <c r="D22" s="2" t="s">
        <v>7276</v>
      </c>
      <c r="E22" s="2"/>
      <c r="F22" s="2"/>
      <c r="G22" s="2"/>
      <c r="H22" s="2"/>
      <c r="I22" s="2" t="s">
        <v>7241</v>
      </c>
      <c r="J22" s="2" t="s">
        <v>7245</v>
      </c>
    </row>
    <row r="23" customFormat="false" ht="15" hidden="false" customHeight="false" outlineLevel="0" collapsed="false">
      <c r="A23" s="2" t="s">
        <v>2182</v>
      </c>
      <c r="B23" s="2" t="s">
        <v>7265</v>
      </c>
      <c r="C23" s="2" t="s">
        <v>7277</v>
      </c>
      <c r="D23" s="2" t="s">
        <v>7278</v>
      </c>
      <c r="E23" s="2" t="s">
        <v>7202</v>
      </c>
      <c r="F23" s="2" t="s">
        <v>7202</v>
      </c>
      <c r="G23" s="2" t="s">
        <v>7202</v>
      </c>
      <c r="H23" s="2" t="s">
        <v>7202</v>
      </c>
      <c r="I23" s="2" t="s">
        <v>7241</v>
      </c>
      <c r="J23" s="2" t="s">
        <v>7268</v>
      </c>
    </row>
    <row r="24" customFormat="false" ht="15" hidden="false" customHeight="false" outlineLevel="0" collapsed="false">
      <c r="A24" s="2" t="s">
        <v>2445</v>
      </c>
      <c r="B24" s="2" t="s">
        <v>7279</v>
      </c>
      <c r="C24" s="2"/>
      <c r="D24" s="2" t="s">
        <v>7280</v>
      </c>
      <c r="E24" s="2" t="s">
        <v>7202</v>
      </c>
      <c r="F24" s="2" t="s">
        <v>7202</v>
      </c>
      <c r="G24" s="2" t="s">
        <v>7202</v>
      </c>
      <c r="H24" s="2" t="s">
        <v>7202</v>
      </c>
      <c r="I24" s="2" t="s">
        <v>7241</v>
      </c>
      <c r="J24" s="2" t="s">
        <v>7281</v>
      </c>
    </row>
    <row r="25" customFormat="false" ht="15" hidden="false" customHeight="false" outlineLevel="0" collapsed="false">
      <c r="A25" s="2" t="s">
        <v>2441</v>
      </c>
      <c r="B25" s="2" t="s">
        <v>7282</v>
      </c>
      <c r="C25" s="2"/>
      <c r="D25" s="2" t="s">
        <v>7283</v>
      </c>
      <c r="E25" s="2" t="s">
        <v>7202</v>
      </c>
      <c r="F25" s="2" t="s">
        <v>7202</v>
      </c>
      <c r="G25" s="2" t="s">
        <v>7202</v>
      </c>
      <c r="H25" s="2" t="s">
        <v>7202</v>
      </c>
      <c r="I25" s="2" t="s">
        <v>7241</v>
      </c>
      <c r="J25" s="2" t="s">
        <v>7284</v>
      </c>
    </row>
    <row r="26" customFormat="false" ht="15" hidden="false" customHeight="false" outlineLevel="0" collapsed="false">
      <c r="A26" s="2" t="s">
        <v>3278</v>
      </c>
      <c r="B26" s="2" t="s">
        <v>7243</v>
      </c>
      <c r="C26" s="2"/>
      <c r="D26" s="2" t="s">
        <v>7285</v>
      </c>
      <c r="E26" s="2"/>
      <c r="F26" s="2"/>
      <c r="G26" s="2"/>
      <c r="H26" s="2"/>
      <c r="I26" s="2" t="s">
        <v>7241</v>
      </c>
      <c r="J26" s="2" t="s">
        <v>7245</v>
      </c>
    </row>
    <row r="27" customFormat="false" ht="15" hidden="false" customHeight="false" outlineLevel="0" collapsed="false">
      <c r="A27" s="2" t="s">
        <v>3921</v>
      </c>
      <c r="B27" s="2" t="s">
        <v>7243</v>
      </c>
      <c r="C27" s="2"/>
      <c r="D27" s="2" t="s">
        <v>7286</v>
      </c>
      <c r="E27" s="2"/>
      <c r="F27" s="2"/>
      <c r="G27" s="2"/>
      <c r="H27" s="2"/>
      <c r="I27" s="2" t="s">
        <v>7241</v>
      </c>
      <c r="J27" s="2" t="s">
        <v>7245</v>
      </c>
    </row>
    <row r="28" customFormat="false" ht="15" hidden="false" customHeight="false" outlineLevel="0" collapsed="false">
      <c r="A28" s="2" t="s">
        <v>70</v>
      </c>
      <c r="B28" s="2" t="s">
        <v>7287</v>
      </c>
      <c r="C28" s="2" t="s">
        <v>7288</v>
      </c>
      <c r="D28" s="2" t="s">
        <v>7289</v>
      </c>
      <c r="E28" s="2" t="s">
        <v>7202</v>
      </c>
      <c r="F28" s="2" t="s">
        <v>7238</v>
      </c>
      <c r="G28" s="2" t="s">
        <v>7239</v>
      </c>
      <c r="H28" s="2" t="s">
        <v>7290</v>
      </c>
      <c r="I28" s="2" t="s">
        <v>7241</v>
      </c>
      <c r="J28" s="2" t="s">
        <v>7291</v>
      </c>
    </row>
    <row r="29" customFormat="false" ht="15" hidden="false" customHeight="false" outlineLevel="0" collapsed="false">
      <c r="A29" s="2" t="s">
        <v>2724</v>
      </c>
      <c r="B29" s="2" t="s">
        <v>7243</v>
      </c>
      <c r="C29" s="2"/>
      <c r="D29" s="2" t="s">
        <v>7292</v>
      </c>
      <c r="E29" s="2"/>
      <c r="F29" s="2"/>
      <c r="G29" s="2"/>
      <c r="H29" s="2"/>
      <c r="I29" s="2" t="s">
        <v>7241</v>
      </c>
      <c r="J29" s="2" t="s">
        <v>7245</v>
      </c>
    </row>
    <row r="30" customFormat="false" ht="15" hidden="false" customHeight="false" outlineLevel="0" collapsed="false">
      <c r="A30" s="2" t="s">
        <v>95</v>
      </c>
      <c r="B30" s="2" t="s">
        <v>7293</v>
      </c>
      <c r="C30" s="2" t="s">
        <v>7294</v>
      </c>
      <c r="D30" s="2" t="s">
        <v>7295</v>
      </c>
      <c r="E30" s="2" t="s">
        <v>7296</v>
      </c>
      <c r="F30" s="2" t="s">
        <v>7238</v>
      </c>
      <c r="G30" s="2" t="s">
        <v>7226</v>
      </c>
      <c r="H30" s="2" t="s">
        <v>7297</v>
      </c>
      <c r="I30" s="2" t="s">
        <v>7241</v>
      </c>
      <c r="J30" s="2" t="s">
        <v>7298</v>
      </c>
    </row>
    <row r="31" customFormat="false" ht="15" hidden="false" customHeight="false" outlineLevel="0" collapsed="false">
      <c r="A31" s="2" t="s">
        <v>2773</v>
      </c>
      <c r="B31" s="2" t="s">
        <v>7265</v>
      </c>
      <c r="C31" s="2" t="s">
        <v>7299</v>
      </c>
      <c r="D31" s="2" t="s">
        <v>7300</v>
      </c>
      <c r="E31" s="2" t="s">
        <v>7202</v>
      </c>
      <c r="F31" s="2" t="s">
        <v>7202</v>
      </c>
      <c r="G31" s="2" t="s">
        <v>7202</v>
      </c>
      <c r="H31" s="2" t="s">
        <v>7202</v>
      </c>
      <c r="I31" s="2" t="s">
        <v>7241</v>
      </c>
      <c r="J31" s="2" t="s">
        <v>7301</v>
      </c>
    </row>
    <row r="32" customFormat="false" ht="15" hidden="false" customHeight="false" outlineLevel="0" collapsed="false">
      <c r="A32" s="2" t="s">
        <v>1595</v>
      </c>
      <c r="B32" s="2" t="s">
        <v>7282</v>
      </c>
      <c r="C32" s="2"/>
      <c r="D32" s="2" t="s">
        <v>7302</v>
      </c>
      <c r="E32" s="2" t="s">
        <v>7202</v>
      </c>
      <c r="F32" s="2" t="s">
        <v>7202</v>
      </c>
      <c r="G32" s="2" t="s">
        <v>7202</v>
      </c>
      <c r="H32" s="2" t="s">
        <v>7202</v>
      </c>
      <c r="I32" s="2" t="s">
        <v>7241</v>
      </c>
      <c r="J32" s="2" t="s">
        <v>7303</v>
      </c>
    </row>
    <row r="33" customFormat="false" ht="15" hidden="false" customHeight="false" outlineLevel="0" collapsed="false">
      <c r="A33" s="2" t="s">
        <v>2765</v>
      </c>
      <c r="B33" s="2" t="s">
        <v>7246</v>
      </c>
      <c r="C33" s="2"/>
      <c r="D33" s="2" t="s">
        <v>7304</v>
      </c>
      <c r="E33" s="2" t="s">
        <v>7202</v>
      </c>
      <c r="F33" s="2" t="s">
        <v>7202</v>
      </c>
      <c r="G33" s="2" t="s">
        <v>7202</v>
      </c>
      <c r="H33" s="2" t="s">
        <v>7202</v>
      </c>
      <c r="I33" s="2" t="s">
        <v>7241</v>
      </c>
      <c r="J33" s="2" t="s">
        <v>7305</v>
      </c>
    </row>
    <row r="34" customFormat="false" ht="15" hidden="false" customHeight="false" outlineLevel="0" collapsed="false">
      <c r="A34" s="2" t="s">
        <v>3945</v>
      </c>
      <c r="B34" s="2" t="s">
        <v>7243</v>
      </c>
      <c r="C34" s="2"/>
      <c r="D34" s="2" t="s">
        <v>7306</v>
      </c>
      <c r="E34" s="2"/>
      <c r="F34" s="2"/>
      <c r="G34" s="2"/>
      <c r="H34" s="2"/>
      <c r="I34" s="2" t="s">
        <v>7241</v>
      </c>
      <c r="J34" s="2" t="s">
        <v>7245</v>
      </c>
    </row>
    <row r="35" customFormat="false" ht="15" hidden="false" customHeight="false" outlineLevel="0" collapsed="false">
      <c r="A35" s="2" t="s">
        <v>2642</v>
      </c>
      <c r="B35" s="2" t="s">
        <v>7246</v>
      </c>
      <c r="C35" s="2"/>
      <c r="D35" s="2" t="s">
        <v>7307</v>
      </c>
      <c r="E35" s="2" t="s">
        <v>7202</v>
      </c>
      <c r="F35" s="2" t="s">
        <v>7202</v>
      </c>
      <c r="G35" s="2" t="s">
        <v>7202</v>
      </c>
      <c r="H35" s="2" t="s">
        <v>7202</v>
      </c>
      <c r="I35" s="2" t="s">
        <v>7241</v>
      </c>
      <c r="J35" s="2" t="s">
        <v>7308</v>
      </c>
    </row>
    <row r="36" customFormat="false" ht="15" hidden="false" customHeight="false" outlineLevel="0" collapsed="false">
      <c r="A36" s="2" t="s">
        <v>380</v>
      </c>
      <c r="B36" s="2" t="s">
        <v>7243</v>
      </c>
      <c r="C36" s="2"/>
      <c r="D36" s="2" t="s">
        <v>7309</v>
      </c>
      <c r="E36" s="2"/>
      <c r="F36" s="2"/>
      <c r="G36" s="2"/>
      <c r="H36" s="2"/>
      <c r="I36" s="2" t="s">
        <v>7241</v>
      </c>
      <c r="J36" s="2" t="s">
        <v>7245</v>
      </c>
    </row>
    <row r="37" customFormat="false" ht="15" hidden="false" customHeight="false" outlineLevel="0" collapsed="false">
      <c r="A37" s="2" t="s">
        <v>540</v>
      </c>
      <c r="B37" s="2" t="s">
        <v>7251</v>
      </c>
      <c r="C37" s="2"/>
      <c r="D37" s="2" t="s">
        <v>7310</v>
      </c>
      <c r="E37" s="2" t="s">
        <v>7202</v>
      </c>
      <c r="F37" s="2" t="s">
        <v>7202</v>
      </c>
      <c r="G37" s="2" t="s">
        <v>7202</v>
      </c>
      <c r="H37" s="2" t="s">
        <v>7202</v>
      </c>
      <c r="I37" s="2" t="s">
        <v>7241</v>
      </c>
      <c r="J37" s="2" t="s">
        <v>7311</v>
      </c>
    </row>
    <row r="38" customFormat="false" ht="15" hidden="false" customHeight="false" outlineLevel="0" collapsed="false">
      <c r="A38" s="2" t="s">
        <v>3829</v>
      </c>
      <c r="B38" s="2" t="s">
        <v>7246</v>
      </c>
      <c r="C38" s="2"/>
      <c r="D38" s="2" t="s">
        <v>7312</v>
      </c>
      <c r="E38" s="2" t="s">
        <v>7202</v>
      </c>
      <c r="F38" s="2" t="s">
        <v>7202</v>
      </c>
      <c r="G38" s="2" t="s">
        <v>7202</v>
      </c>
      <c r="H38" s="2" t="s">
        <v>7202</v>
      </c>
      <c r="I38" s="2" t="s">
        <v>7241</v>
      </c>
      <c r="J38" s="2" t="s">
        <v>7313</v>
      </c>
    </row>
    <row r="39" customFormat="false" ht="15" hidden="false" customHeight="false" outlineLevel="0" collapsed="false">
      <c r="A39" s="2" t="s">
        <v>27</v>
      </c>
      <c r="B39" s="2" t="s">
        <v>7314</v>
      </c>
      <c r="C39" s="2" t="s">
        <v>7315</v>
      </c>
      <c r="D39" s="2" t="s">
        <v>7316</v>
      </c>
      <c r="E39" s="2" t="s">
        <v>7317</v>
      </c>
      <c r="F39" s="2" t="s">
        <v>7318</v>
      </c>
      <c r="G39" s="2" t="s">
        <v>7319</v>
      </c>
      <c r="H39" s="2" t="s">
        <v>7320</v>
      </c>
      <c r="I39" s="2" t="s">
        <v>7241</v>
      </c>
      <c r="J39" s="2" t="s">
        <v>7321</v>
      </c>
    </row>
    <row r="40" customFormat="false" ht="15" hidden="false" customHeight="false" outlineLevel="0" collapsed="false">
      <c r="A40" s="2" t="s">
        <v>50</v>
      </c>
      <c r="B40" s="2" t="s">
        <v>7246</v>
      </c>
      <c r="C40" s="2"/>
      <c r="D40" s="2" t="s">
        <v>7322</v>
      </c>
      <c r="E40" s="2" t="s">
        <v>7202</v>
      </c>
      <c r="F40" s="2" t="s">
        <v>7202</v>
      </c>
      <c r="G40" s="2" t="s">
        <v>7202</v>
      </c>
      <c r="H40" s="2" t="s">
        <v>7202</v>
      </c>
      <c r="I40" s="2" t="s">
        <v>7241</v>
      </c>
      <c r="J40" s="2" t="s">
        <v>7323</v>
      </c>
    </row>
    <row r="41" customFormat="false" ht="15" hidden="false" customHeight="false" outlineLevel="0" collapsed="false">
      <c r="A41" s="2" t="s">
        <v>3769</v>
      </c>
      <c r="B41" s="2" t="s">
        <v>7324</v>
      </c>
      <c r="C41" s="2" t="s">
        <v>7325</v>
      </c>
      <c r="D41" s="2" t="s">
        <v>7326</v>
      </c>
      <c r="E41" s="2" t="s">
        <v>7202</v>
      </c>
      <c r="F41" s="2" t="s">
        <v>7202</v>
      </c>
      <c r="G41" s="2" t="s">
        <v>7202</v>
      </c>
      <c r="H41" s="2" t="s">
        <v>7202</v>
      </c>
      <c r="I41" s="2" t="s">
        <v>7241</v>
      </c>
      <c r="J41" s="2" t="s">
        <v>7327</v>
      </c>
    </row>
    <row r="42" customFormat="false" ht="15" hidden="false" customHeight="false" outlineLevel="0" collapsed="false">
      <c r="A42" s="2" t="s">
        <v>455</v>
      </c>
      <c r="B42" s="2" t="s">
        <v>7328</v>
      </c>
      <c r="C42" s="2" t="s">
        <v>7329</v>
      </c>
      <c r="D42" s="2" t="s">
        <v>7330</v>
      </c>
      <c r="E42" s="2" t="s">
        <v>7202</v>
      </c>
      <c r="F42" s="2" t="s">
        <v>7260</v>
      </c>
      <c r="G42" s="2" t="s">
        <v>7331</v>
      </c>
      <c r="H42" s="2" t="s">
        <v>7262</v>
      </c>
      <c r="I42" s="2" t="s">
        <v>7241</v>
      </c>
      <c r="J42" s="2" t="s">
        <v>7332</v>
      </c>
    </row>
    <row r="43" customFormat="false" ht="15" hidden="false" customHeight="false" outlineLevel="0" collapsed="false">
      <c r="A43" s="2" t="s">
        <v>976</v>
      </c>
      <c r="B43" s="2" t="s">
        <v>7333</v>
      </c>
      <c r="C43" s="2" t="s">
        <v>7334</v>
      </c>
      <c r="D43" s="2" t="s">
        <v>7335</v>
      </c>
      <c r="E43" s="2" t="s">
        <v>7202</v>
      </c>
      <c r="F43" s="2" t="s">
        <v>7336</v>
      </c>
      <c r="G43" s="2" t="s">
        <v>7226</v>
      </c>
      <c r="H43" s="2" t="s">
        <v>7262</v>
      </c>
      <c r="I43" s="2" t="s">
        <v>7241</v>
      </c>
      <c r="J43" s="2" t="s">
        <v>7337</v>
      </c>
    </row>
    <row r="44" customFormat="false" ht="15" hidden="false" customHeight="false" outlineLevel="0" collapsed="false">
      <c r="A44" s="2" t="s">
        <v>1643</v>
      </c>
      <c r="B44" s="2" t="s">
        <v>7246</v>
      </c>
      <c r="C44" s="2"/>
      <c r="D44" s="2" t="s">
        <v>7338</v>
      </c>
      <c r="E44" s="2" t="s">
        <v>7202</v>
      </c>
      <c r="F44" s="2" t="s">
        <v>7202</v>
      </c>
      <c r="G44" s="2" t="s">
        <v>7202</v>
      </c>
      <c r="H44" s="2" t="s">
        <v>7202</v>
      </c>
      <c r="I44" s="2" t="s">
        <v>7241</v>
      </c>
      <c r="J44" s="2" t="s">
        <v>7339</v>
      </c>
    </row>
    <row r="45" customFormat="false" ht="15" hidden="false" customHeight="false" outlineLevel="0" collapsed="false">
      <c r="A45" s="2" t="s">
        <v>524</v>
      </c>
      <c r="B45" s="2" t="s">
        <v>7340</v>
      </c>
      <c r="C45" s="2" t="s">
        <v>7341</v>
      </c>
      <c r="D45" s="2" t="s">
        <v>7342</v>
      </c>
      <c r="E45" s="2" t="s">
        <v>7202</v>
      </c>
      <c r="F45" s="2" t="s">
        <v>7238</v>
      </c>
      <c r="G45" s="2" t="s">
        <v>7226</v>
      </c>
      <c r="H45" s="2" t="s">
        <v>7262</v>
      </c>
      <c r="I45" s="2" t="s">
        <v>7241</v>
      </c>
      <c r="J45" s="2" t="s">
        <v>7343</v>
      </c>
    </row>
    <row r="46" customFormat="false" ht="15" hidden="false" customHeight="false" outlineLevel="0" collapsed="false">
      <c r="A46" s="2" t="s">
        <v>44</v>
      </c>
      <c r="B46" s="2" t="s">
        <v>7344</v>
      </c>
      <c r="C46" s="2" t="s">
        <v>7345</v>
      </c>
      <c r="D46" s="2" t="s">
        <v>7289</v>
      </c>
      <c r="E46" s="2" t="s">
        <v>7346</v>
      </c>
      <c r="F46" s="2" t="s">
        <v>7347</v>
      </c>
      <c r="G46" s="2" t="s">
        <v>7348</v>
      </c>
      <c r="H46" s="2" t="s">
        <v>7349</v>
      </c>
      <c r="I46" s="2" t="s">
        <v>7241</v>
      </c>
      <c r="J46" s="2" t="s">
        <v>7350</v>
      </c>
    </row>
    <row r="47" customFormat="false" ht="15" hidden="false" customHeight="false" outlineLevel="0" collapsed="false">
      <c r="A47" s="2" t="s">
        <v>56</v>
      </c>
      <c r="B47" s="2" t="s">
        <v>7351</v>
      </c>
      <c r="C47" s="2" t="s">
        <v>7352</v>
      </c>
      <c r="D47" s="2" t="s">
        <v>7353</v>
      </c>
      <c r="E47" s="2" t="s">
        <v>7354</v>
      </c>
      <c r="F47" s="2" t="s">
        <v>7355</v>
      </c>
      <c r="G47" s="2" t="s">
        <v>7356</v>
      </c>
      <c r="H47" s="2" t="s">
        <v>7262</v>
      </c>
      <c r="I47" s="2" t="s">
        <v>7241</v>
      </c>
      <c r="J47" s="2" t="s">
        <v>7357</v>
      </c>
    </row>
    <row r="48" customFormat="false" ht="15" hidden="false" customHeight="false" outlineLevel="0" collapsed="false">
      <c r="A48" s="2" t="s">
        <v>2837</v>
      </c>
      <c r="B48" s="2" t="s">
        <v>7358</v>
      </c>
      <c r="C48" s="2" t="s">
        <v>7359</v>
      </c>
      <c r="D48" s="2" t="s">
        <v>7360</v>
      </c>
      <c r="E48" s="2" t="s">
        <v>7202</v>
      </c>
      <c r="F48" s="2" t="s">
        <v>7202</v>
      </c>
      <c r="G48" s="2" t="s">
        <v>7202</v>
      </c>
      <c r="H48" s="2" t="s">
        <v>7202</v>
      </c>
      <c r="I48" s="2" t="s">
        <v>7241</v>
      </c>
      <c r="J48" s="2" t="s">
        <v>7361</v>
      </c>
    </row>
    <row r="49" customFormat="false" ht="15" hidden="false" customHeight="false" outlineLevel="0" collapsed="false">
      <c r="A49" s="2" t="s">
        <v>595</v>
      </c>
      <c r="B49" s="2" t="s">
        <v>7279</v>
      </c>
      <c r="C49" s="2"/>
      <c r="D49" s="2" t="s">
        <v>7362</v>
      </c>
      <c r="E49" s="2" t="s">
        <v>7202</v>
      </c>
      <c r="F49" s="2" t="s">
        <v>7202</v>
      </c>
      <c r="G49" s="2" t="s">
        <v>7202</v>
      </c>
      <c r="H49" s="2" t="s">
        <v>7202</v>
      </c>
      <c r="I49" s="2" t="s">
        <v>7241</v>
      </c>
      <c r="J49" s="2" t="s">
        <v>7363</v>
      </c>
    </row>
    <row r="50" customFormat="false" ht="15" hidden="false" customHeight="false" outlineLevel="0" collapsed="false">
      <c r="A50" s="2" t="s">
        <v>62</v>
      </c>
      <c r="B50" s="2" t="s">
        <v>7364</v>
      </c>
      <c r="C50" s="2" t="s">
        <v>7365</v>
      </c>
      <c r="D50" s="2" t="s">
        <v>7366</v>
      </c>
      <c r="E50" s="2" t="s">
        <v>7367</v>
      </c>
      <c r="F50" s="2" t="s">
        <v>7238</v>
      </c>
      <c r="G50" s="2" t="s">
        <v>7226</v>
      </c>
      <c r="H50" s="2" t="s">
        <v>7262</v>
      </c>
      <c r="I50" s="2" t="s">
        <v>7241</v>
      </c>
      <c r="J50" s="2" t="s">
        <v>7368</v>
      </c>
    </row>
    <row r="51" customFormat="false" ht="15" hidden="false" customHeight="false" outlineLevel="0" collapsed="false">
      <c r="A51" s="2" t="s">
        <v>423</v>
      </c>
      <c r="B51" s="2" t="s">
        <v>7282</v>
      </c>
      <c r="C51" s="2" t="s">
        <v>7369</v>
      </c>
      <c r="D51" s="2" t="s">
        <v>7370</v>
      </c>
      <c r="E51" s="2" t="s">
        <v>7202</v>
      </c>
      <c r="F51" s="2" t="s">
        <v>7202</v>
      </c>
      <c r="G51" s="2" t="s">
        <v>7202</v>
      </c>
      <c r="H51" s="2" t="s">
        <v>7202</v>
      </c>
      <c r="I51" s="2" t="s">
        <v>7241</v>
      </c>
      <c r="J51" s="2" t="s">
        <v>7371</v>
      </c>
    </row>
    <row r="52" customFormat="false" ht="15" hidden="false" customHeight="false" outlineLevel="0" collapsed="false">
      <c r="A52" s="2" t="s">
        <v>39</v>
      </c>
      <c r="B52" s="2" t="s">
        <v>7372</v>
      </c>
      <c r="C52" s="2" t="s">
        <v>7373</v>
      </c>
      <c r="D52" s="2" t="s">
        <v>7374</v>
      </c>
      <c r="E52" s="2" t="s">
        <v>7375</v>
      </c>
      <c r="F52" s="2" t="s">
        <v>7238</v>
      </c>
      <c r="G52" s="2" t="s">
        <v>7226</v>
      </c>
      <c r="H52" s="2" t="s">
        <v>7262</v>
      </c>
      <c r="I52" s="2" t="s">
        <v>7241</v>
      </c>
      <c r="J52" s="2" t="s">
        <v>7376</v>
      </c>
    </row>
    <row r="53" customFormat="false" ht="15" hidden="false" customHeight="false" outlineLevel="0" collapsed="false">
      <c r="A53" s="2" t="s">
        <v>197</v>
      </c>
      <c r="B53" s="2" t="s">
        <v>7246</v>
      </c>
      <c r="C53" s="2"/>
      <c r="D53" s="2" t="s">
        <v>7377</v>
      </c>
      <c r="E53" s="2" t="s">
        <v>7202</v>
      </c>
      <c r="F53" s="2" t="s">
        <v>7202</v>
      </c>
      <c r="G53" s="2" t="s">
        <v>7202</v>
      </c>
      <c r="H53" s="2" t="s">
        <v>7202</v>
      </c>
      <c r="I53" s="2" t="s">
        <v>7241</v>
      </c>
      <c r="J53" s="2" t="s">
        <v>7378</v>
      </c>
    </row>
    <row r="54" customFormat="false" ht="15" hidden="false" customHeight="false" outlineLevel="0" collapsed="false">
      <c r="A54" s="2" t="s">
        <v>1685</v>
      </c>
      <c r="B54" s="2" t="s">
        <v>7265</v>
      </c>
      <c r="C54" s="2" t="s">
        <v>7379</v>
      </c>
      <c r="D54" s="2" t="s">
        <v>7380</v>
      </c>
      <c r="E54" s="2" t="s">
        <v>7202</v>
      </c>
      <c r="F54" s="2" t="s">
        <v>7202</v>
      </c>
      <c r="G54" s="2" t="s">
        <v>7202</v>
      </c>
      <c r="H54" s="2" t="s">
        <v>7202</v>
      </c>
      <c r="I54" s="2" t="s">
        <v>7241</v>
      </c>
      <c r="J54" s="2" t="s">
        <v>7381</v>
      </c>
    </row>
    <row r="55" customFormat="false" ht="15" hidden="false" customHeight="false" outlineLevel="0" collapsed="false">
      <c r="A55" s="2" t="s">
        <v>3756</v>
      </c>
      <c r="B55" s="2" t="s">
        <v>7243</v>
      </c>
      <c r="C55" s="2"/>
      <c r="D55" s="2" t="s">
        <v>7382</v>
      </c>
      <c r="E55" s="2"/>
      <c r="F55" s="2"/>
      <c r="G55" s="2"/>
      <c r="H55" s="2"/>
      <c r="I55" s="2" t="s">
        <v>7241</v>
      </c>
      <c r="J55" s="2" t="s">
        <v>7245</v>
      </c>
    </row>
    <row r="56" customFormat="false" ht="15" hidden="false" customHeight="false" outlineLevel="0" collapsed="false">
      <c r="A56" s="2" t="s">
        <v>3452</v>
      </c>
      <c r="B56" s="2" t="s">
        <v>7251</v>
      </c>
      <c r="C56" s="2" t="s">
        <v>7383</v>
      </c>
      <c r="D56" s="2" t="s">
        <v>7384</v>
      </c>
      <c r="E56" s="2" t="s">
        <v>7202</v>
      </c>
      <c r="F56" s="2" t="s">
        <v>7202</v>
      </c>
      <c r="G56" s="2" t="s">
        <v>7202</v>
      </c>
      <c r="H56" s="2" t="s">
        <v>7202</v>
      </c>
      <c r="I56" s="2" t="s">
        <v>7241</v>
      </c>
      <c r="J56" s="2" t="s">
        <v>7385</v>
      </c>
    </row>
    <row r="57" customFormat="false" ht="15" hidden="false" customHeight="false" outlineLevel="0" collapsed="false">
      <c r="A57" s="2" t="s">
        <v>2922</v>
      </c>
      <c r="B57" s="2" t="s">
        <v>7251</v>
      </c>
      <c r="C57" s="2" t="s">
        <v>7386</v>
      </c>
      <c r="D57" s="2" t="s">
        <v>7387</v>
      </c>
      <c r="E57" s="2" t="s">
        <v>7202</v>
      </c>
      <c r="F57" s="2" t="s">
        <v>7202</v>
      </c>
      <c r="G57" s="2" t="s">
        <v>7202</v>
      </c>
      <c r="H57" s="2" t="s">
        <v>7202</v>
      </c>
      <c r="I57" s="2" t="s">
        <v>7241</v>
      </c>
      <c r="J57" s="2" t="s">
        <v>7388</v>
      </c>
    </row>
    <row r="58" customFormat="false" ht="15" hidden="false" customHeight="false" outlineLevel="0" collapsed="false">
      <c r="A58" s="2" t="s">
        <v>190</v>
      </c>
      <c r="B58" s="2" t="s">
        <v>7251</v>
      </c>
      <c r="C58" s="2" t="s">
        <v>7389</v>
      </c>
      <c r="D58" s="2" t="s">
        <v>7390</v>
      </c>
      <c r="E58" s="2" t="s">
        <v>7202</v>
      </c>
      <c r="F58" s="2" t="s">
        <v>7202</v>
      </c>
      <c r="G58" s="2" t="s">
        <v>7202</v>
      </c>
      <c r="H58" s="2" t="s">
        <v>7202</v>
      </c>
      <c r="I58" s="2" t="s">
        <v>7241</v>
      </c>
      <c r="J58" s="2" t="s">
        <v>7391</v>
      </c>
    </row>
    <row r="59" customFormat="false" ht="15" hidden="false" customHeight="false" outlineLevel="0" collapsed="false">
      <c r="A59" s="2" t="s">
        <v>1817</v>
      </c>
      <c r="B59" s="2" t="s">
        <v>7251</v>
      </c>
      <c r="C59" s="2" t="s">
        <v>7392</v>
      </c>
      <c r="D59" s="2" t="s">
        <v>7393</v>
      </c>
      <c r="E59" s="2" t="s">
        <v>7202</v>
      </c>
      <c r="F59" s="2" t="s">
        <v>7202</v>
      </c>
      <c r="G59" s="2" t="s">
        <v>7202</v>
      </c>
      <c r="H59" s="2" t="s">
        <v>7202</v>
      </c>
      <c r="I59" s="2" t="s">
        <v>7241</v>
      </c>
      <c r="J59" s="2" t="s">
        <v>7394</v>
      </c>
    </row>
    <row r="60" customFormat="false" ht="15" hidden="false" customHeight="false" outlineLevel="0" collapsed="false">
      <c r="A60" s="2" t="s">
        <v>1758</v>
      </c>
      <c r="B60" s="2" t="s">
        <v>7243</v>
      </c>
      <c r="C60" s="2"/>
      <c r="D60" s="2" t="s">
        <v>7395</v>
      </c>
      <c r="E60" s="2"/>
      <c r="F60" s="2"/>
      <c r="G60" s="2"/>
      <c r="H60" s="2"/>
      <c r="I60" s="2" t="s">
        <v>7241</v>
      </c>
      <c r="J60" s="2" t="s">
        <v>7245</v>
      </c>
    </row>
    <row r="61" customFormat="false" ht="15" hidden="false" customHeight="false" outlineLevel="0" collapsed="false">
      <c r="A61" s="2" t="s">
        <v>1763</v>
      </c>
      <c r="B61" s="2" t="s">
        <v>7246</v>
      </c>
      <c r="C61" s="2"/>
      <c r="D61" s="2" t="s">
        <v>7396</v>
      </c>
      <c r="E61" s="2" t="s">
        <v>7202</v>
      </c>
      <c r="F61" s="2" t="s">
        <v>7202</v>
      </c>
      <c r="G61" s="2" t="s">
        <v>7202</v>
      </c>
      <c r="H61" s="2" t="s">
        <v>7202</v>
      </c>
      <c r="I61" s="2" t="s">
        <v>7241</v>
      </c>
      <c r="J61" s="2" t="s">
        <v>7305</v>
      </c>
    </row>
    <row r="62" customFormat="false" ht="15" hidden="false" customHeight="false" outlineLevel="0" collapsed="false">
      <c r="A62" s="2" t="s">
        <v>3380</v>
      </c>
      <c r="B62" s="2" t="s">
        <v>7265</v>
      </c>
      <c r="C62" s="2" t="s">
        <v>7397</v>
      </c>
      <c r="D62" s="2" t="s">
        <v>7398</v>
      </c>
      <c r="E62" s="2" t="s">
        <v>7202</v>
      </c>
      <c r="F62" s="2" t="s">
        <v>7202</v>
      </c>
      <c r="G62" s="2" t="s">
        <v>7202</v>
      </c>
      <c r="H62" s="2" t="s">
        <v>7202</v>
      </c>
      <c r="I62" s="2" t="s">
        <v>7241</v>
      </c>
      <c r="J62" s="2" t="s">
        <v>7399</v>
      </c>
    </row>
    <row r="63" customFormat="false" ht="15" hidden="false" customHeight="false" outlineLevel="0" collapsed="false">
      <c r="A63" s="2" t="s">
        <v>2437</v>
      </c>
      <c r="B63" s="2" t="s">
        <v>7243</v>
      </c>
      <c r="C63" s="2"/>
      <c r="D63" s="2" t="s">
        <v>7400</v>
      </c>
      <c r="E63" s="2"/>
      <c r="F63" s="2"/>
      <c r="G63" s="2"/>
      <c r="H63" s="2"/>
      <c r="I63" s="2" t="s">
        <v>7241</v>
      </c>
      <c r="J63" s="2" t="s">
        <v>7245</v>
      </c>
    </row>
    <row r="64" customFormat="false" ht="15" hidden="false" customHeight="false" outlineLevel="0" collapsed="false">
      <c r="A64" s="2" t="s">
        <v>3120</v>
      </c>
      <c r="B64" s="2" t="s">
        <v>7324</v>
      </c>
      <c r="C64" s="2" t="s">
        <v>7401</v>
      </c>
      <c r="D64" s="2" t="s">
        <v>7402</v>
      </c>
      <c r="E64" s="2" t="s">
        <v>7202</v>
      </c>
      <c r="F64" s="2" t="s">
        <v>7202</v>
      </c>
      <c r="G64" s="2" t="s">
        <v>7202</v>
      </c>
      <c r="H64" s="2" t="s">
        <v>7202</v>
      </c>
      <c r="I64" s="2" t="s">
        <v>7241</v>
      </c>
      <c r="J64" s="2" t="s">
        <v>7403</v>
      </c>
    </row>
    <row r="65" customFormat="false" ht="15" hidden="false" customHeight="false" outlineLevel="0" collapsed="false">
      <c r="A65" s="2" t="s">
        <v>273</v>
      </c>
      <c r="B65" s="2" t="s">
        <v>7404</v>
      </c>
      <c r="C65" s="2" t="s">
        <v>7405</v>
      </c>
      <c r="D65" s="2" t="s">
        <v>7406</v>
      </c>
      <c r="E65" s="2" t="s">
        <v>7407</v>
      </c>
      <c r="F65" s="2" t="s">
        <v>7238</v>
      </c>
      <c r="G65" s="2" t="s">
        <v>7226</v>
      </c>
      <c r="H65" s="2" t="s">
        <v>7262</v>
      </c>
      <c r="I65" s="2" t="s">
        <v>7241</v>
      </c>
      <c r="J65" s="2" t="s">
        <v>7408</v>
      </c>
    </row>
    <row r="66" customFormat="false" ht="15" hidden="false" customHeight="false" outlineLevel="0" collapsed="false">
      <c r="A66" s="2" t="s">
        <v>1800</v>
      </c>
      <c r="B66" s="2" t="s">
        <v>7251</v>
      </c>
      <c r="C66" s="2" t="s">
        <v>7409</v>
      </c>
      <c r="D66" s="2" t="s">
        <v>7410</v>
      </c>
      <c r="E66" s="2" t="s">
        <v>7202</v>
      </c>
      <c r="F66" s="2" t="s">
        <v>7202</v>
      </c>
      <c r="G66" s="2" t="s">
        <v>7202</v>
      </c>
      <c r="H66" s="2" t="s">
        <v>7202</v>
      </c>
      <c r="I66" s="2" t="s">
        <v>7241</v>
      </c>
      <c r="J66" s="2" t="s">
        <v>7411</v>
      </c>
    </row>
    <row r="67" customFormat="false" ht="15" hidden="false" customHeight="false" outlineLevel="0" collapsed="false">
      <c r="A67" s="2" t="s">
        <v>3638</v>
      </c>
      <c r="B67" s="2" t="s">
        <v>7282</v>
      </c>
      <c r="C67" s="2"/>
      <c r="D67" s="2" t="s">
        <v>7412</v>
      </c>
      <c r="E67" s="2" t="s">
        <v>7202</v>
      </c>
      <c r="F67" s="2" t="s">
        <v>7202</v>
      </c>
      <c r="G67" s="2" t="s">
        <v>7202</v>
      </c>
      <c r="H67" s="2" t="s">
        <v>7202</v>
      </c>
      <c r="I67" s="2" t="s">
        <v>7241</v>
      </c>
      <c r="J67" s="2" t="s">
        <v>7413</v>
      </c>
    </row>
  </sheetData>
  <autoFilter ref="A1:J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7414</v>
      </c>
      <c r="B1" s="2"/>
      <c r="C1" s="2"/>
    </row>
    <row r="2" customFormat="false" ht="15" hidden="false" customHeight="false" outlineLevel="0" collapsed="false">
      <c r="A2" s="4" t="s">
        <v>7415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42" hidden="false" customHeight="true" outlineLevel="0" collapsed="false">
      <c r="A4" s="7" t="s">
        <v>7416</v>
      </c>
      <c r="B4" s="7" t="s">
        <v>7417</v>
      </c>
      <c r="C4" s="7" t="s">
        <v>7418</v>
      </c>
    </row>
    <row r="5" customFormat="false" ht="15" hidden="false" customHeight="false" outlineLevel="0" collapsed="false">
      <c r="A5" s="2" t="s">
        <v>7419</v>
      </c>
      <c r="B5" s="14" t="n">
        <v>700</v>
      </c>
      <c r="C5" s="2" t="s">
        <v>7420</v>
      </c>
    </row>
    <row r="6" customFormat="false" ht="15" hidden="false" customHeight="false" outlineLevel="0" collapsed="false">
      <c r="A6" s="2" t="s">
        <v>7421</v>
      </c>
      <c r="B6" s="14" t="n">
        <v>600</v>
      </c>
      <c r="C6" s="2" t="s">
        <v>7422</v>
      </c>
    </row>
    <row r="7" customFormat="false" ht="15" hidden="false" customHeight="false" outlineLevel="0" collapsed="false">
      <c r="A7" s="2" t="s">
        <v>7423</v>
      </c>
      <c r="B7" s="14" t="n">
        <v>500</v>
      </c>
      <c r="C7" s="2" t="s">
        <v>7424</v>
      </c>
    </row>
    <row r="8" customFormat="false" ht="15" hidden="false" customHeight="false" outlineLevel="0" collapsed="false">
      <c r="A8" s="2" t="s">
        <v>7425</v>
      </c>
      <c r="B8" s="14" t="n">
        <v>3</v>
      </c>
      <c r="C8" s="2" t="s">
        <v>7426</v>
      </c>
    </row>
    <row r="9" customFormat="false" ht="15" hidden="false" customHeight="false" outlineLevel="0" collapsed="false">
      <c r="A9" s="2" t="s">
        <v>7427</v>
      </c>
      <c r="B9" s="14" t="n">
        <v>2</v>
      </c>
      <c r="C9" s="2" t="s">
        <v>7428</v>
      </c>
    </row>
    <row r="10" customFormat="false" ht="15" hidden="false" customHeight="false" outlineLevel="0" collapsed="false">
      <c r="A10" s="2" t="s">
        <v>7429</v>
      </c>
      <c r="B10" s="14" t="n">
        <v>1</v>
      </c>
      <c r="C10" s="2" t="s">
        <v>7428</v>
      </c>
    </row>
    <row r="11" customFormat="false" ht="15" hidden="false" customHeight="false" outlineLevel="0" collapsed="false">
      <c r="A11" s="2" t="s">
        <v>7430</v>
      </c>
      <c r="B11" s="14" t="n">
        <v>5000</v>
      </c>
      <c r="C11" s="2" t="s">
        <v>7431</v>
      </c>
    </row>
    <row r="12" customFormat="false" ht="15" hidden="false" customHeight="false" outlineLevel="0" collapsed="false">
      <c r="A12" s="2" t="s">
        <v>7432</v>
      </c>
      <c r="B12" s="14" t="n">
        <v>4</v>
      </c>
      <c r="C12" s="2" t="s">
        <v>7433</v>
      </c>
    </row>
    <row r="13" customFormat="false" ht="15" hidden="false" customHeight="false" outlineLevel="0" collapsed="false">
      <c r="A13" s="2" t="s">
        <v>7434</v>
      </c>
      <c r="B13" s="14" t="n">
        <v>4</v>
      </c>
      <c r="C13" s="2" t="s">
        <v>7435</v>
      </c>
    </row>
    <row r="14" customFormat="false" ht="15" hidden="false" customHeight="false" outlineLevel="0" collapsed="false">
      <c r="A14" s="2" t="s">
        <v>7436</v>
      </c>
      <c r="B14" s="14" t="n">
        <v>15</v>
      </c>
      <c r="C14" s="2" t="s">
        <v>7437</v>
      </c>
    </row>
    <row r="15" customFormat="false" ht="15" hidden="false" customHeight="false" outlineLevel="0" collapsed="false">
      <c r="A15" s="2" t="s">
        <v>7438</v>
      </c>
      <c r="B15" s="14" t="n">
        <v>0</v>
      </c>
      <c r="C15" s="2" t="s">
        <v>7439</v>
      </c>
    </row>
    <row r="16" customFormat="false" ht="15" hidden="false" customHeight="false" outlineLevel="0" collapsed="false">
      <c r="A16" s="2" t="s">
        <v>7440</v>
      </c>
      <c r="B16" s="14" t="n">
        <v>750</v>
      </c>
      <c r="C16" s="2" t="s">
        <v>7441</v>
      </c>
    </row>
    <row r="17" customFormat="false" ht="15" hidden="false" customHeight="false" outlineLevel="0" collapsed="false">
      <c r="A17" s="2" t="s">
        <v>7442</v>
      </c>
      <c r="B17" s="14" t="n">
        <v>1200</v>
      </c>
      <c r="C17" s="2" t="s">
        <v>7443</v>
      </c>
    </row>
    <row r="18" customFormat="false" ht="15" hidden="false" customHeight="false" outlineLevel="0" collapsed="false">
      <c r="A18" s="2" t="s">
        <v>7444</v>
      </c>
      <c r="B18" s="14" t="n">
        <v>0.5</v>
      </c>
      <c r="C18" s="2" t="s">
        <v>7445</v>
      </c>
    </row>
    <row r="19" customFormat="false" ht="15" hidden="false" customHeight="false" outlineLevel="0" collapsed="false">
      <c r="A19" s="2" t="s">
        <v>7446</v>
      </c>
      <c r="B19" s="14" t="n">
        <v>5</v>
      </c>
      <c r="C19" s="2" t="s">
        <v>7447</v>
      </c>
    </row>
    <row r="20" customFormat="false" ht="15" hidden="false" customHeight="false" outlineLevel="0" collapsed="false">
      <c r="A20" s="2" t="s">
        <v>7448</v>
      </c>
      <c r="B20" s="2" t="s">
        <v>7449</v>
      </c>
      <c r="C20" s="2" t="s">
        <v>7450</v>
      </c>
    </row>
    <row r="21" customFormat="false" ht="15" hidden="false" customHeight="false" outlineLevel="0" collapsed="false">
      <c r="A21" s="2" t="s">
        <v>7451</v>
      </c>
      <c r="B21" s="2" t="s">
        <v>7452</v>
      </c>
      <c r="C21" s="2" t="s">
        <v>7453</v>
      </c>
    </row>
    <row r="22" customFormat="false" ht="15" hidden="false" customHeight="false" outlineLevel="0" collapsed="false">
      <c r="A22" s="2" t="s">
        <v>7454</v>
      </c>
      <c r="B22" s="2" t="s">
        <v>7455</v>
      </c>
      <c r="C22" s="2" t="s">
        <v>7456</v>
      </c>
    </row>
    <row r="23" customFormat="false" ht="15" hidden="false" customHeight="false" outlineLevel="0" collapsed="false">
      <c r="A23" s="2" t="s">
        <v>7457</v>
      </c>
      <c r="B23" s="2" t="s">
        <v>7219</v>
      </c>
      <c r="C23" s="2" t="s">
        <v>7458</v>
      </c>
    </row>
    <row r="24" customFormat="false" ht="15" hidden="false" customHeight="false" outlineLevel="0" collapsed="false">
      <c r="A24" s="2" t="s">
        <v>7459</v>
      </c>
      <c r="B24" s="2" t="s">
        <v>7210</v>
      </c>
      <c r="C24" s="2" t="s">
        <v>7460</v>
      </c>
    </row>
    <row r="25" customFormat="false" ht="15" hidden="false" customHeight="false" outlineLevel="0" collapsed="false">
      <c r="A25" s="2" t="s">
        <v>7461</v>
      </c>
      <c r="B25" s="2" t="s">
        <v>7462</v>
      </c>
      <c r="C25" s="2" t="s">
        <v>7463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2026-10-23T20:47:38Z</dcterms:created>
  <dc:creator>openpyxl</dc:creator>
  <dc:description/>
  <dc:language>en-US</dc:language>
  <cp:lastModifiedBy/>
  <dcterms:modified xsi:type="dcterms:W3CDTF">2026-10-23T20:47:41Z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